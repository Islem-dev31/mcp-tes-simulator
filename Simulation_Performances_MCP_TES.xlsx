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&amp; Optimisation" sheetId="1" state="visible" r:id="rId1"/>
    <sheet xmlns:r="http://schemas.openxmlformats.org/officeDocument/2006/relationships" name="Données de Simul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1">
    <numFmt numFmtId="164" formatCode="0.000"/>
    <numFmt numFmtId="165" formatCode="#,##0.0"/>
    <numFmt numFmtId="166" formatCode="0.00000"/>
    <numFmt numFmtId="167" formatCode="0 &quot;°C&quot;"/>
    <numFmt numFmtId="168" formatCode="0.0 &quot;mm&quot;"/>
    <numFmt numFmtId="169" formatCode="#,##0 &quot;W&quot;"/>
    <numFmt numFmtId="170" formatCode="#,##0.0 &quot;kg&quot;"/>
    <numFmt numFmtId="171" formatCode="0.0 &quot;h&quot;"/>
    <numFmt numFmtId="172" formatCode="0.0%"/>
    <numFmt numFmtId="173" formatCode="0.0000"/>
    <numFmt numFmtId="174" formatCode="0.0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1B365D"/>
      <sz val="13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  <font>
      <name val="Courier New"/>
      <b val="1"/>
      <color rgb="001B365D"/>
      <sz val="10"/>
    </font>
    <font>
      <name val="Segoe UI"/>
      <i val="1"/>
      <color rgb="00555555"/>
      <sz val="9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2EFDA"/>
        <bgColor rgb="00E2EFDA"/>
      </patternFill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0" fontId="7" fillId="0" borderId="0" pivotButton="0" quotePrefix="0" xfId="0"/>
    <xf numFmtId="167" fontId="5" fillId="3" borderId="1" applyAlignment="1" pivotButton="0" quotePrefix="0" xfId="0">
      <alignment horizontal="center" vertical="center" wrapText="1"/>
    </xf>
    <xf numFmtId="168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169" fontId="5" fillId="3" borderId="1" applyAlignment="1" pivotButton="0" quotePrefix="0" xfId="0">
      <alignment horizontal="center" vertical="center" wrapText="1"/>
    </xf>
    <xf numFmtId="170" fontId="5" fillId="3" borderId="1" applyAlignment="1" pivotButton="0" quotePrefix="0" xfId="0">
      <alignment horizontal="center" vertical="center" wrapText="1"/>
    </xf>
    <xf numFmtId="171" fontId="5" fillId="3" borderId="1" applyAlignment="1" pivotButton="0" quotePrefix="0" xfId="0">
      <alignment horizontal="center" vertical="center" wrapText="1"/>
    </xf>
    <xf numFmtId="172" fontId="5" fillId="3" borderId="1" applyAlignment="1" pivotButton="0" quotePrefix="0" xfId="0">
      <alignment horizontal="center" vertical="center" wrapText="1"/>
    </xf>
    <xf numFmtId="173" fontId="5" fillId="3" borderId="1" applyAlignment="1" pivotButton="0" quotePrefix="0" xfId="0">
      <alignment horizontal="center" vertical="center" wrapText="1"/>
    </xf>
    <xf numFmtId="1" fontId="4" fillId="4" borderId="1" applyAlignment="1" pivotButton="0" quotePrefix="0" xfId="0">
      <alignment horizontal="center" vertical="center" wrapText="1"/>
    </xf>
    <xf numFmtId="174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166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72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174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72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4" fillId="3" borderId="1" applyAlignment="1" pivotButton="0" quotePrefix="0" xfId="0">
      <alignment horizontal="center" vertical="center" wrapText="1"/>
    </xf>
    <xf numFmtId="174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165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172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38" customWidth="1" min="4" max="4"/>
    <col width="3" customWidth="1" min="5" max="5"/>
    <col width="35" customWidth="1" min="6" max="6"/>
    <col width="25" customWidth="1" min="7" max="7"/>
    <col width="65" customWidth="1" min="8" max="8"/>
    <col width="21" customWidth="1" min="9" max="9"/>
    <col width="21" customWidth="1" min="10" max="10"/>
    <col width="21" customWidth="1" min="11" max="11"/>
    <col width="16" customWidth="1" min="12" max="12"/>
    <col width="21" customWidth="1" min="13" max="13"/>
    <col width="24" customWidth="1" min="14" max="14"/>
  </cols>
  <sheetData>
    <row r="1" ht="25" customHeight="1">
      <c r="A1" s="1" t="inlineStr">
        <is>
          <t>SIMULATION DE STOCKAGE D'ÉNERGIE THERMIQUE (TES) - CHAMBRE FROIDE 100 m³</t>
        </is>
      </c>
    </row>
    <row r="2" ht="25" customHeight="1"/>
    <row r="3"/>
    <row r="4">
      <c r="A4" s="2" t="inlineStr">
        <is>
          <t>1. PARAMÈTRES FIXES DE CONCEPTION</t>
        </is>
      </c>
      <c r="F4" s="2" t="inlineStr">
        <is>
          <t>2. LOIS PHYSIQUES DE RÉFÉRENCE UTILISÉES</t>
        </is>
      </c>
    </row>
    <row r="5" ht="24" customHeight="1">
      <c r="A5" s="3" t="inlineStr">
        <is>
          <t>Paramètre de Conception</t>
        </is>
      </c>
      <c r="B5" s="3" t="inlineStr">
        <is>
          <t>Valeur</t>
        </is>
      </c>
      <c r="C5" s="3" t="inlineStr">
        <is>
          <t>Unité</t>
        </is>
      </c>
      <c r="D5" s="3" t="inlineStr">
        <is>
          <t>Description physique</t>
        </is>
      </c>
      <c r="F5" s="3" t="inlineStr">
        <is>
          <t>Phénomène Physique</t>
        </is>
      </c>
      <c r="G5" s="3" t="inlineStr">
        <is>
          <t>Formule mathématique clé</t>
        </is>
      </c>
      <c r="H5" s="3" t="inlineStr">
        <is>
          <t>Pertinence et application technique</t>
        </is>
      </c>
    </row>
    <row r="6" ht="60" customHeight="1">
      <c r="A6" s="4" t="inlineStr">
        <is>
          <t>Volume de la chambre froide</t>
        </is>
      </c>
      <c r="B6" s="5" t="n">
        <v>100</v>
      </c>
      <c r="C6" s="6" t="inlineStr">
        <is>
          <t>m³</t>
        </is>
      </c>
      <c r="D6" s="4" t="inlineStr">
        <is>
          <t>Volume géométrique type</t>
        </is>
      </c>
      <c r="F6" s="7" t="inlineStr">
        <is>
          <t>Loi de Fourier (Conduction)</t>
        </is>
      </c>
      <c r="G6" s="8" t="inlineStr">
        <is>
          <t>q_cond = U * A * Delta_T</t>
        </is>
      </c>
      <c r="H6" s="4" t="inlineStr">
        <is>
          <t>Utilisée pour modéliser le transfert thermique à travers les parois isolantes en Polyuréthane de la chambre froide, ainsi que la conduction radiale à travers l'épaisseur de l'Aluminium.</t>
        </is>
      </c>
    </row>
    <row r="7" ht="60" customHeight="1">
      <c r="A7" s="4" t="inlineStr">
        <is>
          <t>Longueur de la chambre</t>
        </is>
      </c>
      <c r="B7" s="5" t="n">
        <v>5</v>
      </c>
      <c r="C7" s="6" t="inlineStr">
        <is>
          <t>m</t>
        </is>
      </c>
      <c r="D7" s="4" t="inlineStr">
        <is>
          <t>Dimensions : 5.0m x 5.0m x 4.0m</t>
        </is>
      </c>
      <c r="F7" s="7" t="inlineStr">
        <is>
          <t>Loi de refroidissement de Newton (Convection)</t>
        </is>
      </c>
      <c r="G7" s="8" t="inlineStr">
        <is>
          <t>q_conv = h * A_eff * (T_air - T_pcm)</t>
        </is>
      </c>
      <c r="H7" s="4" t="inlineStr">
        <is>
          <t>Modélise le transfert convectif entre l'air de la chambre froide et la surface externe des cylindres MCP. Calcule l'impact de la ventilation forcée (ON, h=40) par rapport à la convection naturelle (OFF, h=8).</t>
        </is>
      </c>
    </row>
    <row r="8" ht="60" customHeight="1">
      <c r="A8" s="4" t="inlineStr">
        <is>
          <t>Largeur de la chambre</t>
        </is>
      </c>
      <c r="B8" s="5" t="n">
        <v>5</v>
      </c>
      <c r="C8" s="6" t="inlineStr">
        <is>
          <t>m</t>
        </is>
      </c>
      <c r="D8" s="4" t="inlineStr">
        <is>
          <t>Surface au sol = 25 m²</t>
        </is>
      </c>
      <c r="F8" s="7" t="inlineStr">
        <is>
          <t>Équation de la chaleur latente</t>
        </is>
      </c>
      <c r="G8" s="8" t="inlineStr">
        <is>
          <t>Q = m_pcm * L_f</t>
        </is>
      </c>
      <c r="H8" s="4" t="inlineStr">
        <is>
          <t>Détermine la masse de MCP requise pour absorber le besoin frigorifique total cumulé sur la période d'autonomie cible (8 heures). m_pcm = Q_besoin / L_f.</t>
        </is>
      </c>
    </row>
    <row r="9" ht="60" customHeight="1">
      <c r="A9" s="4" t="inlineStr">
        <is>
          <t>Hauteur de la chambre</t>
        </is>
      </c>
      <c r="B9" s="5" t="n">
        <v>4</v>
      </c>
      <c r="C9" s="6" t="inlineStr">
        <is>
          <t>m</t>
        </is>
      </c>
      <c r="D9" s="4" t="inlineStr">
        <is>
          <t>Hauteur sous plafond</t>
        </is>
      </c>
      <c r="F9" s="7" t="inlineStr">
        <is>
          <t>Équivalent Théorème de Sebbar (Infiltration d'air)</t>
        </is>
      </c>
      <c r="G9" s="8" t="inlineStr">
        <is>
          <t>q_inf = m_dot_air * Delta_h * D_open</t>
        </is>
      </c>
      <c r="H9" s="4" t="inlineStr">
        <is>
          <t>Modélise l'ouverture de porte comme un échange thermique massique dynamique. Le débit massique d'air entrant (m_dot_air) est gouverné par la différence de densité entre l'air intérieur froid et l'air extérieur chaud (tirage thermique gravitaire).</t>
        </is>
      </c>
    </row>
    <row r="10" ht="60" customHeight="1">
      <c r="A10" s="4" t="inlineStr">
        <is>
          <t>Surface de l'enveloppe extérieure</t>
        </is>
      </c>
      <c r="B10" s="9" t="n">
        <v>130</v>
      </c>
      <c r="C10" s="6" t="inlineStr">
        <is>
          <t>m²</t>
        </is>
      </c>
      <c r="D10" s="4" t="inlineStr">
        <is>
          <t>Calculé d'après les dimensions</t>
        </is>
      </c>
      <c r="F10" s="7" t="inlineStr">
        <is>
          <t>Théorie des ailettes (Efficacité d'échange)</t>
        </is>
      </c>
      <c r="G10" s="8" t="inlineStr">
        <is>
          <t>eta_fin = tanh(m*L) / (m*L)</t>
        </is>
      </c>
      <c r="H10" s="4" t="inlineStr">
        <is>
          <t>Permet de calculer l'augmentation réelle de la capacité d'échange thermique externe et interne apportée par les ailettes en aluminium en tenant compte de leur résistance de conduction.</t>
        </is>
      </c>
    </row>
    <row r="11" ht="20" customHeight="1">
      <c r="A11" s="4" t="inlineStr">
        <is>
          <t>Épaisseur isolant PU (+4°C)</t>
        </is>
      </c>
      <c r="B11" s="5" t="n">
        <v>100</v>
      </c>
      <c r="C11" s="6" t="inlineStr">
        <is>
          <t>mm</t>
        </is>
      </c>
      <c r="D11" s="4" t="inlineStr">
        <is>
          <t>Standard algérien pour froid positif</t>
        </is>
      </c>
    </row>
    <row r="12" ht="20" customHeight="1">
      <c r="A12" s="4" t="inlineStr">
        <is>
          <t>Épaisseur isolant PU (-18°C)</t>
        </is>
      </c>
      <c r="B12" s="9" t="n">
        <v>200</v>
      </c>
      <c r="C12" s="6" t="inlineStr">
        <is>
          <t>mm</t>
        </is>
      </c>
      <c r="D12" s="4" t="inlineStr">
        <is>
          <t>Standard algérien pour froid négatif</t>
        </is>
      </c>
    </row>
    <row r="13" ht="20" customHeight="1">
      <c r="A13" s="4" t="inlineStr">
        <is>
          <t>Conductivité thermique PU</t>
        </is>
      </c>
      <c r="B13" s="5" t="n">
        <v>0.022</v>
      </c>
      <c r="C13" s="6" t="inlineStr">
        <is>
          <t>W/m.K</t>
        </is>
      </c>
      <c r="D13" s="4" t="inlineStr">
        <is>
          <t>Conductivité du polyuréthane standard</t>
        </is>
      </c>
    </row>
    <row r="14" ht="20" customHeight="1">
      <c r="A14" s="4" t="inlineStr">
        <is>
          <t>Conductivité de l'Aluminium</t>
        </is>
      </c>
      <c r="B14" s="9" t="n">
        <v>205</v>
      </c>
      <c r="C14" s="6" t="inlineStr">
        <is>
          <t>W/m.K</t>
        </is>
      </c>
      <c r="D14" s="4" t="inlineStr">
        <is>
          <t>Matériau enveloppe MCP</t>
        </is>
      </c>
    </row>
    <row r="15" ht="20" customHeight="1">
      <c r="A15" s="4" t="inlineStr">
        <is>
          <t>Conductivité de la Paraffine (MCP)</t>
        </is>
      </c>
      <c r="B15" s="5" t="n">
        <v>0.2</v>
      </c>
      <c r="C15" s="6" t="inlineStr">
        <is>
          <t>W/m.K</t>
        </is>
      </c>
      <c r="D15" s="4" t="inlineStr">
        <is>
          <t>Matériau à changement de phase</t>
        </is>
      </c>
    </row>
    <row r="16" ht="20" customHeight="1">
      <c r="A16" s="4" t="inlineStr">
        <is>
          <t>Chaleur latente Paraffine (L_f)</t>
        </is>
      </c>
      <c r="B16" s="9" t="n">
        <v>180</v>
      </c>
      <c r="C16" s="6" t="inlineStr">
        <is>
          <t>kJ/kg</t>
        </is>
      </c>
      <c r="D16" s="4" t="inlineStr">
        <is>
          <t>Énergie de changement de phase (180 kJ/kg)</t>
        </is>
      </c>
    </row>
    <row r="17" ht="20" customHeight="1">
      <c r="A17" s="4" t="inlineStr">
        <is>
          <t>Masse volumique Paraffine (MCP)</t>
        </is>
      </c>
      <c r="B17" s="9" t="n">
        <v>850</v>
      </c>
      <c r="C17" s="6" t="inlineStr">
        <is>
          <t>kg/m³</t>
        </is>
      </c>
      <c r="D17" s="4" t="inlineStr">
        <is>
          <t>Phase liquide/solide moyenne</t>
        </is>
      </c>
    </row>
    <row r="18" ht="20" customHeight="1">
      <c r="A18" s="4" t="inlineStr">
        <is>
          <t>Autonomie cible requise</t>
        </is>
      </c>
      <c r="B18" s="5" t="n">
        <v>8</v>
      </c>
      <c r="C18" s="6" t="inlineStr">
        <is>
          <t>heures</t>
        </is>
      </c>
      <c r="D18" s="4" t="inlineStr">
        <is>
          <t>Heures de décharge sans compresseur</t>
        </is>
      </c>
    </row>
    <row r="19" ht="20" customHeight="1">
      <c r="A19" s="4" t="inlineStr">
        <is>
          <t>Volume du stock stocké</t>
        </is>
      </c>
      <c r="B19" s="9" t="n">
        <v>20000</v>
      </c>
      <c r="C19" s="6" t="inlineStr">
        <is>
          <t>L</t>
        </is>
      </c>
      <c r="D19" s="4" t="inlineStr">
        <is>
          <t>Equivalent à 20 tonnes d'eau/produit</t>
        </is>
      </c>
    </row>
    <row r="20" ht="20" customHeight="1">
      <c r="A20" s="4" t="inlineStr">
        <is>
          <t>Renouvellement stock par jour</t>
        </is>
      </c>
      <c r="B20" s="5" t="n">
        <v>10</v>
      </c>
      <c r="C20" s="6" t="inlineStr">
        <is>
          <t>%</t>
        </is>
      </c>
      <c r="D20" s="4" t="inlineStr">
        <is>
          <t>Turnover quotidien de marchandises</t>
        </is>
      </c>
    </row>
    <row r="21" ht="20" customHeight="1">
      <c r="A21" s="4" t="inlineStr">
        <is>
          <t>Dimensions porte (L x H)</t>
        </is>
      </c>
      <c r="B21" s="10" t="inlineStr">
        <is>
          <t>1.2 x 2.0</t>
        </is>
      </c>
      <c r="C21" s="6" t="inlineStr">
        <is>
          <t>m</t>
        </is>
      </c>
      <c r="D21" s="4" t="inlineStr">
        <is>
          <t>Porte pivotante de service</t>
        </is>
      </c>
    </row>
    <row r="22" ht="20" customHeight="1">
      <c r="A22" s="4" t="inlineStr">
        <is>
          <t>Ouvertures de porte par heure</t>
        </is>
      </c>
      <c r="B22" s="5" t="n">
        <v>4</v>
      </c>
      <c r="C22" s="6" t="inlineStr">
        <is>
          <t>fois/h</t>
        </is>
      </c>
      <c r="D22" s="4" t="inlineStr">
        <is>
          <t>Fréquence d'accès industrielle moyenne</t>
        </is>
      </c>
    </row>
    <row r="23" ht="20" customHeight="1">
      <c r="A23" s="4" t="inlineStr">
        <is>
          <t>Durée d'ouverture moyenne</t>
        </is>
      </c>
      <c r="B23" s="5" t="n">
        <v>30</v>
      </c>
      <c r="C23" s="6" t="inlineStr">
        <is>
          <t>s</t>
        </is>
      </c>
      <c r="D23" s="4" t="inlineStr">
        <is>
          <t>Infiltration massique d'air extérieur</t>
        </is>
      </c>
    </row>
    <row r="24" ht="20" customHeight="1">
      <c r="A24" s="4" t="inlineStr">
        <is>
          <t>Résistance de contact Époxy</t>
        </is>
      </c>
      <c r="B24" s="11" t="n">
        <v>0.0005</v>
      </c>
      <c r="C24" s="6" t="inlineStr">
        <is>
          <t>m².K/W</t>
        </is>
      </c>
      <c r="D24" s="4" t="inlineStr">
        <is>
          <t>Résistance thermique peinture</t>
        </is>
      </c>
    </row>
    <row r="25"/>
    <row r="26"/>
    <row r="27">
      <c r="A27" s="2" t="inlineStr">
        <is>
          <t>3. SYNTHÈSE DES CONFIGURATIONS OPTIMALES PAR SCÉNARIO</t>
        </is>
      </c>
    </row>
    <row r="28">
      <c r="A28" s="12" t="inlineStr">
        <is>
          <t>*Note : L'optimum est identifié comme la configuration qui maximise le temps d'autonomie tout en optimisant l'efficacité totale et en limitant l'utilisation superflue de matière (Al/MCP).</t>
        </is>
      </c>
    </row>
    <row r="29"/>
    <row r="30" ht="24" customHeight="1">
      <c r="A30" s="3" t="inlineStr">
        <is>
          <t>T. Cible (°C)</t>
        </is>
      </c>
      <c r="B30" s="3" t="inlineStr">
        <is>
          <t>T. Ext (°C)</t>
        </is>
      </c>
      <c r="C30" s="3" t="inlineStr">
        <is>
          <t>Dia. Cyl (mm)</t>
        </is>
      </c>
      <c r="D30" s="3" t="inlineStr">
        <is>
          <t>Ép. Al (mm)</t>
        </is>
      </c>
      <c r="E30" s="3" t="inlineStr">
        <is>
          <t>N. Ailettes</t>
        </is>
      </c>
      <c r="F30" s="3" t="inlineStr">
        <is>
          <t>Ép. Ail (mm)</t>
        </is>
      </c>
      <c r="G30" s="3" t="inlineStr">
        <is>
          <t>Peinture</t>
        </is>
      </c>
      <c r="H30" s="3" t="inlineStr">
        <is>
          <t>Ventilation</t>
        </is>
      </c>
      <c r="I30" s="3" t="inlineStr">
        <is>
          <t>Charge (W)</t>
        </is>
      </c>
      <c r="J30" s="3" t="inlineStr">
        <is>
          <t>Masse MCP (kg)</t>
        </is>
      </c>
      <c r="K30" s="3" t="inlineStr">
        <is>
          <t>Masse Al (kg)</t>
        </is>
      </c>
      <c r="L30" s="3" t="inlineStr">
        <is>
          <t>Autonomie (h)</t>
        </is>
      </c>
      <c r="M30" s="3" t="inlineStr">
        <is>
          <t>Eff. Totale (%)</t>
        </is>
      </c>
      <c r="N30" s="3" t="inlineStr">
        <is>
          <t>Score (h/kg)</t>
        </is>
      </c>
    </row>
    <row r="31" ht="22" customHeight="1">
      <c r="A31" s="13" t="n">
        <v>4</v>
      </c>
      <c r="B31" s="13" t="n">
        <v>25</v>
      </c>
      <c r="C31" s="14" t="n">
        <v>80</v>
      </c>
      <c r="D31" s="14" t="n">
        <v>2</v>
      </c>
      <c r="E31" s="15" t="n">
        <v>4</v>
      </c>
      <c r="F31" s="14" t="n">
        <v>1.5</v>
      </c>
      <c r="G31" s="15" t="inlineStr">
        <is>
          <t>Oui</t>
        </is>
      </c>
      <c r="H31" s="15" t="inlineStr">
        <is>
          <t>ON</t>
        </is>
      </c>
      <c r="I31" s="16" t="n">
        <v>3671.094534419641</v>
      </c>
      <c r="J31" s="17" t="n">
        <v>587.3751255071425</v>
      </c>
      <c r="K31" s="17" t="n">
        <v>326.7377186166691</v>
      </c>
      <c r="L31" s="18" t="n">
        <v>8</v>
      </c>
      <c r="M31" s="19" t="n">
        <v>0.6425630372474952</v>
      </c>
      <c r="N31" s="20" t="n">
        <v>0.01361991622149944</v>
      </c>
    </row>
    <row r="32" ht="22" customHeight="1">
      <c r="A32" s="13" t="n">
        <v>4</v>
      </c>
      <c r="B32" s="13" t="n">
        <v>35</v>
      </c>
      <c r="C32" s="14" t="n">
        <v>80</v>
      </c>
      <c r="D32" s="14" t="n">
        <v>2</v>
      </c>
      <c r="E32" s="15" t="n">
        <v>4</v>
      </c>
      <c r="F32" s="14" t="n">
        <v>1.5</v>
      </c>
      <c r="G32" s="15" t="inlineStr">
        <is>
          <t>Oui</t>
        </is>
      </c>
      <c r="H32" s="15" t="inlineStr">
        <is>
          <t>ON</t>
        </is>
      </c>
      <c r="I32" s="16" t="n">
        <v>6742.890423683844</v>
      </c>
      <c r="J32" s="17" t="n">
        <v>1078.862467789415</v>
      </c>
      <c r="K32" s="17" t="n">
        <v>600.1361755357084</v>
      </c>
      <c r="L32" s="18" t="n">
        <v>8</v>
      </c>
      <c r="M32" s="19" t="n">
        <v>0.6425630372474951</v>
      </c>
      <c r="N32" s="20" t="n">
        <v>0.007415217637881099</v>
      </c>
    </row>
    <row r="33" ht="22" customHeight="1">
      <c r="A33" s="13" t="n">
        <v>4</v>
      </c>
      <c r="B33" s="13" t="n">
        <v>45</v>
      </c>
      <c r="C33" s="14" t="n">
        <v>80</v>
      </c>
      <c r="D33" s="14" t="n">
        <v>2</v>
      </c>
      <c r="E33" s="15" t="n">
        <v>4</v>
      </c>
      <c r="F33" s="14" t="n">
        <v>1.5</v>
      </c>
      <c r="G33" s="15" t="inlineStr">
        <is>
          <t>Oui</t>
        </is>
      </c>
      <c r="H33" s="15" t="inlineStr">
        <is>
          <t>ON</t>
        </is>
      </c>
      <c r="I33" s="16" t="n">
        <v>11107.24611588331</v>
      </c>
      <c r="J33" s="17" t="n">
        <v>1777.159378541329</v>
      </c>
      <c r="K33" s="17" t="n">
        <v>988.5760832337978</v>
      </c>
      <c r="L33" s="18" t="n">
        <v>8</v>
      </c>
      <c r="M33" s="19" t="n">
        <v>0.6425630372474951</v>
      </c>
      <c r="N33" s="20" t="n">
        <v>0.004501565867753687</v>
      </c>
    </row>
    <row r="34" ht="22" customHeight="1">
      <c r="A34" s="13" t="n">
        <v>-18</v>
      </c>
      <c r="B34" s="13" t="n">
        <v>25</v>
      </c>
      <c r="C34" s="14" t="n">
        <v>80</v>
      </c>
      <c r="D34" s="14" t="n">
        <v>2</v>
      </c>
      <c r="E34" s="15" t="n">
        <v>4</v>
      </c>
      <c r="F34" s="14" t="n">
        <v>1.5</v>
      </c>
      <c r="G34" s="15" t="inlineStr">
        <is>
          <t>Oui</t>
        </is>
      </c>
      <c r="H34" s="15" t="inlineStr">
        <is>
          <t>ON</t>
        </is>
      </c>
      <c r="I34" s="16" t="n">
        <v>8109.509937636571</v>
      </c>
      <c r="J34" s="17" t="n">
        <v>1297.521590021851</v>
      </c>
      <c r="K34" s="17" t="n">
        <v>721.7691484867919</v>
      </c>
      <c r="L34" s="18" t="n">
        <v>8</v>
      </c>
      <c r="M34" s="19" t="n">
        <v>0.6425630372474952</v>
      </c>
      <c r="N34" s="20" t="n">
        <v>0.006165600681731448</v>
      </c>
    </row>
    <row r="35" ht="22" customHeight="1">
      <c r="A35" s="13" t="n">
        <v>-18</v>
      </c>
      <c r="B35" s="13" t="n">
        <v>35</v>
      </c>
      <c r="C35" s="14" t="n">
        <v>80</v>
      </c>
      <c r="D35" s="14" t="n">
        <v>2</v>
      </c>
      <c r="E35" s="15" t="n">
        <v>4</v>
      </c>
      <c r="F35" s="14" t="n">
        <v>1.5</v>
      </c>
      <c r="G35" s="15" t="inlineStr">
        <is>
          <t>Oui</t>
        </is>
      </c>
      <c r="H35" s="15" t="inlineStr">
        <is>
          <t>ON</t>
        </is>
      </c>
      <c r="I35" s="16" t="n">
        <v>11667.64377393681</v>
      </c>
      <c r="J35" s="17" t="n">
        <v>1866.82300382989</v>
      </c>
      <c r="K35" s="17" t="n">
        <v>1038.453047881202</v>
      </c>
      <c r="L35" s="18" t="n">
        <v>8</v>
      </c>
      <c r="M35" s="19" t="n">
        <v>0.6425630372474952</v>
      </c>
      <c r="N35" s="20" t="n">
        <v>0.004285355378408966</v>
      </c>
    </row>
    <row r="36" ht="22" customHeight="1">
      <c r="A36" s="13" t="n">
        <v>-18</v>
      </c>
      <c r="B36" s="13" t="n">
        <v>45</v>
      </c>
      <c r="C36" s="14" t="n">
        <v>80</v>
      </c>
      <c r="D36" s="14" t="n">
        <v>2</v>
      </c>
      <c r="E36" s="15" t="n">
        <v>4</v>
      </c>
      <c r="F36" s="14" t="n">
        <v>1.5</v>
      </c>
      <c r="G36" s="15" t="inlineStr">
        <is>
          <t>Oui</t>
        </is>
      </c>
      <c r="H36" s="15" t="inlineStr">
        <is>
          <t>ON</t>
        </is>
      </c>
      <c r="I36" s="16" t="n">
        <v>16657.85472070074</v>
      </c>
      <c r="J36" s="17" t="n">
        <v>2665.256755312118</v>
      </c>
      <c r="K36" s="17" t="n">
        <v>1482.595830060832</v>
      </c>
      <c r="L36" s="18" t="n">
        <v>8</v>
      </c>
      <c r="M36" s="19" t="n">
        <v>0.6425630372474951</v>
      </c>
      <c r="N36" s="20" t="n">
        <v>0.003001586989341728</v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721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24" customWidth="1" min="2" max="2"/>
    <col width="25" customWidth="1" min="3" max="3"/>
    <col width="26" customWidth="1" min="4" max="4"/>
    <col width="20" customWidth="1" min="5" max="5"/>
    <col width="26" customWidth="1" min="6" max="6"/>
    <col width="17" customWidth="1" min="7" max="7"/>
    <col width="14" customWidth="1" min="8" max="8"/>
    <col width="21" customWidth="1" min="9" max="9"/>
    <col width="25" customWidth="1" min="10" max="10"/>
    <col width="30" customWidth="1" min="11" max="11"/>
    <col width="23" customWidth="1" min="12" max="12"/>
    <col width="30" customWidth="1" min="13" max="13"/>
    <col width="46" customWidth="1" min="14" max="14"/>
    <col width="23" customWidth="1" min="15" max="15"/>
    <col width="30" customWidth="1" min="16" max="16"/>
    <col width="26" customWidth="1" min="17" max="17"/>
    <col width="21" customWidth="1" min="18" max="18"/>
    <col width="29" customWidth="1" min="19" max="19"/>
    <col width="24" customWidth="1" min="20" max="20"/>
    <col width="27" customWidth="1" min="21" max="21"/>
    <col width="31" customWidth="1" min="22" max="22"/>
    <col width="24" customWidth="1" min="23" max="23"/>
    <col width="30" customWidth="1" min="24" max="24"/>
    <col width="79" customWidth="1" min="25" max="25"/>
  </cols>
  <sheetData>
    <row r="1" ht="30" customHeight="1">
      <c r="A1" s="3" t="inlineStr">
        <is>
          <t>Temp. Cible (°C)</t>
        </is>
      </c>
      <c r="B1" s="3" t="inlineStr">
        <is>
          <t>Temp. Extérieure (°C)</t>
        </is>
      </c>
      <c r="C1" s="3" t="inlineStr">
        <is>
          <t>Diamètre Cylindre (mm)</t>
        </is>
      </c>
      <c r="D1" s="3" t="inlineStr">
        <is>
          <t>Épaisseur Paroi Al (mm)</t>
        </is>
      </c>
      <c r="E1" s="3" t="inlineStr">
        <is>
          <t>Nombre d'Ailettes</t>
        </is>
      </c>
      <c r="F1" s="3" t="inlineStr">
        <is>
          <t>Épaisseur Ailettes (mm)</t>
        </is>
      </c>
      <c r="G1" s="3" t="inlineStr">
        <is>
          <t>Peinture Époxy</t>
        </is>
      </c>
      <c r="H1" s="3" t="inlineStr">
        <is>
          <t>Ventilation</t>
        </is>
      </c>
      <c r="I1" s="3" t="inlineStr">
        <is>
          <t>Pertes Parois (W)</t>
        </is>
      </c>
      <c r="J1" s="3" t="inlineStr">
        <is>
          <t>Infiltration Porte (W)</t>
        </is>
      </c>
      <c r="K1" s="3" t="inlineStr">
        <is>
          <t>Refroidissement Produit (W)</t>
        </is>
      </c>
      <c r="L1" s="3" t="inlineStr">
        <is>
          <t>Charges Internes (W)</t>
        </is>
      </c>
      <c r="M1" s="3" t="inlineStr">
        <is>
          <t>Charge Thermique Totale (W)</t>
        </is>
      </c>
      <c r="N1" s="3" t="inlineStr">
        <is>
          <t>Masse MCP Requise (kg)</t>
        </is>
      </c>
      <c r="O1" s="3" t="inlineStr">
        <is>
          <t>Masse Aluminium (kg)</t>
        </is>
      </c>
      <c r="P1" s="3" t="inlineStr">
        <is>
          <t>Résistance Linéaire (K.m/W)</t>
        </is>
      </c>
      <c r="Q1" s="3" t="inlineStr">
        <is>
          <t>Lambda Eff. MCP (W/m.K)</t>
        </is>
      </c>
      <c r="R1" s="3" t="inlineStr">
        <is>
          <t>UA Batterie (W/K)</t>
        </is>
      </c>
      <c r="S1" s="3" t="inlineStr">
        <is>
          <t>Puissance Batterie Max (W)</t>
        </is>
      </c>
      <c r="T1" s="3" t="inlineStr">
        <is>
          <t>Temps d'Autonomie (h)</t>
        </is>
      </c>
      <c r="U1" s="3" t="inlineStr">
        <is>
          <t>Efficacité Thermique (%)</t>
        </is>
      </c>
      <c r="V1" s="3" t="inlineStr">
        <is>
          <t>Efficacité Gravimétrique (%)</t>
        </is>
      </c>
      <c r="W1" s="3" t="inlineStr">
        <is>
          <t>Efficacité Totale (%)</t>
        </is>
      </c>
      <c r="X1" s="3" t="inlineStr">
        <is>
          <t>Score d'Optimisation (h/kg)</t>
        </is>
      </c>
      <c r="Y1" s="3" t="inlineStr">
        <is>
          <t>Statut Optimalité</t>
        </is>
      </c>
    </row>
    <row r="2" ht="20" customHeight="1">
      <c r="A2" s="21" t="n">
        <v>4</v>
      </c>
      <c r="B2" s="21" t="n">
        <v>25</v>
      </c>
      <c r="C2" s="22" t="n">
        <v>80</v>
      </c>
      <c r="D2" s="22" t="n">
        <v>2</v>
      </c>
      <c r="E2" s="23" t="n">
        <v>0</v>
      </c>
      <c r="F2" s="22" t="n">
        <v>0</v>
      </c>
      <c r="G2" s="23" t="inlineStr">
        <is>
          <t>Oui</t>
        </is>
      </c>
      <c r="H2" s="23" t="inlineStr">
        <is>
          <t>ON</t>
        </is>
      </c>
      <c r="I2" s="24" t="n">
        <v>580.1183283215253</v>
      </c>
      <c r="J2" s="24" t="n">
        <v>1533.568798690708</v>
      </c>
      <c r="K2" s="24" t="n">
        <v>1407.407407407407</v>
      </c>
      <c r="L2" s="24" t="n">
        <v>150</v>
      </c>
      <c r="M2" s="24">
        <f>I2+J2+K2+L2</f>
        <v/>
      </c>
      <c r="N2" s="24">
        <f>M2*Dashboard!$B$18/(Dashboard!$B$16/3.6)</f>
        <v/>
      </c>
      <c r="O2" s="24" t="n">
        <v>201.5662399084313</v>
      </c>
      <c r="P2" s="25" t="n">
        <v>0.5013778930875155</v>
      </c>
      <c r="Q2" s="26" t="n">
        <v>0.2</v>
      </c>
      <c r="R2" s="24" t="n">
        <v>303.8186140060055</v>
      </c>
      <c r="S2" s="24">
        <f>R2*IF(A2=4, 2.0, 3.0)</f>
        <v/>
      </c>
      <c r="T2" s="22">
        <f>8.0*U2</f>
        <v/>
      </c>
      <c r="U2" s="27">
        <f>MIN(1, S2/M2)</f>
        <v/>
      </c>
      <c r="V2" s="27">
        <f>N2/(N2+O2)</f>
        <v/>
      </c>
      <c r="W2" s="27">
        <f>U2*V2</f>
        <v/>
      </c>
      <c r="X2" s="25">
        <f>T2/N2</f>
        <v/>
      </c>
      <c r="Y2" s="28">
        <f>IF(X2=MAXIFS(X$2:X$721, A$2:A$721, A2, B$2:B$721, B2), "OPTIMAL", "")</f>
        <v/>
      </c>
    </row>
    <row r="3" ht="20" customHeight="1">
      <c r="A3" s="29" t="n">
        <v>4</v>
      </c>
      <c r="B3" s="29" t="n">
        <v>25</v>
      </c>
      <c r="C3" s="30" t="n">
        <v>80</v>
      </c>
      <c r="D3" s="30" t="n">
        <v>2</v>
      </c>
      <c r="E3" s="6" t="n">
        <v>0</v>
      </c>
      <c r="F3" s="30" t="n">
        <v>0</v>
      </c>
      <c r="G3" s="6" t="inlineStr">
        <is>
          <t>Oui</t>
        </is>
      </c>
      <c r="H3" s="6" t="inlineStr">
        <is>
          <t>OFF</t>
        </is>
      </c>
      <c r="I3" s="31" t="n">
        <v>580.1183283215253</v>
      </c>
      <c r="J3" s="31" t="n">
        <v>1533.568798690708</v>
      </c>
      <c r="K3" s="31" t="n">
        <v>1407.407407407407</v>
      </c>
      <c r="L3" s="31" t="n">
        <v>150</v>
      </c>
      <c r="M3" s="31">
        <f>I3+J3+K3+L3</f>
        <v/>
      </c>
      <c r="N3" s="31">
        <f>M3*Dashboard!$B$18/(Dashboard!$B$16/3.6)</f>
        <v/>
      </c>
      <c r="O3" s="31" t="n">
        <v>201.5662399084313</v>
      </c>
      <c r="P3" s="32" t="n">
        <v>0.8992652508172538</v>
      </c>
      <c r="Q3" s="33" t="n">
        <v>0.2</v>
      </c>
      <c r="R3" s="31" t="n">
        <v>169.3915520839533</v>
      </c>
      <c r="S3" s="31">
        <f>R3*IF(A3=4, 2.0, 3.0)</f>
        <v/>
      </c>
      <c r="T3" s="30">
        <f>8.0*U3</f>
        <v/>
      </c>
      <c r="U3" s="34">
        <f>MIN(1, S3/M3)</f>
        <v/>
      </c>
      <c r="V3" s="34">
        <f>N3/(N3+O3)</f>
        <v/>
      </c>
      <c r="W3" s="34">
        <f>U3*V3</f>
        <v/>
      </c>
      <c r="X3" s="32">
        <f>T3/N3</f>
        <v/>
      </c>
      <c r="Y3" s="35">
        <f>IF(X3=MAXIFS(X$2:X$721, A$2:A$721, A3, B$2:B$721, B3), "OPTIMAL", "")</f>
        <v/>
      </c>
    </row>
    <row r="4" ht="20" customHeight="1">
      <c r="A4" s="21" t="n">
        <v>4</v>
      </c>
      <c r="B4" s="21" t="n">
        <v>25</v>
      </c>
      <c r="C4" s="22" t="n">
        <v>80</v>
      </c>
      <c r="D4" s="22" t="n">
        <v>2</v>
      </c>
      <c r="E4" s="23" t="n">
        <v>0</v>
      </c>
      <c r="F4" s="22" t="n">
        <v>0</v>
      </c>
      <c r="G4" s="23" t="inlineStr">
        <is>
          <t>Non</t>
        </is>
      </c>
      <c r="H4" s="23" t="inlineStr">
        <is>
          <t>ON</t>
        </is>
      </c>
      <c r="I4" s="24" t="n">
        <v>580.1183283215253</v>
      </c>
      <c r="J4" s="24" t="n">
        <v>1533.568798690708</v>
      </c>
      <c r="K4" s="24" t="n">
        <v>1407.407407407407</v>
      </c>
      <c r="L4" s="24" t="n">
        <v>150</v>
      </c>
      <c r="M4" s="24">
        <f>I4+J4+K4+L4</f>
        <v/>
      </c>
      <c r="N4" s="24">
        <f>M4*Dashboard!$B$18/(Dashboard!$B$16/3.6)</f>
        <v/>
      </c>
      <c r="O4" s="24" t="n">
        <v>201.5662399084313</v>
      </c>
      <c r="P4" s="25" t="n">
        <v>0.4973990195102181</v>
      </c>
      <c r="Q4" s="26" t="n">
        <v>0.2</v>
      </c>
      <c r="R4" s="24" t="n">
        <v>306.248968325461</v>
      </c>
      <c r="S4" s="24">
        <f>R4*IF(A4=4, 2.0, 3.0)</f>
        <v/>
      </c>
      <c r="T4" s="22">
        <f>8.0*U4</f>
        <v/>
      </c>
      <c r="U4" s="27">
        <f>MIN(1, S4/M4)</f>
        <v/>
      </c>
      <c r="V4" s="27">
        <f>N4/(N4+O4)</f>
        <v/>
      </c>
      <c r="W4" s="27">
        <f>U4*V4</f>
        <v/>
      </c>
      <c r="X4" s="25">
        <f>T4/N4</f>
        <v/>
      </c>
      <c r="Y4" s="28">
        <f>IF(X4=MAXIFS(X$2:X$721, A$2:A$721, A4, B$2:B$721, B4), "OPTIMAL", "")</f>
        <v/>
      </c>
    </row>
    <row r="5" ht="20" customHeight="1">
      <c r="A5" s="29" t="n">
        <v>4</v>
      </c>
      <c r="B5" s="29" t="n">
        <v>25</v>
      </c>
      <c r="C5" s="30" t="n">
        <v>80</v>
      </c>
      <c r="D5" s="30" t="n">
        <v>2</v>
      </c>
      <c r="E5" s="6" t="n">
        <v>0</v>
      </c>
      <c r="F5" s="30" t="n">
        <v>0</v>
      </c>
      <c r="G5" s="6" t="inlineStr">
        <is>
          <t>Non</t>
        </is>
      </c>
      <c r="H5" s="6" t="inlineStr">
        <is>
          <t>OFF</t>
        </is>
      </c>
      <c r="I5" s="31" t="n">
        <v>580.1183283215253</v>
      </c>
      <c r="J5" s="31" t="n">
        <v>1533.568798690708</v>
      </c>
      <c r="K5" s="31" t="n">
        <v>1407.407407407407</v>
      </c>
      <c r="L5" s="31" t="n">
        <v>150</v>
      </c>
      <c r="M5" s="31">
        <f>I5+J5+K5+L5</f>
        <v/>
      </c>
      <c r="N5" s="31">
        <f>M5*Dashboard!$B$18/(Dashboard!$B$16/3.6)</f>
        <v/>
      </c>
      <c r="O5" s="31" t="n">
        <v>201.5662399084313</v>
      </c>
      <c r="P5" s="32" t="n">
        <v>0.8952863772399564</v>
      </c>
      <c r="Q5" s="33" t="n">
        <v>0.2</v>
      </c>
      <c r="R5" s="31" t="n">
        <v>170.1443699397125</v>
      </c>
      <c r="S5" s="31">
        <f>R5*IF(A5=4, 2.0, 3.0)</f>
        <v/>
      </c>
      <c r="T5" s="30">
        <f>8.0*U5</f>
        <v/>
      </c>
      <c r="U5" s="34">
        <f>MIN(1, S5/M5)</f>
        <v/>
      </c>
      <c r="V5" s="34">
        <f>N5/(N5+O5)</f>
        <v/>
      </c>
      <c r="W5" s="34">
        <f>U5*V5</f>
        <v/>
      </c>
      <c r="X5" s="32">
        <f>T5/N5</f>
        <v/>
      </c>
      <c r="Y5" s="35">
        <f>IF(X5=MAXIFS(X$2:X$721, A$2:A$721, A5, B$2:B$721, B5), "OPTIMAL", "")</f>
        <v/>
      </c>
    </row>
    <row r="6" ht="20" customHeight="1">
      <c r="A6" s="36" t="n">
        <v>4</v>
      </c>
      <c r="B6" s="36" t="n">
        <v>25</v>
      </c>
      <c r="C6" s="37" t="n">
        <v>80</v>
      </c>
      <c r="D6" s="37" t="n">
        <v>2</v>
      </c>
      <c r="E6" s="38" t="n">
        <v>4</v>
      </c>
      <c r="F6" s="37" t="n">
        <v>1.5</v>
      </c>
      <c r="G6" s="38" t="inlineStr">
        <is>
          <t>Oui</t>
        </is>
      </c>
      <c r="H6" s="38" t="inlineStr">
        <is>
          <t>ON</t>
        </is>
      </c>
      <c r="I6" s="39" t="n">
        <v>580.1183283215253</v>
      </c>
      <c r="J6" s="39" t="n">
        <v>1533.568798690708</v>
      </c>
      <c r="K6" s="39" t="n">
        <v>1407.407407407407</v>
      </c>
      <c r="L6" s="39" t="n">
        <v>150</v>
      </c>
      <c r="M6" s="39">
        <f>I6+J6+K6+L6</f>
        <v/>
      </c>
      <c r="N6" s="39">
        <f>M6*Dashboard!$B$18/(Dashboard!$B$16/3.6)</f>
        <v/>
      </c>
      <c r="O6" s="39" t="n">
        <v>326.7377186166691</v>
      </c>
      <c r="P6" s="40" t="n">
        <v>0.08231647342522849</v>
      </c>
      <c r="Q6" s="41" t="n">
        <v>8.434509224055622</v>
      </c>
      <c r="R6" s="39" t="n">
        <v>1928.037515968289</v>
      </c>
      <c r="S6" s="39">
        <f>R6*IF(A6=4, 2.0, 3.0)</f>
        <v/>
      </c>
      <c r="T6" s="37">
        <f>8.0*U6</f>
        <v/>
      </c>
      <c r="U6" s="42">
        <f>MIN(1, S6/M6)</f>
        <v/>
      </c>
      <c r="V6" s="42">
        <f>N6/(N6+O6)</f>
        <v/>
      </c>
      <c r="W6" s="42">
        <f>U6*V6</f>
        <v/>
      </c>
      <c r="X6" s="40">
        <f>T6/N6</f>
        <v/>
      </c>
      <c r="Y6" s="15">
        <f>IF(X6=MAXIFS(X$2:X$721, A$2:A$721, A6, B$2:B$721, B6), "OPTIMAL", "")</f>
        <v/>
      </c>
    </row>
    <row r="7" ht="20" customHeight="1">
      <c r="A7" s="29" t="n">
        <v>4</v>
      </c>
      <c r="B7" s="29" t="n">
        <v>25</v>
      </c>
      <c r="C7" s="30" t="n">
        <v>80</v>
      </c>
      <c r="D7" s="30" t="n">
        <v>2</v>
      </c>
      <c r="E7" s="6" t="n">
        <v>4</v>
      </c>
      <c r="F7" s="30" t="n">
        <v>1.5</v>
      </c>
      <c r="G7" s="6" t="inlineStr">
        <is>
          <t>Oui</t>
        </is>
      </c>
      <c r="H7" s="6" t="inlineStr">
        <is>
          <t>OFF</t>
        </is>
      </c>
      <c r="I7" s="31" t="n">
        <v>580.1183283215253</v>
      </c>
      <c r="J7" s="31" t="n">
        <v>1533.568798690708</v>
      </c>
      <c r="K7" s="31" t="n">
        <v>1407.407407407407</v>
      </c>
      <c r="L7" s="31" t="n">
        <v>150</v>
      </c>
      <c r="M7" s="31">
        <f>I7+J7+K7+L7</f>
        <v/>
      </c>
      <c r="N7" s="31">
        <f>M7*Dashboard!$B$18/(Dashboard!$B$16/3.6)</f>
        <v/>
      </c>
      <c r="O7" s="31" t="n">
        <v>326.7377186166691</v>
      </c>
      <c r="P7" s="32" t="n">
        <v>0.3560493820000729</v>
      </c>
      <c r="Q7" s="33" t="n">
        <v>8.434509224055622</v>
      </c>
      <c r="R7" s="31" t="n">
        <v>445.7506654119533</v>
      </c>
      <c r="S7" s="31">
        <f>R7*IF(A7=4, 2.0, 3.0)</f>
        <v/>
      </c>
      <c r="T7" s="30">
        <f>8.0*U7</f>
        <v/>
      </c>
      <c r="U7" s="34">
        <f>MIN(1, S7/M7)</f>
        <v/>
      </c>
      <c r="V7" s="34">
        <f>N7/(N7+O7)</f>
        <v/>
      </c>
      <c r="W7" s="34">
        <f>U7*V7</f>
        <v/>
      </c>
      <c r="X7" s="32">
        <f>T7/N7</f>
        <v/>
      </c>
      <c r="Y7" s="35">
        <f>IF(X7=MAXIFS(X$2:X$721, A$2:A$721, A7, B$2:B$721, B7), "OPTIMAL", "")</f>
        <v/>
      </c>
    </row>
    <row r="8" ht="20" customHeight="1">
      <c r="A8" s="36" t="n">
        <v>4</v>
      </c>
      <c r="B8" s="36" t="n">
        <v>25</v>
      </c>
      <c r="C8" s="37" t="n">
        <v>80</v>
      </c>
      <c r="D8" s="37" t="n">
        <v>2</v>
      </c>
      <c r="E8" s="38" t="n">
        <v>4</v>
      </c>
      <c r="F8" s="37" t="n">
        <v>1.5</v>
      </c>
      <c r="G8" s="38" t="inlineStr">
        <is>
          <t>Non</t>
        </is>
      </c>
      <c r="H8" s="38" t="inlineStr">
        <is>
          <t>ON</t>
        </is>
      </c>
      <c r="I8" s="39" t="n">
        <v>580.1183283215253</v>
      </c>
      <c r="J8" s="39" t="n">
        <v>1533.568798690708</v>
      </c>
      <c r="K8" s="39" t="n">
        <v>1407.407407407407</v>
      </c>
      <c r="L8" s="39" t="n">
        <v>150</v>
      </c>
      <c r="M8" s="39">
        <f>I8+J8+K8+L8</f>
        <v/>
      </c>
      <c r="N8" s="39">
        <f>M8*Dashboard!$B$18/(Dashboard!$B$16/3.6)</f>
        <v/>
      </c>
      <c r="O8" s="39" t="n">
        <v>326.7377186166691</v>
      </c>
      <c r="P8" s="40" t="n">
        <v>0.07833759984793112</v>
      </c>
      <c r="Q8" s="41" t="n">
        <v>8.434509224055622</v>
      </c>
      <c r="R8" s="39" t="n">
        <v>2025.965171949785</v>
      </c>
      <c r="S8" s="39">
        <f>R8*IF(A8=4, 2.0, 3.0)</f>
        <v/>
      </c>
      <c r="T8" s="37">
        <f>8.0*U8</f>
        <v/>
      </c>
      <c r="U8" s="42">
        <f>MIN(1, S8/M8)</f>
        <v/>
      </c>
      <c r="V8" s="42">
        <f>N8/(N8+O8)</f>
        <v/>
      </c>
      <c r="W8" s="42">
        <f>U8*V8</f>
        <v/>
      </c>
      <c r="X8" s="40">
        <f>T8/N8</f>
        <v/>
      </c>
      <c r="Y8" s="15">
        <f>IF(X8=MAXIFS(X$2:X$721, A$2:A$721, A8, B$2:B$721, B8), "OPTIMAL", "")</f>
        <v/>
      </c>
    </row>
    <row r="9" ht="20" customHeight="1">
      <c r="A9" s="29" t="n">
        <v>4</v>
      </c>
      <c r="B9" s="29" t="n">
        <v>25</v>
      </c>
      <c r="C9" s="30" t="n">
        <v>80</v>
      </c>
      <c r="D9" s="30" t="n">
        <v>2</v>
      </c>
      <c r="E9" s="6" t="n">
        <v>4</v>
      </c>
      <c r="F9" s="30" t="n">
        <v>1.5</v>
      </c>
      <c r="G9" s="6" t="inlineStr">
        <is>
          <t>Non</t>
        </is>
      </c>
      <c r="H9" s="6" t="inlineStr">
        <is>
          <t>OFF</t>
        </is>
      </c>
      <c r="I9" s="31" t="n">
        <v>580.1183283215253</v>
      </c>
      <c r="J9" s="31" t="n">
        <v>1533.568798690708</v>
      </c>
      <c r="K9" s="31" t="n">
        <v>1407.407407407407</v>
      </c>
      <c r="L9" s="31" t="n">
        <v>150</v>
      </c>
      <c r="M9" s="31">
        <f>I9+J9+K9+L9</f>
        <v/>
      </c>
      <c r="N9" s="31">
        <f>M9*Dashboard!$B$18/(Dashboard!$B$16/3.6)</f>
        <v/>
      </c>
      <c r="O9" s="31" t="n">
        <v>326.7377186166691</v>
      </c>
      <c r="P9" s="32" t="n">
        <v>0.3520705084227755</v>
      </c>
      <c r="Q9" s="33" t="n">
        <v>8.434509224055622</v>
      </c>
      <c r="R9" s="31" t="n">
        <v>450.7882516403931</v>
      </c>
      <c r="S9" s="31">
        <f>R9*IF(A9=4, 2.0, 3.0)</f>
        <v/>
      </c>
      <c r="T9" s="30">
        <f>8.0*U9</f>
        <v/>
      </c>
      <c r="U9" s="34">
        <f>MIN(1, S9/M9)</f>
        <v/>
      </c>
      <c r="V9" s="34">
        <f>N9/(N9+O9)</f>
        <v/>
      </c>
      <c r="W9" s="34">
        <f>U9*V9</f>
        <v/>
      </c>
      <c r="X9" s="32">
        <f>T9/N9</f>
        <v/>
      </c>
      <c r="Y9" s="35">
        <f>IF(X9=MAXIFS(X$2:X$721, A$2:A$721, A9, B$2:B$721, B9), "OPTIMAL", "")</f>
        <v/>
      </c>
    </row>
    <row r="10" ht="20" customHeight="1">
      <c r="A10" s="36" t="n">
        <v>4</v>
      </c>
      <c r="B10" s="36" t="n">
        <v>25</v>
      </c>
      <c r="C10" s="37" t="n">
        <v>80</v>
      </c>
      <c r="D10" s="37" t="n">
        <v>2</v>
      </c>
      <c r="E10" s="38" t="n">
        <v>4</v>
      </c>
      <c r="F10" s="37" t="n">
        <v>2</v>
      </c>
      <c r="G10" s="38" t="inlineStr">
        <is>
          <t>Oui</t>
        </is>
      </c>
      <c r="H10" s="38" t="inlineStr">
        <is>
          <t>ON</t>
        </is>
      </c>
      <c r="I10" s="39" t="n">
        <v>580.1183283215253</v>
      </c>
      <c r="J10" s="39" t="n">
        <v>1533.568798690708</v>
      </c>
      <c r="K10" s="39" t="n">
        <v>1407.407407407407</v>
      </c>
      <c r="L10" s="39" t="n">
        <v>150</v>
      </c>
      <c r="M10" s="39">
        <f>I10+J10+K10+L10</f>
        <v/>
      </c>
      <c r="N10" s="39">
        <f>M10*Dashboard!$B$18/(Dashboard!$B$16/3.6)</f>
        <v/>
      </c>
      <c r="O10" s="39" t="n">
        <v>370.8250716442166</v>
      </c>
      <c r="P10" s="40" t="n">
        <v>0.08027381372050572</v>
      </c>
      <c r="Q10" s="41" t="n">
        <v>11.17934563207416</v>
      </c>
      <c r="R10" s="39" t="n">
        <v>2005.097796354929</v>
      </c>
      <c r="S10" s="39">
        <f>R10*IF(A10=4, 2.0, 3.0)</f>
        <v/>
      </c>
      <c r="T10" s="37">
        <f>8.0*U10</f>
        <v/>
      </c>
      <c r="U10" s="42">
        <f>MIN(1, S10/M10)</f>
        <v/>
      </c>
      <c r="V10" s="42">
        <f>N10/(N10+O10)</f>
        <v/>
      </c>
      <c r="W10" s="42">
        <f>U10*V10</f>
        <v/>
      </c>
      <c r="X10" s="40">
        <f>T10/N10</f>
        <v/>
      </c>
      <c r="Y10" s="15">
        <f>IF(X10=MAXIFS(X$2:X$721, A$2:A$721, A10, B$2:B$721, B10), "OPTIMAL", "")</f>
        <v/>
      </c>
    </row>
    <row r="11" ht="20" customHeight="1">
      <c r="A11" s="29" t="n">
        <v>4</v>
      </c>
      <c r="B11" s="29" t="n">
        <v>25</v>
      </c>
      <c r="C11" s="30" t="n">
        <v>80</v>
      </c>
      <c r="D11" s="30" t="n">
        <v>2</v>
      </c>
      <c r="E11" s="6" t="n">
        <v>4</v>
      </c>
      <c r="F11" s="30" t="n">
        <v>2</v>
      </c>
      <c r="G11" s="6" t="inlineStr">
        <is>
          <t>Oui</t>
        </is>
      </c>
      <c r="H11" s="6" t="inlineStr">
        <is>
          <t>OFF</t>
        </is>
      </c>
      <c r="I11" s="31" t="n">
        <v>580.1183283215253</v>
      </c>
      <c r="J11" s="31" t="n">
        <v>1533.568798690708</v>
      </c>
      <c r="K11" s="31" t="n">
        <v>1407.407407407407</v>
      </c>
      <c r="L11" s="31" t="n">
        <v>150</v>
      </c>
      <c r="M11" s="31">
        <f>I11+J11+K11+L11</f>
        <v/>
      </c>
      <c r="N11" s="31">
        <f>M11*Dashboard!$B$18/(Dashboard!$B$16/3.6)</f>
        <v/>
      </c>
      <c r="O11" s="31" t="n">
        <v>370.8250716442166</v>
      </c>
      <c r="P11" s="32" t="n">
        <v>0.355510990994127</v>
      </c>
      <c r="Q11" s="33" t="n">
        <v>11.17934563207416</v>
      </c>
      <c r="R11" s="31" t="n">
        <v>452.7478786124254</v>
      </c>
      <c r="S11" s="31">
        <f>R11*IF(A11=4, 2.0, 3.0)</f>
        <v/>
      </c>
      <c r="T11" s="30">
        <f>8.0*U11</f>
        <v/>
      </c>
      <c r="U11" s="34">
        <f>MIN(1, S11/M11)</f>
        <v/>
      </c>
      <c r="V11" s="34">
        <f>N11/(N11+O11)</f>
        <v/>
      </c>
      <c r="W11" s="34">
        <f>U11*V11</f>
        <v/>
      </c>
      <c r="X11" s="32">
        <f>T11/N11</f>
        <v/>
      </c>
      <c r="Y11" s="35">
        <f>IF(X11=MAXIFS(X$2:X$721, A$2:A$721, A11, B$2:B$721, B11), "OPTIMAL", "")</f>
        <v/>
      </c>
    </row>
    <row r="12" ht="20" customHeight="1">
      <c r="A12" s="36" t="n">
        <v>4</v>
      </c>
      <c r="B12" s="36" t="n">
        <v>25</v>
      </c>
      <c r="C12" s="37" t="n">
        <v>80</v>
      </c>
      <c r="D12" s="37" t="n">
        <v>2</v>
      </c>
      <c r="E12" s="38" t="n">
        <v>4</v>
      </c>
      <c r="F12" s="37" t="n">
        <v>2</v>
      </c>
      <c r="G12" s="38" t="inlineStr">
        <is>
          <t>Non</t>
        </is>
      </c>
      <c r="H12" s="38" t="inlineStr">
        <is>
          <t>ON</t>
        </is>
      </c>
      <c r="I12" s="39" t="n">
        <v>580.1183283215253</v>
      </c>
      <c r="J12" s="39" t="n">
        <v>1533.568798690708</v>
      </c>
      <c r="K12" s="39" t="n">
        <v>1407.407407407407</v>
      </c>
      <c r="L12" s="39" t="n">
        <v>150</v>
      </c>
      <c r="M12" s="39">
        <f>I12+J12+K12+L12</f>
        <v/>
      </c>
      <c r="N12" s="39">
        <f>M12*Dashboard!$B$18/(Dashboard!$B$16/3.6)</f>
        <v/>
      </c>
      <c r="O12" s="39" t="n">
        <v>370.8250716442166</v>
      </c>
      <c r="P12" s="40" t="n">
        <v>0.07629494014320834</v>
      </c>
      <c r="Q12" s="41" t="n">
        <v>11.17934563207416</v>
      </c>
      <c r="R12" s="39" t="n">
        <v>2109.666076070973</v>
      </c>
      <c r="S12" s="39">
        <f>R12*IF(A12=4, 2.0, 3.0)</f>
        <v/>
      </c>
      <c r="T12" s="37">
        <f>8.0*U12</f>
        <v/>
      </c>
      <c r="U12" s="42">
        <f>MIN(1, S12/M12)</f>
        <v/>
      </c>
      <c r="V12" s="42">
        <f>N12/(N12+O12)</f>
        <v/>
      </c>
      <c r="W12" s="42">
        <f>U12*V12</f>
        <v/>
      </c>
      <c r="X12" s="40">
        <f>T12/N12</f>
        <v/>
      </c>
      <c r="Y12" s="15">
        <f>IF(X12=MAXIFS(X$2:X$721, A$2:A$721, A12, B$2:B$721, B12), "OPTIMAL", "")</f>
        <v/>
      </c>
    </row>
    <row r="13" ht="20" customHeight="1">
      <c r="A13" s="29" t="n">
        <v>4</v>
      </c>
      <c r="B13" s="29" t="n">
        <v>25</v>
      </c>
      <c r="C13" s="30" t="n">
        <v>80</v>
      </c>
      <c r="D13" s="30" t="n">
        <v>2</v>
      </c>
      <c r="E13" s="6" t="n">
        <v>4</v>
      </c>
      <c r="F13" s="30" t="n">
        <v>2</v>
      </c>
      <c r="G13" s="6" t="inlineStr">
        <is>
          <t>Non</t>
        </is>
      </c>
      <c r="H13" s="6" t="inlineStr">
        <is>
          <t>OFF</t>
        </is>
      </c>
      <c r="I13" s="31" t="n">
        <v>580.1183283215253</v>
      </c>
      <c r="J13" s="31" t="n">
        <v>1533.568798690708</v>
      </c>
      <c r="K13" s="31" t="n">
        <v>1407.407407407407</v>
      </c>
      <c r="L13" s="31" t="n">
        <v>150</v>
      </c>
      <c r="M13" s="31">
        <f>I13+J13+K13+L13</f>
        <v/>
      </c>
      <c r="N13" s="31">
        <f>M13*Dashboard!$B$18/(Dashboard!$B$16/3.6)</f>
        <v/>
      </c>
      <c r="O13" s="31" t="n">
        <v>370.8250716442166</v>
      </c>
      <c r="P13" s="32" t="n">
        <v>0.3515321174168297</v>
      </c>
      <c r="Q13" s="33" t="n">
        <v>11.17934563207416</v>
      </c>
      <c r="R13" s="31" t="n">
        <v>457.8723792828787</v>
      </c>
      <c r="S13" s="31">
        <f>R13*IF(A13=4, 2.0, 3.0)</f>
        <v/>
      </c>
      <c r="T13" s="30">
        <f>8.0*U13</f>
        <v/>
      </c>
      <c r="U13" s="34">
        <f>MIN(1, S13/M13)</f>
        <v/>
      </c>
      <c r="V13" s="34">
        <f>N13/(N13+O13)</f>
        <v/>
      </c>
      <c r="W13" s="34">
        <f>U13*V13</f>
        <v/>
      </c>
      <c r="X13" s="32">
        <f>T13/N13</f>
        <v/>
      </c>
      <c r="Y13" s="35">
        <f>IF(X13=MAXIFS(X$2:X$721, A$2:A$721, A13, B$2:B$721, B13), "OPTIMAL", "")</f>
        <v/>
      </c>
    </row>
    <row r="14" ht="20" customHeight="1">
      <c r="A14" s="36" t="n">
        <v>4</v>
      </c>
      <c r="B14" s="36" t="n">
        <v>25</v>
      </c>
      <c r="C14" s="37" t="n">
        <v>80</v>
      </c>
      <c r="D14" s="37" t="n">
        <v>2</v>
      </c>
      <c r="E14" s="38" t="n">
        <v>8</v>
      </c>
      <c r="F14" s="37" t="n">
        <v>1.5</v>
      </c>
      <c r="G14" s="38" t="inlineStr">
        <is>
          <t>Oui</t>
        </is>
      </c>
      <c r="H14" s="38" t="inlineStr">
        <is>
          <t>ON</t>
        </is>
      </c>
      <c r="I14" s="39" t="n">
        <v>580.1183283215253</v>
      </c>
      <c r="J14" s="39" t="n">
        <v>1533.568798690708</v>
      </c>
      <c r="K14" s="39" t="n">
        <v>1407.407407407407</v>
      </c>
      <c r="L14" s="39" t="n">
        <v>150</v>
      </c>
      <c r="M14" s="39">
        <f>I14+J14+K14+L14</f>
        <v/>
      </c>
      <c r="N14" s="39">
        <f>M14*Dashboard!$B$18/(Dashboard!$B$16/3.6)</f>
        <v/>
      </c>
      <c r="O14" s="39" t="n">
        <v>462.8550936136457</v>
      </c>
      <c r="P14" s="40" t="n">
        <v>0.06145178783543291</v>
      </c>
      <c r="Q14" s="41" t="n">
        <v>16.66901844811125</v>
      </c>
      <c r="R14" s="39" t="n">
        <v>2695.586167693657</v>
      </c>
      <c r="S14" s="39">
        <f>R14*IF(A14=4, 2.0, 3.0)</f>
        <v/>
      </c>
      <c r="T14" s="37">
        <f>8.0*U14</f>
        <v/>
      </c>
      <c r="U14" s="42">
        <f>MIN(1, S14/M14)</f>
        <v/>
      </c>
      <c r="V14" s="42">
        <f>N14/(N14+O14)</f>
        <v/>
      </c>
      <c r="W14" s="42">
        <f>U14*V14</f>
        <v/>
      </c>
      <c r="X14" s="40">
        <f>T14/N14</f>
        <v/>
      </c>
      <c r="Y14" s="15">
        <f>IF(X14=MAXIFS(X$2:X$721, A$2:A$721, A14, B$2:B$721, B14), "OPTIMAL", "")</f>
        <v/>
      </c>
    </row>
    <row r="15" ht="20" customHeight="1">
      <c r="A15" s="29" t="n">
        <v>4</v>
      </c>
      <c r="B15" s="29" t="n">
        <v>25</v>
      </c>
      <c r="C15" s="30" t="n">
        <v>80</v>
      </c>
      <c r="D15" s="30" t="n">
        <v>2</v>
      </c>
      <c r="E15" s="6" t="n">
        <v>8</v>
      </c>
      <c r="F15" s="30" t="n">
        <v>1.5</v>
      </c>
      <c r="G15" s="6" t="inlineStr">
        <is>
          <t>Oui</t>
        </is>
      </c>
      <c r="H15" s="6" t="inlineStr">
        <is>
          <t>OFF</t>
        </is>
      </c>
      <c r="I15" s="31" t="n">
        <v>580.1183283215253</v>
      </c>
      <c r="J15" s="31" t="n">
        <v>1533.568798690708</v>
      </c>
      <c r="K15" s="31" t="n">
        <v>1407.407407407407</v>
      </c>
      <c r="L15" s="31" t="n">
        <v>150</v>
      </c>
      <c r="M15" s="31">
        <f>I15+J15+K15+L15</f>
        <v/>
      </c>
      <c r="N15" s="31">
        <f>M15*Dashboard!$B$18/(Dashboard!$B$16/3.6)</f>
        <v/>
      </c>
      <c r="O15" s="31" t="n">
        <v>462.8550936136457</v>
      </c>
      <c r="P15" s="32" t="n">
        <v>0.2700829218988253</v>
      </c>
      <c r="Q15" s="33" t="n">
        <v>16.66901844811125</v>
      </c>
      <c r="R15" s="31" t="n">
        <v>613.3249303756098</v>
      </c>
      <c r="S15" s="31">
        <f>R15*IF(A15=4, 2.0, 3.0)</f>
        <v/>
      </c>
      <c r="T15" s="30">
        <f>8.0*U15</f>
        <v/>
      </c>
      <c r="U15" s="34">
        <f>MIN(1, S15/M15)</f>
        <v/>
      </c>
      <c r="V15" s="34">
        <f>N15/(N15+O15)</f>
        <v/>
      </c>
      <c r="W15" s="34">
        <f>U15*V15</f>
        <v/>
      </c>
      <c r="X15" s="32">
        <f>T15/N15</f>
        <v/>
      </c>
      <c r="Y15" s="35">
        <f>IF(X15=MAXIFS(X$2:X$721, A$2:A$721, A15, B$2:B$721, B15), "OPTIMAL", "")</f>
        <v/>
      </c>
    </row>
    <row r="16" ht="20" customHeight="1">
      <c r="A16" s="36" t="n">
        <v>4</v>
      </c>
      <c r="B16" s="36" t="n">
        <v>25</v>
      </c>
      <c r="C16" s="37" t="n">
        <v>80</v>
      </c>
      <c r="D16" s="37" t="n">
        <v>2</v>
      </c>
      <c r="E16" s="38" t="n">
        <v>8</v>
      </c>
      <c r="F16" s="37" t="n">
        <v>1.5</v>
      </c>
      <c r="G16" s="38" t="inlineStr">
        <is>
          <t>Non</t>
        </is>
      </c>
      <c r="H16" s="38" t="inlineStr">
        <is>
          <t>ON</t>
        </is>
      </c>
      <c r="I16" s="39" t="n">
        <v>580.1183283215253</v>
      </c>
      <c r="J16" s="39" t="n">
        <v>1533.568798690708</v>
      </c>
      <c r="K16" s="39" t="n">
        <v>1407.407407407407</v>
      </c>
      <c r="L16" s="39" t="n">
        <v>150</v>
      </c>
      <c r="M16" s="39">
        <f>I16+J16+K16+L16</f>
        <v/>
      </c>
      <c r="N16" s="39">
        <f>M16*Dashboard!$B$18/(Dashboard!$B$16/3.6)</f>
        <v/>
      </c>
      <c r="O16" s="39" t="n">
        <v>462.8550936136457</v>
      </c>
      <c r="P16" s="40" t="n">
        <v>0.05747291425813553</v>
      </c>
      <c r="Q16" s="41" t="n">
        <v>16.66901844811125</v>
      </c>
      <c r="R16" s="39" t="n">
        <v>2882.202710745436</v>
      </c>
      <c r="S16" s="39">
        <f>R16*IF(A16=4, 2.0, 3.0)</f>
        <v/>
      </c>
      <c r="T16" s="37">
        <f>8.0*U16</f>
        <v/>
      </c>
      <c r="U16" s="42">
        <f>MIN(1, S16/M16)</f>
        <v/>
      </c>
      <c r="V16" s="42">
        <f>N16/(N16+O16)</f>
        <v/>
      </c>
      <c r="W16" s="42">
        <f>U16*V16</f>
        <v/>
      </c>
      <c r="X16" s="40">
        <f>T16/N16</f>
        <v/>
      </c>
      <c r="Y16" s="15">
        <f>IF(X16=MAXIFS(X$2:X$721, A$2:A$721, A16, B$2:B$721, B16), "OPTIMAL", "")</f>
        <v/>
      </c>
    </row>
    <row r="17" ht="20" customHeight="1">
      <c r="A17" s="29" t="n">
        <v>4</v>
      </c>
      <c r="B17" s="29" t="n">
        <v>25</v>
      </c>
      <c r="C17" s="30" t="n">
        <v>80</v>
      </c>
      <c r="D17" s="30" t="n">
        <v>2</v>
      </c>
      <c r="E17" s="6" t="n">
        <v>8</v>
      </c>
      <c r="F17" s="30" t="n">
        <v>1.5</v>
      </c>
      <c r="G17" s="6" t="inlineStr">
        <is>
          <t>Non</t>
        </is>
      </c>
      <c r="H17" s="6" t="inlineStr">
        <is>
          <t>OFF</t>
        </is>
      </c>
      <c r="I17" s="31" t="n">
        <v>580.1183283215253</v>
      </c>
      <c r="J17" s="31" t="n">
        <v>1533.568798690708</v>
      </c>
      <c r="K17" s="31" t="n">
        <v>1407.407407407407</v>
      </c>
      <c r="L17" s="31" t="n">
        <v>150</v>
      </c>
      <c r="M17" s="31">
        <f>I17+J17+K17+L17</f>
        <v/>
      </c>
      <c r="N17" s="31">
        <f>M17*Dashboard!$B$18/(Dashboard!$B$16/3.6)</f>
        <v/>
      </c>
      <c r="O17" s="31" t="n">
        <v>462.8550936136457</v>
      </c>
      <c r="P17" s="32" t="n">
        <v>0.2661040483215279</v>
      </c>
      <c r="Q17" s="33" t="n">
        <v>16.66901844811125</v>
      </c>
      <c r="R17" s="31" t="n">
        <v>622.4955625969606</v>
      </c>
      <c r="S17" s="31">
        <f>R17*IF(A17=4, 2.0, 3.0)</f>
        <v/>
      </c>
      <c r="T17" s="30">
        <f>8.0*U17</f>
        <v/>
      </c>
      <c r="U17" s="34">
        <f>MIN(1, S17/M17)</f>
        <v/>
      </c>
      <c r="V17" s="34">
        <f>N17/(N17+O17)</f>
        <v/>
      </c>
      <c r="W17" s="34">
        <f>U17*V17</f>
        <v/>
      </c>
      <c r="X17" s="32">
        <f>T17/N17</f>
        <v/>
      </c>
      <c r="Y17" s="35">
        <f>IF(X17=MAXIFS(X$2:X$721, A$2:A$721, A17, B$2:B$721, B17), "OPTIMAL", "")</f>
        <v/>
      </c>
    </row>
    <row r="18" ht="20" customHeight="1">
      <c r="A18" s="36" t="n">
        <v>4</v>
      </c>
      <c r="B18" s="36" t="n">
        <v>25</v>
      </c>
      <c r="C18" s="37" t="n">
        <v>80</v>
      </c>
      <c r="D18" s="37" t="n">
        <v>2</v>
      </c>
      <c r="E18" s="38" t="n">
        <v>8</v>
      </c>
      <c r="F18" s="37" t="n">
        <v>2</v>
      </c>
      <c r="G18" s="38" t="inlineStr">
        <is>
          <t>Oui</t>
        </is>
      </c>
      <c r="H18" s="38" t="inlineStr">
        <is>
          <t>ON</t>
        </is>
      </c>
      <c r="I18" s="39" t="n">
        <v>580.1183283215253</v>
      </c>
      <c r="J18" s="39" t="n">
        <v>1533.568798690708</v>
      </c>
      <c r="K18" s="39" t="n">
        <v>1407.407407407407</v>
      </c>
      <c r="L18" s="39" t="n">
        <v>150</v>
      </c>
      <c r="M18" s="39">
        <f>I18+J18+K18+L18</f>
        <v/>
      </c>
      <c r="N18" s="39">
        <f>M18*Dashboard!$B$18/(Dashboard!$B$16/3.6)</f>
        <v/>
      </c>
      <c r="O18" s="39" t="n">
        <v>560.4113800072122</v>
      </c>
      <c r="P18" s="40" t="n">
        <v>0.06058998977604487</v>
      </c>
      <c r="Q18" s="41" t="n">
        <v>22.15869126414833</v>
      </c>
      <c r="R18" s="39" t="n">
        <v>2816.010767474817</v>
      </c>
      <c r="S18" s="39">
        <f>R18*IF(A18=4, 2.0, 3.0)</f>
        <v/>
      </c>
      <c r="T18" s="37">
        <f>8.0*U18</f>
        <v/>
      </c>
      <c r="U18" s="42">
        <f>MIN(1, S18/M18)</f>
        <v/>
      </c>
      <c r="V18" s="42">
        <f>N18/(N18+O18)</f>
        <v/>
      </c>
      <c r="W18" s="42">
        <f>U18*V18</f>
        <v/>
      </c>
      <c r="X18" s="40">
        <f>T18/N18</f>
        <v/>
      </c>
      <c r="Y18" s="15">
        <f>IF(X18=MAXIFS(X$2:X$721, A$2:A$721, A18, B$2:B$721, B18), "OPTIMAL", "")</f>
        <v/>
      </c>
    </row>
    <row r="19" ht="20" customHeight="1">
      <c r="A19" s="29" t="n">
        <v>4</v>
      </c>
      <c r="B19" s="29" t="n">
        <v>25</v>
      </c>
      <c r="C19" s="30" t="n">
        <v>80</v>
      </c>
      <c r="D19" s="30" t="n">
        <v>2</v>
      </c>
      <c r="E19" s="6" t="n">
        <v>8</v>
      </c>
      <c r="F19" s="30" t="n">
        <v>2</v>
      </c>
      <c r="G19" s="6" t="inlineStr">
        <is>
          <t>Oui</t>
        </is>
      </c>
      <c r="H19" s="6" t="inlineStr">
        <is>
          <t>OFF</t>
        </is>
      </c>
      <c r="I19" s="31" t="n">
        <v>580.1183283215253</v>
      </c>
      <c r="J19" s="31" t="n">
        <v>1533.568798690708</v>
      </c>
      <c r="K19" s="31" t="n">
        <v>1407.407407407407</v>
      </c>
      <c r="L19" s="31" t="n">
        <v>150</v>
      </c>
      <c r="M19" s="31">
        <f>I19+J19+K19+L19</f>
        <v/>
      </c>
      <c r="N19" s="31">
        <f>M19*Dashboard!$B$18/(Dashboard!$B$16/3.6)</f>
        <v/>
      </c>
      <c r="O19" s="31" t="n">
        <v>560.4113800072122</v>
      </c>
      <c r="P19" s="32" t="n">
        <v>0.2709744149858122</v>
      </c>
      <c r="Q19" s="33" t="n">
        <v>22.15869126414833</v>
      </c>
      <c r="R19" s="31" t="n">
        <v>629.6611568271675</v>
      </c>
      <c r="S19" s="31">
        <f>R19*IF(A19=4, 2.0, 3.0)</f>
        <v/>
      </c>
      <c r="T19" s="30">
        <f>8.0*U19</f>
        <v/>
      </c>
      <c r="U19" s="34">
        <f>MIN(1, S19/M19)</f>
        <v/>
      </c>
      <c r="V19" s="34">
        <f>N19/(N19+O19)</f>
        <v/>
      </c>
      <c r="W19" s="34">
        <f>U19*V19</f>
        <v/>
      </c>
      <c r="X19" s="32">
        <f>T19/N19</f>
        <v/>
      </c>
      <c r="Y19" s="35">
        <f>IF(X19=MAXIFS(X$2:X$721, A$2:A$721, A19, B$2:B$721, B19), "OPTIMAL", "")</f>
        <v/>
      </c>
    </row>
    <row r="20" ht="20" customHeight="1">
      <c r="A20" s="36" t="n">
        <v>4</v>
      </c>
      <c r="B20" s="36" t="n">
        <v>25</v>
      </c>
      <c r="C20" s="37" t="n">
        <v>80</v>
      </c>
      <c r="D20" s="37" t="n">
        <v>2</v>
      </c>
      <c r="E20" s="38" t="n">
        <v>8</v>
      </c>
      <c r="F20" s="37" t="n">
        <v>2</v>
      </c>
      <c r="G20" s="38" t="inlineStr">
        <is>
          <t>Non</t>
        </is>
      </c>
      <c r="H20" s="38" t="inlineStr">
        <is>
          <t>ON</t>
        </is>
      </c>
      <c r="I20" s="39" t="n">
        <v>580.1183283215253</v>
      </c>
      <c r="J20" s="39" t="n">
        <v>1533.568798690708</v>
      </c>
      <c r="K20" s="39" t="n">
        <v>1407.407407407407</v>
      </c>
      <c r="L20" s="39" t="n">
        <v>150</v>
      </c>
      <c r="M20" s="39">
        <f>I20+J20+K20+L20</f>
        <v/>
      </c>
      <c r="N20" s="39">
        <f>M20*Dashboard!$B$18/(Dashboard!$B$16/3.6)</f>
        <v/>
      </c>
      <c r="O20" s="39" t="n">
        <v>560.4113800072122</v>
      </c>
      <c r="P20" s="40" t="n">
        <v>0.05661111619874749</v>
      </c>
      <c r="Q20" s="41" t="n">
        <v>22.15869126414833</v>
      </c>
      <c r="R20" s="39" t="n">
        <v>3013.932157979716</v>
      </c>
      <c r="S20" s="39">
        <f>R20*IF(A20=4, 2.0, 3.0)</f>
        <v/>
      </c>
      <c r="T20" s="37">
        <f>8.0*U20</f>
        <v/>
      </c>
      <c r="U20" s="42">
        <f>MIN(1, S20/M20)</f>
        <v/>
      </c>
      <c r="V20" s="42">
        <f>N20/(N20+O20)</f>
        <v/>
      </c>
      <c r="W20" s="42">
        <f>U20*V20</f>
        <v/>
      </c>
      <c r="X20" s="40">
        <f>T20/N20</f>
        <v/>
      </c>
      <c r="Y20" s="15">
        <f>IF(X20=MAXIFS(X$2:X$721, A$2:A$721, A20, B$2:B$721, B20), "OPTIMAL", "")</f>
        <v/>
      </c>
    </row>
    <row r="21" ht="20" customHeight="1">
      <c r="A21" s="29" t="n">
        <v>4</v>
      </c>
      <c r="B21" s="29" t="n">
        <v>25</v>
      </c>
      <c r="C21" s="30" t="n">
        <v>80</v>
      </c>
      <c r="D21" s="30" t="n">
        <v>2</v>
      </c>
      <c r="E21" s="6" t="n">
        <v>8</v>
      </c>
      <c r="F21" s="30" t="n">
        <v>2</v>
      </c>
      <c r="G21" s="6" t="inlineStr">
        <is>
          <t>Non</t>
        </is>
      </c>
      <c r="H21" s="6" t="inlineStr">
        <is>
          <t>OFF</t>
        </is>
      </c>
      <c r="I21" s="31" t="n">
        <v>580.1183283215253</v>
      </c>
      <c r="J21" s="31" t="n">
        <v>1533.568798690708</v>
      </c>
      <c r="K21" s="31" t="n">
        <v>1407.407407407407</v>
      </c>
      <c r="L21" s="31" t="n">
        <v>150</v>
      </c>
      <c r="M21" s="31">
        <f>I21+J21+K21+L21</f>
        <v/>
      </c>
      <c r="N21" s="31">
        <f>M21*Dashboard!$B$18/(Dashboard!$B$16/3.6)</f>
        <v/>
      </c>
      <c r="O21" s="31" t="n">
        <v>560.4113800072122</v>
      </c>
      <c r="P21" s="32" t="n">
        <v>0.2669955414085148</v>
      </c>
      <c r="Q21" s="33" t="n">
        <v>22.15869126414833</v>
      </c>
      <c r="R21" s="31" t="n">
        <v>639.0446174135629</v>
      </c>
      <c r="S21" s="31">
        <f>R21*IF(A21=4, 2.0, 3.0)</f>
        <v/>
      </c>
      <c r="T21" s="30">
        <f>8.0*U21</f>
        <v/>
      </c>
      <c r="U21" s="34">
        <f>MIN(1, S21/M21)</f>
        <v/>
      </c>
      <c r="V21" s="34">
        <f>N21/(N21+O21)</f>
        <v/>
      </c>
      <c r="W21" s="34">
        <f>U21*V21</f>
        <v/>
      </c>
      <c r="X21" s="32">
        <f>T21/N21</f>
        <v/>
      </c>
      <c r="Y21" s="35">
        <f>IF(X21=MAXIFS(X$2:X$721, A$2:A$721, A21, B$2:B$721, B21), "OPTIMAL", "")</f>
        <v/>
      </c>
    </row>
    <row r="22" ht="20" customHeight="1">
      <c r="A22" s="21" t="n">
        <v>4</v>
      </c>
      <c r="B22" s="21" t="n">
        <v>25</v>
      </c>
      <c r="C22" s="22" t="n">
        <v>80</v>
      </c>
      <c r="D22" s="22" t="n">
        <v>3</v>
      </c>
      <c r="E22" s="23" t="n">
        <v>0</v>
      </c>
      <c r="F22" s="22" t="n">
        <v>0</v>
      </c>
      <c r="G22" s="23" t="inlineStr">
        <is>
          <t>Oui</t>
        </is>
      </c>
      <c r="H22" s="23" t="inlineStr">
        <is>
          <t>ON</t>
        </is>
      </c>
      <c r="I22" s="24" t="n">
        <v>580.1183283215253</v>
      </c>
      <c r="J22" s="24" t="n">
        <v>1533.568798690708</v>
      </c>
      <c r="K22" s="24" t="n">
        <v>1407.407407407407</v>
      </c>
      <c r="L22" s="24" t="n">
        <v>150</v>
      </c>
      <c r="M22" s="24">
        <f>I22+J22+K22+L22</f>
        <v/>
      </c>
      <c r="N22" s="24">
        <f>M22*Dashboard!$B$18/(Dashboard!$B$16/3.6)</f>
        <v/>
      </c>
      <c r="O22" s="24" t="n">
        <v>314.824789050664</v>
      </c>
      <c r="P22" s="25" t="n">
        <v>0.5013985973965238</v>
      </c>
      <c r="Q22" s="26" t="n">
        <v>0.2</v>
      </c>
      <c r="R22" s="24" t="n">
        <v>320.4499362707005</v>
      </c>
      <c r="S22" s="24">
        <f>R22*IF(A22=4, 2.0, 3.0)</f>
        <v/>
      </c>
      <c r="T22" s="22">
        <f>8.0*U22</f>
        <v/>
      </c>
      <c r="U22" s="27">
        <f>MIN(1, S22/M22)</f>
        <v/>
      </c>
      <c r="V22" s="27">
        <f>N22/(N22+O22)</f>
        <v/>
      </c>
      <c r="W22" s="27">
        <f>U22*V22</f>
        <v/>
      </c>
      <c r="X22" s="25">
        <f>T22/N22</f>
        <v/>
      </c>
      <c r="Y22" s="28">
        <f>IF(X22=MAXIFS(X$2:X$721, A$2:A$721, A22, B$2:B$721, B22), "OPTIMAL", "")</f>
        <v/>
      </c>
    </row>
    <row r="23" ht="20" customHeight="1">
      <c r="A23" s="29" t="n">
        <v>4</v>
      </c>
      <c r="B23" s="29" t="n">
        <v>25</v>
      </c>
      <c r="C23" s="30" t="n">
        <v>80</v>
      </c>
      <c r="D23" s="30" t="n">
        <v>3</v>
      </c>
      <c r="E23" s="6" t="n">
        <v>0</v>
      </c>
      <c r="F23" s="30" t="n">
        <v>0</v>
      </c>
      <c r="G23" s="6" t="inlineStr">
        <is>
          <t>Oui</t>
        </is>
      </c>
      <c r="H23" s="6" t="inlineStr">
        <is>
          <t>OFF</t>
        </is>
      </c>
      <c r="I23" s="31" t="n">
        <v>580.1183283215253</v>
      </c>
      <c r="J23" s="31" t="n">
        <v>1533.568798690708</v>
      </c>
      <c r="K23" s="31" t="n">
        <v>1407.407407407407</v>
      </c>
      <c r="L23" s="31" t="n">
        <v>150</v>
      </c>
      <c r="M23" s="31">
        <f>I23+J23+K23+L23</f>
        <v/>
      </c>
      <c r="N23" s="31">
        <f>M23*Dashboard!$B$18/(Dashboard!$B$16/3.6)</f>
        <v/>
      </c>
      <c r="O23" s="31" t="n">
        <v>314.824789050664</v>
      </c>
      <c r="P23" s="32" t="n">
        <v>0.8992859551262622</v>
      </c>
      <c r="Q23" s="33" t="n">
        <v>0.2</v>
      </c>
      <c r="R23" s="31" t="n">
        <v>178.6674724163525</v>
      </c>
      <c r="S23" s="31">
        <f>R23*IF(A23=4, 2.0, 3.0)</f>
        <v/>
      </c>
      <c r="T23" s="30">
        <f>8.0*U23</f>
        <v/>
      </c>
      <c r="U23" s="34">
        <f>MIN(1, S23/M23)</f>
        <v/>
      </c>
      <c r="V23" s="34">
        <f>N23/(N23+O23)</f>
        <v/>
      </c>
      <c r="W23" s="34">
        <f>U23*V23</f>
        <v/>
      </c>
      <c r="X23" s="32">
        <f>T23/N23</f>
        <v/>
      </c>
      <c r="Y23" s="35">
        <f>IF(X23=MAXIFS(X$2:X$721, A$2:A$721, A23, B$2:B$721, B23), "OPTIMAL", "")</f>
        <v/>
      </c>
    </row>
    <row r="24" ht="20" customHeight="1">
      <c r="A24" s="21" t="n">
        <v>4</v>
      </c>
      <c r="B24" s="21" t="n">
        <v>25</v>
      </c>
      <c r="C24" s="22" t="n">
        <v>80</v>
      </c>
      <c r="D24" s="22" t="n">
        <v>3</v>
      </c>
      <c r="E24" s="23" t="n">
        <v>0</v>
      </c>
      <c r="F24" s="22" t="n">
        <v>0</v>
      </c>
      <c r="G24" s="23" t="inlineStr">
        <is>
          <t>Non</t>
        </is>
      </c>
      <c r="H24" s="23" t="inlineStr">
        <is>
          <t>ON</t>
        </is>
      </c>
      <c r="I24" s="24" t="n">
        <v>580.1183283215253</v>
      </c>
      <c r="J24" s="24" t="n">
        <v>1533.568798690708</v>
      </c>
      <c r="K24" s="24" t="n">
        <v>1407.407407407407</v>
      </c>
      <c r="L24" s="24" t="n">
        <v>150</v>
      </c>
      <c r="M24" s="24">
        <f>I24+J24+K24+L24</f>
        <v/>
      </c>
      <c r="N24" s="24">
        <f>M24*Dashboard!$B$18/(Dashboard!$B$16/3.6)</f>
        <v/>
      </c>
      <c r="O24" s="24" t="n">
        <v>314.824789050664</v>
      </c>
      <c r="P24" s="25" t="n">
        <v>0.4974197238192265</v>
      </c>
      <c r="Q24" s="26" t="n">
        <v>0.2</v>
      </c>
      <c r="R24" s="24" t="n">
        <v>323.0132238188586</v>
      </c>
      <c r="S24" s="24">
        <f>R24*IF(A24=4, 2.0, 3.0)</f>
        <v/>
      </c>
      <c r="T24" s="22">
        <f>8.0*U24</f>
        <v/>
      </c>
      <c r="U24" s="27">
        <f>MIN(1, S24/M24)</f>
        <v/>
      </c>
      <c r="V24" s="27">
        <f>N24/(N24+O24)</f>
        <v/>
      </c>
      <c r="W24" s="27">
        <f>U24*V24</f>
        <v/>
      </c>
      <c r="X24" s="25">
        <f>T24/N24</f>
        <v/>
      </c>
      <c r="Y24" s="28">
        <f>IF(X24=MAXIFS(X$2:X$721, A$2:A$721, A24, B$2:B$721, B24), "OPTIMAL", "")</f>
        <v/>
      </c>
    </row>
    <row r="25" ht="20" customHeight="1">
      <c r="A25" s="29" t="n">
        <v>4</v>
      </c>
      <c r="B25" s="29" t="n">
        <v>25</v>
      </c>
      <c r="C25" s="30" t="n">
        <v>80</v>
      </c>
      <c r="D25" s="30" t="n">
        <v>3</v>
      </c>
      <c r="E25" s="6" t="n">
        <v>0</v>
      </c>
      <c r="F25" s="30" t="n">
        <v>0</v>
      </c>
      <c r="G25" s="6" t="inlineStr">
        <is>
          <t>Non</t>
        </is>
      </c>
      <c r="H25" s="6" t="inlineStr">
        <is>
          <t>OFF</t>
        </is>
      </c>
      <c r="I25" s="31" t="n">
        <v>580.1183283215253</v>
      </c>
      <c r="J25" s="31" t="n">
        <v>1533.568798690708</v>
      </c>
      <c r="K25" s="31" t="n">
        <v>1407.407407407407</v>
      </c>
      <c r="L25" s="31" t="n">
        <v>150</v>
      </c>
      <c r="M25" s="31">
        <f>I25+J25+K25+L25</f>
        <v/>
      </c>
      <c r="N25" s="31">
        <f>M25*Dashboard!$B$18/(Dashboard!$B$16/3.6)</f>
        <v/>
      </c>
      <c r="O25" s="31" t="n">
        <v>314.824789050664</v>
      </c>
      <c r="P25" s="32" t="n">
        <v>0.8953070815489648</v>
      </c>
      <c r="Q25" s="33" t="n">
        <v>0.2</v>
      </c>
      <c r="R25" s="31" t="n">
        <v>179.4614963884293</v>
      </c>
      <c r="S25" s="31">
        <f>R25*IF(A25=4, 2.0, 3.0)</f>
        <v/>
      </c>
      <c r="T25" s="30">
        <f>8.0*U25</f>
        <v/>
      </c>
      <c r="U25" s="34">
        <f>MIN(1, S25/M25)</f>
        <v/>
      </c>
      <c r="V25" s="34">
        <f>N25/(N25+O25)</f>
        <v/>
      </c>
      <c r="W25" s="34">
        <f>U25*V25</f>
        <v/>
      </c>
      <c r="X25" s="32">
        <f>T25/N25</f>
        <v/>
      </c>
      <c r="Y25" s="35">
        <f>IF(X25=MAXIFS(X$2:X$721, A$2:A$721, A25, B$2:B$721, B25), "OPTIMAL", "")</f>
        <v/>
      </c>
    </row>
    <row r="26" ht="20" customHeight="1">
      <c r="A26" s="36" t="n">
        <v>4</v>
      </c>
      <c r="B26" s="36" t="n">
        <v>25</v>
      </c>
      <c r="C26" s="37" t="n">
        <v>80</v>
      </c>
      <c r="D26" s="37" t="n">
        <v>3</v>
      </c>
      <c r="E26" s="38" t="n">
        <v>4</v>
      </c>
      <c r="F26" s="37" t="n">
        <v>1.5</v>
      </c>
      <c r="G26" s="38" t="inlineStr">
        <is>
          <t>Oui</t>
        </is>
      </c>
      <c r="H26" s="38" t="inlineStr">
        <is>
          <t>ON</t>
        </is>
      </c>
      <c r="I26" s="39" t="n">
        <v>580.1183283215253</v>
      </c>
      <c r="J26" s="39" t="n">
        <v>1533.568798690708</v>
      </c>
      <c r="K26" s="39" t="n">
        <v>1407.407407407407</v>
      </c>
      <c r="L26" s="39" t="n">
        <v>150</v>
      </c>
      <c r="M26" s="39">
        <f>I26+J26+K26+L26</f>
        <v/>
      </c>
      <c r="N26" s="39">
        <f>M26*Dashboard!$B$18/(Dashboard!$B$16/3.6)</f>
        <v/>
      </c>
      <c r="O26" s="39" t="n">
        <v>449.4750916414237</v>
      </c>
      <c r="P26" s="40" t="n">
        <v>0.08209463084427607</v>
      </c>
      <c r="Q26" s="41" t="n">
        <v>8.657063527408475</v>
      </c>
      <c r="R26" s="39" t="n">
        <v>2041.471025301794</v>
      </c>
      <c r="S26" s="39">
        <f>R26*IF(A26=4, 2.0, 3.0)</f>
        <v/>
      </c>
      <c r="T26" s="37">
        <f>8.0*U26</f>
        <v/>
      </c>
      <c r="U26" s="42">
        <f>MIN(1, S26/M26)</f>
        <v/>
      </c>
      <c r="V26" s="42">
        <f>N26/(N26+O26)</f>
        <v/>
      </c>
      <c r="W26" s="42">
        <f>U26*V26</f>
        <v/>
      </c>
      <c r="X26" s="40">
        <f>T26/N26</f>
        <v/>
      </c>
      <c r="Y26" s="15">
        <f>IF(X26=MAXIFS(X$2:X$721, A$2:A$721, A26, B$2:B$721, B26), "OPTIMAL", "")</f>
        <v/>
      </c>
    </row>
    <row r="27" ht="20" customHeight="1">
      <c r="A27" s="29" t="n">
        <v>4</v>
      </c>
      <c r="B27" s="29" t="n">
        <v>25</v>
      </c>
      <c r="C27" s="30" t="n">
        <v>80</v>
      </c>
      <c r="D27" s="30" t="n">
        <v>3</v>
      </c>
      <c r="E27" s="6" t="n">
        <v>4</v>
      </c>
      <c r="F27" s="30" t="n">
        <v>1.5</v>
      </c>
      <c r="G27" s="6" t="inlineStr">
        <is>
          <t>Oui</t>
        </is>
      </c>
      <c r="H27" s="6" t="inlineStr">
        <is>
          <t>OFF</t>
        </is>
      </c>
      <c r="I27" s="31" t="n">
        <v>580.1183283215253</v>
      </c>
      <c r="J27" s="31" t="n">
        <v>1533.568798690708</v>
      </c>
      <c r="K27" s="31" t="n">
        <v>1407.407407407407</v>
      </c>
      <c r="L27" s="31" t="n">
        <v>150</v>
      </c>
      <c r="M27" s="31">
        <f>I27+J27+K27+L27</f>
        <v/>
      </c>
      <c r="N27" s="31">
        <f>M27*Dashboard!$B$18/(Dashboard!$B$16/3.6)</f>
        <v/>
      </c>
      <c r="O27" s="31" t="n">
        <v>449.4750916414237</v>
      </c>
      <c r="P27" s="32" t="n">
        <v>0.3558275394191204</v>
      </c>
      <c r="Q27" s="33" t="n">
        <v>8.657063527408475</v>
      </c>
      <c r="R27" s="31" t="n">
        <v>470.9972996329325</v>
      </c>
      <c r="S27" s="31">
        <f>R27*IF(A27=4, 2.0, 3.0)</f>
        <v/>
      </c>
      <c r="T27" s="30">
        <f>8.0*U27</f>
        <v/>
      </c>
      <c r="U27" s="34">
        <f>MIN(1, S27/M27)</f>
        <v/>
      </c>
      <c r="V27" s="34">
        <f>N27/(N27+O27)</f>
        <v/>
      </c>
      <c r="W27" s="34">
        <f>U27*V27</f>
        <v/>
      </c>
      <c r="X27" s="32">
        <f>T27/N27</f>
        <v/>
      </c>
      <c r="Y27" s="35">
        <f>IF(X27=MAXIFS(X$2:X$721, A$2:A$721, A27, B$2:B$721, B27), "OPTIMAL", "")</f>
        <v/>
      </c>
    </row>
    <row r="28" ht="20" customHeight="1">
      <c r="A28" s="36" t="n">
        <v>4</v>
      </c>
      <c r="B28" s="36" t="n">
        <v>25</v>
      </c>
      <c r="C28" s="37" t="n">
        <v>80</v>
      </c>
      <c r="D28" s="37" t="n">
        <v>3</v>
      </c>
      <c r="E28" s="38" t="n">
        <v>4</v>
      </c>
      <c r="F28" s="37" t="n">
        <v>1.5</v>
      </c>
      <c r="G28" s="38" t="inlineStr">
        <is>
          <t>Non</t>
        </is>
      </c>
      <c r="H28" s="38" t="inlineStr">
        <is>
          <t>ON</t>
        </is>
      </c>
      <c r="I28" s="39" t="n">
        <v>580.1183283215253</v>
      </c>
      <c r="J28" s="39" t="n">
        <v>1533.568798690708</v>
      </c>
      <c r="K28" s="39" t="n">
        <v>1407.407407407407</v>
      </c>
      <c r="L28" s="39" t="n">
        <v>150</v>
      </c>
      <c r="M28" s="39">
        <f>I28+J28+K28+L28</f>
        <v/>
      </c>
      <c r="N28" s="39">
        <f>M28*Dashboard!$B$18/(Dashboard!$B$16/3.6)</f>
        <v/>
      </c>
      <c r="O28" s="39" t="n">
        <v>449.4750916414237</v>
      </c>
      <c r="P28" s="40" t="n">
        <v>0.07811575726697868</v>
      </c>
      <c r="Q28" s="41" t="n">
        <v>8.657063527408475</v>
      </c>
      <c r="R28" s="39" t="n">
        <v>2145.454592837728</v>
      </c>
      <c r="S28" s="39">
        <f>R28*IF(A28=4, 2.0, 3.0)</f>
        <v/>
      </c>
      <c r="T28" s="37">
        <f>8.0*U28</f>
        <v/>
      </c>
      <c r="U28" s="42">
        <f>MIN(1, S28/M28)</f>
        <v/>
      </c>
      <c r="V28" s="42">
        <f>N28/(N28+O28)</f>
        <v/>
      </c>
      <c r="W28" s="42">
        <f>U28*V28</f>
        <v/>
      </c>
      <c r="X28" s="40">
        <f>T28/N28</f>
        <v/>
      </c>
      <c r="Y28" s="15">
        <f>IF(X28=MAXIFS(X$2:X$721, A$2:A$721, A28, B$2:B$721, B28), "OPTIMAL", "")</f>
        <v/>
      </c>
    </row>
    <row r="29" ht="20" customHeight="1">
      <c r="A29" s="29" t="n">
        <v>4</v>
      </c>
      <c r="B29" s="29" t="n">
        <v>25</v>
      </c>
      <c r="C29" s="30" t="n">
        <v>80</v>
      </c>
      <c r="D29" s="30" t="n">
        <v>3</v>
      </c>
      <c r="E29" s="6" t="n">
        <v>4</v>
      </c>
      <c r="F29" s="30" t="n">
        <v>1.5</v>
      </c>
      <c r="G29" s="6" t="inlineStr">
        <is>
          <t>Non</t>
        </is>
      </c>
      <c r="H29" s="6" t="inlineStr">
        <is>
          <t>OFF</t>
        </is>
      </c>
      <c r="I29" s="31" t="n">
        <v>580.1183283215253</v>
      </c>
      <c r="J29" s="31" t="n">
        <v>1533.568798690708</v>
      </c>
      <c r="K29" s="31" t="n">
        <v>1407.407407407407</v>
      </c>
      <c r="L29" s="31" t="n">
        <v>150</v>
      </c>
      <c r="M29" s="31">
        <f>I29+J29+K29+L29</f>
        <v/>
      </c>
      <c r="N29" s="31">
        <f>M29*Dashboard!$B$18/(Dashboard!$B$16/3.6)</f>
        <v/>
      </c>
      <c r="O29" s="31" t="n">
        <v>449.4750916414237</v>
      </c>
      <c r="P29" s="32" t="n">
        <v>0.3518486658418231</v>
      </c>
      <c r="Q29" s="33" t="n">
        <v>8.657063527408475</v>
      </c>
      <c r="R29" s="31" t="n">
        <v>476.3235631445594</v>
      </c>
      <c r="S29" s="31">
        <f>R29*IF(A29=4, 2.0, 3.0)</f>
        <v/>
      </c>
      <c r="T29" s="30">
        <f>8.0*U29</f>
        <v/>
      </c>
      <c r="U29" s="34">
        <f>MIN(1, S29/M29)</f>
        <v/>
      </c>
      <c r="V29" s="34">
        <f>N29/(N29+O29)</f>
        <v/>
      </c>
      <c r="W29" s="34">
        <f>U29*V29</f>
        <v/>
      </c>
      <c r="X29" s="32">
        <f>T29/N29</f>
        <v/>
      </c>
      <c r="Y29" s="35">
        <f>IF(X29=MAXIFS(X$2:X$721, A$2:A$721, A29, B$2:B$721, B29), "OPTIMAL", "")</f>
        <v/>
      </c>
    </row>
    <row r="30" ht="20" customHeight="1">
      <c r="A30" s="36" t="n">
        <v>4</v>
      </c>
      <c r="B30" s="36" t="n">
        <v>25</v>
      </c>
      <c r="C30" s="37" t="n">
        <v>80</v>
      </c>
      <c r="D30" s="37" t="n">
        <v>3</v>
      </c>
      <c r="E30" s="38" t="n">
        <v>4</v>
      </c>
      <c r="F30" s="37" t="n">
        <v>2</v>
      </c>
      <c r="G30" s="38" t="inlineStr">
        <is>
          <t>Oui</t>
        </is>
      </c>
      <c r="H30" s="38" t="inlineStr">
        <is>
          <t>ON</t>
        </is>
      </c>
      <c r="I30" s="39" t="n">
        <v>580.1183283215253</v>
      </c>
      <c r="J30" s="39" t="n">
        <v>1533.568798690708</v>
      </c>
      <c r="K30" s="39" t="n">
        <v>1407.407407407407</v>
      </c>
      <c r="L30" s="39" t="n">
        <v>150</v>
      </c>
      <c r="M30" s="39">
        <f>I30+J30+K30+L30</f>
        <v/>
      </c>
      <c r="N30" s="39">
        <f>M30*Dashboard!$B$18/(Dashboard!$B$16/3.6)</f>
        <v/>
      </c>
      <c r="O30" s="39" t="n">
        <v>496.9737550982482</v>
      </c>
      <c r="P30" s="40" t="n">
        <v>0.08011046001180847</v>
      </c>
      <c r="Q30" s="41" t="n">
        <v>11.4760847032113</v>
      </c>
      <c r="R30" s="39" t="n">
        <v>2122.508260449074</v>
      </c>
      <c r="S30" s="39">
        <f>R30*IF(A30=4, 2.0, 3.0)</f>
        <v/>
      </c>
      <c r="T30" s="37">
        <f>8.0*U30</f>
        <v/>
      </c>
      <c r="U30" s="42">
        <f>MIN(1, S30/M30)</f>
        <v/>
      </c>
      <c r="V30" s="42">
        <f>N30/(N30+O30)</f>
        <v/>
      </c>
      <c r="W30" s="42">
        <f>U30*V30</f>
        <v/>
      </c>
      <c r="X30" s="40">
        <f>T30/N30</f>
        <v/>
      </c>
      <c r="Y30" s="15">
        <f>IF(X30=MAXIFS(X$2:X$721, A$2:A$721, A30, B$2:B$721, B30), "OPTIMAL", "")</f>
        <v/>
      </c>
    </row>
    <row r="31" ht="20" customHeight="1">
      <c r="A31" s="29" t="n">
        <v>4</v>
      </c>
      <c r="B31" s="29" t="n">
        <v>25</v>
      </c>
      <c r="C31" s="30" t="n">
        <v>80</v>
      </c>
      <c r="D31" s="30" t="n">
        <v>3</v>
      </c>
      <c r="E31" s="6" t="n">
        <v>4</v>
      </c>
      <c r="F31" s="30" t="n">
        <v>2</v>
      </c>
      <c r="G31" s="6" t="inlineStr">
        <is>
          <t>Oui</t>
        </is>
      </c>
      <c r="H31" s="6" t="inlineStr">
        <is>
          <t>OFF</t>
        </is>
      </c>
      <c r="I31" s="31" t="n">
        <v>580.1183283215253</v>
      </c>
      <c r="J31" s="31" t="n">
        <v>1533.568798690708</v>
      </c>
      <c r="K31" s="31" t="n">
        <v>1407.407407407407</v>
      </c>
      <c r="L31" s="31" t="n">
        <v>150</v>
      </c>
      <c r="M31" s="31">
        <f>I31+J31+K31+L31</f>
        <v/>
      </c>
      <c r="N31" s="31">
        <f>M31*Dashboard!$B$18/(Dashboard!$B$16/3.6)</f>
        <v/>
      </c>
      <c r="O31" s="31" t="n">
        <v>496.9737550982482</v>
      </c>
      <c r="P31" s="32" t="n">
        <v>0.3553476372854298</v>
      </c>
      <c r="Q31" s="33" t="n">
        <v>11.4760847032113</v>
      </c>
      <c r="R31" s="31" t="n">
        <v>478.5035702569184</v>
      </c>
      <c r="S31" s="31">
        <f>R31*IF(A31=4, 2.0, 3.0)</f>
        <v/>
      </c>
      <c r="T31" s="30">
        <f>8.0*U31</f>
        <v/>
      </c>
      <c r="U31" s="34">
        <f>MIN(1, S31/M31)</f>
        <v/>
      </c>
      <c r="V31" s="34">
        <f>N31/(N31+O31)</f>
        <v/>
      </c>
      <c r="W31" s="34">
        <f>U31*V31</f>
        <v/>
      </c>
      <c r="X31" s="32">
        <f>T31/N31</f>
        <v/>
      </c>
      <c r="Y31" s="35">
        <f>IF(X31=MAXIFS(X$2:X$721, A$2:A$721, A31, B$2:B$721, B31), "OPTIMAL", "")</f>
        <v/>
      </c>
    </row>
    <row r="32" ht="20" customHeight="1">
      <c r="A32" s="36" t="n">
        <v>4</v>
      </c>
      <c r="B32" s="36" t="n">
        <v>25</v>
      </c>
      <c r="C32" s="37" t="n">
        <v>80</v>
      </c>
      <c r="D32" s="37" t="n">
        <v>3</v>
      </c>
      <c r="E32" s="38" t="n">
        <v>4</v>
      </c>
      <c r="F32" s="37" t="n">
        <v>2</v>
      </c>
      <c r="G32" s="38" t="inlineStr">
        <is>
          <t>Non</t>
        </is>
      </c>
      <c r="H32" s="38" t="inlineStr">
        <is>
          <t>ON</t>
        </is>
      </c>
      <c r="I32" s="39" t="n">
        <v>580.1183283215253</v>
      </c>
      <c r="J32" s="39" t="n">
        <v>1533.568798690708</v>
      </c>
      <c r="K32" s="39" t="n">
        <v>1407.407407407407</v>
      </c>
      <c r="L32" s="39" t="n">
        <v>150</v>
      </c>
      <c r="M32" s="39">
        <f>I32+J32+K32+L32</f>
        <v/>
      </c>
      <c r="N32" s="39">
        <f>M32*Dashboard!$B$18/(Dashboard!$B$16/3.6)</f>
        <v/>
      </c>
      <c r="O32" s="39" t="n">
        <v>496.9737550982482</v>
      </c>
      <c r="P32" s="40" t="n">
        <v>0.07613158643451108</v>
      </c>
      <c r="Q32" s="41" t="n">
        <v>11.4760847032113</v>
      </c>
      <c r="R32" s="39" t="n">
        <v>2233.437145956547</v>
      </c>
      <c r="S32" s="39">
        <f>R32*IF(A32=4, 2.0, 3.0)</f>
        <v/>
      </c>
      <c r="T32" s="37">
        <f>8.0*U32</f>
        <v/>
      </c>
      <c r="U32" s="42">
        <f>MIN(1, S32/M32)</f>
        <v/>
      </c>
      <c r="V32" s="42">
        <f>N32/(N32+O32)</f>
        <v/>
      </c>
      <c r="W32" s="42">
        <f>U32*V32</f>
        <v/>
      </c>
      <c r="X32" s="40">
        <f>T32/N32</f>
        <v/>
      </c>
      <c r="Y32" s="15">
        <f>IF(X32=MAXIFS(X$2:X$721, A$2:A$721, A32, B$2:B$721, B32), "OPTIMAL", "")</f>
        <v/>
      </c>
    </row>
    <row r="33" ht="20" customHeight="1">
      <c r="A33" s="29" t="n">
        <v>4</v>
      </c>
      <c r="B33" s="29" t="n">
        <v>25</v>
      </c>
      <c r="C33" s="30" t="n">
        <v>80</v>
      </c>
      <c r="D33" s="30" t="n">
        <v>3</v>
      </c>
      <c r="E33" s="6" t="n">
        <v>4</v>
      </c>
      <c r="F33" s="30" t="n">
        <v>2</v>
      </c>
      <c r="G33" s="6" t="inlineStr">
        <is>
          <t>Non</t>
        </is>
      </c>
      <c r="H33" s="6" t="inlineStr">
        <is>
          <t>OFF</t>
        </is>
      </c>
      <c r="I33" s="31" t="n">
        <v>580.1183283215253</v>
      </c>
      <c r="J33" s="31" t="n">
        <v>1533.568798690708</v>
      </c>
      <c r="K33" s="31" t="n">
        <v>1407.407407407407</v>
      </c>
      <c r="L33" s="31" t="n">
        <v>150</v>
      </c>
      <c r="M33" s="31">
        <f>I33+J33+K33+L33</f>
        <v/>
      </c>
      <c r="N33" s="31">
        <f>M33*Dashboard!$B$18/(Dashboard!$B$16/3.6)</f>
        <v/>
      </c>
      <c r="O33" s="31" t="n">
        <v>496.9737550982482</v>
      </c>
      <c r="P33" s="32" t="n">
        <v>0.3513687637081325</v>
      </c>
      <c r="Q33" s="33" t="n">
        <v>11.4760847032113</v>
      </c>
      <c r="R33" s="31" t="n">
        <v>483.9221088664551</v>
      </c>
      <c r="S33" s="31">
        <f>R33*IF(A33=4, 2.0, 3.0)</f>
        <v/>
      </c>
      <c r="T33" s="30">
        <f>8.0*U33</f>
        <v/>
      </c>
      <c r="U33" s="34">
        <f>MIN(1, S33/M33)</f>
        <v/>
      </c>
      <c r="V33" s="34">
        <f>N33/(N33+O33)</f>
        <v/>
      </c>
      <c r="W33" s="34">
        <f>U33*V33</f>
        <v/>
      </c>
      <c r="X33" s="32">
        <f>T33/N33</f>
        <v/>
      </c>
      <c r="Y33" s="35">
        <f>IF(X33=MAXIFS(X$2:X$721, A$2:A$721, A33, B$2:B$721, B33), "OPTIMAL", "")</f>
        <v/>
      </c>
    </row>
    <row r="34" ht="20" customHeight="1">
      <c r="A34" s="36" t="n">
        <v>4</v>
      </c>
      <c r="B34" s="36" t="n">
        <v>25</v>
      </c>
      <c r="C34" s="37" t="n">
        <v>80</v>
      </c>
      <c r="D34" s="37" t="n">
        <v>3</v>
      </c>
      <c r="E34" s="38" t="n">
        <v>8</v>
      </c>
      <c r="F34" s="37" t="n">
        <v>1.5</v>
      </c>
      <c r="G34" s="38" t="inlineStr">
        <is>
          <t>Oui</t>
        </is>
      </c>
      <c r="H34" s="38" t="inlineStr">
        <is>
          <t>ON</t>
        </is>
      </c>
      <c r="I34" s="39" t="n">
        <v>580.1183283215253</v>
      </c>
      <c r="J34" s="39" t="n">
        <v>1533.568798690708</v>
      </c>
      <c r="K34" s="39" t="n">
        <v>1407.407407407407</v>
      </c>
      <c r="L34" s="39" t="n">
        <v>150</v>
      </c>
      <c r="M34" s="39">
        <f>I34+J34+K34+L34</f>
        <v/>
      </c>
      <c r="N34" s="39">
        <f>M34*Dashboard!$B$18/(Dashboard!$B$16/3.6)</f>
        <v/>
      </c>
      <c r="O34" s="39" t="n">
        <v>596.2470736873179</v>
      </c>
      <c r="P34" s="40" t="n">
        <v>0.06134832938702932</v>
      </c>
      <c r="Q34" s="41" t="n">
        <v>17.11412705481695</v>
      </c>
      <c r="R34" s="39" t="n">
        <v>2854.804607269577</v>
      </c>
      <c r="S34" s="39">
        <f>R34*IF(A34=4, 2.0, 3.0)</f>
        <v/>
      </c>
      <c r="T34" s="37">
        <f>8.0*U34</f>
        <v/>
      </c>
      <c r="U34" s="42">
        <f>MIN(1, S34/M34)</f>
        <v/>
      </c>
      <c r="V34" s="42">
        <f>N34/(N34+O34)</f>
        <v/>
      </c>
      <c r="W34" s="42">
        <f>U34*V34</f>
        <v/>
      </c>
      <c r="X34" s="40">
        <f>T34/N34</f>
        <v/>
      </c>
      <c r="Y34" s="15">
        <f>IF(X34=MAXIFS(X$2:X$721, A$2:A$721, A34, B$2:B$721, B34), "OPTIMAL", "")</f>
        <v/>
      </c>
    </row>
    <row r="35" ht="20" customHeight="1">
      <c r="A35" s="29" t="n">
        <v>4</v>
      </c>
      <c r="B35" s="29" t="n">
        <v>25</v>
      </c>
      <c r="C35" s="30" t="n">
        <v>80</v>
      </c>
      <c r="D35" s="30" t="n">
        <v>3</v>
      </c>
      <c r="E35" s="6" t="n">
        <v>8</v>
      </c>
      <c r="F35" s="30" t="n">
        <v>1.5</v>
      </c>
      <c r="G35" s="6" t="inlineStr">
        <is>
          <t>Oui</t>
        </is>
      </c>
      <c r="H35" s="6" t="inlineStr">
        <is>
          <t>OFF</t>
        </is>
      </c>
      <c r="I35" s="31" t="n">
        <v>580.1183283215253</v>
      </c>
      <c r="J35" s="31" t="n">
        <v>1533.568798690708</v>
      </c>
      <c r="K35" s="31" t="n">
        <v>1407.407407407407</v>
      </c>
      <c r="L35" s="31" t="n">
        <v>150</v>
      </c>
      <c r="M35" s="31">
        <f>I35+J35+K35+L35</f>
        <v/>
      </c>
      <c r="N35" s="31">
        <f>M35*Dashboard!$B$18/(Dashboard!$B$16/3.6)</f>
        <v/>
      </c>
      <c r="O35" s="31" t="n">
        <v>596.2470736873179</v>
      </c>
      <c r="P35" s="32" t="n">
        <v>0.2699794634504217</v>
      </c>
      <c r="Q35" s="33" t="n">
        <v>17.11412705481695</v>
      </c>
      <c r="R35" s="31" t="n">
        <v>648.7067243710729</v>
      </c>
      <c r="S35" s="31">
        <f>R35*IF(A35=4, 2.0, 3.0)</f>
        <v/>
      </c>
      <c r="T35" s="30">
        <f>8.0*U35</f>
        <v/>
      </c>
      <c r="U35" s="34">
        <f>MIN(1, S35/M35)</f>
        <v/>
      </c>
      <c r="V35" s="34">
        <f>N35/(N35+O35)</f>
        <v/>
      </c>
      <c r="W35" s="34">
        <f>U35*V35</f>
        <v/>
      </c>
      <c r="X35" s="32">
        <f>T35/N35</f>
        <v/>
      </c>
      <c r="Y35" s="35">
        <f>IF(X35=MAXIFS(X$2:X$721, A$2:A$721, A35, B$2:B$721, B35), "OPTIMAL", "")</f>
        <v/>
      </c>
    </row>
    <row r="36" ht="20" customHeight="1">
      <c r="A36" s="36" t="n">
        <v>4</v>
      </c>
      <c r="B36" s="36" t="n">
        <v>25</v>
      </c>
      <c r="C36" s="37" t="n">
        <v>80</v>
      </c>
      <c r="D36" s="37" t="n">
        <v>3</v>
      </c>
      <c r="E36" s="38" t="n">
        <v>8</v>
      </c>
      <c r="F36" s="37" t="n">
        <v>1.5</v>
      </c>
      <c r="G36" s="38" t="inlineStr">
        <is>
          <t>Non</t>
        </is>
      </c>
      <c r="H36" s="38" t="inlineStr">
        <is>
          <t>ON</t>
        </is>
      </c>
      <c r="I36" s="39" t="n">
        <v>580.1183283215253</v>
      </c>
      <c r="J36" s="39" t="n">
        <v>1533.568798690708</v>
      </c>
      <c r="K36" s="39" t="n">
        <v>1407.407407407407</v>
      </c>
      <c r="L36" s="39" t="n">
        <v>150</v>
      </c>
      <c r="M36" s="39">
        <f>I36+J36+K36+L36</f>
        <v/>
      </c>
      <c r="N36" s="39">
        <f>M36*Dashboard!$B$18/(Dashboard!$B$16/3.6)</f>
        <v/>
      </c>
      <c r="O36" s="39" t="n">
        <v>596.2470736873179</v>
      </c>
      <c r="P36" s="40" t="n">
        <v>0.05736945580973193</v>
      </c>
      <c r="Q36" s="41" t="n">
        <v>17.11412705481695</v>
      </c>
      <c r="R36" s="39" t="n">
        <v>3052.800325720942</v>
      </c>
      <c r="S36" s="39">
        <f>R36*IF(A36=4, 2.0, 3.0)</f>
        <v/>
      </c>
      <c r="T36" s="37">
        <f>8.0*U36</f>
        <v/>
      </c>
      <c r="U36" s="42">
        <f>MIN(1, S36/M36)</f>
        <v/>
      </c>
      <c r="V36" s="42">
        <f>N36/(N36+O36)</f>
        <v/>
      </c>
      <c r="W36" s="42">
        <f>U36*V36</f>
        <v/>
      </c>
      <c r="X36" s="40">
        <f>T36/N36</f>
        <v/>
      </c>
      <c r="Y36" s="15">
        <f>IF(X36=MAXIFS(X$2:X$721, A$2:A$721, A36, B$2:B$721, B36), "OPTIMAL", "")</f>
        <v/>
      </c>
    </row>
    <row r="37" ht="20" customHeight="1">
      <c r="A37" s="29" t="n">
        <v>4</v>
      </c>
      <c r="B37" s="29" t="n">
        <v>25</v>
      </c>
      <c r="C37" s="30" t="n">
        <v>80</v>
      </c>
      <c r="D37" s="30" t="n">
        <v>3</v>
      </c>
      <c r="E37" s="6" t="n">
        <v>8</v>
      </c>
      <c r="F37" s="30" t="n">
        <v>1.5</v>
      </c>
      <c r="G37" s="6" t="inlineStr">
        <is>
          <t>Non</t>
        </is>
      </c>
      <c r="H37" s="6" t="inlineStr">
        <is>
          <t>OFF</t>
        </is>
      </c>
      <c r="I37" s="31" t="n">
        <v>580.1183283215253</v>
      </c>
      <c r="J37" s="31" t="n">
        <v>1533.568798690708</v>
      </c>
      <c r="K37" s="31" t="n">
        <v>1407.407407407407</v>
      </c>
      <c r="L37" s="31" t="n">
        <v>150</v>
      </c>
      <c r="M37" s="31">
        <f>I37+J37+K37+L37</f>
        <v/>
      </c>
      <c r="N37" s="31">
        <f>M37*Dashboard!$B$18/(Dashboard!$B$16/3.6)</f>
        <v/>
      </c>
      <c r="O37" s="31" t="n">
        <v>596.2470736873179</v>
      </c>
      <c r="P37" s="32" t="n">
        <v>0.2660005898731243</v>
      </c>
      <c r="Q37" s="33" t="n">
        <v>17.11412705481695</v>
      </c>
      <c r="R37" s="31" t="n">
        <v>658.4101691876664</v>
      </c>
      <c r="S37" s="31">
        <f>R37*IF(A37=4, 2.0, 3.0)</f>
        <v/>
      </c>
      <c r="T37" s="30">
        <f>8.0*U37</f>
        <v/>
      </c>
      <c r="U37" s="34">
        <f>MIN(1, S37/M37)</f>
        <v/>
      </c>
      <c r="V37" s="34">
        <f>N37/(N37+O37)</f>
        <v/>
      </c>
      <c r="W37" s="34">
        <f>U37*V37</f>
        <v/>
      </c>
      <c r="X37" s="32">
        <f>T37/N37</f>
        <v/>
      </c>
      <c r="Y37" s="35">
        <f>IF(X37=MAXIFS(X$2:X$721, A$2:A$721, A37, B$2:B$721, B37), "OPTIMAL", "")</f>
        <v/>
      </c>
    </row>
    <row r="38" ht="20" customHeight="1">
      <c r="A38" s="36" t="n">
        <v>4</v>
      </c>
      <c r="B38" s="36" t="n">
        <v>25</v>
      </c>
      <c r="C38" s="37" t="n">
        <v>80</v>
      </c>
      <c r="D38" s="37" t="n">
        <v>3</v>
      </c>
      <c r="E38" s="38" t="n">
        <v>8</v>
      </c>
      <c r="F38" s="37" t="n">
        <v>2</v>
      </c>
      <c r="G38" s="38" t="inlineStr">
        <is>
          <t>Oui</t>
        </is>
      </c>
      <c r="H38" s="38" t="inlineStr">
        <is>
          <t>ON</t>
        </is>
      </c>
      <c r="I38" s="39" t="n">
        <v>580.1183283215253</v>
      </c>
      <c r="J38" s="39" t="n">
        <v>1533.568798690708</v>
      </c>
      <c r="K38" s="39" t="n">
        <v>1407.407407407407</v>
      </c>
      <c r="L38" s="39" t="n">
        <v>150</v>
      </c>
      <c r="M38" s="39">
        <f>I38+J38+K38+L38</f>
        <v/>
      </c>
      <c r="N38" s="39">
        <f>M38*Dashboard!$B$18/(Dashboard!$B$16/3.6)</f>
        <v/>
      </c>
      <c r="O38" s="39" t="n">
        <v>701.6626566069606</v>
      </c>
      <c r="P38" s="40" t="n">
        <v>0.060517018169736</v>
      </c>
      <c r="Q38" s="41" t="n">
        <v>22.7521694064226</v>
      </c>
      <c r="R38" s="39" t="n">
        <v>2983.550328275477</v>
      </c>
      <c r="S38" s="39">
        <f>R38*IF(A38=4, 2.0, 3.0)</f>
        <v/>
      </c>
      <c r="T38" s="37">
        <f>8.0*U38</f>
        <v/>
      </c>
      <c r="U38" s="42">
        <f>MIN(1, S38/M38)</f>
        <v/>
      </c>
      <c r="V38" s="42">
        <f>N38/(N38+O38)</f>
        <v/>
      </c>
      <c r="W38" s="42">
        <f>U38*V38</f>
        <v/>
      </c>
      <c r="X38" s="40">
        <f>T38/N38</f>
        <v/>
      </c>
      <c r="Y38" s="15">
        <f>IF(X38=MAXIFS(X$2:X$721, A$2:A$721, A38, B$2:B$721, B38), "OPTIMAL", "")</f>
        <v/>
      </c>
    </row>
    <row r="39" ht="20" customHeight="1">
      <c r="A39" s="29" t="n">
        <v>4</v>
      </c>
      <c r="B39" s="29" t="n">
        <v>25</v>
      </c>
      <c r="C39" s="30" t="n">
        <v>80</v>
      </c>
      <c r="D39" s="30" t="n">
        <v>3</v>
      </c>
      <c r="E39" s="6" t="n">
        <v>8</v>
      </c>
      <c r="F39" s="30" t="n">
        <v>2</v>
      </c>
      <c r="G39" s="6" t="inlineStr">
        <is>
          <t>Oui</t>
        </is>
      </c>
      <c r="H39" s="6" t="inlineStr">
        <is>
          <t>OFF</t>
        </is>
      </c>
      <c r="I39" s="31" t="n">
        <v>580.1183283215253</v>
      </c>
      <c r="J39" s="31" t="n">
        <v>1533.568798690708</v>
      </c>
      <c r="K39" s="31" t="n">
        <v>1407.407407407407</v>
      </c>
      <c r="L39" s="31" t="n">
        <v>150</v>
      </c>
      <c r="M39" s="31">
        <f>I39+J39+K39+L39</f>
        <v/>
      </c>
      <c r="N39" s="31">
        <f>M39*Dashboard!$B$18/(Dashboard!$B$16/3.6)</f>
        <v/>
      </c>
      <c r="O39" s="31" t="n">
        <v>701.6626566069606</v>
      </c>
      <c r="P39" s="32" t="n">
        <v>0.2709014433795033</v>
      </c>
      <c r="Q39" s="33" t="n">
        <v>22.7521694064226</v>
      </c>
      <c r="R39" s="31" t="n">
        <v>666.4991045235231</v>
      </c>
      <c r="S39" s="31">
        <f>R39*IF(A39=4, 2.0, 3.0)</f>
        <v/>
      </c>
      <c r="T39" s="30">
        <f>8.0*U39</f>
        <v/>
      </c>
      <c r="U39" s="34">
        <f>MIN(1, S39/M39)</f>
        <v/>
      </c>
      <c r="V39" s="34">
        <f>N39/(N39+O39)</f>
        <v/>
      </c>
      <c r="W39" s="34">
        <f>U39*V39</f>
        <v/>
      </c>
      <c r="X39" s="32">
        <f>T39/N39</f>
        <v/>
      </c>
      <c r="Y39" s="35">
        <f>IF(X39=MAXIFS(X$2:X$721, A$2:A$721, A39, B$2:B$721, B39), "OPTIMAL", "")</f>
        <v/>
      </c>
    </row>
    <row r="40" ht="20" customHeight="1">
      <c r="A40" s="36" t="n">
        <v>4</v>
      </c>
      <c r="B40" s="36" t="n">
        <v>25</v>
      </c>
      <c r="C40" s="37" t="n">
        <v>80</v>
      </c>
      <c r="D40" s="37" t="n">
        <v>3</v>
      </c>
      <c r="E40" s="38" t="n">
        <v>8</v>
      </c>
      <c r="F40" s="37" t="n">
        <v>2</v>
      </c>
      <c r="G40" s="38" t="inlineStr">
        <is>
          <t>Non</t>
        </is>
      </c>
      <c r="H40" s="38" t="inlineStr">
        <is>
          <t>ON</t>
        </is>
      </c>
      <c r="I40" s="39" t="n">
        <v>580.1183283215253</v>
      </c>
      <c r="J40" s="39" t="n">
        <v>1533.568798690708</v>
      </c>
      <c r="K40" s="39" t="n">
        <v>1407.407407407407</v>
      </c>
      <c r="L40" s="39" t="n">
        <v>150</v>
      </c>
      <c r="M40" s="39">
        <f>I40+J40+K40+L40</f>
        <v/>
      </c>
      <c r="N40" s="39">
        <f>M40*Dashboard!$B$18/(Dashboard!$B$16/3.6)</f>
        <v/>
      </c>
      <c r="O40" s="39" t="n">
        <v>701.6626566069606</v>
      </c>
      <c r="P40" s="40" t="n">
        <v>0.05653814459243862</v>
      </c>
      <c r="Q40" s="41" t="n">
        <v>22.7521694064226</v>
      </c>
      <c r="R40" s="39" t="n">
        <v>3193.517769783982</v>
      </c>
      <c r="S40" s="39">
        <f>R40*IF(A40=4, 2.0, 3.0)</f>
        <v/>
      </c>
      <c r="T40" s="37">
        <f>8.0*U40</f>
        <v/>
      </c>
      <c r="U40" s="42">
        <f>MIN(1, S40/M40)</f>
        <v/>
      </c>
      <c r="V40" s="42">
        <f>N40/(N40+O40)</f>
        <v/>
      </c>
      <c r="W40" s="42">
        <f>U40*V40</f>
        <v/>
      </c>
      <c r="X40" s="40">
        <f>T40/N40</f>
        <v/>
      </c>
      <c r="Y40" s="15">
        <f>IF(X40=MAXIFS(X$2:X$721, A$2:A$721, A40, B$2:B$721, B40), "OPTIMAL", "")</f>
        <v/>
      </c>
    </row>
    <row r="41" ht="20" customHeight="1">
      <c r="A41" s="29" t="n">
        <v>4</v>
      </c>
      <c r="B41" s="29" t="n">
        <v>25</v>
      </c>
      <c r="C41" s="30" t="n">
        <v>80</v>
      </c>
      <c r="D41" s="30" t="n">
        <v>3</v>
      </c>
      <c r="E41" s="6" t="n">
        <v>8</v>
      </c>
      <c r="F41" s="30" t="n">
        <v>2</v>
      </c>
      <c r="G41" s="6" t="inlineStr">
        <is>
          <t>Non</t>
        </is>
      </c>
      <c r="H41" s="6" t="inlineStr">
        <is>
          <t>OFF</t>
        </is>
      </c>
      <c r="I41" s="31" t="n">
        <v>580.1183283215253</v>
      </c>
      <c r="J41" s="31" t="n">
        <v>1533.568798690708</v>
      </c>
      <c r="K41" s="31" t="n">
        <v>1407.407407407407</v>
      </c>
      <c r="L41" s="31" t="n">
        <v>150</v>
      </c>
      <c r="M41" s="31">
        <f>I41+J41+K41+L41</f>
        <v/>
      </c>
      <c r="N41" s="31">
        <f>M41*Dashboard!$B$18/(Dashboard!$B$16/3.6)</f>
        <v/>
      </c>
      <c r="O41" s="31" t="n">
        <v>701.6626566069606</v>
      </c>
      <c r="P41" s="32" t="n">
        <v>0.266922569802206</v>
      </c>
      <c r="Q41" s="33" t="n">
        <v>22.7521694064226</v>
      </c>
      <c r="R41" s="31" t="n">
        <v>676.4342541747726</v>
      </c>
      <c r="S41" s="31">
        <f>R41*IF(A41=4, 2.0, 3.0)</f>
        <v/>
      </c>
      <c r="T41" s="30">
        <f>8.0*U41</f>
        <v/>
      </c>
      <c r="U41" s="34">
        <f>MIN(1, S41/M41)</f>
        <v/>
      </c>
      <c r="V41" s="34">
        <f>N41/(N41+O41)</f>
        <v/>
      </c>
      <c r="W41" s="34">
        <f>U41*V41</f>
        <v/>
      </c>
      <c r="X41" s="32">
        <f>T41/N41</f>
        <v/>
      </c>
      <c r="Y41" s="35">
        <f>IF(X41=MAXIFS(X$2:X$721, A$2:A$721, A41, B$2:B$721, B41), "OPTIMAL", "")</f>
        <v/>
      </c>
    </row>
    <row r="42" ht="20" customHeight="1">
      <c r="A42" s="21" t="n">
        <v>4</v>
      </c>
      <c r="B42" s="21" t="n">
        <v>25</v>
      </c>
      <c r="C42" s="22" t="n">
        <v>100</v>
      </c>
      <c r="D42" s="22" t="n">
        <v>2</v>
      </c>
      <c r="E42" s="23" t="n">
        <v>0</v>
      </c>
      <c r="F42" s="22" t="n">
        <v>0</v>
      </c>
      <c r="G42" s="23" t="inlineStr">
        <is>
          <t>Oui</t>
        </is>
      </c>
      <c r="H42" s="23" t="inlineStr">
        <is>
          <t>ON</t>
        </is>
      </c>
      <c r="I42" s="24" t="n">
        <v>580.1183283215253</v>
      </c>
      <c r="J42" s="24" t="n">
        <v>1533.568798690708</v>
      </c>
      <c r="K42" s="24" t="n">
        <v>1407.407407407407</v>
      </c>
      <c r="L42" s="24" t="n">
        <v>150</v>
      </c>
      <c r="M42" s="24">
        <f>I42+J42+K42+L42</f>
        <v/>
      </c>
      <c r="N42" s="24">
        <f>M42*Dashboard!$B$18/(Dashboard!$B$16/3.6)</f>
        <v/>
      </c>
      <c r="O42" s="24" t="n">
        <v>158.7208519293201</v>
      </c>
      <c r="P42" s="25" t="n">
        <v>0.4806796209288155</v>
      </c>
      <c r="Q42" s="26" t="n">
        <v>0.2</v>
      </c>
      <c r="R42" s="24" t="n">
        <v>198.6134098959221</v>
      </c>
      <c r="S42" s="24">
        <f>R42*IF(A42=4, 2.0, 3.0)</f>
        <v/>
      </c>
      <c r="T42" s="22">
        <f>8.0*U42</f>
        <v/>
      </c>
      <c r="U42" s="27">
        <f>MIN(1, S42/M42)</f>
        <v/>
      </c>
      <c r="V42" s="27">
        <f>N42/(N42+O42)</f>
        <v/>
      </c>
      <c r="W42" s="27">
        <f>U42*V42</f>
        <v/>
      </c>
      <c r="X42" s="25">
        <f>T42/N42</f>
        <v/>
      </c>
      <c r="Y42" s="28">
        <f>IF(X42=MAXIFS(X$2:X$721, A$2:A$721, A42, B$2:B$721, B42), "OPTIMAL", "")</f>
        <v/>
      </c>
    </row>
    <row r="43" ht="20" customHeight="1">
      <c r="A43" s="29" t="n">
        <v>4</v>
      </c>
      <c r="B43" s="29" t="n">
        <v>25</v>
      </c>
      <c r="C43" s="30" t="n">
        <v>100</v>
      </c>
      <c r="D43" s="30" t="n">
        <v>2</v>
      </c>
      <c r="E43" s="6" t="n">
        <v>0</v>
      </c>
      <c r="F43" s="30" t="n">
        <v>0</v>
      </c>
      <c r="G43" s="6" t="inlineStr">
        <is>
          <t>Oui</t>
        </is>
      </c>
      <c r="H43" s="6" t="inlineStr">
        <is>
          <t>OFF</t>
        </is>
      </c>
      <c r="I43" s="31" t="n">
        <v>580.1183283215253</v>
      </c>
      <c r="J43" s="31" t="n">
        <v>1533.568798690708</v>
      </c>
      <c r="K43" s="31" t="n">
        <v>1407.407407407407</v>
      </c>
      <c r="L43" s="31" t="n">
        <v>150</v>
      </c>
      <c r="M43" s="31">
        <f>I43+J43+K43+L43</f>
        <v/>
      </c>
      <c r="N43" s="31">
        <f>M43*Dashboard!$B$18/(Dashboard!$B$16/3.6)</f>
        <v/>
      </c>
      <c r="O43" s="31" t="n">
        <v>158.7208519293201</v>
      </c>
      <c r="P43" s="32" t="n">
        <v>0.7989895071126063</v>
      </c>
      <c r="Q43" s="33" t="n">
        <v>0.2</v>
      </c>
      <c r="R43" s="31" t="n">
        <v>119.4877000639962</v>
      </c>
      <c r="S43" s="31">
        <f>R43*IF(A43=4, 2.0, 3.0)</f>
        <v/>
      </c>
      <c r="T43" s="30">
        <f>8.0*U43</f>
        <v/>
      </c>
      <c r="U43" s="34">
        <f>MIN(1, S43/M43)</f>
        <v/>
      </c>
      <c r="V43" s="34">
        <f>N43/(N43+O43)</f>
        <v/>
      </c>
      <c r="W43" s="34">
        <f>U43*V43</f>
        <v/>
      </c>
      <c r="X43" s="32">
        <f>T43/N43</f>
        <v/>
      </c>
      <c r="Y43" s="35">
        <f>IF(X43=MAXIFS(X$2:X$721, A$2:A$721, A43, B$2:B$721, B43), "OPTIMAL", "")</f>
        <v/>
      </c>
    </row>
    <row r="44" ht="20" customHeight="1">
      <c r="A44" s="21" t="n">
        <v>4</v>
      </c>
      <c r="B44" s="21" t="n">
        <v>25</v>
      </c>
      <c r="C44" s="22" t="n">
        <v>100</v>
      </c>
      <c r="D44" s="22" t="n">
        <v>2</v>
      </c>
      <c r="E44" s="23" t="n">
        <v>0</v>
      </c>
      <c r="F44" s="22" t="n">
        <v>0</v>
      </c>
      <c r="G44" s="23" t="inlineStr">
        <is>
          <t>Non</t>
        </is>
      </c>
      <c r="H44" s="23" t="inlineStr">
        <is>
          <t>ON</t>
        </is>
      </c>
      <c r="I44" s="24" t="n">
        <v>580.1183283215253</v>
      </c>
      <c r="J44" s="24" t="n">
        <v>1533.568798690708</v>
      </c>
      <c r="K44" s="24" t="n">
        <v>1407.407407407407</v>
      </c>
      <c r="L44" s="24" t="n">
        <v>150</v>
      </c>
      <c r="M44" s="24">
        <f>I44+J44+K44+L44</f>
        <v/>
      </c>
      <c r="N44" s="24">
        <f>M44*Dashboard!$B$18/(Dashboard!$B$16/3.6)</f>
        <v/>
      </c>
      <c r="O44" s="24" t="n">
        <v>158.7208519293201</v>
      </c>
      <c r="P44" s="25" t="n">
        <v>0.4774965220669776</v>
      </c>
      <c r="Q44" s="26" t="n">
        <v>0.2</v>
      </c>
      <c r="R44" s="24" t="n">
        <v>199.9374114116793</v>
      </c>
      <c r="S44" s="24">
        <f>R44*IF(A44=4, 2.0, 3.0)</f>
        <v/>
      </c>
      <c r="T44" s="22">
        <f>8.0*U44</f>
        <v/>
      </c>
      <c r="U44" s="27">
        <f>MIN(1, S44/M44)</f>
        <v/>
      </c>
      <c r="V44" s="27">
        <f>N44/(N44+O44)</f>
        <v/>
      </c>
      <c r="W44" s="27">
        <f>U44*V44</f>
        <v/>
      </c>
      <c r="X44" s="25">
        <f>T44/N44</f>
        <v/>
      </c>
      <c r="Y44" s="28">
        <f>IF(X44=MAXIFS(X$2:X$721, A$2:A$721, A44, B$2:B$721, B44), "OPTIMAL", "")</f>
        <v/>
      </c>
    </row>
    <row r="45" ht="20" customHeight="1">
      <c r="A45" s="29" t="n">
        <v>4</v>
      </c>
      <c r="B45" s="29" t="n">
        <v>25</v>
      </c>
      <c r="C45" s="30" t="n">
        <v>100</v>
      </c>
      <c r="D45" s="30" t="n">
        <v>2</v>
      </c>
      <c r="E45" s="6" t="n">
        <v>0</v>
      </c>
      <c r="F45" s="30" t="n">
        <v>0</v>
      </c>
      <c r="G45" s="6" t="inlineStr">
        <is>
          <t>Non</t>
        </is>
      </c>
      <c r="H45" s="6" t="inlineStr">
        <is>
          <t>OFF</t>
        </is>
      </c>
      <c r="I45" s="31" t="n">
        <v>580.1183283215253</v>
      </c>
      <c r="J45" s="31" t="n">
        <v>1533.568798690708</v>
      </c>
      <c r="K45" s="31" t="n">
        <v>1407.407407407407</v>
      </c>
      <c r="L45" s="31" t="n">
        <v>150</v>
      </c>
      <c r="M45" s="31">
        <f>I45+J45+K45+L45</f>
        <v/>
      </c>
      <c r="N45" s="31">
        <f>M45*Dashboard!$B$18/(Dashboard!$B$16/3.6)</f>
        <v/>
      </c>
      <c r="O45" s="31" t="n">
        <v>158.7208519293201</v>
      </c>
      <c r="P45" s="32" t="n">
        <v>0.7958064082507683</v>
      </c>
      <c r="Q45" s="33" t="n">
        <v>0.2</v>
      </c>
      <c r="R45" s="31" t="n">
        <v>119.9656318299811</v>
      </c>
      <c r="S45" s="31">
        <f>R45*IF(A45=4, 2.0, 3.0)</f>
        <v/>
      </c>
      <c r="T45" s="30">
        <f>8.0*U45</f>
        <v/>
      </c>
      <c r="U45" s="34">
        <f>MIN(1, S45/M45)</f>
        <v/>
      </c>
      <c r="V45" s="34">
        <f>N45/(N45+O45)</f>
        <v/>
      </c>
      <c r="W45" s="34">
        <f>U45*V45</f>
        <v/>
      </c>
      <c r="X45" s="32">
        <f>T45/N45</f>
        <v/>
      </c>
      <c r="Y45" s="35">
        <f>IF(X45=MAXIFS(X$2:X$721, A$2:A$721, A45, B$2:B$721, B45), "OPTIMAL", "")</f>
        <v/>
      </c>
    </row>
    <row r="46" ht="20" customHeight="1">
      <c r="A46" s="21" t="n">
        <v>4</v>
      </c>
      <c r="B46" s="21" t="n">
        <v>25</v>
      </c>
      <c r="C46" s="22" t="n">
        <v>100</v>
      </c>
      <c r="D46" s="22" t="n">
        <v>2</v>
      </c>
      <c r="E46" s="23" t="n">
        <v>4</v>
      </c>
      <c r="F46" s="22" t="n">
        <v>1.5</v>
      </c>
      <c r="G46" s="23" t="inlineStr">
        <is>
          <t>Oui</t>
        </is>
      </c>
      <c r="H46" s="23" t="inlineStr">
        <is>
          <t>ON</t>
        </is>
      </c>
      <c r="I46" s="24" t="n">
        <v>580.1183283215253</v>
      </c>
      <c r="J46" s="24" t="n">
        <v>1533.568798690708</v>
      </c>
      <c r="K46" s="24" t="n">
        <v>1407.407407407407</v>
      </c>
      <c r="L46" s="24" t="n">
        <v>150</v>
      </c>
      <c r="M46" s="24">
        <f>I46+J46+K46+L46</f>
        <v/>
      </c>
      <c r="N46" s="24">
        <f>M46*Dashboard!$B$18/(Dashboard!$B$16/3.6)</f>
        <v/>
      </c>
      <c r="O46" s="24" t="n">
        <v>249.2431938203411</v>
      </c>
      <c r="P46" s="25" t="n">
        <v>0.07376163664698646</v>
      </c>
      <c r="Q46" s="26" t="n">
        <v>6.718986469044035</v>
      </c>
      <c r="R46" s="24" t="n">
        <v>1336.849615193424</v>
      </c>
      <c r="S46" s="24">
        <f>R46*IF(A46=4, 2.0, 3.0)</f>
        <v/>
      </c>
      <c r="T46" s="22">
        <f>8.0*U46</f>
        <v/>
      </c>
      <c r="U46" s="27">
        <f>MIN(1, S46/M46)</f>
        <v/>
      </c>
      <c r="V46" s="27">
        <f>N46/(N46+O46)</f>
        <v/>
      </c>
      <c r="W46" s="27">
        <f>U46*V46</f>
        <v/>
      </c>
      <c r="X46" s="25">
        <f>T46/N46</f>
        <v/>
      </c>
      <c r="Y46" s="28">
        <f>IF(X46=MAXIFS(X$2:X$721, A$2:A$721, A46, B$2:B$721, B46), "OPTIMAL", "")</f>
        <v/>
      </c>
    </row>
    <row r="47" ht="20" customHeight="1">
      <c r="A47" s="29" t="n">
        <v>4</v>
      </c>
      <c r="B47" s="29" t="n">
        <v>25</v>
      </c>
      <c r="C47" s="30" t="n">
        <v>100</v>
      </c>
      <c r="D47" s="30" t="n">
        <v>2</v>
      </c>
      <c r="E47" s="6" t="n">
        <v>4</v>
      </c>
      <c r="F47" s="30" t="n">
        <v>1.5</v>
      </c>
      <c r="G47" s="6" t="inlineStr">
        <is>
          <t>Oui</t>
        </is>
      </c>
      <c r="H47" s="6" t="inlineStr">
        <is>
          <t>OFF</t>
        </is>
      </c>
      <c r="I47" s="31" t="n">
        <v>580.1183283215253</v>
      </c>
      <c r="J47" s="31" t="n">
        <v>1533.568798690708</v>
      </c>
      <c r="K47" s="31" t="n">
        <v>1407.407407407407</v>
      </c>
      <c r="L47" s="31" t="n">
        <v>150</v>
      </c>
      <c r="M47" s="31">
        <f>I47+J47+K47+L47</f>
        <v/>
      </c>
      <c r="N47" s="31">
        <f>M47*Dashboard!$B$18/(Dashboard!$B$16/3.6)</f>
        <v/>
      </c>
      <c r="O47" s="31" t="n">
        <v>249.2431938203411</v>
      </c>
      <c r="P47" s="32" t="n">
        <v>0.3073240714228834</v>
      </c>
      <c r="Q47" s="33" t="n">
        <v>6.718986469044035</v>
      </c>
      <c r="R47" s="31" t="n">
        <v>320.8606963685391</v>
      </c>
      <c r="S47" s="31">
        <f>R47*IF(A47=4, 2.0, 3.0)</f>
        <v/>
      </c>
      <c r="T47" s="30">
        <f>8.0*U47</f>
        <v/>
      </c>
      <c r="U47" s="34">
        <f>MIN(1, S47/M47)</f>
        <v/>
      </c>
      <c r="V47" s="34">
        <f>N47/(N47+O47)</f>
        <v/>
      </c>
      <c r="W47" s="34">
        <f>U47*V47</f>
        <v/>
      </c>
      <c r="X47" s="32">
        <f>T47/N47</f>
        <v/>
      </c>
      <c r="Y47" s="35">
        <f>IF(X47=MAXIFS(X$2:X$721, A$2:A$721, A47, B$2:B$721, B47), "OPTIMAL", "")</f>
        <v/>
      </c>
    </row>
    <row r="48" ht="20" customHeight="1">
      <c r="A48" s="21" t="n">
        <v>4</v>
      </c>
      <c r="B48" s="21" t="n">
        <v>25</v>
      </c>
      <c r="C48" s="22" t="n">
        <v>100</v>
      </c>
      <c r="D48" s="22" t="n">
        <v>2</v>
      </c>
      <c r="E48" s="23" t="n">
        <v>4</v>
      </c>
      <c r="F48" s="22" t="n">
        <v>1.5</v>
      </c>
      <c r="G48" s="23" t="inlineStr">
        <is>
          <t>Non</t>
        </is>
      </c>
      <c r="H48" s="23" t="inlineStr">
        <is>
          <t>ON</t>
        </is>
      </c>
      <c r="I48" s="24" t="n">
        <v>580.1183283215253</v>
      </c>
      <c r="J48" s="24" t="n">
        <v>1533.568798690708</v>
      </c>
      <c r="K48" s="24" t="n">
        <v>1407.407407407407</v>
      </c>
      <c r="L48" s="24" t="n">
        <v>150</v>
      </c>
      <c r="M48" s="24">
        <f>I48+J48+K48+L48</f>
        <v/>
      </c>
      <c r="N48" s="24">
        <f>M48*Dashboard!$B$18/(Dashboard!$B$16/3.6)</f>
        <v/>
      </c>
      <c r="O48" s="24" t="n">
        <v>249.2431938203411</v>
      </c>
      <c r="P48" s="25" t="n">
        <v>0.07057853778514854</v>
      </c>
      <c r="Q48" s="26" t="n">
        <v>6.718986469044035</v>
      </c>
      <c r="R48" s="24" t="n">
        <v>1397.141661785895</v>
      </c>
      <c r="S48" s="24">
        <f>R48*IF(A48=4, 2.0, 3.0)</f>
        <v/>
      </c>
      <c r="T48" s="22">
        <f>8.0*U48</f>
        <v/>
      </c>
      <c r="U48" s="27">
        <f>MIN(1, S48/M48)</f>
        <v/>
      </c>
      <c r="V48" s="27">
        <f>N48/(N48+O48)</f>
        <v/>
      </c>
      <c r="W48" s="27">
        <f>U48*V48</f>
        <v/>
      </c>
      <c r="X48" s="25">
        <f>T48/N48</f>
        <v/>
      </c>
      <c r="Y48" s="28">
        <f>IF(X48=MAXIFS(X$2:X$721, A$2:A$721, A48, B$2:B$721, B48), "OPTIMAL", "")</f>
        <v/>
      </c>
    </row>
    <row r="49" ht="20" customHeight="1">
      <c r="A49" s="29" t="n">
        <v>4</v>
      </c>
      <c r="B49" s="29" t="n">
        <v>25</v>
      </c>
      <c r="C49" s="30" t="n">
        <v>100</v>
      </c>
      <c r="D49" s="30" t="n">
        <v>2</v>
      </c>
      <c r="E49" s="6" t="n">
        <v>4</v>
      </c>
      <c r="F49" s="30" t="n">
        <v>1.5</v>
      </c>
      <c r="G49" s="6" t="inlineStr">
        <is>
          <t>Non</t>
        </is>
      </c>
      <c r="H49" s="6" t="inlineStr">
        <is>
          <t>OFF</t>
        </is>
      </c>
      <c r="I49" s="31" t="n">
        <v>580.1183283215253</v>
      </c>
      <c r="J49" s="31" t="n">
        <v>1533.568798690708</v>
      </c>
      <c r="K49" s="31" t="n">
        <v>1407.407407407407</v>
      </c>
      <c r="L49" s="31" t="n">
        <v>150</v>
      </c>
      <c r="M49" s="31">
        <f>I49+J49+K49+L49</f>
        <v/>
      </c>
      <c r="N49" s="31">
        <f>M49*Dashboard!$B$18/(Dashboard!$B$16/3.6)</f>
        <v/>
      </c>
      <c r="O49" s="31" t="n">
        <v>249.2431938203411</v>
      </c>
      <c r="P49" s="32" t="n">
        <v>0.3041409725610454</v>
      </c>
      <c r="Q49" s="33" t="n">
        <v>6.718986469044035</v>
      </c>
      <c r="R49" s="31" t="n">
        <v>324.2187816301828</v>
      </c>
      <c r="S49" s="31">
        <f>R49*IF(A49=4, 2.0, 3.0)</f>
        <v/>
      </c>
      <c r="T49" s="30">
        <f>8.0*U49</f>
        <v/>
      </c>
      <c r="U49" s="34">
        <f>MIN(1, S49/M49)</f>
        <v/>
      </c>
      <c r="V49" s="34">
        <f>N49/(N49+O49)</f>
        <v/>
      </c>
      <c r="W49" s="34">
        <f>U49*V49</f>
        <v/>
      </c>
      <c r="X49" s="32">
        <f>T49/N49</f>
        <v/>
      </c>
      <c r="Y49" s="35">
        <f>IF(X49=MAXIFS(X$2:X$721, A$2:A$721, A49, B$2:B$721, B49), "OPTIMAL", "")</f>
        <v/>
      </c>
    </row>
    <row r="50" ht="20" customHeight="1">
      <c r="A50" s="21" t="n">
        <v>4</v>
      </c>
      <c r="B50" s="21" t="n">
        <v>25</v>
      </c>
      <c r="C50" s="22" t="n">
        <v>100</v>
      </c>
      <c r="D50" s="22" t="n">
        <v>2</v>
      </c>
      <c r="E50" s="23" t="n">
        <v>4</v>
      </c>
      <c r="F50" s="22" t="n">
        <v>2</v>
      </c>
      <c r="G50" s="23" t="inlineStr">
        <is>
          <t>Oui</t>
        </is>
      </c>
      <c r="H50" s="23" t="inlineStr">
        <is>
          <t>ON</t>
        </is>
      </c>
      <c r="I50" s="24" t="n">
        <v>580.1183283215253</v>
      </c>
      <c r="J50" s="24" t="n">
        <v>1533.568798690708</v>
      </c>
      <c r="K50" s="24" t="n">
        <v>1407.407407407407</v>
      </c>
      <c r="L50" s="24" t="n">
        <v>150</v>
      </c>
      <c r="M50" s="24">
        <f>I50+J50+K50+L50</f>
        <v/>
      </c>
      <c r="N50" s="24">
        <f>M50*Dashboard!$B$18/(Dashboard!$B$16/3.6)</f>
        <v/>
      </c>
      <c r="O50" s="24" t="n">
        <v>280.7546975389689</v>
      </c>
      <c r="P50" s="25" t="n">
        <v>0.07106618988155999</v>
      </c>
      <c r="Q50" s="26" t="n">
        <v>8.891981958725379</v>
      </c>
      <c r="R50" s="24" t="n">
        <v>1402.929500264641</v>
      </c>
      <c r="S50" s="24">
        <f>R50*IF(A50=4, 2.0, 3.0)</f>
        <v/>
      </c>
      <c r="T50" s="22">
        <f>8.0*U50</f>
        <v/>
      </c>
      <c r="U50" s="27">
        <f>MIN(1, S50/M50)</f>
        <v/>
      </c>
      <c r="V50" s="27">
        <f>N50/(N50+O50)</f>
        <v/>
      </c>
      <c r="W50" s="27">
        <f>U50*V50</f>
        <v/>
      </c>
      <c r="X50" s="25">
        <f>T50/N50</f>
        <v/>
      </c>
      <c r="Y50" s="28">
        <f>IF(X50=MAXIFS(X$2:X$721, A$2:A$721, A50, B$2:B$721, B50), "OPTIMAL", "")</f>
        <v/>
      </c>
    </row>
    <row r="51" ht="20" customHeight="1">
      <c r="A51" s="29" t="n">
        <v>4</v>
      </c>
      <c r="B51" s="29" t="n">
        <v>25</v>
      </c>
      <c r="C51" s="30" t="n">
        <v>100</v>
      </c>
      <c r="D51" s="30" t="n">
        <v>2</v>
      </c>
      <c r="E51" s="6" t="n">
        <v>4</v>
      </c>
      <c r="F51" s="30" t="n">
        <v>2</v>
      </c>
      <c r="G51" s="6" t="inlineStr">
        <is>
          <t>Oui</t>
        </is>
      </c>
      <c r="H51" s="6" t="inlineStr">
        <is>
          <t>OFF</t>
        </is>
      </c>
      <c r="I51" s="31" t="n">
        <v>580.1183283215253</v>
      </c>
      <c r="J51" s="31" t="n">
        <v>1533.568798690708</v>
      </c>
      <c r="K51" s="31" t="n">
        <v>1407.407407407407</v>
      </c>
      <c r="L51" s="31" t="n">
        <v>150</v>
      </c>
      <c r="M51" s="31">
        <f>I51+J51+K51+L51</f>
        <v/>
      </c>
      <c r="N51" s="31">
        <f>M51*Dashboard!$B$18/(Dashboard!$B$16/3.6)</f>
        <v/>
      </c>
      <c r="O51" s="31" t="n">
        <v>280.7546975389689</v>
      </c>
      <c r="P51" s="32" t="n">
        <v>0.3057228026390766</v>
      </c>
      <c r="Q51" s="33" t="n">
        <v>8.891981958725379</v>
      </c>
      <c r="R51" s="31" t="n">
        <v>326.1152043472259</v>
      </c>
      <c r="S51" s="31">
        <f>R51*IF(A51=4, 2.0, 3.0)</f>
        <v/>
      </c>
      <c r="T51" s="30">
        <f>8.0*U51</f>
        <v/>
      </c>
      <c r="U51" s="34">
        <f>MIN(1, S51/M51)</f>
        <v/>
      </c>
      <c r="V51" s="34">
        <f>N51/(N51+O51)</f>
        <v/>
      </c>
      <c r="W51" s="34">
        <f>U51*V51</f>
        <v/>
      </c>
      <c r="X51" s="32">
        <f>T51/N51</f>
        <v/>
      </c>
      <c r="Y51" s="35">
        <f>IF(X51=MAXIFS(X$2:X$721, A$2:A$721, A51, B$2:B$721, B51), "OPTIMAL", "")</f>
        <v/>
      </c>
    </row>
    <row r="52" ht="20" customHeight="1">
      <c r="A52" s="21" t="n">
        <v>4</v>
      </c>
      <c r="B52" s="21" t="n">
        <v>25</v>
      </c>
      <c r="C52" s="22" t="n">
        <v>100</v>
      </c>
      <c r="D52" s="22" t="n">
        <v>2</v>
      </c>
      <c r="E52" s="23" t="n">
        <v>4</v>
      </c>
      <c r="F52" s="22" t="n">
        <v>2</v>
      </c>
      <c r="G52" s="23" t="inlineStr">
        <is>
          <t>Non</t>
        </is>
      </c>
      <c r="H52" s="23" t="inlineStr">
        <is>
          <t>ON</t>
        </is>
      </c>
      <c r="I52" s="24" t="n">
        <v>580.1183283215253</v>
      </c>
      <c r="J52" s="24" t="n">
        <v>1533.568798690708</v>
      </c>
      <c r="K52" s="24" t="n">
        <v>1407.407407407407</v>
      </c>
      <c r="L52" s="24" t="n">
        <v>150</v>
      </c>
      <c r="M52" s="24">
        <f>I52+J52+K52+L52</f>
        <v/>
      </c>
      <c r="N52" s="24">
        <f>M52*Dashboard!$B$18/(Dashboard!$B$16/3.6)</f>
        <v/>
      </c>
      <c r="O52" s="24" t="n">
        <v>280.7546975389689</v>
      </c>
      <c r="P52" s="25" t="n">
        <v>0.06788309101972209</v>
      </c>
      <c r="Q52" s="26" t="n">
        <v>8.891981958725379</v>
      </c>
      <c r="R52" s="24" t="n">
        <v>1468.714119504118</v>
      </c>
      <c r="S52" s="24">
        <f>R52*IF(A52=4, 2.0, 3.0)</f>
        <v/>
      </c>
      <c r="T52" s="22">
        <f>8.0*U52</f>
        <v/>
      </c>
      <c r="U52" s="27">
        <f>MIN(1, S52/M52)</f>
        <v/>
      </c>
      <c r="V52" s="27">
        <f>N52/(N52+O52)</f>
        <v/>
      </c>
      <c r="W52" s="27">
        <f>U52*V52</f>
        <v/>
      </c>
      <c r="X52" s="25">
        <f>T52/N52</f>
        <v/>
      </c>
      <c r="Y52" s="28">
        <f>IF(X52=MAXIFS(X$2:X$721, A$2:A$721, A52, B$2:B$721, B52), "OPTIMAL", "")</f>
        <v/>
      </c>
    </row>
    <row r="53" ht="20" customHeight="1">
      <c r="A53" s="29" t="n">
        <v>4</v>
      </c>
      <c r="B53" s="29" t="n">
        <v>25</v>
      </c>
      <c r="C53" s="30" t="n">
        <v>100</v>
      </c>
      <c r="D53" s="30" t="n">
        <v>2</v>
      </c>
      <c r="E53" s="6" t="n">
        <v>4</v>
      </c>
      <c r="F53" s="30" t="n">
        <v>2</v>
      </c>
      <c r="G53" s="6" t="inlineStr">
        <is>
          <t>Non</t>
        </is>
      </c>
      <c r="H53" s="6" t="inlineStr">
        <is>
          <t>OFF</t>
        </is>
      </c>
      <c r="I53" s="31" t="n">
        <v>580.1183283215253</v>
      </c>
      <c r="J53" s="31" t="n">
        <v>1533.568798690708</v>
      </c>
      <c r="K53" s="31" t="n">
        <v>1407.407407407407</v>
      </c>
      <c r="L53" s="31" t="n">
        <v>150</v>
      </c>
      <c r="M53" s="31">
        <f>I53+J53+K53+L53</f>
        <v/>
      </c>
      <c r="N53" s="31">
        <f>M53*Dashboard!$B$18/(Dashboard!$B$16/3.6)</f>
        <v/>
      </c>
      <c r="O53" s="31" t="n">
        <v>280.7546975389689</v>
      </c>
      <c r="P53" s="32" t="n">
        <v>0.3025397037772387</v>
      </c>
      <c r="Q53" s="33" t="n">
        <v>8.891981958725379</v>
      </c>
      <c r="R53" s="31" t="n">
        <v>329.5463471784822</v>
      </c>
      <c r="S53" s="31">
        <f>R53*IF(A53=4, 2.0, 3.0)</f>
        <v/>
      </c>
      <c r="T53" s="30">
        <f>8.0*U53</f>
        <v/>
      </c>
      <c r="U53" s="34">
        <f>MIN(1, S53/M53)</f>
        <v/>
      </c>
      <c r="V53" s="34">
        <f>N53/(N53+O53)</f>
        <v/>
      </c>
      <c r="W53" s="34">
        <f>U53*V53</f>
        <v/>
      </c>
      <c r="X53" s="32">
        <f>T53/N53</f>
        <v/>
      </c>
      <c r="Y53" s="35">
        <f>IF(X53=MAXIFS(X$2:X$721, A$2:A$721, A53, B$2:B$721, B53), "OPTIMAL", "")</f>
        <v/>
      </c>
    </row>
    <row r="54" ht="20" customHeight="1">
      <c r="A54" s="21" t="n">
        <v>4</v>
      </c>
      <c r="B54" s="21" t="n">
        <v>25</v>
      </c>
      <c r="C54" s="22" t="n">
        <v>100</v>
      </c>
      <c r="D54" s="22" t="n">
        <v>2</v>
      </c>
      <c r="E54" s="23" t="n">
        <v>8</v>
      </c>
      <c r="F54" s="22" t="n">
        <v>1.5</v>
      </c>
      <c r="G54" s="23" t="inlineStr">
        <is>
          <t>Oui</t>
        </is>
      </c>
      <c r="H54" s="23" t="inlineStr">
        <is>
          <t>ON</t>
        </is>
      </c>
      <c r="I54" s="24" t="n">
        <v>580.1183283215253</v>
      </c>
      <c r="J54" s="24" t="n">
        <v>1533.568798690708</v>
      </c>
      <c r="K54" s="24" t="n">
        <v>1407.407407407407</v>
      </c>
      <c r="L54" s="24" t="n">
        <v>150</v>
      </c>
      <c r="M54" s="24">
        <f>I54+J54+K54+L54</f>
        <v/>
      </c>
      <c r="N54" s="24">
        <f>M54*Dashboard!$B$18/(Dashboard!$B$16/3.6)</f>
        <v/>
      </c>
      <c r="O54" s="24" t="n">
        <v>345.9201840635431</v>
      </c>
      <c r="P54" s="25" t="n">
        <v>0.05573050288457804</v>
      </c>
      <c r="Q54" s="26" t="n">
        <v>13.23797293808807</v>
      </c>
      <c r="R54" s="24" t="n">
        <v>1829.526296641833</v>
      </c>
      <c r="S54" s="24">
        <f>R54*IF(A54=4, 2.0, 3.0)</f>
        <v/>
      </c>
      <c r="T54" s="22">
        <f>8.0*U54</f>
        <v/>
      </c>
      <c r="U54" s="27">
        <f>MIN(1, S54/M54)</f>
        <v/>
      </c>
      <c r="V54" s="27">
        <f>N54/(N54+O54)</f>
        <v/>
      </c>
      <c r="W54" s="27">
        <f>U54*V54</f>
        <v/>
      </c>
      <c r="X54" s="25">
        <f>T54/N54</f>
        <v/>
      </c>
      <c r="Y54" s="28">
        <f>IF(X54=MAXIFS(X$2:X$721, A$2:A$721, A54, B$2:B$721, B54), "OPTIMAL", "")</f>
        <v/>
      </c>
    </row>
    <row r="55" ht="20" customHeight="1">
      <c r="A55" s="29" t="n">
        <v>4</v>
      </c>
      <c r="B55" s="29" t="n">
        <v>25</v>
      </c>
      <c r="C55" s="30" t="n">
        <v>100</v>
      </c>
      <c r="D55" s="30" t="n">
        <v>2</v>
      </c>
      <c r="E55" s="6" t="n">
        <v>8</v>
      </c>
      <c r="F55" s="30" t="n">
        <v>1.5</v>
      </c>
      <c r="G55" s="6" t="inlineStr">
        <is>
          <t>Oui</t>
        </is>
      </c>
      <c r="H55" s="6" t="inlineStr">
        <is>
          <t>OFF</t>
        </is>
      </c>
      <c r="I55" s="31" t="n">
        <v>580.1183283215253</v>
      </c>
      <c r="J55" s="31" t="n">
        <v>1533.568798690708</v>
      </c>
      <c r="K55" s="31" t="n">
        <v>1407.407407407407</v>
      </c>
      <c r="L55" s="31" t="n">
        <v>150</v>
      </c>
      <c r="M55" s="31">
        <f>I55+J55+K55+L55</f>
        <v/>
      </c>
      <c r="N55" s="31">
        <f>M55*Dashboard!$B$18/(Dashboard!$B$16/3.6)</f>
        <v/>
      </c>
      <c r="O55" s="31" t="n">
        <v>345.9201840635431</v>
      </c>
      <c r="P55" s="32" t="n">
        <v>0.2401827722650424</v>
      </c>
      <c r="Q55" s="33" t="n">
        <v>13.23797293808807</v>
      </c>
      <c r="R55" s="31" t="n">
        <v>424.511798206307</v>
      </c>
      <c r="S55" s="31">
        <f>R55*IF(A55=4, 2.0, 3.0)</f>
        <v/>
      </c>
      <c r="T55" s="30">
        <f>8.0*U55</f>
        <v/>
      </c>
      <c r="U55" s="34">
        <f>MIN(1, S55/M55)</f>
        <v/>
      </c>
      <c r="V55" s="34">
        <f>N55/(N55+O55)</f>
        <v/>
      </c>
      <c r="W55" s="34">
        <f>U55*V55</f>
        <v/>
      </c>
      <c r="X55" s="32">
        <f>T55/N55</f>
        <v/>
      </c>
      <c r="Y55" s="35">
        <f>IF(X55=MAXIFS(X$2:X$721, A$2:A$721, A55, B$2:B$721, B55), "OPTIMAL", "")</f>
        <v/>
      </c>
    </row>
    <row r="56" ht="20" customHeight="1">
      <c r="A56" s="36" t="n">
        <v>4</v>
      </c>
      <c r="B56" s="36" t="n">
        <v>25</v>
      </c>
      <c r="C56" s="37" t="n">
        <v>100</v>
      </c>
      <c r="D56" s="37" t="n">
        <v>2</v>
      </c>
      <c r="E56" s="38" t="n">
        <v>8</v>
      </c>
      <c r="F56" s="37" t="n">
        <v>1.5</v>
      </c>
      <c r="G56" s="38" t="inlineStr">
        <is>
          <t>Non</t>
        </is>
      </c>
      <c r="H56" s="38" t="inlineStr">
        <is>
          <t>ON</t>
        </is>
      </c>
      <c r="I56" s="39" t="n">
        <v>580.1183283215253</v>
      </c>
      <c r="J56" s="39" t="n">
        <v>1533.568798690708</v>
      </c>
      <c r="K56" s="39" t="n">
        <v>1407.407407407407</v>
      </c>
      <c r="L56" s="39" t="n">
        <v>150</v>
      </c>
      <c r="M56" s="39">
        <f>I56+J56+K56+L56</f>
        <v/>
      </c>
      <c r="N56" s="39">
        <f>M56*Dashboard!$B$18/(Dashboard!$B$16/3.6)</f>
        <v/>
      </c>
      <c r="O56" s="39" t="n">
        <v>345.9201840635431</v>
      </c>
      <c r="P56" s="40" t="n">
        <v>0.05254740402274013</v>
      </c>
      <c r="Q56" s="41" t="n">
        <v>13.23797293808807</v>
      </c>
      <c r="R56" s="39" t="n">
        <v>1940.351239963923</v>
      </c>
      <c r="S56" s="39">
        <f>R56*IF(A56=4, 2.0, 3.0)</f>
        <v/>
      </c>
      <c r="T56" s="37">
        <f>8.0*U56</f>
        <v/>
      </c>
      <c r="U56" s="42">
        <f>MIN(1, S56/M56)</f>
        <v/>
      </c>
      <c r="V56" s="42">
        <f>N56/(N56+O56)</f>
        <v/>
      </c>
      <c r="W56" s="42">
        <f>U56*V56</f>
        <v/>
      </c>
      <c r="X56" s="40">
        <f>T56/N56</f>
        <v/>
      </c>
      <c r="Y56" s="15">
        <f>IF(X56=MAXIFS(X$2:X$721, A$2:A$721, A56, B$2:B$721, B56), "OPTIMAL", "")</f>
        <v/>
      </c>
    </row>
    <row r="57" ht="20" customHeight="1">
      <c r="A57" s="29" t="n">
        <v>4</v>
      </c>
      <c r="B57" s="29" t="n">
        <v>25</v>
      </c>
      <c r="C57" s="30" t="n">
        <v>100</v>
      </c>
      <c r="D57" s="30" t="n">
        <v>2</v>
      </c>
      <c r="E57" s="6" t="n">
        <v>8</v>
      </c>
      <c r="F57" s="30" t="n">
        <v>1.5</v>
      </c>
      <c r="G57" s="6" t="inlineStr">
        <is>
          <t>Non</t>
        </is>
      </c>
      <c r="H57" s="6" t="inlineStr">
        <is>
          <t>OFF</t>
        </is>
      </c>
      <c r="I57" s="31" t="n">
        <v>580.1183283215253</v>
      </c>
      <c r="J57" s="31" t="n">
        <v>1533.568798690708</v>
      </c>
      <c r="K57" s="31" t="n">
        <v>1407.407407407407</v>
      </c>
      <c r="L57" s="31" t="n">
        <v>150</v>
      </c>
      <c r="M57" s="31">
        <f>I57+J57+K57+L57</f>
        <v/>
      </c>
      <c r="N57" s="31">
        <f>M57*Dashboard!$B$18/(Dashboard!$B$16/3.6)</f>
        <v/>
      </c>
      <c r="O57" s="31" t="n">
        <v>345.9201840635431</v>
      </c>
      <c r="P57" s="32" t="n">
        <v>0.2369996734032044</v>
      </c>
      <c r="Q57" s="33" t="n">
        <v>13.23797293808807</v>
      </c>
      <c r="R57" s="31" t="n">
        <v>430.2133378004497</v>
      </c>
      <c r="S57" s="31">
        <f>R57*IF(A57=4, 2.0, 3.0)</f>
        <v/>
      </c>
      <c r="T57" s="30">
        <f>8.0*U57</f>
        <v/>
      </c>
      <c r="U57" s="34">
        <f>MIN(1, S57/M57)</f>
        <v/>
      </c>
      <c r="V57" s="34">
        <f>N57/(N57+O57)</f>
        <v/>
      </c>
      <c r="W57" s="34">
        <f>U57*V57</f>
        <v/>
      </c>
      <c r="X57" s="32">
        <f>T57/N57</f>
        <v/>
      </c>
      <c r="Y57" s="35">
        <f>IF(X57=MAXIFS(X$2:X$721, A$2:A$721, A57, B$2:B$721, B57), "OPTIMAL", "")</f>
        <v/>
      </c>
    </row>
    <row r="58" ht="20" customHeight="1">
      <c r="A58" s="36" t="n">
        <v>4</v>
      </c>
      <c r="B58" s="36" t="n">
        <v>25</v>
      </c>
      <c r="C58" s="37" t="n">
        <v>100</v>
      </c>
      <c r="D58" s="37" t="n">
        <v>2</v>
      </c>
      <c r="E58" s="38" t="n">
        <v>8</v>
      </c>
      <c r="F58" s="37" t="n">
        <v>2</v>
      </c>
      <c r="G58" s="38" t="inlineStr">
        <is>
          <t>Oui</t>
        </is>
      </c>
      <c r="H58" s="38" t="inlineStr">
        <is>
          <t>ON</t>
        </is>
      </c>
      <c r="I58" s="39" t="n">
        <v>580.1183283215253</v>
      </c>
      <c r="J58" s="39" t="n">
        <v>1533.568798690708</v>
      </c>
      <c r="K58" s="39" t="n">
        <v>1407.407407407407</v>
      </c>
      <c r="L58" s="39" t="n">
        <v>150</v>
      </c>
      <c r="M58" s="39">
        <f>I58+J58+K58+L58</f>
        <v/>
      </c>
      <c r="N58" s="39">
        <f>M58*Dashboard!$B$18/(Dashboard!$B$16/3.6)</f>
        <v/>
      </c>
      <c r="O58" s="39" t="n">
        <v>414.1079158828244</v>
      </c>
      <c r="P58" s="40" t="n">
        <v>0.05449488140602117</v>
      </c>
      <c r="Q58" s="41" t="n">
        <v>17.58396391745076</v>
      </c>
      <c r="R58" s="39" t="n">
        <v>1914.395964080975</v>
      </c>
      <c r="S58" s="39">
        <f>R58*IF(A58=4, 2.0, 3.0)</f>
        <v/>
      </c>
      <c r="T58" s="37">
        <f>8.0*U58</f>
        <v/>
      </c>
      <c r="U58" s="42">
        <f>MIN(1, S58/M58)</f>
        <v/>
      </c>
      <c r="V58" s="42">
        <f>N58/(N58+O58)</f>
        <v/>
      </c>
      <c r="W58" s="42">
        <f>U58*V58</f>
        <v/>
      </c>
      <c r="X58" s="40">
        <f>T58/N58</f>
        <v/>
      </c>
      <c r="Y58" s="15">
        <f>IF(X58=MAXIFS(X$2:X$721, A$2:A$721, A58, B$2:B$721, B58), "OPTIMAL", "")</f>
        <v/>
      </c>
    </row>
    <row r="59" ht="20" customHeight="1">
      <c r="A59" s="29" t="n">
        <v>4</v>
      </c>
      <c r="B59" s="29" t="n">
        <v>25</v>
      </c>
      <c r="C59" s="30" t="n">
        <v>100</v>
      </c>
      <c r="D59" s="30" t="n">
        <v>2</v>
      </c>
      <c r="E59" s="6" t="n">
        <v>8</v>
      </c>
      <c r="F59" s="30" t="n">
        <v>2</v>
      </c>
      <c r="G59" s="6" t="inlineStr">
        <is>
          <t>Oui</t>
        </is>
      </c>
      <c r="H59" s="6" t="inlineStr">
        <is>
          <t>OFF</t>
        </is>
      </c>
      <c r="I59" s="31" t="n">
        <v>580.1183283215253</v>
      </c>
      <c r="J59" s="31" t="n">
        <v>1533.568798690708</v>
      </c>
      <c r="K59" s="31" t="n">
        <v>1407.407407407407</v>
      </c>
      <c r="L59" s="31" t="n">
        <v>150</v>
      </c>
      <c r="M59" s="31">
        <f>I59+J59+K59+L59</f>
        <v/>
      </c>
      <c r="N59" s="31">
        <f>M59*Dashboard!$B$18/(Dashboard!$B$16/3.6)</f>
        <v/>
      </c>
      <c r="O59" s="31" t="n">
        <v>414.1079158828244</v>
      </c>
      <c r="P59" s="32" t="n">
        <v>0.2403161193409352</v>
      </c>
      <c r="Q59" s="33" t="n">
        <v>17.58396391745076</v>
      </c>
      <c r="R59" s="31" t="n">
        <v>434.1147872763095</v>
      </c>
      <c r="S59" s="31">
        <f>R59*IF(A59=4, 2.0, 3.0)</f>
        <v/>
      </c>
      <c r="T59" s="30">
        <f>8.0*U59</f>
        <v/>
      </c>
      <c r="U59" s="34">
        <f>MIN(1, S59/M59)</f>
        <v/>
      </c>
      <c r="V59" s="34">
        <f>N59/(N59+O59)</f>
        <v/>
      </c>
      <c r="W59" s="34">
        <f>U59*V59</f>
        <v/>
      </c>
      <c r="X59" s="32">
        <f>T59/N59</f>
        <v/>
      </c>
      <c r="Y59" s="35">
        <f>IF(X59=MAXIFS(X$2:X$721, A$2:A$721, A59, B$2:B$721, B59), "OPTIMAL", "")</f>
        <v/>
      </c>
    </row>
    <row r="60" ht="20" customHeight="1">
      <c r="A60" s="36" t="n">
        <v>4</v>
      </c>
      <c r="B60" s="36" t="n">
        <v>25</v>
      </c>
      <c r="C60" s="37" t="n">
        <v>100</v>
      </c>
      <c r="D60" s="37" t="n">
        <v>2</v>
      </c>
      <c r="E60" s="38" t="n">
        <v>8</v>
      </c>
      <c r="F60" s="37" t="n">
        <v>2</v>
      </c>
      <c r="G60" s="38" t="inlineStr">
        <is>
          <t>Non</t>
        </is>
      </c>
      <c r="H60" s="38" t="inlineStr">
        <is>
          <t>ON</t>
        </is>
      </c>
      <c r="I60" s="39" t="n">
        <v>580.1183283215253</v>
      </c>
      <c r="J60" s="39" t="n">
        <v>1533.568798690708</v>
      </c>
      <c r="K60" s="39" t="n">
        <v>1407.407407407407</v>
      </c>
      <c r="L60" s="39" t="n">
        <v>150</v>
      </c>
      <c r="M60" s="39">
        <f>I60+J60+K60+L60</f>
        <v/>
      </c>
      <c r="N60" s="39">
        <f>M60*Dashboard!$B$18/(Dashboard!$B$16/3.6)</f>
        <v/>
      </c>
      <c r="O60" s="39" t="n">
        <v>414.1079158828244</v>
      </c>
      <c r="P60" s="40" t="n">
        <v>0.05131178254418326</v>
      </c>
      <c r="Q60" s="41" t="n">
        <v>17.58396391745076</v>
      </c>
      <c r="R60" s="39" t="n">
        <v>2033.15448916488</v>
      </c>
      <c r="S60" s="39">
        <f>R60*IF(A60=4, 2.0, 3.0)</f>
        <v/>
      </c>
      <c r="T60" s="37">
        <f>8.0*U60</f>
        <v/>
      </c>
      <c r="U60" s="42">
        <f>MIN(1, S60/M60)</f>
        <v/>
      </c>
      <c r="V60" s="42">
        <f>N60/(N60+O60)</f>
        <v/>
      </c>
      <c r="W60" s="42">
        <f>U60*V60</f>
        <v/>
      </c>
      <c r="X60" s="40">
        <f>T60/N60</f>
        <v/>
      </c>
      <c r="Y60" s="15">
        <f>IF(X60=MAXIFS(X$2:X$721, A$2:A$721, A60, B$2:B$721, B60), "OPTIMAL", "")</f>
        <v/>
      </c>
    </row>
    <row r="61" ht="20" customHeight="1">
      <c r="A61" s="29" t="n">
        <v>4</v>
      </c>
      <c r="B61" s="29" t="n">
        <v>25</v>
      </c>
      <c r="C61" s="30" t="n">
        <v>100</v>
      </c>
      <c r="D61" s="30" t="n">
        <v>2</v>
      </c>
      <c r="E61" s="6" t="n">
        <v>8</v>
      </c>
      <c r="F61" s="30" t="n">
        <v>2</v>
      </c>
      <c r="G61" s="6" t="inlineStr">
        <is>
          <t>Non</t>
        </is>
      </c>
      <c r="H61" s="6" t="inlineStr">
        <is>
          <t>OFF</t>
        </is>
      </c>
      <c r="I61" s="31" t="n">
        <v>580.1183283215253</v>
      </c>
      <c r="J61" s="31" t="n">
        <v>1533.568798690708</v>
      </c>
      <c r="K61" s="31" t="n">
        <v>1407.407407407407</v>
      </c>
      <c r="L61" s="31" t="n">
        <v>150</v>
      </c>
      <c r="M61" s="31">
        <f>I61+J61+K61+L61</f>
        <v/>
      </c>
      <c r="N61" s="31">
        <f>M61*Dashboard!$B$18/(Dashboard!$B$16/3.6)</f>
        <v/>
      </c>
      <c r="O61" s="31" t="n">
        <v>414.1079158828244</v>
      </c>
      <c r="P61" s="32" t="n">
        <v>0.2371330204790973</v>
      </c>
      <c r="Q61" s="33" t="n">
        <v>17.58396391745076</v>
      </c>
      <c r="R61" s="31" t="n">
        <v>439.9420241684741</v>
      </c>
      <c r="S61" s="31">
        <f>R61*IF(A61=4, 2.0, 3.0)</f>
        <v/>
      </c>
      <c r="T61" s="30">
        <f>8.0*U61</f>
        <v/>
      </c>
      <c r="U61" s="34">
        <f>MIN(1, S61/M61)</f>
        <v/>
      </c>
      <c r="V61" s="34">
        <f>N61/(N61+O61)</f>
        <v/>
      </c>
      <c r="W61" s="34">
        <f>U61*V61</f>
        <v/>
      </c>
      <c r="X61" s="32">
        <f>T61/N61</f>
        <v/>
      </c>
      <c r="Y61" s="35">
        <f>IF(X61=MAXIFS(X$2:X$721, A$2:A$721, A61, B$2:B$721, B61), "OPTIMAL", "")</f>
        <v/>
      </c>
    </row>
    <row r="62" ht="20" customHeight="1">
      <c r="A62" s="21" t="n">
        <v>4</v>
      </c>
      <c r="B62" s="21" t="n">
        <v>25</v>
      </c>
      <c r="C62" s="22" t="n">
        <v>100</v>
      </c>
      <c r="D62" s="22" t="n">
        <v>3</v>
      </c>
      <c r="E62" s="23" t="n">
        <v>0</v>
      </c>
      <c r="F62" s="22" t="n">
        <v>0</v>
      </c>
      <c r="G62" s="23" t="inlineStr">
        <is>
          <t>Oui</t>
        </is>
      </c>
      <c r="H62" s="23" t="inlineStr">
        <is>
          <t>ON</t>
        </is>
      </c>
      <c r="I62" s="24" t="n">
        <v>580.1183283215253</v>
      </c>
      <c r="J62" s="24" t="n">
        <v>1533.568798690708</v>
      </c>
      <c r="K62" s="24" t="n">
        <v>1407.407407407407</v>
      </c>
      <c r="L62" s="24" t="n">
        <v>150</v>
      </c>
      <c r="M62" s="24">
        <f>I62+J62+K62+L62</f>
        <v/>
      </c>
      <c r="N62" s="24">
        <f>M62*Dashboard!$B$18/(Dashboard!$B$16/3.6)</f>
        <v/>
      </c>
      <c r="O62" s="24" t="n">
        <v>245.7862946294371</v>
      </c>
      <c r="P62" s="25" t="n">
        <v>0.4806959660709754</v>
      </c>
      <c r="Q62" s="26" t="n">
        <v>0.2</v>
      </c>
      <c r="R62" s="24" t="n">
        <v>207.1479114585213</v>
      </c>
      <c r="S62" s="24">
        <f>R62*IF(A62=4, 2.0, 3.0)</f>
        <v/>
      </c>
      <c r="T62" s="22">
        <f>8.0*U62</f>
        <v/>
      </c>
      <c r="U62" s="27">
        <f>MIN(1, S62/M62)</f>
        <v/>
      </c>
      <c r="V62" s="27">
        <f>N62/(N62+O62)</f>
        <v/>
      </c>
      <c r="W62" s="27">
        <f>U62*V62</f>
        <v/>
      </c>
      <c r="X62" s="25">
        <f>T62/N62</f>
        <v/>
      </c>
      <c r="Y62" s="28">
        <f>IF(X62=MAXIFS(X$2:X$721, A$2:A$721, A62, B$2:B$721, B62), "OPTIMAL", "")</f>
        <v/>
      </c>
    </row>
    <row r="63" ht="20" customHeight="1">
      <c r="A63" s="29" t="n">
        <v>4</v>
      </c>
      <c r="B63" s="29" t="n">
        <v>25</v>
      </c>
      <c r="C63" s="30" t="n">
        <v>100</v>
      </c>
      <c r="D63" s="30" t="n">
        <v>3</v>
      </c>
      <c r="E63" s="6" t="n">
        <v>0</v>
      </c>
      <c r="F63" s="30" t="n">
        <v>0</v>
      </c>
      <c r="G63" s="6" t="inlineStr">
        <is>
          <t>Oui</t>
        </is>
      </c>
      <c r="H63" s="6" t="inlineStr">
        <is>
          <t>OFF</t>
        </is>
      </c>
      <c r="I63" s="31" t="n">
        <v>580.1183283215253</v>
      </c>
      <c r="J63" s="31" t="n">
        <v>1533.568798690708</v>
      </c>
      <c r="K63" s="31" t="n">
        <v>1407.407407407407</v>
      </c>
      <c r="L63" s="31" t="n">
        <v>150</v>
      </c>
      <c r="M63" s="31">
        <f>I63+J63+K63+L63</f>
        <v/>
      </c>
      <c r="N63" s="31">
        <f>M63*Dashboard!$B$18/(Dashboard!$B$16/3.6)</f>
        <v/>
      </c>
      <c r="O63" s="31" t="n">
        <v>245.7862946294371</v>
      </c>
      <c r="P63" s="32" t="n">
        <v>0.7990058522547661</v>
      </c>
      <c r="Q63" s="33" t="n">
        <v>0.2</v>
      </c>
      <c r="R63" s="31" t="n">
        <v>124.6238248908205</v>
      </c>
      <c r="S63" s="31">
        <f>R63*IF(A63=4, 2.0, 3.0)</f>
        <v/>
      </c>
      <c r="T63" s="30">
        <f>8.0*U63</f>
        <v/>
      </c>
      <c r="U63" s="34">
        <f>MIN(1, S63/M63)</f>
        <v/>
      </c>
      <c r="V63" s="34">
        <f>N63/(N63+O63)</f>
        <v/>
      </c>
      <c r="W63" s="34">
        <f>U63*V63</f>
        <v/>
      </c>
      <c r="X63" s="32">
        <f>T63/N63</f>
        <v/>
      </c>
      <c r="Y63" s="35">
        <f>IF(X63=MAXIFS(X$2:X$721, A$2:A$721, A63, B$2:B$721, B63), "OPTIMAL", "")</f>
        <v/>
      </c>
    </row>
    <row r="64" ht="20" customHeight="1">
      <c r="A64" s="21" t="n">
        <v>4</v>
      </c>
      <c r="B64" s="21" t="n">
        <v>25</v>
      </c>
      <c r="C64" s="22" t="n">
        <v>100</v>
      </c>
      <c r="D64" s="22" t="n">
        <v>3</v>
      </c>
      <c r="E64" s="23" t="n">
        <v>0</v>
      </c>
      <c r="F64" s="22" t="n">
        <v>0</v>
      </c>
      <c r="G64" s="23" t="inlineStr">
        <is>
          <t>Non</t>
        </is>
      </c>
      <c r="H64" s="23" t="inlineStr">
        <is>
          <t>ON</t>
        </is>
      </c>
      <c r="I64" s="24" t="n">
        <v>580.1183283215253</v>
      </c>
      <c r="J64" s="24" t="n">
        <v>1533.568798690708</v>
      </c>
      <c r="K64" s="24" t="n">
        <v>1407.407407407407</v>
      </c>
      <c r="L64" s="24" t="n">
        <v>150</v>
      </c>
      <c r="M64" s="24">
        <f>I64+J64+K64+L64</f>
        <v/>
      </c>
      <c r="N64" s="24">
        <f>M64*Dashboard!$B$18/(Dashboard!$B$16/3.6)</f>
        <v/>
      </c>
      <c r="O64" s="24" t="n">
        <v>245.7862946294371</v>
      </c>
      <c r="P64" s="25" t="n">
        <v>0.4775128672091374</v>
      </c>
      <c r="Q64" s="26" t="n">
        <v>0.2</v>
      </c>
      <c r="R64" s="24" t="n">
        <v>208.5287586073102</v>
      </c>
      <c r="S64" s="24">
        <f>R64*IF(A64=4, 2.0, 3.0)</f>
        <v/>
      </c>
      <c r="T64" s="22">
        <f>8.0*U64</f>
        <v/>
      </c>
      <c r="U64" s="27">
        <f>MIN(1, S64/M64)</f>
        <v/>
      </c>
      <c r="V64" s="27">
        <f>N64/(N64+O64)</f>
        <v/>
      </c>
      <c r="W64" s="27">
        <f>U64*V64</f>
        <v/>
      </c>
      <c r="X64" s="25">
        <f>T64/N64</f>
        <v/>
      </c>
      <c r="Y64" s="28">
        <f>IF(X64=MAXIFS(X$2:X$721, A$2:A$721, A64, B$2:B$721, B64), "OPTIMAL", "")</f>
        <v/>
      </c>
    </row>
    <row r="65" ht="20" customHeight="1">
      <c r="A65" s="29" t="n">
        <v>4</v>
      </c>
      <c r="B65" s="29" t="n">
        <v>25</v>
      </c>
      <c r="C65" s="30" t="n">
        <v>100</v>
      </c>
      <c r="D65" s="30" t="n">
        <v>3</v>
      </c>
      <c r="E65" s="6" t="n">
        <v>0</v>
      </c>
      <c r="F65" s="30" t="n">
        <v>0</v>
      </c>
      <c r="G65" s="6" t="inlineStr">
        <is>
          <t>Non</t>
        </is>
      </c>
      <c r="H65" s="6" t="inlineStr">
        <is>
          <t>OFF</t>
        </is>
      </c>
      <c r="I65" s="31" t="n">
        <v>580.1183283215253</v>
      </c>
      <c r="J65" s="31" t="n">
        <v>1533.568798690708</v>
      </c>
      <c r="K65" s="31" t="n">
        <v>1407.407407407407</v>
      </c>
      <c r="L65" s="31" t="n">
        <v>150</v>
      </c>
      <c r="M65" s="31">
        <f>I65+J65+K65+L65</f>
        <v/>
      </c>
      <c r="N65" s="31">
        <f>M65*Dashboard!$B$18/(Dashboard!$B$16/3.6)</f>
        <v/>
      </c>
      <c r="O65" s="31" t="n">
        <v>245.7862946294371</v>
      </c>
      <c r="P65" s="32" t="n">
        <v>0.7958227533929282</v>
      </c>
      <c r="Q65" s="33" t="n">
        <v>0.2</v>
      </c>
      <c r="R65" s="31" t="n">
        <v>125.1222900999096</v>
      </c>
      <c r="S65" s="31">
        <f>R65*IF(A65=4, 2.0, 3.0)</f>
        <v/>
      </c>
      <c r="T65" s="30">
        <f>8.0*U65</f>
        <v/>
      </c>
      <c r="U65" s="34">
        <f>MIN(1, S65/M65)</f>
        <v/>
      </c>
      <c r="V65" s="34">
        <f>N65/(N65+O65)</f>
        <v/>
      </c>
      <c r="W65" s="34">
        <f>U65*V65</f>
        <v/>
      </c>
      <c r="X65" s="32">
        <f>T65/N65</f>
        <v/>
      </c>
      <c r="Y65" s="35">
        <f>IF(X65=MAXIFS(X$2:X$721, A$2:A$721, A65, B$2:B$721, B65), "OPTIMAL", "")</f>
        <v/>
      </c>
    </row>
    <row r="66" ht="20" customHeight="1">
      <c r="A66" s="21" t="n">
        <v>4</v>
      </c>
      <c r="B66" s="21" t="n">
        <v>25</v>
      </c>
      <c r="C66" s="22" t="n">
        <v>100</v>
      </c>
      <c r="D66" s="22" t="n">
        <v>3</v>
      </c>
      <c r="E66" s="23" t="n">
        <v>4</v>
      </c>
      <c r="F66" s="22" t="n">
        <v>1.5</v>
      </c>
      <c r="G66" s="23" t="inlineStr">
        <is>
          <t>Oui</t>
        </is>
      </c>
      <c r="H66" s="23" t="inlineStr">
        <is>
          <t>ON</t>
        </is>
      </c>
      <c r="I66" s="24" t="n">
        <v>580.1183283215253</v>
      </c>
      <c r="J66" s="24" t="n">
        <v>1533.568798690708</v>
      </c>
      <c r="K66" s="24" t="n">
        <v>1407.407407407407</v>
      </c>
      <c r="L66" s="24" t="n">
        <v>150</v>
      </c>
      <c r="M66" s="24">
        <f>I66+J66+K66+L66</f>
        <v/>
      </c>
      <c r="N66" s="24">
        <f>M66*Dashboard!$B$18/(Dashboard!$B$16/3.6)</f>
        <v/>
      </c>
      <c r="O66" s="24" t="n">
        <v>341.745841689047</v>
      </c>
      <c r="P66" s="25" t="n">
        <v>0.0735384347268611</v>
      </c>
      <c r="Q66" s="26" t="n">
        <v>6.857688308810928</v>
      </c>
      <c r="R66" s="24" t="n">
        <v>1399.553103730062</v>
      </c>
      <c r="S66" s="24">
        <f>R66*IF(A66=4, 2.0, 3.0)</f>
        <v/>
      </c>
      <c r="T66" s="22">
        <f>8.0*U66</f>
        <v/>
      </c>
      <c r="U66" s="27">
        <f>MIN(1, S66/M66)</f>
        <v/>
      </c>
      <c r="V66" s="27">
        <f>N66/(N66+O66)</f>
        <v/>
      </c>
      <c r="W66" s="27">
        <f>U66*V66</f>
        <v/>
      </c>
      <c r="X66" s="25">
        <f>T66/N66</f>
        <v/>
      </c>
      <c r="Y66" s="28">
        <f>IF(X66=MAXIFS(X$2:X$721, A$2:A$721, A66, B$2:B$721, B66), "OPTIMAL", "")</f>
        <v/>
      </c>
    </row>
    <row r="67" ht="20" customHeight="1">
      <c r="A67" s="29" t="n">
        <v>4</v>
      </c>
      <c r="B67" s="29" t="n">
        <v>25</v>
      </c>
      <c r="C67" s="30" t="n">
        <v>100</v>
      </c>
      <c r="D67" s="30" t="n">
        <v>3</v>
      </c>
      <c r="E67" s="6" t="n">
        <v>4</v>
      </c>
      <c r="F67" s="30" t="n">
        <v>1.5</v>
      </c>
      <c r="G67" s="6" t="inlineStr">
        <is>
          <t>Oui</t>
        </is>
      </c>
      <c r="H67" s="6" t="inlineStr">
        <is>
          <t>OFF</t>
        </is>
      </c>
      <c r="I67" s="31" t="n">
        <v>580.1183283215253</v>
      </c>
      <c r="J67" s="31" t="n">
        <v>1533.568798690708</v>
      </c>
      <c r="K67" s="31" t="n">
        <v>1407.407407407407</v>
      </c>
      <c r="L67" s="31" t="n">
        <v>150</v>
      </c>
      <c r="M67" s="31">
        <f>I67+J67+K67+L67</f>
        <v/>
      </c>
      <c r="N67" s="31">
        <f>M67*Dashboard!$B$18/(Dashboard!$B$16/3.6)</f>
        <v/>
      </c>
      <c r="O67" s="31" t="n">
        <v>341.745841689047</v>
      </c>
      <c r="P67" s="32" t="n">
        <v>0.307100869502758</v>
      </c>
      <c r="Q67" s="33" t="n">
        <v>6.857688308810928</v>
      </c>
      <c r="R67" s="31" t="n">
        <v>335.1372620079953</v>
      </c>
      <c r="S67" s="31">
        <f>R67*IF(A67=4, 2.0, 3.0)</f>
        <v/>
      </c>
      <c r="T67" s="30">
        <f>8.0*U67</f>
        <v/>
      </c>
      <c r="U67" s="34">
        <f>MIN(1, S67/M67)</f>
        <v/>
      </c>
      <c r="V67" s="34">
        <f>N67/(N67+O67)</f>
        <v/>
      </c>
      <c r="W67" s="34">
        <f>U67*V67</f>
        <v/>
      </c>
      <c r="X67" s="32">
        <f>T67/N67</f>
        <v/>
      </c>
      <c r="Y67" s="35">
        <f>IF(X67=MAXIFS(X$2:X$721, A$2:A$721, A67, B$2:B$721, B67), "OPTIMAL", "")</f>
        <v/>
      </c>
    </row>
    <row r="68" ht="20" customHeight="1">
      <c r="A68" s="21" t="n">
        <v>4</v>
      </c>
      <c r="B68" s="21" t="n">
        <v>25</v>
      </c>
      <c r="C68" s="22" t="n">
        <v>100</v>
      </c>
      <c r="D68" s="22" t="n">
        <v>3</v>
      </c>
      <c r="E68" s="23" t="n">
        <v>4</v>
      </c>
      <c r="F68" s="22" t="n">
        <v>1.5</v>
      </c>
      <c r="G68" s="23" t="inlineStr">
        <is>
          <t>Non</t>
        </is>
      </c>
      <c r="H68" s="23" t="inlineStr">
        <is>
          <t>ON</t>
        </is>
      </c>
      <c r="I68" s="24" t="n">
        <v>580.1183283215253</v>
      </c>
      <c r="J68" s="24" t="n">
        <v>1533.568798690708</v>
      </c>
      <c r="K68" s="24" t="n">
        <v>1407.407407407407</v>
      </c>
      <c r="L68" s="24" t="n">
        <v>150</v>
      </c>
      <c r="M68" s="24">
        <f>I68+J68+K68+L68</f>
        <v/>
      </c>
      <c r="N68" s="24">
        <f>M68*Dashboard!$B$18/(Dashboard!$B$16/3.6)</f>
        <v/>
      </c>
      <c r="O68" s="24" t="n">
        <v>341.745841689047</v>
      </c>
      <c r="P68" s="25" t="n">
        <v>0.07035533586502318</v>
      </c>
      <c r="Q68" s="26" t="n">
        <v>6.857688308810928</v>
      </c>
      <c r="R68" s="24" t="n">
        <v>1462.873331496604</v>
      </c>
      <c r="S68" s="24">
        <f>R68*IF(A68=4, 2.0, 3.0)</f>
        <v/>
      </c>
      <c r="T68" s="22">
        <f>8.0*U68</f>
        <v/>
      </c>
      <c r="U68" s="27">
        <f>MIN(1, S68/M68)</f>
        <v/>
      </c>
      <c r="V68" s="27">
        <f>N68/(N68+O68)</f>
        <v/>
      </c>
      <c r="W68" s="27">
        <f>U68*V68</f>
        <v/>
      </c>
      <c r="X68" s="25">
        <f>T68/N68</f>
        <v/>
      </c>
      <c r="Y68" s="28">
        <f>IF(X68=MAXIFS(X$2:X$721, A$2:A$721, A68, B$2:B$721, B68), "OPTIMAL", "")</f>
        <v/>
      </c>
    </row>
    <row r="69" ht="20" customHeight="1">
      <c r="A69" s="29" t="n">
        <v>4</v>
      </c>
      <c r="B69" s="29" t="n">
        <v>25</v>
      </c>
      <c r="C69" s="30" t="n">
        <v>100</v>
      </c>
      <c r="D69" s="30" t="n">
        <v>3</v>
      </c>
      <c r="E69" s="6" t="n">
        <v>4</v>
      </c>
      <c r="F69" s="30" t="n">
        <v>1.5</v>
      </c>
      <c r="G69" s="6" t="inlineStr">
        <is>
          <t>Non</t>
        </is>
      </c>
      <c r="H69" s="6" t="inlineStr">
        <is>
          <t>OFF</t>
        </is>
      </c>
      <c r="I69" s="31" t="n">
        <v>580.1183283215253</v>
      </c>
      <c r="J69" s="31" t="n">
        <v>1533.568798690708</v>
      </c>
      <c r="K69" s="31" t="n">
        <v>1407.407407407407</v>
      </c>
      <c r="L69" s="31" t="n">
        <v>150</v>
      </c>
      <c r="M69" s="31">
        <f>I69+J69+K69+L69</f>
        <v/>
      </c>
      <c r="N69" s="31">
        <f>M69*Dashboard!$B$18/(Dashboard!$B$16/3.6)</f>
        <v/>
      </c>
      <c r="O69" s="31" t="n">
        <v>341.745841689047</v>
      </c>
      <c r="P69" s="32" t="n">
        <v>0.3039177706409201</v>
      </c>
      <c r="Q69" s="33" t="n">
        <v>6.857688308810928</v>
      </c>
      <c r="R69" s="31" t="n">
        <v>338.647339865593</v>
      </c>
      <c r="S69" s="31">
        <f>R69*IF(A69=4, 2.0, 3.0)</f>
        <v/>
      </c>
      <c r="T69" s="30">
        <f>8.0*U69</f>
        <v/>
      </c>
      <c r="U69" s="34">
        <f>MIN(1, S69/M69)</f>
        <v/>
      </c>
      <c r="V69" s="34">
        <f>N69/(N69+O69)</f>
        <v/>
      </c>
      <c r="W69" s="34">
        <f>U69*V69</f>
        <v/>
      </c>
      <c r="X69" s="32">
        <f>T69/N69</f>
        <v/>
      </c>
      <c r="Y69" s="35">
        <f>IF(X69=MAXIFS(X$2:X$721, A$2:A$721, A69, B$2:B$721, B69), "OPTIMAL", "")</f>
        <v/>
      </c>
    </row>
    <row r="70" ht="20" customHeight="1">
      <c r="A70" s="21" t="n">
        <v>4</v>
      </c>
      <c r="B70" s="21" t="n">
        <v>25</v>
      </c>
      <c r="C70" s="22" t="n">
        <v>100</v>
      </c>
      <c r="D70" s="22" t="n">
        <v>3</v>
      </c>
      <c r="E70" s="23" t="n">
        <v>4</v>
      </c>
      <c r="F70" s="22" t="n">
        <v>2</v>
      </c>
      <c r="G70" s="23" t="inlineStr">
        <is>
          <t>Oui</t>
        </is>
      </c>
      <c r="H70" s="23" t="inlineStr">
        <is>
          <t>ON</t>
        </is>
      </c>
      <c r="I70" s="24" t="n">
        <v>580.1183283215253</v>
      </c>
      <c r="J70" s="24" t="n">
        <v>1533.568798690708</v>
      </c>
      <c r="K70" s="24" t="n">
        <v>1407.407407407407</v>
      </c>
      <c r="L70" s="24" t="n">
        <v>150</v>
      </c>
      <c r="M70" s="24">
        <f>I70+J70+K70+L70</f>
        <v/>
      </c>
      <c r="N70" s="24">
        <f>M70*Dashboard!$B$18/(Dashboard!$B$16/3.6)</f>
        <v/>
      </c>
      <c r="O70" s="24" t="n">
        <v>375.1816080990471</v>
      </c>
      <c r="P70" s="25" t="n">
        <v>0.07090019831070833</v>
      </c>
      <c r="Q70" s="26" t="n">
        <v>9.076917745081236</v>
      </c>
      <c r="R70" s="24" t="n">
        <v>1468.073956718295</v>
      </c>
      <c r="S70" s="24">
        <f>R70*IF(A70=4, 2.0, 3.0)</f>
        <v/>
      </c>
      <c r="T70" s="22">
        <f>8.0*U70</f>
        <v/>
      </c>
      <c r="U70" s="27">
        <f>MIN(1, S70/M70)</f>
        <v/>
      </c>
      <c r="V70" s="27">
        <f>N70/(N70+O70)</f>
        <v/>
      </c>
      <c r="W70" s="27">
        <f>U70*V70</f>
        <v/>
      </c>
      <c r="X70" s="25">
        <f>T70/N70</f>
        <v/>
      </c>
      <c r="Y70" s="28">
        <f>IF(X70=MAXIFS(X$2:X$721, A$2:A$721, A70, B$2:B$721, B70), "OPTIMAL", "")</f>
        <v/>
      </c>
    </row>
    <row r="71" ht="20" customHeight="1">
      <c r="A71" s="29" t="n">
        <v>4</v>
      </c>
      <c r="B71" s="29" t="n">
        <v>25</v>
      </c>
      <c r="C71" s="30" t="n">
        <v>100</v>
      </c>
      <c r="D71" s="30" t="n">
        <v>3</v>
      </c>
      <c r="E71" s="6" t="n">
        <v>4</v>
      </c>
      <c r="F71" s="30" t="n">
        <v>2</v>
      </c>
      <c r="G71" s="6" t="inlineStr">
        <is>
          <t>Oui</t>
        </is>
      </c>
      <c r="H71" s="6" t="inlineStr">
        <is>
          <t>OFF</t>
        </is>
      </c>
      <c r="I71" s="31" t="n">
        <v>580.1183283215253</v>
      </c>
      <c r="J71" s="31" t="n">
        <v>1533.568798690708</v>
      </c>
      <c r="K71" s="31" t="n">
        <v>1407.407407407407</v>
      </c>
      <c r="L71" s="31" t="n">
        <v>150</v>
      </c>
      <c r="M71" s="31">
        <f>I71+J71+K71+L71</f>
        <v/>
      </c>
      <c r="N71" s="31">
        <f>M71*Dashboard!$B$18/(Dashboard!$B$16/3.6)</f>
        <v/>
      </c>
      <c r="O71" s="31" t="n">
        <v>375.1816080990471</v>
      </c>
      <c r="P71" s="32" t="n">
        <v>0.305556811068225</v>
      </c>
      <c r="Q71" s="33" t="n">
        <v>9.076917745081236</v>
      </c>
      <c r="R71" s="31" t="n">
        <v>340.646095572953</v>
      </c>
      <c r="S71" s="31">
        <f>R71*IF(A71=4, 2.0, 3.0)</f>
        <v/>
      </c>
      <c r="T71" s="30">
        <f>8.0*U71</f>
        <v/>
      </c>
      <c r="U71" s="34">
        <f>MIN(1, S71/M71)</f>
        <v/>
      </c>
      <c r="V71" s="34">
        <f>N71/(N71+O71)</f>
        <v/>
      </c>
      <c r="W71" s="34">
        <f>U71*V71</f>
        <v/>
      </c>
      <c r="X71" s="32">
        <f>T71/N71</f>
        <v/>
      </c>
      <c r="Y71" s="35">
        <f>IF(X71=MAXIFS(X$2:X$721, A$2:A$721, A71, B$2:B$721, B71), "OPTIMAL", "")</f>
        <v/>
      </c>
    </row>
    <row r="72" ht="20" customHeight="1">
      <c r="A72" s="21" t="n">
        <v>4</v>
      </c>
      <c r="B72" s="21" t="n">
        <v>25</v>
      </c>
      <c r="C72" s="22" t="n">
        <v>100</v>
      </c>
      <c r="D72" s="22" t="n">
        <v>3</v>
      </c>
      <c r="E72" s="23" t="n">
        <v>4</v>
      </c>
      <c r="F72" s="22" t="n">
        <v>2</v>
      </c>
      <c r="G72" s="23" t="inlineStr">
        <is>
          <t>Non</t>
        </is>
      </c>
      <c r="H72" s="23" t="inlineStr">
        <is>
          <t>ON</t>
        </is>
      </c>
      <c r="I72" s="24" t="n">
        <v>580.1183283215253</v>
      </c>
      <c r="J72" s="24" t="n">
        <v>1533.568798690708</v>
      </c>
      <c r="K72" s="24" t="n">
        <v>1407.407407407407</v>
      </c>
      <c r="L72" s="24" t="n">
        <v>150</v>
      </c>
      <c r="M72" s="24">
        <f>I72+J72+K72+L72</f>
        <v/>
      </c>
      <c r="N72" s="24">
        <f>M72*Dashboard!$B$18/(Dashboard!$B$16/3.6)</f>
        <v/>
      </c>
      <c r="O72" s="24" t="n">
        <v>375.1816080990471</v>
      </c>
      <c r="P72" s="25" t="n">
        <v>0.06771709944887042</v>
      </c>
      <c r="Q72" s="26" t="n">
        <v>9.076917745081236</v>
      </c>
      <c r="R72" s="24" t="n">
        <v>1537.0820001631</v>
      </c>
      <c r="S72" s="24">
        <f>R72*IF(A72=4, 2.0, 3.0)</f>
        <v/>
      </c>
      <c r="T72" s="22">
        <f>8.0*U72</f>
        <v/>
      </c>
      <c r="U72" s="27">
        <f>MIN(1, S72/M72)</f>
        <v/>
      </c>
      <c r="V72" s="27">
        <f>N72/(N72+O72)</f>
        <v/>
      </c>
      <c r="W72" s="27">
        <f>U72*V72</f>
        <v/>
      </c>
      <c r="X72" s="25">
        <f>T72/N72</f>
        <v/>
      </c>
      <c r="Y72" s="28">
        <f>IF(X72=MAXIFS(X$2:X$721, A$2:A$721, A72, B$2:B$721, B72), "OPTIMAL", "")</f>
        <v/>
      </c>
    </row>
    <row r="73" ht="20" customHeight="1">
      <c r="A73" s="29" t="n">
        <v>4</v>
      </c>
      <c r="B73" s="29" t="n">
        <v>25</v>
      </c>
      <c r="C73" s="30" t="n">
        <v>100</v>
      </c>
      <c r="D73" s="30" t="n">
        <v>3</v>
      </c>
      <c r="E73" s="6" t="n">
        <v>4</v>
      </c>
      <c r="F73" s="30" t="n">
        <v>2</v>
      </c>
      <c r="G73" s="6" t="inlineStr">
        <is>
          <t>Non</t>
        </is>
      </c>
      <c r="H73" s="6" t="inlineStr">
        <is>
          <t>OFF</t>
        </is>
      </c>
      <c r="I73" s="31" t="n">
        <v>580.1183283215253</v>
      </c>
      <c r="J73" s="31" t="n">
        <v>1533.568798690708</v>
      </c>
      <c r="K73" s="31" t="n">
        <v>1407.407407407407</v>
      </c>
      <c r="L73" s="31" t="n">
        <v>150</v>
      </c>
      <c r="M73" s="31">
        <f>I73+J73+K73+L73</f>
        <v/>
      </c>
      <c r="N73" s="31">
        <f>M73*Dashboard!$B$18/(Dashboard!$B$16/3.6)</f>
        <v/>
      </c>
      <c r="O73" s="31" t="n">
        <v>375.1816080990471</v>
      </c>
      <c r="P73" s="32" t="n">
        <v>0.302373712206387</v>
      </c>
      <c r="Q73" s="33" t="n">
        <v>9.076917745081236</v>
      </c>
      <c r="R73" s="31" t="n">
        <v>344.2320891806503</v>
      </c>
      <c r="S73" s="31">
        <f>R73*IF(A73=4, 2.0, 3.0)</f>
        <v/>
      </c>
      <c r="T73" s="30">
        <f>8.0*U73</f>
        <v/>
      </c>
      <c r="U73" s="34">
        <f>MIN(1, S73/M73)</f>
        <v/>
      </c>
      <c r="V73" s="34">
        <f>N73/(N73+O73)</f>
        <v/>
      </c>
      <c r="W73" s="34">
        <f>U73*V73</f>
        <v/>
      </c>
      <c r="X73" s="32">
        <f>T73/N73</f>
        <v/>
      </c>
      <c r="Y73" s="35">
        <f>IF(X73=MAXIFS(X$2:X$721, A$2:A$721, A73, B$2:B$721, B73), "OPTIMAL", "")</f>
        <v/>
      </c>
    </row>
    <row r="74" ht="20" customHeight="1">
      <c r="A74" s="36" t="n">
        <v>4</v>
      </c>
      <c r="B74" s="36" t="n">
        <v>25</v>
      </c>
      <c r="C74" s="37" t="n">
        <v>100</v>
      </c>
      <c r="D74" s="37" t="n">
        <v>3</v>
      </c>
      <c r="E74" s="38" t="n">
        <v>8</v>
      </c>
      <c r="F74" s="37" t="n">
        <v>1.5</v>
      </c>
      <c r="G74" s="38" t="inlineStr">
        <is>
          <t>Oui</t>
        </is>
      </c>
      <c r="H74" s="38" t="inlineStr">
        <is>
          <t>ON</t>
        </is>
      </c>
      <c r="I74" s="39" t="n">
        <v>580.1183283215253</v>
      </c>
      <c r="J74" s="39" t="n">
        <v>1533.568798690708</v>
      </c>
      <c r="K74" s="39" t="n">
        <v>1407.407407407407</v>
      </c>
      <c r="L74" s="39" t="n">
        <v>150</v>
      </c>
      <c r="M74" s="39">
        <f>I74+J74+K74+L74</f>
        <v/>
      </c>
      <c r="N74" s="39">
        <f>M74*Dashboard!$B$18/(Dashboard!$B$16/3.6)</f>
        <v/>
      </c>
      <c r="O74" s="39" t="n">
        <v>444.3781830784845</v>
      </c>
      <c r="P74" s="40" t="n">
        <v>0.05562346576923688</v>
      </c>
      <c r="Q74" s="41" t="n">
        <v>13.51537661762185</v>
      </c>
      <c r="R74" s="39" t="n">
        <v>1914.648424235959</v>
      </c>
      <c r="S74" s="39">
        <f>R74*IF(A74=4, 2.0, 3.0)</f>
        <v/>
      </c>
      <c r="T74" s="37">
        <f>8.0*U74</f>
        <v/>
      </c>
      <c r="U74" s="42">
        <f>MIN(1, S74/M74)</f>
        <v/>
      </c>
      <c r="V74" s="42">
        <f>N74/(N74+O74)</f>
        <v/>
      </c>
      <c r="W74" s="42">
        <f>U74*V74</f>
        <v/>
      </c>
      <c r="X74" s="40">
        <f>T74/N74</f>
        <v/>
      </c>
      <c r="Y74" s="15">
        <f>IF(X74=MAXIFS(X$2:X$721, A$2:A$721, A74, B$2:B$721, B74), "OPTIMAL", "")</f>
        <v/>
      </c>
    </row>
    <row r="75" ht="20" customHeight="1">
      <c r="A75" s="29" t="n">
        <v>4</v>
      </c>
      <c r="B75" s="29" t="n">
        <v>25</v>
      </c>
      <c r="C75" s="30" t="n">
        <v>100</v>
      </c>
      <c r="D75" s="30" t="n">
        <v>3</v>
      </c>
      <c r="E75" s="6" t="n">
        <v>8</v>
      </c>
      <c r="F75" s="30" t="n">
        <v>1.5</v>
      </c>
      <c r="G75" s="6" t="inlineStr">
        <is>
          <t>Oui</t>
        </is>
      </c>
      <c r="H75" s="6" t="inlineStr">
        <is>
          <t>OFF</t>
        </is>
      </c>
      <c r="I75" s="31" t="n">
        <v>580.1183283215253</v>
      </c>
      <c r="J75" s="31" t="n">
        <v>1533.568798690708</v>
      </c>
      <c r="K75" s="31" t="n">
        <v>1407.407407407407</v>
      </c>
      <c r="L75" s="31" t="n">
        <v>150</v>
      </c>
      <c r="M75" s="31">
        <f>I75+J75+K75+L75</f>
        <v/>
      </c>
      <c r="N75" s="31">
        <f>M75*Dashboard!$B$18/(Dashboard!$B$16/3.6)</f>
        <v/>
      </c>
      <c r="O75" s="31" t="n">
        <v>444.3781830784845</v>
      </c>
      <c r="P75" s="32" t="n">
        <v>0.2400757351497012</v>
      </c>
      <c r="Q75" s="33" t="n">
        <v>13.51537661762185</v>
      </c>
      <c r="R75" s="31" t="n">
        <v>443.607435042128</v>
      </c>
      <c r="S75" s="31">
        <f>R75*IF(A75=4, 2.0, 3.0)</f>
        <v/>
      </c>
      <c r="T75" s="30">
        <f>8.0*U75</f>
        <v/>
      </c>
      <c r="U75" s="34">
        <f>MIN(1, S75/M75)</f>
        <v/>
      </c>
      <c r="V75" s="34">
        <f>N75/(N75+O75)</f>
        <v/>
      </c>
      <c r="W75" s="34">
        <f>U75*V75</f>
        <v/>
      </c>
      <c r="X75" s="32">
        <f>T75/N75</f>
        <v/>
      </c>
      <c r="Y75" s="35">
        <f>IF(X75=MAXIFS(X$2:X$721, A$2:A$721, A75, B$2:B$721, B75), "OPTIMAL", "")</f>
        <v/>
      </c>
    </row>
    <row r="76" ht="20" customHeight="1">
      <c r="A76" s="36" t="n">
        <v>4</v>
      </c>
      <c r="B76" s="36" t="n">
        <v>25</v>
      </c>
      <c r="C76" s="37" t="n">
        <v>100</v>
      </c>
      <c r="D76" s="37" t="n">
        <v>3</v>
      </c>
      <c r="E76" s="38" t="n">
        <v>8</v>
      </c>
      <c r="F76" s="37" t="n">
        <v>1.5</v>
      </c>
      <c r="G76" s="38" t="inlineStr">
        <is>
          <t>Non</t>
        </is>
      </c>
      <c r="H76" s="38" t="inlineStr">
        <is>
          <t>ON</t>
        </is>
      </c>
      <c r="I76" s="39" t="n">
        <v>580.1183283215253</v>
      </c>
      <c r="J76" s="39" t="n">
        <v>1533.568798690708</v>
      </c>
      <c r="K76" s="39" t="n">
        <v>1407.407407407407</v>
      </c>
      <c r="L76" s="39" t="n">
        <v>150</v>
      </c>
      <c r="M76" s="39">
        <f>I76+J76+K76+L76</f>
        <v/>
      </c>
      <c r="N76" s="39">
        <f>M76*Dashboard!$B$18/(Dashboard!$B$16/3.6)</f>
        <v/>
      </c>
      <c r="O76" s="39" t="n">
        <v>444.3781830784845</v>
      </c>
      <c r="P76" s="40" t="n">
        <v>0.05244036690739898</v>
      </c>
      <c r="Q76" s="41" t="n">
        <v>13.51537661762185</v>
      </c>
      <c r="R76" s="39" t="n">
        <v>2030.866436798059</v>
      </c>
      <c r="S76" s="39">
        <f>R76*IF(A76=4, 2.0, 3.0)</f>
        <v/>
      </c>
      <c r="T76" s="37">
        <f>8.0*U76</f>
        <v/>
      </c>
      <c r="U76" s="42">
        <f>MIN(1, S76/M76)</f>
        <v/>
      </c>
      <c r="V76" s="42">
        <f>N76/(N76+O76)</f>
        <v/>
      </c>
      <c r="W76" s="42">
        <f>U76*V76</f>
        <v/>
      </c>
      <c r="X76" s="40">
        <f>T76/N76</f>
        <v/>
      </c>
      <c r="Y76" s="15">
        <f>IF(X76=MAXIFS(X$2:X$721, A$2:A$721, A76, B$2:B$721, B76), "OPTIMAL", "")</f>
        <v/>
      </c>
    </row>
    <row r="77" ht="20" customHeight="1">
      <c r="A77" s="29" t="n">
        <v>4</v>
      </c>
      <c r="B77" s="29" t="n">
        <v>25</v>
      </c>
      <c r="C77" s="30" t="n">
        <v>100</v>
      </c>
      <c r="D77" s="30" t="n">
        <v>3</v>
      </c>
      <c r="E77" s="6" t="n">
        <v>8</v>
      </c>
      <c r="F77" s="30" t="n">
        <v>1.5</v>
      </c>
      <c r="G77" s="6" t="inlineStr">
        <is>
          <t>Non</t>
        </is>
      </c>
      <c r="H77" s="6" t="inlineStr">
        <is>
          <t>OFF</t>
        </is>
      </c>
      <c r="I77" s="31" t="n">
        <v>580.1183283215253</v>
      </c>
      <c r="J77" s="31" t="n">
        <v>1533.568798690708</v>
      </c>
      <c r="K77" s="31" t="n">
        <v>1407.407407407407</v>
      </c>
      <c r="L77" s="31" t="n">
        <v>150</v>
      </c>
      <c r="M77" s="31">
        <f>I77+J77+K77+L77</f>
        <v/>
      </c>
      <c r="N77" s="31">
        <f>M77*Dashboard!$B$18/(Dashboard!$B$16/3.6)</f>
        <v/>
      </c>
      <c r="O77" s="31" t="n">
        <v>444.3781830784845</v>
      </c>
      <c r="P77" s="32" t="n">
        <v>0.2368926362878633</v>
      </c>
      <c r="Q77" s="33" t="n">
        <v>13.51537661762185</v>
      </c>
      <c r="R77" s="31" t="n">
        <v>449.5681366650758</v>
      </c>
      <c r="S77" s="31">
        <f>R77*IF(A77=4, 2.0, 3.0)</f>
        <v/>
      </c>
      <c r="T77" s="30">
        <f>8.0*U77</f>
        <v/>
      </c>
      <c r="U77" s="34">
        <f>MIN(1, S77/M77)</f>
        <v/>
      </c>
      <c r="V77" s="34">
        <f>N77/(N77+O77)</f>
        <v/>
      </c>
      <c r="W77" s="34">
        <f>U77*V77</f>
        <v/>
      </c>
      <c r="X77" s="32">
        <f>T77/N77</f>
        <v/>
      </c>
      <c r="Y77" s="35">
        <f>IF(X77=MAXIFS(X$2:X$721, A$2:A$721, A77, B$2:B$721, B77), "OPTIMAL", "")</f>
        <v/>
      </c>
    </row>
    <row r="78" ht="20" customHeight="1">
      <c r="A78" s="36" t="n">
        <v>4</v>
      </c>
      <c r="B78" s="36" t="n">
        <v>25</v>
      </c>
      <c r="C78" s="37" t="n">
        <v>100</v>
      </c>
      <c r="D78" s="37" t="n">
        <v>3</v>
      </c>
      <c r="E78" s="38" t="n">
        <v>8</v>
      </c>
      <c r="F78" s="37" t="n">
        <v>2</v>
      </c>
      <c r="G78" s="38" t="inlineStr">
        <is>
          <t>Oui</t>
        </is>
      </c>
      <c r="H78" s="38" t="inlineStr">
        <is>
          <t>ON</t>
        </is>
      </c>
      <c r="I78" s="39" t="n">
        <v>580.1183283215253</v>
      </c>
      <c r="J78" s="39" t="n">
        <v>1533.568798690708</v>
      </c>
      <c r="K78" s="39" t="n">
        <v>1407.407407407407</v>
      </c>
      <c r="L78" s="39" t="n">
        <v>150</v>
      </c>
      <c r="M78" s="39">
        <f>I78+J78+K78+L78</f>
        <v/>
      </c>
      <c r="N78" s="39">
        <f>M78*Dashboard!$B$18/(Dashboard!$B$16/3.6)</f>
        <v/>
      </c>
      <c r="O78" s="39" t="n">
        <v>516.85871903057</v>
      </c>
      <c r="P78" s="40" t="n">
        <v>0.05441799410512958</v>
      </c>
      <c r="Q78" s="41" t="n">
        <v>17.95383549016247</v>
      </c>
      <c r="R78" s="39" t="n">
        <v>2003.501410055153</v>
      </c>
      <c r="S78" s="39">
        <f>R78*IF(A78=4, 2.0, 3.0)</f>
        <v/>
      </c>
      <c r="T78" s="37">
        <f>8.0*U78</f>
        <v/>
      </c>
      <c r="U78" s="42">
        <f>MIN(1, S78/M78)</f>
        <v/>
      </c>
      <c r="V78" s="42">
        <f>N78/(N78+O78)</f>
        <v/>
      </c>
      <c r="W78" s="42">
        <f>U78*V78</f>
        <v/>
      </c>
      <c r="X78" s="40">
        <f>T78/N78</f>
        <v/>
      </c>
      <c r="Y78" s="15">
        <f>IF(X78=MAXIFS(X$2:X$721, A$2:A$721, A78, B$2:B$721, B78), "OPTIMAL", "")</f>
        <v/>
      </c>
    </row>
    <row r="79" ht="20" customHeight="1">
      <c r="A79" s="29" t="n">
        <v>4</v>
      </c>
      <c r="B79" s="29" t="n">
        <v>25</v>
      </c>
      <c r="C79" s="30" t="n">
        <v>100</v>
      </c>
      <c r="D79" s="30" t="n">
        <v>3</v>
      </c>
      <c r="E79" s="6" t="n">
        <v>8</v>
      </c>
      <c r="F79" s="30" t="n">
        <v>2</v>
      </c>
      <c r="G79" s="6" t="inlineStr">
        <is>
          <t>Oui</t>
        </is>
      </c>
      <c r="H79" s="6" t="inlineStr">
        <is>
          <t>OFF</t>
        </is>
      </c>
      <c r="I79" s="31" t="n">
        <v>580.1183283215253</v>
      </c>
      <c r="J79" s="31" t="n">
        <v>1533.568798690708</v>
      </c>
      <c r="K79" s="31" t="n">
        <v>1407.407407407407</v>
      </c>
      <c r="L79" s="31" t="n">
        <v>150</v>
      </c>
      <c r="M79" s="31">
        <f>I79+J79+K79+L79</f>
        <v/>
      </c>
      <c r="N79" s="31">
        <f>M79*Dashboard!$B$18/(Dashboard!$B$16/3.6)</f>
        <v/>
      </c>
      <c r="O79" s="31" t="n">
        <v>516.85871903057</v>
      </c>
      <c r="P79" s="32" t="n">
        <v>0.2402392320400437</v>
      </c>
      <c r="Q79" s="33" t="n">
        <v>17.95383549016247</v>
      </c>
      <c r="R79" s="31" t="n">
        <v>453.8248270117151</v>
      </c>
      <c r="S79" s="31">
        <f>R79*IF(A79=4, 2.0, 3.0)</f>
        <v/>
      </c>
      <c r="T79" s="30">
        <f>8.0*U79</f>
        <v/>
      </c>
      <c r="U79" s="34">
        <f>MIN(1, S79/M79)</f>
        <v/>
      </c>
      <c r="V79" s="34">
        <f>N79/(N79+O79)</f>
        <v/>
      </c>
      <c r="W79" s="34">
        <f>U79*V79</f>
        <v/>
      </c>
      <c r="X79" s="32">
        <f>T79/N79</f>
        <v/>
      </c>
      <c r="Y79" s="35">
        <f>IF(X79=MAXIFS(X$2:X$721, A$2:A$721, A79, B$2:B$721, B79), "OPTIMAL", "")</f>
        <v/>
      </c>
    </row>
    <row r="80" ht="20" customHeight="1">
      <c r="A80" s="36" t="n">
        <v>4</v>
      </c>
      <c r="B80" s="36" t="n">
        <v>25</v>
      </c>
      <c r="C80" s="37" t="n">
        <v>100</v>
      </c>
      <c r="D80" s="37" t="n">
        <v>3</v>
      </c>
      <c r="E80" s="38" t="n">
        <v>8</v>
      </c>
      <c r="F80" s="37" t="n">
        <v>2</v>
      </c>
      <c r="G80" s="38" t="inlineStr">
        <is>
          <t>Non</t>
        </is>
      </c>
      <c r="H80" s="38" t="inlineStr">
        <is>
          <t>ON</t>
        </is>
      </c>
      <c r="I80" s="39" t="n">
        <v>580.1183283215253</v>
      </c>
      <c r="J80" s="39" t="n">
        <v>1533.568798690708</v>
      </c>
      <c r="K80" s="39" t="n">
        <v>1407.407407407407</v>
      </c>
      <c r="L80" s="39" t="n">
        <v>150</v>
      </c>
      <c r="M80" s="39">
        <f>I80+J80+K80+L80</f>
        <v/>
      </c>
      <c r="N80" s="39">
        <f>M80*Dashboard!$B$18/(Dashboard!$B$16/3.6)</f>
        <v/>
      </c>
      <c r="O80" s="39" t="n">
        <v>516.85871903057</v>
      </c>
      <c r="P80" s="40" t="n">
        <v>0.05123489524329167</v>
      </c>
      <c r="Q80" s="41" t="n">
        <v>17.95383549016247</v>
      </c>
      <c r="R80" s="39" t="n">
        <v>2127.974057608232</v>
      </c>
      <c r="S80" s="39">
        <f>R80*IF(A80=4, 2.0, 3.0)</f>
        <v/>
      </c>
      <c r="T80" s="37">
        <f>8.0*U80</f>
        <v/>
      </c>
      <c r="U80" s="42">
        <f>MIN(1, S80/M80)</f>
        <v/>
      </c>
      <c r="V80" s="42">
        <f>N80/(N80+O80)</f>
        <v/>
      </c>
      <c r="W80" s="42">
        <f>U80*V80</f>
        <v/>
      </c>
      <c r="X80" s="40">
        <f>T80/N80</f>
        <v/>
      </c>
      <c r="Y80" s="15">
        <f>IF(X80=MAXIFS(X$2:X$721, A$2:A$721, A80, B$2:B$721, B80), "OPTIMAL", "")</f>
        <v/>
      </c>
    </row>
    <row r="81" ht="20" customHeight="1">
      <c r="A81" s="29" t="n">
        <v>4</v>
      </c>
      <c r="B81" s="29" t="n">
        <v>25</v>
      </c>
      <c r="C81" s="30" t="n">
        <v>100</v>
      </c>
      <c r="D81" s="30" t="n">
        <v>3</v>
      </c>
      <c r="E81" s="6" t="n">
        <v>8</v>
      </c>
      <c r="F81" s="30" t="n">
        <v>2</v>
      </c>
      <c r="G81" s="6" t="inlineStr">
        <is>
          <t>Non</t>
        </is>
      </c>
      <c r="H81" s="6" t="inlineStr">
        <is>
          <t>OFF</t>
        </is>
      </c>
      <c r="I81" s="31" t="n">
        <v>580.1183283215253</v>
      </c>
      <c r="J81" s="31" t="n">
        <v>1533.568798690708</v>
      </c>
      <c r="K81" s="31" t="n">
        <v>1407.407407407407</v>
      </c>
      <c r="L81" s="31" t="n">
        <v>150</v>
      </c>
      <c r="M81" s="31">
        <f>I81+J81+K81+L81</f>
        <v/>
      </c>
      <c r="N81" s="31">
        <f>M81*Dashboard!$B$18/(Dashboard!$B$16/3.6)</f>
        <v/>
      </c>
      <c r="O81" s="31" t="n">
        <v>516.85871903057</v>
      </c>
      <c r="P81" s="32" t="n">
        <v>0.2370561331782058</v>
      </c>
      <c r="Q81" s="33" t="n">
        <v>17.95383549016247</v>
      </c>
      <c r="R81" s="31" t="n">
        <v>459.9186127786871</v>
      </c>
      <c r="S81" s="31">
        <f>R81*IF(A81=4, 2.0, 3.0)</f>
        <v/>
      </c>
      <c r="T81" s="30">
        <f>8.0*U81</f>
        <v/>
      </c>
      <c r="U81" s="34">
        <f>MIN(1, S81/M81)</f>
        <v/>
      </c>
      <c r="V81" s="34">
        <f>N81/(N81+O81)</f>
        <v/>
      </c>
      <c r="W81" s="34">
        <f>U81*V81</f>
        <v/>
      </c>
      <c r="X81" s="32">
        <f>T81/N81</f>
        <v/>
      </c>
      <c r="Y81" s="35">
        <f>IF(X81=MAXIFS(X$2:X$721, A$2:A$721, A81, B$2:B$721, B81), "OPTIMAL", "")</f>
        <v/>
      </c>
    </row>
    <row r="82" ht="20" customHeight="1">
      <c r="A82" s="21" t="n">
        <v>4</v>
      </c>
      <c r="B82" s="21" t="n">
        <v>25</v>
      </c>
      <c r="C82" s="22" t="n">
        <v>120</v>
      </c>
      <c r="D82" s="22" t="n">
        <v>2</v>
      </c>
      <c r="E82" s="23" t="n">
        <v>0</v>
      </c>
      <c r="F82" s="22" t="n">
        <v>0</v>
      </c>
      <c r="G82" s="23" t="inlineStr">
        <is>
          <t>Oui</t>
        </is>
      </c>
      <c r="H82" s="23" t="inlineStr">
        <is>
          <t>ON</t>
        </is>
      </c>
      <c r="I82" s="24" t="n">
        <v>580.1183283215253</v>
      </c>
      <c r="J82" s="24" t="n">
        <v>1533.568798690708</v>
      </c>
      <c r="K82" s="24" t="n">
        <v>1407.407407407407</v>
      </c>
      <c r="L82" s="24" t="n">
        <v>150</v>
      </c>
      <c r="M82" s="24">
        <f>I82+J82+K82+L82</f>
        <v/>
      </c>
      <c r="N82" s="24">
        <f>M82*Dashboard!$B$18/(Dashboard!$B$16/3.6)</f>
        <v/>
      </c>
      <c r="O82" s="24" t="n">
        <v>130.8929950245339</v>
      </c>
      <c r="P82" s="25" t="n">
        <v>0.4668808197339223</v>
      </c>
      <c r="Q82" s="26" t="n">
        <v>0.2</v>
      </c>
      <c r="R82" s="24" t="n">
        <v>140.0505222205843</v>
      </c>
      <c r="S82" s="24">
        <f>R82*IF(A82=4, 2.0, 3.0)</f>
        <v/>
      </c>
      <c r="T82" s="22">
        <f>8.0*U82</f>
        <v/>
      </c>
      <c r="U82" s="27">
        <f>MIN(1, S82/M82)</f>
        <v/>
      </c>
      <c r="V82" s="27">
        <f>N82/(N82+O82)</f>
        <v/>
      </c>
      <c r="W82" s="27">
        <f>U82*V82</f>
        <v/>
      </c>
      <c r="X82" s="25">
        <f>T82/N82</f>
        <v/>
      </c>
      <c r="Y82" s="28">
        <f>IF(X82=MAXIFS(X$2:X$721, A$2:A$721, A82, B$2:B$721, B82), "OPTIMAL", "")</f>
        <v/>
      </c>
    </row>
    <row r="83" ht="20" customHeight="1">
      <c r="A83" s="29" t="n">
        <v>4</v>
      </c>
      <c r="B83" s="29" t="n">
        <v>25</v>
      </c>
      <c r="C83" s="30" t="n">
        <v>120</v>
      </c>
      <c r="D83" s="30" t="n">
        <v>2</v>
      </c>
      <c r="E83" s="6" t="n">
        <v>0</v>
      </c>
      <c r="F83" s="30" t="n">
        <v>0</v>
      </c>
      <c r="G83" s="6" t="inlineStr">
        <is>
          <t>Oui</t>
        </is>
      </c>
      <c r="H83" s="6" t="inlineStr">
        <is>
          <t>OFF</t>
        </is>
      </c>
      <c r="I83" s="31" t="n">
        <v>580.1183283215253</v>
      </c>
      <c r="J83" s="31" t="n">
        <v>1533.568798690708</v>
      </c>
      <c r="K83" s="31" t="n">
        <v>1407.407407407407</v>
      </c>
      <c r="L83" s="31" t="n">
        <v>150</v>
      </c>
      <c r="M83" s="31">
        <f>I83+J83+K83+L83</f>
        <v/>
      </c>
      <c r="N83" s="31">
        <f>M83*Dashboard!$B$18/(Dashboard!$B$16/3.6)</f>
        <v/>
      </c>
      <c r="O83" s="31" t="n">
        <v>130.8929950245339</v>
      </c>
      <c r="P83" s="32" t="n">
        <v>0.7321390582204146</v>
      </c>
      <c r="Q83" s="33" t="n">
        <v>0.2</v>
      </c>
      <c r="R83" s="31" t="n">
        <v>89.30940356801071</v>
      </c>
      <c r="S83" s="31">
        <f>R83*IF(A83=4, 2.0, 3.0)</f>
        <v/>
      </c>
      <c r="T83" s="30">
        <f>8.0*U83</f>
        <v/>
      </c>
      <c r="U83" s="34">
        <f>MIN(1, S83/M83)</f>
        <v/>
      </c>
      <c r="V83" s="34">
        <f>N83/(N83+O83)</f>
        <v/>
      </c>
      <c r="W83" s="34">
        <f>U83*V83</f>
        <v/>
      </c>
      <c r="X83" s="32">
        <f>T83/N83</f>
        <v/>
      </c>
      <c r="Y83" s="35">
        <f>IF(X83=MAXIFS(X$2:X$721, A$2:A$721, A83, B$2:B$721, B83), "OPTIMAL", "")</f>
        <v/>
      </c>
    </row>
    <row r="84" ht="20" customHeight="1">
      <c r="A84" s="21" t="n">
        <v>4</v>
      </c>
      <c r="B84" s="21" t="n">
        <v>25</v>
      </c>
      <c r="C84" s="22" t="n">
        <v>120</v>
      </c>
      <c r="D84" s="22" t="n">
        <v>2</v>
      </c>
      <c r="E84" s="23" t="n">
        <v>0</v>
      </c>
      <c r="F84" s="22" t="n">
        <v>0</v>
      </c>
      <c r="G84" s="23" t="inlineStr">
        <is>
          <t>Non</t>
        </is>
      </c>
      <c r="H84" s="23" t="inlineStr">
        <is>
          <t>ON</t>
        </is>
      </c>
      <c r="I84" s="24" t="n">
        <v>580.1183283215253</v>
      </c>
      <c r="J84" s="24" t="n">
        <v>1533.568798690708</v>
      </c>
      <c r="K84" s="24" t="n">
        <v>1407.407407407407</v>
      </c>
      <c r="L84" s="24" t="n">
        <v>150</v>
      </c>
      <c r="M84" s="24">
        <f>I84+J84+K84+L84</f>
        <v/>
      </c>
      <c r="N84" s="24">
        <f>M84*Dashboard!$B$18/(Dashboard!$B$16/3.6)</f>
        <v/>
      </c>
      <c r="O84" s="24" t="n">
        <v>130.8929950245339</v>
      </c>
      <c r="P84" s="25" t="n">
        <v>0.4642282373490574</v>
      </c>
      <c r="Q84" s="26" t="n">
        <v>0.2</v>
      </c>
      <c r="R84" s="24" t="n">
        <v>140.8507655456238</v>
      </c>
      <c r="S84" s="24">
        <f>R84*IF(A84=4, 2.0, 3.0)</f>
        <v/>
      </c>
      <c r="T84" s="22">
        <f>8.0*U84</f>
        <v/>
      </c>
      <c r="U84" s="27">
        <f>MIN(1, S84/M84)</f>
        <v/>
      </c>
      <c r="V84" s="27">
        <f>N84/(N84+O84)</f>
        <v/>
      </c>
      <c r="W84" s="27">
        <f>U84*V84</f>
        <v/>
      </c>
      <c r="X84" s="25">
        <f>T84/N84</f>
        <v/>
      </c>
      <c r="Y84" s="28">
        <f>IF(X84=MAXIFS(X$2:X$721, A$2:A$721, A84, B$2:B$721, B84), "OPTIMAL", "")</f>
        <v/>
      </c>
    </row>
    <row r="85" ht="20" customHeight="1">
      <c r="A85" s="29" t="n">
        <v>4</v>
      </c>
      <c r="B85" s="29" t="n">
        <v>25</v>
      </c>
      <c r="C85" s="30" t="n">
        <v>120</v>
      </c>
      <c r="D85" s="30" t="n">
        <v>2</v>
      </c>
      <c r="E85" s="6" t="n">
        <v>0</v>
      </c>
      <c r="F85" s="30" t="n">
        <v>0</v>
      </c>
      <c r="G85" s="6" t="inlineStr">
        <is>
          <t>Non</t>
        </is>
      </c>
      <c r="H85" s="6" t="inlineStr">
        <is>
          <t>OFF</t>
        </is>
      </c>
      <c r="I85" s="31" t="n">
        <v>580.1183283215253</v>
      </c>
      <c r="J85" s="31" t="n">
        <v>1533.568798690708</v>
      </c>
      <c r="K85" s="31" t="n">
        <v>1407.407407407407</v>
      </c>
      <c r="L85" s="31" t="n">
        <v>150</v>
      </c>
      <c r="M85" s="31">
        <f>I85+J85+K85+L85</f>
        <v/>
      </c>
      <c r="N85" s="31">
        <f>M85*Dashboard!$B$18/(Dashboard!$B$16/3.6)</f>
        <v/>
      </c>
      <c r="O85" s="31" t="n">
        <v>130.8929950245339</v>
      </c>
      <c r="P85" s="32" t="n">
        <v>0.7294864758355497</v>
      </c>
      <c r="Q85" s="33" t="n">
        <v>0.2</v>
      </c>
      <c r="R85" s="31" t="n">
        <v>89.63415331808105</v>
      </c>
      <c r="S85" s="31">
        <f>R85*IF(A85=4, 2.0, 3.0)</f>
        <v/>
      </c>
      <c r="T85" s="30">
        <f>8.0*U85</f>
        <v/>
      </c>
      <c r="U85" s="34">
        <f>MIN(1, S85/M85)</f>
        <v/>
      </c>
      <c r="V85" s="34">
        <f>N85/(N85+O85)</f>
        <v/>
      </c>
      <c r="W85" s="34">
        <f>U85*V85</f>
        <v/>
      </c>
      <c r="X85" s="32">
        <f>T85/N85</f>
        <v/>
      </c>
      <c r="Y85" s="35">
        <f>IF(X85=MAXIFS(X$2:X$721, A$2:A$721, A85, B$2:B$721, B85), "OPTIMAL", "")</f>
        <v/>
      </c>
    </row>
    <row r="86" ht="20" customHeight="1">
      <c r="A86" s="21" t="n">
        <v>4</v>
      </c>
      <c r="B86" s="21" t="n">
        <v>25</v>
      </c>
      <c r="C86" s="22" t="n">
        <v>120</v>
      </c>
      <c r="D86" s="22" t="n">
        <v>2</v>
      </c>
      <c r="E86" s="23" t="n">
        <v>4</v>
      </c>
      <c r="F86" s="22" t="n">
        <v>1.5</v>
      </c>
      <c r="G86" s="23" t="inlineStr">
        <is>
          <t>Oui</t>
        </is>
      </c>
      <c r="H86" s="23" t="inlineStr">
        <is>
          <t>ON</t>
        </is>
      </c>
      <c r="I86" s="24" t="n">
        <v>580.1183283215253</v>
      </c>
      <c r="J86" s="24" t="n">
        <v>1533.568798690708</v>
      </c>
      <c r="K86" s="24" t="n">
        <v>1407.407407407407</v>
      </c>
      <c r="L86" s="24" t="n">
        <v>150</v>
      </c>
      <c r="M86" s="24">
        <f>I86+J86+K86+L86</f>
        <v/>
      </c>
      <c r="N86" s="24">
        <f>M86*Dashboard!$B$18/(Dashboard!$B$16/3.6)</f>
        <v/>
      </c>
      <c r="O86" s="24" t="n">
        <v>201.2331001661026</v>
      </c>
      <c r="P86" s="25" t="n">
        <v>0.06805759746267123</v>
      </c>
      <c r="Q86" s="26" t="n">
        <v>5.595023284726097</v>
      </c>
      <c r="R86" s="24" t="n">
        <v>986.7522166437142</v>
      </c>
      <c r="S86" s="24">
        <f>R86*IF(A86=4, 2.0, 3.0)</f>
        <v/>
      </c>
      <c r="T86" s="22">
        <f>8.0*U86</f>
        <v/>
      </c>
      <c r="U86" s="27">
        <f>MIN(1, S86/M86)</f>
        <v/>
      </c>
      <c r="V86" s="27">
        <f>N86/(N86+O86)</f>
        <v/>
      </c>
      <c r="W86" s="27">
        <f>U86*V86</f>
        <v/>
      </c>
      <c r="X86" s="25">
        <f>T86/N86</f>
        <v/>
      </c>
      <c r="Y86" s="28">
        <f>IF(X86=MAXIFS(X$2:X$721, A$2:A$721, A86, B$2:B$721, B86), "OPTIMAL", "")</f>
        <v/>
      </c>
    </row>
    <row r="87" ht="20" customHeight="1">
      <c r="A87" s="29" t="n">
        <v>4</v>
      </c>
      <c r="B87" s="29" t="n">
        <v>25</v>
      </c>
      <c r="C87" s="30" t="n">
        <v>120</v>
      </c>
      <c r="D87" s="30" t="n">
        <v>2</v>
      </c>
      <c r="E87" s="6" t="n">
        <v>4</v>
      </c>
      <c r="F87" s="30" t="n">
        <v>1.5</v>
      </c>
      <c r="G87" s="6" t="inlineStr">
        <is>
          <t>Oui</t>
        </is>
      </c>
      <c r="H87" s="6" t="inlineStr">
        <is>
          <t>OFF</t>
        </is>
      </c>
      <c r="I87" s="31" t="n">
        <v>580.1183283215253</v>
      </c>
      <c r="J87" s="31" t="n">
        <v>1533.568798690708</v>
      </c>
      <c r="K87" s="31" t="n">
        <v>1407.407407407407</v>
      </c>
      <c r="L87" s="31" t="n">
        <v>150</v>
      </c>
      <c r="M87" s="31">
        <f>I87+J87+K87+L87</f>
        <v/>
      </c>
      <c r="N87" s="31">
        <f>M87*Dashboard!$B$18/(Dashboard!$B$16/3.6)</f>
        <v/>
      </c>
      <c r="O87" s="31" t="n">
        <v>201.2331001661026</v>
      </c>
      <c r="P87" s="32" t="n">
        <v>0.2717308104184109</v>
      </c>
      <c r="Q87" s="33" t="n">
        <v>5.595023284726097</v>
      </c>
      <c r="R87" s="31" t="n">
        <v>247.1415922704155</v>
      </c>
      <c r="S87" s="31">
        <f>R87*IF(A87=4, 2.0, 3.0)</f>
        <v/>
      </c>
      <c r="T87" s="30">
        <f>8.0*U87</f>
        <v/>
      </c>
      <c r="U87" s="34">
        <f>MIN(1, S87/M87)</f>
        <v/>
      </c>
      <c r="V87" s="34">
        <f>N87/(N87+O87)</f>
        <v/>
      </c>
      <c r="W87" s="34">
        <f>U87*V87</f>
        <v/>
      </c>
      <c r="X87" s="32">
        <f>T87/N87</f>
        <v/>
      </c>
      <c r="Y87" s="35">
        <f>IF(X87=MAXIFS(X$2:X$721, A$2:A$721, A87, B$2:B$721, B87), "OPTIMAL", "")</f>
        <v/>
      </c>
    </row>
    <row r="88" ht="20" customHeight="1">
      <c r="A88" s="21" t="n">
        <v>4</v>
      </c>
      <c r="B88" s="21" t="n">
        <v>25</v>
      </c>
      <c r="C88" s="22" t="n">
        <v>120</v>
      </c>
      <c r="D88" s="22" t="n">
        <v>2</v>
      </c>
      <c r="E88" s="23" t="n">
        <v>4</v>
      </c>
      <c r="F88" s="22" t="n">
        <v>1.5</v>
      </c>
      <c r="G88" s="23" t="inlineStr">
        <is>
          <t>Non</t>
        </is>
      </c>
      <c r="H88" s="23" t="inlineStr">
        <is>
          <t>ON</t>
        </is>
      </c>
      <c r="I88" s="24" t="n">
        <v>580.1183283215253</v>
      </c>
      <c r="J88" s="24" t="n">
        <v>1533.568798690708</v>
      </c>
      <c r="K88" s="24" t="n">
        <v>1407.407407407407</v>
      </c>
      <c r="L88" s="24" t="n">
        <v>150</v>
      </c>
      <c r="M88" s="24">
        <f>I88+J88+K88+L88</f>
        <v/>
      </c>
      <c r="N88" s="24">
        <f>M88*Dashboard!$B$18/(Dashboard!$B$16/3.6)</f>
        <v/>
      </c>
      <c r="O88" s="24" t="n">
        <v>201.2331001661026</v>
      </c>
      <c r="P88" s="25" t="n">
        <v>0.0654050150778063</v>
      </c>
      <c r="Q88" s="26" t="n">
        <v>5.595023284726097</v>
      </c>
      <c r="R88" s="24" t="n">
        <v>1026.771189882721</v>
      </c>
      <c r="S88" s="24">
        <f>R88*IF(A88=4, 2.0, 3.0)</f>
        <v/>
      </c>
      <c r="T88" s="22">
        <f>8.0*U88</f>
        <v/>
      </c>
      <c r="U88" s="27">
        <f>MIN(1, S88/M88)</f>
        <v/>
      </c>
      <c r="V88" s="27">
        <f>N88/(N88+O88)</f>
        <v/>
      </c>
      <c r="W88" s="27">
        <f>U88*V88</f>
        <v/>
      </c>
      <c r="X88" s="25">
        <f>T88/N88</f>
        <v/>
      </c>
      <c r="Y88" s="28">
        <f>IF(X88=MAXIFS(X$2:X$721, A$2:A$721, A88, B$2:B$721, B88), "OPTIMAL", "")</f>
        <v/>
      </c>
    </row>
    <row r="89" ht="20" customHeight="1">
      <c r="A89" s="29" t="n">
        <v>4</v>
      </c>
      <c r="B89" s="29" t="n">
        <v>25</v>
      </c>
      <c r="C89" s="30" t="n">
        <v>120</v>
      </c>
      <c r="D89" s="30" t="n">
        <v>2</v>
      </c>
      <c r="E89" s="6" t="n">
        <v>4</v>
      </c>
      <c r="F89" s="30" t="n">
        <v>1.5</v>
      </c>
      <c r="G89" s="6" t="inlineStr">
        <is>
          <t>Non</t>
        </is>
      </c>
      <c r="H89" s="6" t="inlineStr">
        <is>
          <t>OFF</t>
        </is>
      </c>
      <c r="I89" s="31" t="n">
        <v>580.1183283215253</v>
      </c>
      <c r="J89" s="31" t="n">
        <v>1533.568798690708</v>
      </c>
      <c r="K89" s="31" t="n">
        <v>1407.407407407407</v>
      </c>
      <c r="L89" s="31" t="n">
        <v>150</v>
      </c>
      <c r="M89" s="31">
        <f>I89+J89+K89+L89</f>
        <v/>
      </c>
      <c r="N89" s="31">
        <f>M89*Dashboard!$B$18/(Dashboard!$B$16/3.6)</f>
        <v/>
      </c>
      <c r="O89" s="31" t="n">
        <v>201.2331001661026</v>
      </c>
      <c r="P89" s="32" t="n">
        <v>0.2690782280335459</v>
      </c>
      <c r="Q89" s="33" t="n">
        <v>5.595023284726097</v>
      </c>
      <c r="R89" s="31" t="n">
        <v>249.5779225488438</v>
      </c>
      <c r="S89" s="31">
        <f>R89*IF(A89=4, 2.0, 3.0)</f>
        <v/>
      </c>
      <c r="T89" s="30">
        <f>8.0*U89</f>
        <v/>
      </c>
      <c r="U89" s="34">
        <f>MIN(1, S89/M89)</f>
        <v/>
      </c>
      <c r="V89" s="34">
        <f>N89/(N89+O89)</f>
        <v/>
      </c>
      <c r="W89" s="34">
        <f>U89*V89</f>
        <v/>
      </c>
      <c r="X89" s="32">
        <f>T89/N89</f>
        <v/>
      </c>
      <c r="Y89" s="35">
        <f>IF(X89=MAXIFS(X$2:X$721, A$2:A$721, A89, B$2:B$721, B89), "OPTIMAL", "")</f>
        <v/>
      </c>
    </row>
    <row r="90" ht="20" customHeight="1">
      <c r="A90" s="21" t="n">
        <v>4</v>
      </c>
      <c r="B90" s="21" t="n">
        <v>25</v>
      </c>
      <c r="C90" s="22" t="n">
        <v>120</v>
      </c>
      <c r="D90" s="22" t="n">
        <v>2</v>
      </c>
      <c r="E90" s="23" t="n">
        <v>4</v>
      </c>
      <c r="F90" s="22" t="n">
        <v>2</v>
      </c>
      <c r="G90" s="23" t="inlineStr">
        <is>
          <t>Oui</t>
        </is>
      </c>
      <c r="H90" s="23" t="inlineStr">
        <is>
          <t>ON</t>
        </is>
      </c>
      <c r="I90" s="24" t="n">
        <v>580.1183283215253</v>
      </c>
      <c r="J90" s="24" t="n">
        <v>1533.568798690708</v>
      </c>
      <c r="K90" s="24" t="n">
        <v>1407.407407407407</v>
      </c>
      <c r="L90" s="24" t="n">
        <v>150</v>
      </c>
      <c r="M90" s="24">
        <f>I90+J90+K90+L90</f>
        <v/>
      </c>
      <c r="N90" s="24">
        <f>M90*Dashboard!$B$18/(Dashboard!$B$16/3.6)</f>
        <v/>
      </c>
      <c r="O90" s="24" t="n">
        <v>225.5333191133194</v>
      </c>
      <c r="P90" s="25" t="n">
        <v>0.06474901627983365</v>
      </c>
      <c r="Q90" s="26" t="n">
        <v>7.393364379634797</v>
      </c>
      <c r="R90" s="24" t="n">
        <v>1046.612744677762</v>
      </c>
      <c r="S90" s="24">
        <f>R90*IF(A90=4, 2.0, 3.0)</f>
        <v/>
      </c>
      <c r="T90" s="22">
        <f>8.0*U90</f>
        <v/>
      </c>
      <c r="U90" s="27">
        <f>MIN(1, S90/M90)</f>
        <v/>
      </c>
      <c r="V90" s="27">
        <f>N90/(N90+O90)</f>
        <v/>
      </c>
      <c r="W90" s="27">
        <f>U90*V90</f>
        <v/>
      </c>
      <c r="X90" s="25">
        <f>T90/N90</f>
        <v/>
      </c>
      <c r="Y90" s="28">
        <f>IF(X90=MAXIFS(X$2:X$721, A$2:A$721, A90, B$2:B$721, B90), "OPTIMAL", "")</f>
        <v/>
      </c>
    </row>
    <row r="91" ht="20" customHeight="1">
      <c r="A91" s="29" t="n">
        <v>4</v>
      </c>
      <c r="B91" s="29" t="n">
        <v>25</v>
      </c>
      <c r="C91" s="30" t="n">
        <v>120</v>
      </c>
      <c r="D91" s="30" t="n">
        <v>2</v>
      </c>
      <c r="E91" s="6" t="n">
        <v>4</v>
      </c>
      <c r="F91" s="30" t="n">
        <v>2</v>
      </c>
      <c r="G91" s="6" t="inlineStr">
        <is>
          <t>Oui</t>
        </is>
      </c>
      <c r="H91" s="6" t="inlineStr">
        <is>
          <t>OFF</t>
        </is>
      </c>
      <c r="I91" s="31" t="n">
        <v>580.1183283215253</v>
      </c>
      <c r="J91" s="31" t="n">
        <v>1533.568798690708</v>
      </c>
      <c r="K91" s="31" t="n">
        <v>1407.407407407407</v>
      </c>
      <c r="L91" s="31" t="n">
        <v>150</v>
      </c>
      <c r="M91" s="31">
        <f>I91+J91+K91+L91</f>
        <v/>
      </c>
      <c r="N91" s="31">
        <f>M91*Dashboard!$B$18/(Dashboard!$B$16/3.6)</f>
        <v/>
      </c>
      <c r="O91" s="31" t="n">
        <v>225.5333191133194</v>
      </c>
      <c r="P91" s="32" t="n">
        <v>0.269253725510994</v>
      </c>
      <c r="Q91" s="33" t="n">
        <v>7.393364379634797</v>
      </c>
      <c r="R91" s="31" t="n">
        <v>251.6850807364399</v>
      </c>
      <c r="S91" s="31">
        <f>R91*IF(A91=4, 2.0, 3.0)</f>
        <v/>
      </c>
      <c r="T91" s="30">
        <f>8.0*U91</f>
        <v/>
      </c>
      <c r="U91" s="34">
        <f>MIN(1, S91/M91)</f>
        <v/>
      </c>
      <c r="V91" s="34">
        <f>N91/(N91+O91)</f>
        <v/>
      </c>
      <c r="W91" s="34">
        <f>U91*V91</f>
        <v/>
      </c>
      <c r="X91" s="32">
        <f>T91/N91</f>
        <v/>
      </c>
      <c r="Y91" s="35">
        <f>IF(X91=MAXIFS(X$2:X$721, A$2:A$721, A91, B$2:B$721, B91), "OPTIMAL", "")</f>
        <v/>
      </c>
    </row>
    <row r="92" ht="20" customHeight="1">
      <c r="A92" s="21" t="n">
        <v>4</v>
      </c>
      <c r="B92" s="21" t="n">
        <v>25</v>
      </c>
      <c r="C92" s="22" t="n">
        <v>120</v>
      </c>
      <c r="D92" s="22" t="n">
        <v>2</v>
      </c>
      <c r="E92" s="23" t="n">
        <v>4</v>
      </c>
      <c r="F92" s="22" t="n">
        <v>2</v>
      </c>
      <c r="G92" s="23" t="inlineStr">
        <is>
          <t>Non</t>
        </is>
      </c>
      <c r="H92" s="23" t="inlineStr">
        <is>
          <t>ON</t>
        </is>
      </c>
      <c r="I92" s="24" t="n">
        <v>580.1183283215253</v>
      </c>
      <c r="J92" s="24" t="n">
        <v>1533.568798690708</v>
      </c>
      <c r="K92" s="24" t="n">
        <v>1407.407407407407</v>
      </c>
      <c r="L92" s="24" t="n">
        <v>150</v>
      </c>
      <c r="M92" s="24">
        <f>I92+J92+K92+L92</f>
        <v/>
      </c>
      <c r="N92" s="24">
        <f>M92*Dashboard!$B$18/(Dashboard!$B$16/3.6)</f>
        <v/>
      </c>
      <c r="O92" s="24" t="n">
        <v>225.5333191133194</v>
      </c>
      <c r="P92" s="25" t="n">
        <v>0.06209643389496873</v>
      </c>
      <c r="Q92" s="26" t="n">
        <v>7.393364379634797</v>
      </c>
      <c r="R92" s="24" t="n">
        <v>1091.321053290187</v>
      </c>
      <c r="S92" s="24">
        <f>R92*IF(A92=4, 2.0, 3.0)</f>
        <v/>
      </c>
      <c r="T92" s="22">
        <f>8.0*U92</f>
        <v/>
      </c>
      <c r="U92" s="27">
        <f>MIN(1, S92/M92)</f>
        <v/>
      </c>
      <c r="V92" s="27">
        <f>N92/(N92+O92)</f>
        <v/>
      </c>
      <c r="W92" s="27">
        <f>U92*V92</f>
        <v/>
      </c>
      <c r="X92" s="25">
        <f>T92/N92</f>
        <v/>
      </c>
      <c r="Y92" s="28">
        <f>IF(X92=MAXIFS(X$2:X$721, A$2:A$721, A92, B$2:B$721, B92), "OPTIMAL", "")</f>
        <v/>
      </c>
    </row>
    <row r="93" ht="20" customHeight="1">
      <c r="A93" s="29" t="n">
        <v>4</v>
      </c>
      <c r="B93" s="29" t="n">
        <v>25</v>
      </c>
      <c r="C93" s="30" t="n">
        <v>120</v>
      </c>
      <c r="D93" s="30" t="n">
        <v>2</v>
      </c>
      <c r="E93" s="6" t="n">
        <v>4</v>
      </c>
      <c r="F93" s="30" t="n">
        <v>2</v>
      </c>
      <c r="G93" s="6" t="inlineStr">
        <is>
          <t>Non</t>
        </is>
      </c>
      <c r="H93" s="6" t="inlineStr">
        <is>
          <t>OFF</t>
        </is>
      </c>
      <c r="I93" s="31" t="n">
        <v>580.1183283215253</v>
      </c>
      <c r="J93" s="31" t="n">
        <v>1533.568798690708</v>
      </c>
      <c r="K93" s="31" t="n">
        <v>1407.407407407407</v>
      </c>
      <c r="L93" s="31" t="n">
        <v>150</v>
      </c>
      <c r="M93" s="31">
        <f>I93+J93+K93+L93</f>
        <v/>
      </c>
      <c r="N93" s="31">
        <f>M93*Dashboard!$B$18/(Dashboard!$B$16/3.6)</f>
        <v/>
      </c>
      <c r="O93" s="31" t="n">
        <v>225.5333191133194</v>
      </c>
      <c r="P93" s="32" t="n">
        <v>0.2666011431261291</v>
      </c>
      <c r="Q93" s="33" t="n">
        <v>7.393364379634797</v>
      </c>
      <c r="R93" s="31" t="n">
        <v>254.1892538388746</v>
      </c>
      <c r="S93" s="31">
        <f>R93*IF(A93=4, 2.0, 3.0)</f>
        <v/>
      </c>
      <c r="T93" s="30">
        <f>8.0*U93</f>
        <v/>
      </c>
      <c r="U93" s="34">
        <f>MIN(1, S93/M93)</f>
        <v/>
      </c>
      <c r="V93" s="34">
        <f>N93/(N93+O93)</f>
        <v/>
      </c>
      <c r="W93" s="34">
        <f>U93*V93</f>
        <v/>
      </c>
      <c r="X93" s="32">
        <f>T93/N93</f>
        <v/>
      </c>
      <c r="Y93" s="35">
        <f>IF(X93=MAXIFS(X$2:X$721, A$2:A$721, A93, B$2:B$721, B93), "OPTIMAL", "")</f>
        <v/>
      </c>
    </row>
    <row r="94" ht="20" customHeight="1">
      <c r="A94" s="21" t="n">
        <v>4</v>
      </c>
      <c r="B94" s="21" t="n">
        <v>25</v>
      </c>
      <c r="C94" s="22" t="n">
        <v>120</v>
      </c>
      <c r="D94" s="22" t="n">
        <v>2</v>
      </c>
      <c r="E94" s="23" t="n">
        <v>8</v>
      </c>
      <c r="F94" s="22" t="n">
        <v>1.5</v>
      </c>
      <c r="G94" s="23" t="inlineStr">
        <is>
          <t>Oui</t>
        </is>
      </c>
      <c r="H94" s="23" t="inlineStr">
        <is>
          <t>ON</t>
        </is>
      </c>
      <c r="I94" s="24" t="n">
        <v>580.1183283215253</v>
      </c>
      <c r="J94" s="24" t="n">
        <v>1533.568798690708</v>
      </c>
      <c r="K94" s="24" t="n">
        <v>1407.407407407407</v>
      </c>
      <c r="L94" s="24" t="n">
        <v>150</v>
      </c>
      <c r="M94" s="24">
        <f>I94+J94+K94+L94</f>
        <v/>
      </c>
      <c r="N94" s="24">
        <f>M94*Dashboard!$B$18/(Dashboard!$B$16/3.6)</f>
        <v/>
      </c>
      <c r="O94" s="24" t="n">
        <v>275.4852366068769</v>
      </c>
      <c r="P94" s="25" t="n">
        <v>0.05155761606859751</v>
      </c>
      <c r="Q94" s="26" t="n">
        <v>10.9900465694522</v>
      </c>
      <c r="R94" s="24" t="n">
        <v>1338.763545529501</v>
      </c>
      <c r="S94" s="24">
        <f>R94*IF(A94=4, 2.0, 3.0)</f>
        <v/>
      </c>
      <c r="T94" s="22">
        <f>8.0*U94</f>
        <v/>
      </c>
      <c r="U94" s="27">
        <f>MIN(1, S94/M94)</f>
        <v/>
      </c>
      <c r="V94" s="27">
        <f>N94/(N94+O94)</f>
        <v/>
      </c>
      <c r="W94" s="27">
        <f>U94*V94</f>
        <v/>
      </c>
      <c r="X94" s="25">
        <f>T94/N94</f>
        <v/>
      </c>
      <c r="Y94" s="28">
        <f>IF(X94=MAXIFS(X$2:X$721, A$2:A$721, A94, B$2:B$721, B94), "OPTIMAL", "")</f>
        <v/>
      </c>
    </row>
    <row r="95" ht="20" customHeight="1">
      <c r="A95" s="29" t="n">
        <v>4</v>
      </c>
      <c r="B95" s="29" t="n">
        <v>25</v>
      </c>
      <c r="C95" s="30" t="n">
        <v>120</v>
      </c>
      <c r="D95" s="30" t="n">
        <v>2</v>
      </c>
      <c r="E95" s="6" t="n">
        <v>8</v>
      </c>
      <c r="F95" s="30" t="n">
        <v>1.5</v>
      </c>
      <c r="G95" s="6" t="inlineStr">
        <is>
          <t>Oui</t>
        </is>
      </c>
      <c r="H95" s="6" t="inlineStr">
        <is>
          <t>OFF</t>
        </is>
      </c>
      <c r="I95" s="31" t="n">
        <v>580.1183283215253</v>
      </c>
      <c r="J95" s="31" t="n">
        <v>1533.568798690708</v>
      </c>
      <c r="K95" s="31" t="n">
        <v>1407.407407407407</v>
      </c>
      <c r="L95" s="31" t="n">
        <v>150</v>
      </c>
      <c r="M95" s="31">
        <f>I95+J95+K95+L95</f>
        <v/>
      </c>
      <c r="N95" s="31">
        <f>M95*Dashboard!$B$18/(Dashboard!$B$16/3.6)</f>
        <v/>
      </c>
      <c r="O95" s="31" t="n">
        <v>275.4852366068769</v>
      </c>
      <c r="P95" s="32" t="n">
        <v>0.216853233443705</v>
      </c>
      <c r="Q95" s="33" t="n">
        <v>10.9900465694522</v>
      </c>
      <c r="R95" s="31" t="n">
        <v>318.2957237525482</v>
      </c>
      <c r="S95" s="31">
        <f>R95*IF(A95=4, 2.0, 3.0)</f>
        <v/>
      </c>
      <c r="T95" s="30">
        <f>8.0*U95</f>
        <v/>
      </c>
      <c r="U95" s="34">
        <f>MIN(1, S95/M95)</f>
        <v/>
      </c>
      <c r="V95" s="34">
        <f>N95/(N95+O95)</f>
        <v/>
      </c>
      <c r="W95" s="34">
        <f>U95*V95</f>
        <v/>
      </c>
      <c r="X95" s="32">
        <f>T95/N95</f>
        <v/>
      </c>
      <c r="Y95" s="35">
        <f>IF(X95=MAXIFS(X$2:X$721, A$2:A$721, A95, B$2:B$721, B95), "OPTIMAL", "")</f>
        <v/>
      </c>
    </row>
    <row r="96" ht="20" customHeight="1">
      <c r="A96" s="21" t="n">
        <v>4</v>
      </c>
      <c r="B96" s="21" t="n">
        <v>25</v>
      </c>
      <c r="C96" s="22" t="n">
        <v>120</v>
      </c>
      <c r="D96" s="22" t="n">
        <v>2</v>
      </c>
      <c r="E96" s="23" t="n">
        <v>8</v>
      </c>
      <c r="F96" s="22" t="n">
        <v>1.5</v>
      </c>
      <c r="G96" s="23" t="inlineStr">
        <is>
          <t>Non</t>
        </is>
      </c>
      <c r="H96" s="23" t="inlineStr">
        <is>
          <t>ON</t>
        </is>
      </c>
      <c r="I96" s="24" t="n">
        <v>580.1183283215253</v>
      </c>
      <c r="J96" s="24" t="n">
        <v>1533.568798690708</v>
      </c>
      <c r="K96" s="24" t="n">
        <v>1407.407407407407</v>
      </c>
      <c r="L96" s="24" t="n">
        <v>150</v>
      </c>
      <c r="M96" s="24">
        <f>I96+J96+K96+L96</f>
        <v/>
      </c>
      <c r="N96" s="24">
        <f>M96*Dashboard!$B$18/(Dashboard!$B$16/3.6)</f>
        <v/>
      </c>
      <c r="O96" s="24" t="n">
        <v>275.4852366068769</v>
      </c>
      <c r="P96" s="25" t="n">
        <v>0.04890503368373258</v>
      </c>
      <c r="Q96" s="26" t="n">
        <v>10.9900465694522</v>
      </c>
      <c r="R96" s="24" t="n">
        <v>1411.377350916821</v>
      </c>
      <c r="S96" s="24">
        <f>R96*IF(A96=4, 2.0, 3.0)</f>
        <v/>
      </c>
      <c r="T96" s="22">
        <f>8.0*U96</f>
        <v/>
      </c>
      <c r="U96" s="27">
        <f>MIN(1, S96/M96)</f>
        <v/>
      </c>
      <c r="V96" s="27">
        <f>N96/(N96+O96)</f>
        <v/>
      </c>
      <c r="W96" s="27">
        <f>U96*V96</f>
        <v/>
      </c>
      <c r="X96" s="25">
        <f>T96/N96</f>
        <v/>
      </c>
      <c r="Y96" s="28">
        <f>IF(X96=MAXIFS(X$2:X$721, A$2:A$721, A96, B$2:B$721, B96), "OPTIMAL", "")</f>
        <v/>
      </c>
    </row>
    <row r="97" ht="20" customHeight="1">
      <c r="A97" s="29" t="n">
        <v>4</v>
      </c>
      <c r="B97" s="29" t="n">
        <v>25</v>
      </c>
      <c r="C97" s="30" t="n">
        <v>120</v>
      </c>
      <c r="D97" s="30" t="n">
        <v>2</v>
      </c>
      <c r="E97" s="6" t="n">
        <v>8</v>
      </c>
      <c r="F97" s="30" t="n">
        <v>1.5</v>
      </c>
      <c r="G97" s="6" t="inlineStr">
        <is>
          <t>Non</t>
        </is>
      </c>
      <c r="H97" s="6" t="inlineStr">
        <is>
          <t>OFF</t>
        </is>
      </c>
      <c r="I97" s="31" t="n">
        <v>580.1183283215253</v>
      </c>
      <c r="J97" s="31" t="n">
        <v>1533.568798690708</v>
      </c>
      <c r="K97" s="31" t="n">
        <v>1407.407407407407</v>
      </c>
      <c r="L97" s="31" t="n">
        <v>150</v>
      </c>
      <c r="M97" s="31">
        <f>I97+J97+K97+L97</f>
        <v/>
      </c>
      <c r="N97" s="31">
        <f>M97*Dashboard!$B$18/(Dashboard!$B$16/3.6)</f>
        <v/>
      </c>
      <c r="O97" s="31" t="n">
        <v>275.4852366068769</v>
      </c>
      <c r="P97" s="32" t="n">
        <v>0.2142006510588401</v>
      </c>
      <c r="Q97" s="33" t="n">
        <v>10.9900465694522</v>
      </c>
      <c r="R97" s="31" t="n">
        <v>322.2373813797789</v>
      </c>
      <c r="S97" s="31">
        <f>R97*IF(A97=4, 2.0, 3.0)</f>
        <v/>
      </c>
      <c r="T97" s="30">
        <f>8.0*U97</f>
        <v/>
      </c>
      <c r="U97" s="34">
        <f>MIN(1, S97/M97)</f>
        <v/>
      </c>
      <c r="V97" s="34">
        <f>N97/(N97+O97)</f>
        <v/>
      </c>
      <c r="W97" s="34">
        <f>U97*V97</f>
        <v/>
      </c>
      <c r="X97" s="32">
        <f>T97/N97</f>
        <v/>
      </c>
      <c r="Y97" s="35">
        <f>IF(X97=MAXIFS(X$2:X$721, A$2:A$721, A97, B$2:B$721, B97), "OPTIMAL", "")</f>
        <v/>
      </c>
    </row>
    <row r="98" ht="20" customHeight="1">
      <c r="A98" s="21" t="n">
        <v>4</v>
      </c>
      <c r="B98" s="21" t="n">
        <v>25</v>
      </c>
      <c r="C98" s="22" t="n">
        <v>120</v>
      </c>
      <c r="D98" s="22" t="n">
        <v>2</v>
      </c>
      <c r="E98" s="23" t="n">
        <v>8</v>
      </c>
      <c r="F98" s="22" t="n">
        <v>2</v>
      </c>
      <c r="G98" s="23" t="inlineStr">
        <is>
          <t>Oui</t>
        </is>
      </c>
      <c r="H98" s="23" t="inlineStr">
        <is>
          <t>ON</t>
        </is>
      </c>
      <c r="I98" s="24" t="n">
        <v>580.1183283215253</v>
      </c>
      <c r="J98" s="24" t="n">
        <v>1533.568798690708</v>
      </c>
      <c r="K98" s="24" t="n">
        <v>1407.407407407407</v>
      </c>
      <c r="L98" s="24" t="n">
        <v>150</v>
      </c>
      <c r="M98" s="24">
        <f>I98+J98+K98+L98</f>
        <v/>
      </c>
      <c r="N98" s="24">
        <f>M98*Dashboard!$B$18/(Dashboard!$B$16/3.6)</f>
        <v/>
      </c>
      <c r="O98" s="24" t="n">
        <v>327.3242197532183</v>
      </c>
      <c r="P98" s="25" t="n">
        <v>0.04997260972227939</v>
      </c>
      <c r="Q98" s="26" t="n">
        <v>14.58672875926959</v>
      </c>
      <c r="R98" s="24" t="n">
        <v>1407.315507383075</v>
      </c>
      <c r="S98" s="24">
        <f>R98*IF(A98=4, 2.0, 3.0)</f>
        <v/>
      </c>
      <c r="T98" s="22">
        <f>8.0*U98</f>
        <v/>
      </c>
      <c r="U98" s="27">
        <f>MIN(1, S98/M98)</f>
        <v/>
      </c>
      <c r="V98" s="27">
        <f>N98/(N98+O98)</f>
        <v/>
      </c>
      <c r="W98" s="27">
        <f>U98*V98</f>
        <v/>
      </c>
      <c r="X98" s="25">
        <f>T98/N98</f>
        <v/>
      </c>
      <c r="Y98" s="28">
        <f>IF(X98=MAXIFS(X$2:X$721, A$2:A$721, A98, B$2:B$721, B98), "OPTIMAL", "")</f>
        <v/>
      </c>
    </row>
    <row r="99" ht="20" customHeight="1">
      <c r="A99" s="29" t="n">
        <v>4</v>
      </c>
      <c r="B99" s="29" t="n">
        <v>25</v>
      </c>
      <c r="C99" s="30" t="n">
        <v>120</v>
      </c>
      <c r="D99" s="30" t="n">
        <v>2</v>
      </c>
      <c r="E99" s="6" t="n">
        <v>8</v>
      </c>
      <c r="F99" s="30" t="n">
        <v>2</v>
      </c>
      <c r="G99" s="6" t="inlineStr">
        <is>
          <t>Oui</t>
        </is>
      </c>
      <c r="H99" s="6" t="inlineStr">
        <is>
          <t>OFF</t>
        </is>
      </c>
      <c r="I99" s="31" t="n">
        <v>580.1183283215253</v>
      </c>
      <c r="J99" s="31" t="n">
        <v>1533.568798690708</v>
      </c>
      <c r="K99" s="31" t="n">
        <v>1407.407407407407</v>
      </c>
      <c r="L99" s="31" t="n">
        <v>150</v>
      </c>
      <c r="M99" s="31">
        <f>I99+J99+K99+L99</f>
        <v/>
      </c>
      <c r="N99" s="31">
        <f>M99*Dashboard!$B$18/(Dashboard!$B$16/3.6)</f>
        <v/>
      </c>
      <c r="O99" s="31" t="n">
        <v>327.3242197532183</v>
      </c>
      <c r="P99" s="32" t="n">
        <v>0.2163666659525478</v>
      </c>
      <c r="Q99" s="33" t="n">
        <v>14.58672875926959</v>
      </c>
      <c r="R99" s="31" t="n">
        <v>325.0372616176917</v>
      </c>
      <c r="S99" s="31">
        <f>R99*IF(A99=4, 2.0, 3.0)</f>
        <v/>
      </c>
      <c r="T99" s="30">
        <f>8.0*U99</f>
        <v/>
      </c>
      <c r="U99" s="34">
        <f>MIN(1, S99/M99)</f>
        <v/>
      </c>
      <c r="V99" s="34">
        <f>N99/(N99+O99)</f>
        <v/>
      </c>
      <c r="W99" s="34">
        <f>U99*V99</f>
        <v/>
      </c>
      <c r="X99" s="32">
        <f>T99/N99</f>
        <v/>
      </c>
      <c r="Y99" s="35">
        <f>IF(X99=MAXIFS(X$2:X$721, A$2:A$721, A99, B$2:B$721, B99), "OPTIMAL", "")</f>
        <v/>
      </c>
    </row>
    <row r="100" ht="20" customHeight="1">
      <c r="A100" s="21" t="n">
        <v>4</v>
      </c>
      <c r="B100" s="21" t="n">
        <v>25</v>
      </c>
      <c r="C100" s="22" t="n">
        <v>120</v>
      </c>
      <c r="D100" s="22" t="n">
        <v>2</v>
      </c>
      <c r="E100" s="23" t="n">
        <v>8</v>
      </c>
      <c r="F100" s="22" t="n">
        <v>2</v>
      </c>
      <c r="G100" s="23" t="inlineStr">
        <is>
          <t>Non</t>
        </is>
      </c>
      <c r="H100" s="23" t="inlineStr">
        <is>
          <t>ON</t>
        </is>
      </c>
      <c r="I100" s="24" t="n">
        <v>580.1183283215253</v>
      </c>
      <c r="J100" s="24" t="n">
        <v>1533.568798690708</v>
      </c>
      <c r="K100" s="24" t="n">
        <v>1407.407407407407</v>
      </c>
      <c r="L100" s="24" t="n">
        <v>150</v>
      </c>
      <c r="M100" s="24">
        <f>I100+J100+K100+L100</f>
        <v/>
      </c>
      <c r="N100" s="24">
        <f>M100*Dashboard!$B$18/(Dashboard!$B$16/3.6)</f>
        <v/>
      </c>
      <c r="O100" s="24" t="n">
        <v>327.3242197532183</v>
      </c>
      <c r="P100" s="25" t="n">
        <v>0.04732002733741447</v>
      </c>
      <c r="Q100" s="26" t="n">
        <v>14.58672875926959</v>
      </c>
      <c r="R100" s="24" t="n">
        <v>1486.204310599805</v>
      </c>
      <c r="S100" s="24">
        <f>R100*IF(A100=4, 2.0, 3.0)</f>
        <v/>
      </c>
      <c r="T100" s="22">
        <f>8.0*U100</f>
        <v/>
      </c>
      <c r="U100" s="27">
        <f>MIN(1, S100/M100)</f>
        <v/>
      </c>
      <c r="V100" s="27">
        <f>N100/(N100+O100)</f>
        <v/>
      </c>
      <c r="W100" s="27">
        <f>U100*V100</f>
        <v/>
      </c>
      <c r="X100" s="25">
        <f>T100/N100</f>
        <v/>
      </c>
      <c r="Y100" s="28">
        <f>IF(X100=MAXIFS(X$2:X$721, A$2:A$721, A100, B$2:B$721, B100), "OPTIMAL", "")</f>
        <v/>
      </c>
    </row>
    <row r="101" ht="20" customHeight="1">
      <c r="A101" s="29" t="n">
        <v>4</v>
      </c>
      <c r="B101" s="29" t="n">
        <v>25</v>
      </c>
      <c r="C101" s="30" t="n">
        <v>120</v>
      </c>
      <c r="D101" s="30" t="n">
        <v>2</v>
      </c>
      <c r="E101" s="6" t="n">
        <v>8</v>
      </c>
      <c r="F101" s="30" t="n">
        <v>2</v>
      </c>
      <c r="G101" s="6" t="inlineStr">
        <is>
          <t>Non</t>
        </is>
      </c>
      <c r="H101" s="6" t="inlineStr">
        <is>
          <t>OFF</t>
        </is>
      </c>
      <c r="I101" s="31" t="n">
        <v>580.1183283215253</v>
      </c>
      <c r="J101" s="31" t="n">
        <v>1533.568798690708</v>
      </c>
      <c r="K101" s="31" t="n">
        <v>1407.407407407407</v>
      </c>
      <c r="L101" s="31" t="n">
        <v>150</v>
      </c>
      <c r="M101" s="31">
        <f>I101+J101+K101+L101</f>
        <v/>
      </c>
      <c r="N101" s="31">
        <f>M101*Dashboard!$B$18/(Dashboard!$B$16/3.6)</f>
        <v/>
      </c>
      <c r="O101" s="31" t="n">
        <v>327.3242197532183</v>
      </c>
      <c r="P101" s="32" t="n">
        <v>0.2137140835676829</v>
      </c>
      <c r="Q101" s="33" t="n">
        <v>14.58672875926959</v>
      </c>
      <c r="R101" s="31" t="n">
        <v>329.0715681088631</v>
      </c>
      <c r="S101" s="31">
        <f>R101*IF(A101=4, 2.0, 3.0)</f>
        <v/>
      </c>
      <c r="T101" s="30">
        <f>8.0*U101</f>
        <v/>
      </c>
      <c r="U101" s="34">
        <f>MIN(1, S101/M101)</f>
        <v/>
      </c>
      <c r="V101" s="34">
        <f>N101/(N101+O101)</f>
        <v/>
      </c>
      <c r="W101" s="34">
        <f>U101*V101</f>
        <v/>
      </c>
      <c r="X101" s="32">
        <f>T101/N101</f>
        <v/>
      </c>
      <c r="Y101" s="35">
        <f>IF(X101=MAXIFS(X$2:X$721, A$2:A$721, A101, B$2:B$721, B101), "OPTIMAL", "")</f>
        <v/>
      </c>
    </row>
    <row r="102" ht="20" customHeight="1">
      <c r="A102" s="21" t="n">
        <v>4</v>
      </c>
      <c r="B102" s="21" t="n">
        <v>25</v>
      </c>
      <c r="C102" s="22" t="n">
        <v>120</v>
      </c>
      <c r="D102" s="22" t="n">
        <v>3</v>
      </c>
      <c r="E102" s="23" t="n">
        <v>0</v>
      </c>
      <c r="F102" s="22" t="n">
        <v>0</v>
      </c>
      <c r="G102" s="23" t="inlineStr">
        <is>
          <t>Oui</t>
        </is>
      </c>
      <c r="H102" s="23" t="inlineStr">
        <is>
          <t>ON</t>
        </is>
      </c>
      <c r="I102" s="24" t="n">
        <v>580.1183283215253</v>
      </c>
      <c r="J102" s="24" t="n">
        <v>1533.568798690708</v>
      </c>
      <c r="K102" s="24" t="n">
        <v>1407.407407407407</v>
      </c>
      <c r="L102" s="24" t="n">
        <v>150</v>
      </c>
      <c r="M102" s="24">
        <f>I102+J102+K102+L102</f>
        <v/>
      </c>
      <c r="N102" s="24">
        <f>M102*Dashboard!$B$18/(Dashboard!$B$16/3.6)</f>
        <v/>
      </c>
      <c r="O102" s="24" t="n">
        <v>201.5662399084315</v>
      </c>
      <c r="P102" s="25" t="n">
        <v>0.4668943220842715</v>
      </c>
      <c r="Q102" s="26" t="n">
        <v>0.2</v>
      </c>
      <c r="R102" s="24" t="n">
        <v>145.0034878138687</v>
      </c>
      <c r="S102" s="24">
        <f>R102*IF(A102=4, 2.0, 3.0)</f>
        <v/>
      </c>
      <c r="T102" s="22">
        <f>8.0*U102</f>
        <v/>
      </c>
      <c r="U102" s="27">
        <f>MIN(1, S102/M102)</f>
        <v/>
      </c>
      <c r="V102" s="27">
        <f>N102/(N102+O102)</f>
        <v/>
      </c>
      <c r="W102" s="27">
        <f>U102*V102</f>
        <v/>
      </c>
      <c r="X102" s="25">
        <f>T102/N102</f>
        <v/>
      </c>
      <c r="Y102" s="28">
        <f>IF(X102=MAXIFS(X$2:X$721, A$2:A$721, A102, B$2:B$721, B102), "OPTIMAL", "")</f>
        <v/>
      </c>
    </row>
    <row r="103" ht="20" customHeight="1">
      <c r="A103" s="29" t="n">
        <v>4</v>
      </c>
      <c r="B103" s="29" t="n">
        <v>25</v>
      </c>
      <c r="C103" s="30" t="n">
        <v>120</v>
      </c>
      <c r="D103" s="30" t="n">
        <v>3</v>
      </c>
      <c r="E103" s="6" t="n">
        <v>0</v>
      </c>
      <c r="F103" s="30" t="n">
        <v>0</v>
      </c>
      <c r="G103" s="6" t="inlineStr">
        <is>
          <t>Oui</t>
        </is>
      </c>
      <c r="H103" s="6" t="inlineStr">
        <is>
          <t>OFF</t>
        </is>
      </c>
      <c r="I103" s="31" t="n">
        <v>580.1183283215253</v>
      </c>
      <c r="J103" s="31" t="n">
        <v>1533.568798690708</v>
      </c>
      <c r="K103" s="31" t="n">
        <v>1407.407407407407</v>
      </c>
      <c r="L103" s="31" t="n">
        <v>150</v>
      </c>
      <c r="M103" s="31">
        <f>I103+J103+K103+L103</f>
        <v/>
      </c>
      <c r="N103" s="31">
        <f>M103*Dashboard!$B$18/(Dashboard!$B$16/3.6)</f>
        <v/>
      </c>
      <c r="O103" s="31" t="n">
        <v>201.5662399084315</v>
      </c>
      <c r="P103" s="32" t="n">
        <v>0.7321525605707637</v>
      </c>
      <c r="Q103" s="33" t="n">
        <v>0.2</v>
      </c>
      <c r="R103" s="31" t="n">
        <v>92.46884978444014</v>
      </c>
      <c r="S103" s="31">
        <f>R103*IF(A103=4, 2.0, 3.0)</f>
        <v/>
      </c>
      <c r="T103" s="30">
        <f>8.0*U103</f>
        <v/>
      </c>
      <c r="U103" s="34">
        <f>MIN(1, S103/M103)</f>
        <v/>
      </c>
      <c r="V103" s="34">
        <f>N103/(N103+O103)</f>
        <v/>
      </c>
      <c r="W103" s="34">
        <f>U103*V103</f>
        <v/>
      </c>
      <c r="X103" s="32">
        <f>T103/N103</f>
        <v/>
      </c>
      <c r="Y103" s="35">
        <f>IF(X103=MAXIFS(X$2:X$721, A$2:A$721, A103, B$2:B$721, B103), "OPTIMAL", "")</f>
        <v/>
      </c>
    </row>
    <row r="104" ht="20" customHeight="1">
      <c r="A104" s="21" t="n">
        <v>4</v>
      </c>
      <c r="B104" s="21" t="n">
        <v>25</v>
      </c>
      <c r="C104" s="22" t="n">
        <v>120</v>
      </c>
      <c r="D104" s="22" t="n">
        <v>3</v>
      </c>
      <c r="E104" s="23" t="n">
        <v>0</v>
      </c>
      <c r="F104" s="22" t="n">
        <v>0</v>
      </c>
      <c r="G104" s="23" t="inlineStr">
        <is>
          <t>Non</t>
        </is>
      </c>
      <c r="H104" s="23" t="inlineStr">
        <is>
          <t>ON</t>
        </is>
      </c>
      <c r="I104" s="24" t="n">
        <v>580.1183283215253</v>
      </c>
      <c r="J104" s="24" t="n">
        <v>1533.568798690708</v>
      </c>
      <c r="K104" s="24" t="n">
        <v>1407.407407407407</v>
      </c>
      <c r="L104" s="24" t="n">
        <v>150</v>
      </c>
      <c r="M104" s="24">
        <f>I104+J104+K104+L104</f>
        <v/>
      </c>
      <c r="N104" s="24">
        <f>M104*Dashboard!$B$18/(Dashboard!$B$16/3.6)</f>
        <v/>
      </c>
      <c r="O104" s="24" t="n">
        <v>201.5662399084315</v>
      </c>
      <c r="P104" s="25" t="n">
        <v>0.4642417396994065</v>
      </c>
      <c r="Q104" s="26" t="n">
        <v>0.2</v>
      </c>
      <c r="R104" s="24" t="n">
        <v>145.8320080967888</v>
      </c>
      <c r="S104" s="24">
        <f>R104*IF(A104=4, 2.0, 3.0)</f>
        <v/>
      </c>
      <c r="T104" s="22">
        <f>8.0*U104</f>
        <v/>
      </c>
      <c r="U104" s="27">
        <f>MIN(1, S104/M104)</f>
        <v/>
      </c>
      <c r="V104" s="27">
        <f>N104/(N104+O104)</f>
        <v/>
      </c>
      <c r="W104" s="27">
        <f>U104*V104</f>
        <v/>
      </c>
      <c r="X104" s="25">
        <f>T104/N104</f>
        <v/>
      </c>
      <c r="Y104" s="28">
        <f>IF(X104=MAXIFS(X$2:X$721, A$2:A$721, A104, B$2:B$721, B104), "OPTIMAL", "")</f>
        <v/>
      </c>
    </row>
    <row r="105" ht="20" customHeight="1">
      <c r="A105" s="29" t="n">
        <v>4</v>
      </c>
      <c r="B105" s="29" t="n">
        <v>25</v>
      </c>
      <c r="C105" s="30" t="n">
        <v>120</v>
      </c>
      <c r="D105" s="30" t="n">
        <v>3</v>
      </c>
      <c r="E105" s="6" t="n">
        <v>0</v>
      </c>
      <c r="F105" s="30" t="n">
        <v>0</v>
      </c>
      <c r="G105" s="6" t="inlineStr">
        <is>
          <t>Non</t>
        </is>
      </c>
      <c r="H105" s="6" t="inlineStr">
        <is>
          <t>OFF</t>
        </is>
      </c>
      <c r="I105" s="31" t="n">
        <v>580.1183283215253</v>
      </c>
      <c r="J105" s="31" t="n">
        <v>1533.568798690708</v>
      </c>
      <c r="K105" s="31" t="n">
        <v>1407.407407407407</v>
      </c>
      <c r="L105" s="31" t="n">
        <v>150</v>
      </c>
      <c r="M105" s="31">
        <f>I105+J105+K105+L105</f>
        <v/>
      </c>
      <c r="N105" s="31">
        <f>M105*Dashboard!$B$18/(Dashboard!$B$16/3.6)</f>
        <v/>
      </c>
      <c r="O105" s="31" t="n">
        <v>201.5662399084315</v>
      </c>
      <c r="P105" s="32" t="n">
        <v>0.7294999781858988</v>
      </c>
      <c r="Q105" s="33" t="n">
        <v>0.2</v>
      </c>
      <c r="R105" s="31" t="n">
        <v>92.80508179187197</v>
      </c>
      <c r="S105" s="31">
        <f>R105*IF(A105=4, 2.0, 3.0)</f>
        <v/>
      </c>
      <c r="T105" s="30">
        <f>8.0*U105</f>
        <v/>
      </c>
      <c r="U105" s="34">
        <f>MIN(1, S105/M105)</f>
        <v/>
      </c>
      <c r="V105" s="34">
        <f>N105/(N105+O105)</f>
        <v/>
      </c>
      <c r="W105" s="34">
        <f>U105*V105</f>
        <v/>
      </c>
      <c r="X105" s="32">
        <f>T105/N105</f>
        <v/>
      </c>
      <c r="Y105" s="35">
        <f>IF(X105=MAXIFS(X$2:X$721, A$2:A$721, A105, B$2:B$721, B105), "OPTIMAL", "")</f>
        <v/>
      </c>
    </row>
    <row r="106" ht="20" customHeight="1">
      <c r="A106" s="21" t="n">
        <v>4</v>
      </c>
      <c r="B106" s="21" t="n">
        <v>25</v>
      </c>
      <c r="C106" s="22" t="n">
        <v>120</v>
      </c>
      <c r="D106" s="22" t="n">
        <v>3</v>
      </c>
      <c r="E106" s="23" t="n">
        <v>4</v>
      </c>
      <c r="F106" s="22" t="n">
        <v>1.5</v>
      </c>
      <c r="G106" s="23" t="inlineStr">
        <is>
          <t>Oui</t>
        </is>
      </c>
      <c r="H106" s="23" t="inlineStr">
        <is>
          <t>ON</t>
        </is>
      </c>
      <c r="I106" s="24" t="n">
        <v>580.1183283215253</v>
      </c>
      <c r="J106" s="24" t="n">
        <v>1533.568798690708</v>
      </c>
      <c r="K106" s="24" t="n">
        <v>1407.407407407407</v>
      </c>
      <c r="L106" s="24" t="n">
        <v>150</v>
      </c>
      <c r="M106" s="24">
        <f>I106+J106+K106+L106</f>
        <v/>
      </c>
      <c r="N106" s="24">
        <f>M106*Dashboard!$B$18/(Dashboard!$B$16/3.6)</f>
        <v/>
      </c>
      <c r="O106" s="24" t="n">
        <v>275.4124066079535</v>
      </c>
      <c r="P106" s="25" t="n">
        <v>0.06783449726767998</v>
      </c>
      <c r="Q106" s="26" t="n">
        <v>5.689672816037082</v>
      </c>
      <c r="R106" s="24" t="n">
        <v>1025.525775992484</v>
      </c>
      <c r="S106" s="24">
        <f>R106*IF(A106=4, 2.0, 3.0)</f>
        <v/>
      </c>
      <c r="T106" s="22">
        <f>8.0*U106</f>
        <v/>
      </c>
      <c r="U106" s="27">
        <f>MIN(1, S106/M106)</f>
        <v/>
      </c>
      <c r="V106" s="27">
        <f>N106/(N106+O106)</f>
        <v/>
      </c>
      <c r="W106" s="27">
        <f>U106*V106</f>
        <v/>
      </c>
      <c r="X106" s="25">
        <f>T106/N106</f>
        <v/>
      </c>
      <c r="Y106" s="28">
        <f>IF(X106=MAXIFS(X$2:X$721, A$2:A$721, A106, B$2:B$721, B106), "OPTIMAL", "")</f>
        <v/>
      </c>
    </row>
    <row r="107" ht="20" customHeight="1">
      <c r="A107" s="29" t="n">
        <v>4</v>
      </c>
      <c r="B107" s="29" t="n">
        <v>25</v>
      </c>
      <c r="C107" s="30" t="n">
        <v>120</v>
      </c>
      <c r="D107" s="30" t="n">
        <v>3</v>
      </c>
      <c r="E107" s="6" t="n">
        <v>4</v>
      </c>
      <c r="F107" s="30" t="n">
        <v>1.5</v>
      </c>
      <c r="G107" s="6" t="inlineStr">
        <is>
          <t>Oui</t>
        </is>
      </c>
      <c r="H107" s="6" t="inlineStr">
        <is>
          <t>OFF</t>
        </is>
      </c>
      <c r="I107" s="31" t="n">
        <v>580.1183283215253</v>
      </c>
      <c r="J107" s="31" t="n">
        <v>1533.568798690708</v>
      </c>
      <c r="K107" s="31" t="n">
        <v>1407.407407407407</v>
      </c>
      <c r="L107" s="31" t="n">
        <v>150</v>
      </c>
      <c r="M107" s="31">
        <f>I107+J107+K107+L107</f>
        <v/>
      </c>
      <c r="N107" s="31">
        <f>M107*Dashboard!$B$18/(Dashboard!$B$16/3.6)</f>
        <v/>
      </c>
      <c r="O107" s="31" t="n">
        <v>275.4124066079535</v>
      </c>
      <c r="P107" s="32" t="n">
        <v>0.2715077102234196</v>
      </c>
      <c r="Q107" s="33" t="n">
        <v>5.689672816037082</v>
      </c>
      <c r="R107" s="31" t="n">
        <v>256.2211783682044</v>
      </c>
      <c r="S107" s="31">
        <f>R107*IF(A107=4, 2.0, 3.0)</f>
        <v/>
      </c>
      <c r="T107" s="30">
        <f>8.0*U107</f>
        <v/>
      </c>
      <c r="U107" s="34">
        <f>MIN(1, S107/M107)</f>
        <v/>
      </c>
      <c r="V107" s="34">
        <f>N107/(N107+O107)</f>
        <v/>
      </c>
      <c r="W107" s="34">
        <f>U107*V107</f>
        <v/>
      </c>
      <c r="X107" s="32">
        <f>T107/N107</f>
        <v/>
      </c>
      <c r="Y107" s="35">
        <f>IF(X107=MAXIFS(X$2:X$721, A$2:A$721, A107, B$2:B$721, B107), "OPTIMAL", "")</f>
        <v/>
      </c>
    </row>
    <row r="108" ht="20" customHeight="1">
      <c r="A108" s="21" t="n">
        <v>4</v>
      </c>
      <c r="B108" s="21" t="n">
        <v>25</v>
      </c>
      <c r="C108" s="22" t="n">
        <v>120</v>
      </c>
      <c r="D108" s="22" t="n">
        <v>3</v>
      </c>
      <c r="E108" s="23" t="n">
        <v>4</v>
      </c>
      <c r="F108" s="22" t="n">
        <v>1.5</v>
      </c>
      <c r="G108" s="23" t="inlineStr">
        <is>
          <t>Non</t>
        </is>
      </c>
      <c r="H108" s="23" t="inlineStr">
        <is>
          <t>ON</t>
        </is>
      </c>
      <c r="I108" s="24" t="n">
        <v>580.1183283215253</v>
      </c>
      <c r="J108" s="24" t="n">
        <v>1533.568798690708</v>
      </c>
      <c r="K108" s="24" t="n">
        <v>1407.407407407407</v>
      </c>
      <c r="L108" s="24" t="n">
        <v>150</v>
      </c>
      <c r="M108" s="24">
        <f>I108+J108+K108+L108</f>
        <v/>
      </c>
      <c r="N108" s="24">
        <f>M108*Dashboard!$B$18/(Dashboard!$B$16/3.6)</f>
        <v/>
      </c>
      <c r="O108" s="24" t="n">
        <v>275.4124066079535</v>
      </c>
      <c r="P108" s="25" t="n">
        <v>0.06518191488281506</v>
      </c>
      <c r="Q108" s="26" t="n">
        <v>5.689672816037082</v>
      </c>
      <c r="R108" s="24" t="n">
        <v>1067.259616023314</v>
      </c>
      <c r="S108" s="24">
        <f>R108*IF(A108=4, 2.0, 3.0)</f>
        <v/>
      </c>
      <c r="T108" s="22">
        <f>8.0*U108</f>
        <v/>
      </c>
      <c r="U108" s="27">
        <f>MIN(1, S108/M108)</f>
        <v/>
      </c>
      <c r="V108" s="27">
        <f>N108/(N108+O108)</f>
        <v/>
      </c>
      <c r="W108" s="27">
        <f>U108*V108</f>
        <v/>
      </c>
      <c r="X108" s="25">
        <f>T108/N108</f>
        <v/>
      </c>
      <c r="Y108" s="28">
        <f>IF(X108=MAXIFS(X$2:X$721, A$2:A$721, A108, B$2:B$721, B108), "OPTIMAL", "")</f>
        <v/>
      </c>
    </row>
    <row r="109" ht="20" customHeight="1">
      <c r="A109" s="29" t="n">
        <v>4</v>
      </c>
      <c r="B109" s="29" t="n">
        <v>25</v>
      </c>
      <c r="C109" s="30" t="n">
        <v>120</v>
      </c>
      <c r="D109" s="30" t="n">
        <v>3</v>
      </c>
      <c r="E109" s="6" t="n">
        <v>4</v>
      </c>
      <c r="F109" s="30" t="n">
        <v>1.5</v>
      </c>
      <c r="G109" s="6" t="inlineStr">
        <is>
          <t>Non</t>
        </is>
      </c>
      <c r="H109" s="6" t="inlineStr">
        <is>
          <t>OFF</t>
        </is>
      </c>
      <c r="I109" s="31" t="n">
        <v>580.1183283215253</v>
      </c>
      <c r="J109" s="31" t="n">
        <v>1533.568798690708</v>
      </c>
      <c r="K109" s="31" t="n">
        <v>1407.407407407407</v>
      </c>
      <c r="L109" s="31" t="n">
        <v>150</v>
      </c>
      <c r="M109" s="31">
        <f>I109+J109+K109+L109</f>
        <v/>
      </c>
      <c r="N109" s="31">
        <f>M109*Dashboard!$B$18/(Dashboard!$B$16/3.6)</f>
        <v/>
      </c>
      <c r="O109" s="31" t="n">
        <v>275.4124066079535</v>
      </c>
      <c r="P109" s="32" t="n">
        <v>0.2688551278385546</v>
      </c>
      <c r="Q109" s="33" t="n">
        <v>5.689672816037082</v>
      </c>
      <c r="R109" s="31" t="n">
        <v>258.7491114964763</v>
      </c>
      <c r="S109" s="31">
        <f>R109*IF(A109=4, 2.0, 3.0)</f>
        <v/>
      </c>
      <c r="T109" s="30">
        <f>8.0*U109</f>
        <v/>
      </c>
      <c r="U109" s="34">
        <f>MIN(1, S109/M109)</f>
        <v/>
      </c>
      <c r="V109" s="34">
        <f>N109/(N109+O109)</f>
        <v/>
      </c>
      <c r="W109" s="34">
        <f>U109*V109</f>
        <v/>
      </c>
      <c r="X109" s="32">
        <f>T109/N109</f>
        <v/>
      </c>
      <c r="Y109" s="35">
        <f>IF(X109=MAXIFS(X$2:X$721, A$2:A$721, A109, B$2:B$721, B109), "OPTIMAL", "")</f>
        <v/>
      </c>
    </row>
    <row r="110" ht="20" customHeight="1">
      <c r="A110" s="21" t="n">
        <v>4</v>
      </c>
      <c r="B110" s="21" t="n">
        <v>25</v>
      </c>
      <c r="C110" s="22" t="n">
        <v>120</v>
      </c>
      <c r="D110" s="22" t="n">
        <v>3</v>
      </c>
      <c r="E110" s="23" t="n">
        <v>4</v>
      </c>
      <c r="F110" s="22" t="n">
        <v>2</v>
      </c>
      <c r="G110" s="23" t="inlineStr">
        <is>
          <t>Oui</t>
        </is>
      </c>
      <c r="H110" s="23" t="inlineStr">
        <is>
          <t>ON</t>
        </is>
      </c>
      <c r="I110" s="24" t="n">
        <v>580.1183283215253</v>
      </c>
      <c r="J110" s="24" t="n">
        <v>1533.568798690708</v>
      </c>
      <c r="K110" s="24" t="n">
        <v>1407.407407407407</v>
      </c>
      <c r="L110" s="24" t="n">
        <v>150</v>
      </c>
      <c r="M110" s="24">
        <f>I110+J110+K110+L110</f>
        <v/>
      </c>
      <c r="N110" s="24">
        <f>M110*Dashboard!$B$18/(Dashboard!$B$16/3.6)</f>
        <v/>
      </c>
      <c r="O110" s="24" t="n">
        <v>300.9401588376773</v>
      </c>
      <c r="P110" s="25" t="n">
        <v>0.06458187918791126</v>
      </c>
      <c r="Q110" s="26" t="n">
        <v>7.519563754716109</v>
      </c>
      <c r="R110" s="24" t="n">
        <v>1087.156927521087</v>
      </c>
      <c r="S110" s="24">
        <f>R110*IF(A110=4, 2.0, 3.0)</f>
        <v/>
      </c>
      <c r="T110" s="22">
        <f>8.0*U110</f>
        <v/>
      </c>
      <c r="U110" s="27">
        <f>MIN(1, S110/M110)</f>
        <v/>
      </c>
      <c r="V110" s="27">
        <f>N110/(N110+O110)</f>
        <v/>
      </c>
      <c r="W110" s="27">
        <f>U110*V110</f>
        <v/>
      </c>
      <c r="X110" s="25">
        <f>T110/N110</f>
        <v/>
      </c>
      <c r="Y110" s="28">
        <f>IF(X110=MAXIFS(X$2:X$721, A$2:A$721, A110, B$2:B$721, B110), "OPTIMAL", "")</f>
        <v/>
      </c>
    </row>
    <row r="111" ht="20" customHeight="1">
      <c r="A111" s="29" t="n">
        <v>4</v>
      </c>
      <c r="B111" s="29" t="n">
        <v>25</v>
      </c>
      <c r="C111" s="30" t="n">
        <v>120</v>
      </c>
      <c r="D111" s="30" t="n">
        <v>3</v>
      </c>
      <c r="E111" s="6" t="n">
        <v>4</v>
      </c>
      <c r="F111" s="30" t="n">
        <v>2</v>
      </c>
      <c r="G111" s="6" t="inlineStr">
        <is>
          <t>Oui</t>
        </is>
      </c>
      <c r="H111" s="6" t="inlineStr">
        <is>
          <t>OFF</t>
        </is>
      </c>
      <c r="I111" s="31" t="n">
        <v>580.1183283215253</v>
      </c>
      <c r="J111" s="31" t="n">
        <v>1533.568798690708</v>
      </c>
      <c r="K111" s="31" t="n">
        <v>1407.407407407407</v>
      </c>
      <c r="L111" s="31" t="n">
        <v>150</v>
      </c>
      <c r="M111" s="31">
        <f>I111+J111+K111+L111</f>
        <v/>
      </c>
      <c r="N111" s="31">
        <f>M111*Dashboard!$B$18/(Dashboard!$B$16/3.6)</f>
        <v/>
      </c>
      <c r="O111" s="31" t="n">
        <v>300.9401588376773</v>
      </c>
      <c r="P111" s="32" t="n">
        <v>0.2690865884190716</v>
      </c>
      <c r="Q111" s="33" t="n">
        <v>7.519563754716109</v>
      </c>
      <c r="R111" s="31" t="n">
        <v>260.922098585317</v>
      </c>
      <c r="S111" s="31">
        <f>R111*IF(A111=4, 2.0, 3.0)</f>
        <v/>
      </c>
      <c r="T111" s="30">
        <f>8.0*U111</f>
        <v/>
      </c>
      <c r="U111" s="34">
        <f>MIN(1, S111/M111)</f>
        <v/>
      </c>
      <c r="V111" s="34">
        <f>N111/(N111+O111)</f>
        <v/>
      </c>
      <c r="W111" s="34">
        <f>U111*V111</f>
        <v/>
      </c>
      <c r="X111" s="32">
        <f>T111/N111</f>
        <v/>
      </c>
      <c r="Y111" s="35">
        <f>IF(X111=MAXIFS(X$2:X$721, A$2:A$721, A111, B$2:B$721, B111), "OPTIMAL", "")</f>
        <v/>
      </c>
    </row>
    <row r="112" ht="20" customHeight="1">
      <c r="A112" s="21" t="n">
        <v>4</v>
      </c>
      <c r="B112" s="21" t="n">
        <v>25</v>
      </c>
      <c r="C112" s="22" t="n">
        <v>120</v>
      </c>
      <c r="D112" s="22" t="n">
        <v>3</v>
      </c>
      <c r="E112" s="23" t="n">
        <v>4</v>
      </c>
      <c r="F112" s="22" t="n">
        <v>2</v>
      </c>
      <c r="G112" s="23" t="inlineStr">
        <is>
          <t>Non</t>
        </is>
      </c>
      <c r="H112" s="23" t="inlineStr">
        <is>
          <t>ON</t>
        </is>
      </c>
      <c r="I112" s="24" t="n">
        <v>580.1183283215253</v>
      </c>
      <c r="J112" s="24" t="n">
        <v>1533.568798690708</v>
      </c>
      <c r="K112" s="24" t="n">
        <v>1407.407407407407</v>
      </c>
      <c r="L112" s="24" t="n">
        <v>150</v>
      </c>
      <c r="M112" s="24">
        <f>I112+J112+K112+L112</f>
        <v/>
      </c>
      <c r="N112" s="24">
        <f>M112*Dashboard!$B$18/(Dashboard!$B$16/3.6)</f>
        <v/>
      </c>
      <c r="O112" s="24" t="n">
        <v>300.9401588376773</v>
      </c>
      <c r="P112" s="25" t="n">
        <v>0.06192929680304634</v>
      </c>
      <c r="Q112" s="26" t="n">
        <v>7.519563754716109</v>
      </c>
      <c r="R112" s="24" t="n">
        <v>1133.722502529916</v>
      </c>
      <c r="S112" s="24">
        <f>R112*IF(A112=4, 2.0, 3.0)</f>
        <v/>
      </c>
      <c r="T112" s="22">
        <f>8.0*U112</f>
        <v/>
      </c>
      <c r="U112" s="27">
        <f>MIN(1, S112/M112)</f>
        <v/>
      </c>
      <c r="V112" s="27">
        <f>N112/(N112+O112)</f>
        <v/>
      </c>
      <c r="W112" s="27">
        <f>U112*V112</f>
        <v/>
      </c>
      <c r="X112" s="25">
        <f>T112/N112</f>
        <v/>
      </c>
      <c r="Y112" s="28">
        <f>IF(X112=MAXIFS(X$2:X$721, A$2:A$721, A112, B$2:B$721, B112), "OPTIMAL", "")</f>
        <v/>
      </c>
    </row>
    <row r="113" ht="20" customHeight="1">
      <c r="A113" s="29" t="n">
        <v>4</v>
      </c>
      <c r="B113" s="29" t="n">
        <v>25</v>
      </c>
      <c r="C113" s="30" t="n">
        <v>120</v>
      </c>
      <c r="D113" s="30" t="n">
        <v>3</v>
      </c>
      <c r="E113" s="6" t="n">
        <v>4</v>
      </c>
      <c r="F113" s="30" t="n">
        <v>2</v>
      </c>
      <c r="G113" s="6" t="inlineStr">
        <is>
          <t>Non</t>
        </is>
      </c>
      <c r="H113" s="6" t="inlineStr">
        <is>
          <t>OFF</t>
        </is>
      </c>
      <c r="I113" s="31" t="n">
        <v>580.1183283215253</v>
      </c>
      <c r="J113" s="31" t="n">
        <v>1533.568798690708</v>
      </c>
      <c r="K113" s="31" t="n">
        <v>1407.407407407407</v>
      </c>
      <c r="L113" s="31" t="n">
        <v>150</v>
      </c>
      <c r="M113" s="31">
        <f>I113+J113+K113+L113</f>
        <v/>
      </c>
      <c r="N113" s="31">
        <f>M113*Dashboard!$B$18/(Dashboard!$B$16/3.6)</f>
        <v/>
      </c>
      <c r="O113" s="31" t="n">
        <v>300.9401588376773</v>
      </c>
      <c r="P113" s="32" t="n">
        <v>0.2664340060342067</v>
      </c>
      <c r="Q113" s="33" t="n">
        <v>7.519563754716109</v>
      </c>
      <c r="R113" s="31" t="n">
        <v>263.5198051349852</v>
      </c>
      <c r="S113" s="31">
        <f>R113*IF(A113=4, 2.0, 3.0)</f>
        <v/>
      </c>
      <c r="T113" s="30">
        <f>8.0*U113</f>
        <v/>
      </c>
      <c r="U113" s="34">
        <f>MIN(1, S113/M113)</f>
        <v/>
      </c>
      <c r="V113" s="34">
        <f>N113/(N113+O113)</f>
        <v/>
      </c>
      <c r="W113" s="34">
        <f>U113*V113</f>
        <v/>
      </c>
      <c r="X113" s="32">
        <f>T113/N113</f>
        <v/>
      </c>
      <c r="Y113" s="35">
        <f>IF(X113=MAXIFS(X$2:X$721, A$2:A$721, A113, B$2:B$721, B113), "OPTIMAL", "")</f>
        <v/>
      </c>
    </row>
    <row r="114" ht="20" customHeight="1">
      <c r="A114" s="21" t="n">
        <v>4</v>
      </c>
      <c r="B114" s="21" t="n">
        <v>25</v>
      </c>
      <c r="C114" s="22" t="n">
        <v>120</v>
      </c>
      <c r="D114" s="22" t="n">
        <v>3</v>
      </c>
      <c r="E114" s="23" t="n">
        <v>8</v>
      </c>
      <c r="F114" s="22" t="n">
        <v>1.5</v>
      </c>
      <c r="G114" s="23" t="inlineStr">
        <is>
          <t>Oui</t>
        </is>
      </c>
      <c r="H114" s="23" t="inlineStr">
        <is>
          <t>ON</t>
        </is>
      </c>
      <c r="I114" s="24" t="n">
        <v>580.1183283215253</v>
      </c>
      <c r="J114" s="24" t="n">
        <v>1533.568798690708</v>
      </c>
      <c r="K114" s="24" t="n">
        <v>1407.407407407407</v>
      </c>
      <c r="L114" s="24" t="n">
        <v>150</v>
      </c>
      <c r="M114" s="24">
        <f>I114+J114+K114+L114</f>
        <v/>
      </c>
      <c r="N114" s="24">
        <f>M114*Dashboard!$B$18/(Dashboard!$B$16/3.6)</f>
        <v/>
      </c>
      <c r="O114" s="24" t="n">
        <v>353.4417321686498</v>
      </c>
      <c r="P114" s="25" t="n">
        <v>0.05144850932496671</v>
      </c>
      <c r="Q114" s="26" t="n">
        <v>11.17934563207417</v>
      </c>
      <c r="R114" s="24" t="n">
        <v>1390.446047538802</v>
      </c>
      <c r="S114" s="24">
        <f>R114*IF(A114=4, 2.0, 3.0)</f>
        <v/>
      </c>
      <c r="T114" s="22">
        <f>8.0*U114</f>
        <v/>
      </c>
      <c r="U114" s="27">
        <f>MIN(1, S114/M114)</f>
        <v/>
      </c>
      <c r="V114" s="27">
        <f>N114/(N114+O114)</f>
        <v/>
      </c>
      <c r="W114" s="27">
        <f>U114*V114</f>
        <v/>
      </c>
      <c r="X114" s="25">
        <f>T114/N114</f>
        <v/>
      </c>
      <c r="Y114" s="28">
        <f>IF(X114=MAXIFS(X$2:X$721, A$2:A$721, A114, B$2:B$721, B114), "OPTIMAL", "")</f>
        <v/>
      </c>
    </row>
    <row r="115" ht="20" customHeight="1">
      <c r="A115" s="29" t="n">
        <v>4</v>
      </c>
      <c r="B115" s="29" t="n">
        <v>25</v>
      </c>
      <c r="C115" s="30" t="n">
        <v>120</v>
      </c>
      <c r="D115" s="30" t="n">
        <v>3</v>
      </c>
      <c r="E115" s="6" t="n">
        <v>8</v>
      </c>
      <c r="F115" s="30" t="n">
        <v>1.5</v>
      </c>
      <c r="G115" s="6" t="inlineStr">
        <is>
          <t>Oui</t>
        </is>
      </c>
      <c r="H115" s="6" t="inlineStr">
        <is>
          <t>OFF</t>
        </is>
      </c>
      <c r="I115" s="31" t="n">
        <v>580.1183283215253</v>
      </c>
      <c r="J115" s="31" t="n">
        <v>1533.568798690708</v>
      </c>
      <c r="K115" s="31" t="n">
        <v>1407.407407407407</v>
      </c>
      <c r="L115" s="31" t="n">
        <v>150</v>
      </c>
      <c r="M115" s="31">
        <f>I115+J115+K115+L115</f>
        <v/>
      </c>
      <c r="N115" s="31">
        <f>M115*Dashboard!$B$18/(Dashboard!$B$16/3.6)</f>
        <v/>
      </c>
      <c r="O115" s="31" t="n">
        <v>353.4417321686498</v>
      </c>
      <c r="P115" s="32" t="n">
        <v>0.2167441267000743</v>
      </c>
      <c r="Q115" s="33" t="n">
        <v>11.17934563207417</v>
      </c>
      <c r="R115" s="31" t="n">
        <v>330.0498958463295</v>
      </c>
      <c r="S115" s="31">
        <f>R115*IF(A115=4, 2.0, 3.0)</f>
        <v/>
      </c>
      <c r="T115" s="30">
        <f>8.0*U115</f>
        <v/>
      </c>
      <c r="U115" s="34">
        <f>MIN(1, S115/M115)</f>
        <v/>
      </c>
      <c r="V115" s="34">
        <f>N115/(N115+O115)</f>
        <v/>
      </c>
      <c r="W115" s="34">
        <f>U115*V115</f>
        <v/>
      </c>
      <c r="X115" s="32">
        <f>T115/N115</f>
        <v/>
      </c>
      <c r="Y115" s="35">
        <f>IF(X115=MAXIFS(X$2:X$721, A$2:A$721, A115, B$2:B$721, B115), "OPTIMAL", "")</f>
        <v/>
      </c>
    </row>
    <row r="116" ht="20" customHeight="1">
      <c r="A116" s="21" t="n">
        <v>4</v>
      </c>
      <c r="B116" s="21" t="n">
        <v>25</v>
      </c>
      <c r="C116" s="22" t="n">
        <v>120</v>
      </c>
      <c r="D116" s="22" t="n">
        <v>3</v>
      </c>
      <c r="E116" s="23" t="n">
        <v>8</v>
      </c>
      <c r="F116" s="22" t="n">
        <v>1.5</v>
      </c>
      <c r="G116" s="23" t="inlineStr">
        <is>
          <t>Non</t>
        </is>
      </c>
      <c r="H116" s="23" t="inlineStr">
        <is>
          <t>ON</t>
        </is>
      </c>
      <c r="I116" s="24" t="n">
        <v>580.1183283215253</v>
      </c>
      <c r="J116" s="24" t="n">
        <v>1533.568798690708</v>
      </c>
      <c r="K116" s="24" t="n">
        <v>1407.407407407407</v>
      </c>
      <c r="L116" s="24" t="n">
        <v>150</v>
      </c>
      <c r="M116" s="24">
        <f>I116+J116+K116+L116</f>
        <v/>
      </c>
      <c r="N116" s="24">
        <f>M116*Dashboard!$B$18/(Dashboard!$B$16/3.6)</f>
        <v/>
      </c>
      <c r="O116" s="24" t="n">
        <v>353.4417321686498</v>
      </c>
      <c r="P116" s="25" t="n">
        <v>0.04879592694010178</v>
      </c>
      <c r="Q116" s="26" t="n">
        <v>11.17934563207417</v>
      </c>
      <c r="R116" s="24" t="n">
        <v>1466.031714705939</v>
      </c>
      <c r="S116" s="24">
        <f>R116*IF(A116=4, 2.0, 3.0)</f>
        <v/>
      </c>
      <c r="T116" s="22">
        <f>8.0*U116</f>
        <v/>
      </c>
      <c r="U116" s="27">
        <f>MIN(1, S116/M116)</f>
        <v/>
      </c>
      <c r="V116" s="27">
        <f>N116/(N116+O116)</f>
        <v/>
      </c>
      <c r="W116" s="27">
        <f>U116*V116</f>
        <v/>
      </c>
      <c r="X116" s="25">
        <f>T116/N116</f>
        <v/>
      </c>
      <c r="Y116" s="28">
        <f>IF(X116=MAXIFS(X$2:X$721, A$2:A$721, A116, B$2:B$721, B116), "OPTIMAL", "")</f>
        <v/>
      </c>
    </row>
    <row r="117" ht="20" customHeight="1">
      <c r="A117" s="29" t="n">
        <v>4</v>
      </c>
      <c r="B117" s="29" t="n">
        <v>25</v>
      </c>
      <c r="C117" s="30" t="n">
        <v>120</v>
      </c>
      <c r="D117" s="30" t="n">
        <v>3</v>
      </c>
      <c r="E117" s="6" t="n">
        <v>8</v>
      </c>
      <c r="F117" s="30" t="n">
        <v>1.5</v>
      </c>
      <c r="G117" s="6" t="inlineStr">
        <is>
          <t>Non</t>
        </is>
      </c>
      <c r="H117" s="6" t="inlineStr">
        <is>
          <t>OFF</t>
        </is>
      </c>
      <c r="I117" s="31" t="n">
        <v>580.1183283215253</v>
      </c>
      <c r="J117" s="31" t="n">
        <v>1533.568798690708</v>
      </c>
      <c r="K117" s="31" t="n">
        <v>1407.407407407407</v>
      </c>
      <c r="L117" s="31" t="n">
        <v>150</v>
      </c>
      <c r="M117" s="31">
        <f>I117+J117+K117+L117</f>
        <v/>
      </c>
      <c r="N117" s="31">
        <f>M117*Dashboard!$B$18/(Dashboard!$B$16/3.6)</f>
        <v/>
      </c>
      <c r="O117" s="31" t="n">
        <v>353.4417321686498</v>
      </c>
      <c r="P117" s="32" t="n">
        <v>0.2140915443152093</v>
      </c>
      <c r="Q117" s="33" t="n">
        <v>11.17934563207417</v>
      </c>
      <c r="R117" s="31" t="n">
        <v>334.1391957887854</v>
      </c>
      <c r="S117" s="31">
        <f>R117*IF(A117=4, 2.0, 3.0)</f>
        <v/>
      </c>
      <c r="T117" s="30">
        <f>8.0*U117</f>
        <v/>
      </c>
      <c r="U117" s="34">
        <f>MIN(1, S117/M117)</f>
        <v/>
      </c>
      <c r="V117" s="34">
        <f>N117/(N117+O117)</f>
        <v/>
      </c>
      <c r="W117" s="34">
        <f>U117*V117</f>
        <v/>
      </c>
      <c r="X117" s="32">
        <f>T117/N117</f>
        <v/>
      </c>
      <c r="Y117" s="35">
        <f>IF(X117=MAXIFS(X$2:X$721, A$2:A$721, A117, B$2:B$721, B117), "OPTIMAL", "")</f>
        <v/>
      </c>
    </row>
    <row r="118" ht="20" customHeight="1">
      <c r="A118" s="21" t="n">
        <v>4</v>
      </c>
      <c r="B118" s="21" t="n">
        <v>25</v>
      </c>
      <c r="C118" s="22" t="n">
        <v>120</v>
      </c>
      <c r="D118" s="22" t="n">
        <v>3</v>
      </c>
      <c r="E118" s="23" t="n">
        <v>8</v>
      </c>
      <c r="F118" s="22" t="n">
        <v>2</v>
      </c>
      <c r="G118" s="23" t="inlineStr">
        <is>
          <t>Oui</t>
        </is>
      </c>
      <c r="H118" s="23" t="inlineStr">
        <is>
          <t>ON</t>
        </is>
      </c>
      <c r="I118" s="24" t="n">
        <v>580.1183283215253</v>
      </c>
      <c r="J118" s="24" t="n">
        <v>1533.568798690708</v>
      </c>
      <c r="K118" s="24" t="n">
        <v>1407.407407407407</v>
      </c>
      <c r="L118" s="24" t="n">
        <v>150</v>
      </c>
      <c r="M118" s="24">
        <f>I118+J118+K118+L118</f>
        <v/>
      </c>
      <c r="N118" s="24">
        <f>M118*Dashboard!$B$18/(Dashboard!$B$16/3.6)</f>
        <v/>
      </c>
      <c r="O118" s="24" t="n">
        <v>407.964166090899</v>
      </c>
      <c r="P118" s="25" t="n">
        <v>0.04989331996011</v>
      </c>
      <c r="Q118" s="26" t="n">
        <v>14.83912750943222</v>
      </c>
      <c r="R118" s="24" t="n">
        <v>1461.380905990666</v>
      </c>
      <c r="S118" s="24">
        <f>R118*IF(A118=4, 2.0, 3.0)</f>
        <v/>
      </c>
      <c r="T118" s="22">
        <f>8.0*U118</f>
        <v/>
      </c>
      <c r="U118" s="27">
        <f>MIN(1, S118/M118)</f>
        <v/>
      </c>
      <c r="V118" s="27">
        <f>N118/(N118+O118)</f>
        <v/>
      </c>
      <c r="W118" s="27">
        <f>U118*V118</f>
        <v/>
      </c>
      <c r="X118" s="25">
        <f>T118/N118</f>
        <v/>
      </c>
      <c r="Y118" s="28">
        <f>IF(X118=MAXIFS(X$2:X$721, A$2:A$721, A118, B$2:B$721, B118), "OPTIMAL", "")</f>
        <v/>
      </c>
    </row>
    <row r="119" ht="20" customHeight="1">
      <c r="A119" s="29" t="n">
        <v>4</v>
      </c>
      <c r="B119" s="29" t="n">
        <v>25</v>
      </c>
      <c r="C119" s="30" t="n">
        <v>120</v>
      </c>
      <c r="D119" s="30" t="n">
        <v>3</v>
      </c>
      <c r="E119" s="6" t="n">
        <v>8</v>
      </c>
      <c r="F119" s="30" t="n">
        <v>2</v>
      </c>
      <c r="G119" s="6" t="inlineStr">
        <is>
          <t>Oui</t>
        </is>
      </c>
      <c r="H119" s="6" t="inlineStr">
        <is>
          <t>OFF</t>
        </is>
      </c>
      <c r="I119" s="31" t="n">
        <v>580.1183283215253</v>
      </c>
      <c r="J119" s="31" t="n">
        <v>1533.568798690708</v>
      </c>
      <c r="K119" s="31" t="n">
        <v>1407.407407407407</v>
      </c>
      <c r="L119" s="31" t="n">
        <v>150</v>
      </c>
      <c r="M119" s="31">
        <f>I119+J119+K119+L119</f>
        <v/>
      </c>
      <c r="N119" s="31">
        <f>M119*Dashboard!$B$18/(Dashboard!$B$16/3.6)</f>
        <v/>
      </c>
      <c r="O119" s="31" t="n">
        <v>407.964166090899</v>
      </c>
      <c r="P119" s="32" t="n">
        <v>0.2162873761903785</v>
      </c>
      <c r="Q119" s="33" t="n">
        <v>14.83912750943222</v>
      </c>
      <c r="R119" s="31" t="n">
        <v>337.1123475186494</v>
      </c>
      <c r="S119" s="31">
        <f>R119*IF(A119=4, 2.0, 3.0)</f>
        <v/>
      </c>
      <c r="T119" s="30">
        <f>8.0*U119</f>
        <v/>
      </c>
      <c r="U119" s="34">
        <f>MIN(1, S119/M119)</f>
        <v/>
      </c>
      <c r="V119" s="34">
        <f>N119/(N119+O119)</f>
        <v/>
      </c>
      <c r="W119" s="34">
        <f>U119*V119</f>
        <v/>
      </c>
      <c r="X119" s="32">
        <f>T119/N119</f>
        <v/>
      </c>
      <c r="Y119" s="35">
        <f>IF(X119=MAXIFS(X$2:X$721, A$2:A$721, A119, B$2:B$721, B119), "OPTIMAL", "")</f>
        <v/>
      </c>
    </row>
    <row r="120" ht="20" customHeight="1">
      <c r="A120" s="21" t="n">
        <v>4</v>
      </c>
      <c r="B120" s="21" t="n">
        <v>25</v>
      </c>
      <c r="C120" s="22" t="n">
        <v>120</v>
      </c>
      <c r="D120" s="22" t="n">
        <v>3</v>
      </c>
      <c r="E120" s="23" t="n">
        <v>8</v>
      </c>
      <c r="F120" s="22" t="n">
        <v>2</v>
      </c>
      <c r="G120" s="23" t="inlineStr">
        <is>
          <t>Non</t>
        </is>
      </c>
      <c r="H120" s="23" t="inlineStr">
        <is>
          <t>ON</t>
        </is>
      </c>
      <c r="I120" s="24" t="n">
        <v>580.1183283215253</v>
      </c>
      <c r="J120" s="24" t="n">
        <v>1533.568798690708</v>
      </c>
      <c r="K120" s="24" t="n">
        <v>1407.407407407407</v>
      </c>
      <c r="L120" s="24" t="n">
        <v>150</v>
      </c>
      <c r="M120" s="24">
        <f>I120+J120+K120+L120</f>
        <v/>
      </c>
      <c r="N120" s="24">
        <f>M120*Dashboard!$B$18/(Dashboard!$B$16/3.6)</f>
        <v/>
      </c>
      <c r="O120" s="24" t="n">
        <v>407.964166090899</v>
      </c>
      <c r="P120" s="25" t="n">
        <v>0.04724073757524508</v>
      </c>
      <c r="Q120" s="26" t="n">
        <v>14.83912750943222</v>
      </c>
      <c r="R120" s="24" t="n">
        <v>1543.437906955869</v>
      </c>
      <c r="S120" s="24">
        <f>R120*IF(A120=4, 2.0, 3.0)</f>
        <v/>
      </c>
      <c r="T120" s="22">
        <f>8.0*U120</f>
        <v/>
      </c>
      <c r="U120" s="27">
        <f>MIN(1, S120/M120)</f>
        <v/>
      </c>
      <c r="V120" s="27">
        <f>N120/(N120+O120)</f>
        <v/>
      </c>
      <c r="W120" s="27">
        <f>U120*V120</f>
        <v/>
      </c>
      <c r="X120" s="25">
        <f>T120/N120</f>
        <v/>
      </c>
      <c r="Y120" s="28">
        <f>IF(X120=MAXIFS(X$2:X$721, A$2:A$721, A120, B$2:B$721, B120), "OPTIMAL", "")</f>
        <v/>
      </c>
    </row>
    <row r="121" ht="20" customHeight="1">
      <c r="A121" s="29" t="n">
        <v>4</v>
      </c>
      <c r="B121" s="29" t="n">
        <v>25</v>
      </c>
      <c r="C121" s="30" t="n">
        <v>120</v>
      </c>
      <c r="D121" s="30" t="n">
        <v>3</v>
      </c>
      <c r="E121" s="6" t="n">
        <v>8</v>
      </c>
      <c r="F121" s="30" t="n">
        <v>2</v>
      </c>
      <c r="G121" s="6" t="inlineStr">
        <is>
          <t>Non</t>
        </is>
      </c>
      <c r="H121" s="6" t="inlineStr">
        <is>
          <t>OFF</t>
        </is>
      </c>
      <c r="I121" s="31" t="n">
        <v>580.1183283215253</v>
      </c>
      <c r="J121" s="31" t="n">
        <v>1533.568798690708</v>
      </c>
      <c r="K121" s="31" t="n">
        <v>1407.407407407407</v>
      </c>
      <c r="L121" s="31" t="n">
        <v>150</v>
      </c>
      <c r="M121" s="31">
        <f>I121+J121+K121+L121</f>
        <v/>
      </c>
      <c r="N121" s="31">
        <f>M121*Dashboard!$B$18/(Dashboard!$B$16/3.6)</f>
        <v/>
      </c>
      <c r="O121" s="31" t="n">
        <v>407.964166090899</v>
      </c>
      <c r="P121" s="32" t="n">
        <v>0.2136347938055135</v>
      </c>
      <c r="Q121" s="33" t="n">
        <v>14.83912750943222</v>
      </c>
      <c r="R121" s="31" t="n">
        <v>341.2980808386745</v>
      </c>
      <c r="S121" s="31">
        <f>R121*IF(A121=4, 2.0, 3.0)</f>
        <v/>
      </c>
      <c r="T121" s="30">
        <f>8.0*U121</f>
        <v/>
      </c>
      <c r="U121" s="34">
        <f>MIN(1, S121/M121)</f>
        <v/>
      </c>
      <c r="V121" s="34">
        <f>N121/(N121+O121)</f>
        <v/>
      </c>
      <c r="W121" s="34">
        <f>U121*V121</f>
        <v/>
      </c>
      <c r="X121" s="32">
        <f>T121/N121</f>
        <v/>
      </c>
      <c r="Y121" s="35">
        <f>IF(X121=MAXIFS(X$2:X$721, A$2:A$721, A121, B$2:B$721, B121), "OPTIMAL", "")</f>
        <v/>
      </c>
    </row>
    <row r="122" ht="20" customHeight="1">
      <c r="A122" s="21" t="n">
        <v>4</v>
      </c>
      <c r="B122" s="21" t="n">
        <v>35</v>
      </c>
      <c r="C122" s="22" t="n">
        <v>80</v>
      </c>
      <c r="D122" s="22" t="n">
        <v>2</v>
      </c>
      <c r="E122" s="23" t="n">
        <v>0</v>
      </c>
      <c r="F122" s="22" t="n">
        <v>0</v>
      </c>
      <c r="G122" s="23" t="inlineStr">
        <is>
          <t>Oui</t>
        </is>
      </c>
      <c r="H122" s="23" t="inlineStr">
        <is>
          <t>ON</t>
        </is>
      </c>
      <c r="I122" s="24" t="n">
        <v>856.3651513317755</v>
      </c>
      <c r="J122" s="24" t="n">
        <v>3449.488235315031</v>
      </c>
      <c r="K122" s="24" t="n">
        <v>2287.037037037037</v>
      </c>
      <c r="L122" s="24" t="n">
        <v>150</v>
      </c>
      <c r="M122" s="24">
        <f>I122+J122+K122+L122</f>
        <v/>
      </c>
      <c r="N122" s="24">
        <f>M122*Dashboard!$B$18/(Dashboard!$B$16/3.6)</f>
        <v/>
      </c>
      <c r="O122" s="24" t="n">
        <v>370.2272050129558</v>
      </c>
      <c r="P122" s="25" t="n">
        <v>0.5013778930875155</v>
      </c>
      <c r="Q122" s="26" t="n">
        <v>0.2</v>
      </c>
      <c r="R122" s="24" t="n">
        <v>558.039463083959</v>
      </c>
      <c r="S122" s="24">
        <f>R122*IF(A122=4, 2.0, 3.0)</f>
        <v/>
      </c>
      <c r="T122" s="22">
        <f>8.0*U122</f>
        <v/>
      </c>
      <c r="U122" s="27">
        <f>MIN(1, S122/M122)</f>
        <v/>
      </c>
      <c r="V122" s="27">
        <f>N122/(N122+O122)</f>
        <v/>
      </c>
      <c r="W122" s="27">
        <f>U122*V122</f>
        <v/>
      </c>
      <c r="X122" s="25">
        <f>T122/N122</f>
        <v/>
      </c>
      <c r="Y122" s="28">
        <f>IF(X122=MAXIFS(X$2:X$721, A$2:A$721, A122, B$2:B$721, B122), "OPTIMAL", "")</f>
        <v/>
      </c>
    </row>
    <row r="123" ht="20" customHeight="1">
      <c r="A123" s="29" t="n">
        <v>4</v>
      </c>
      <c r="B123" s="29" t="n">
        <v>35</v>
      </c>
      <c r="C123" s="30" t="n">
        <v>80</v>
      </c>
      <c r="D123" s="30" t="n">
        <v>2</v>
      </c>
      <c r="E123" s="6" t="n">
        <v>0</v>
      </c>
      <c r="F123" s="30" t="n">
        <v>0</v>
      </c>
      <c r="G123" s="6" t="inlineStr">
        <is>
          <t>Oui</t>
        </is>
      </c>
      <c r="H123" s="6" t="inlineStr">
        <is>
          <t>OFF</t>
        </is>
      </c>
      <c r="I123" s="31" t="n">
        <v>856.3651513317755</v>
      </c>
      <c r="J123" s="31" t="n">
        <v>3449.488235315031</v>
      </c>
      <c r="K123" s="31" t="n">
        <v>2287.037037037037</v>
      </c>
      <c r="L123" s="31" t="n">
        <v>150</v>
      </c>
      <c r="M123" s="31">
        <f>I123+J123+K123+L123</f>
        <v/>
      </c>
      <c r="N123" s="31">
        <f>M123*Dashboard!$B$18/(Dashboard!$B$16/3.6)</f>
        <v/>
      </c>
      <c r="O123" s="31" t="n">
        <v>370.2272050129558</v>
      </c>
      <c r="P123" s="32" t="n">
        <v>0.8992652508172538</v>
      </c>
      <c r="Q123" s="33" t="n">
        <v>0.2</v>
      </c>
      <c r="R123" s="31" t="n">
        <v>311.1302810894242</v>
      </c>
      <c r="S123" s="31">
        <f>R123*IF(A123=4, 2.0, 3.0)</f>
        <v/>
      </c>
      <c r="T123" s="30">
        <f>8.0*U123</f>
        <v/>
      </c>
      <c r="U123" s="34">
        <f>MIN(1, S123/M123)</f>
        <v/>
      </c>
      <c r="V123" s="34">
        <f>N123/(N123+O123)</f>
        <v/>
      </c>
      <c r="W123" s="34">
        <f>U123*V123</f>
        <v/>
      </c>
      <c r="X123" s="32">
        <f>T123/N123</f>
        <v/>
      </c>
      <c r="Y123" s="35">
        <f>IF(X123=MAXIFS(X$2:X$721, A$2:A$721, A123, B$2:B$721, B123), "OPTIMAL", "")</f>
        <v/>
      </c>
    </row>
    <row r="124" ht="20" customHeight="1">
      <c r="A124" s="21" t="n">
        <v>4</v>
      </c>
      <c r="B124" s="21" t="n">
        <v>35</v>
      </c>
      <c r="C124" s="22" t="n">
        <v>80</v>
      </c>
      <c r="D124" s="22" t="n">
        <v>2</v>
      </c>
      <c r="E124" s="23" t="n">
        <v>0</v>
      </c>
      <c r="F124" s="22" t="n">
        <v>0</v>
      </c>
      <c r="G124" s="23" t="inlineStr">
        <is>
          <t>Non</t>
        </is>
      </c>
      <c r="H124" s="23" t="inlineStr">
        <is>
          <t>ON</t>
        </is>
      </c>
      <c r="I124" s="24" t="n">
        <v>856.3651513317755</v>
      </c>
      <c r="J124" s="24" t="n">
        <v>3449.488235315031</v>
      </c>
      <c r="K124" s="24" t="n">
        <v>2287.037037037037</v>
      </c>
      <c r="L124" s="24" t="n">
        <v>150</v>
      </c>
      <c r="M124" s="24">
        <f>I124+J124+K124+L124</f>
        <v/>
      </c>
      <c r="N124" s="24">
        <f>M124*Dashboard!$B$18/(Dashboard!$B$16/3.6)</f>
        <v/>
      </c>
      <c r="O124" s="24" t="n">
        <v>370.2272050129558</v>
      </c>
      <c r="P124" s="25" t="n">
        <v>0.4973990195102181</v>
      </c>
      <c r="Q124" s="26" t="n">
        <v>0.2</v>
      </c>
      <c r="R124" s="24" t="n">
        <v>562.5034213702868</v>
      </c>
      <c r="S124" s="24">
        <f>R124*IF(A124=4, 2.0, 3.0)</f>
        <v/>
      </c>
      <c r="T124" s="22">
        <f>8.0*U124</f>
        <v/>
      </c>
      <c r="U124" s="27">
        <f>MIN(1, S124/M124)</f>
        <v/>
      </c>
      <c r="V124" s="27">
        <f>N124/(N124+O124)</f>
        <v/>
      </c>
      <c r="W124" s="27">
        <f>U124*V124</f>
        <v/>
      </c>
      <c r="X124" s="25">
        <f>T124/N124</f>
        <v/>
      </c>
      <c r="Y124" s="28">
        <f>IF(X124=MAXIFS(X$2:X$721, A$2:A$721, A124, B$2:B$721, B124), "OPTIMAL", "")</f>
        <v/>
      </c>
    </row>
    <row r="125" ht="20" customHeight="1">
      <c r="A125" s="29" t="n">
        <v>4</v>
      </c>
      <c r="B125" s="29" t="n">
        <v>35</v>
      </c>
      <c r="C125" s="30" t="n">
        <v>80</v>
      </c>
      <c r="D125" s="30" t="n">
        <v>2</v>
      </c>
      <c r="E125" s="6" t="n">
        <v>0</v>
      </c>
      <c r="F125" s="30" t="n">
        <v>0</v>
      </c>
      <c r="G125" s="6" t="inlineStr">
        <is>
          <t>Non</t>
        </is>
      </c>
      <c r="H125" s="6" t="inlineStr">
        <is>
          <t>OFF</t>
        </is>
      </c>
      <c r="I125" s="31" t="n">
        <v>856.3651513317755</v>
      </c>
      <c r="J125" s="31" t="n">
        <v>3449.488235315031</v>
      </c>
      <c r="K125" s="31" t="n">
        <v>2287.037037037037</v>
      </c>
      <c r="L125" s="31" t="n">
        <v>150</v>
      </c>
      <c r="M125" s="31">
        <f>I125+J125+K125+L125</f>
        <v/>
      </c>
      <c r="N125" s="31">
        <f>M125*Dashboard!$B$18/(Dashboard!$B$16/3.6)</f>
        <v/>
      </c>
      <c r="O125" s="31" t="n">
        <v>370.2272050129558</v>
      </c>
      <c r="P125" s="32" t="n">
        <v>0.8952863772399564</v>
      </c>
      <c r="Q125" s="33" t="n">
        <v>0.2</v>
      </c>
      <c r="R125" s="31" t="n">
        <v>312.5130208316955</v>
      </c>
      <c r="S125" s="31">
        <f>R125*IF(A125=4, 2.0, 3.0)</f>
        <v/>
      </c>
      <c r="T125" s="30">
        <f>8.0*U125</f>
        <v/>
      </c>
      <c r="U125" s="34">
        <f>MIN(1, S125/M125)</f>
        <v/>
      </c>
      <c r="V125" s="34">
        <f>N125/(N125+O125)</f>
        <v/>
      </c>
      <c r="W125" s="34">
        <f>U125*V125</f>
        <v/>
      </c>
      <c r="X125" s="32">
        <f>T125/N125</f>
        <v/>
      </c>
      <c r="Y125" s="35">
        <f>IF(X125=MAXIFS(X$2:X$721, A$2:A$721, A125, B$2:B$721, B125), "OPTIMAL", "")</f>
        <v/>
      </c>
    </row>
    <row r="126" ht="20" customHeight="1">
      <c r="A126" s="36" t="n">
        <v>4</v>
      </c>
      <c r="B126" s="36" t="n">
        <v>35</v>
      </c>
      <c r="C126" s="37" t="n">
        <v>80</v>
      </c>
      <c r="D126" s="37" t="n">
        <v>2</v>
      </c>
      <c r="E126" s="38" t="n">
        <v>4</v>
      </c>
      <c r="F126" s="37" t="n">
        <v>1.5</v>
      </c>
      <c r="G126" s="38" t="inlineStr">
        <is>
          <t>Oui</t>
        </is>
      </c>
      <c r="H126" s="38" t="inlineStr">
        <is>
          <t>ON</t>
        </is>
      </c>
      <c r="I126" s="39" t="n">
        <v>856.3651513317755</v>
      </c>
      <c r="J126" s="39" t="n">
        <v>3449.488235315031</v>
      </c>
      <c r="K126" s="39" t="n">
        <v>2287.037037037037</v>
      </c>
      <c r="L126" s="39" t="n">
        <v>150</v>
      </c>
      <c r="M126" s="39">
        <f>I126+J126+K126+L126</f>
        <v/>
      </c>
      <c r="N126" s="39">
        <f>M126*Dashboard!$B$18/(Dashboard!$B$16/3.6)</f>
        <v/>
      </c>
      <c r="O126" s="39" t="n">
        <v>600.1361755357084</v>
      </c>
      <c r="P126" s="40" t="n">
        <v>0.08231647342522849</v>
      </c>
      <c r="Q126" s="41" t="n">
        <v>8.434509224055622</v>
      </c>
      <c r="R126" s="39" t="n">
        <v>3541.32686615247</v>
      </c>
      <c r="S126" s="39">
        <f>R126*IF(A126=4, 2.0, 3.0)</f>
        <v/>
      </c>
      <c r="T126" s="37">
        <f>8.0*U126</f>
        <v/>
      </c>
      <c r="U126" s="42">
        <f>MIN(1, S126/M126)</f>
        <v/>
      </c>
      <c r="V126" s="42">
        <f>N126/(N126+O126)</f>
        <v/>
      </c>
      <c r="W126" s="42">
        <f>U126*V126</f>
        <v/>
      </c>
      <c r="X126" s="40">
        <f>T126/N126</f>
        <v/>
      </c>
      <c r="Y126" s="15">
        <f>IF(X126=MAXIFS(X$2:X$721, A$2:A$721, A126, B$2:B$721, B126), "OPTIMAL", "")</f>
        <v/>
      </c>
    </row>
    <row r="127" ht="20" customHeight="1">
      <c r="A127" s="29" t="n">
        <v>4</v>
      </c>
      <c r="B127" s="29" t="n">
        <v>35</v>
      </c>
      <c r="C127" s="30" t="n">
        <v>80</v>
      </c>
      <c r="D127" s="30" t="n">
        <v>2</v>
      </c>
      <c r="E127" s="6" t="n">
        <v>4</v>
      </c>
      <c r="F127" s="30" t="n">
        <v>1.5</v>
      </c>
      <c r="G127" s="6" t="inlineStr">
        <is>
          <t>Oui</t>
        </is>
      </c>
      <c r="H127" s="6" t="inlineStr">
        <is>
          <t>OFF</t>
        </is>
      </c>
      <c r="I127" s="31" t="n">
        <v>856.3651513317755</v>
      </c>
      <c r="J127" s="31" t="n">
        <v>3449.488235315031</v>
      </c>
      <c r="K127" s="31" t="n">
        <v>2287.037037037037</v>
      </c>
      <c r="L127" s="31" t="n">
        <v>150</v>
      </c>
      <c r="M127" s="31">
        <f>I127+J127+K127+L127</f>
        <v/>
      </c>
      <c r="N127" s="31">
        <f>M127*Dashboard!$B$18/(Dashboard!$B$16/3.6)</f>
        <v/>
      </c>
      <c r="O127" s="31" t="n">
        <v>600.1361755357084</v>
      </c>
      <c r="P127" s="32" t="n">
        <v>0.3560493820000729</v>
      </c>
      <c r="Q127" s="33" t="n">
        <v>8.434509224055622</v>
      </c>
      <c r="R127" s="31" t="n">
        <v>818.7334499224826</v>
      </c>
      <c r="S127" s="31">
        <f>R127*IF(A127=4, 2.0, 3.0)</f>
        <v/>
      </c>
      <c r="T127" s="30">
        <f>8.0*U127</f>
        <v/>
      </c>
      <c r="U127" s="34">
        <f>MIN(1, S127/M127)</f>
        <v/>
      </c>
      <c r="V127" s="34">
        <f>N127/(N127+O127)</f>
        <v/>
      </c>
      <c r="W127" s="34">
        <f>U127*V127</f>
        <v/>
      </c>
      <c r="X127" s="32">
        <f>T127/N127</f>
        <v/>
      </c>
      <c r="Y127" s="35">
        <f>IF(X127=MAXIFS(X$2:X$721, A$2:A$721, A127, B$2:B$721, B127), "OPTIMAL", "")</f>
        <v/>
      </c>
    </row>
    <row r="128" ht="20" customHeight="1">
      <c r="A128" s="36" t="n">
        <v>4</v>
      </c>
      <c r="B128" s="36" t="n">
        <v>35</v>
      </c>
      <c r="C128" s="37" t="n">
        <v>80</v>
      </c>
      <c r="D128" s="37" t="n">
        <v>2</v>
      </c>
      <c r="E128" s="38" t="n">
        <v>4</v>
      </c>
      <c r="F128" s="37" t="n">
        <v>1.5</v>
      </c>
      <c r="G128" s="38" t="inlineStr">
        <is>
          <t>Non</t>
        </is>
      </c>
      <c r="H128" s="38" t="inlineStr">
        <is>
          <t>ON</t>
        </is>
      </c>
      <c r="I128" s="39" t="n">
        <v>856.3651513317755</v>
      </c>
      <c r="J128" s="39" t="n">
        <v>3449.488235315031</v>
      </c>
      <c r="K128" s="39" t="n">
        <v>2287.037037037037</v>
      </c>
      <c r="L128" s="39" t="n">
        <v>150</v>
      </c>
      <c r="M128" s="39">
        <f>I128+J128+K128+L128</f>
        <v/>
      </c>
      <c r="N128" s="39">
        <f>M128*Dashboard!$B$18/(Dashboard!$B$16/3.6)</f>
        <v/>
      </c>
      <c r="O128" s="39" t="n">
        <v>600.1361755357084</v>
      </c>
      <c r="P128" s="40" t="n">
        <v>0.07833759984793112</v>
      </c>
      <c r="Q128" s="41" t="n">
        <v>8.434509224055622</v>
      </c>
      <c r="R128" s="39" t="n">
        <v>3721.195689344141</v>
      </c>
      <c r="S128" s="39">
        <f>R128*IF(A128=4, 2.0, 3.0)</f>
        <v/>
      </c>
      <c r="T128" s="37">
        <f>8.0*U128</f>
        <v/>
      </c>
      <c r="U128" s="42">
        <f>MIN(1, S128/M128)</f>
        <v/>
      </c>
      <c r="V128" s="42">
        <f>N128/(N128+O128)</f>
        <v/>
      </c>
      <c r="W128" s="42">
        <f>U128*V128</f>
        <v/>
      </c>
      <c r="X128" s="40">
        <f>T128/N128</f>
        <v/>
      </c>
      <c r="Y128" s="15">
        <f>IF(X128=MAXIFS(X$2:X$721, A$2:A$721, A128, B$2:B$721, B128), "OPTIMAL", "")</f>
        <v/>
      </c>
    </row>
    <row r="129" ht="20" customHeight="1">
      <c r="A129" s="29" t="n">
        <v>4</v>
      </c>
      <c r="B129" s="29" t="n">
        <v>35</v>
      </c>
      <c r="C129" s="30" t="n">
        <v>80</v>
      </c>
      <c r="D129" s="30" t="n">
        <v>2</v>
      </c>
      <c r="E129" s="6" t="n">
        <v>4</v>
      </c>
      <c r="F129" s="30" t="n">
        <v>1.5</v>
      </c>
      <c r="G129" s="6" t="inlineStr">
        <is>
          <t>Non</t>
        </is>
      </c>
      <c r="H129" s="6" t="inlineStr">
        <is>
          <t>OFF</t>
        </is>
      </c>
      <c r="I129" s="31" t="n">
        <v>856.3651513317755</v>
      </c>
      <c r="J129" s="31" t="n">
        <v>3449.488235315031</v>
      </c>
      <c r="K129" s="31" t="n">
        <v>2287.037037037037</v>
      </c>
      <c r="L129" s="31" t="n">
        <v>150</v>
      </c>
      <c r="M129" s="31">
        <f>I129+J129+K129+L129</f>
        <v/>
      </c>
      <c r="N129" s="31">
        <f>M129*Dashboard!$B$18/(Dashboard!$B$16/3.6)</f>
        <v/>
      </c>
      <c r="O129" s="31" t="n">
        <v>600.1361755357084</v>
      </c>
      <c r="P129" s="32" t="n">
        <v>0.3520705084227755</v>
      </c>
      <c r="Q129" s="33" t="n">
        <v>8.434509224055622</v>
      </c>
      <c r="R129" s="31" t="n">
        <v>827.9862467708748</v>
      </c>
      <c r="S129" s="31">
        <f>R129*IF(A129=4, 2.0, 3.0)</f>
        <v/>
      </c>
      <c r="T129" s="30">
        <f>8.0*U129</f>
        <v/>
      </c>
      <c r="U129" s="34">
        <f>MIN(1, S129/M129)</f>
        <v/>
      </c>
      <c r="V129" s="34">
        <f>N129/(N129+O129)</f>
        <v/>
      </c>
      <c r="W129" s="34">
        <f>U129*V129</f>
        <v/>
      </c>
      <c r="X129" s="32">
        <f>T129/N129</f>
        <v/>
      </c>
      <c r="Y129" s="35">
        <f>IF(X129=MAXIFS(X$2:X$721, A$2:A$721, A129, B$2:B$721, B129), "OPTIMAL", "")</f>
        <v/>
      </c>
    </row>
    <row r="130" ht="20" customHeight="1">
      <c r="A130" s="36" t="n">
        <v>4</v>
      </c>
      <c r="B130" s="36" t="n">
        <v>35</v>
      </c>
      <c r="C130" s="37" t="n">
        <v>80</v>
      </c>
      <c r="D130" s="37" t="n">
        <v>2</v>
      </c>
      <c r="E130" s="38" t="n">
        <v>4</v>
      </c>
      <c r="F130" s="37" t="n">
        <v>2</v>
      </c>
      <c r="G130" s="38" t="inlineStr">
        <is>
          <t>Oui</t>
        </is>
      </c>
      <c r="H130" s="38" t="inlineStr">
        <is>
          <t>ON</t>
        </is>
      </c>
      <c r="I130" s="39" t="n">
        <v>856.3651513317755</v>
      </c>
      <c r="J130" s="39" t="n">
        <v>3449.488235315031</v>
      </c>
      <c r="K130" s="39" t="n">
        <v>2287.037037037037</v>
      </c>
      <c r="L130" s="39" t="n">
        <v>150</v>
      </c>
      <c r="M130" s="39">
        <f>I130+J130+K130+L130</f>
        <v/>
      </c>
      <c r="N130" s="39">
        <f>M130*Dashboard!$B$18/(Dashboard!$B$16/3.6)</f>
        <v/>
      </c>
      <c r="O130" s="39" t="n">
        <v>681.1137117303778</v>
      </c>
      <c r="P130" s="40" t="n">
        <v>0.08027381372050572</v>
      </c>
      <c r="Q130" s="41" t="n">
        <v>11.17934563207416</v>
      </c>
      <c r="R130" s="39" t="n">
        <v>3682.867494374841</v>
      </c>
      <c r="S130" s="39">
        <f>R130*IF(A130=4, 2.0, 3.0)</f>
        <v/>
      </c>
      <c r="T130" s="37">
        <f>8.0*U130</f>
        <v/>
      </c>
      <c r="U130" s="42">
        <f>MIN(1, S130/M130)</f>
        <v/>
      </c>
      <c r="V130" s="42">
        <f>N130/(N130+O130)</f>
        <v/>
      </c>
      <c r="W130" s="42">
        <f>U130*V130</f>
        <v/>
      </c>
      <c r="X130" s="40">
        <f>T130/N130</f>
        <v/>
      </c>
      <c r="Y130" s="15">
        <f>IF(X130=MAXIFS(X$2:X$721, A$2:A$721, A130, B$2:B$721, B130), "OPTIMAL", "")</f>
        <v/>
      </c>
    </row>
    <row r="131" ht="20" customHeight="1">
      <c r="A131" s="29" t="n">
        <v>4</v>
      </c>
      <c r="B131" s="29" t="n">
        <v>35</v>
      </c>
      <c r="C131" s="30" t="n">
        <v>80</v>
      </c>
      <c r="D131" s="30" t="n">
        <v>2</v>
      </c>
      <c r="E131" s="6" t="n">
        <v>4</v>
      </c>
      <c r="F131" s="30" t="n">
        <v>2</v>
      </c>
      <c r="G131" s="6" t="inlineStr">
        <is>
          <t>Oui</t>
        </is>
      </c>
      <c r="H131" s="6" t="inlineStr">
        <is>
          <t>OFF</t>
        </is>
      </c>
      <c r="I131" s="31" t="n">
        <v>856.3651513317755</v>
      </c>
      <c r="J131" s="31" t="n">
        <v>3449.488235315031</v>
      </c>
      <c r="K131" s="31" t="n">
        <v>2287.037037037037</v>
      </c>
      <c r="L131" s="31" t="n">
        <v>150</v>
      </c>
      <c r="M131" s="31">
        <f>I131+J131+K131+L131</f>
        <v/>
      </c>
      <c r="N131" s="31">
        <f>M131*Dashboard!$B$18/(Dashboard!$B$16/3.6)</f>
        <v/>
      </c>
      <c r="O131" s="31" t="n">
        <v>681.1137117303778</v>
      </c>
      <c r="P131" s="32" t="n">
        <v>0.355510990994127</v>
      </c>
      <c r="Q131" s="33" t="n">
        <v>11.17934563207416</v>
      </c>
      <c r="R131" s="31" t="n">
        <v>831.5855956353132</v>
      </c>
      <c r="S131" s="31">
        <f>R131*IF(A131=4, 2.0, 3.0)</f>
        <v/>
      </c>
      <c r="T131" s="30">
        <f>8.0*U131</f>
        <v/>
      </c>
      <c r="U131" s="34">
        <f>MIN(1, S131/M131)</f>
        <v/>
      </c>
      <c r="V131" s="34">
        <f>N131/(N131+O131)</f>
        <v/>
      </c>
      <c r="W131" s="34">
        <f>U131*V131</f>
        <v/>
      </c>
      <c r="X131" s="32">
        <f>T131/N131</f>
        <v/>
      </c>
      <c r="Y131" s="35">
        <f>IF(X131=MAXIFS(X$2:X$721, A$2:A$721, A131, B$2:B$721, B131), "OPTIMAL", "")</f>
        <v/>
      </c>
    </row>
    <row r="132" ht="20" customHeight="1">
      <c r="A132" s="36" t="n">
        <v>4</v>
      </c>
      <c r="B132" s="36" t="n">
        <v>35</v>
      </c>
      <c r="C132" s="37" t="n">
        <v>80</v>
      </c>
      <c r="D132" s="37" t="n">
        <v>2</v>
      </c>
      <c r="E132" s="38" t="n">
        <v>4</v>
      </c>
      <c r="F132" s="37" t="n">
        <v>2</v>
      </c>
      <c r="G132" s="38" t="inlineStr">
        <is>
          <t>Non</t>
        </is>
      </c>
      <c r="H132" s="38" t="inlineStr">
        <is>
          <t>ON</t>
        </is>
      </c>
      <c r="I132" s="39" t="n">
        <v>856.3651513317755</v>
      </c>
      <c r="J132" s="39" t="n">
        <v>3449.488235315031</v>
      </c>
      <c r="K132" s="39" t="n">
        <v>2287.037037037037</v>
      </c>
      <c r="L132" s="39" t="n">
        <v>150</v>
      </c>
      <c r="M132" s="39">
        <f>I132+J132+K132+L132</f>
        <v/>
      </c>
      <c r="N132" s="39">
        <f>M132*Dashboard!$B$18/(Dashboard!$B$16/3.6)</f>
        <v/>
      </c>
      <c r="O132" s="39" t="n">
        <v>681.1137117303778</v>
      </c>
      <c r="P132" s="40" t="n">
        <v>0.07629494014320834</v>
      </c>
      <c r="Q132" s="41" t="n">
        <v>11.17934563207416</v>
      </c>
      <c r="R132" s="39" t="n">
        <v>3874.933496845647</v>
      </c>
      <c r="S132" s="39">
        <f>R132*IF(A132=4, 2.0, 3.0)</f>
        <v/>
      </c>
      <c r="T132" s="37">
        <f>8.0*U132</f>
        <v/>
      </c>
      <c r="U132" s="42">
        <f>MIN(1, S132/M132)</f>
        <v/>
      </c>
      <c r="V132" s="42">
        <f>N132/(N132+O132)</f>
        <v/>
      </c>
      <c r="W132" s="42">
        <f>U132*V132</f>
        <v/>
      </c>
      <c r="X132" s="40">
        <f>T132/N132</f>
        <v/>
      </c>
      <c r="Y132" s="15">
        <f>IF(X132=MAXIFS(X$2:X$721, A$2:A$721, A132, B$2:B$721, B132), "OPTIMAL", "")</f>
        <v/>
      </c>
    </row>
    <row r="133" ht="20" customHeight="1">
      <c r="A133" s="29" t="n">
        <v>4</v>
      </c>
      <c r="B133" s="29" t="n">
        <v>35</v>
      </c>
      <c r="C133" s="30" t="n">
        <v>80</v>
      </c>
      <c r="D133" s="30" t="n">
        <v>2</v>
      </c>
      <c r="E133" s="6" t="n">
        <v>4</v>
      </c>
      <c r="F133" s="30" t="n">
        <v>2</v>
      </c>
      <c r="G133" s="6" t="inlineStr">
        <is>
          <t>Non</t>
        </is>
      </c>
      <c r="H133" s="6" t="inlineStr">
        <is>
          <t>OFF</t>
        </is>
      </c>
      <c r="I133" s="31" t="n">
        <v>856.3651513317755</v>
      </c>
      <c r="J133" s="31" t="n">
        <v>3449.488235315031</v>
      </c>
      <c r="K133" s="31" t="n">
        <v>2287.037037037037</v>
      </c>
      <c r="L133" s="31" t="n">
        <v>150</v>
      </c>
      <c r="M133" s="31">
        <f>I133+J133+K133+L133</f>
        <v/>
      </c>
      <c r="N133" s="31">
        <f>M133*Dashboard!$B$18/(Dashboard!$B$16/3.6)</f>
        <v/>
      </c>
      <c r="O133" s="31" t="n">
        <v>681.1137117303778</v>
      </c>
      <c r="P133" s="32" t="n">
        <v>0.3515321174168297</v>
      </c>
      <c r="Q133" s="33" t="n">
        <v>11.17934563207416</v>
      </c>
      <c r="R133" s="31" t="n">
        <v>840.998032763529</v>
      </c>
      <c r="S133" s="31">
        <f>R133*IF(A133=4, 2.0, 3.0)</f>
        <v/>
      </c>
      <c r="T133" s="30">
        <f>8.0*U133</f>
        <v/>
      </c>
      <c r="U133" s="34">
        <f>MIN(1, S133/M133)</f>
        <v/>
      </c>
      <c r="V133" s="34">
        <f>N133/(N133+O133)</f>
        <v/>
      </c>
      <c r="W133" s="34">
        <f>U133*V133</f>
        <v/>
      </c>
      <c r="X133" s="32">
        <f>T133/N133</f>
        <v/>
      </c>
      <c r="Y133" s="35">
        <f>IF(X133=MAXIFS(X$2:X$721, A$2:A$721, A133, B$2:B$721, B133), "OPTIMAL", "")</f>
        <v/>
      </c>
    </row>
    <row r="134" ht="20" customHeight="1">
      <c r="A134" s="36" t="n">
        <v>4</v>
      </c>
      <c r="B134" s="36" t="n">
        <v>35</v>
      </c>
      <c r="C134" s="37" t="n">
        <v>80</v>
      </c>
      <c r="D134" s="37" t="n">
        <v>2</v>
      </c>
      <c r="E134" s="38" t="n">
        <v>8</v>
      </c>
      <c r="F134" s="37" t="n">
        <v>1.5</v>
      </c>
      <c r="G134" s="38" t="inlineStr">
        <is>
          <t>Oui</t>
        </is>
      </c>
      <c r="H134" s="38" t="inlineStr">
        <is>
          <t>ON</t>
        </is>
      </c>
      <c r="I134" s="39" t="n">
        <v>856.3651513317755</v>
      </c>
      <c r="J134" s="39" t="n">
        <v>3449.488235315031</v>
      </c>
      <c r="K134" s="39" t="n">
        <v>2287.037037037037</v>
      </c>
      <c r="L134" s="39" t="n">
        <v>150</v>
      </c>
      <c r="M134" s="39">
        <f>I134+J134+K134+L134</f>
        <v/>
      </c>
      <c r="N134" s="39">
        <f>M134*Dashboard!$B$18/(Dashboard!$B$16/3.6)</f>
        <v/>
      </c>
      <c r="O134" s="39" t="n">
        <v>850.1500435412061</v>
      </c>
      <c r="P134" s="40" t="n">
        <v>0.06145178783543291</v>
      </c>
      <c r="Q134" s="41" t="n">
        <v>16.66901844811125</v>
      </c>
      <c r="R134" s="39" t="n">
        <v>4951.123428160267</v>
      </c>
      <c r="S134" s="39">
        <f>R134*IF(A134=4, 2.0, 3.0)</f>
        <v/>
      </c>
      <c r="T134" s="37">
        <f>8.0*U134</f>
        <v/>
      </c>
      <c r="U134" s="42">
        <f>MIN(1, S134/M134)</f>
        <v/>
      </c>
      <c r="V134" s="42">
        <f>N134/(N134+O134)</f>
        <v/>
      </c>
      <c r="W134" s="42">
        <f>U134*V134</f>
        <v/>
      </c>
      <c r="X134" s="40">
        <f>T134/N134</f>
        <v/>
      </c>
      <c r="Y134" s="15">
        <f>IF(X134=MAXIFS(X$2:X$721, A$2:A$721, A134, B$2:B$721, B134), "OPTIMAL", "")</f>
        <v/>
      </c>
    </row>
    <row r="135" ht="20" customHeight="1">
      <c r="A135" s="29" t="n">
        <v>4</v>
      </c>
      <c r="B135" s="29" t="n">
        <v>35</v>
      </c>
      <c r="C135" s="30" t="n">
        <v>80</v>
      </c>
      <c r="D135" s="30" t="n">
        <v>2</v>
      </c>
      <c r="E135" s="6" t="n">
        <v>8</v>
      </c>
      <c r="F135" s="30" t="n">
        <v>1.5</v>
      </c>
      <c r="G135" s="6" t="inlineStr">
        <is>
          <t>Oui</t>
        </is>
      </c>
      <c r="H135" s="6" t="inlineStr">
        <is>
          <t>OFF</t>
        </is>
      </c>
      <c r="I135" s="31" t="n">
        <v>856.3651513317755</v>
      </c>
      <c r="J135" s="31" t="n">
        <v>3449.488235315031</v>
      </c>
      <c r="K135" s="31" t="n">
        <v>2287.037037037037</v>
      </c>
      <c r="L135" s="31" t="n">
        <v>150</v>
      </c>
      <c r="M135" s="31">
        <f>I135+J135+K135+L135</f>
        <v/>
      </c>
      <c r="N135" s="31">
        <f>M135*Dashboard!$B$18/(Dashboard!$B$16/3.6)</f>
        <v/>
      </c>
      <c r="O135" s="31" t="n">
        <v>850.1500435412061</v>
      </c>
      <c r="P135" s="32" t="n">
        <v>0.2700829218988253</v>
      </c>
      <c r="Q135" s="33" t="n">
        <v>16.66901844811125</v>
      </c>
      <c r="R135" s="31" t="n">
        <v>1126.5258251624</v>
      </c>
      <c r="S135" s="31">
        <f>R135*IF(A135=4, 2.0, 3.0)</f>
        <v/>
      </c>
      <c r="T135" s="30">
        <f>8.0*U135</f>
        <v/>
      </c>
      <c r="U135" s="34">
        <f>MIN(1, S135/M135)</f>
        <v/>
      </c>
      <c r="V135" s="34">
        <f>N135/(N135+O135)</f>
        <v/>
      </c>
      <c r="W135" s="34">
        <f>U135*V135</f>
        <v/>
      </c>
      <c r="X135" s="32">
        <f>T135/N135</f>
        <v/>
      </c>
      <c r="Y135" s="35">
        <f>IF(X135=MAXIFS(X$2:X$721, A$2:A$721, A135, B$2:B$721, B135), "OPTIMAL", "")</f>
        <v/>
      </c>
    </row>
    <row r="136" ht="20" customHeight="1">
      <c r="A136" s="36" t="n">
        <v>4</v>
      </c>
      <c r="B136" s="36" t="n">
        <v>35</v>
      </c>
      <c r="C136" s="37" t="n">
        <v>80</v>
      </c>
      <c r="D136" s="37" t="n">
        <v>2</v>
      </c>
      <c r="E136" s="38" t="n">
        <v>8</v>
      </c>
      <c r="F136" s="37" t="n">
        <v>1.5</v>
      </c>
      <c r="G136" s="38" t="inlineStr">
        <is>
          <t>Non</t>
        </is>
      </c>
      <c r="H136" s="38" t="inlineStr">
        <is>
          <t>ON</t>
        </is>
      </c>
      <c r="I136" s="39" t="n">
        <v>856.3651513317755</v>
      </c>
      <c r="J136" s="39" t="n">
        <v>3449.488235315031</v>
      </c>
      <c r="K136" s="39" t="n">
        <v>2287.037037037037</v>
      </c>
      <c r="L136" s="39" t="n">
        <v>150</v>
      </c>
      <c r="M136" s="39">
        <f>I136+J136+K136+L136</f>
        <v/>
      </c>
      <c r="N136" s="39">
        <f>M136*Dashboard!$B$18/(Dashboard!$B$16/3.6)</f>
        <v/>
      </c>
      <c r="O136" s="39" t="n">
        <v>850.1500435412061</v>
      </c>
      <c r="P136" s="40" t="n">
        <v>0.05747291425813553</v>
      </c>
      <c r="Q136" s="41" t="n">
        <v>16.66901844811125</v>
      </c>
      <c r="R136" s="39" t="n">
        <v>5293.891746776655</v>
      </c>
      <c r="S136" s="39">
        <f>R136*IF(A136=4, 2.0, 3.0)</f>
        <v/>
      </c>
      <c r="T136" s="37">
        <f>8.0*U136</f>
        <v/>
      </c>
      <c r="U136" s="42">
        <f>MIN(1, S136/M136)</f>
        <v/>
      </c>
      <c r="V136" s="42">
        <f>N136/(N136+O136)</f>
        <v/>
      </c>
      <c r="W136" s="42">
        <f>U136*V136</f>
        <v/>
      </c>
      <c r="X136" s="40">
        <f>T136/N136</f>
        <v/>
      </c>
      <c r="Y136" s="15">
        <f>IF(X136=MAXIFS(X$2:X$721, A$2:A$721, A136, B$2:B$721, B136), "OPTIMAL", "")</f>
        <v/>
      </c>
    </row>
    <row r="137" ht="20" customHeight="1">
      <c r="A137" s="29" t="n">
        <v>4</v>
      </c>
      <c r="B137" s="29" t="n">
        <v>35</v>
      </c>
      <c r="C137" s="30" t="n">
        <v>80</v>
      </c>
      <c r="D137" s="30" t="n">
        <v>2</v>
      </c>
      <c r="E137" s="6" t="n">
        <v>8</v>
      </c>
      <c r="F137" s="30" t="n">
        <v>1.5</v>
      </c>
      <c r="G137" s="6" t="inlineStr">
        <is>
          <t>Non</t>
        </is>
      </c>
      <c r="H137" s="6" t="inlineStr">
        <is>
          <t>OFF</t>
        </is>
      </c>
      <c r="I137" s="31" t="n">
        <v>856.3651513317755</v>
      </c>
      <c r="J137" s="31" t="n">
        <v>3449.488235315031</v>
      </c>
      <c r="K137" s="31" t="n">
        <v>2287.037037037037</v>
      </c>
      <c r="L137" s="31" t="n">
        <v>150</v>
      </c>
      <c r="M137" s="31">
        <f>I137+J137+K137+L137</f>
        <v/>
      </c>
      <c r="N137" s="31">
        <f>M137*Dashboard!$B$18/(Dashboard!$B$16/3.6)</f>
        <v/>
      </c>
      <c r="O137" s="31" t="n">
        <v>850.1500435412061</v>
      </c>
      <c r="P137" s="32" t="n">
        <v>0.2661040483215279</v>
      </c>
      <c r="Q137" s="33" t="n">
        <v>16.66901844811125</v>
      </c>
      <c r="R137" s="31" t="n">
        <v>1143.37000272435</v>
      </c>
      <c r="S137" s="31">
        <f>R137*IF(A137=4, 2.0, 3.0)</f>
        <v/>
      </c>
      <c r="T137" s="30">
        <f>8.0*U137</f>
        <v/>
      </c>
      <c r="U137" s="34">
        <f>MIN(1, S137/M137)</f>
        <v/>
      </c>
      <c r="V137" s="34">
        <f>N137/(N137+O137)</f>
        <v/>
      </c>
      <c r="W137" s="34">
        <f>U137*V137</f>
        <v/>
      </c>
      <c r="X137" s="32">
        <f>T137/N137</f>
        <v/>
      </c>
      <c r="Y137" s="35">
        <f>IF(X137=MAXIFS(X$2:X$721, A$2:A$721, A137, B$2:B$721, B137), "OPTIMAL", "")</f>
        <v/>
      </c>
    </row>
    <row r="138" ht="20" customHeight="1">
      <c r="A138" s="36" t="n">
        <v>4</v>
      </c>
      <c r="B138" s="36" t="n">
        <v>35</v>
      </c>
      <c r="C138" s="37" t="n">
        <v>80</v>
      </c>
      <c r="D138" s="37" t="n">
        <v>2</v>
      </c>
      <c r="E138" s="38" t="n">
        <v>8</v>
      </c>
      <c r="F138" s="37" t="n">
        <v>2</v>
      </c>
      <c r="G138" s="38" t="inlineStr">
        <is>
          <t>Oui</t>
        </is>
      </c>
      <c r="H138" s="38" t="inlineStr">
        <is>
          <t>ON</t>
        </is>
      </c>
      <c r="I138" s="39" t="n">
        <v>856.3651513317755</v>
      </c>
      <c r="J138" s="39" t="n">
        <v>3449.488235315031</v>
      </c>
      <c r="K138" s="39" t="n">
        <v>2287.037037037037</v>
      </c>
      <c r="L138" s="39" t="n">
        <v>150</v>
      </c>
      <c r="M138" s="39">
        <f>I138+J138+K138+L138</f>
        <v/>
      </c>
      <c r="N138" s="39">
        <f>M138*Dashboard!$B$18/(Dashboard!$B$16/3.6)</f>
        <v/>
      </c>
      <c r="O138" s="39" t="n">
        <v>1029.336752879742</v>
      </c>
      <c r="P138" s="40" t="n">
        <v>0.06058998977604487</v>
      </c>
      <c r="Q138" s="41" t="n">
        <v>22.15869126414833</v>
      </c>
      <c r="R138" s="39" t="n">
        <v>5172.313559067294</v>
      </c>
      <c r="S138" s="39">
        <f>R138*IF(A138=4, 2.0, 3.0)</f>
        <v/>
      </c>
      <c r="T138" s="37">
        <f>8.0*U138</f>
        <v/>
      </c>
      <c r="U138" s="42">
        <f>MIN(1, S138/M138)</f>
        <v/>
      </c>
      <c r="V138" s="42">
        <f>N138/(N138+O138)</f>
        <v/>
      </c>
      <c r="W138" s="42">
        <f>U138*V138</f>
        <v/>
      </c>
      <c r="X138" s="40">
        <f>T138/N138</f>
        <v/>
      </c>
      <c r="Y138" s="15">
        <f>IF(X138=MAXIFS(X$2:X$721, A$2:A$721, A138, B$2:B$721, B138), "OPTIMAL", "")</f>
        <v/>
      </c>
    </row>
    <row r="139" ht="20" customHeight="1">
      <c r="A139" s="29" t="n">
        <v>4</v>
      </c>
      <c r="B139" s="29" t="n">
        <v>35</v>
      </c>
      <c r="C139" s="30" t="n">
        <v>80</v>
      </c>
      <c r="D139" s="30" t="n">
        <v>2</v>
      </c>
      <c r="E139" s="6" t="n">
        <v>8</v>
      </c>
      <c r="F139" s="30" t="n">
        <v>2</v>
      </c>
      <c r="G139" s="6" t="inlineStr">
        <is>
          <t>Oui</t>
        </is>
      </c>
      <c r="H139" s="6" t="inlineStr">
        <is>
          <t>OFF</t>
        </is>
      </c>
      <c r="I139" s="31" t="n">
        <v>856.3651513317755</v>
      </c>
      <c r="J139" s="31" t="n">
        <v>3449.488235315031</v>
      </c>
      <c r="K139" s="31" t="n">
        <v>2287.037037037037</v>
      </c>
      <c r="L139" s="31" t="n">
        <v>150</v>
      </c>
      <c r="M139" s="31">
        <f>I139+J139+K139+L139</f>
        <v/>
      </c>
      <c r="N139" s="31">
        <f>M139*Dashboard!$B$18/(Dashboard!$B$16/3.6)</f>
        <v/>
      </c>
      <c r="O139" s="31" t="n">
        <v>1029.336752879742</v>
      </c>
      <c r="P139" s="32" t="n">
        <v>0.2709744149858122</v>
      </c>
      <c r="Q139" s="33" t="n">
        <v>22.15869126414833</v>
      </c>
      <c r="R139" s="31" t="n">
        <v>1156.531422639271</v>
      </c>
      <c r="S139" s="31">
        <f>R139*IF(A139=4, 2.0, 3.0)</f>
        <v/>
      </c>
      <c r="T139" s="30">
        <f>8.0*U139</f>
        <v/>
      </c>
      <c r="U139" s="34">
        <f>MIN(1, S139/M139)</f>
        <v/>
      </c>
      <c r="V139" s="34">
        <f>N139/(N139+O139)</f>
        <v/>
      </c>
      <c r="W139" s="34">
        <f>U139*V139</f>
        <v/>
      </c>
      <c r="X139" s="32">
        <f>T139/N139</f>
        <v/>
      </c>
      <c r="Y139" s="35">
        <f>IF(X139=MAXIFS(X$2:X$721, A$2:A$721, A139, B$2:B$721, B139), "OPTIMAL", "")</f>
        <v/>
      </c>
    </row>
    <row r="140" ht="20" customHeight="1">
      <c r="A140" s="36" t="n">
        <v>4</v>
      </c>
      <c r="B140" s="36" t="n">
        <v>35</v>
      </c>
      <c r="C140" s="37" t="n">
        <v>80</v>
      </c>
      <c r="D140" s="37" t="n">
        <v>2</v>
      </c>
      <c r="E140" s="38" t="n">
        <v>8</v>
      </c>
      <c r="F140" s="37" t="n">
        <v>2</v>
      </c>
      <c r="G140" s="38" t="inlineStr">
        <is>
          <t>Non</t>
        </is>
      </c>
      <c r="H140" s="38" t="inlineStr">
        <is>
          <t>ON</t>
        </is>
      </c>
      <c r="I140" s="39" t="n">
        <v>856.3651513317755</v>
      </c>
      <c r="J140" s="39" t="n">
        <v>3449.488235315031</v>
      </c>
      <c r="K140" s="39" t="n">
        <v>2287.037037037037</v>
      </c>
      <c r="L140" s="39" t="n">
        <v>150</v>
      </c>
      <c r="M140" s="39">
        <f>I140+J140+K140+L140</f>
        <v/>
      </c>
      <c r="N140" s="39">
        <f>M140*Dashboard!$B$18/(Dashboard!$B$16/3.6)</f>
        <v/>
      </c>
      <c r="O140" s="39" t="n">
        <v>1029.336752879742</v>
      </c>
      <c r="P140" s="40" t="n">
        <v>0.05661111619874749</v>
      </c>
      <c r="Q140" s="41" t="n">
        <v>22.15869126414833</v>
      </c>
      <c r="R140" s="39" t="n">
        <v>5535.84607945461</v>
      </c>
      <c r="S140" s="39">
        <f>R140*IF(A140=4, 2.0, 3.0)</f>
        <v/>
      </c>
      <c r="T140" s="37">
        <f>8.0*U140</f>
        <v/>
      </c>
      <c r="U140" s="42">
        <f>MIN(1, S140/M140)</f>
        <v/>
      </c>
      <c r="V140" s="42">
        <f>N140/(N140+O140)</f>
        <v/>
      </c>
      <c r="W140" s="42">
        <f>U140*V140</f>
        <v/>
      </c>
      <c r="X140" s="40">
        <f>T140/N140</f>
        <v/>
      </c>
      <c r="Y140" s="15">
        <f>IF(X140=MAXIFS(X$2:X$721, A$2:A$721, A140, B$2:B$721, B140), "OPTIMAL", "")</f>
        <v/>
      </c>
    </row>
    <row r="141" ht="20" customHeight="1">
      <c r="A141" s="29" t="n">
        <v>4</v>
      </c>
      <c r="B141" s="29" t="n">
        <v>35</v>
      </c>
      <c r="C141" s="30" t="n">
        <v>80</v>
      </c>
      <c r="D141" s="30" t="n">
        <v>2</v>
      </c>
      <c r="E141" s="6" t="n">
        <v>8</v>
      </c>
      <c r="F141" s="30" t="n">
        <v>2</v>
      </c>
      <c r="G141" s="6" t="inlineStr">
        <is>
          <t>Non</t>
        </is>
      </c>
      <c r="H141" s="6" t="inlineStr">
        <is>
          <t>OFF</t>
        </is>
      </c>
      <c r="I141" s="31" t="n">
        <v>856.3651513317755</v>
      </c>
      <c r="J141" s="31" t="n">
        <v>3449.488235315031</v>
      </c>
      <c r="K141" s="31" t="n">
        <v>2287.037037037037</v>
      </c>
      <c r="L141" s="31" t="n">
        <v>150</v>
      </c>
      <c r="M141" s="31">
        <f>I141+J141+K141+L141</f>
        <v/>
      </c>
      <c r="N141" s="31">
        <f>M141*Dashboard!$B$18/(Dashboard!$B$16/3.6)</f>
        <v/>
      </c>
      <c r="O141" s="31" t="n">
        <v>1029.336752879742</v>
      </c>
      <c r="P141" s="32" t="n">
        <v>0.2669955414085148</v>
      </c>
      <c r="Q141" s="33" t="n">
        <v>22.15869126414833</v>
      </c>
      <c r="R141" s="31" t="n">
        <v>1173.766513137703</v>
      </c>
      <c r="S141" s="31">
        <f>R141*IF(A141=4, 2.0, 3.0)</f>
        <v/>
      </c>
      <c r="T141" s="30">
        <f>8.0*U141</f>
        <v/>
      </c>
      <c r="U141" s="34">
        <f>MIN(1, S141/M141)</f>
        <v/>
      </c>
      <c r="V141" s="34">
        <f>N141/(N141+O141)</f>
        <v/>
      </c>
      <c r="W141" s="34">
        <f>U141*V141</f>
        <v/>
      </c>
      <c r="X141" s="32">
        <f>T141/N141</f>
        <v/>
      </c>
      <c r="Y141" s="35">
        <f>IF(X141=MAXIFS(X$2:X$721, A$2:A$721, A141, B$2:B$721, B141), "OPTIMAL", "")</f>
        <v/>
      </c>
    </row>
    <row r="142" ht="20" customHeight="1">
      <c r="A142" s="21" t="n">
        <v>4</v>
      </c>
      <c r="B142" s="21" t="n">
        <v>35</v>
      </c>
      <c r="C142" s="22" t="n">
        <v>80</v>
      </c>
      <c r="D142" s="22" t="n">
        <v>3</v>
      </c>
      <c r="E142" s="23" t="n">
        <v>0</v>
      </c>
      <c r="F142" s="22" t="n">
        <v>0</v>
      </c>
      <c r="G142" s="23" t="inlineStr">
        <is>
          <t>Oui</t>
        </is>
      </c>
      <c r="H142" s="23" t="inlineStr">
        <is>
          <t>ON</t>
        </is>
      </c>
      <c r="I142" s="24" t="n">
        <v>856.3651513317755</v>
      </c>
      <c r="J142" s="24" t="n">
        <v>3449.488235315031</v>
      </c>
      <c r="K142" s="24" t="n">
        <v>2287.037037037037</v>
      </c>
      <c r="L142" s="24" t="n">
        <v>150</v>
      </c>
      <c r="M142" s="24">
        <f>I142+J142+K142+L142</f>
        <v/>
      </c>
      <c r="N142" s="24">
        <f>M142*Dashboard!$B$18/(Dashboard!$B$16/3.6)</f>
        <v/>
      </c>
      <c r="O142" s="24" t="n">
        <v>578.2550776954059</v>
      </c>
      <c r="P142" s="25" t="n">
        <v>0.5013985973965238</v>
      </c>
      <c r="Q142" s="26" t="n">
        <v>0.2</v>
      </c>
      <c r="R142" s="24" t="n">
        <v>588.5870784015092</v>
      </c>
      <c r="S142" s="24">
        <f>R142*IF(A142=4, 2.0, 3.0)</f>
        <v/>
      </c>
      <c r="T142" s="22">
        <f>8.0*U142</f>
        <v/>
      </c>
      <c r="U142" s="27">
        <f>MIN(1, S142/M142)</f>
        <v/>
      </c>
      <c r="V142" s="27">
        <f>N142/(N142+O142)</f>
        <v/>
      </c>
      <c r="W142" s="27">
        <f>U142*V142</f>
        <v/>
      </c>
      <c r="X142" s="25">
        <f>T142/N142</f>
        <v/>
      </c>
      <c r="Y142" s="28">
        <f>IF(X142=MAXIFS(X$2:X$721, A$2:A$721, A142, B$2:B$721, B142), "OPTIMAL", "")</f>
        <v/>
      </c>
    </row>
    <row r="143" ht="20" customHeight="1">
      <c r="A143" s="29" t="n">
        <v>4</v>
      </c>
      <c r="B143" s="29" t="n">
        <v>35</v>
      </c>
      <c r="C143" s="30" t="n">
        <v>80</v>
      </c>
      <c r="D143" s="30" t="n">
        <v>3</v>
      </c>
      <c r="E143" s="6" t="n">
        <v>0</v>
      </c>
      <c r="F143" s="30" t="n">
        <v>0</v>
      </c>
      <c r="G143" s="6" t="inlineStr">
        <is>
          <t>Oui</t>
        </is>
      </c>
      <c r="H143" s="6" t="inlineStr">
        <is>
          <t>OFF</t>
        </is>
      </c>
      <c r="I143" s="31" t="n">
        <v>856.3651513317755</v>
      </c>
      <c r="J143" s="31" t="n">
        <v>3449.488235315031</v>
      </c>
      <c r="K143" s="31" t="n">
        <v>2287.037037037037</v>
      </c>
      <c r="L143" s="31" t="n">
        <v>150</v>
      </c>
      <c r="M143" s="31">
        <f>I143+J143+K143+L143</f>
        <v/>
      </c>
      <c r="N143" s="31">
        <f>M143*Dashboard!$B$18/(Dashboard!$B$16/3.6)</f>
        <v/>
      </c>
      <c r="O143" s="31" t="n">
        <v>578.2550776954059</v>
      </c>
      <c r="P143" s="32" t="n">
        <v>0.8992859551262622</v>
      </c>
      <c r="Q143" s="33" t="n">
        <v>0.2</v>
      </c>
      <c r="R143" s="31" t="n">
        <v>328.167846805524</v>
      </c>
      <c r="S143" s="31">
        <f>R143*IF(A143=4, 2.0, 3.0)</f>
        <v/>
      </c>
      <c r="T143" s="30">
        <f>8.0*U143</f>
        <v/>
      </c>
      <c r="U143" s="34">
        <f>MIN(1, S143/M143)</f>
        <v/>
      </c>
      <c r="V143" s="34">
        <f>N143/(N143+O143)</f>
        <v/>
      </c>
      <c r="W143" s="34">
        <f>U143*V143</f>
        <v/>
      </c>
      <c r="X143" s="32">
        <f>T143/N143</f>
        <v/>
      </c>
      <c r="Y143" s="35">
        <f>IF(X143=MAXIFS(X$2:X$721, A$2:A$721, A143, B$2:B$721, B143), "OPTIMAL", "")</f>
        <v/>
      </c>
    </row>
    <row r="144" ht="20" customHeight="1">
      <c r="A144" s="21" t="n">
        <v>4</v>
      </c>
      <c r="B144" s="21" t="n">
        <v>35</v>
      </c>
      <c r="C144" s="22" t="n">
        <v>80</v>
      </c>
      <c r="D144" s="22" t="n">
        <v>3</v>
      </c>
      <c r="E144" s="23" t="n">
        <v>0</v>
      </c>
      <c r="F144" s="22" t="n">
        <v>0</v>
      </c>
      <c r="G144" s="23" t="inlineStr">
        <is>
          <t>Non</t>
        </is>
      </c>
      <c r="H144" s="23" t="inlineStr">
        <is>
          <t>ON</t>
        </is>
      </c>
      <c r="I144" s="24" t="n">
        <v>856.3651513317755</v>
      </c>
      <c r="J144" s="24" t="n">
        <v>3449.488235315031</v>
      </c>
      <c r="K144" s="24" t="n">
        <v>2287.037037037037</v>
      </c>
      <c r="L144" s="24" t="n">
        <v>150</v>
      </c>
      <c r="M144" s="24">
        <f>I144+J144+K144+L144</f>
        <v/>
      </c>
      <c r="N144" s="24">
        <f>M144*Dashboard!$B$18/(Dashboard!$B$16/3.6)</f>
        <v/>
      </c>
      <c r="O144" s="24" t="n">
        <v>578.2550776954059</v>
      </c>
      <c r="P144" s="25" t="n">
        <v>0.4974197238192265</v>
      </c>
      <c r="Q144" s="26" t="n">
        <v>0.2</v>
      </c>
      <c r="R144" s="24" t="n">
        <v>593.2952020685987</v>
      </c>
      <c r="S144" s="24">
        <f>R144*IF(A144=4, 2.0, 3.0)</f>
        <v/>
      </c>
      <c r="T144" s="22">
        <f>8.0*U144</f>
        <v/>
      </c>
      <c r="U144" s="27">
        <f>MIN(1, S144/M144)</f>
        <v/>
      </c>
      <c r="V144" s="27">
        <f>N144/(N144+O144)</f>
        <v/>
      </c>
      <c r="W144" s="27">
        <f>U144*V144</f>
        <v/>
      </c>
      <c r="X144" s="25">
        <f>T144/N144</f>
        <v/>
      </c>
      <c r="Y144" s="28">
        <f>IF(X144=MAXIFS(X$2:X$721, A$2:A$721, A144, B$2:B$721, B144), "OPTIMAL", "")</f>
        <v/>
      </c>
    </row>
    <row r="145" ht="20" customHeight="1">
      <c r="A145" s="29" t="n">
        <v>4</v>
      </c>
      <c r="B145" s="29" t="n">
        <v>35</v>
      </c>
      <c r="C145" s="30" t="n">
        <v>80</v>
      </c>
      <c r="D145" s="30" t="n">
        <v>3</v>
      </c>
      <c r="E145" s="6" t="n">
        <v>0</v>
      </c>
      <c r="F145" s="30" t="n">
        <v>0</v>
      </c>
      <c r="G145" s="6" t="inlineStr">
        <is>
          <t>Non</t>
        </is>
      </c>
      <c r="H145" s="6" t="inlineStr">
        <is>
          <t>OFF</t>
        </is>
      </c>
      <c r="I145" s="31" t="n">
        <v>856.3651513317755</v>
      </c>
      <c r="J145" s="31" t="n">
        <v>3449.488235315031</v>
      </c>
      <c r="K145" s="31" t="n">
        <v>2287.037037037037</v>
      </c>
      <c r="L145" s="31" t="n">
        <v>150</v>
      </c>
      <c r="M145" s="31">
        <f>I145+J145+K145+L145</f>
        <v/>
      </c>
      <c r="N145" s="31">
        <f>M145*Dashboard!$B$18/(Dashboard!$B$16/3.6)</f>
        <v/>
      </c>
      <c r="O145" s="31" t="n">
        <v>578.2550776954059</v>
      </c>
      <c r="P145" s="32" t="n">
        <v>0.8953070815489648</v>
      </c>
      <c r="Q145" s="33" t="n">
        <v>0.2</v>
      </c>
      <c r="R145" s="31" t="n">
        <v>329.626271966547</v>
      </c>
      <c r="S145" s="31">
        <f>R145*IF(A145=4, 2.0, 3.0)</f>
        <v/>
      </c>
      <c r="T145" s="30">
        <f>8.0*U145</f>
        <v/>
      </c>
      <c r="U145" s="34">
        <f>MIN(1, S145/M145)</f>
        <v/>
      </c>
      <c r="V145" s="34">
        <f>N145/(N145+O145)</f>
        <v/>
      </c>
      <c r="W145" s="34">
        <f>U145*V145</f>
        <v/>
      </c>
      <c r="X145" s="32">
        <f>T145/N145</f>
        <v/>
      </c>
      <c r="Y145" s="35">
        <f>IF(X145=MAXIFS(X$2:X$721, A$2:A$721, A145, B$2:B$721, B145), "OPTIMAL", "")</f>
        <v/>
      </c>
    </row>
    <row r="146" ht="20" customHeight="1">
      <c r="A146" s="36" t="n">
        <v>4</v>
      </c>
      <c r="B146" s="36" t="n">
        <v>35</v>
      </c>
      <c r="C146" s="37" t="n">
        <v>80</v>
      </c>
      <c r="D146" s="37" t="n">
        <v>3</v>
      </c>
      <c r="E146" s="38" t="n">
        <v>4</v>
      </c>
      <c r="F146" s="37" t="n">
        <v>1.5</v>
      </c>
      <c r="G146" s="38" t="inlineStr">
        <is>
          <t>Oui</t>
        </is>
      </c>
      <c r="H146" s="38" t="inlineStr">
        <is>
          <t>ON</t>
        </is>
      </c>
      <c r="I146" s="39" t="n">
        <v>856.3651513317755</v>
      </c>
      <c r="J146" s="39" t="n">
        <v>3449.488235315031</v>
      </c>
      <c r="K146" s="39" t="n">
        <v>2287.037037037037</v>
      </c>
      <c r="L146" s="39" t="n">
        <v>150</v>
      </c>
      <c r="M146" s="39">
        <f>I146+J146+K146+L146</f>
        <v/>
      </c>
      <c r="N146" s="39">
        <f>M146*Dashboard!$B$18/(Dashboard!$B$16/3.6)</f>
        <v/>
      </c>
      <c r="O146" s="39" t="n">
        <v>825.5742974465527</v>
      </c>
      <c r="P146" s="40" t="n">
        <v>0.08209463084427607</v>
      </c>
      <c r="Q146" s="41" t="n">
        <v>8.657063527408475</v>
      </c>
      <c r="R146" s="39" t="n">
        <v>3749.676097325472</v>
      </c>
      <c r="S146" s="39">
        <f>R146*IF(A146=4, 2.0, 3.0)</f>
        <v/>
      </c>
      <c r="T146" s="37">
        <f>8.0*U146</f>
        <v/>
      </c>
      <c r="U146" s="42">
        <f>MIN(1, S146/M146)</f>
        <v/>
      </c>
      <c r="V146" s="42">
        <f>N146/(N146+O146)</f>
        <v/>
      </c>
      <c r="W146" s="42">
        <f>U146*V146</f>
        <v/>
      </c>
      <c r="X146" s="40">
        <f>T146/N146</f>
        <v/>
      </c>
      <c r="Y146" s="15">
        <f>IF(X146=MAXIFS(X$2:X$721, A$2:A$721, A146, B$2:B$721, B146), "OPTIMAL", "")</f>
        <v/>
      </c>
    </row>
    <row r="147" ht="20" customHeight="1">
      <c r="A147" s="29" t="n">
        <v>4</v>
      </c>
      <c r="B147" s="29" t="n">
        <v>35</v>
      </c>
      <c r="C147" s="30" t="n">
        <v>80</v>
      </c>
      <c r="D147" s="30" t="n">
        <v>3</v>
      </c>
      <c r="E147" s="6" t="n">
        <v>4</v>
      </c>
      <c r="F147" s="30" t="n">
        <v>1.5</v>
      </c>
      <c r="G147" s="6" t="inlineStr">
        <is>
          <t>Oui</t>
        </is>
      </c>
      <c r="H147" s="6" t="inlineStr">
        <is>
          <t>OFF</t>
        </is>
      </c>
      <c r="I147" s="31" t="n">
        <v>856.3651513317755</v>
      </c>
      <c r="J147" s="31" t="n">
        <v>3449.488235315031</v>
      </c>
      <c r="K147" s="31" t="n">
        <v>2287.037037037037</v>
      </c>
      <c r="L147" s="31" t="n">
        <v>150</v>
      </c>
      <c r="M147" s="31">
        <f>I147+J147+K147+L147</f>
        <v/>
      </c>
      <c r="N147" s="31">
        <f>M147*Dashboard!$B$18/(Dashboard!$B$16/3.6)</f>
        <v/>
      </c>
      <c r="O147" s="31" t="n">
        <v>825.5742974465527</v>
      </c>
      <c r="P147" s="32" t="n">
        <v>0.3558275394191204</v>
      </c>
      <c r="Q147" s="33" t="n">
        <v>8.657063527408475</v>
      </c>
      <c r="R147" s="31" t="n">
        <v>865.1052571649243</v>
      </c>
      <c r="S147" s="31">
        <f>R147*IF(A147=4, 2.0, 3.0)</f>
        <v/>
      </c>
      <c r="T147" s="30">
        <f>8.0*U147</f>
        <v/>
      </c>
      <c r="U147" s="34">
        <f>MIN(1, S147/M147)</f>
        <v/>
      </c>
      <c r="V147" s="34">
        <f>N147/(N147+O147)</f>
        <v/>
      </c>
      <c r="W147" s="34">
        <f>U147*V147</f>
        <v/>
      </c>
      <c r="X147" s="32">
        <f>T147/N147</f>
        <v/>
      </c>
      <c r="Y147" s="35">
        <f>IF(X147=MAXIFS(X$2:X$721, A$2:A$721, A147, B$2:B$721, B147), "OPTIMAL", "")</f>
        <v/>
      </c>
    </row>
    <row r="148" ht="20" customHeight="1">
      <c r="A148" s="36" t="n">
        <v>4</v>
      </c>
      <c r="B148" s="36" t="n">
        <v>35</v>
      </c>
      <c r="C148" s="37" t="n">
        <v>80</v>
      </c>
      <c r="D148" s="37" t="n">
        <v>3</v>
      </c>
      <c r="E148" s="38" t="n">
        <v>4</v>
      </c>
      <c r="F148" s="37" t="n">
        <v>1.5</v>
      </c>
      <c r="G148" s="38" t="inlineStr">
        <is>
          <t>Non</t>
        </is>
      </c>
      <c r="H148" s="38" t="inlineStr">
        <is>
          <t>ON</t>
        </is>
      </c>
      <c r="I148" s="39" t="n">
        <v>856.3651513317755</v>
      </c>
      <c r="J148" s="39" t="n">
        <v>3449.488235315031</v>
      </c>
      <c r="K148" s="39" t="n">
        <v>2287.037037037037</v>
      </c>
      <c r="L148" s="39" t="n">
        <v>150</v>
      </c>
      <c r="M148" s="39">
        <f>I148+J148+K148+L148</f>
        <v/>
      </c>
      <c r="N148" s="39">
        <f>M148*Dashboard!$B$18/(Dashboard!$B$16/3.6)</f>
        <v/>
      </c>
      <c r="O148" s="39" t="n">
        <v>825.5742974465527</v>
      </c>
      <c r="P148" s="40" t="n">
        <v>0.07811575726697868</v>
      </c>
      <c r="Q148" s="41" t="n">
        <v>8.657063527408475</v>
      </c>
      <c r="R148" s="39" t="n">
        <v>3940.668128498915</v>
      </c>
      <c r="S148" s="39">
        <f>R148*IF(A148=4, 2.0, 3.0)</f>
        <v/>
      </c>
      <c r="T148" s="37">
        <f>8.0*U148</f>
        <v/>
      </c>
      <c r="U148" s="42">
        <f>MIN(1, S148/M148)</f>
        <v/>
      </c>
      <c r="V148" s="42">
        <f>N148/(N148+O148)</f>
        <v/>
      </c>
      <c r="W148" s="42">
        <f>U148*V148</f>
        <v/>
      </c>
      <c r="X148" s="40">
        <f>T148/N148</f>
        <v/>
      </c>
      <c r="Y148" s="15">
        <f>IF(X148=MAXIFS(X$2:X$721, A$2:A$721, A148, B$2:B$721, B148), "OPTIMAL", "")</f>
        <v/>
      </c>
    </row>
    <row r="149" ht="20" customHeight="1">
      <c r="A149" s="29" t="n">
        <v>4</v>
      </c>
      <c r="B149" s="29" t="n">
        <v>35</v>
      </c>
      <c r="C149" s="30" t="n">
        <v>80</v>
      </c>
      <c r="D149" s="30" t="n">
        <v>3</v>
      </c>
      <c r="E149" s="6" t="n">
        <v>4</v>
      </c>
      <c r="F149" s="30" t="n">
        <v>1.5</v>
      </c>
      <c r="G149" s="6" t="inlineStr">
        <is>
          <t>Non</t>
        </is>
      </c>
      <c r="H149" s="6" t="inlineStr">
        <is>
          <t>OFF</t>
        </is>
      </c>
      <c r="I149" s="31" t="n">
        <v>856.3651513317755</v>
      </c>
      <c r="J149" s="31" t="n">
        <v>3449.488235315031</v>
      </c>
      <c r="K149" s="31" t="n">
        <v>2287.037037037037</v>
      </c>
      <c r="L149" s="31" t="n">
        <v>150</v>
      </c>
      <c r="M149" s="31">
        <f>I149+J149+K149+L149</f>
        <v/>
      </c>
      <c r="N149" s="31">
        <f>M149*Dashboard!$B$18/(Dashboard!$B$16/3.6)</f>
        <v/>
      </c>
      <c r="O149" s="31" t="n">
        <v>825.5742974465527</v>
      </c>
      <c r="P149" s="32" t="n">
        <v>0.3518486658418231</v>
      </c>
      <c r="Q149" s="33" t="n">
        <v>8.657063527408475</v>
      </c>
      <c r="R149" s="31" t="n">
        <v>874.8882826059303</v>
      </c>
      <c r="S149" s="31">
        <f>R149*IF(A149=4, 2.0, 3.0)</f>
        <v/>
      </c>
      <c r="T149" s="30">
        <f>8.0*U149</f>
        <v/>
      </c>
      <c r="U149" s="34">
        <f>MIN(1, S149/M149)</f>
        <v/>
      </c>
      <c r="V149" s="34">
        <f>N149/(N149+O149)</f>
        <v/>
      </c>
      <c r="W149" s="34">
        <f>U149*V149</f>
        <v/>
      </c>
      <c r="X149" s="32">
        <f>T149/N149</f>
        <v/>
      </c>
      <c r="Y149" s="35">
        <f>IF(X149=MAXIFS(X$2:X$721, A$2:A$721, A149, B$2:B$721, B149), "OPTIMAL", "")</f>
        <v/>
      </c>
    </row>
    <row r="150" ht="20" customHeight="1">
      <c r="A150" s="36" t="n">
        <v>4</v>
      </c>
      <c r="B150" s="36" t="n">
        <v>35</v>
      </c>
      <c r="C150" s="37" t="n">
        <v>80</v>
      </c>
      <c r="D150" s="37" t="n">
        <v>3</v>
      </c>
      <c r="E150" s="38" t="n">
        <v>4</v>
      </c>
      <c r="F150" s="37" t="n">
        <v>2</v>
      </c>
      <c r="G150" s="38" t="inlineStr">
        <is>
          <t>Oui</t>
        </is>
      </c>
      <c r="H150" s="38" t="inlineStr">
        <is>
          <t>ON</t>
        </is>
      </c>
      <c r="I150" s="39" t="n">
        <v>856.3651513317755</v>
      </c>
      <c r="J150" s="39" t="n">
        <v>3449.488235315031</v>
      </c>
      <c r="K150" s="39" t="n">
        <v>2287.037037037037</v>
      </c>
      <c r="L150" s="39" t="n">
        <v>150</v>
      </c>
      <c r="M150" s="39">
        <f>I150+J150+K150+L150</f>
        <v/>
      </c>
      <c r="N150" s="39">
        <f>M150*Dashboard!$B$18/(Dashboard!$B$16/3.6)</f>
        <v/>
      </c>
      <c r="O150" s="39" t="n">
        <v>912.8175650763895</v>
      </c>
      <c r="P150" s="40" t="n">
        <v>0.08011046001180847</v>
      </c>
      <c r="Q150" s="41" t="n">
        <v>11.4760847032113</v>
      </c>
      <c r="R150" s="39" t="n">
        <v>3898.521405370035</v>
      </c>
      <c r="S150" s="39">
        <f>R150*IF(A150=4, 2.0, 3.0)</f>
        <v/>
      </c>
      <c r="T150" s="37">
        <f>8.0*U150</f>
        <v/>
      </c>
      <c r="U150" s="42">
        <f>MIN(1, S150/M150)</f>
        <v/>
      </c>
      <c r="V150" s="42">
        <f>N150/(N150+O150)</f>
        <v/>
      </c>
      <c r="W150" s="42">
        <f>U150*V150</f>
        <v/>
      </c>
      <c r="X150" s="40">
        <f>T150/N150</f>
        <v/>
      </c>
      <c r="Y150" s="15">
        <f>IF(X150=MAXIFS(X$2:X$721, A$2:A$721, A150, B$2:B$721, B150), "OPTIMAL", "")</f>
        <v/>
      </c>
    </row>
    <row r="151" ht="20" customHeight="1">
      <c r="A151" s="29" t="n">
        <v>4</v>
      </c>
      <c r="B151" s="29" t="n">
        <v>35</v>
      </c>
      <c r="C151" s="30" t="n">
        <v>80</v>
      </c>
      <c r="D151" s="30" t="n">
        <v>3</v>
      </c>
      <c r="E151" s="6" t="n">
        <v>4</v>
      </c>
      <c r="F151" s="30" t="n">
        <v>2</v>
      </c>
      <c r="G151" s="6" t="inlineStr">
        <is>
          <t>Oui</t>
        </is>
      </c>
      <c r="H151" s="6" t="inlineStr">
        <is>
          <t>OFF</t>
        </is>
      </c>
      <c r="I151" s="31" t="n">
        <v>856.3651513317755</v>
      </c>
      <c r="J151" s="31" t="n">
        <v>3449.488235315031</v>
      </c>
      <c r="K151" s="31" t="n">
        <v>2287.037037037037</v>
      </c>
      <c r="L151" s="31" t="n">
        <v>150</v>
      </c>
      <c r="M151" s="31">
        <f>I151+J151+K151+L151</f>
        <v/>
      </c>
      <c r="N151" s="31">
        <f>M151*Dashboard!$B$18/(Dashboard!$B$16/3.6)</f>
        <v/>
      </c>
      <c r="O151" s="31" t="n">
        <v>912.8175650763895</v>
      </c>
      <c r="P151" s="32" t="n">
        <v>0.3553476372854298</v>
      </c>
      <c r="Q151" s="33" t="n">
        <v>11.4760847032113</v>
      </c>
      <c r="R151" s="31" t="n">
        <v>878.8924151456041</v>
      </c>
      <c r="S151" s="31">
        <f>R151*IF(A151=4, 2.0, 3.0)</f>
        <v/>
      </c>
      <c r="T151" s="30">
        <f>8.0*U151</f>
        <v/>
      </c>
      <c r="U151" s="34">
        <f>MIN(1, S151/M151)</f>
        <v/>
      </c>
      <c r="V151" s="34">
        <f>N151/(N151+O151)</f>
        <v/>
      </c>
      <c r="W151" s="34">
        <f>U151*V151</f>
        <v/>
      </c>
      <c r="X151" s="32">
        <f>T151/N151</f>
        <v/>
      </c>
      <c r="Y151" s="35">
        <f>IF(X151=MAXIFS(X$2:X$721, A$2:A$721, A151, B$2:B$721, B151), "OPTIMAL", "")</f>
        <v/>
      </c>
    </row>
    <row r="152" ht="20" customHeight="1">
      <c r="A152" s="36" t="n">
        <v>4</v>
      </c>
      <c r="B152" s="36" t="n">
        <v>35</v>
      </c>
      <c r="C152" s="37" t="n">
        <v>80</v>
      </c>
      <c r="D152" s="37" t="n">
        <v>3</v>
      </c>
      <c r="E152" s="38" t="n">
        <v>4</v>
      </c>
      <c r="F152" s="37" t="n">
        <v>2</v>
      </c>
      <c r="G152" s="38" t="inlineStr">
        <is>
          <t>Non</t>
        </is>
      </c>
      <c r="H152" s="38" t="inlineStr">
        <is>
          <t>ON</t>
        </is>
      </c>
      <c r="I152" s="39" t="n">
        <v>856.3651513317755</v>
      </c>
      <c r="J152" s="39" t="n">
        <v>3449.488235315031</v>
      </c>
      <c r="K152" s="39" t="n">
        <v>2287.037037037037</v>
      </c>
      <c r="L152" s="39" t="n">
        <v>150</v>
      </c>
      <c r="M152" s="39">
        <f>I152+J152+K152+L152</f>
        <v/>
      </c>
      <c r="N152" s="39">
        <f>M152*Dashboard!$B$18/(Dashboard!$B$16/3.6)</f>
        <v/>
      </c>
      <c r="O152" s="39" t="n">
        <v>912.8175650763895</v>
      </c>
      <c r="P152" s="40" t="n">
        <v>0.07613158643451108</v>
      </c>
      <c r="Q152" s="41" t="n">
        <v>11.4760847032113</v>
      </c>
      <c r="R152" s="39" t="n">
        <v>4102.270263588015</v>
      </c>
      <c r="S152" s="39">
        <f>R152*IF(A152=4, 2.0, 3.0)</f>
        <v/>
      </c>
      <c r="T152" s="37">
        <f>8.0*U152</f>
        <v/>
      </c>
      <c r="U152" s="42">
        <f>MIN(1, S152/M152)</f>
        <v/>
      </c>
      <c r="V152" s="42">
        <f>N152/(N152+O152)</f>
        <v/>
      </c>
      <c r="W152" s="42">
        <f>U152*V152</f>
        <v/>
      </c>
      <c r="X152" s="40">
        <f>T152/N152</f>
        <v/>
      </c>
      <c r="Y152" s="15">
        <f>IF(X152=MAXIFS(X$2:X$721, A$2:A$721, A152, B$2:B$721, B152), "OPTIMAL", "")</f>
        <v/>
      </c>
    </row>
    <row r="153" ht="20" customHeight="1">
      <c r="A153" s="29" t="n">
        <v>4</v>
      </c>
      <c r="B153" s="29" t="n">
        <v>35</v>
      </c>
      <c r="C153" s="30" t="n">
        <v>80</v>
      </c>
      <c r="D153" s="30" t="n">
        <v>3</v>
      </c>
      <c r="E153" s="6" t="n">
        <v>4</v>
      </c>
      <c r="F153" s="30" t="n">
        <v>2</v>
      </c>
      <c r="G153" s="6" t="inlineStr">
        <is>
          <t>Non</t>
        </is>
      </c>
      <c r="H153" s="6" t="inlineStr">
        <is>
          <t>OFF</t>
        </is>
      </c>
      <c r="I153" s="31" t="n">
        <v>856.3651513317755</v>
      </c>
      <c r="J153" s="31" t="n">
        <v>3449.488235315031</v>
      </c>
      <c r="K153" s="31" t="n">
        <v>2287.037037037037</v>
      </c>
      <c r="L153" s="31" t="n">
        <v>150</v>
      </c>
      <c r="M153" s="31">
        <f>I153+J153+K153+L153</f>
        <v/>
      </c>
      <c r="N153" s="31">
        <f>M153*Dashboard!$B$18/(Dashboard!$B$16/3.6)</f>
        <v/>
      </c>
      <c r="O153" s="31" t="n">
        <v>912.8175650763895</v>
      </c>
      <c r="P153" s="32" t="n">
        <v>0.3513687637081325</v>
      </c>
      <c r="Q153" s="33" t="n">
        <v>11.4760847032113</v>
      </c>
      <c r="R153" s="31" t="n">
        <v>888.8449270621578</v>
      </c>
      <c r="S153" s="31">
        <f>R153*IF(A153=4, 2.0, 3.0)</f>
        <v/>
      </c>
      <c r="T153" s="30">
        <f>8.0*U153</f>
        <v/>
      </c>
      <c r="U153" s="34">
        <f>MIN(1, S153/M153)</f>
        <v/>
      </c>
      <c r="V153" s="34">
        <f>N153/(N153+O153)</f>
        <v/>
      </c>
      <c r="W153" s="34">
        <f>U153*V153</f>
        <v/>
      </c>
      <c r="X153" s="32">
        <f>T153/N153</f>
        <v/>
      </c>
      <c r="Y153" s="35">
        <f>IF(X153=MAXIFS(X$2:X$721, A$2:A$721, A153, B$2:B$721, B153), "OPTIMAL", "")</f>
        <v/>
      </c>
    </row>
    <row r="154" ht="20" customHeight="1">
      <c r="A154" s="36" t="n">
        <v>4</v>
      </c>
      <c r="B154" s="36" t="n">
        <v>35</v>
      </c>
      <c r="C154" s="37" t="n">
        <v>80</v>
      </c>
      <c r="D154" s="37" t="n">
        <v>3</v>
      </c>
      <c r="E154" s="38" t="n">
        <v>8</v>
      </c>
      <c r="F154" s="37" t="n">
        <v>1.5</v>
      </c>
      <c r="G154" s="38" t="inlineStr">
        <is>
          <t>Oui</t>
        </is>
      </c>
      <c r="H154" s="38" t="inlineStr">
        <is>
          <t>ON</t>
        </is>
      </c>
      <c r="I154" s="39" t="n">
        <v>856.3651513317755</v>
      </c>
      <c r="J154" s="39" t="n">
        <v>3449.488235315031</v>
      </c>
      <c r="K154" s="39" t="n">
        <v>2287.037037037037</v>
      </c>
      <c r="L154" s="39" t="n">
        <v>150</v>
      </c>
      <c r="M154" s="39">
        <f>I154+J154+K154+L154</f>
        <v/>
      </c>
      <c r="N154" s="39">
        <f>M154*Dashboard!$B$18/(Dashboard!$B$16/3.6)</f>
        <v/>
      </c>
      <c r="O154" s="39" t="n">
        <v>1095.158036825472</v>
      </c>
      <c r="P154" s="40" t="n">
        <v>0.06134832938702932</v>
      </c>
      <c r="Q154" s="41" t="n">
        <v>17.11412705481695</v>
      </c>
      <c r="R154" s="39" t="n">
        <v>5243.568223962858</v>
      </c>
      <c r="S154" s="39">
        <f>R154*IF(A154=4, 2.0, 3.0)</f>
        <v/>
      </c>
      <c r="T154" s="37">
        <f>8.0*U154</f>
        <v/>
      </c>
      <c r="U154" s="42">
        <f>MIN(1, S154/M154)</f>
        <v/>
      </c>
      <c r="V154" s="42">
        <f>N154/(N154+O154)</f>
        <v/>
      </c>
      <c r="W154" s="42">
        <f>U154*V154</f>
        <v/>
      </c>
      <c r="X154" s="40">
        <f>T154/N154</f>
        <v/>
      </c>
      <c r="Y154" s="15">
        <f>IF(X154=MAXIFS(X$2:X$721, A$2:A$721, A154, B$2:B$721, B154), "OPTIMAL", "")</f>
        <v/>
      </c>
    </row>
    <row r="155" ht="20" customHeight="1">
      <c r="A155" s="29" t="n">
        <v>4</v>
      </c>
      <c r="B155" s="29" t="n">
        <v>35</v>
      </c>
      <c r="C155" s="30" t="n">
        <v>80</v>
      </c>
      <c r="D155" s="30" t="n">
        <v>3</v>
      </c>
      <c r="E155" s="6" t="n">
        <v>8</v>
      </c>
      <c r="F155" s="30" t="n">
        <v>1.5</v>
      </c>
      <c r="G155" s="6" t="inlineStr">
        <is>
          <t>Oui</t>
        </is>
      </c>
      <c r="H155" s="6" t="inlineStr">
        <is>
          <t>OFF</t>
        </is>
      </c>
      <c r="I155" s="31" t="n">
        <v>856.3651513317755</v>
      </c>
      <c r="J155" s="31" t="n">
        <v>3449.488235315031</v>
      </c>
      <c r="K155" s="31" t="n">
        <v>2287.037037037037</v>
      </c>
      <c r="L155" s="31" t="n">
        <v>150</v>
      </c>
      <c r="M155" s="31">
        <f>I155+J155+K155+L155</f>
        <v/>
      </c>
      <c r="N155" s="31">
        <f>M155*Dashboard!$B$18/(Dashboard!$B$16/3.6)</f>
        <v/>
      </c>
      <c r="O155" s="31" t="n">
        <v>1095.158036825472</v>
      </c>
      <c r="P155" s="32" t="n">
        <v>0.2699794634504217</v>
      </c>
      <c r="Q155" s="33" t="n">
        <v>17.11412705481695</v>
      </c>
      <c r="R155" s="31" t="n">
        <v>1191.513407930403</v>
      </c>
      <c r="S155" s="31">
        <f>R155*IF(A155=4, 2.0, 3.0)</f>
        <v/>
      </c>
      <c r="T155" s="30">
        <f>8.0*U155</f>
        <v/>
      </c>
      <c r="U155" s="34">
        <f>MIN(1, S155/M155)</f>
        <v/>
      </c>
      <c r="V155" s="34">
        <f>N155/(N155+O155)</f>
        <v/>
      </c>
      <c r="W155" s="34">
        <f>U155*V155</f>
        <v/>
      </c>
      <c r="X155" s="32">
        <f>T155/N155</f>
        <v/>
      </c>
      <c r="Y155" s="35">
        <f>IF(X155=MAXIFS(X$2:X$721, A$2:A$721, A155, B$2:B$721, B155), "OPTIMAL", "")</f>
        <v/>
      </c>
    </row>
    <row r="156" ht="20" customHeight="1">
      <c r="A156" s="36" t="n">
        <v>4</v>
      </c>
      <c r="B156" s="36" t="n">
        <v>35</v>
      </c>
      <c r="C156" s="37" t="n">
        <v>80</v>
      </c>
      <c r="D156" s="37" t="n">
        <v>3</v>
      </c>
      <c r="E156" s="38" t="n">
        <v>8</v>
      </c>
      <c r="F156" s="37" t="n">
        <v>1.5</v>
      </c>
      <c r="G156" s="38" t="inlineStr">
        <is>
          <t>Non</t>
        </is>
      </c>
      <c r="H156" s="38" t="inlineStr">
        <is>
          <t>ON</t>
        </is>
      </c>
      <c r="I156" s="39" t="n">
        <v>856.3651513317755</v>
      </c>
      <c r="J156" s="39" t="n">
        <v>3449.488235315031</v>
      </c>
      <c r="K156" s="39" t="n">
        <v>2287.037037037037</v>
      </c>
      <c r="L156" s="39" t="n">
        <v>150</v>
      </c>
      <c r="M156" s="39">
        <f>I156+J156+K156+L156</f>
        <v/>
      </c>
      <c r="N156" s="39">
        <f>M156*Dashboard!$B$18/(Dashboard!$B$16/3.6)</f>
        <v/>
      </c>
      <c r="O156" s="39" t="n">
        <v>1095.158036825472</v>
      </c>
      <c r="P156" s="40" t="n">
        <v>0.05736945580973193</v>
      </c>
      <c r="Q156" s="41" t="n">
        <v>17.11412705481695</v>
      </c>
      <c r="R156" s="39" t="n">
        <v>5607.237266358459</v>
      </c>
      <c r="S156" s="39">
        <f>R156*IF(A156=4, 2.0, 3.0)</f>
        <v/>
      </c>
      <c r="T156" s="37">
        <f>8.0*U156</f>
        <v/>
      </c>
      <c r="U156" s="42">
        <f>MIN(1, S156/M156)</f>
        <v/>
      </c>
      <c r="V156" s="42">
        <f>N156/(N156+O156)</f>
        <v/>
      </c>
      <c r="W156" s="42">
        <f>U156*V156</f>
        <v/>
      </c>
      <c r="X156" s="40">
        <f>T156/N156</f>
        <v/>
      </c>
      <c r="Y156" s="15">
        <f>IF(X156=MAXIFS(X$2:X$721, A$2:A$721, A156, B$2:B$721, B156), "OPTIMAL", "")</f>
        <v/>
      </c>
    </row>
    <row r="157" ht="20" customHeight="1">
      <c r="A157" s="29" t="n">
        <v>4</v>
      </c>
      <c r="B157" s="29" t="n">
        <v>35</v>
      </c>
      <c r="C157" s="30" t="n">
        <v>80</v>
      </c>
      <c r="D157" s="30" t="n">
        <v>3</v>
      </c>
      <c r="E157" s="6" t="n">
        <v>8</v>
      </c>
      <c r="F157" s="30" t="n">
        <v>1.5</v>
      </c>
      <c r="G157" s="6" t="inlineStr">
        <is>
          <t>Non</t>
        </is>
      </c>
      <c r="H157" s="6" t="inlineStr">
        <is>
          <t>OFF</t>
        </is>
      </c>
      <c r="I157" s="31" t="n">
        <v>856.3651513317755</v>
      </c>
      <c r="J157" s="31" t="n">
        <v>3449.488235315031</v>
      </c>
      <c r="K157" s="31" t="n">
        <v>2287.037037037037</v>
      </c>
      <c r="L157" s="31" t="n">
        <v>150</v>
      </c>
      <c r="M157" s="31">
        <f>I157+J157+K157+L157</f>
        <v/>
      </c>
      <c r="N157" s="31">
        <f>M157*Dashboard!$B$18/(Dashboard!$B$16/3.6)</f>
        <v/>
      </c>
      <c r="O157" s="31" t="n">
        <v>1095.158036825472</v>
      </c>
      <c r="P157" s="32" t="n">
        <v>0.2660005898731243</v>
      </c>
      <c r="Q157" s="33" t="n">
        <v>17.11412705481695</v>
      </c>
      <c r="R157" s="31" t="n">
        <v>1209.336230120652</v>
      </c>
      <c r="S157" s="31">
        <f>R157*IF(A157=4, 2.0, 3.0)</f>
        <v/>
      </c>
      <c r="T157" s="30">
        <f>8.0*U157</f>
        <v/>
      </c>
      <c r="U157" s="34">
        <f>MIN(1, S157/M157)</f>
        <v/>
      </c>
      <c r="V157" s="34">
        <f>N157/(N157+O157)</f>
        <v/>
      </c>
      <c r="W157" s="34">
        <f>U157*V157</f>
        <v/>
      </c>
      <c r="X157" s="32">
        <f>T157/N157</f>
        <v/>
      </c>
      <c r="Y157" s="35">
        <f>IF(X157=MAXIFS(X$2:X$721, A$2:A$721, A157, B$2:B$721, B157), "OPTIMAL", "")</f>
        <v/>
      </c>
    </row>
    <row r="158" ht="20" customHeight="1">
      <c r="A158" s="36" t="n">
        <v>4</v>
      </c>
      <c r="B158" s="36" t="n">
        <v>35</v>
      </c>
      <c r="C158" s="37" t="n">
        <v>80</v>
      </c>
      <c r="D158" s="37" t="n">
        <v>3</v>
      </c>
      <c r="E158" s="38" t="n">
        <v>8</v>
      </c>
      <c r="F158" s="37" t="n">
        <v>2</v>
      </c>
      <c r="G158" s="38" t="inlineStr">
        <is>
          <t>Oui</t>
        </is>
      </c>
      <c r="H158" s="38" t="inlineStr">
        <is>
          <t>ON</t>
        </is>
      </c>
      <c r="I158" s="39" t="n">
        <v>856.3651513317755</v>
      </c>
      <c r="J158" s="39" t="n">
        <v>3449.488235315031</v>
      </c>
      <c r="K158" s="39" t="n">
        <v>2287.037037037037</v>
      </c>
      <c r="L158" s="39" t="n">
        <v>150</v>
      </c>
      <c r="M158" s="39">
        <f>I158+J158+K158+L158</f>
        <v/>
      </c>
      <c r="N158" s="39">
        <f>M158*Dashboard!$B$18/(Dashboard!$B$16/3.6)</f>
        <v/>
      </c>
      <c r="O158" s="39" t="n">
        <v>1288.780325195193</v>
      </c>
      <c r="P158" s="40" t="n">
        <v>0.060517018169736</v>
      </c>
      <c r="Q158" s="41" t="n">
        <v>22.7521694064226</v>
      </c>
      <c r="R158" s="39" t="n">
        <v>5480.04219136457</v>
      </c>
      <c r="S158" s="39">
        <f>R158*IF(A158=4, 2.0, 3.0)</f>
        <v/>
      </c>
      <c r="T158" s="37">
        <f>8.0*U158</f>
        <v/>
      </c>
      <c r="U158" s="42">
        <f>MIN(1, S158/M158)</f>
        <v/>
      </c>
      <c r="V158" s="42">
        <f>N158/(N158+O158)</f>
        <v/>
      </c>
      <c r="W158" s="42">
        <f>U158*V158</f>
        <v/>
      </c>
      <c r="X158" s="40">
        <f>T158/N158</f>
        <v/>
      </c>
      <c r="Y158" s="15">
        <f>IF(X158=MAXIFS(X$2:X$721, A$2:A$721, A158, B$2:B$721, B158), "OPTIMAL", "")</f>
        <v/>
      </c>
    </row>
    <row r="159" ht="20" customHeight="1">
      <c r="A159" s="29" t="n">
        <v>4</v>
      </c>
      <c r="B159" s="29" t="n">
        <v>35</v>
      </c>
      <c r="C159" s="30" t="n">
        <v>80</v>
      </c>
      <c r="D159" s="30" t="n">
        <v>3</v>
      </c>
      <c r="E159" s="6" t="n">
        <v>8</v>
      </c>
      <c r="F159" s="30" t="n">
        <v>2</v>
      </c>
      <c r="G159" s="6" t="inlineStr">
        <is>
          <t>Oui</t>
        </is>
      </c>
      <c r="H159" s="6" t="inlineStr">
        <is>
          <t>OFF</t>
        </is>
      </c>
      <c r="I159" s="31" t="n">
        <v>856.3651513317755</v>
      </c>
      <c r="J159" s="31" t="n">
        <v>3449.488235315031</v>
      </c>
      <c r="K159" s="31" t="n">
        <v>2287.037037037037</v>
      </c>
      <c r="L159" s="31" t="n">
        <v>150</v>
      </c>
      <c r="M159" s="31">
        <f>I159+J159+K159+L159</f>
        <v/>
      </c>
      <c r="N159" s="31">
        <f>M159*Dashboard!$B$18/(Dashboard!$B$16/3.6)</f>
        <v/>
      </c>
      <c r="O159" s="31" t="n">
        <v>1288.780325195193</v>
      </c>
      <c r="P159" s="32" t="n">
        <v>0.2709014433795033</v>
      </c>
      <c r="Q159" s="33" t="n">
        <v>22.7521694064226</v>
      </c>
      <c r="R159" s="31" t="n">
        <v>1224.193598707202</v>
      </c>
      <c r="S159" s="31">
        <f>R159*IF(A159=4, 2.0, 3.0)</f>
        <v/>
      </c>
      <c r="T159" s="30">
        <f>8.0*U159</f>
        <v/>
      </c>
      <c r="U159" s="34">
        <f>MIN(1, S159/M159)</f>
        <v/>
      </c>
      <c r="V159" s="34">
        <f>N159/(N159+O159)</f>
        <v/>
      </c>
      <c r="W159" s="34">
        <f>U159*V159</f>
        <v/>
      </c>
      <c r="X159" s="32">
        <f>T159/N159</f>
        <v/>
      </c>
      <c r="Y159" s="35">
        <f>IF(X159=MAXIFS(X$2:X$721, A$2:A$721, A159, B$2:B$721, B159), "OPTIMAL", "")</f>
        <v/>
      </c>
    </row>
    <row r="160" ht="20" customHeight="1">
      <c r="A160" s="36" t="n">
        <v>4</v>
      </c>
      <c r="B160" s="36" t="n">
        <v>35</v>
      </c>
      <c r="C160" s="37" t="n">
        <v>80</v>
      </c>
      <c r="D160" s="37" t="n">
        <v>3</v>
      </c>
      <c r="E160" s="38" t="n">
        <v>8</v>
      </c>
      <c r="F160" s="37" t="n">
        <v>2</v>
      </c>
      <c r="G160" s="38" t="inlineStr">
        <is>
          <t>Non</t>
        </is>
      </c>
      <c r="H160" s="38" t="inlineStr">
        <is>
          <t>ON</t>
        </is>
      </c>
      <c r="I160" s="39" t="n">
        <v>856.3651513317755</v>
      </c>
      <c r="J160" s="39" t="n">
        <v>3449.488235315031</v>
      </c>
      <c r="K160" s="39" t="n">
        <v>2287.037037037037</v>
      </c>
      <c r="L160" s="39" t="n">
        <v>150</v>
      </c>
      <c r="M160" s="39">
        <f>I160+J160+K160+L160</f>
        <v/>
      </c>
      <c r="N160" s="39">
        <f>M160*Dashboard!$B$18/(Dashboard!$B$16/3.6)</f>
        <v/>
      </c>
      <c r="O160" s="39" t="n">
        <v>1288.780325195193</v>
      </c>
      <c r="P160" s="40" t="n">
        <v>0.05653814459243862</v>
      </c>
      <c r="Q160" s="41" t="n">
        <v>22.7521694064226</v>
      </c>
      <c r="R160" s="39" t="n">
        <v>5865.700320666031</v>
      </c>
      <c r="S160" s="39">
        <f>R160*IF(A160=4, 2.0, 3.0)</f>
        <v/>
      </c>
      <c r="T160" s="37">
        <f>8.0*U160</f>
        <v/>
      </c>
      <c r="U160" s="42">
        <f>MIN(1, S160/M160)</f>
        <v/>
      </c>
      <c r="V160" s="42">
        <f>N160/(N160+O160)</f>
        <v/>
      </c>
      <c r="W160" s="42">
        <f>U160*V160</f>
        <v/>
      </c>
      <c r="X160" s="40">
        <f>T160/N160</f>
        <v/>
      </c>
      <c r="Y160" s="15">
        <f>IF(X160=MAXIFS(X$2:X$721, A$2:A$721, A160, B$2:B$721, B160), "OPTIMAL", "")</f>
        <v/>
      </c>
    </row>
    <row r="161" ht="20" customHeight="1">
      <c r="A161" s="29" t="n">
        <v>4</v>
      </c>
      <c r="B161" s="29" t="n">
        <v>35</v>
      </c>
      <c r="C161" s="30" t="n">
        <v>80</v>
      </c>
      <c r="D161" s="30" t="n">
        <v>3</v>
      </c>
      <c r="E161" s="6" t="n">
        <v>8</v>
      </c>
      <c r="F161" s="30" t="n">
        <v>2</v>
      </c>
      <c r="G161" s="6" t="inlineStr">
        <is>
          <t>Non</t>
        </is>
      </c>
      <c r="H161" s="6" t="inlineStr">
        <is>
          <t>OFF</t>
        </is>
      </c>
      <c r="I161" s="31" t="n">
        <v>856.3651513317755</v>
      </c>
      <c r="J161" s="31" t="n">
        <v>3449.488235315031</v>
      </c>
      <c r="K161" s="31" t="n">
        <v>2287.037037037037</v>
      </c>
      <c r="L161" s="31" t="n">
        <v>150</v>
      </c>
      <c r="M161" s="31">
        <f>I161+J161+K161+L161</f>
        <v/>
      </c>
      <c r="N161" s="31">
        <f>M161*Dashboard!$B$18/(Dashboard!$B$16/3.6)</f>
        <v/>
      </c>
      <c r="O161" s="31" t="n">
        <v>1288.780325195193</v>
      </c>
      <c r="P161" s="32" t="n">
        <v>0.266922569802206</v>
      </c>
      <c r="Q161" s="33" t="n">
        <v>22.7521694064226</v>
      </c>
      <c r="R161" s="31" t="n">
        <v>1242.442005228247</v>
      </c>
      <c r="S161" s="31">
        <f>R161*IF(A161=4, 2.0, 3.0)</f>
        <v/>
      </c>
      <c r="T161" s="30">
        <f>8.0*U161</f>
        <v/>
      </c>
      <c r="U161" s="34">
        <f>MIN(1, S161/M161)</f>
        <v/>
      </c>
      <c r="V161" s="34">
        <f>N161/(N161+O161)</f>
        <v/>
      </c>
      <c r="W161" s="34">
        <f>U161*V161</f>
        <v/>
      </c>
      <c r="X161" s="32">
        <f>T161/N161</f>
        <v/>
      </c>
      <c r="Y161" s="35">
        <f>IF(X161=MAXIFS(X$2:X$721, A$2:A$721, A161, B$2:B$721, B161), "OPTIMAL", "")</f>
        <v/>
      </c>
    </row>
    <row r="162" ht="20" customHeight="1">
      <c r="A162" s="21" t="n">
        <v>4</v>
      </c>
      <c r="B162" s="21" t="n">
        <v>35</v>
      </c>
      <c r="C162" s="22" t="n">
        <v>100</v>
      </c>
      <c r="D162" s="22" t="n">
        <v>2</v>
      </c>
      <c r="E162" s="23" t="n">
        <v>0</v>
      </c>
      <c r="F162" s="22" t="n">
        <v>0</v>
      </c>
      <c r="G162" s="23" t="inlineStr">
        <is>
          <t>Oui</t>
        </is>
      </c>
      <c r="H162" s="23" t="inlineStr">
        <is>
          <t>ON</t>
        </is>
      </c>
      <c r="I162" s="24" t="n">
        <v>856.3651513317755</v>
      </c>
      <c r="J162" s="24" t="n">
        <v>3449.488235315031</v>
      </c>
      <c r="K162" s="24" t="n">
        <v>2287.037037037037</v>
      </c>
      <c r="L162" s="24" t="n">
        <v>150</v>
      </c>
      <c r="M162" s="24">
        <f>I162+J162+K162+L162</f>
        <v/>
      </c>
      <c r="N162" s="24">
        <f>M162*Dashboard!$B$18/(Dashboard!$B$16/3.6)</f>
        <v/>
      </c>
      <c r="O162" s="24" t="n">
        <v>291.5308506710375</v>
      </c>
      <c r="P162" s="25" t="n">
        <v>0.4806796209288155</v>
      </c>
      <c r="Q162" s="26" t="n">
        <v>0.2</v>
      </c>
      <c r="R162" s="24" t="n">
        <v>364.8035884246508</v>
      </c>
      <c r="S162" s="24">
        <f>R162*IF(A162=4, 2.0, 3.0)</f>
        <v/>
      </c>
      <c r="T162" s="22">
        <f>8.0*U162</f>
        <v/>
      </c>
      <c r="U162" s="27">
        <f>MIN(1, S162/M162)</f>
        <v/>
      </c>
      <c r="V162" s="27">
        <f>N162/(N162+O162)</f>
        <v/>
      </c>
      <c r="W162" s="27">
        <f>U162*V162</f>
        <v/>
      </c>
      <c r="X162" s="25">
        <f>T162/N162</f>
        <v/>
      </c>
      <c r="Y162" s="28">
        <f>IF(X162=MAXIFS(X$2:X$721, A$2:A$721, A162, B$2:B$721, B162), "OPTIMAL", "")</f>
        <v/>
      </c>
    </row>
    <row r="163" ht="20" customHeight="1">
      <c r="A163" s="29" t="n">
        <v>4</v>
      </c>
      <c r="B163" s="29" t="n">
        <v>35</v>
      </c>
      <c r="C163" s="30" t="n">
        <v>100</v>
      </c>
      <c r="D163" s="30" t="n">
        <v>2</v>
      </c>
      <c r="E163" s="6" t="n">
        <v>0</v>
      </c>
      <c r="F163" s="30" t="n">
        <v>0</v>
      </c>
      <c r="G163" s="6" t="inlineStr">
        <is>
          <t>Oui</t>
        </is>
      </c>
      <c r="H163" s="6" t="inlineStr">
        <is>
          <t>OFF</t>
        </is>
      </c>
      <c r="I163" s="31" t="n">
        <v>856.3651513317755</v>
      </c>
      <c r="J163" s="31" t="n">
        <v>3449.488235315031</v>
      </c>
      <c r="K163" s="31" t="n">
        <v>2287.037037037037</v>
      </c>
      <c r="L163" s="31" t="n">
        <v>150</v>
      </c>
      <c r="M163" s="31">
        <f>I163+J163+K163+L163</f>
        <v/>
      </c>
      <c r="N163" s="31">
        <f>M163*Dashboard!$B$18/(Dashboard!$B$16/3.6)</f>
        <v/>
      </c>
      <c r="O163" s="31" t="n">
        <v>291.5308506710375</v>
      </c>
      <c r="P163" s="32" t="n">
        <v>0.7989895071126063</v>
      </c>
      <c r="Q163" s="33" t="n">
        <v>0.2</v>
      </c>
      <c r="R163" s="31" t="n">
        <v>219.4692784278569</v>
      </c>
      <c r="S163" s="31">
        <f>R163*IF(A163=4, 2.0, 3.0)</f>
        <v/>
      </c>
      <c r="T163" s="30">
        <f>8.0*U163</f>
        <v/>
      </c>
      <c r="U163" s="34">
        <f>MIN(1, S163/M163)</f>
        <v/>
      </c>
      <c r="V163" s="34">
        <f>N163/(N163+O163)</f>
        <v/>
      </c>
      <c r="W163" s="34">
        <f>U163*V163</f>
        <v/>
      </c>
      <c r="X163" s="32">
        <f>T163/N163</f>
        <v/>
      </c>
      <c r="Y163" s="35">
        <f>IF(X163=MAXIFS(X$2:X$721, A$2:A$721, A163, B$2:B$721, B163), "OPTIMAL", "")</f>
        <v/>
      </c>
    </row>
    <row r="164" ht="20" customHeight="1">
      <c r="A164" s="21" t="n">
        <v>4</v>
      </c>
      <c r="B164" s="21" t="n">
        <v>35</v>
      </c>
      <c r="C164" s="22" t="n">
        <v>100</v>
      </c>
      <c r="D164" s="22" t="n">
        <v>2</v>
      </c>
      <c r="E164" s="23" t="n">
        <v>0</v>
      </c>
      <c r="F164" s="22" t="n">
        <v>0</v>
      </c>
      <c r="G164" s="23" t="inlineStr">
        <is>
          <t>Non</t>
        </is>
      </c>
      <c r="H164" s="23" t="inlineStr">
        <is>
          <t>ON</t>
        </is>
      </c>
      <c r="I164" s="24" t="n">
        <v>856.3651513317755</v>
      </c>
      <c r="J164" s="24" t="n">
        <v>3449.488235315031</v>
      </c>
      <c r="K164" s="24" t="n">
        <v>2287.037037037037</v>
      </c>
      <c r="L164" s="24" t="n">
        <v>150</v>
      </c>
      <c r="M164" s="24">
        <f>I164+J164+K164+L164</f>
        <v/>
      </c>
      <c r="N164" s="24">
        <f>M164*Dashboard!$B$18/(Dashboard!$B$16/3.6)</f>
        <v/>
      </c>
      <c r="O164" s="24" t="n">
        <v>291.5308506710375</v>
      </c>
      <c r="P164" s="25" t="n">
        <v>0.4774965220669776</v>
      </c>
      <c r="Q164" s="26" t="n">
        <v>0.2</v>
      </c>
      <c r="R164" s="24" t="n">
        <v>367.2354509271927</v>
      </c>
      <c r="S164" s="24">
        <f>R164*IF(A164=4, 2.0, 3.0)</f>
        <v/>
      </c>
      <c r="T164" s="22">
        <f>8.0*U164</f>
        <v/>
      </c>
      <c r="U164" s="27">
        <f>MIN(1, S164/M164)</f>
        <v/>
      </c>
      <c r="V164" s="27">
        <f>N164/(N164+O164)</f>
        <v/>
      </c>
      <c r="W164" s="27">
        <f>U164*V164</f>
        <v/>
      </c>
      <c r="X164" s="25">
        <f>T164/N164</f>
        <v/>
      </c>
      <c r="Y164" s="28">
        <f>IF(X164=MAXIFS(X$2:X$721, A$2:A$721, A164, B$2:B$721, B164), "OPTIMAL", "")</f>
        <v/>
      </c>
    </row>
    <row r="165" ht="20" customHeight="1">
      <c r="A165" s="29" t="n">
        <v>4</v>
      </c>
      <c r="B165" s="29" t="n">
        <v>35</v>
      </c>
      <c r="C165" s="30" t="n">
        <v>100</v>
      </c>
      <c r="D165" s="30" t="n">
        <v>2</v>
      </c>
      <c r="E165" s="6" t="n">
        <v>0</v>
      </c>
      <c r="F165" s="30" t="n">
        <v>0</v>
      </c>
      <c r="G165" s="6" t="inlineStr">
        <is>
          <t>Non</t>
        </is>
      </c>
      <c r="H165" s="6" t="inlineStr">
        <is>
          <t>OFF</t>
        </is>
      </c>
      <c r="I165" s="31" t="n">
        <v>856.3651513317755</v>
      </c>
      <c r="J165" s="31" t="n">
        <v>3449.488235315031</v>
      </c>
      <c r="K165" s="31" t="n">
        <v>2287.037037037037</v>
      </c>
      <c r="L165" s="31" t="n">
        <v>150</v>
      </c>
      <c r="M165" s="31">
        <f>I165+J165+K165+L165</f>
        <v/>
      </c>
      <c r="N165" s="31">
        <f>M165*Dashboard!$B$18/(Dashboard!$B$16/3.6)</f>
        <v/>
      </c>
      <c r="O165" s="31" t="n">
        <v>291.5308506710375</v>
      </c>
      <c r="P165" s="32" t="n">
        <v>0.7958064082507683</v>
      </c>
      <c r="Q165" s="33" t="n">
        <v>0.2</v>
      </c>
      <c r="R165" s="31" t="n">
        <v>220.3471205803318</v>
      </c>
      <c r="S165" s="31">
        <f>R165*IF(A165=4, 2.0, 3.0)</f>
        <v/>
      </c>
      <c r="T165" s="30">
        <f>8.0*U165</f>
        <v/>
      </c>
      <c r="U165" s="34">
        <f>MIN(1, S165/M165)</f>
        <v/>
      </c>
      <c r="V165" s="34">
        <f>N165/(N165+O165)</f>
        <v/>
      </c>
      <c r="W165" s="34">
        <f>U165*V165</f>
        <v/>
      </c>
      <c r="X165" s="32">
        <f>T165/N165</f>
        <v/>
      </c>
      <c r="Y165" s="35">
        <f>IF(X165=MAXIFS(X$2:X$721, A$2:A$721, A165, B$2:B$721, B165), "OPTIMAL", "")</f>
        <v/>
      </c>
    </row>
    <row r="166" ht="20" customHeight="1">
      <c r="A166" s="21" t="n">
        <v>4</v>
      </c>
      <c r="B166" s="21" t="n">
        <v>35</v>
      </c>
      <c r="C166" s="22" t="n">
        <v>100</v>
      </c>
      <c r="D166" s="22" t="n">
        <v>2</v>
      </c>
      <c r="E166" s="23" t="n">
        <v>4</v>
      </c>
      <c r="F166" s="22" t="n">
        <v>1.5</v>
      </c>
      <c r="G166" s="23" t="inlineStr">
        <is>
          <t>Oui</t>
        </is>
      </c>
      <c r="H166" s="23" t="inlineStr">
        <is>
          <t>ON</t>
        </is>
      </c>
      <c r="I166" s="24" t="n">
        <v>856.3651513317755</v>
      </c>
      <c r="J166" s="24" t="n">
        <v>3449.488235315031</v>
      </c>
      <c r="K166" s="24" t="n">
        <v>2287.037037037037</v>
      </c>
      <c r="L166" s="24" t="n">
        <v>150</v>
      </c>
      <c r="M166" s="24">
        <f>I166+J166+K166+L166</f>
        <v/>
      </c>
      <c r="N166" s="24">
        <f>M166*Dashboard!$B$18/(Dashboard!$B$16/3.6)</f>
        <v/>
      </c>
      <c r="O166" s="24" t="n">
        <v>457.7979480022412</v>
      </c>
      <c r="P166" s="25" t="n">
        <v>0.07376163664698646</v>
      </c>
      <c r="Q166" s="26" t="n">
        <v>6.718986469044035</v>
      </c>
      <c r="R166" s="24" t="n">
        <v>2455.461275561574</v>
      </c>
      <c r="S166" s="24">
        <f>R166*IF(A166=4, 2.0, 3.0)</f>
        <v/>
      </c>
      <c r="T166" s="22">
        <f>8.0*U166</f>
        <v/>
      </c>
      <c r="U166" s="27">
        <f>MIN(1, S166/M166)</f>
        <v/>
      </c>
      <c r="V166" s="27">
        <f>N166/(N166+O166)</f>
        <v/>
      </c>
      <c r="W166" s="27">
        <f>U166*V166</f>
        <v/>
      </c>
      <c r="X166" s="25">
        <f>T166/N166</f>
        <v/>
      </c>
      <c r="Y166" s="28">
        <f>IF(X166=MAXIFS(X$2:X$721, A$2:A$721, A166, B$2:B$721, B166), "OPTIMAL", "")</f>
        <v/>
      </c>
    </row>
    <row r="167" ht="20" customHeight="1">
      <c r="A167" s="29" t="n">
        <v>4</v>
      </c>
      <c r="B167" s="29" t="n">
        <v>35</v>
      </c>
      <c r="C167" s="30" t="n">
        <v>100</v>
      </c>
      <c r="D167" s="30" t="n">
        <v>2</v>
      </c>
      <c r="E167" s="6" t="n">
        <v>4</v>
      </c>
      <c r="F167" s="30" t="n">
        <v>1.5</v>
      </c>
      <c r="G167" s="6" t="inlineStr">
        <is>
          <t>Oui</t>
        </is>
      </c>
      <c r="H167" s="6" t="inlineStr">
        <is>
          <t>OFF</t>
        </is>
      </c>
      <c r="I167" s="31" t="n">
        <v>856.3651513317755</v>
      </c>
      <c r="J167" s="31" t="n">
        <v>3449.488235315031</v>
      </c>
      <c r="K167" s="31" t="n">
        <v>2287.037037037037</v>
      </c>
      <c r="L167" s="31" t="n">
        <v>150</v>
      </c>
      <c r="M167" s="31">
        <f>I167+J167+K167+L167</f>
        <v/>
      </c>
      <c r="N167" s="31">
        <f>M167*Dashboard!$B$18/(Dashboard!$B$16/3.6)</f>
        <v/>
      </c>
      <c r="O167" s="31" t="n">
        <v>457.7979480022412</v>
      </c>
      <c r="P167" s="32" t="n">
        <v>0.3073240714228834</v>
      </c>
      <c r="Q167" s="33" t="n">
        <v>6.718986469044035</v>
      </c>
      <c r="R167" s="31" t="n">
        <v>589.3415428545977</v>
      </c>
      <c r="S167" s="31">
        <f>R167*IF(A167=4, 2.0, 3.0)</f>
        <v/>
      </c>
      <c r="T167" s="30">
        <f>8.0*U167</f>
        <v/>
      </c>
      <c r="U167" s="34">
        <f>MIN(1, S167/M167)</f>
        <v/>
      </c>
      <c r="V167" s="34">
        <f>N167/(N167+O167)</f>
        <v/>
      </c>
      <c r="W167" s="34">
        <f>U167*V167</f>
        <v/>
      </c>
      <c r="X167" s="32">
        <f>T167/N167</f>
        <v/>
      </c>
      <c r="Y167" s="35">
        <f>IF(X167=MAXIFS(X$2:X$721, A$2:A$721, A167, B$2:B$721, B167), "OPTIMAL", "")</f>
        <v/>
      </c>
    </row>
    <row r="168" ht="20" customHeight="1">
      <c r="A168" s="21" t="n">
        <v>4</v>
      </c>
      <c r="B168" s="21" t="n">
        <v>35</v>
      </c>
      <c r="C168" s="22" t="n">
        <v>100</v>
      </c>
      <c r="D168" s="22" t="n">
        <v>2</v>
      </c>
      <c r="E168" s="23" t="n">
        <v>4</v>
      </c>
      <c r="F168" s="22" t="n">
        <v>1.5</v>
      </c>
      <c r="G168" s="23" t="inlineStr">
        <is>
          <t>Non</t>
        </is>
      </c>
      <c r="H168" s="23" t="inlineStr">
        <is>
          <t>ON</t>
        </is>
      </c>
      <c r="I168" s="24" t="n">
        <v>856.3651513317755</v>
      </c>
      <c r="J168" s="24" t="n">
        <v>3449.488235315031</v>
      </c>
      <c r="K168" s="24" t="n">
        <v>2287.037037037037</v>
      </c>
      <c r="L168" s="24" t="n">
        <v>150</v>
      </c>
      <c r="M168" s="24">
        <f>I168+J168+K168+L168</f>
        <v/>
      </c>
      <c r="N168" s="24">
        <f>M168*Dashboard!$B$18/(Dashboard!$B$16/3.6)</f>
        <v/>
      </c>
      <c r="O168" s="24" t="n">
        <v>457.7979480022412</v>
      </c>
      <c r="P168" s="25" t="n">
        <v>0.07057853778514854</v>
      </c>
      <c r="Q168" s="26" t="n">
        <v>6.718986469044035</v>
      </c>
      <c r="R168" s="24" t="n">
        <v>2566.202815933522</v>
      </c>
      <c r="S168" s="24">
        <f>R168*IF(A168=4, 2.0, 3.0)</f>
        <v/>
      </c>
      <c r="T168" s="22">
        <f>8.0*U168</f>
        <v/>
      </c>
      <c r="U168" s="27">
        <f>MIN(1, S168/M168)</f>
        <v/>
      </c>
      <c r="V168" s="27">
        <f>N168/(N168+O168)</f>
        <v/>
      </c>
      <c r="W168" s="27">
        <f>U168*V168</f>
        <v/>
      </c>
      <c r="X168" s="25">
        <f>T168/N168</f>
        <v/>
      </c>
      <c r="Y168" s="28">
        <f>IF(X168=MAXIFS(X$2:X$721, A$2:A$721, A168, B$2:B$721, B168), "OPTIMAL", "")</f>
        <v/>
      </c>
    </row>
    <row r="169" ht="20" customHeight="1">
      <c r="A169" s="29" t="n">
        <v>4</v>
      </c>
      <c r="B169" s="29" t="n">
        <v>35</v>
      </c>
      <c r="C169" s="30" t="n">
        <v>100</v>
      </c>
      <c r="D169" s="30" t="n">
        <v>2</v>
      </c>
      <c r="E169" s="6" t="n">
        <v>4</v>
      </c>
      <c r="F169" s="30" t="n">
        <v>1.5</v>
      </c>
      <c r="G169" s="6" t="inlineStr">
        <is>
          <t>Non</t>
        </is>
      </c>
      <c r="H169" s="6" t="inlineStr">
        <is>
          <t>OFF</t>
        </is>
      </c>
      <c r="I169" s="31" t="n">
        <v>856.3651513317755</v>
      </c>
      <c r="J169" s="31" t="n">
        <v>3449.488235315031</v>
      </c>
      <c r="K169" s="31" t="n">
        <v>2287.037037037037</v>
      </c>
      <c r="L169" s="31" t="n">
        <v>150</v>
      </c>
      <c r="M169" s="31">
        <f>I169+J169+K169+L169</f>
        <v/>
      </c>
      <c r="N169" s="31">
        <f>M169*Dashboard!$B$18/(Dashboard!$B$16/3.6)</f>
        <v/>
      </c>
      <c r="O169" s="31" t="n">
        <v>457.7979480022412</v>
      </c>
      <c r="P169" s="32" t="n">
        <v>0.3041409725610454</v>
      </c>
      <c r="Q169" s="33" t="n">
        <v>6.718986469044035</v>
      </c>
      <c r="R169" s="31" t="n">
        <v>595.5095128538314</v>
      </c>
      <c r="S169" s="31">
        <f>R169*IF(A169=4, 2.0, 3.0)</f>
        <v/>
      </c>
      <c r="T169" s="30">
        <f>8.0*U169</f>
        <v/>
      </c>
      <c r="U169" s="34">
        <f>MIN(1, S169/M169)</f>
        <v/>
      </c>
      <c r="V169" s="34">
        <f>N169/(N169+O169)</f>
        <v/>
      </c>
      <c r="W169" s="34">
        <f>U169*V169</f>
        <v/>
      </c>
      <c r="X169" s="32">
        <f>T169/N169</f>
        <v/>
      </c>
      <c r="Y169" s="35">
        <f>IF(X169=MAXIFS(X$2:X$721, A$2:A$721, A169, B$2:B$721, B169), "OPTIMAL", "")</f>
        <v/>
      </c>
    </row>
    <row r="170" ht="20" customHeight="1">
      <c r="A170" s="21" t="n">
        <v>4</v>
      </c>
      <c r="B170" s="21" t="n">
        <v>35</v>
      </c>
      <c r="C170" s="22" t="n">
        <v>100</v>
      </c>
      <c r="D170" s="22" t="n">
        <v>2</v>
      </c>
      <c r="E170" s="23" t="n">
        <v>4</v>
      </c>
      <c r="F170" s="22" t="n">
        <v>2</v>
      </c>
      <c r="G170" s="23" t="inlineStr">
        <is>
          <t>Oui</t>
        </is>
      </c>
      <c r="H170" s="23" t="inlineStr">
        <is>
          <t>ON</t>
        </is>
      </c>
      <c r="I170" s="24" t="n">
        <v>856.3651513317755</v>
      </c>
      <c r="J170" s="24" t="n">
        <v>3449.488235315031</v>
      </c>
      <c r="K170" s="24" t="n">
        <v>2287.037037037037</v>
      </c>
      <c r="L170" s="24" t="n">
        <v>150</v>
      </c>
      <c r="M170" s="24">
        <f>I170+J170+K170+L170</f>
        <v/>
      </c>
      <c r="N170" s="24">
        <f>M170*Dashboard!$B$18/(Dashboard!$B$16/3.6)</f>
        <v/>
      </c>
      <c r="O170" s="24" t="n">
        <v>515.6767671576853</v>
      </c>
      <c r="P170" s="25" t="n">
        <v>0.07106618988155999</v>
      </c>
      <c r="Q170" s="26" t="n">
        <v>8.891981958725379</v>
      </c>
      <c r="R170" s="24" t="n">
        <v>2576.833640143102</v>
      </c>
      <c r="S170" s="24">
        <f>R170*IF(A170=4, 2.0, 3.0)</f>
        <v/>
      </c>
      <c r="T170" s="22">
        <f>8.0*U170</f>
        <v/>
      </c>
      <c r="U170" s="27">
        <f>MIN(1, S170/M170)</f>
        <v/>
      </c>
      <c r="V170" s="27">
        <f>N170/(N170+O170)</f>
        <v/>
      </c>
      <c r="W170" s="27">
        <f>U170*V170</f>
        <v/>
      </c>
      <c r="X170" s="25">
        <f>T170/N170</f>
        <v/>
      </c>
      <c r="Y170" s="28">
        <f>IF(X170=MAXIFS(X$2:X$721, A$2:A$721, A170, B$2:B$721, B170), "OPTIMAL", "")</f>
        <v/>
      </c>
    </row>
    <row r="171" ht="20" customHeight="1">
      <c r="A171" s="29" t="n">
        <v>4</v>
      </c>
      <c r="B171" s="29" t="n">
        <v>35</v>
      </c>
      <c r="C171" s="30" t="n">
        <v>100</v>
      </c>
      <c r="D171" s="30" t="n">
        <v>2</v>
      </c>
      <c r="E171" s="6" t="n">
        <v>4</v>
      </c>
      <c r="F171" s="30" t="n">
        <v>2</v>
      </c>
      <c r="G171" s="6" t="inlineStr">
        <is>
          <t>Oui</t>
        </is>
      </c>
      <c r="H171" s="6" t="inlineStr">
        <is>
          <t>OFF</t>
        </is>
      </c>
      <c r="I171" s="31" t="n">
        <v>856.3651513317755</v>
      </c>
      <c r="J171" s="31" t="n">
        <v>3449.488235315031</v>
      </c>
      <c r="K171" s="31" t="n">
        <v>2287.037037037037</v>
      </c>
      <c r="L171" s="31" t="n">
        <v>150</v>
      </c>
      <c r="M171" s="31">
        <f>I171+J171+K171+L171</f>
        <v/>
      </c>
      <c r="N171" s="31">
        <f>M171*Dashboard!$B$18/(Dashboard!$B$16/3.6)</f>
        <v/>
      </c>
      <c r="O171" s="31" t="n">
        <v>515.6767671576853</v>
      </c>
      <c r="P171" s="32" t="n">
        <v>0.3057228026390766</v>
      </c>
      <c r="Q171" s="33" t="n">
        <v>8.891981958725379</v>
      </c>
      <c r="R171" s="31" t="n">
        <v>598.9927711731457</v>
      </c>
      <c r="S171" s="31">
        <f>R171*IF(A171=4, 2.0, 3.0)</f>
        <v/>
      </c>
      <c r="T171" s="30">
        <f>8.0*U171</f>
        <v/>
      </c>
      <c r="U171" s="34">
        <f>MIN(1, S171/M171)</f>
        <v/>
      </c>
      <c r="V171" s="34">
        <f>N171/(N171+O171)</f>
        <v/>
      </c>
      <c r="W171" s="34">
        <f>U171*V171</f>
        <v/>
      </c>
      <c r="X171" s="32">
        <f>T171/N171</f>
        <v/>
      </c>
      <c r="Y171" s="35">
        <f>IF(X171=MAXIFS(X$2:X$721, A$2:A$721, A171, B$2:B$721, B171), "OPTIMAL", "")</f>
        <v/>
      </c>
    </row>
    <row r="172" ht="20" customHeight="1">
      <c r="A172" s="21" t="n">
        <v>4</v>
      </c>
      <c r="B172" s="21" t="n">
        <v>35</v>
      </c>
      <c r="C172" s="22" t="n">
        <v>100</v>
      </c>
      <c r="D172" s="22" t="n">
        <v>2</v>
      </c>
      <c r="E172" s="23" t="n">
        <v>4</v>
      </c>
      <c r="F172" s="22" t="n">
        <v>2</v>
      </c>
      <c r="G172" s="23" t="inlineStr">
        <is>
          <t>Non</t>
        </is>
      </c>
      <c r="H172" s="23" t="inlineStr">
        <is>
          <t>ON</t>
        </is>
      </c>
      <c r="I172" s="24" t="n">
        <v>856.3651513317755</v>
      </c>
      <c r="J172" s="24" t="n">
        <v>3449.488235315031</v>
      </c>
      <c r="K172" s="24" t="n">
        <v>2287.037037037037</v>
      </c>
      <c r="L172" s="24" t="n">
        <v>150</v>
      </c>
      <c r="M172" s="24">
        <f>I172+J172+K172+L172</f>
        <v/>
      </c>
      <c r="N172" s="24">
        <f>M172*Dashboard!$B$18/(Dashboard!$B$16/3.6)</f>
        <v/>
      </c>
      <c r="O172" s="24" t="n">
        <v>515.6767671576853</v>
      </c>
      <c r="P172" s="25" t="n">
        <v>0.06788309101972209</v>
      </c>
      <c r="Q172" s="26" t="n">
        <v>8.891981958725379</v>
      </c>
      <c r="R172" s="24" t="n">
        <v>2697.663674601936</v>
      </c>
      <c r="S172" s="24">
        <f>R172*IF(A172=4, 2.0, 3.0)</f>
        <v/>
      </c>
      <c r="T172" s="22">
        <f>8.0*U172</f>
        <v/>
      </c>
      <c r="U172" s="27">
        <f>MIN(1, S172/M172)</f>
        <v/>
      </c>
      <c r="V172" s="27">
        <f>N172/(N172+O172)</f>
        <v/>
      </c>
      <c r="W172" s="27">
        <f>U172*V172</f>
        <v/>
      </c>
      <c r="X172" s="25">
        <f>T172/N172</f>
        <v/>
      </c>
      <c r="Y172" s="28">
        <f>IF(X172=MAXIFS(X$2:X$721, A$2:A$721, A172, B$2:B$721, B172), "OPTIMAL", "")</f>
        <v/>
      </c>
    </row>
    <row r="173" ht="20" customHeight="1">
      <c r="A173" s="29" t="n">
        <v>4</v>
      </c>
      <c r="B173" s="29" t="n">
        <v>35</v>
      </c>
      <c r="C173" s="30" t="n">
        <v>100</v>
      </c>
      <c r="D173" s="30" t="n">
        <v>2</v>
      </c>
      <c r="E173" s="6" t="n">
        <v>4</v>
      </c>
      <c r="F173" s="30" t="n">
        <v>2</v>
      </c>
      <c r="G173" s="6" t="inlineStr">
        <is>
          <t>Non</t>
        </is>
      </c>
      <c r="H173" s="6" t="inlineStr">
        <is>
          <t>OFF</t>
        </is>
      </c>
      <c r="I173" s="31" t="n">
        <v>856.3651513317755</v>
      </c>
      <c r="J173" s="31" t="n">
        <v>3449.488235315031</v>
      </c>
      <c r="K173" s="31" t="n">
        <v>2287.037037037037</v>
      </c>
      <c r="L173" s="31" t="n">
        <v>150</v>
      </c>
      <c r="M173" s="31">
        <f>I173+J173+K173+L173</f>
        <v/>
      </c>
      <c r="N173" s="31">
        <f>M173*Dashboard!$B$18/(Dashboard!$B$16/3.6)</f>
        <v/>
      </c>
      <c r="O173" s="31" t="n">
        <v>515.6767671576853</v>
      </c>
      <c r="P173" s="32" t="n">
        <v>0.3025397037772387</v>
      </c>
      <c r="Q173" s="33" t="n">
        <v>8.891981958725379</v>
      </c>
      <c r="R173" s="31" t="n">
        <v>605.2949298133692</v>
      </c>
      <c r="S173" s="31">
        <f>R173*IF(A173=4, 2.0, 3.0)</f>
        <v/>
      </c>
      <c r="T173" s="30">
        <f>8.0*U173</f>
        <v/>
      </c>
      <c r="U173" s="34">
        <f>MIN(1, S173/M173)</f>
        <v/>
      </c>
      <c r="V173" s="34">
        <f>N173/(N173+O173)</f>
        <v/>
      </c>
      <c r="W173" s="34">
        <f>U173*V173</f>
        <v/>
      </c>
      <c r="X173" s="32">
        <f>T173/N173</f>
        <v/>
      </c>
      <c r="Y173" s="35">
        <f>IF(X173=MAXIFS(X$2:X$721, A$2:A$721, A173, B$2:B$721, B173), "OPTIMAL", "")</f>
        <v/>
      </c>
    </row>
    <row r="174" ht="20" customHeight="1">
      <c r="A174" s="21" t="n">
        <v>4</v>
      </c>
      <c r="B174" s="21" t="n">
        <v>35</v>
      </c>
      <c r="C174" s="22" t="n">
        <v>100</v>
      </c>
      <c r="D174" s="22" t="n">
        <v>2</v>
      </c>
      <c r="E174" s="23" t="n">
        <v>8</v>
      </c>
      <c r="F174" s="22" t="n">
        <v>1.5</v>
      </c>
      <c r="G174" s="23" t="inlineStr">
        <is>
          <t>Oui</t>
        </is>
      </c>
      <c r="H174" s="23" t="inlineStr">
        <is>
          <t>ON</t>
        </is>
      </c>
      <c r="I174" s="24" t="n">
        <v>856.3651513317755</v>
      </c>
      <c r="J174" s="24" t="n">
        <v>3449.488235315031</v>
      </c>
      <c r="K174" s="24" t="n">
        <v>2287.037037037037</v>
      </c>
      <c r="L174" s="24" t="n">
        <v>150</v>
      </c>
      <c r="M174" s="24">
        <f>I174+J174+K174+L174</f>
        <v/>
      </c>
      <c r="N174" s="24">
        <f>M174*Dashboard!$B$18/(Dashboard!$B$16/3.6)</f>
        <v/>
      </c>
      <c r="O174" s="24" t="n">
        <v>635.3696083312005</v>
      </c>
      <c r="P174" s="25" t="n">
        <v>0.05573050288457804</v>
      </c>
      <c r="Q174" s="26" t="n">
        <v>13.23797293808807</v>
      </c>
      <c r="R174" s="24" t="n">
        <v>3360.386181788755</v>
      </c>
      <c r="S174" s="24">
        <f>R174*IF(A174=4, 2.0, 3.0)</f>
        <v/>
      </c>
      <c r="T174" s="22">
        <f>8.0*U174</f>
        <v/>
      </c>
      <c r="U174" s="27">
        <f>MIN(1, S174/M174)</f>
        <v/>
      </c>
      <c r="V174" s="27">
        <f>N174/(N174+O174)</f>
        <v/>
      </c>
      <c r="W174" s="27">
        <f>U174*V174</f>
        <v/>
      </c>
      <c r="X174" s="25">
        <f>T174/N174</f>
        <v/>
      </c>
      <c r="Y174" s="28">
        <f>IF(X174=MAXIFS(X$2:X$721, A$2:A$721, A174, B$2:B$721, B174), "OPTIMAL", "")</f>
        <v/>
      </c>
    </row>
    <row r="175" ht="20" customHeight="1">
      <c r="A175" s="29" t="n">
        <v>4</v>
      </c>
      <c r="B175" s="29" t="n">
        <v>35</v>
      </c>
      <c r="C175" s="30" t="n">
        <v>100</v>
      </c>
      <c r="D175" s="30" t="n">
        <v>2</v>
      </c>
      <c r="E175" s="6" t="n">
        <v>8</v>
      </c>
      <c r="F175" s="30" t="n">
        <v>1.5</v>
      </c>
      <c r="G175" s="6" t="inlineStr">
        <is>
          <t>Oui</t>
        </is>
      </c>
      <c r="H175" s="6" t="inlineStr">
        <is>
          <t>OFF</t>
        </is>
      </c>
      <c r="I175" s="31" t="n">
        <v>856.3651513317755</v>
      </c>
      <c r="J175" s="31" t="n">
        <v>3449.488235315031</v>
      </c>
      <c r="K175" s="31" t="n">
        <v>2287.037037037037</v>
      </c>
      <c r="L175" s="31" t="n">
        <v>150</v>
      </c>
      <c r="M175" s="31">
        <f>I175+J175+K175+L175</f>
        <v/>
      </c>
      <c r="N175" s="31">
        <f>M175*Dashboard!$B$18/(Dashboard!$B$16/3.6)</f>
        <v/>
      </c>
      <c r="O175" s="31" t="n">
        <v>635.3696083312005</v>
      </c>
      <c r="P175" s="32" t="n">
        <v>0.2401827722650424</v>
      </c>
      <c r="Q175" s="33" t="n">
        <v>13.23797293808807</v>
      </c>
      <c r="R175" s="31" t="n">
        <v>779.7229169743066</v>
      </c>
      <c r="S175" s="31">
        <f>R175*IF(A175=4, 2.0, 3.0)</f>
        <v/>
      </c>
      <c r="T175" s="30">
        <f>8.0*U175</f>
        <v/>
      </c>
      <c r="U175" s="34">
        <f>MIN(1, S175/M175)</f>
        <v/>
      </c>
      <c r="V175" s="34">
        <f>N175/(N175+O175)</f>
        <v/>
      </c>
      <c r="W175" s="34">
        <f>U175*V175</f>
        <v/>
      </c>
      <c r="X175" s="32">
        <f>T175/N175</f>
        <v/>
      </c>
      <c r="Y175" s="35">
        <f>IF(X175=MAXIFS(X$2:X$721, A$2:A$721, A175, B$2:B$721, B175), "OPTIMAL", "")</f>
        <v/>
      </c>
    </row>
    <row r="176" ht="20" customHeight="1">
      <c r="A176" s="36" t="n">
        <v>4</v>
      </c>
      <c r="B176" s="36" t="n">
        <v>35</v>
      </c>
      <c r="C176" s="37" t="n">
        <v>100</v>
      </c>
      <c r="D176" s="37" t="n">
        <v>2</v>
      </c>
      <c r="E176" s="38" t="n">
        <v>8</v>
      </c>
      <c r="F176" s="37" t="n">
        <v>1.5</v>
      </c>
      <c r="G176" s="38" t="inlineStr">
        <is>
          <t>Non</t>
        </is>
      </c>
      <c r="H176" s="38" t="inlineStr">
        <is>
          <t>ON</t>
        </is>
      </c>
      <c r="I176" s="39" t="n">
        <v>856.3651513317755</v>
      </c>
      <c r="J176" s="39" t="n">
        <v>3449.488235315031</v>
      </c>
      <c r="K176" s="39" t="n">
        <v>2287.037037037037</v>
      </c>
      <c r="L176" s="39" t="n">
        <v>150</v>
      </c>
      <c r="M176" s="39">
        <f>I176+J176+K176+L176</f>
        <v/>
      </c>
      <c r="N176" s="39">
        <f>M176*Dashboard!$B$18/(Dashboard!$B$16/3.6)</f>
        <v/>
      </c>
      <c r="O176" s="39" t="n">
        <v>635.3696083312005</v>
      </c>
      <c r="P176" s="40" t="n">
        <v>0.05254740402274013</v>
      </c>
      <c r="Q176" s="41" t="n">
        <v>13.23797293808807</v>
      </c>
      <c r="R176" s="39" t="n">
        <v>3563.944123984315</v>
      </c>
      <c r="S176" s="39">
        <f>R176*IF(A176=4, 2.0, 3.0)</f>
        <v/>
      </c>
      <c r="T176" s="37">
        <f>8.0*U176</f>
        <v/>
      </c>
      <c r="U176" s="42">
        <f>MIN(1, S176/M176)</f>
        <v/>
      </c>
      <c r="V176" s="42">
        <f>N176/(N176+O176)</f>
        <v/>
      </c>
      <c r="W176" s="42">
        <f>U176*V176</f>
        <v/>
      </c>
      <c r="X176" s="40">
        <f>T176/N176</f>
        <v/>
      </c>
      <c r="Y176" s="15">
        <f>IF(X176=MAXIFS(X$2:X$721, A$2:A$721, A176, B$2:B$721, B176), "OPTIMAL", "")</f>
        <v/>
      </c>
    </row>
    <row r="177" ht="20" customHeight="1">
      <c r="A177" s="29" t="n">
        <v>4</v>
      </c>
      <c r="B177" s="29" t="n">
        <v>35</v>
      </c>
      <c r="C177" s="30" t="n">
        <v>100</v>
      </c>
      <c r="D177" s="30" t="n">
        <v>2</v>
      </c>
      <c r="E177" s="6" t="n">
        <v>8</v>
      </c>
      <c r="F177" s="30" t="n">
        <v>1.5</v>
      </c>
      <c r="G177" s="6" t="inlineStr">
        <is>
          <t>Non</t>
        </is>
      </c>
      <c r="H177" s="6" t="inlineStr">
        <is>
          <t>OFF</t>
        </is>
      </c>
      <c r="I177" s="31" t="n">
        <v>856.3651513317755</v>
      </c>
      <c r="J177" s="31" t="n">
        <v>3449.488235315031</v>
      </c>
      <c r="K177" s="31" t="n">
        <v>2287.037037037037</v>
      </c>
      <c r="L177" s="31" t="n">
        <v>150</v>
      </c>
      <c r="M177" s="31">
        <f>I177+J177+K177+L177</f>
        <v/>
      </c>
      <c r="N177" s="31">
        <f>M177*Dashboard!$B$18/(Dashboard!$B$16/3.6)</f>
        <v/>
      </c>
      <c r="O177" s="31" t="n">
        <v>635.3696083312005</v>
      </c>
      <c r="P177" s="32" t="n">
        <v>0.2369996734032044</v>
      </c>
      <c r="Q177" s="33" t="n">
        <v>13.23797293808807</v>
      </c>
      <c r="R177" s="31" t="n">
        <v>790.1952315304004</v>
      </c>
      <c r="S177" s="31">
        <f>R177*IF(A177=4, 2.0, 3.0)</f>
        <v/>
      </c>
      <c r="T177" s="30">
        <f>8.0*U177</f>
        <v/>
      </c>
      <c r="U177" s="34">
        <f>MIN(1, S177/M177)</f>
        <v/>
      </c>
      <c r="V177" s="34">
        <f>N177/(N177+O177)</f>
        <v/>
      </c>
      <c r="W177" s="34">
        <f>U177*V177</f>
        <v/>
      </c>
      <c r="X177" s="32">
        <f>T177/N177</f>
        <v/>
      </c>
      <c r="Y177" s="35">
        <f>IF(X177=MAXIFS(X$2:X$721, A$2:A$721, A177, B$2:B$721, B177), "OPTIMAL", "")</f>
        <v/>
      </c>
    </row>
    <row r="178" ht="20" customHeight="1">
      <c r="A178" s="36" t="n">
        <v>4</v>
      </c>
      <c r="B178" s="36" t="n">
        <v>35</v>
      </c>
      <c r="C178" s="37" t="n">
        <v>100</v>
      </c>
      <c r="D178" s="37" t="n">
        <v>2</v>
      </c>
      <c r="E178" s="38" t="n">
        <v>8</v>
      </c>
      <c r="F178" s="37" t="n">
        <v>2</v>
      </c>
      <c r="G178" s="38" t="inlineStr">
        <is>
          <t>Oui</t>
        </is>
      </c>
      <c r="H178" s="38" t="inlineStr">
        <is>
          <t>ON</t>
        </is>
      </c>
      <c r="I178" s="39" t="n">
        <v>856.3651513317755</v>
      </c>
      <c r="J178" s="39" t="n">
        <v>3449.488235315031</v>
      </c>
      <c r="K178" s="39" t="n">
        <v>2287.037037037037</v>
      </c>
      <c r="L178" s="39" t="n">
        <v>150</v>
      </c>
      <c r="M178" s="39">
        <f>I178+J178+K178+L178</f>
        <v/>
      </c>
      <c r="N178" s="39">
        <f>M178*Dashboard!$B$18/(Dashboard!$B$16/3.6)</f>
        <v/>
      </c>
      <c r="O178" s="39" t="n">
        <v>760.6135647551233</v>
      </c>
      <c r="P178" s="40" t="n">
        <v>0.05449488140602117</v>
      </c>
      <c r="Q178" s="41" t="n">
        <v>17.58396391745076</v>
      </c>
      <c r="R178" s="39" t="n">
        <v>3516.270717714251</v>
      </c>
      <c r="S178" s="39">
        <f>R178*IF(A178=4, 2.0, 3.0)</f>
        <v/>
      </c>
      <c r="T178" s="37">
        <f>8.0*U178</f>
        <v/>
      </c>
      <c r="U178" s="42">
        <f>MIN(1, S178/M178)</f>
        <v/>
      </c>
      <c r="V178" s="42">
        <f>N178/(N178+O178)</f>
        <v/>
      </c>
      <c r="W178" s="42">
        <f>U178*V178</f>
        <v/>
      </c>
      <c r="X178" s="40">
        <f>T178/N178</f>
        <v/>
      </c>
      <c r="Y178" s="15">
        <f>IF(X178=MAXIFS(X$2:X$721, A$2:A$721, A178, B$2:B$721, B178), "OPTIMAL", "")</f>
        <v/>
      </c>
    </row>
    <row r="179" ht="20" customHeight="1">
      <c r="A179" s="29" t="n">
        <v>4</v>
      </c>
      <c r="B179" s="29" t="n">
        <v>35</v>
      </c>
      <c r="C179" s="30" t="n">
        <v>100</v>
      </c>
      <c r="D179" s="30" t="n">
        <v>2</v>
      </c>
      <c r="E179" s="6" t="n">
        <v>8</v>
      </c>
      <c r="F179" s="30" t="n">
        <v>2</v>
      </c>
      <c r="G179" s="6" t="inlineStr">
        <is>
          <t>Oui</t>
        </is>
      </c>
      <c r="H179" s="6" t="inlineStr">
        <is>
          <t>OFF</t>
        </is>
      </c>
      <c r="I179" s="31" t="n">
        <v>856.3651513317755</v>
      </c>
      <c r="J179" s="31" t="n">
        <v>3449.488235315031</v>
      </c>
      <c r="K179" s="31" t="n">
        <v>2287.037037037037</v>
      </c>
      <c r="L179" s="31" t="n">
        <v>150</v>
      </c>
      <c r="M179" s="31">
        <f>I179+J179+K179+L179</f>
        <v/>
      </c>
      <c r="N179" s="31">
        <f>M179*Dashboard!$B$18/(Dashboard!$B$16/3.6)</f>
        <v/>
      </c>
      <c r="O179" s="31" t="n">
        <v>760.6135647551233</v>
      </c>
      <c r="P179" s="32" t="n">
        <v>0.2403161193409352</v>
      </c>
      <c r="Q179" s="33" t="n">
        <v>17.58396391745076</v>
      </c>
      <c r="R179" s="31" t="n">
        <v>797.3612268657454</v>
      </c>
      <c r="S179" s="31">
        <f>R179*IF(A179=4, 2.0, 3.0)</f>
        <v/>
      </c>
      <c r="T179" s="30">
        <f>8.0*U179</f>
        <v/>
      </c>
      <c r="U179" s="34">
        <f>MIN(1, S179/M179)</f>
        <v/>
      </c>
      <c r="V179" s="34">
        <f>N179/(N179+O179)</f>
        <v/>
      </c>
      <c r="W179" s="34">
        <f>U179*V179</f>
        <v/>
      </c>
      <c r="X179" s="32">
        <f>T179/N179</f>
        <v/>
      </c>
      <c r="Y179" s="35">
        <f>IF(X179=MAXIFS(X$2:X$721, A$2:A$721, A179, B$2:B$721, B179), "OPTIMAL", "")</f>
        <v/>
      </c>
    </row>
    <row r="180" ht="20" customHeight="1">
      <c r="A180" s="36" t="n">
        <v>4</v>
      </c>
      <c r="B180" s="36" t="n">
        <v>35</v>
      </c>
      <c r="C180" s="37" t="n">
        <v>100</v>
      </c>
      <c r="D180" s="37" t="n">
        <v>2</v>
      </c>
      <c r="E180" s="38" t="n">
        <v>8</v>
      </c>
      <c r="F180" s="37" t="n">
        <v>2</v>
      </c>
      <c r="G180" s="38" t="inlineStr">
        <is>
          <t>Non</t>
        </is>
      </c>
      <c r="H180" s="38" t="inlineStr">
        <is>
          <t>ON</t>
        </is>
      </c>
      <c r="I180" s="39" t="n">
        <v>856.3651513317755</v>
      </c>
      <c r="J180" s="39" t="n">
        <v>3449.488235315031</v>
      </c>
      <c r="K180" s="39" t="n">
        <v>2287.037037037037</v>
      </c>
      <c r="L180" s="39" t="n">
        <v>150</v>
      </c>
      <c r="M180" s="39">
        <f>I180+J180+K180+L180</f>
        <v/>
      </c>
      <c r="N180" s="39">
        <f>M180*Dashboard!$B$18/(Dashboard!$B$16/3.6)</f>
        <v/>
      </c>
      <c r="O180" s="39" t="n">
        <v>760.6135647551233</v>
      </c>
      <c r="P180" s="40" t="n">
        <v>0.05131178254418326</v>
      </c>
      <c r="Q180" s="41" t="n">
        <v>17.58396391745076</v>
      </c>
      <c r="R180" s="39" t="n">
        <v>3734.400682500263</v>
      </c>
      <c r="S180" s="39">
        <f>R180*IF(A180=4, 2.0, 3.0)</f>
        <v/>
      </c>
      <c r="T180" s="37">
        <f>8.0*U180</f>
        <v/>
      </c>
      <c r="U180" s="42">
        <f>MIN(1, S180/M180)</f>
        <v/>
      </c>
      <c r="V180" s="42">
        <f>N180/(N180+O180)</f>
        <v/>
      </c>
      <c r="W180" s="42">
        <f>U180*V180</f>
        <v/>
      </c>
      <c r="X180" s="40">
        <f>T180/N180</f>
        <v/>
      </c>
      <c r="Y180" s="15">
        <f>IF(X180=MAXIFS(X$2:X$721, A$2:A$721, A180, B$2:B$721, B180), "OPTIMAL", "")</f>
        <v/>
      </c>
    </row>
    <row r="181" ht="20" customHeight="1">
      <c r="A181" s="29" t="n">
        <v>4</v>
      </c>
      <c r="B181" s="29" t="n">
        <v>35</v>
      </c>
      <c r="C181" s="30" t="n">
        <v>100</v>
      </c>
      <c r="D181" s="30" t="n">
        <v>2</v>
      </c>
      <c r="E181" s="6" t="n">
        <v>8</v>
      </c>
      <c r="F181" s="30" t="n">
        <v>2</v>
      </c>
      <c r="G181" s="6" t="inlineStr">
        <is>
          <t>Non</t>
        </is>
      </c>
      <c r="H181" s="6" t="inlineStr">
        <is>
          <t>OFF</t>
        </is>
      </c>
      <c r="I181" s="31" t="n">
        <v>856.3651513317755</v>
      </c>
      <c r="J181" s="31" t="n">
        <v>3449.488235315031</v>
      </c>
      <c r="K181" s="31" t="n">
        <v>2287.037037037037</v>
      </c>
      <c r="L181" s="31" t="n">
        <v>150</v>
      </c>
      <c r="M181" s="31">
        <f>I181+J181+K181+L181</f>
        <v/>
      </c>
      <c r="N181" s="31">
        <f>M181*Dashboard!$B$18/(Dashboard!$B$16/3.6)</f>
        <v/>
      </c>
      <c r="O181" s="31" t="n">
        <v>760.6135647551233</v>
      </c>
      <c r="P181" s="32" t="n">
        <v>0.2371330204790973</v>
      </c>
      <c r="Q181" s="33" t="n">
        <v>17.58396391745076</v>
      </c>
      <c r="R181" s="31" t="n">
        <v>808.064416192066</v>
      </c>
      <c r="S181" s="31">
        <f>R181*IF(A181=4, 2.0, 3.0)</f>
        <v/>
      </c>
      <c r="T181" s="30">
        <f>8.0*U181</f>
        <v/>
      </c>
      <c r="U181" s="34">
        <f>MIN(1, S181/M181)</f>
        <v/>
      </c>
      <c r="V181" s="34">
        <f>N181/(N181+O181)</f>
        <v/>
      </c>
      <c r="W181" s="34">
        <f>U181*V181</f>
        <v/>
      </c>
      <c r="X181" s="32">
        <f>T181/N181</f>
        <v/>
      </c>
      <c r="Y181" s="35">
        <f>IF(X181=MAXIFS(X$2:X$721, A$2:A$721, A181, B$2:B$721, B181), "OPTIMAL", "")</f>
        <v/>
      </c>
    </row>
    <row r="182" ht="20" customHeight="1">
      <c r="A182" s="21" t="n">
        <v>4</v>
      </c>
      <c r="B182" s="21" t="n">
        <v>35</v>
      </c>
      <c r="C182" s="22" t="n">
        <v>100</v>
      </c>
      <c r="D182" s="22" t="n">
        <v>3</v>
      </c>
      <c r="E182" s="23" t="n">
        <v>0</v>
      </c>
      <c r="F182" s="22" t="n">
        <v>0</v>
      </c>
      <c r="G182" s="23" t="inlineStr">
        <is>
          <t>Oui</t>
        </is>
      </c>
      <c r="H182" s="23" t="inlineStr">
        <is>
          <t>ON</t>
        </is>
      </c>
      <c r="I182" s="24" t="n">
        <v>856.3651513317755</v>
      </c>
      <c r="J182" s="24" t="n">
        <v>3449.488235315031</v>
      </c>
      <c r="K182" s="24" t="n">
        <v>2287.037037037037</v>
      </c>
      <c r="L182" s="24" t="n">
        <v>150</v>
      </c>
      <c r="M182" s="24">
        <f>I182+J182+K182+L182</f>
        <v/>
      </c>
      <c r="N182" s="24">
        <f>M182*Dashboard!$B$18/(Dashboard!$B$16/3.6)</f>
        <v/>
      </c>
      <c r="O182" s="24" t="n">
        <v>451.4484813155512</v>
      </c>
      <c r="P182" s="25" t="n">
        <v>0.4806959660709754</v>
      </c>
      <c r="Q182" s="26" t="n">
        <v>0.2</v>
      </c>
      <c r="R182" s="24" t="n">
        <v>380.4793516930196</v>
      </c>
      <c r="S182" s="24">
        <f>R182*IF(A182=4, 2.0, 3.0)</f>
        <v/>
      </c>
      <c r="T182" s="22">
        <f>8.0*U182</f>
        <v/>
      </c>
      <c r="U182" s="27">
        <f>MIN(1, S182/M182)</f>
        <v/>
      </c>
      <c r="V182" s="27">
        <f>N182/(N182+O182)</f>
        <v/>
      </c>
      <c r="W182" s="27">
        <f>U182*V182</f>
        <v/>
      </c>
      <c r="X182" s="25">
        <f>T182/N182</f>
        <v/>
      </c>
      <c r="Y182" s="28">
        <f>IF(X182=MAXIFS(X$2:X$721, A$2:A$721, A182, B$2:B$721, B182), "OPTIMAL", "")</f>
        <v/>
      </c>
    </row>
    <row r="183" ht="20" customHeight="1">
      <c r="A183" s="29" t="n">
        <v>4</v>
      </c>
      <c r="B183" s="29" t="n">
        <v>35</v>
      </c>
      <c r="C183" s="30" t="n">
        <v>100</v>
      </c>
      <c r="D183" s="30" t="n">
        <v>3</v>
      </c>
      <c r="E183" s="6" t="n">
        <v>0</v>
      </c>
      <c r="F183" s="30" t="n">
        <v>0</v>
      </c>
      <c r="G183" s="6" t="inlineStr">
        <is>
          <t>Oui</t>
        </is>
      </c>
      <c r="H183" s="6" t="inlineStr">
        <is>
          <t>OFF</t>
        </is>
      </c>
      <c r="I183" s="31" t="n">
        <v>856.3651513317755</v>
      </c>
      <c r="J183" s="31" t="n">
        <v>3449.488235315031</v>
      </c>
      <c r="K183" s="31" t="n">
        <v>2287.037037037037</v>
      </c>
      <c r="L183" s="31" t="n">
        <v>150</v>
      </c>
      <c r="M183" s="31">
        <f>I183+J183+K183+L183</f>
        <v/>
      </c>
      <c r="N183" s="31">
        <f>M183*Dashboard!$B$18/(Dashboard!$B$16/3.6)</f>
        <v/>
      </c>
      <c r="O183" s="31" t="n">
        <v>451.4484813155512</v>
      </c>
      <c r="P183" s="32" t="n">
        <v>0.7990058522547661</v>
      </c>
      <c r="Q183" s="33" t="n">
        <v>0.2</v>
      </c>
      <c r="R183" s="31" t="n">
        <v>228.903066249154</v>
      </c>
      <c r="S183" s="31">
        <f>R183*IF(A183=4, 2.0, 3.0)</f>
        <v/>
      </c>
      <c r="T183" s="30">
        <f>8.0*U183</f>
        <v/>
      </c>
      <c r="U183" s="34">
        <f>MIN(1, S183/M183)</f>
        <v/>
      </c>
      <c r="V183" s="34">
        <f>N183/(N183+O183)</f>
        <v/>
      </c>
      <c r="W183" s="34">
        <f>U183*V183</f>
        <v/>
      </c>
      <c r="X183" s="32">
        <f>T183/N183</f>
        <v/>
      </c>
      <c r="Y183" s="35">
        <f>IF(X183=MAXIFS(X$2:X$721, A$2:A$721, A183, B$2:B$721, B183), "OPTIMAL", "")</f>
        <v/>
      </c>
    </row>
    <row r="184" ht="20" customHeight="1">
      <c r="A184" s="21" t="n">
        <v>4</v>
      </c>
      <c r="B184" s="21" t="n">
        <v>35</v>
      </c>
      <c r="C184" s="22" t="n">
        <v>100</v>
      </c>
      <c r="D184" s="22" t="n">
        <v>3</v>
      </c>
      <c r="E184" s="23" t="n">
        <v>0</v>
      </c>
      <c r="F184" s="22" t="n">
        <v>0</v>
      </c>
      <c r="G184" s="23" t="inlineStr">
        <is>
          <t>Non</t>
        </is>
      </c>
      <c r="H184" s="23" t="inlineStr">
        <is>
          <t>ON</t>
        </is>
      </c>
      <c r="I184" s="24" t="n">
        <v>856.3651513317755</v>
      </c>
      <c r="J184" s="24" t="n">
        <v>3449.488235315031</v>
      </c>
      <c r="K184" s="24" t="n">
        <v>2287.037037037037</v>
      </c>
      <c r="L184" s="24" t="n">
        <v>150</v>
      </c>
      <c r="M184" s="24">
        <f>I184+J184+K184+L184</f>
        <v/>
      </c>
      <c r="N184" s="24">
        <f>M184*Dashboard!$B$18/(Dashboard!$B$16/3.6)</f>
        <v/>
      </c>
      <c r="O184" s="24" t="n">
        <v>451.4484813155512</v>
      </c>
      <c r="P184" s="25" t="n">
        <v>0.4775128672091374</v>
      </c>
      <c r="Q184" s="26" t="n">
        <v>0.2</v>
      </c>
      <c r="R184" s="24" t="n">
        <v>383.0156255287495</v>
      </c>
      <c r="S184" s="24">
        <f>R184*IF(A184=4, 2.0, 3.0)</f>
        <v/>
      </c>
      <c r="T184" s="22">
        <f>8.0*U184</f>
        <v/>
      </c>
      <c r="U184" s="27">
        <f>MIN(1, S184/M184)</f>
        <v/>
      </c>
      <c r="V184" s="27">
        <f>N184/(N184+O184)</f>
        <v/>
      </c>
      <c r="W184" s="27">
        <f>U184*V184</f>
        <v/>
      </c>
      <c r="X184" s="25">
        <f>T184/N184</f>
        <v/>
      </c>
      <c r="Y184" s="28">
        <f>IF(X184=MAXIFS(X$2:X$721, A$2:A$721, A184, B$2:B$721, B184), "OPTIMAL", "")</f>
        <v/>
      </c>
    </row>
    <row r="185" ht="20" customHeight="1">
      <c r="A185" s="29" t="n">
        <v>4</v>
      </c>
      <c r="B185" s="29" t="n">
        <v>35</v>
      </c>
      <c r="C185" s="30" t="n">
        <v>100</v>
      </c>
      <c r="D185" s="30" t="n">
        <v>3</v>
      </c>
      <c r="E185" s="6" t="n">
        <v>0</v>
      </c>
      <c r="F185" s="30" t="n">
        <v>0</v>
      </c>
      <c r="G185" s="6" t="inlineStr">
        <is>
          <t>Non</t>
        </is>
      </c>
      <c r="H185" s="6" t="inlineStr">
        <is>
          <t>OFF</t>
        </is>
      </c>
      <c r="I185" s="31" t="n">
        <v>856.3651513317755</v>
      </c>
      <c r="J185" s="31" t="n">
        <v>3449.488235315031</v>
      </c>
      <c r="K185" s="31" t="n">
        <v>2287.037037037037</v>
      </c>
      <c r="L185" s="31" t="n">
        <v>150</v>
      </c>
      <c r="M185" s="31">
        <f>I185+J185+K185+L185</f>
        <v/>
      </c>
      <c r="N185" s="31">
        <f>M185*Dashboard!$B$18/(Dashboard!$B$16/3.6)</f>
        <v/>
      </c>
      <c r="O185" s="31" t="n">
        <v>451.4484813155512</v>
      </c>
      <c r="P185" s="32" t="n">
        <v>0.7958227533929282</v>
      </c>
      <c r="Q185" s="33" t="n">
        <v>0.2</v>
      </c>
      <c r="R185" s="31" t="n">
        <v>229.8186232454104</v>
      </c>
      <c r="S185" s="31">
        <f>R185*IF(A185=4, 2.0, 3.0)</f>
        <v/>
      </c>
      <c r="T185" s="30">
        <f>8.0*U185</f>
        <v/>
      </c>
      <c r="U185" s="34">
        <f>MIN(1, S185/M185)</f>
        <v/>
      </c>
      <c r="V185" s="34">
        <f>N185/(N185+O185)</f>
        <v/>
      </c>
      <c r="W185" s="34">
        <f>U185*V185</f>
        <v/>
      </c>
      <c r="X185" s="32">
        <f>T185/N185</f>
        <v/>
      </c>
      <c r="Y185" s="35">
        <f>IF(X185=MAXIFS(X$2:X$721, A$2:A$721, A185, B$2:B$721, B185), "OPTIMAL", "")</f>
        <v/>
      </c>
    </row>
    <row r="186" ht="20" customHeight="1">
      <c r="A186" s="21" t="n">
        <v>4</v>
      </c>
      <c r="B186" s="21" t="n">
        <v>35</v>
      </c>
      <c r="C186" s="22" t="n">
        <v>100</v>
      </c>
      <c r="D186" s="22" t="n">
        <v>3</v>
      </c>
      <c r="E186" s="23" t="n">
        <v>4</v>
      </c>
      <c r="F186" s="22" t="n">
        <v>1.5</v>
      </c>
      <c r="G186" s="23" t="inlineStr">
        <is>
          <t>Oui</t>
        </is>
      </c>
      <c r="H186" s="23" t="inlineStr">
        <is>
          <t>ON</t>
        </is>
      </c>
      <c r="I186" s="24" t="n">
        <v>856.3651513317755</v>
      </c>
      <c r="J186" s="24" t="n">
        <v>3449.488235315031</v>
      </c>
      <c r="K186" s="24" t="n">
        <v>2287.037037037037</v>
      </c>
      <c r="L186" s="24" t="n">
        <v>150</v>
      </c>
      <c r="M186" s="24">
        <f>I186+J186+K186+L186</f>
        <v/>
      </c>
      <c r="N186" s="24">
        <f>M186*Dashboard!$B$18/(Dashboard!$B$16/3.6)</f>
        <v/>
      </c>
      <c r="O186" s="24" t="n">
        <v>627.7023764039744</v>
      </c>
      <c r="P186" s="25" t="n">
        <v>0.0735384347268611</v>
      </c>
      <c r="Q186" s="26" t="n">
        <v>6.857688308810928</v>
      </c>
      <c r="R186" s="24" t="n">
        <v>2570.632036875707</v>
      </c>
      <c r="S186" s="24">
        <f>R186*IF(A186=4, 2.0, 3.0)</f>
        <v/>
      </c>
      <c r="T186" s="22">
        <f>8.0*U186</f>
        <v/>
      </c>
      <c r="U186" s="27">
        <f>MIN(1, S186/M186)</f>
        <v/>
      </c>
      <c r="V186" s="27">
        <f>N186/(N186+O186)</f>
        <v/>
      </c>
      <c r="W186" s="27">
        <f>U186*V186</f>
        <v/>
      </c>
      <c r="X186" s="25">
        <f>T186/N186</f>
        <v/>
      </c>
      <c r="Y186" s="28">
        <f>IF(X186=MAXIFS(X$2:X$721, A$2:A$721, A186, B$2:B$721, B186), "OPTIMAL", "")</f>
        <v/>
      </c>
    </row>
    <row r="187" ht="20" customHeight="1">
      <c r="A187" s="29" t="n">
        <v>4</v>
      </c>
      <c r="B187" s="29" t="n">
        <v>35</v>
      </c>
      <c r="C187" s="30" t="n">
        <v>100</v>
      </c>
      <c r="D187" s="30" t="n">
        <v>3</v>
      </c>
      <c r="E187" s="6" t="n">
        <v>4</v>
      </c>
      <c r="F187" s="30" t="n">
        <v>1.5</v>
      </c>
      <c r="G187" s="6" t="inlineStr">
        <is>
          <t>Oui</t>
        </is>
      </c>
      <c r="H187" s="6" t="inlineStr">
        <is>
          <t>OFF</t>
        </is>
      </c>
      <c r="I187" s="31" t="n">
        <v>856.3651513317755</v>
      </c>
      <c r="J187" s="31" t="n">
        <v>3449.488235315031</v>
      </c>
      <c r="K187" s="31" t="n">
        <v>2287.037037037037</v>
      </c>
      <c r="L187" s="31" t="n">
        <v>150</v>
      </c>
      <c r="M187" s="31">
        <f>I187+J187+K187+L187</f>
        <v/>
      </c>
      <c r="N187" s="31">
        <f>M187*Dashboard!$B$18/(Dashboard!$B$16/3.6)</f>
        <v/>
      </c>
      <c r="O187" s="31" t="n">
        <v>627.7023764039744</v>
      </c>
      <c r="P187" s="32" t="n">
        <v>0.307100869502758</v>
      </c>
      <c r="Q187" s="33" t="n">
        <v>6.857688308810928</v>
      </c>
      <c r="R187" s="31" t="n">
        <v>615.564054105892</v>
      </c>
      <c r="S187" s="31">
        <f>R187*IF(A187=4, 2.0, 3.0)</f>
        <v/>
      </c>
      <c r="T187" s="30">
        <f>8.0*U187</f>
        <v/>
      </c>
      <c r="U187" s="34">
        <f>MIN(1, S187/M187)</f>
        <v/>
      </c>
      <c r="V187" s="34">
        <f>N187/(N187+O187)</f>
        <v/>
      </c>
      <c r="W187" s="34">
        <f>U187*V187</f>
        <v/>
      </c>
      <c r="X187" s="32">
        <f>T187/N187</f>
        <v/>
      </c>
      <c r="Y187" s="35">
        <f>IF(X187=MAXIFS(X$2:X$721, A$2:A$721, A187, B$2:B$721, B187), "OPTIMAL", "")</f>
        <v/>
      </c>
    </row>
    <row r="188" ht="20" customHeight="1">
      <c r="A188" s="21" t="n">
        <v>4</v>
      </c>
      <c r="B188" s="21" t="n">
        <v>35</v>
      </c>
      <c r="C188" s="22" t="n">
        <v>100</v>
      </c>
      <c r="D188" s="22" t="n">
        <v>3</v>
      </c>
      <c r="E188" s="23" t="n">
        <v>4</v>
      </c>
      <c r="F188" s="22" t="n">
        <v>1.5</v>
      </c>
      <c r="G188" s="23" t="inlineStr">
        <is>
          <t>Non</t>
        </is>
      </c>
      <c r="H188" s="23" t="inlineStr">
        <is>
          <t>ON</t>
        </is>
      </c>
      <c r="I188" s="24" t="n">
        <v>856.3651513317755</v>
      </c>
      <c r="J188" s="24" t="n">
        <v>3449.488235315031</v>
      </c>
      <c r="K188" s="24" t="n">
        <v>2287.037037037037</v>
      </c>
      <c r="L188" s="24" t="n">
        <v>150</v>
      </c>
      <c r="M188" s="24">
        <f>I188+J188+K188+L188</f>
        <v/>
      </c>
      <c r="N188" s="24">
        <f>M188*Dashboard!$B$18/(Dashboard!$B$16/3.6)</f>
        <v/>
      </c>
      <c r="O188" s="24" t="n">
        <v>627.7023764039744</v>
      </c>
      <c r="P188" s="25" t="n">
        <v>0.07035533586502318</v>
      </c>
      <c r="Q188" s="26" t="n">
        <v>6.857688308810928</v>
      </c>
      <c r="R188" s="24" t="n">
        <v>2686.935595236674</v>
      </c>
      <c r="S188" s="24">
        <f>R188*IF(A188=4, 2.0, 3.0)</f>
        <v/>
      </c>
      <c r="T188" s="22">
        <f>8.0*U188</f>
        <v/>
      </c>
      <c r="U188" s="27">
        <f>MIN(1, S188/M188)</f>
        <v/>
      </c>
      <c r="V188" s="27">
        <f>N188/(N188+O188)</f>
        <v/>
      </c>
      <c r="W188" s="27">
        <f>U188*V188</f>
        <v/>
      </c>
      <c r="X188" s="25">
        <f>T188/N188</f>
        <v/>
      </c>
      <c r="Y188" s="28">
        <f>IF(X188=MAXIFS(X$2:X$721, A$2:A$721, A188, B$2:B$721, B188), "OPTIMAL", "")</f>
        <v/>
      </c>
    </row>
    <row r="189" ht="20" customHeight="1">
      <c r="A189" s="29" t="n">
        <v>4</v>
      </c>
      <c r="B189" s="29" t="n">
        <v>35</v>
      </c>
      <c r="C189" s="30" t="n">
        <v>100</v>
      </c>
      <c r="D189" s="30" t="n">
        <v>3</v>
      </c>
      <c r="E189" s="6" t="n">
        <v>4</v>
      </c>
      <c r="F189" s="30" t="n">
        <v>1.5</v>
      </c>
      <c r="G189" s="6" t="inlineStr">
        <is>
          <t>Non</t>
        </is>
      </c>
      <c r="H189" s="6" t="inlineStr">
        <is>
          <t>OFF</t>
        </is>
      </c>
      <c r="I189" s="31" t="n">
        <v>856.3651513317755</v>
      </c>
      <c r="J189" s="31" t="n">
        <v>3449.488235315031</v>
      </c>
      <c r="K189" s="31" t="n">
        <v>2287.037037037037</v>
      </c>
      <c r="L189" s="31" t="n">
        <v>150</v>
      </c>
      <c r="M189" s="31">
        <f>I189+J189+K189+L189</f>
        <v/>
      </c>
      <c r="N189" s="31">
        <f>M189*Dashboard!$B$18/(Dashboard!$B$16/3.6)</f>
        <v/>
      </c>
      <c r="O189" s="31" t="n">
        <v>627.7023764039744</v>
      </c>
      <c r="P189" s="32" t="n">
        <v>0.3039177706409201</v>
      </c>
      <c r="Q189" s="33" t="n">
        <v>6.857688308810928</v>
      </c>
      <c r="R189" s="31" t="n">
        <v>622.0111968178193</v>
      </c>
      <c r="S189" s="31">
        <f>R189*IF(A189=4, 2.0, 3.0)</f>
        <v/>
      </c>
      <c r="T189" s="30">
        <f>8.0*U189</f>
        <v/>
      </c>
      <c r="U189" s="34">
        <f>MIN(1, S189/M189)</f>
        <v/>
      </c>
      <c r="V189" s="34">
        <f>N189/(N189+O189)</f>
        <v/>
      </c>
      <c r="W189" s="34">
        <f>U189*V189</f>
        <v/>
      </c>
      <c r="X189" s="32">
        <f>T189/N189</f>
        <v/>
      </c>
      <c r="Y189" s="35">
        <f>IF(X189=MAXIFS(X$2:X$721, A$2:A$721, A189, B$2:B$721, B189), "OPTIMAL", "")</f>
        <v/>
      </c>
    </row>
    <row r="190" ht="20" customHeight="1">
      <c r="A190" s="21" t="n">
        <v>4</v>
      </c>
      <c r="B190" s="21" t="n">
        <v>35</v>
      </c>
      <c r="C190" s="22" t="n">
        <v>100</v>
      </c>
      <c r="D190" s="22" t="n">
        <v>3</v>
      </c>
      <c r="E190" s="23" t="n">
        <v>4</v>
      </c>
      <c r="F190" s="22" t="n">
        <v>2</v>
      </c>
      <c r="G190" s="23" t="inlineStr">
        <is>
          <t>Oui</t>
        </is>
      </c>
      <c r="H190" s="23" t="inlineStr">
        <is>
          <t>ON</t>
        </is>
      </c>
      <c r="I190" s="24" t="n">
        <v>856.3651513317755</v>
      </c>
      <c r="J190" s="24" t="n">
        <v>3449.488235315031</v>
      </c>
      <c r="K190" s="24" t="n">
        <v>2287.037037037037</v>
      </c>
      <c r="L190" s="24" t="n">
        <v>150</v>
      </c>
      <c r="M190" s="24">
        <f>I190+J190+K190+L190</f>
        <v/>
      </c>
      <c r="N190" s="24">
        <f>M190*Dashboard!$B$18/(Dashboard!$B$16/3.6)</f>
        <v/>
      </c>
      <c r="O190" s="24" t="n">
        <v>689.1155890087437</v>
      </c>
      <c r="P190" s="25" t="n">
        <v>0.07090019831070833</v>
      </c>
      <c r="Q190" s="26" t="n">
        <v>9.076917745081236</v>
      </c>
      <c r="R190" s="24" t="n">
        <v>2696.487854290674</v>
      </c>
      <c r="S190" s="24">
        <f>R190*IF(A190=4, 2.0, 3.0)</f>
        <v/>
      </c>
      <c r="T190" s="22">
        <f>8.0*U190</f>
        <v/>
      </c>
      <c r="U190" s="27">
        <f>MIN(1, S190/M190)</f>
        <v/>
      </c>
      <c r="V190" s="27">
        <f>N190/(N190+O190)</f>
        <v/>
      </c>
      <c r="W190" s="27">
        <f>U190*V190</f>
        <v/>
      </c>
      <c r="X190" s="25">
        <f>T190/N190</f>
        <v/>
      </c>
      <c r="Y190" s="28">
        <f>IF(X190=MAXIFS(X$2:X$721, A$2:A$721, A190, B$2:B$721, B190), "OPTIMAL", "")</f>
        <v/>
      </c>
    </row>
    <row r="191" ht="20" customHeight="1">
      <c r="A191" s="29" t="n">
        <v>4</v>
      </c>
      <c r="B191" s="29" t="n">
        <v>35</v>
      </c>
      <c r="C191" s="30" t="n">
        <v>100</v>
      </c>
      <c r="D191" s="30" t="n">
        <v>3</v>
      </c>
      <c r="E191" s="6" t="n">
        <v>4</v>
      </c>
      <c r="F191" s="30" t="n">
        <v>2</v>
      </c>
      <c r="G191" s="6" t="inlineStr">
        <is>
          <t>Oui</t>
        </is>
      </c>
      <c r="H191" s="6" t="inlineStr">
        <is>
          <t>OFF</t>
        </is>
      </c>
      <c r="I191" s="31" t="n">
        <v>856.3651513317755</v>
      </c>
      <c r="J191" s="31" t="n">
        <v>3449.488235315031</v>
      </c>
      <c r="K191" s="31" t="n">
        <v>2287.037037037037</v>
      </c>
      <c r="L191" s="31" t="n">
        <v>150</v>
      </c>
      <c r="M191" s="31">
        <f>I191+J191+K191+L191</f>
        <v/>
      </c>
      <c r="N191" s="31">
        <f>M191*Dashboard!$B$18/(Dashboard!$B$16/3.6)</f>
        <v/>
      </c>
      <c r="O191" s="31" t="n">
        <v>689.1155890087437</v>
      </c>
      <c r="P191" s="32" t="n">
        <v>0.305556811068225</v>
      </c>
      <c r="Q191" s="33" t="n">
        <v>9.076917745081236</v>
      </c>
      <c r="R191" s="31" t="n">
        <v>625.6824154672109</v>
      </c>
      <c r="S191" s="31">
        <f>R191*IF(A191=4, 2.0, 3.0)</f>
        <v/>
      </c>
      <c r="T191" s="30">
        <f>8.0*U191</f>
        <v/>
      </c>
      <c r="U191" s="34">
        <f>MIN(1, S191/M191)</f>
        <v/>
      </c>
      <c r="V191" s="34">
        <f>N191/(N191+O191)</f>
        <v/>
      </c>
      <c r="W191" s="34">
        <f>U191*V191</f>
        <v/>
      </c>
      <c r="X191" s="32">
        <f>T191/N191</f>
        <v/>
      </c>
      <c r="Y191" s="35">
        <f>IF(X191=MAXIFS(X$2:X$721, A$2:A$721, A191, B$2:B$721, B191), "OPTIMAL", "")</f>
        <v/>
      </c>
    </row>
    <row r="192" ht="20" customHeight="1">
      <c r="A192" s="21" t="n">
        <v>4</v>
      </c>
      <c r="B192" s="21" t="n">
        <v>35</v>
      </c>
      <c r="C192" s="22" t="n">
        <v>100</v>
      </c>
      <c r="D192" s="22" t="n">
        <v>3</v>
      </c>
      <c r="E192" s="23" t="n">
        <v>4</v>
      </c>
      <c r="F192" s="22" t="n">
        <v>2</v>
      </c>
      <c r="G192" s="23" t="inlineStr">
        <is>
          <t>Non</t>
        </is>
      </c>
      <c r="H192" s="23" t="inlineStr">
        <is>
          <t>ON</t>
        </is>
      </c>
      <c r="I192" s="24" t="n">
        <v>856.3651513317755</v>
      </c>
      <c r="J192" s="24" t="n">
        <v>3449.488235315031</v>
      </c>
      <c r="K192" s="24" t="n">
        <v>2287.037037037037</v>
      </c>
      <c r="L192" s="24" t="n">
        <v>150</v>
      </c>
      <c r="M192" s="24">
        <f>I192+J192+K192+L192</f>
        <v/>
      </c>
      <c r="N192" s="24">
        <f>M192*Dashboard!$B$18/(Dashboard!$B$16/3.6)</f>
        <v/>
      </c>
      <c r="O192" s="24" t="n">
        <v>689.1155890087437</v>
      </c>
      <c r="P192" s="25" t="n">
        <v>0.06771709944887042</v>
      </c>
      <c r="Q192" s="26" t="n">
        <v>9.076917745081236</v>
      </c>
      <c r="R192" s="24" t="n">
        <v>2823.238519777065</v>
      </c>
      <c r="S192" s="24">
        <f>R192*IF(A192=4, 2.0, 3.0)</f>
        <v/>
      </c>
      <c r="T192" s="22">
        <f>8.0*U192</f>
        <v/>
      </c>
      <c r="U192" s="27">
        <f>MIN(1, S192/M192)</f>
        <v/>
      </c>
      <c r="V192" s="27">
        <f>N192/(N192+O192)</f>
        <v/>
      </c>
      <c r="W192" s="27">
        <f>U192*V192</f>
        <v/>
      </c>
      <c r="X192" s="25">
        <f>T192/N192</f>
        <v/>
      </c>
      <c r="Y192" s="28">
        <f>IF(X192=MAXIFS(X$2:X$721, A$2:A$721, A192, B$2:B$721, B192), "OPTIMAL", "")</f>
        <v/>
      </c>
    </row>
    <row r="193" ht="20" customHeight="1">
      <c r="A193" s="29" t="n">
        <v>4</v>
      </c>
      <c r="B193" s="29" t="n">
        <v>35</v>
      </c>
      <c r="C193" s="30" t="n">
        <v>100</v>
      </c>
      <c r="D193" s="30" t="n">
        <v>3</v>
      </c>
      <c r="E193" s="6" t="n">
        <v>4</v>
      </c>
      <c r="F193" s="30" t="n">
        <v>2</v>
      </c>
      <c r="G193" s="6" t="inlineStr">
        <is>
          <t>Non</t>
        </is>
      </c>
      <c r="H193" s="6" t="inlineStr">
        <is>
          <t>OFF</t>
        </is>
      </c>
      <c r="I193" s="31" t="n">
        <v>856.3651513317755</v>
      </c>
      <c r="J193" s="31" t="n">
        <v>3449.488235315031</v>
      </c>
      <c r="K193" s="31" t="n">
        <v>2287.037037037037</v>
      </c>
      <c r="L193" s="31" t="n">
        <v>150</v>
      </c>
      <c r="M193" s="31">
        <f>I193+J193+K193+L193</f>
        <v/>
      </c>
      <c r="N193" s="31">
        <f>M193*Dashboard!$B$18/(Dashboard!$B$16/3.6)</f>
        <v/>
      </c>
      <c r="O193" s="31" t="n">
        <v>689.1155890087437</v>
      </c>
      <c r="P193" s="32" t="n">
        <v>0.302373712206387</v>
      </c>
      <c r="Q193" s="33" t="n">
        <v>9.076917745081236</v>
      </c>
      <c r="R193" s="31" t="n">
        <v>632.2689965890061</v>
      </c>
      <c r="S193" s="31">
        <f>R193*IF(A193=4, 2.0, 3.0)</f>
        <v/>
      </c>
      <c r="T193" s="30">
        <f>8.0*U193</f>
        <v/>
      </c>
      <c r="U193" s="34">
        <f>MIN(1, S193/M193)</f>
        <v/>
      </c>
      <c r="V193" s="34">
        <f>N193/(N193+O193)</f>
        <v/>
      </c>
      <c r="W193" s="34">
        <f>U193*V193</f>
        <v/>
      </c>
      <c r="X193" s="32">
        <f>T193/N193</f>
        <v/>
      </c>
      <c r="Y193" s="35">
        <f>IF(X193=MAXIFS(X$2:X$721, A$2:A$721, A193, B$2:B$721, B193), "OPTIMAL", "")</f>
        <v/>
      </c>
    </row>
    <row r="194" ht="20" customHeight="1">
      <c r="A194" s="36" t="n">
        <v>4</v>
      </c>
      <c r="B194" s="36" t="n">
        <v>35</v>
      </c>
      <c r="C194" s="37" t="n">
        <v>100</v>
      </c>
      <c r="D194" s="37" t="n">
        <v>3</v>
      </c>
      <c r="E194" s="38" t="n">
        <v>8</v>
      </c>
      <c r="F194" s="37" t="n">
        <v>1.5</v>
      </c>
      <c r="G194" s="38" t="inlineStr">
        <is>
          <t>Oui</t>
        </is>
      </c>
      <c r="H194" s="38" t="inlineStr">
        <is>
          <t>ON</t>
        </is>
      </c>
      <c r="I194" s="39" t="n">
        <v>856.3651513317755</v>
      </c>
      <c r="J194" s="39" t="n">
        <v>3449.488235315031</v>
      </c>
      <c r="K194" s="39" t="n">
        <v>2287.037037037037</v>
      </c>
      <c r="L194" s="39" t="n">
        <v>150</v>
      </c>
      <c r="M194" s="39">
        <f>I194+J194+K194+L194</f>
        <v/>
      </c>
      <c r="N194" s="39">
        <f>M194*Dashboard!$B$18/(Dashboard!$B$16/3.6)</f>
        <v/>
      </c>
      <c r="O194" s="39" t="n">
        <v>816.2125401784666</v>
      </c>
      <c r="P194" s="40" t="n">
        <v>0.05562346576923688</v>
      </c>
      <c r="Q194" s="41" t="n">
        <v>13.51537661762185</v>
      </c>
      <c r="R194" s="39" t="n">
        <v>3516.734424422275</v>
      </c>
      <c r="S194" s="39">
        <f>R194*IF(A194=4, 2.0, 3.0)</f>
        <v/>
      </c>
      <c r="T194" s="37">
        <f>8.0*U194</f>
        <v/>
      </c>
      <c r="U194" s="42">
        <f>MIN(1, S194/M194)</f>
        <v/>
      </c>
      <c r="V194" s="42">
        <f>N194/(N194+O194)</f>
        <v/>
      </c>
      <c r="W194" s="42">
        <f>U194*V194</f>
        <v/>
      </c>
      <c r="X194" s="40">
        <f>T194/N194</f>
        <v/>
      </c>
      <c r="Y194" s="15">
        <f>IF(X194=MAXIFS(X$2:X$721, A$2:A$721, A194, B$2:B$721, B194), "OPTIMAL", "")</f>
        <v/>
      </c>
    </row>
    <row r="195" ht="20" customHeight="1">
      <c r="A195" s="29" t="n">
        <v>4</v>
      </c>
      <c r="B195" s="29" t="n">
        <v>35</v>
      </c>
      <c r="C195" s="30" t="n">
        <v>100</v>
      </c>
      <c r="D195" s="30" t="n">
        <v>3</v>
      </c>
      <c r="E195" s="6" t="n">
        <v>8</v>
      </c>
      <c r="F195" s="30" t="n">
        <v>1.5</v>
      </c>
      <c r="G195" s="6" t="inlineStr">
        <is>
          <t>Oui</t>
        </is>
      </c>
      <c r="H195" s="6" t="inlineStr">
        <is>
          <t>OFF</t>
        </is>
      </c>
      <c r="I195" s="31" t="n">
        <v>856.3651513317755</v>
      </c>
      <c r="J195" s="31" t="n">
        <v>3449.488235315031</v>
      </c>
      <c r="K195" s="31" t="n">
        <v>2287.037037037037</v>
      </c>
      <c r="L195" s="31" t="n">
        <v>150</v>
      </c>
      <c r="M195" s="31">
        <f>I195+J195+K195+L195</f>
        <v/>
      </c>
      <c r="N195" s="31">
        <f>M195*Dashboard!$B$18/(Dashboard!$B$16/3.6)</f>
        <v/>
      </c>
      <c r="O195" s="31" t="n">
        <v>816.2125401784666</v>
      </c>
      <c r="P195" s="32" t="n">
        <v>0.2400757351497012</v>
      </c>
      <c r="Q195" s="33" t="n">
        <v>13.51537661762185</v>
      </c>
      <c r="R195" s="31" t="n">
        <v>814.7968671401685</v>
      </c>
      <c r="S195" s="31">
        <f>R195*IF(A195=4, 2.0, 3.0)</f>
        <v/>
      </c>
      <c r="T195" s="30">
        <f>8.0*U195</f>
        <v/>
      </c>
      <c r="U195" s="34">
        <f>MIN(1, S195/M195)</f>
        <v/>
      </c>
      <c r="V195" s="34">
        <f>N195/(N195+O195)</f>
        <v/>
      </c>
      <c r="W195" s="34">
        <f>U195*V195</f>
        <v/>
      </c>
      <c r="X195" s="32">
        <f>T195/N195</f>
        <v/>
      </c>
      <c r="Y195" s="35">
        <f>IF(X195=MAXIFS(X$2:X$721, A$2:A$721, A195, B$2:B$721, B195), "OPTIMAL", "")</f>
        <v/>
      </c>
    </row>
    <row r="196" ht="20" customHeight="1">
      <c r="A196" s="36" t="n">
        <v>4</v>
      </c>
      <c r="B196" s="36" t="n">
        <v>35</v>
      </c>
      <c r="C196" s="37" t="n">
        <v>100</v>
      </c>
      <c r="D196" s="37" t="n">
        <v>3</v>
      </c>
      <c r="E196" s="38" t="n">
        <v>8</v>
      </c>
      <c r="F196" s="37" t="n">
        <v>1.5</v>
      </c>
      <c r="G196" s="38" t="inlineStr">
        <is>
          <t>Non</t>
        </is>
      </c>
      <c r="H196" s="38" t="inlineStr">
        <is>
          <t>ON</t>
        </is>
      </c>
      <c r="I196" s="39" t="n">
        <v>856.3651513317755</v>
      </c>
      <c r="J196" s="39" t="n">
        <v>3449.488235315031</v>
      </c>
      <c r="K196" s="39" t="n">
        <v>2287.037037037037</v>
      </c>
      <c r="L196" s="39" t="n">
        <v>150</v>
      </c>
      <c r="M196" s="39">
        <f>I196+J196+K196+L196</f>
        <v/>
      </c>
      <c r="N196" s="39">
        <f>M196*Dashboard!$B$18/(Dashboard!$B$16/3.6)</f>
        <v/>
      </c>
      <c r="O196" s="39" t="n">
        <v>816.2125401784666</v>
      </c>
      <c r="P196" s="40" t="n">
        <v>0.05244036690739898</v>
      </c>
      <c r="Q196" s="41" t="n">
        <v>13.51537661762185</v>
      </c>
      <c r="R196" s="39" t="n">
        <v>3730.198097617615</v>
      </c>
      <c r="S196" s="39">
        <f>R196*IF(A196=4, 2.0, 3.0)</f>
        <v/>
      </c>
      <c r="T196" s="37">
        <f>8.0*U196</f>
        <v/>
      </c>
      <c r="U196" s="42">
        <f>MIN(1, S196/M196)</f>
        <v/>
      </c>
      <c r="V196" s="42">
        <f>N196/(N196+O196)</f>
        <v/>
      </c>
      <c r="W196" s="42">
        <f>U196*V196</f>
        <v/>
      </c>
      <c r="X196" s="40">
        <f>T196/N196</f>
        <v/>
      </c>
      <c r="Y196" s="15">
        <f>IF(X196=MAXIFS(X$2:X$721, A$2:A$721, A196, B$2:B$721, B196), "OPTIMAL", "")</f>
        <v/>
      </c>
    </row>
    <row r="197" ht="20" customHeight="1">
      <c r="A197" s="29" t="n">
        <v>4</v>
      </c>
      <c r="B197" s="29" t="n">
        <v>35</v>
      </c>
      <c r="C197" s="30" t="n">
        <v>100</v>
      </c>
      <c r="D197" s="30" t="n">
        <v>3</v>
      </c>
      <c r="E197" s="6" t="n">
        <v>8</v>
      </c>
      <c r="F197" s="30" t="n">
        <v>1.5</v>
      </c>
      <c r="G197" s="6" t="inlineStr">
        <is>
          <t>Non</t>
        </is>
      </c>
      <c r="H197" s="6" t="inlineStr">
        <is>
          <t>OFF</t>
        </is>
      </c>
      <c r="I197" s="31" t="n">
        <v>856.3651513317755</v>
      </c>
      <c r="J197" s="31" t="n">
        <v>3449.488235315031</v>
      </c>
      <c r="K197" s="31" t="n">
        <v>2287.037037037037</v>
      </c>
      <c r="L197" s="31" t="n">
        <v>150</v>
      </c>
      <c r="M197" s="31">
        <f>I197+J197+K197+L197</f>
        <v/>
      </c>
      <c r="N197" s="31">
        <f>M197*Dashboard!$B$18/(Dashboard!$B$16/3.6)</f>
        <v/>
      </c>
      <c r="O197" s="31" t="n">
        <v>816.2125401784666</v>
      </c>
      <c r="P197" s="32" t="n">
        <v>0.2368926362878633</v>
      </c>
      <c r="Q197" s="33" t="n">
        <v>13.51537661762185</v>
      </c>
      <c r="R197" s="31" t="n">
        <v>825.7451980847883</v>
      </c>
      <c r="S197" s="31">
        <f>R197*IF(A197=4, 2.0, 3.0)</f>
        <v/>
      </c>
      <c r="T197" s="30">
        <f>8.0*U197</f>
        <v/>
      </c>
      <c r="U197" s="34">
        <f>MIN(1, S197/M197)</f>
        <v/>
      </c>
      <c r="V197" s="34">
        <f>N197/(N197+O197)</f>
        <v/>
      </c>
      <c r="W197" s="34">
        <f>U197*V197</f>
        <v/>
      </c>
      <c r="X197" s="32">
        <f>T197/N197</f>
        <v/>
      </c>
      <c r="Y197" s="35">
        <f>IF(X197=MAXIFS(X$2:X$721, A$2:A$721, A197, B$2:B$721, B197), "OPTIMAL", "")</f>
        <v/>
      </c>
    </row>
    <row r="198" ht="20" customHeight="1">
      <c r="A198" s="36" t="n">
        <v>4</v>
      </c>
      <c r="B198" s="36" t="n">
        <v>35</v>
      </c>
      <c r="C198" s="37" t="n">
        <v>100</v>
      </c>
      <c r="D198" s="37" t="n">
        <v>3</v>
      </c>
      <c r="E198" s="38" t="n">
        <v>8</v>
      </c>
      <c r="F198" s="37" t="n">
        <v>2</v>
      </c>
      <c r="G198" s="38" t="inlineStr">
        <is>
          <t>Oui</t>
        </is>
      </c>
      <c r="H198" s="38" t="inlineStr">
        <is>
          <t>ON</t>
        </is>
      </c>
      <c r="I198" s="39" t="n">
        <v>856.3651513317755</v>
      </c>
      <c r="J198" s="39" t="n">
        <v>3449.488235315031</v>
      </c>
      <c r="K198" s="39" t="n">
        <v>2287.037037037037</v>
      </c>
      <c r="L198" s="39" t="n">
        <v>150</v>
      </c>
      <c r="M198" s="39">
        <f>I198+J198+K198+L198</f>
        <v/>
      </c>
      <c r="N198" s="39">
        <f>M198*Dashboard!$B$18/(Dashboard!$B$16/3.6)</f>
        <v/>
      </c>
      <c r="O198" s="39" t="n">
        <v>949.3413134074165</v>
      </c>
      <c r="P198" s="40" t="n">
        <v>0.05441799410512958</v>
      </c>
      <c r="Q198" s="41" t="n">
        <v>17.95383549016247</v>
      </c>
      <c r="R198" s="39" t="n">
        <v>3679.935328560983</v>
      </c>
      <c r="S198" s="39">
        <f>R198*IF(A198=4, 2.0, 3.0)</f>
        <v/>
      </c>
      <c r="T198" s="37">
        <f>8.0*U198</f>
        <v/>
      </c>
      <c r="U198" s="42">
        <f>MIN(1, S198/M198)</f>
        <v/>
      </c>
      <c r="V198" s="42">
        <f>N198/(N198+O198)</f>
        <v/>
      </c>
      <c r="W198" s="42">
        <f>U198*V198</f>
        <v/>
      </c>
      <c r="X198" s="40">
        <f>T198/N198</f>
        <v/>
      </c>
      <c r="Y198" s="15">
        <f>IF(X198=MAXIFS(X$2:X$721, A$2:A$721, A198, B$2:B$721, B198), "OPTIMAL", "")</f>
        <v/>
      </c>
    </row>
    <row r="199" ht="20" customHeight="1">
      <c r="A199" s="29" t="n">
        <v>4</v>
      </c>
      <c r="B199" s="29" t="n">
        <v>35</v>
      </c>
      <c r="C199" s="30" t="n">
        <v>100</v>
      </c>
      <c r="D199" s="30" t="n">
        <v>3</v>
      </c>
      <c r="E199" s="6" t="n">
        <v>8</v>
      </c>
      <c r="F199" s="30" t="n">
        <v>2</v>
      </c>
      <c r="G199" s="6" t="inlineStr">
        <is>
          <t>Oui</t>
        </is>
      </c>
      <c r="H199" s="6" t="inlineStr">
        <is>
          <t>OFF</t>
        </is>
      </c>
      <c r="I199" s="31" t="n">
        <v>856.3651513317755</v>
      </c>
      <c r="J199" s="31" t="n">
        <v>3449.488235315031</v>
      </c>
      <c r="K199" s="31" t="n">
        <v>2287.037037037037</v>
      </c>
      <c r="L199" s="31" t="n">
        <v>150</v>
      </c>
      <c r="M199" s="31">
        <f>I199+J199+K199+L199</f>
        <v/>
      </c>
      <c r="N199" s="31">
        <f>M199*Dashboard!$B$18/(Dashboard!$B$16/3.6)</f>
        <v/>
      </c>
      <c r="O199" s="31" t="n">
        <v>949.3413134074165</v>
      </c>
      <c r="P199" s="32" t="n">
        <v>0.2402392320400437</v>
      </c>
      <c r="Q199" s="33" t="n">
        <v>17.95383549016247</v>
      </c>
      <c r="R199" s="31" t="n">
        <v>833.5636828189274</v>
      </c>
      <c r="S199" s="31">
        <f>R199*IF(A199=4, 2.0, 3.0)</f>
        <v/>
      </c>
      <c r="T199" s="30">
        <f>8.0*U199</f>
        <v/>
      </c>
      <c r="U199" s="34">
        <f>MIN(1, S199/M199)</f>
        <v/>
      </c>
      <c r="V199" s="34">
        <f>N199/(N199+O199)</f>
        <v/>
      </c>
      <c r="W199" s="34">
        <f>U199*V199</f>
        <v/>
      </c>
      <c r="X199" s="32">
        <f>T199/N199</f>
        <v/>
      </c>
      <c r="Y199" s="35">
        <f>IF(X199=MAXIFS(X$2:X$721, A$2:A$721, A199, B$2:B$721, B199), "OPTIMAL", "")</f>
        <v/>
      </c>
    </row>
    <row r="200" ht="20" customHeight="1">
      <c r="A200" s="36" t="n">
        <v>4</v>
      </c>
      <c r="B200" s="36" t="n">
        <v>35</v>
      </c>
      <c r="C200" s="37" t="n">
        <v>100</v>
      </c>
      <c r="D200" s="37" t="n">
        <v>3</v>
      </c>
      <c r="E200" s="38" t="n">
        <v>8</v>
      </c>
      <c r="F200" s="37" t="n">
        <v>2</v>
      </c>
      <c r="G200" s="38" t="inlineStr">
        <is>
          <t>Non</t>
        </is>
      </c>
      <c r="H200" s="38" t="inlineStr">
        <is>
          <t>ON</t>
        </is>
      </c>
      <c r="I200" s="39" t="n">
        <v>856.3651513317755</v>
      </c>
      <c r="J200" s="39" t="n">
        <v>3449.488235315031</v>
      </c>
      <c r="K200" s="39" t="n">
        <v>2287.037037037037</v>
      </c>
      <c r="L200" s="39" t="n">
        <v>150</v>
      </c>
      <c r="M200" s="39">
        <f>I200+J200+K200+L200</f>
        <v/>
      </c>
      <c r="N200" s="39">
        <f>M200*Dashboard!$B$18/(Dashboard!$B$16/3.6)</f>
        <v/>
      </c>
      <c r="O200" s="39" t="n">
        <v>949.3413134074165</v>
      </c>
      <c r="P200" s="40" t="n">
        <v>0.05123489524329167</v>
      </c>
      <c r="Q200" s="41" t="n">
        <v>17.95383549016247</v>
      </c>
      <c r="R200" s="39" t="n">
        <v>3908.56071952464</v>
      </c>
      <c r="S200" s="39">
        <f>R200*IF(A200=4, 2.0, 3.0)</f>
        <v/>
      </c>
      <c r="T200" s="37">
        <f>8.0*U200</f>
        <v/>
      </c>
      <c r="U200" s="42">
        <f>MIN(1, S200/M200)</f>
        <v/>
      </c>
      <c r="V200" s="42">
        <f>N200/(N200+O200)</f>
        <v/>
      </c>
      <c r="W200" s="42">
        <f>U200*V200</f>
        <v/>
      </c>
      <c r="X200" s="40">
        <f>T200/N200</f>
        <v/>
      </c>
      <c r="Y200" s="15">
        <f>IF(X200=MAXIFS(X$2:X$721, A$2:A$721, A200, B$2:B$721, B200), "OPTIMAL", "")</f>
        <v/>
      </c>
    </row>
    <row r="201" ht="20" customHeight="1">
      <c r="A201" s="29" t="n">
        <v>4</v>
      </c>
      <c r="B201" s="29" t="n">
        <v>35</v>
      </c>
      <c r="C201" s="30" t="n">
        <v>100</v>
      </c>
      <c r="D201" s="30" t="n">
        <v>3</v>
      </c>
      <c r="E201" s="6" t="n">
        <v>8</v>
      </c>
      <c r="F201" s="30" t="n">
        <v>2</v>
      </c>
      <c r="G201" s="6" t="inlineStr">
        <is>
          <t>Non</t>
        </is>
      </c>
      <c r="H201" s="6" t="inlineStr">
        <is>
          <t>OFF</t>
        </is>
      </c>
      <c r="I201" s="31" t="n">
        <v>856.3651513317755</v>
      </c>
      <c r="J201" s="31" t="n">
        <v>3449.488235315031</v>
      </c>
      <c r="K201" s="31" t="n">
        <v>2287.037037037037</v>
      </c>
      <c r="L201" s="31" t="n">
        <v>150</v>
      </c>
      <c r="M201" s="31">
        <f>I201+J201+K201+L201</f>
        <v/>
      </c>
      <c r="N201" s="31">
        <f>M201*Dashboard!$B$18/(Dashboard!$B$16/3.6)</f>
        <v/>
      </c>
      <c r="O201" s="31" t="n">
        <v>949.3413134074165</v>
      </c>
      <c r="P201" s="32" t="n">
        <v>0.2370561331782058</v>
      </c>
      <c r="Q201" s="33" t="n">
        <v>17.95383549016247</v>
      </c>
      <c r="R201" s="31" t="n">
        <v>844.7564563383356</v>
      </c>
      <c r="S201" s="31">
        <f>R201*IF(A201=4, 2.0, 3.0)</f>
        <v/>
      </c>
      <c r="T201" s="30">
        <f>8.0*U201</f>
        <v/>
      </c>
      <c r="U201" s="34">
        <f>MIN(1, S201/M201)</f>
        <v/>
      </c>
      <c r="V201" s="34">
        <f>N201/(N201+O201)</f>
        <v/>
      </c>
      <c r="W201" s="34">
        <f>U201*V201</f>
        <v/>
      </c>
      <c r="X201" s="32">
        <f>T201/N201</f>
        <v/>
      </c>
      <c r="Y201" s="35">
        <f>IF(X201=MAXIFS(X$2:X$721, A$2:A$721, A201, B$2:B$721, B201), "OPTIMAL", "")</f>
        <v/>
      </c>
    </row>
    <row r="202" ht="20" customHeight="1">
      <c r="A202" s="21" t="n">
        <v>4</v>
      </c>
      <c r="B202" s="21" t="n">
        <v>35</v>
      </c>
      <c r="C202" s="22" t="n">
        <v>120</v>
      </c>
      <c r="D202" s="22" t="n">
        <v>2</v>
      </c>
      <c r="E202" s="23" t="n">
        <v>0</v>
      </c>
      <c r="F202" s="22" t="n">
        <v>0</v>
      </c>
      <c r="G202" s="23" t="inlineStr">
        <is>
          <t>Oui</t>
        </is>
      </c>
      <c r="H202" s="23" t="inlineStr">
        <is>
          <t>ON</t>
        </is>
      </c>
      <c r="I202" s="24" t="n">
        <v>856.3651513317755</v>
      </c>
      <c r="J202" s="24" t="n">
        <v>3449.488235315031</v>
      </c>
      <c r="K202" s="24" t="n">
        <v>2287.037037037037</v>
      </c>
      <c r="L202" s="24" t="n">
        <v>150</v>
      </c>
      <c r="M202" s="24">
        <f>I202+J202+K202+L202</f>
        <v/>
      </c>
      <c r="N202" s="24">
        <f>M202*Dashboard!$B$18/(Dashboard!$B$16/3.6)</f>
        <v/>
      </c>
      <c r="O202" s="24" t="n">
        <v>240.4179773642782</v>
      </c>
      <c r="P202" s="25" t="n">
        <v>0.4668808197339223</v>
      </c>
      <c r="Q202" s="26" t="n">
        <v>0.2</v>
      </c>
      <c r="R202" s="24" t="n">
        <v>257.2380842441013</v>
      </c>
      <c r="S202" s="24">
        <f>R202*IF(A202=4, 2.0, 3.0)</f>
        <v/>
      </c>
      <c r="T202" s="22">
        <f>8.0*U202</f>
        <v/>
      </c>
      <c r="U202" s="27">
        <f>MIN(1, S202/M202)</f>
        <v/>
      </c>
      <c r="V202" s="27">
        <f>N202/(N202+O202)</f>
        <v/>
      </c>
      <c r="W202" s="27">
        <f>U202*V202</f>
        <v/>
      </c>
      <c r="X202" s="25">
        <f>T202/N202</f>
        <v/>
      </c>
      <c r="Y202" s="28">
        <f>IF(X202=MAXIFS(X$2:X$721, A$2:A$721, A202, B$2:B$721, B202), "OPTIMAL", "")</f>
        <v/>
      </c>
    </row>
    <row r="203" ht="20" customHeight="1">
      <c r="A203" s="29" t="n">
        <v>4</v>
      </c>
      <c r="B203" s="29" t="n">
        <v>35</v>
      </c>
      <c r="C203" s="30" t="n">
        <v>120</v>
      </c>
      <c r="D203" s="30" t="n">
        <v>2</v>
      </c>
      <c r="E203" s="6" t="n">
        <v>0</v>
      </c>
      <c r="F203" s="30" t="n">
        <v>0</v>
      </c>
      <c r="G203" s="6" t="inlineStr">
        <is>
          <t>Oui</t>
        </is>
      </c>
      <c r="H203" s="6" t="inlineStr">
        <is>
          <t>OFF</t>
        </is>
      </c>
      <c r="I203" s="31" t="n">
        <v>856.3651513317755</v>
      </c>
      <c r="J203" s="31" t="n">
        <v>3449.488235315031</v>
      </c>
      <c r="K203" s="31" t="n">
        <v>2287.037037037037</v>
      </c>
      <c r="L203" s="31" t="n">
        <v>150</v>
      </c>
      <c r="M203" s="31">
        <f>I203+J203+K203+L203</f>
        <v/>
      </c>
      <c r="N203" s="31">
        <f>M203*Dashboard!$B$18/(Dashboard!$B$16/3.6)</f>
        <v/>
      </c>
      <c r="O203" s="31" t="n">
        <v>240.4179773642782</v>
      </c>
      <c r="P203" s="32" t="n">
        <v>0.7321390582204146</v>
      </c>
      <c r="Q203" s="33" t="n">
        <v>0.2</v>
      </c>
      <c r="R203" s="31" t="n">
        <v>164.0392303759775</v>
      </c>
      <c r="S203" s="31">
        <f>R203*IF(A203=4, 2.0, 3.0)</f>
        <v/>
      </c>
      <c r="T203" s="30">
        <f>8.0*U203</f>
        <v/>
      </c>
      <c r="U203" s="34">
        <f>MIN(1, S203/M203)</f>
        <v/>
      </c>
      <c r="V203" s="34">
        <f>N203/(N203+O203)</f>
        <v/>
      </c>
      <c r="W203" s="34">
        <f>U203*V203</f>
        <v/>
      </c>
      <c r="X203" s="32">
        <f>T203/N203</f>
        <v/>
      </c>
      <c r="Y203" s="35">
        <f>IF(X203=MAXIFS(X$2:X$721, A$2:A$721, A203, B$2:B$721, B203), "OPTIMAL", "")</f>
        <v/>
      </c>
    </row>
    <row r="204" ht="20" customHeight="1">
      <c r="A204" s="21" t="n">
        <v>4</v>
      </c>
      <c r="B204" s="21" t="n">
        <v>35</v>
      </c>
      <c r="C204" s="22" t="n">
        <v>120</v>
      </c>
      <c r="D204" s="22" t="n">
        <v>2</v>
      </c>
      <c r="E204" s="23" t="n">
        <v>0</v>
      </c>
      <c r="F204" s="22" t="n">
        <v>0</v>
      </c>
      <c r="G204" s="23" t="inlineStr">
        <is>
          <t>Non</t>
        </is>
      </c>
      <c r="H204" s="23" t="inlineStr">
        <is>
          <t>ON</t>
        </is>
      </c>
      <c r="I204" s="24" t="n">
        <v>856.3651513317755</v>
      </c>
      <c r="J204" s="24" t="n">
        <v>3449.488235315031</v>
      </c>
      <c r="K204" s="24" t="n">
        <v>2287.037037037037</v>
      </c>
      <c r="L204" s="24" t="n">
        <v>150</v>
      </c>
      <c r="M204" s="24">
        <f>I204+J204+K204+L204</f>
        <v/>
      </c>
      <c r="N204" s="24">
        <f>M204*Dashboard!$B$18/(Dashboard!$B$16/3.6)</f>
        <v/>
      </c>
      <c r="O204" s="24" t="n">
        <v>240.4179773642782</v>
      </c>
      <c r="P204" s="25" t="n">
        <v>0.4642282373490574</v>
      </c>
      <c r="Q204" s="26" t="n">
        <v>0.2</v>
      </c>
      <c r="R204" s="24" t="n">
        <v>258.7079328144485</v>
      </c>
      <c r="S204" s="24">
        <f>R204*IF(A204=4, 2.0, 3.0)</f>
        <v/>
      </c>
      <c r="T204" s="22">
        <f>8.0*U204</f>
        <v/>
      </c>
      <c r="U204" s="27">
        <f>MIN(1, S204/M204)</f>
        <v/>
      </c>
      <c r="V204" s="27">
        <f>N204/(N204+O204)</f>
        <v/>
      </c>
      <c r="W204" s="27">
        <f>U204*V204</f>
        <v/>
      </c>
      <c r="X204" s="25">
        <f>T204/N204</f>
        <v/>
      </c>
      <c r="Y204" s="28">
        <f>IF(X204=MAXIFS(X$2:X$721, A$2:A$721, A204, B$2:B$721, B204), "OPTIMAL", "")</f>
        <v/>
      </c>
    </row>
    <row r="205" ht="20" customHeight="1">
      <c r="A205" s="29" t="n">
        <v>4</v>
      </c>
      <c r="B205" s="29" t="n">
        <v>35</v>
      </c>
      <c r="C205" s="30" t="n">
        <v>120</v>
      </c>
      <c r="D205" s="30" t="n">
        <v>2</v>
      </c>
      <c r="E205" s="6" t="n">
        <v>0</v>
      </c>
      <c r="F205" s="30" t="n">
        <v>0</v>
      </c>
      <c r="G205" s="6" t="inlineStr">
        <is>
          <t>Non</t>
        </is>
      </c>
      <c r="H205" s="6" t="inlineStr">
        <is>
          <t>OFF</t>
        </is>
      </c>
      <c r="I205" s="31" t="n">
        <v>856.3651513317755</v>
      </c>
      <c r="J205" s="31" t="n">
        <v>3449.488235315031</v>
      </c>
      <c r="K205" s="31" t="n">
        <v>2287.037037037037</v>
      </c>
      <c r="L205" s="31" t="n">
        <v>150</v>
      </c>
      <c r="M205" s="31">
        <f>I205+J205+K205+L205</f>
        <v/>
      </c>
      <c r="N205" s="31">
        <f>M205*Dashboard!$B$18/(Dashboard!$B$16/3.6)</f>
        <v/>
      </c>
      <c r="O205" s="31" t="n">
        <v>240.4179773642782</v>
      </c>
      <c r="P205" s="32" t="n">
        <v>0.7294864758355497</v>
      </c>
      <c r="Q205" s="33" t="n">
        <v>0.2</v>
      </c>
      <c r="R205" s="31" t="n">
        <v>164.635715146204</v>
      </c>
      <c r="S205" s="31">
        <f>R205*IF(A205=4, 2.0, 3.0)</f>
        <v/>
      </c>
      <c r="T205" s="30">
        <f>8.0*U205</f>
        <v/>
      </c>
      <c r="U205" s="34">
        <f>MIN(1, S205/M205)</f>
        <v/>
      </c>
      <c r="V205" s="34">
        <f>N205/(N205+O205)</f>
        <v/>
      </c>
      <c r="W205" s="34">
        <f>U205*V205</f>
        <v/>
      </c>
      <c r="X205" s="32">
        <f>T205/N205</f>
        <v/>
      </c>
      <c r="Y205" s="35">
        <f>IF(X205=MAXIFS(X$2:X$721, A$2:A$721, A205, B$2:B$721, B205), "OPTIMAL", "")</f>
        <v/>
      </c>
    </row>
    <row r="206" ht="20" customHeight="1">
      <c r="A206" s="21" t="n">
        <v>4</v>
      </c>
      <c r="B206" s="21" t="n">
        <v>35</v>
      </c>
      <c r="C206" s="22" t="n">
        <v>120</v>
      </c>
      <c r="D206" s="22" t="n">
        <v>2</v>
      </c>
      <c r="E206" s="23" t="n">
        <v>4</v>
      </c>
      <c r="F206" s="22" t="n">
        <v>1.5</v>
      </c>
      <c r="G206" s="23" t="inlineStr">
        <is>
          <t>Oui</t>
        </is>
      </c>
      <c r="H206" s="23" t="inlineStr">
        <is>
          <t>ON</t>
        </is>
      </c>
      <c r="I206" s="24" t="n">
        <v>856.3651513317755</v>
      </c>
      <c r="J206" s="24" t="n">
        <v>3449.488235315031</v>
      </c>
      <c r="K206" s="24" t="n">
        <v>2287.037037037037</v>
      </c>
      <c r="L206" s="24" t="n">
        <v>150</v>
      </c>
      <c r="M206" s="24">
        <f>I206+J206+K206+L206</f>
        <v/>
      </c>
      <c r="N206" s="24">
        <f>M206*Dashboard!$B$18/(Dashboard!$B$16/3.6)</f>
        <v/>
      </c>
      <c r="O206" s="24" t="n">
        <v>369.6153099072223</v>
      </c>
      <c r="P206" s="25" t="n">
        <v>0.06805759746267123</v>
      </c>
      <c r="Q206" s="26" t="n">
        <v>5.595023284726097</v>
      </c>
      <c r="R206" s="24" t="n">
        <v>1812.419159946139</v>
      </c>
      <c r="S206" s="24">
        <f>R206*IF(A206=4, 2.0, 3.0)</f>
        <v/>
      </c>
      <c r="T206" s="22">
        <f>8.0*U206</f>
        <v/>
      </c>
      <c r="U206" s="27">
        <f>MIN(1, S206/M206)</f>
        <v/>
      </c>
      <c r="V206" s="27">
        <f>N206/(N206+O206)</f>
        <v/>
      </c>
      <c r="W206" s="27">
        <f>U206*V206</f>
        <v/>
      </c>
      <c r="X206" s="25">
        <f>T206/N206</f>
        <v/>
      </c>
      <c r="Y206" s="28">
        <f>IF(X206=MAXIFS(X$2:X$721, A$2:A$721, A206, B$2:B$721, B206), "OPTIMAL", "")</f>
        <v/>
      </c>
    </row>
    <row r="207" ht="20" customHeight="1">
      <c r="A207" s="29" t="n">
        <v>4</v>
      </c>
      <c r="B207" s="29" t="n">
        <v>35</v>
      </c>
      <c r="C207" s="30" t="n">
        <v>120</v>
      </c>
      <c r="D207" s="30" t="n">
        <v>2</v>
      </c>
      <c r="E207" s="6" t="n">
        <v>4</v>
      </c>
      <c r="F207" s="30" t="n">
        <v>1.5</v>
      </c>
      <c r="G207" s="6" t="inlineStr">
        <is>
          <t>Oui</t>
        </is>
      </c>
      <c r="H207" s="6" t="inlineStr">
        <is>
          <t>OFF</t>
        </is>
      </c>
      <c r="I207" s="31" t="n">
        <v>856.3651513317755</v>
      </c>
      <c r="J207" s="31" t="n">
        <v>3449.488235315031</v>
      </c>
      <c r="K207" s="31" t="n">
        <v>2287.037037037037</v>
      </c>
      <c r="L207" s="31" t="n">
        <v>150</v>
      </c>
      <c r="M207" s="31">
        <f>I207+J207+K207+L207</f>
        <v/>
      </c>
      <c r="N207" s="31">
        <f>M207*Dashboard!$B$18/(Dashboard!$B$16/3.6)</f>
        <v/>
      </c>
      <c r="O207" s="31" t="n">
        <v>369.6153099072223</v>
      </c>
      <c r="P207" s="32" t="n">
        <v>0.2717308104184109</v>
      </c>
      <c r="Q207" s="33" t="n">
        <v>5.595023284726097</v>
      </c>
      <c r="R207" s="31" t="n">
        <v>453.9378270403513</v>
      </c>
      <c r="S207" s="31">
        <f>R207*IF(A207=4, 2.0, 3.0)</f>
        <v/>
      </c>
      <c r="T207" s="30">
        <f>8.0*U207</f>
        <v/>
      </c>
      <c r="U207" s="34">
        <f>MIN(1, S207/M207)</f>
        <v/>
      </c>
      <c r="V207" s="34">
        <f>N207/(N207+O207)</f>
        <v/>
      </c>
      <c r="W207" s="34">
        <f>U207*V207</f>
        <v/>
      </c>
      <c r="X207" s="32">
        <f>T207/N207</f>
        <v/>
      </c>
      <c r="Y207" s="35">
        <f>IF(X207=MAXIFS(X$2:X$721, A$2:A$721, A207, B$2:B$721, B207), "OPTIMAL", "")</f>
        <v/>
      </c>
    </row>
    <row r="208" ht="20" customHeight="1">
      <c r="A208" s="21" t="n">
        <v>4</v>
      </c>
      <c r="B208" s="21" t="n">
        <v>35</v>
      </c>
      <c r="C208" s="22" t="n">
        <v>120</v>
      </c>
      <c r="D208" s="22" t="n">
        <v>2</v>
      </c>
      <c r="E208" s="23" t="n">
        <v>4</v>
      </c>
      <c r="F208" s="22" t="n">
        <v>1.5</v>
      </c>
      <c r="G208" s="23" t="inlineStr">
        <is>
          <t>Non</t>
        </is>
      </c>
      <c r="H208" s="23" t="inlineStr">
        <is>
          <t>ON</t>
        </is>
      </c>
      <c r="I208" s="24" t="n">
        <v>856.3651513317755</v>
      </c>
      <c r="J208" s="24" t="n">
        <v>3449.488235315031</v>
      </c>
      <c r="K208" s="24" t="n">
        <v>2287.037037037037</v>
      </c>
      <c r="L208" s="24" t="n">
        <v>150</v>
      </c>
      <c r="M208" s="24">
        <f>I208+J208+K208+L208</f>
        <v/>
      </c>
      <c r="N208" s="24">
        <f>M208*Dashboard!$B$18/(Dashboard!$B$16/3.6)</f>
        <v/>
      </c>
      <c r="O208" s="24" t="n">
        <v>369.6153099072223</v>
      </c>
      <c r="P208" s="25" t="n">
        <v>0.0654050150778063</v>
      </c>
      <c r="Q208" s="26" t="n">
        <v>5.595023284726097</v>
      </c>
      <c r="R208" s="24" t="n">
        <v>1885.9240912109</v>
      </c>
      <c r="S208" s="24">
        <f>R208*IF(A208=4, 2.0, 3.0)</f>
        <v/>
      </c>
      <c r="T208" s="22">
        <f>8.0*U208</f>
        <v/>
      </c>
      <c r="U208" s="27">
        <f>MIN(1, S208/M208)</f>
        <v/>
      </c>
      <c r="V208" s="27">
        <f>N208/(N208+O208)</f>
        <v/>
      </c>
      <c r="W208" s="27">
        <f>U208*V208</f>
        <v/>
      </c>
      <c r="X208" s="25">
        <f>T208/N208</f>
        <v/>
      </c>
      <c r="Y208" s="28">
        <f>IF(X208=MAXIFS(X$2:X$721, A$2:A$721, A208, B$2:B$721, B208), "OPTIMAL", "")</f>
        <v/>
      </c>
    </row>
    <row r="209" ht="20" customHeight="1">
      <c r="A209" s="29" t="n">
        <v>4</v>
      </c>
      <c r="B209" s="29" t="n">
        <v>35</v>
      </c>
      <c r="C209" s="30" t="n">
        <v>120</v>
      </c>
      <c r="D209" s="30" t="n">
        <v>2</v>
      </c>
      <c r="E209" s="6" t="n">
        <v>4</v>
      </c>
      <c r="F209" s="30" t="n">
        <v>1.5</v>
      </c>
      <c r="G209" s="6" t="inlineStr">
        <is>
          <t>Non</t>
        </is>
      </c>
      <c r="H209" s="6" t="inlineStr">
        <is>
          <t>OFF</t>
        </is>
      </c>
      <c r="I209" s="31" t="n">
        <v>856.3651513317755</v>
      </c>
      <c r="J209" s="31" t="n">
        <v>3449.488235315031</v>
      </c>
      <c r="K209" s="31" t="n">
        <v>2287.037037037037</v>
      </c>
      <c r="L209" s="31" t="n">
        <v>150</v>
      </c>
      <c r="M209" s="31">
        <f>I209+J209+K209+L209</f>
        <v/>
      </c>
      <c r="N209" s="31">
        <f>M209*Dashboard!$B$18/(Dashboard!$B$16/3.6)</f>
        <v/>
      </c>
      <c r="O209" s="31" t="n">
        <v>369.6153099072223</v>
      </c>
      <c r="P209" s="32" t="n">
        <v>0.2690782280335459</v>
      </c>
      <c r="Q209" s="33" t="n">
        <v>5.595023284726097</v>
      </c>
      <c r="R209" s="31" t="n">
        <v>458.4127616815924</v>
      </c>
      <c r="S209" s="31">
        <f>R209*IF(A209=4, 2.0, 3.0)</f>
        <v/>
      </c>
      <c r="T209" s="30">
        <f>8.0*U209</f>
        <v/>
      </c>
      <c r="U209" s="34">
        <f>MIN(1, S209/M209)</f>
        <v/>
      </c>
      <c r="V209" s="34">
        <f>N209/(N209+O209)</f>
        <v/>
      </c>
      <c r="W209" s="34">
        <f>U209*V209</f>
        <v/>
      </c>
      <c r="X209" s="32">
        <f>T209/N209</f>
        <v/>
      </c>
      <c r="Y209" s="35">
        <f>IF(X209=MAXIFS(X$2:X$721, A$2:A$721, A209, B$2:B$721, B209), "OPTIMAL", "")</f>
        <v/>
      </c>
    </row>
    <row r="210" ht="20" customHeight="1">
      <c r="A210" s="21" t="n">
        <v>4</v>
      </c>
      <c r="B210" s="21" t="n">
        <v>35</v>
      </c>
      <c r="C210" s="22" t="n">
        <v>120</v>
      </c>
      <c r="D210" s="22" t="n">
        <v>2</v>
      </c>
      <c r="E210" s="23" t="n">
        <v>4</v>
      </c>
      <c r="F210" s="22" t="n">
        <v>2</v>
      </c>
      <c r="G210" s="23" t="inlineStr">
        <is>
          <t>Oui</t>
        </is>
      </c>
      <c r="H210" s="23" t="inlineStr">
        <is>
          <t>ON</t>
        </is>
      </c>
      <c r="I210" s="24" t="n">
        <v>856.3651513317755</v>
      </c>
      <c r="J210" s="24" t="n">
        <v>3449.488235315031</v>
      </c>
      <c r="K210" s="24" t="n">
        <v>2287.037037037037</v>
      </c>
      <c r="L210" s="24" t="n">
        <v>150</v>
      </c>
      <c r="M210" s="24">
        <f>I210+J210+K210+L210</f>
        <v/>
      </c>
      <c r="N210" s="24">
        <f>M210*Dashboard!$B$18/(Dashboard!$B$16/3.6)</f>
        <v/>
      </c>
      <c r="O210" s="24" t="n">
        <v>414.2487869523762</v>
      </c>
      <c r="P210" s="25" t="n">
        <v>0.06474901627983365</v>
      </c>
      <c r="Q210" s="26" t="n">
        <v>7.393364379634797</v>
      </c>
      <c r="R210" s="24" t="n">
        <v>1922.368107719898</v>
      </c>
      <c r="S210" s="24">
        <f>R210*IF(A210=4, 2.0, 3.0)</f>
        <v/>
      </c>
      <c r="T210" s="22">
        <f>8.0*U210</f>
        <v/>
      </c>
      <c r="U210" s="27">
        <f>MIN(1, S210/M210)</f>
        <v/>
      </c>
      <c r="V210" s="27">
        <f>N210/(N210+O210)</f>
        <v/>
      </c>
      <c r="W210" s="27">
        <f>U210*V210</f>
        <v/>
      </c>
      <c r="X210" s="25">
        <f>T210/N210</f>
        <v/>
      </c>
      <c r="Y210" s="28">
        <f>IF(X210=MAXIFS(X$2:X$721, A$2:A$721, A210, B$2:B$721, B210), "OPTIMAL", "")</f>
        <v/>
      </c>
    </row>
    <row r="211" ht="20" customHeight="1">
      <c r="A211" s="29" t="n">
        <v>4</v>
      </c>
      <c r="B211" s="29" t="n">
        <v>35</v>
      </c>
      <c r="C211" s="30" t="n">
        <v>120</v>
      </c>
      <c r="D211" s="30" t="n">
        <v>2</v>
      </c>
      <c r="E211" s="6" t="n">
        <v>4</v>
      </c>
      <c r="F211" s="30" t="n">
        <v>2</v>
      </c>
      <c r="G211" s="6" t="inlineStr">
        <is>
          <t>Oui</t>
        </is>
      </c>
      <c r="H211" s="6" t="inlineStr">
        <is>
          <t>OFF</t>
        </is>
      </c>
      <c r="I211" s="31" t="n">
        <v>856.3651513317755</v>
      </c>
      <c r="J211" s="31" t="n">
        <v>3449.488235315031</v>
      </c>
      <c r="K211" s="31" t="n">
        <v>2287.037037037037</v>
      </c>
      <c r="L211" s="31" t="n">
        <v>150</v>
      </c>
      <c r="M211" s="31">
        <f>I211+J211+K211+L211</f>
        <v/>
      </c>
      <c r="N211" s="31">
        <f>M211*Dashboard!$B$18/(Dashboard!$B$16/3.6)</f>
        <v/>
      </c>
      <c r="O211" s="31" t="n">
        <v>414.2487869523762</v>
      </c>
      <c r="P211" s="32" t="n">
        <v>0.269253725510994</v>
      </c>
      <c r="Q211" s="33" t="n">
        <v>7.393364379634797</v>
      </c>
      <c r="R211" s="31" t="n">
        <v>462.2830888091327</v>
      </c>
      <c r="S211" s="31">
        <f>R211*IF(A211=4, 2.0, 3.0)</f>
        <v/>
      </c>
      <c r="T211" s="30">
        <f>8.0*U211</f>
        <v/>
      </c>
      <c r="U211" s="34">
        <f>MIN(1, S211/M211)</f>
        <v/>
      </c>
      <c r="V211" s="34">
        <f>N211/(N211+O211)</f>
        <v/>
      </c>
      <c r="W211" s="34">
        <f>U211*V211</f>
        <v/>
      </c>
      <c r="X211" s="32">
        <f>T211/N211</f>
        <v/>
      </c>
      <c r="Y211" s="35">
        <f>IF(X211=MAXIFS(X$2:X$721, A$2:A$721, A211, B$2:B$721, B211), "OPTIMAL", "")</f>
        <v/>
      </c>
    </row>
    <row r="212" ht="20" customHeight="1">
      <c r="A212" s="21" t="n">
        <v>4</v>
      </c>
      <c r="B212" s="21" t="n">
        <v>35</v>
      </c>
      <c r="C212" s="22" t="n">
        <v>120</v>
      </c>
      <c r="D212" s="22" t="n">
        <v>2</v>
      </c>
      <c r="E212" s="23" t="n">
        <v>4</v>
      </c>
      <c r="F212" s="22" t="n">
        <v>2</v>
      </c>
      <c r="G212" s="23" t="inlineStr">
        <is>
          <t>Non</t>
        </is>
      </c>
      <c r="H212" s="23" t="inlineStr">
        <is>
          <t>ON</t>
        </is>
      </c>
      <c r="I212" s="24" t="n">
        <v>856.3651513317755</v>
      </c>
      <c r="J212" s="24" t="n">
        <v>3449.488235315031</v>
      </c>
      <c r="K212" s="24" t="n">
        <v>2287.037037037037</v>
      </c>
      <c r="L212" s="24" t="n">
        <v>150</v>
      </c>
      <c r="M212" s="24">
        <f>I212+J212+K212+L212</f>
        <v/>
      </c>
      <c r="N212" s="24">
        <f>M212*Dashboard!$B$18/(Dashboard!$B$16/3.6)</f>
        <v/>
      </c>
      <c r="O212" s="24" t="n">
        <v>414.2487869523762</v>
      </c>
      <c r="P212" s="25" t="n">
        <v>0.06209643389496873</v>
      </c>
      <c r="Q212" s="26" t="n">
        <v>7.393364379634797</v>
      </c>
      <c r="R212" s="24" t="n">
        <v>2004.486185360055</v>
      </c>
      <c r="S212" s="24">
        <f>R212*IF(A212=4, 2.0, 3.0)</f>
        <v/>
      </c>
      <c r="T212" s="22">
        <f>8.0*U212</f>
        <v/>
      </c>
      <c r="U212" s="27">
        <f>MIN(1, S212/M212)</f>
        <v/>
      </c>
      <c r="V212" s="27">
        <f>N212/(N212+O212)</f>
        <v/>
      </c>
      <c r="W212" s="27">
        <f>U212*V212</f>
        <v/>
      </c>
      <c r="X212" s="25">
        <f>T212/N212</f>
        <v/>
      </c>
      <c r="Y212" s="28">
        <f>IF(X212=MAXIFS(X$2:X$721, A$2:A$721, A212, B$2:B$721, B212), "OPTIMAL", "")</f>
        <v/>
      </c>
    </row>
    <row r="213" ht="20" customHeight="1">
      <c r="A213" s="29" t="n">
        <v>4</v>
      </c>
      <c r="B213" s="29" t="n">
        <v>35</v>
      </c>
      <c r="C213" s="30" t="n">
        <v>120</v>
      </c>
      <c r="D213" s="30" t="n">
        <v>2</v>
      </c>
      <c r="E213" s="6" t="n">
        <v>4</v>
      </c>
      <c r="F213" s="30" t="n">
        <v>2</v>
      </c>
      <c r="G213" s="6" t="inlineStr">
        <is>
          <t>Non</t>
        </is>
      </c>
      <c r="H213" s="6" t="inlineStr">
        <is>
          <t>OFF</t>
        </is>
      </c>
      <c r="I213" s="31" t="n">
        <v>856.3651513317755</v>
      </c>
      <c r="J213" s="31" t="n">
        <v>3449.488235315031</v>
      </c>
      <c r="K213" s="31" t="n">
        <v>2287.037037037037</v>
      </c>
      <c r="L213" s="31" t="n">
        <v>150</v>
      </c>
      <c r="M213" s="31">
        <f>I213+J213+K213+L213</f>
        <v/>
      </c>
      <c r="N213" s="31">
        <f>M213*Dashboard!$B$18/(Dashboard!$B$16/3.6)</f>
        <v/>
      </c>
      <c r="O213" s="31" t="n">
        <v>414.2487869523762</v>
      </c>
      <c r="P213" s="32" t="n">
        <v>0.2666011431261291</v>
      </c>
      <c r="Q213" s="33" t="n">
        <v>7.393364379634797</v>
      </c>
      <c r="R213" s="31" t="n">
        <v>466.8826338966642</v>
      </c>
      <c r="S213" s="31">
        <f>R213*IF(A213=4, 2.0, 3.0)</f>
        <v/>
      </c>
      <c r="T213" s="30">
        <f>8.0*U213</f>
        <v/>
      </c>
      <c r="U213" s="34">
        <f>MIN(1, S213/M213)</f>
        <v/>
      </c>
      <c r="V213" s="34">
        <f>N213/(N213+O213)</f>
        <v/>
      </c>
      <c r="W213" s="34">
        <f>U213*V213</f>
        <v/>
      </c>
      <c r="X213" s="32">
        <f>T213/N213</f>
        <v/>
      </c>
      <c r="Y213" s="35">
        <f>IF(X213=MAXIFS(X$2:X$721, A$2:A$721, A213, B$2:B$721, B213), "OPTIMAL", "")</f>
        <v/>
      </c>
    </row>
    <row r="214" ht="20" customHeight="1">
      <c r="A214" s="21" t="n">
        <v>4</v>
      </c>
      <c r="B214" s="21" t="n">
        <v>35</v>
      </c>
      <c r="C214" s="22" t="n">
        <v>120</v>
      </c>
      <c r="D214" s="22" t="n">
        <v>2</v>
      </c>
      <c r="E214" s="23" t="n">
        <v>8</v>
      </c>
      <c r="F214" s="22" t="n">
        <v>1.5</v>
      </c>
      <c r="G214" s="23" t="inlineStr">
        <is>
          <t>Oui</t>
        </is>
      </c>
      <c r="H214" s="23" t="inlineStr">
        <is>
          <t>ON</t>
        </is>
      </c>
      <c r="I214" s="24" t="n">
        <v>856.3651513317755</v>
      </c>
      <c r="J214" s="24" t="n">
        <v>3449.488235315031</v>
      </c>
      <c r="K214" s="24" t="n">
        <v>2287.037037037037</v>
      </c>
      <c r="L214" s="24" t="n">
        <v>150</v>
      </c>
      <c r="M214" s="24">
        <f>I214+J214+K214+L214</f>
        <v/>
      </c>
      <c r="N214" s="24">
        <f>M214*Dashboard!$B$18/(Dashboard!$B$16/3.6)</f>
        <v/>
      </c>
      <c r="O214" s="24" t="n">
        <v>505.9980739712684</v>
      </c>
      <c r="P214" s="25" t="n">
        <v>0.05155761606859751</v>
      </c>
      <c r="Q214" s="26" t="n">
        <v>10.9900465694522</v>
      </c>
      <c r="R214" s="24" t="n">
        <v>2458.976691036096</v>
      </c>
      <c r="S214" s="24">
        <f>R214*IF(A214=4, 2.0, 3.0)</f>
        <v/>
      </c>
      <c r="T214" s="22">
        <f>8.0*U214</f>
        <v/>
      </c>
      <c r="U214" s="27">
        <f>MIN(1, S214/M214)</f>
        <v/>
      </c>
      <c r="V214" s="27">
        <f>N214/(N214+O214)</f>
        <v/>
      </c>
      <c r="W214" s="27">
        <f>U214*V214</f>
        <v/>
      </c>
      <c r="X214" s="25">
        <f>T214/N214</f>
        <v/>
      </c>
      <c r="Y214" s="28">
        <f>IF(X214=MAXIFS(X$2:X$721, A$2:A$721, A214, B$2:B$721, B214), "OPTIMAL", "")</f>
        <v/>
      </c>
    </row>
    <row r="215" ht="20" customHeight="1">
      <c r="A215" s="29" t="n">
        <v>4</v>
      </c>
      <c r="B215" s="29" t="n">
        <v>35</v>
      </c>
      <c r="C215" s="30" t="n">
        <v>120</v>
      </c>
      <c r="D215" s="30" t="n">
        <v>2</v>
      </c>
      <c r="E215" s="6" t="n">
        <v>8</v>
      </c>
      <c r="F215" s="30" t="n">
        <v>1.5</v>
      </c>
      <c r="G215" s="6" t="inlineStr">
        <is>
          <t>Oui</t>
        </is>
      </c>
      <c r="H215" s="6" t="inlineStr">
        <is>
          <t>OFF</t>
        </is>
      </c>
      <c r="I215" s="31" t="n">
        <v>856.3651513317755</v>
      </c>
      <c r="J215" s="31" t="n">
        <v>3449.488235315031</v>
      </c>
      <c r="K215" s="31" t="n">
        <v>2287.037037037037</v>
      </c>
      <c r="L215" s="31" t="n">
        <v>150</v>
      </c>
      <c r="M215" s="31">
        <f>I215+J215+K215+L215</f>
        <v/>
      </c>
      <c r="N215" s="31">
        <f>M215*Dashboard!$B$18/(Dashboard!$B$16/3.6)</f>
        <v/>
      </c>
      <c r="O215" s="31" t="n">
        <v>505.9980739712684</v>
      </c>
      <c r="P215" s="32" t="n">
        <v>0.216853233443705</v>
      </c>
      <c r="Q215" s="33" t="n">
        <v>10.9900465694522</v>
      </c>
      <c r="R215" s="31" t="n">
        <v>584.6303241357068</v>
      </c>
      <c r="S215" s="31">
        <f>R215*IF(A215=4, 2.0, 3.0)</f>
        <v/>
      </c>
      <c r="T215" s="30">
        <f>8.0*U215</f>
        <v/>
      </c>
      <c r="U215" s="34">
        <f>MIN(1, S215/M215)</f>
        <v/>
      </c>
      <c r="V215" s="34">
        <f>N215/(N215+O215)</f>
        <v/>
      </c>
      <c r="W215" s="34">
        <f>U215*V215</f>
        <v/>
      </c>
      <c r="X215" s="32">
        <f>T215/N215</f>
        <v/>
      </c>
      <c r="Y215" s="35">
        <f>IF(X215=MAXIFS(X$2:X$721, A$2:A$721, A215, B$2:B$721, B215), "OPTIMAL", "")</f>
        <v/>
      </c>
    </row>
    <row r="216" ht="20" customHeight="1">
      <c r="A216" s="21" t="n">
        <v>4</v>
      </c>
      <c r="B216" s="21" t="n">
        <v>35</v>
      </c>
      <c r="C216" s="22" t="n">
        <v>120</v>
      </c>
      <c r="D216" s="22" t="n">
        <v>2</v>
      </c>
      <c r="E216" s="23" t="n">
        <v>8</v>
      </c>
      <c r="F216" s="22" t="n">
        <v>1.5</v>
      </c>
      <c r="G216" s="23" t="inlineStr">
        <is>
          <t>Non</t>
        </is>
      </c>
      <c r="H216" s="23" t="inlineStr">
        <is>
          <t>ON</t>
        </is>
      </c>
      <c r="I216" s="24" t="n">
        <v>856.3651513317755</v>
      </c>
      <c r="J216" s="24" t="n">
        <v>3449.488235315031</v>
      </c>
      <c r="K216" s="24" t="n">
        <v>2287.037037037037</v>
      </c>
      <c r="L216" s="24" t="n">
        <v>150</v>
      </c>
      <c r="M216" s="24">
        <f>I216+J216+K216+L216</f>
        <v/>
      </c>
      <c r="N216" s="24">
        <f>M216*Dashboard!$B$18/(Dashboard!$B$16/3.6)</f>
        <v/>
      </c>
      <c r="O216" s="24" t="n">
        <v>505.9980739712684</v>
      </c>
      <c r="P216" s="25" t="n">
        <v>0.04890503368373258</v>
      </c>
      <c r="Q216" s="26" t="n">
        <v>10.9900465694522</v>
      </c>
      <c r="R216" s="24" t="n">
        <v>2592.350247173845</v>
      </c>
      <c r="S216" s="24">
        <f>R216*IF(A216=4, 2.0, 3.0)</f>
        <v/>
      </c>
      <c r="T216" s="22">
        <f>8.0*U216</f>
        <v/>
      </c>
      <c r="U216" s="27">
        <f>MIN(1, S216/M216)</f>
        <v/>
      </c>
      <c r="V216" s="27">
        <f>N216/(N216+O216)</f>
        <v/>
      </c>
      <c r="W216" s="27">
        <f>U216*V216</f>
        <v/>
      </c>
      <c r="X216" s="25">
        <f>T216/N216</f>
        <v/>
      </c>
      <c r="Y216" s="28">
        <f>IF(X216=MAXIFS(X$2:X$721, A$2:A$721, A216, B$2:B$721, B216), "OPTIMAL", "")</f>
        <v/>
      </c>
    </row>
    <row r="217" ht="20" customHeight="1">
      <c r="A217" s="29" t="n">
        <v>4</v>
      </c>
      <c r="B217" s="29" t="n">
        <v>35</v>
      </c>
      <c r="C217" s="30" t="n">
        <v>120</v>
      </c>
      <c r="D217" s="30" t="n">
        <v>2</v>
      </c>
      <c r="E217" s="6" t="n">
        <v>8</v>
      </c>
      <c r="F217" s="30" t="n">
        <v>1.5</v>
      </c>
      <c r="G217" s="6" t="inlineStr">
        <is>
          <t>Non</t>
        </is>
      </c>
      <c r="H217" s="6" t="inlineStr">
        <is>
          <t>OFF</t>
        </is>
      </c>
      <c r="I217" s="31" t="n">
        <v>856.3651513317755</v>
      </c>
      <c r="J217" s="31" t="n">
        <v>3449.488235315031</v>
      </c>
      <c r="K217" s="31" t="n">
        <v>2287.037037037037</v>
      </c>
      <c r="L217" s="31" t="n">
        <v>150</v>
      </c>
      <c r="M217" s="31">
        <f>I217+J217+K217+L217</f>
        <v/>
      </c>
      <c r="N217" s="31">
        <f>M217*Dashboard!$B$18/(Dashboard!$B$16/3.6)</f>
        <v/>
      </c>
      <c r="O217" s="31" t="n">
        <v>505.9980739712684</v>
      </c>
      <c r="P217" s="32" t="n">
        <v>0.2142006510588401</v>
      </c>
      <c r="Q217" s="33" t="n">
        <v>10.9900465694522</v>
      </c>
      <c r="R217" s="31" t="n">
        <v>591.8701718756386</v>
      </c>
      <c r="S217" s="31">
        <f>R217*IF(A217=4, 2.0, 3.0)</f>
        <v/>
      </c>
      <c r="T217" s="30">
        <f>8.0*U217</f>
        <v/>
      </c>
      <c r="U217" s="34">
        <f>MIN(1, S217/M217)</f>
        <v/>
      </c>
      <c r="V217" s="34">
        <f>N217/(N217+O217)</f>
        <v/>
      </c>
      <c r="W217" s="34">
        <f>U217*V217</f>
        <v/>
      </c>
      <c r="X217" s="32">
        <f>T217/N217</f>
        <v/>
      </c>
      <c r="Y217" s="35">
        <f>IF(X217=MAXIFS(X$2:X$721, A$2:A$721, A217, B$2:B$721, B217), "OPTIMAL", "")</f>
        <v/>
      </c>
    </row>
    <row r="218" ht="20" customHeight="1">
      <c r="A218" s="21" t="n">
        <v>4</v>
      </c>
      <c r="B218" s="21" t="n">
        <v>35</v>
      </c>
      <c r="C218" s="22" t="n">
        <v>120</v>
      </c>
      <c r="D218" s="22" t="n">
        <v>2</v>
      </c>
      <c r="E218" s="23" t="n">
        <v>8</v>
      </c>
      <c r="F218" s="22" t="n">
        <v>2</v>
      </c>
      <c r="G218" s="23" t="inlineStr">
        <is>
          <t>Oui</t>
        </is>
      </c>
      <c r="H218" s="23" t="inlineStr">
        <is>
          <t>ON</t>
        </is>
      </c>
      <c r="I218" s="24" t="n">
        <v>856.3651513317755</v>
      </c>
      <c r="J218" s="24" t="n">
        <v>3449.488235315031</v>
      </c>
      <c r="K218" s="24" t="n">
        <v>2287.037037037037</v>
      </c>
      <c r="L218" s="24" t="n">
        <v>150</v>
      </c>
      <c r="M218" s="24">
        <f>I218+J218+K218+L218</f>
        <v/>
      </c>
      <c r="N218" s="24">
        <f>M218*Dashboard!$B$18/(Dashboard!$B$16/3.6)</f>
        <v/>
      </c>
      <c r="O218" s="24" t="n">
        <v>601.2134327024847</v>
      </c>
      <c r="P218" s="25" t="n">
        <v>0.04997260972227939</v>
      </c>
      <c r="Q218" s="26" t="n">
        <v>14.58672875926959</v>
      </c>
      <c r="R218" s="24" t="n">
        <v>2584.889647723352</v>
      </c>
      <c r="S218" s="24">
        <f>R218*IF(A218=4, 2.0, 3.0)</f>
        <v/>
      </c>
      <c r="T218" s="22">
        <f>8.0*U218</f>
        <v/>
      </c>
      <c r="U218" s="27">
        <f>MIN(1, S218/M218)</f>
        <v/>
      </c>
      <c r="V218" s="27">
        <f>N218/(N218+O218)</f>
        <v/>
      </c>
      <c r="W218" s="27">
        <f>U218*V218</f>
        <v/>
      </c>
      <c r="X218" s="25">
        <f>T218/N218</f>
        <v/>
      </c>
      <c r="Y218" s="28">
        <f>IF(X218=MAXIFS(X$2:X$721, A$2:A$721, A218, B$2:B$721, B218), "OPTIMAL", "")</f>
        <v/>
      </c>
    </row>
    <row r="219" ht="20" customHeight="1">
      <c r="A219" s="29" t="n">
        <v>4</v>
      </c>
      <c r="B219" s="29" t="n">
        <v>35</v>
      </c>
      <c r="C219" s="30" t="n">
        <v>120</v>
      </c>
      <c r="D219" s="30" t="n">
        <v>2</v>
      </c>
      <c r="E219" s="6" t="n">
        <v>8</v>
      </c>
      <c r="F219" s="30" t="n">
        <v>2</v>
      </c>
      <c r="G219" s="6" t="inlineStr">
        <is>
          <t>Oui</t>
        </is>
      </c>
      <c r="H219" s="6" t="inlineStr">
        <is>
          <t>OFF</t>
        </is>
      </c>
      <c r="I219" s="31" t="n">
        <v>856.3651513317755</v>
      </c>
      <c r="J219" s="31" t="n">
        <v>3449.488235315031</v>
      </c>
      <c r="K219" s="31" t="n">
        <v>2287.037037037037</v>
      </c>
      <c r="L219" s="31" t="n">
        <v>150</v>
      </c>
      <c r="M219" s="31">
        <f>I219+J219+K219+L219</f>
        <v/>
      </c>
      <c r="N219" s="31">
        <f>M219*Dashboard!$B$18/(Dashboard!$B$16/3.6)</f>
        <v/>
      </c>
      <c r="O219" s="31" t="n">
        <v>601.2134327024847</v>
      </c>
      <c r="P219" s="32" t="n">
        <v>0.2163666659525478</v>
      </c>
      <c r="Q219" s="33" t="n">
        <v>14.58672875926959</v>
      </c>
      <c r="R219" s="31" t="n">
        <v>597.0128576514134</v>
      </c>
      <c r="S219" s="31">
        <f>R219*IF(A219=4, 2.0, 3.0)</f>
        <v/>
      </c>
      <c r="T219" s="30">
        <f>8.0*U219</f>
        <v/>
      </c>
      <c r="U219" s="34">
        <f>MIN(1, S219/M219)</f>
        <v/>
      </c>
      <c r="V219" s="34">
        <f>N219/(N219+O219)</f>
        <v/>
      </c>
      <c r="W219" s="34">
        <f>U219*V219</f>
        <v/>
      </c>
      <c r="X219" s="32">
        <f>T219/N219</f>
        <v/>
      </c>
      <c r="Y219" s="35">
        <f>IF(X219=MAXIFS(X$2:X$721, A$2:A$721, A219, B$2:B$721, B219), "OPTIMAL", "")</f>
        <v/>
      </c>
    </row>
    <row r="220" ht="20" customHeight="1">
      <c r="A220" s="21" t="n">
        <v>4</v>
      </c>
      <c r="B220" s="21" t="n">
        <v>35</v>
      </c>
      <c r="C220" s="22" t="n">
        <v>120</v>
      </c>
      <c r="D220" s="22" t="n">
        <v>2</v>
      </c>
      <c r="E220" s="23" t="n">
        <v>8</v>
      </c>
      <c r="F220" s="22" t="n">
        <v>2</v>
      </c>
      <c r="G220" s="23" t="inlineStr">
        <is>
          <t>Non</t>
        </is>
      </c>
      <c r="H220" s="23" t="inlineStr">
        <is>
          <t>ON</t>
        </is>
      </c>
      <c r="I220" s="24" t="n">
        <v>856.3651513317755</v>
      </c>
      <c r="J220" s="24" t="n">
        <v>3449.488235315031</v>
      </c>
      <c r="K220" s="24" t="n">
        <v>2287.037037037037</v>
      </c>
      <c r="L220" s="24" t="n">
        <v>150</v>
      </c>
      <c r="M220" s="24">
        <f>I220+J220+K220+L220</f>
        <v/>
      </c>
      <c r="N220" s="24">
        <f>M220*Dashboard!$B$18/(Dashboard!$B$16/3.6)</f>
        <v/>
      </c>
      <c r="O220" s="24" t="n">
        <v>601.2134327024847</v>
      </c>
      <c r="P220" s="25" t="n">
        <v>0.04732002733741447</v>
      </c>
      <c r="Q220" s="26" t="n">
        <v>14.58672875926959</v>
      </c>
      <c r="R220" s="24" t="n">
        <v>2729.788819008263</v>
      </c>
      <c r="S220" s="24">
        <f>R220*IF(A220=4, 2.0, 3.0)</f>
        <v/>
      </c>
      <c r="T220" s="22">
        <f>8.0*U220</f>
        <v/>
      </c>
      <c r="U220" s="27">
        <f>MIN(1, S220/M220)</f>
        <v/>
      </c>
      <c r="V220" s="27">
        <f>N220/(N220+O220)</f>
        <v/>
      </c>
      <c r="W220" s="27">
        <f>U220*V220</f>
        <v/>
      </c>
      <c r="X220" s="25">
        <f>T220/N220</f>
        <v/>
      </c>
      <c r="Y220" s="28">
        <f>IF(X220=MAXIFS(X$2:X$721, A$2:A$721, A220, B$2:B$721, B220), "OPTIMAL", "")</f>
        <v/>
      </c>
    </row>
    <row r="221" ht="20" customHeight="1">
      <c r="A221" s="29" t="n">
        <v>4</v>
      </c>
      <c r="B221" s="29" t="n">
        <v>35</v>
      </c>
      <c r="C221" s="30" t="n">
        <v>120</v>
      </c>
      <c r="D221" s="30" t="n">
        <v>2</v>
      </c>
      <c r="E221" s="6" t="n">
        <v>8</v>
      </c>
      <c r="F221" s="30" t="n">
        <v>2</v>
      </c>
      <c r="G221" s="6" t="inlineStr">
        <is>
          <t>Non</t>
        </is>
      </c>
      <c r="H221" s="6" t="inlineStr">
        <is>
          <t>OFF</t>
        </is>
      </c>
      <c r="I221" s="31" t="n">
        <v>856.3651513317755</v>
      </c>
      <c r="J221" s="31" t="n">
        <v>3449.488235315031</v>
      </c>
      <c r="K221" s="31" t="n">
        <v>2287.037037037037</v>
      </c>
      <c r="L221" s="31" t="n">
        <v>150</v>
      </c>
      <c r="M221" s="31">
        <f>I221+J221+K221+L221</f>
        <v/>
      </c>
      <c r="N221" s="31">
        <f>M221*Dashboard!$B$18/(Dashboard!$B$16/3.6)</f>
        <v/>
      </c>
      <c r="O221" s="31" t="n">
        <v>601.2134327024847</v>
      </c>
      <c r="P221" s="32" t="n">
        <v>0.2137140835676829</v>
      </c>
      <c r="Q221" s="33" t="n">
        <v>14.58672875926959</v>
      </c>
      <c r="R221" s="31" t="n">
        <v>604.4228783824171</v>
      </c>
      <c r="S221" s="31">
        <f>R221*IF(A221=4, 2.0, 3.0)</f>
        <v/>
      </c>
      <c r="T221" s="30">
        <f>8.0*U221</f>
        <v/>
      </c>
      <c r="U221" s="34">
        <f>MIN(1, S221/M221)</f>
        <v/>
      </c>
      <c r="V221" s="34">
        <f>N221/(N221+O221)</f>
        <v/>
      </c>
      <c r="W221" s="34">
        <f>U221*V221</f>
        <v/>
      </c>
      <c r="X221" s="32">
        <f>T221/N221</f>
        <v/>
      </c>
      <c r="Y221" s="35">
        <f>IF(X221=MAXIFS(X$2:X$721, A$2:A$721, A221, B$2:B$721, B221), "OPTIMAL", "")</f>
        <v/>
      </c>
    </row>
    <row r="222" ht="20" customHeight="1">
      <c r="A222" s="21" t="n">
        <v>4</v>
      </c>
      <c r="B222" s="21" t="n">
        <v>35</v>
      </c>
      <c r="C222" s="22" t="n">
        <v>120</v>
      </c>
      <c r="D222" s="22" t="n">
        <v>3</v>
      </c>
      <c r="E222" s="23" t="n">
        <v>0</v>
      </c>
      <c r="F222" s="22" t="n">
        <v>0</v>
      </c>
      <c r="G222" s="23" t="inlineStr">
        <is>
          <t>Oui</t>
        </is>
      </c>
      <c r="H222" s="23" t="inlineStr">
        <is>
          <t>ON</t>
        </is>
      </c>
      <c r="I222" s="24" t="n">
        <v>856.3651513317755</v>
      </c>
      <c r="J222" s="24" t="n">
        <v>3449.488235315031</v>
      </c>
      <c r="K222" s="24" t="n">
        <v>2287.037037037037</v>
      </c>
      <c r="L222" s="24" t="n">
        <v>150</v>
      </c>
      <c r="M222" s="24">
        <f>I222+J222+K222+L222</f>
        <v/>
      </c>
      <c r="N222" s="24">
        <f>M222*Dashboard!$B$18/(Dashboard!$B$16/3.6)</f>
        <v/>
      </c>
      <c r="O222" s="24" t="n">
        <v>370.2272050129562</v>
      </c>
      <c r="P222" s="25" t="n">
        <v>0.4668943220842715</v>
      </c>
      <c r="Q222" s="26" t="n">
        <v>0.2</v>
      </c>
      <c r="R222" s="24" t="n">
        <v>266.3354539671267</v>
      </c>
      <c r="S222" s="24">
        <f>R222*IF(A222=4, 2.0, 3.0)</f>
        <v/>
      </c>
      <c r="T222" s="22">
        <f>8.0*U222</f>
        <v/>
      </c>
      <c r="U222" s="27">
        <f>MIN(1, S222/M222)</f>
        <v/>
      </c>
      <c r="V222" s="27">
        <f>N222/(N222+O222)</f>
        <v/>
      </c>
      <c r="W222" s="27">
        <f>U222*V222</f>
        <v/>
      </c>
      <c r="X222" s="25">
        <f>T222/N222</f>
        <v/>
      </c>
      <c r="Y222" s="28">
        <f>IF(X222=MAXIFS(X$2:X$721, A$2:A$721, A222, B$2:B$721, B222), "OPTIMAL", "")</f>
        <v/>
      </c>
    </row>
    <row r="223" ht="20" customHeight="1">
      <c r="A223" s="29" t="n">
        <v>4</v>
      </c>
      <c r="B223" s="29" t="n">
        <v>35</v>
      </c>
      <c r="C223" s="30" t="n">
        <v>120</v>
      </c>
      <c r="D223" s="30" t="n">
        <v>3</v>
      </c>
      <c r="E223" s="6" t="n">
        <v>0</v>
      </c>
      <c r="F223" s="30" t="n">
        <v>0</v>
      </c>
      <c r="G223" s="6" t="inlineStr">
        <is>
          <t>Oui</t>
        </is>
      </c>
      <c r="H223" s="6" t="inlineStr">
        <is>
          <t>OFF</t>
        </is>
      </c>
      <c r="I223" s="31" t="n">
        <v>856.3651513317755</v>
      </c>
      <c r="J223" s="31" t="n">
        <v>3449.488235315031</v>
      </c>
      <c r="K223" s="31" t="n">
        <v>2287.037037037037</v>
      </c>
      <c r="L223" s="31" t="n">
        <v>150</v>
      </c>
      <c r="M223" s="31">
        <f>I223+J223+K223+L223</f>
        <v/>
      </c>
      <c r="N223" s="31">
        <f>M223*Dashboard!$B$18/(Dashboard!$B$16/3.6)</f>
        <v/>
      </c>
      <c r="O223" s="31" t="n">
        <v>370.2272050129562</v>
      </c>
      <c r="P223" s="32" t="n">
        <v>0.7321525605707637</v>
      </c>
      <c r="Q223" s="33" t="n">
        <v>0.2</v>
      </c>
      <c r="R223" s="31" t="n">
        <v>169.842349701063</v>
      </c>
      <c r="S223" s="31">
        <f>R223*IF(A223=4, 2.0, 3.0)</f>
        <v/>
      </c>
      <c r="T223" s="30">
        <f>8.0*U223</f>
        <v/>
      </c>
      <c r="U223" s="34">
        <f>MIN(1, S223/M223)</f>
        <v/>
      </c>
      <c r="V223" s="34">
        <f>N223/(N223+O223)</f>
        <v/>
      </c>
      <c r="W223" s="34">
        <f>U223*V223</f>
        <v/>
      </c>
      <c r="X223" s="32">
        <f>T223/N223</f>
        <v/>
      </c>
      <c r="Y223" s="35">
        <f>IF(X223=MAXIFS(X$2:X$721, A$2:A$721, A223, B$2:B$721, B223), "OPTIMAL", "")</f>
        <v/>
      </c>
    </row>
    <row r="224" ht="20" customHeight="1">
      <c r="A224" s="21" t="n">
        <v>4</v>
      </c>
      <c r="B224" s="21" t="n">
        <v>35</v>
      </c>
      <c r="C224" s="22" t="n">
        <v>120</v>
      </c>
      <c r="D224" s="22" t="n">
        <v>3</v>
      </c>
      <c r="E224" s="23" t="n">
        <v>0</v>
      </c>
      <c r="F224" s="22" t="n">
        <v>0</v>
      </c>
      <c r="G224" s="23" t="inlineStr">
        <is>
          <t>Non</t>
        </is>
      </c>
      <c r="H224" s="23" t="inlineStr">
        <is>
          <t>ON</t>
        </is>
      </c>
      <c r="I224" s="24" t="n">
        <v>856.3651513317755</v>
      </c>
      <c r="J224" s="24" t="n">
        <v>3449.488235315031</v>
      </c>
      <c r="K224" s="24" t="n">
        <v>2287.037037037037</v>
      </c>
      <c r="L224" s="24" t="n">
        <v>150</v>
      </c>
      <c r="M224" s="24">
        <f>I224+J224+K224+L224</f>
        <v/>
      </c>
      <c r="N224" s="24">
        <f>M224*Dashboard!$B$18/(Dashboard!$B$16/3.6)</f>
        <v/>
      </c>
      <c r="O224" s="24" t="n">
        <v>370.2272050129562</v>
      </c>
      <c r="P224" s="25" t="n">
        <v>0.4642417396994065</v>
      </c>
      <c r="Q224" s="26" t="n">
        <v>0.2</v>
      </c>
      <c r="R224" s="24" t="n">
        <v>267.8572402979199</v>
      </c>
      <c r="S224" s="24">
        <f>R224*IF(A224=4, 2.0, 3.0)</f>
        <v/>
      </c>
      <c r="T224" s="22">
        <f>8.0*U224</f>
        <v/>
      </c>
      <c r="U224" s="27">
        <f>MIN(1, S224/M224)</f>
        <v/>
      </c>
      <c r="V224" s="27">
        <f>N224/(N224+O224)</f>
        <v/>
      </c>
      <c r="W224" s="27">
        <f>U224*V224</f>
        <v/>
      </c>
      <c r="X224" s="25">
        <f>T224/N224</f>
        <v/>
      </c>
      <c r="Y224" s="28">
        <f>IF(X224=MAXIFS(X$2:X$721, A$2:A$721, A224, B$2:B$721, B224), "OPTIMAL", "")</f>
        <v/>
      </c>
    </row>
    <row r="225" ht="20" customHeight="1">
      <c r="A225" s="29" t="n">
        <v>4</v>
      </c>
      <c r="B225" s="29" t="n">
        <v>35</v>
      </c>
      <c r="C225" s="30" t="n">
        <v>120</v>
      </c>
      <c r="D225" s="30" t="n">
        <v>3</v>
      </c>
      <c r="E225" s="6" t="n">
        <v>0</v>
      </c>
      <c r="F225" s="30" t="n">
        <v>0</v>
      </c>
      <c r="G225" s="6" t="inlineStr">
        <is>
          <t>Non</t>
        </is>
      </c>
      <c r="H225" s="6" t="inlineStr">
        <is>
          <t>OFF</t>
        </is>
      </c>
      <c r="I225" s="31" t="n">
        <v>856.3651513317755</v>
      </c>
      <c r="J225" s="31" t="n">
        <v>3449.488235315031</v>
      </c>
      <c r="K225" s="31" t="n">
        <v>2287.037037037037</v>
      </c>
      <c r="L225" s="31" t="n">
        <v>150</v>
      </c>
      <c r="M225" s="31">
        <f>I225+J225+K225+L225</f>
        <v/>
      </c>
      <c r="N225" s="31">
        <f>M225*Dashboard!$B$18/(Dashboard!$B$16/3.6)</f>
        <v/>
      </c>
      <c r="O225" s="31" t="n">
        <v>370.2272050129562</v>
      </c>
      <c r="P225" s="32" t="n">
        <v>0.7294999781858988</v>
      </c>
      <c r="Q225" s="33" t="n">
        <v>0.2</v>
      </c>
      <c r="R225" s="31" t="n">
        <v>170.4599245310739</v>
      </c>
      <c r="S225" s="31">
        <f>R225*IF(A225=4, 2.0, 3.0)</f>
        <v/>
      </c>
      <c r="T225" s="30">
        <f>8.0*U225</f>
        <v/>
      </c>
      <c r="U225" s="34">
        <f>MIN(1, S225/M225)</f>
        <v/>
      </c>
      <c r="V225" s="34">
        <f>N225/(N225+O225)</f>
        <v/>
      </c>
      <c r="W225" s="34">
        <f>U225*V225</f>
        <v/>
      </c>
      <c r="X225" s="32">
        <f>T225/N225</f>
        <v/>
      </c>
      <c r="Y225" s="35">
        <f>IF(X225=MAXIFS(X$2:X$721, A$2:A$721, A225, B$2:B$721, B225), "OPTIMAL", "")</f>
        <v/>
      </c>
    </row>
    <row r="226" ht="20" customHeight="1">
      <c r="A226" s="21" t="n">
        <v>4</v>
      </c>
      <c r="B226" s="21" t="n">
        <v>35</v>
      </c>
      <c r="C226" s="22" t="n">
        <v>120</v>
      </c>
      <c r="D226" s="22" t="n">
        <v>3</v>
      </c>
      <c r="E226" s="23" t="n">
        <v>4</v>
      </c>
      <c r="F226" s="22" t="n">
        <v>1.5</v>
      </c>
      <c r="G226" s="23" t="inlineStr">
        <is>
          <t>Oui</t>
        </is>
      </c>
      <c r="H226" s="23" t="inlineStr">
        <is>
          <t>ON</t>
        </is>
      </c>
      <c r="I226" s="24" t="n">
        <v>856.3651513317755</v>
      </c>
      <c r="J226" s="24" t="n">
        <v>3449.488235315031</v>
      </c>
      <c r="K226" s="24" t="n">
        <v>2287.037037037037</v>
      </c>
      <c r="L226" s="24" t="n">
        <v>150</v>
      </c>
      <c r="M226" s="24">
        <f>I226+J226+K226+L226</f>
        <v/>
      </c>
      <c r="N226" s="24">
        <f>M226*Dashboard!$B$18/(Dashboard!$B$16/3.6)</f>
        <v/>
      </c>
      <c r="O226" s="24" t="n">
        <v>505.8643033212093</v>
      </c>
      <c r="P226" s="25" t="n">
        <v>0.06783449726767998</v>
      </c>
      <c r="Q226" s="26" t="n">
        <v>5.689672816037082</v>
      </c>
      <c r="R226" s="24" t="n">
        <v>1883.636574690892</v>
      </c>
      <c r="S226" s="24">
        <f>R226*IF(A226=4, 2.0, 3.0)</f>
        <v/>
      </c>
      <c r="T226" s="22">
        <f>8.0*U226</f>
        <v/>
      </c>
      <c r="U226" s="27">
        <f>MIN(1, S226/M226)</f>
        <v/>
      </c>
      <c r="V226" s="27">
        <f>N226/(N226+O226)</f>
        <v/>
      </c>
      <c r="W226" s="27">
        <f>U226*V226</f>
        <v/>
      </c>
      <c r="X226" s="25">
        <f>T226/N226</f>
        <v/>
      </c>
      <c r="Y226" s="28">
        <f>IF(X226=MAXIFS(X$2:X$721, A$2:A$721, A226, B$2:B$721, B226), "OPTIMAL", "")</f>
        <v/>
      </c>
    </row>
    <row r="227" ht="20" customHeight="1">
      <c r="A227" s="29" t="n">
        <v>4</v>
      </c>
      <c r="B227" s="29" t="n">
        <v>35</v>
      </c>
      <c r="C227" s="30" t="n">
        <v>120</v>
      </c>
      <c r="D227" s="30" t="n">
        <v>3</v>
      </c>
      <c r="E227" s="6" t="n">
        <v>4</v>
      </c>
      <c r="F227" s="30" t="n">
        <v>1.5</v>
      </c>
      <c r="G227" s="6" t="inlineStr">
        <is>
          <t>Oui</t>
        </is>
      </c>
      <c r="H227" s="6" t="inlineStr">
        <is>
          <t>OFF</t>
        </is>
      </c>
      <c r="I227" s="31" t="n">
        <v>856.3651513317755</v>
      </c>
      <c r="J227" s="31" t="n">
        <v>3449.488235315031</v>
      </c>
      <c r="K227" s="31" t="n">
        <v>2287.037037037037</v>
      </c>
      <c r="L227" s="31" t="n">
        <v>150</v>
      </c>
      <c r="M227" s="31">
        <f>I227+J227+K227+L227</f>
        <v/>
      </c>
      <c r="N227" s="31">
        <f>M227*Dashboard!$B$18/(Dashboard!$B$16/3.6)</f>
        <v/>
      </c>
      <c r="O227" s="31" t="n">
        <v>505.8643033212093</v>
      </c>
      <c r="P227" s="32" t="n">
        <v>0.2715077102234196</v>
      </c>
      <c r="Q227" s="33" t="n">
        <v>5.689672816037082</v>
      </c>
      <c r="R227" s="31" t="n">
        <v>470.614775447912</v>
      </c>
      <c r="S227" s="31">
        <f>R227*IF(A227=4, 2.0, 3.0)</f>
        <v/>
      </c>
      <c r="T227" s="30">
        <f>8.0*U227</f>
        <v/>
      </c>
      <c r="U227" s="34">
        <f>MIN(1, S227/M227)</f>
        <v/>
      </c>
      <c r="V227" s="34">
        <f>N227/(N227+O227)</f>
        <v/>
      </c>
      <c r="W227" s="34">
        <f>U227*V227</f>
        <v/>
      </c>
      <c r="X227" s="32">
        <f>T227/N227</f>
        <v/>
      </c>
      <c r="Y227" s="35">
        <f>IF(X227=MAXIFS(X$2:X$721, A$2:A$721, A227, B$2:B$721, B227), "OPTIMAL", "")</f>
        <v/>
      </c>
    </row>
    <row r="228" ht="20" customHeight="1">
      <c r="A228" s="21" t="n">
        <v>4</v>
      </c>
      <c r="B228" s="21" t="n">
        <v>35</v>
      </c>
      <c r="C228" s="22" t="n">
        <v>120</v>
      </c>
      <c r="D228" s="22" t="n">
        <v>3</v>
      </c>
      <c r="E228" s="23" t="n">
        <v>4</v>
      </c>
      <c r="F228" s="22" t="n">
        <v>1.5</v>
      </c>
      <c r="G228" s="23" t="inlineStr">
        <is>
          <t>Non</t>
        </is>
      </c>
      <c r="H228" s="23" t="inlineStr">
        <is>
          <t>ON</t>
        </is>
      </c>
      <c r="I228" s="24" t="n">
        <v>856.3651513317755</v>
      </c>
      <c r="J228" s="24" t="n">
        <v>3449.488235315031</v>
      </c>
      <c r="K228" s="24" t="n">
        <v>2287.037037037037</v>
      </c>
      <c r="L228" s="24" t="n">
        <v>150</v>
      </c>
      <c r="M228" s="24">
        <f>I228+J228+K228+L228</f>
        <v/>
      </c>
      <c r="N228" s="24">
        <f>M228*Dashboard!$B$18/(Dashboard!$B$16/3.6)</f>
        <v/>
      </c>
      <c r="O228" s="24" t="n">
        <v>505.8643033212093</v>
      </c>
      <c r="P228" s="25" t="n">
        <v>0.06518191488281506</v>
      </c>
      <c r="Q228" s="26" t="n">
        <v>5.689672816037082</v>
      </c>
      <c r="R228" s="24" t="n">
        <v>1960.291291056545</v>
      </c>
      <c r="S228" s="24">
        <f>R228*IF(A228=4, 2.0, 3.0)</f>
        <v/>
      </c>
      <c r="T228" s="22">
        <f>8.0*U228</f>
        <v/>
      </c>
      <c r="U228" s="27">
        <f>MIN(1, S228/M228)</f>
        <v/>
      </c>
      <c r="V228" s="27">
        <f>N228/(N228+O228)</f>
        <v/>
      </c>
      <c r="W228" s="27">
        <f>U228*V228</f>
        <v/>
      </c>
      <c r="X228" s="25">
        <f>T228/N228</f>
        <v/>
      </c>
      <c r="Y228" s="28">
        <f>IF(X228=MAXIFS(X$2:X$721, A$2:A$721, A228, B$2:B$721, B228), "OPTIMAL", "")</f>
        <v/>
      </c>
    </row>
    <row r="229" ht="20" customHeight="1">
      <c r="A229" s="29" t="n">
        <v>4</v>
      </c>
      <c r="B229" s="29" t="n">
        <v>35</v>
      </c>
      <c r="C229" s="30" t="n">
        <v>120</v>
      </c>
      <c r="D229" s="30" t="n">
        <v>3</v>
      </c>
      <c r="E229" s="6" t="n">
        <v>4</v>
      </c>
      <c r="F229" s="30" t="n">
        <v>1.5</v>
      </c>
      <c r="G229" s="6" t="inlineStr">
        <is>
          <t>Non</t>
        </is>
      </c>
      <c r="H229" s="6" t="inlineStr">
        <is>
          <t>OFF</t>
        </is>
      </c>
      <c r="I229" s="31" t="n">
        <v>856.3651513317755</v>
      </c>
      <c r="J229" s="31" t="n">
        <v>3449.488235315031</v>
      </c>
      <c r="K229" s="31" t="n">
        <v>2287.037037037037</v>
      </c>
      <c r="L229" s="31" t="n">
        <v>150</v>
      </c>
      <c r="M229" s="31">
        <f>I229+J229+K229+L229</f>
        <v/>
      </c>
      <c r="N229" s="31">
        <f>M229*Dashboard!$B$18/(Dashboard!$B$16/3.6)</f>
        <v/>
      </c>
      <c r="O229" s="31" t="n">
        <v>505.8643033212093</v>
      </c>
      <c r="P229" s="32" t="n">
        <v>0.2688551278385546</v>
      </c>
      <c r="Q229" s="33" t="n">
        <v>5.689672816037082</v>
      </c>
      <c r="R229" s="31" t="n">
        <v>475.2579618116845</v>
      </c>
      <c r="S229" s="31">
        <f>R229*IF(A229=4, 2.0, 3.0)</f>
        <v/>
      </c>
      <c r="T229" s="30">
        <f>8.0*U229</f>
        <v/>
      </c>
      <c r="U229" s="34">
        <f>MIN(1, S229/M229)</f>
        <v/>
      </c>
      <c r="V229" s="34">
        <f>N229/(N229+O229)</f>
        <v/>
      </c>
      <c r="W229" s="34">
        <f>U229*V229</f>
        <v/>
      </c>
      <c r="X229" s="32">
        <f>T229/N229</f>
        <v/>
      </c>
      <c r="Y229" s="35">
        <f>IF(X229=MAXIFS(X$2:X$721, A$2:A$721, A229, B$2:B$721, B229), "OPTIMAL", "")</f>
        <v/>
      </c>
    </row>
    <row r="230" ht="20" customHeight="1">
      <c r="A230" s="21" t="n">
        <v>4</v>
      </c>
      <c r="B230" s="21" t="n">
        <v>35</v>
      </c>
      <c r="C230" s="22" t="n">
        <v>120</v>
      </c>
      <c r="D230" s="22" t="n">
        <v>3</v>
      </c>
      <c r="E230" s="23" t="n">
        <v>4</v>
      </c>
      <c r="F230" s="22" t="n">
        <v>2</v>
      </c>
      <c r="G230" s="23" t="inlineStr">
        <is>
          <t>Oui</t>
        </is>
      </c>
      <c r="H230" s="23" t="inlineStr">
        <is>
          <t>ON</t>
        </is>
      </c>
      <c r="I230" s="24" t="n">
        <v>856.3651513317755</v>
      </c>
      <c r="J230" s="24" t="n">
        <v>3449.488235315031</v>
      </c>
      <c r="K230" s="24" t="n">
        <v>2287.037037037037</v>
      </c>
      <c r="L230" s="24" t="n">
        <v>150</v>
      </c>
      <c r="M230" s="24">
        <f>I230+J230+K230+L230</f>
        <v/>
      </c>
      <c r="N230" s="24">
        <f>M230*Dashboard!$B$18/(Dashboard!$B$16/3.6)</f>
        <v/>
      </c>
      <c r="O230" s="24" t="n">
        <v>552.7524546434117</v>
      </c>
      <c r="P230" s="25" t="n">
        <v>0.06458187918791126</v>
      </c>
      <c r="Q230" s="26" t="n">
        <v>7.519563754716109</v>
      </c>
      <c r="R230" s="24" t="n">
        <v>1996.837718803765</v>
      </c>
      <c r="S230" s="24">
        <f>R230*IF(A230=4, 2.0, 3.0)</f>
        <v/>
      </c>
      <c r="T230" s="22">
        <f>8.0*U230</f>
        <v/>
      </c>
      <c r="U230" s="27">
        <f>MIN(1, S230/M230)</f>
        <v/>
      </c>
      <c r="V230" s="27">
        <f>N230/(N230+O230)</f>
        <v/>
      </c>
      <c r="W230" s="27">
        <f>U230*V230</f>
        <v/>
      </c>
      <c r="X230" s="25">
        <f>T230/N230</f>
        <v/>
      </c>
      <c r="Y230" s="28">
        <f>IF(X230=MAXIFS(X$2:X$721, A$2:A$721, A230, B$2:B$721, B230), "OPTIMAL", "")</f>
        <v/>
      </c>
    </row>
    <row r="231" ht="20" customHeight="1">
      <c r="A231" s="29" t="n">
        <v>4</v>
      </c>
      <c r="B231" s="29" t="n">
        <v>35</v>
      </c>
      <c r="C231" s="30" t="n">
        <v>120</v>
      </c>
      <c r="D231" s="30" t="n">
        <v>3</v>
      </c>
      <c r="E231" s="6" t="n">
        <v>4</v>
      </c>
      <c r="F231" s="30" t="n">
        <v>2</v>
      </c>
      <c r="G231" s="6" t="inlineStr">
        <is>
          <t>Oui</t>
        </is>
      </c>
      <c r="H231" s="6" t="inlineStr">
        <is>
          <t>OFF</t>
        </is>
      </c>
      <c r="I231" s="31" t="n">
        <v>856.3651513317755</v>
      </c>
      <c r="J231" s="31" t="n">
        <v>3449.488235315031</v>
      </c>
      <c r="K231" s="31" t="n">
        <v>2287.037037037037</v>
      </c>
      <c r="L231" s="31" t="n">
        <v>150</v>
      </c>
      <c r="M231" s="31">
        <f>I231+J231+K231+L231</f>
        <v/>
      </c>
      <c r="N231" s="31">
        <f>M231*Dashboard!$B$18/(Dashboard!$B$16/3.6)</f>
        <v/>
      </c>
      <c r="O231" s="31" t="n">
        <v>552.7524546434117</v>
      </c>
      <c r="P231" s="32" t="n">
        <v>0.2690865884190716</v>
      </c>
      <c r="Q231" s="33" t="n">
        <v>7.519563754716109</v>
      </c>
      <c r="R231" s="31" t="n">
        <v>479.2492003087473</v>
      </c>
      <c r="S231" s="31">
        <f>R231*IF(A231=4, 2.0, 3.0)</f>
        <v/>
      </c>
      <c r="T231" s="30">
        <f>8.0*U231</f>
        <v/>
      </c>
      <c r="U231" s="34">
        <f>MIN(1, S231/M231)</f>
        <v/>
      </c>
      <c r="V231" s="34">
        <f>N231/(N231+O231)</f>
        <v/>
      </c>
      <c r="W231" s="34">
        <f>U231*V231</f>
        <v/>
      </c>
      <c r="X231" s="32">
        <f>T231/N231</f>
        <v/>
      </c>
      <c r="Y231" s="35">
        <f>IF(X231=MAXIFS(X$2:X$721, A$2:A$721, A231, B$2:B$721, B231), "OPTIMAL", "")</f>
        <v/>
      </c>
    </row>
    <row r="232" ht="20" customHeight="1">
      <c r="A232" s="21" t="n">
        <v>4</v>
      </c>
      <c r="B232" s="21" t="n">
        <v>35</v>
      </c>
      <c r="C232" s="22" t="n">
        <v>120</v>
      </c>
      <c r="D232" s="22" t="n">
        <v>3</v>
      </c>
      <c r="E232" s="23" t="n">
        <v>4</v>
      </c>
      <c r="F232" s="22" t="n">
        <v>2</v>
      </c>
      <c r="G232" s="23" t="inlineStr">
        <is>
          <t>Non</t>
        </is>
      </c>
      <c r="H232" s="23" t="inlineStr">
        <is>
          <t>ON</t>
        </is>
      </c>
      <c r="I232" s="24" t="n">
        <v>856.3651513317755</v>
      </c>
      <c r="J232" s="24" t="n">
        <v>3449.488235315031</v>
      </c>
      <c r="K232" s="24" t="n">
        <v>2287.037037037037</v>
      </c>
      <c r="L232" s="24" t="n">
        <v>150</v>
      </c>
      <c r="M232" s="24">
        <f>I232+J232+K232+L232</f>
        <v/>
      </c>
      <c r="N232" s="24">
        <f>M232*Dashboard!$B$18/(Dashboard!$B$16/3.6)</f>
        <v/>
      </c>
      <c r="O232" s="24" t="n">
        <v>552.7524546434117</v>
      </c>
      <c r="P232" s="25" t="n">
        <v>0.06192929680304634</v>
      </c>
      <c r="Q232" s="26" t="n">
        <v>7.519563754716109</v>
      </c>
      <c r="R232" s="24" t="n">
        <v>2082.367134310905</v>
      </c>
      <c r="S232" s="24">
        <f>R232*IF(A232=4, 2.0, 3.0)</f>
        <v/>
      </c>
      <c r="T232" s="22">
        <f>8.0*U232</f>
        <v/>
      </c>
      <c r="U232" s="27">
        <f>MIN(1, S232/M232)</f>
        <v/>
      </c>
      <c r="V232" s="27">
        <f>N232/(N232+O232)</f>
        <v/>
      </c>
      <c r="W232" s="27">
        <f>U232*V232</f>
        <v/>
      </c>
      <c r="X232" s="25">
        <f>T232/N232</f>
        <v/>
      </c>
      <c r="Y232" s="28">
        <f>IF(X232=MAXIFS(X$2:X$721, A$2:A$721, A232, B$2:B$721, B232), "OPTIMAL", "")</f>
        <v/>
      </c>
    </row>
    <row r="233" ht="20" customHeight="1">
      <c r="A233" s="29" t="n">
        <v>4</v>
      </c>
      <c r="B233" s="29" t="n">
        <v>35</v>
      </c>
      <c r="C233" s="30" t="n">
        <v>120</v>
      </c>
      <c r="D233" s="30" t="n">
        <v>3</v>
      </c>
      <c r="E233" s="6" t="n">
        <v>4</v>
      </c>
      <c r="F233" s="30" t="n">
        <v>2</v>
      </c>
      <c r="G233" s="6" t="inlineStr">
        <is>
          <t>Non</t>
        </is>
      </c>
      <c r="H233" s="6" t="inlineStr">
        <is>
          <t>OFF</t>
        </is>
      </c>
      <c r="I233" s="31" t="n">
        <v>856.3651513317755</v>
      </c>
      <c r="J233" s="31" t="n">
        <v>3449.488235315031</v>
      </c>
      <c r="K233" s="31" t="n">
        <v>2287.037037037037</v>
      </c>
      <c r="L233" s="31" t="n">
        <v>150</v>
      </c>
      <c r="M233" s="31">
        <f>I233+J233+K233+L233</f>
        <v/>
      </c>
      <c r="N233" s="31">
        <f>M233*Dashboard!$B$18/(Dashboard!$B$16/3.6)</f>
        <v/>
      </c>
      <c r="O233" s="31" t="n">
        <v>552.7524546434117</v>
      </c>
      <c r="P233" s="32" t="n">
        <v>0.2664340060342067</v>
      </c>
      <c r="Q233" s="33" t="n">
        <v>7.519563754716109</v>
      </c>
      <c r="R233" s="31" t="n">
        <v>484.0205431475304</v>
      </c>
      <c r="S233" s="31">
        <f>R233*IF(A233=4, 2.0, 3.0)</f>
        <v/>
      </c>
      <c r="T233" s="30">
        <f>8.0*U233</f>
        <v/>
      </c>
      <c r="U233" s="34">
        <f>MIN(1, S233/M233)</f>
        <v/>
      </c>
      <c r="V233" s="34">
        <f>N233/(N233+O233)</f>
        <v/>
      </c>
      <c r="W233" s="34">
        <f>U233*V233</f>
        <v/>
      </c>
      <c r="X233" s="32">
        <f>T233/N233</f>
        <v/>
      </c>
      <c r="Y233" s="35">
        <f>IF(X233=MAXIFS(X$2:X$721, A$2:A$721, A233, B$2:B$721, B233), "OPTIMAL", "")</f>
        <v/>
      </c>
    </row>
    <row r="234" ht="20" customHeight="1">
      <c r="A234" s="21" t="n">
        <v>4</v>
      </c>
      <c r="B234" s="21" t="n">
        <v>35</v>
      </c>
      <c r="C234" s="22" t="n">
        <v>120</v>
      </c>
      <c r="D234" s="22" t="n">
        <v>3</v>
      </c>
      <c r="E234" s="23" t="n">
        <v>8</v>
      </c>
      <c r="F234" s="22" t="n">
        <v>1.5</v>
      </c>
      <c r="G234" s="23" t="inlineStr">
        <is>
          <t>Oui</t>
        </is>
      </c>
      <c r="H234" s="23" t="inlineStr">
        <is>
          <t>ON</t>
        </is>
      </c>
      <c r="I234" s="24" t="n">
        <v>856.3651513317755</v>
      </c>
      <c r="J234" s="24" t="n">
        <v>3449.488235315031</v>
      </c>
      <c r="K234" s="24" t="n">
        <v>2287.037037037037</v>
      </c>
      <c r="L234" s="24" t="n">
        <v>150</v>
      </c>
      <c r="M234" s="24">
        <f>I234+J234+K234+L234</f>
        <v/>
      </c>
      <c r="N234" s="24">
        <f>M234*Dashboard!$B$18/(Dashboard!$B$16/3.6)</f>
        <v/>
      </c>
      <c r="O234" s="24" t="n">
        <v>649.1848272566971</v>
      </c>
      <c r="P234" s="25" t="n">
        <v>0.05144850932496671</v>
      </c>
      <c r="Q234" s="26" t="n">
        <v>11.17934563207417</v>
      </c>
      <c r="R234" s="24" t="n">
        <v>2553.904632717562</v>
      </c>
      <c r="S234" s="24">
        <f>R234*IF(A234=4, 2.0, 3.0)</f>
        <v/>
      </c>
      <c r="T234" s="22">
        <f>8.0*U234</f>
        <v/>
      </c>
      <c r="U234" s="27">
        <f>MIN(1, S234/M234)</f>
        <v/>
      </c>
      <c r="V234" s="27">
        <f>N234/(N234+O234)</f>
        <v/>
      </c>
      <c r="W234" s="27">
        <f>U234*V234</f>
        <v/>
      </c>
      <c r="X234" s="25">
        <f>T234/N234</f>
        <v/>
      </c>
      <c r="Y234" s="28">
        <f>IF(X234=MAXIFS(X$2:X$721, A$2:A$721, A234, B$2:B$721, B234), "OPTIMAL", "")</f>
        <v/>
      </c>
    </row>
    <row r="235" ht="20" customHeight="1">
      <c r="A235" s="29" t="n">
        <v>4</v>
      </c>
      <c r="B235" s="29" t="n">
        <v>35</v>
      </c>
      <c r="C235" s="30" t="n">
        <v>120</v>
      </c>
      <c r="D235" s="30" t="n">
        <v>3</v>
      </c>
      <c r="E235" s="6" t="n">
        <v>8</v>
      </c>
      <c r="F235" s="30" t="n">
        <v>1.5</v>
      </c>
      <c r="G235" s="6" t="inlineStr">
        <is>
          <t>Oui</t>
        </is>
      </c>
      <c r="H235" s="6" t="inlineStr">
        <is>
          <t>OFF</t>
        </is>
      </c>
      <c r="I235" s="31" t="n">
        <v>856.3651513317755</v>
      </c>
      <c r="J235" s="31" t="n">
        <v>3449.488235315031</v>
      </c>
      <c r="K235" s="31" t="n">
        <v>2287.037037037037</v>
      </c>
      <c r="L235" s="31" t="n">
        <v>150</v>
      </c>
      <c r="M235" s="31">
        <f>I235+J235+K235+L235</f>
        <v/>
      </c>
      <c r="N235" s="31">
        <f>M235*Dashboard!$B$18/(Dashboard!$B$16/3.6)</f>
        <v/>
      </c>
      <c r="O235" s="31" t="n">
        <v>649.1848272566971</v>
      </c>
      <c r="P235" s="32" t="n">
        <v>0.2167441267000743</v>
      </c>
      <c r="Q235" s="33" t="n">
        <v>11.17934563207417</v>
      </c>
      <c r="R235" s="31" t="n">
        <v>606.2198238629371</v>
      </c>
      <c r="S235" s="31">
        <f>R235*IF(A235=4, 2.0, 3.0)</f>
        <v/>
      </c>
      <c r="T235" s="30">
        <f>8.0*U235</f>
        <v/>
      </c>
      <c r="U235" s="34">
        <f>MIN(1, S235/M235)</f>
        <v/>
      </c>
      <c r="V235" s="34">
        <f>N235/(N235+O235)</f>
        <v/>
      </c>
      <c r="W235" s="34">
        <f>U235*V235</f>
        <v/>
      </c>
      <c r="X235" s="32">
        <f>T235/N235</f>
        <v/>
      </c>
      <c r="Y235" s="35">
        <f>IF(X235=MAXIFS(X$2:X$721, A$2:A$721, A235, B$2:B$721, B235), "OPTIMAL", "")</f>
        <v/>
      </c>
    </row>
    <row r="236" ht="20" customHeight="1">
      <c r="A236" s="21" t="n">
        <v>4</v>
      </c>
      <c r="B236" s="21" t="n">
        <v>35</v>
      </c>
      <c r="C236" s="22" t="n">
        <v>120</v>
      </c>
      <c r="D236" s="22" t="n">
        <v>3</v>
      </c>
      <c r="E236" s="23" t="n">
        <v>8</v>
      </c>
      <c r="F236" s="22" t="n">
        <v>1.5</v>
      </c>
      <c r="G236" s="23" t="inlineStr">
        <is>
          <t>Non</t>
        </is>
      </c>
      <c r="H236" s="23" t="inlineStr">
        <is>
          <t>ON</t>
        </is>
      </c>
      <c r="I236" s="24" t="n">
        <v>856.3651513317755</v>
      </c>
      <c r="J236" s="24" t="n">
        <v>3449.488235315031</v>
      </c>
      <c r="K236" s="24" t="n">
        <v>2287.037037037037</v>
      </c>
      <c r="L236" s="24" t="n">
        <v>150</v>
      </c>
      <c r="M236" s="24">
        <f>I236+J236+K236+L236</f>
        <v/>
      </c>
      <c r="N236" s="24">
        <f>M236*Dashboard!$B$18/(Dashboard!$B$16/3.6)</f>
        <v/>
      </c>
      <c r="O236" s="24" t="n">
        <v>649.1848272566971</v>
      </c>
      <c r="P236" s="25" t="n">
        <v>0.04879592694010178</v>
      </c>
      <c r="Q236" s="26" t="n">
        <v>11.17934563207417</v>
      </c>
      <c r="R236" s="24" t="n">
        <v>2692.736762081296</v>
      </c>
      <c r="S236" s="24">
        <f>R236*IF(A236=4, 2.0, 3.0)</f>
        <v/>
      </c>
      <c r="T236" s="22">
        <f>8.0*U236</f>
        <v/>
      </c>
      <c r="U236" s="27">
        <f>MIN(1, S236/M236)</f>
        <v/>
      </c>
      <c r="V236" s="27">
        <f>N236/(N236+O236)</f>
        <v/>
      </c>
      <c r="W236" s="27">
        <f>U236*V236</f>
        <v/>
      </c>
      <c r="X236" s="25">
        <f>T236/N236</f>
        <v/>
      </c>
      <c r="Y236" s="28">
        <f>IF(X236=MAXIFS(X$2:X$721, A$2:A$721, A236, B$2:B$721, B236), "OPTIMAL", "")</f>
        <v/>
      </c>
    </row>
    <row r="237" ht="20" customHeight="1">
      <c r="A237" s="29" t="n">
        <v>4</v>
      </c>
      <c r="B237" s="29" t="n">
        <v>35</v>
      </c>
      <c r="C237" s="30" t="n">
        <v>120</v>
      </c>
      <c r="D237" s="30" t="n">
        <v>3</v>
      </c>
      <c r="E237" s="6" t="n">
        <v>8</v>
      </c>
      <c r="F237" s="30" t="n">
        <v>1.5</v>
      </c>
      <c r="G237" s="6" t="inlineStr">
        <is>
          <t>Non</t>
        </is>
      </c>
      <c r="H237" s="6" t="inlineStr">
        <is>
          <t>OFF</t>
        </is>
      </c>
      <c r="I237" s="31" t="n">
        <v>856.3651513317755</v>
      </c>
      <c r="J237" s="31" t="n">
        <v>3449.488235315031</v>
      </c>
      <c r="K237" s="31" t="n">
        <v>2287.037037037037</v>
      </c>
      <c r="L237" s="31" t="n">
        <v>150</v>
      </c>
      <c r="M237" s="31">
        <f>I237+J237+K237+L237</f>
        <v/>
      </c>
      <c r="N237" s="31">
        <f>M237*Dashboard!$B$18/(Dashboard!$B$16/3.6)</f>
        <v/>
      </c>
      <c r="O237" s="31" t="n">
        <v>649.1848272566971</v>
      </c>
      <c r="P237" s="32" t="n">
        <v>0.2140915443152093</v>
      </c>
      <c r="Q237" s="33" t="n">
        <v>11.17934563207417</v>
      </c>
      <c r="R237" s="31" t="n">
        <v>613.730853928502</v>
      </c>
      <c r="S237" s="31">
        <f>R237*IF(A237=4, 2.0, 3.0)</f>
        <v/>
      </c>
      <c r="T237" s="30">
        <f>8.0*U237</f>
        <v/>
      </c>
      <c r="U237" s="34">
        <f>MIN(1, S237/M237)</f>
        <v/>
      </c>
      <c r="V237" s="34">
        <f>N237/(N237+O237)</f>
        <v/>
      </c>
      <c r="W237" s="34">
        <f>U237*V237</f>
        <v/>
      </c>
      <c r="X237" s="32">
        <f>T237/N237</f>
        <v/>
      </c>
      <c r="Y237" s="35">
        <f>IF(X237=MAXIFS(X$2:X$721, A$2:A$721, A237, B$2:B$721, B237), "OPTIMAL", "")</f>
        <v/>
      </c>
    </row>
    <row r="238" ht="20" customHeight="1">
      <c r="A238" s="21" t="n">
        <v>4</v>
      </c>
      <c r="B238" s="21" t="n">
        <v>35</v>
      </c>
      <c r="C238" s="22" t="n">
        <v>120</v>
      </c>
      <c r="D238" s="22" t="n">
        <v>3</v>
      </c>
      <c r="E238" s="23" t="n">
        <v>8</v>
      </c>
      <c r="F238" s="22" t="n">
        <v>2</v>
      </c>
      <c r="G238" s="23" t="inlineStr">
        <is>
          <t>Oui</t>
        </is>
      </c>
      <c r="H238" s="23" t="inlineStr">
        <is>
          <t>ON</t>
        </is>
      </c>
      <c r="I238" s="24" t="n">
        <v>856.3651513317755</v>
      </c>
      <c r="J238" s="24" t="n">
        <v>3449.488235315031</v>
      </c>
      <c r="K238" s="24" t="n">
        <v>2287.037037037037</v>
      </c>
      <c r="L238" s="24" t="n">
        <v>150</v>
      </c>
      <c r="M238" s="24">
        <f>I238+J238+K238+L238</f>
        <v/>
      </c>
      <c r="N238" s="24">
        <f>M238*Dashboard!$B$18/(Dashboard!$B$16/3.6)</f>
        <v/>
      </c>
      <c r="O238" s="24" t="n">
        <v>749.3290197102942</v>
      </c>
      <c r="P238" s="25" t="n">
        <v>0.04989331996011</v>
      </c>
      <c r="Q238" s="26" t="n">
        <v>14.83912750943222</v>
      </c>
      <c r="R238" s="24" t="n">
        <v>2684.194379624354</v>
      </c>
      <c r="S238" s="24">
        <f>R238*IF(A238=4, 2.0, 3.0)</f>
        <v/>
      </c>
      <c r="T238" s="22">
        <f>8.0*U238</f>
        <v/>
      </c>
      <c r="U238" s="27">
        <f>MIN(1, S238/M238)</f>
        <v/>
      </c>
      <c r="V238" s="27">
        <f>N238/(N238+O238)</f>
        <v/>
      </c>
      <c r="W238" s="27">
        <f>U238*V238</f>
        <v/>
      </c>
      <c r="X238" s="25">
        <f>T238/N238</f>
        <v/>
      </c>
      <c r="Y238" s="28">
        <f>IF(X238=MAXIFS(X$2:X$721, A$2:A$721, A238, B$2:B$721, B238), "OPTIMAL", "")</f>
        <v/>
      </c>
    </row>
    <row r="239" ht="20" customHeight="1">
      <c r="A239" s="29" t="n">
        <v>4</v>
      </c>
      <c r="B239" s="29" t="n">
        <v>35</v>
      </c>
      <c r="C239" s="30" t="n">
        <v>120</v>
      </c>
      <c r="D239" s="30" t="n">
        <v>3</v>
      </c>
      <c r="E239" s="6" t="n">
        <v>8</v>
      </c>
      <c r="F239" s="30" t="n">
        <v>2</v>
      </c>
      <c r="G239" s="6" t="inlineStr">
        <is>
          <t>Oui</t>
        </is>
      </c>
      <c r="H239" s="6" t="inlineStr">
        <is>
          <t>OFF</t>
        </is>
      </c>
      <c r="I239" s="31" t="n">
        <v>856.3651513317755</v>
      </c>
      <c r="J239" s="31" t="n">
        <v>3449.488235315031</v>
      </c>
      <c r="K239" s="31" t="n">
        <v>2287.037037037037</v>
      </c>
      <c r="L239" s="31" t="n">
        <v>150</v>
      </c>
      <c r="M239" s="31">
        <f>I239+J239+K239+L239</f>
        <v/>
      </c>
      <c r="N239" s="31">
        <f>M239*Dashboard!$B$18/(Dashboard!$B$16/3.6)</f>
        <v/>
      </c>
      <c r="O239" s="31" t="n">
        <v>749.3290197102942</v>
      </c>
      <c r="P239" s="32" t="n">
        <v>0.2162873761903785</v>
      </c>
      <c r="Q239" s="33" t="n">
        <v>14.83912750943222</v>
      </c>
      <c r="R239" s="31" t="n">
        <v>619.1917964728837</v>
      </c>
      <c r="S239" s="31">
        <f>R239*IF(A239=4, 2.0, 3.0)</f>
        <v/>
      </c>
      <c r="T239" s="30">
        <f>8.0*U239</f>
        <v/>
      </c>
      <c r="U239" s="34">
        <f>MIN(1, S239/M239)</f>
        <v/>
      </c>
      <c r="V239" s="34">
        <f>N239/(N239+O239)</f>
        <v/>
      </c>
      <c r="W239" s="34">
        <f>U239*V239</f>
        <v/>
      </c>
      <c r="X239" s="32">
        <f>T239/N239</f>
        <v/>
      </c>
      <c r="Y239" s="35">
        <f>IF(X239=MAXIFS(X$2:X$721, A$2:A$721, A239, B$2:B$721, B239), "OPTIMAL", "")</f>
        <v/>
      </c>
    </row>
    <row r="240" ht="20" customHeight="1">
      <c r="A240" s="21" t="n">
        <v>4</v>
      </c>
      <c r="B240" s="21" t="n">
        <v>35</v>
      </c>
      <c r="C240" s="22" t="n">
        <v>120</v>
      </c>
      <c r="D240" s="22" t="n">
        <v>3</v>
      </c>
      <c r="E240" s="23" t="n">
        <v>8</v>
      </c>
      <c r="F240" s="22" t="n">
        <v>2</v>
      </c>
      <c r="G240" s="23" t="inlineStr">
        <is>
          <t>Non</t>
        </is>
      </c>
      <c r="H240" s="23" t="inlineStr">
        <is>
          <t>ON</t>
        </is>
      </c>
      <c r="I240" s="24" t="n">
        <v>856.3651513317755</v>
      </c>
      <c r="J240" s="24" t="n">
        <v>3449.488235315031</v>
      </c>
      <c r="K240" s="24" t="n">
        <v>2287.037037037037</v>
      </c>
      <c r="L240" s="24" t="n">
        <v>150</v>
      </c>
      <c r="M240" s="24">
        <f>I240+J240+K240+L240</f>
        <v/>
      </c>
      <c r="N240" s="24">
        <f>M240*Dashboard!$B$18/(Dashboard!$B$16/3.6)</f>
        <v/>
      </c>
      <c r="O240" s="24" t="n">
        <v>749.3290197102942</v>
      </c>
      <c r="P240" s="25" t="n">
        <v>0.04724073757524508</v>
      </c>
      <c r="Q240" s="26" t="n">
        <v>14.83912750943222</v>
      </c>
      <c r="R240" s="24" t="n">
        <v>2834.912744628799</v>
      </c>
      <c r="S240" s="24">
        <f>R240*IF(A240=4, 2.0, 3.0)</f>
        <v/>
      </c>
      <c r="T240" s="22">
        <f>8.0*U240</f>
        <v/>
      </c>
      <c r="U240" s="27">
        <f>MIN(1, S240/M240)</f>
        <v/>
      </c>
      <c r="V240" s="27">
        <f>N240/(N240+O240)</f>
        <v/>
      </c>
      <c r="W240" s="27">
        <f>U240*V240</f>
        <v/>
      </c>
      <c r="X240" s="25">
        <f>T240/N240</f>
        <v/>
      </c>
      <c r="Y240" s="28">
        <f>IF(X240=MAXIFS(X$2:X$721, A$2:A$721, A240, B$2:B$721, B240), "OPTIMAL", "")</f>
        <v/>
      </c>
    </row>
    <row r="241" ht="20" customHeight="1">
      <c r="A241" s="29" t="n">
        <v>4</v>
      </c>
      <c r="B241" s="29" t="n">
        <v>35</v>
      </c>
      <c r="C241" s="30" t="n">
        <v>120</v>
      </c>
      <c r="D241" s="30" t="n">
        <v>3</v>
      </c>
      <c r="E241" s="6" t="n">
        <v>8</v>
      </c>
      <c r="F241" s="30" t="n">
        <v>2</v>
      </c>
      <c r="G241" s="6" t="inlineStr">
        <is>
          <t>Non</t>
        </is>
      </c>
      <c r="H241" s="6" t="inlineStr">
        <is>
          <t>OFF</t>
        </is>
      </c>
      <c r="I241" s="31" t="n">
        <v>856.3651513317755</v>
      </c>
      <c r="J241" s="31" t="n">
        <v>3449.488235315031</v>
      </c>
      <c r="K241" s="31" t="n">
        <v>2287.037037037037</v>
      </c>
      <c r="L241" s="31" t="n">
        <v>150</v>
      </c>
      <c r="M241" s="31">
        <f>I241+J241+K241+L241</f>
        <v/>
      </c>
      <c r="N241" s="31">
        <f>M241*Dashboard!$B$18/(Dashboard!$B$16/3.6)</f>
        <v/>
      </c>
      <c r="O241" s="31" t="n">
        <v>749.3290197102942</v>
      </c>
      <c r="P241" s="32" t="n">
        <v>0.2136347938055135</v>
      </c>
      <c r="Q241" s="33" t="n">
        <v>14.83912750943222</v>
      </c>
      <c r="R241" s="31" t="n">
        <v>626.8799507426984</v>
      </c>
      <c r="S241" s="31">
        <f>R241*IF(A241=4, 2.0, 3.0)</f>
        <v/>
      </c>
      <c r="T241" s="30">
        <f>8.0*U241</f>
        <v/>
      </c>
      <c r="U241" s="34">
        <f>MIN(1, S241/M241)</f>
        <v/>
      </c>
      <c r="V241" s="34">
        <f>N241/(N241+O241)</f>
        <v/>
      </c>
      <c r="W241" s="34">
        <f>U241*V241</f>
        <v/>
      </c>
      <c r="X241" s="32">
        <f>T241/N241</f>
        <v/>
      </c>
      <c r="Y241" s="35">
        <f>IF(X241=MAXIFS(X$2:X$721, A$2:A$721, A241, B$2:B$721, B241), "OPTIMAL", "")</f>
        <v/>
      </c>
    </row>
    <row r="242" ht="20" customHeight="1">
      <c r="A242" s="21" t="n">
        <v>4</v>
      </c>
      <c r="B242" s="21" t="n">
        <v>45</v>
      </c>
      <c r="C242" s="22" t="n">
        <v>80</v>
      </c>
      <c r="D242" s="22" t="n">
        <v>2</v>
      </c>
      <c r="E242" s="23" t="n">
        <v>0</v>
      </c>
      <c r="F242" s="22" t="n">
        <v>0</v>
      </c>
      <c r="G242" s="23" t="inlineStr">
        <is>
          <t>Oui</t>
        </is>
      </c>
      <c r="H242" s="23" t="inlineStr">
        <is>
          <t>ON</t>
        </is>
      </c>
      <c r="I242" s="24" t="n">
        <v>1132.611974342026</v>
      </c>
      <c r="J242" s="24" t="n">
        <v>6657.967474874614</v>
      </c>
      <c r="K242" s="24" t="n">
        <v>3166.666666666667</v>
      </c>
      <c r="L242" s="24" t="n">
        <v>150</v>
      </c>
      <c r="M242" s="24">
        <f>I242+J242+K242+L242</f>
        <v/>
      </c>
      <c r="N242" s="24">
        <f>M242*Dashboard!$B$18/(Dashboard!$B$16/3.6)</f>
        <v/>
      </c>
      <c r="O242" s="24" t="n">
        <v>609.8578541971716</v>
      </c>
      <c r="P242" s="25" t="n">
        <v>0.5013778930875155</v>
      </c>
      <c r="Q242" s="26" t="n">
        <v>0.2</v>
      </c>
      <c r="R242" s="24" t="n">
        <v>919.232149625027</v>
      </c>
      <c r="S242" s="24">
        <f>R242*IF(A242=4, 2.0, 3.0)</f>
        <v/>
      </c>
      <c r="T242" s="22">
        <f>8.0*U242</f>
        <v/>
      </c>
      <c r="U242" s="27">
        <f>MIN(1, S242/M242)</f>
        <v/>
      </c>
      <c r="V242" s="27">
        <f>N242/(N242+O242)</f>
        <v/>
      </c>
      <c r="W242" s="27">
        <f>U242*V242</f>
        <v/>
      </c>
      <c r="X242" s="25">
        <f>T242/N242</f>
        <v/>
      </c>
      <c r="Y242" s="28">
        <f>IF(X242=MAXIFS(X$2:X$721, A$2:A$721, A242, B$2:B$721, B242), "OPTIMAL", "")</f>
        <v/>
      </c>
    </row>
    <row r="243" ht="20" customHeight="1">
      <c r="A243" s="29" t="n">
        <v>4</v>
      </c>
      <c r="B243" s="29" t="n">
        <v>45</v>
      </c>
      <c r="C243" s="30" t="n">
        <v>80</v>
      </c>
      <c r="D243" s="30" t="n">
        <v>2</v>
      </c>
      <c r="E243" s="6" t="n">
        <v>0</v>
      </c>
      <c r="F243" s="30" t="n">
        <v>0</v>
      </c>
      <c r="G243" s="6" t="inlineStr">
        <is>
          <t>Oui</t>
        </is>
      </c>
      <c r="H243" s="6" t="inlineStr">
        <is>
          <t>OFF</t>
        </is>
      </c>
      <c r="I243" s="31" t="n">
        <v>1132.611974342026</v>
      </c>
      <c r="J243" s="31" t="n">
        <v>6657.967474874614</v>
      </c>
      <c r="K243" s="31" t="n">
        <v>3166.666666666667</v>
      </c>
      <c r="L243" s="31" t="n">
        <v>150</v>
      </c>
      <c r="M243" s="31">
        <f>I243+J243+K243+L243</f>
        <v/>
      </c>
      <c r="N243" s="31">
        <f>M243*Dashboard!$B$18/(Dashboard!$B$16/3.6)</f>
        <v/>
      </c>
      <c r="O243" s="31" t="n">
        <v>609.8578541971716</v>
      </c>
      <c r="P243" s="32" t="n">
        <v>0.8992652508172538</v>
      </c>
      <c r="Q243" s="33" t="n">
        <v>0.2</v>
      </c>
      <c r="R243" s="31" t="n">
        <v>512.5102721565777</v>
      </c>
      <c r="S243" s="31">
        <f>R243*IF(A243=4, 2.0, 3.0)</f>
        <v/>
      </c>
      <c r="T243" s="30">
        <f>8.0*U243</f>
        <v/>
      </c>
      <c r="U243" s="34">
        <f>MIN(1, S243/M243)</f>
        <v/>
      </c>
      <c r="V243" s="34">
        <f>N243/(N243+O243)</f>
        <v/>
      </c>
      <c r="W243" s="34">
        <f>U243*V243</f>
        <v/>
      </c>
      <c r="X243" s="32">
        <f>T243/N243</f>
        <v/>
      </c>
      <c r="Y243" s="35">
        <f>IF(X243=MAXIFS(X$2:X$721, A$2:A$721, A243, B$2:B$721, B243), "OPTIMAL", "")</f>
        <v/>
      </c>
    </row>
    <row r="244" ht="20" customHeight="1">
      <c r="A244" s="21" t="n">
        <v>4</v>
      </c>
      <c r="B244" s="21" t="n">
        <v>45</v>
      </c>
      <c r="C244" s="22" t="n">
        <v>80</v>
      </c>
      <c r="D244" s="22" t="n">
        <v>2</v>
      </c>
      <c r="E244" s="23" t="n">
        <v>0</v>
      </c>
      <c r="F244" s="22" t="n">
        <v>0</v>
      </c>
      <c r="G244" s="23" t="inlineStr">
        <is>
          <t>Non</t>
        </is>
      </c>
      <c r="H244" s="23" t="inlineStr">
        <is>
          <t>ON</t>
        </is>
      </c>
      <c r="I244" s="24" t="n">
        <v>1132.611974342026</v>
      </c>
      <c r="J244" s="24" t="n">
        <v>6657.967474874614</v>
      </c>
      <c r="K244" s="24" t="n">
        <v>3166.666666666667</v>
      </c>
      <c r="L244" s="24" t="n">
        <v>150</v>
      </c>
      <c r="M244" s="24">
        <f>I244+J244+K244+L244</f>
        <v/>
      </c>
      <c r="N244" s="24">
        <f>M244*Dashboard!$B$18/(Dashboard!$B$16/3.6)</f>
        <v/>
      </c>
      <c r="O244" s="24" t="n">
        <v>609.8578541971716</v>
      </c>
      <c r="P244" s="25" t="n">
        <v>0.4973990195102181</v>
      </c>
      <c r="Q244" s="26" t="n">
        <v>0.2</v>
      </c>
      <c r="R244" s="24" t="n">
        <v>926.5854180636073</v>
      </c>
      <c r="S244" s="24">
        <f>R244*IF(A244=4, 2.0, 3.0)</f>
        <v/>
      </c>
      <c r="T244" s="22">
        <f>8.0*U244</f>
        <v/>
      </c>
      <c r="U244" s="27">
        <f>MIN(1, S244/M244)</f>
        <v/>
      </c>
      <c r="V244" s="27">
        <f>N244/(N244+O244)</f>
        <v/>
      </c>
      <c r="W244" s="27">
        <f>U244*V244</f>
        <v/>
      </c>
      <c r="X244" s="25">
        <f>T244/N244</f>
        <v/>
      </c>
      <c r="Y244" s="28">
        <f>IF(X244=MAXIFS(X$2:X$721, A$2:A$721, A244, B$2:B$721, B244), "OPTIMAL", "")</f>
        <v/>
      </c>
    </row>
    <row r="245" ht="20" customHeight="1">
      <c r="A245" s="29" t="n">
        <v>4</v>
      </c>
      <c r="B245" s="29" t="n">
        <v>45</v>
      </c>
      <c r="C245" s="30" t="n">
        <v>80</v>
      </c>
      <c r="D245" s="30" t="n">
        <v>2</v>
      </c>
      <c r="E245" s="6" t="n">
        <v>0</v>
      </c>
      <c r="F245" s="30" t="n">
        <v>0</v>
      </c>
      <c r="G245" s="6" t="inlineStr">
        <is>
          <t>Non</t>
        </is>
      </c>
      <c r="H245" s="6" t="inlineStr">
        <is>
          <t>OFF</t>
        </is>
      </c>
      <c r="I245" s="31" t="n">
        <v>1132.611974342026</v>
      </c>
      <c r="J245" s="31" t="n">
        <v>6657.967474874614</v>
      </c>
      <c r="K245" s="31" t="n">
        <v>3166.666666666667</v>
      </c>
      <c r="L245" s="31" t="n">
        <v>150</v>
      </c>
      <c r="M245" s="31">
        <f>I245+J245+K245+L245</f>
        <v/>
      </c>
      <c r="N245" s="31">
        <f>M245*Dashboard!$B$18/(Dashboard!$B$16/3.6)</f>
        <v/>
      </c>
      <c r="O245" s="31" t="n">
        <v>609.8578541971716</v>
      </c>
      <c r="P245" s="32" t="n">
        <v>0.8952863772399564</v>
      </c>
      <c r="Q245" s="33" t="n">
        <v>0.2</v>
      </c>
      <c r="R245" s="31" t="n">
        <v>514.787994270773</v>
      </c>
      <c r="S245" s="31">
        <f>R245*IF(A245=4, 2.0, 3.0)</f>
        <v/>
      </c>
      <c r="T245" s="30">
        <f>8.0*U245</f>
        <v/>
      </c>
      <c r="U245" s="34">
        <f>MIN(1, S245/M245)</f>
        <v/>
      </c>
      <c r="V245" s="34">
        <f>N245/(N245+O245)</f>
        <v/>
      </c>
      <c r="W245" s="34">
        <f>U245*V245</f>
        <v/>
      </c>
      <c r="X245" s="32">
        <f>T245/N245</f>
        <v/>
      </c>
      <c r="Y245" s="35">
        <f>IF(X245=MAXIFS(X$2:X$721, A$2:A$721, A245, B$2:B$721, B245), "OPTIMAL", "")</f>
        <v/>
      </c>
    </row>
    <row r="246" ht="20" customHeight="1">
      <c r="A246" s="36" t="n">
        <v>4</v>
      </c>
      <c r="B246" s="36" t="n">
        <v>45</v>
      </c>
      <c r="C246" s="37" t="n">
        <v>80</v>
      </c>
      <c r="D246" s="37" t="n">
        <v>2</v>
      </c>
      <c r="E246" s="38" t="n">
        <v>4</v>
      </c>
      <c r="F246" s="37" t="n">
        <v>1.5</v>
      </c>
      <c r="G246" s="38" t="inlineStr">
        <is>
          <t>Oui</t>
        </is>
      </c>
      <c r="H246" s="38" t="inlineStr">
        <is>
          <t>ON</t>
        </is>
      </c>
      <c r="I246" s="39" t="n">
        <v>1132.611974342026</v>
      </c>
      <c r="J246" s="39" t="n">
        <v>6657.967474874614</v>
      </c>
      <c r="K246" s="39" t="n">
        <v>3166.666666666667</v>
      </c>
      <c r="L246" s="39" t="n">
        <v>150</v>
      </c>
      <c r="M246" s="39">
        <f>I246+J246+K246+L246</f>
        <v/>
      </c>
      <c r="N246" s="39">
        <f>M246*Dashboard!$B$18/(Dashboard!$B$16/3.6)</f>
        <v/>
      </c>
      <c r="O246" s="39" t="n">
        <v>988.5760832337978</v>
      </c>
      <c r="P246" s="40" t="n">
        <v>0.08231647342522849</v>
      </c>
      <c r="Q246" s="41" t="n">
        <v>8.434509224055622</v>
      </c>
      <c r="R246" s="39" t="n">
        <v>5833.461113499106</v>
      </c>
      <c r="S246" s="39">
        <f>R246*IF(A246=4, 2.0, 3.0)</f>
        <v/>
      </c>
      <c r="T246" s="37">
        <f>8.0*U246</f>
        <v/>
      </c>
      <c r="U246" s="42">
        <f>MIN(1, S246/M246)</f>
        <v/>
      </c>
      <c r="V246" s="42">
        <f>N246/(N246+O246)</f>
        <v/>
      </c>
      <c r="W246" s="42">
        <f>U246*V246</f>
        <v/>
      </c>
      <c r="X246" s="40">
        <f>T246/N246</f>
        <v/>
      </c>
      <c r="Y246" s="15">
        <f>IF(X246=MAXIFS(X$2:X$721, A$2:A$721, A246, B$2:B$721, B246), "OPTIMAL", "")</f>
        <v/>
      </c>
    </row>
    <row r="247" ht="20" customHeight="1">
      <c r="A247" s="29" t="n">
        <v>4</v>
      </c>
      <c r="B247" s="29" t="n">
        <v>45</v>
      </c>
      <c r="C247" s="30" t="n">
        <v>80</v>
      </c>
      <c r="D247" s="30" t="n">
        <v>2</v>
      </c>
      <c r="E247" s="6" t="n">
        <v>4</v>
      </c>
      <c r="F247" s="30" t="n">
        <v>1.5</v>
      </c>
      <c r="G247" s="6" t="inlineStr">
        <is>
          <t>Oui</t>
        </is>
      </c>
      <c r="H247" s="6" t="inlineStr">
        <is>
          <t>OFF</t>
        </is>
      </c>
      <c r="I247" s="31" t="n">
        <v>1132.611974342026</v>
      </c>
      <c r="J247" s="31" t="n">
        <v>6657.967474874614</v>
      </c>
      <c r="K247" s="31" t="n">
        <v>3166.666666666667</v>
      </c>
      <c r="L247" s="31" t="n">
        <v>150</v>
      </c>
      <c r="M247" s="31">
        <f>I247+J247+K247+L247</f>
        <v/>
      </c>
      <c r="N247" s="31">
        <f>M247*Dashboard!$B$18/(Dashboard!$B$16/3.6)</f>
        <v/>
      </c>
      <c r="O247" s="31" t="n">
        <v>988.5760832337978</v>
      </c>
      <c r="P247" s="32" t="n">
        <v>0.3560493820000729</v>
      </c>
      <c r="Q247" s="33" t="n">
        <v>8.434509224055622</v>
      </c>
      <c r="R247" s="31" t="n">
        <v>1348.661087484642</v>
      </c>
      <c r="S247" s="31">
        <f>R247*IF(A247=4, 2.0, 3.0)</f>
        <v/>
      </c>
      <c r="T247" s="30">
        <f>8.0*U247</f>
        <v/>
      </c>
      <c r="U247" s="34">
        <f>MIN(1, S247/M247)</f>
        <v/>
      </c>
      <c r="V247" s="34">
        <f>N247/(N247+O247)</f>
        <v/>
      </c>
      <c r="W247" s="34">
        <f>U247*V247</f>
        <v/>
      </c>
      <c r="X247" s="32">
        <f>T247/N247</f>
        <v/>
      </c>
      <c r="Y247" s="35">
        <f>IF(X247=MAXIFS(X$2:X$721, A$2:A$721, A247, B$2:B$721, B247), "OPTIMAL", "")</f>
        <v/>
      </c>
    </row>
    <row r="248" ht="20" customHeight="1">
      <c r="A248" s="36" t="n">
        <v>4</v>
      </c>
      <c r="B248" s="36" t="n">
        <v>45</v>
      </c>
      <c r="C248" s="37" t="n">
        <v>80</v>
      </c>
      <c r="D248" s="37" t="n">
        <v>2</v>
      </c>
      <c r="E248" s="38" t="n">
        <v>4</v>
      </c>
      <c r="F248" s="37" t="n">
        <v>1.5</v>
      </c>
      <c r="G248" s="38" t="inlineStr">
        <is>
          <t>Non</t>
        </is>
      </c>
      <c r="H248" s="38" t="inlineStr">
        <is>
          <t>ON</t>
        </is>
      </c>
      <c r="I248" s="39" t="n">
        <v>1132.611974342026</v>
      </c>
      <c r="J248" s="39" t="n">
        <v>6657.967474874614</v>
      </c>
      <c r="K248" s="39" t="n">
        <v>3166.666666666667</v>
      </c>
      <c r="L248" s="39" t="n">
        <v>150</v>
      </c>
      <c r="M248" s="39">
        <f>I248+J248+K248+L248</f>
        <v/>
      </c>
      <c r="N248" s="39">
        <f>M248*Dashboard!$B$18/(Dashboard!$B$16/3.6)</f>
        <v/>
      </c>
      <c r="O248" s="39" t="n">
        <v>988.5760832337978</v>
      </c>
      <c r="P248" s="40" t="n">
        <v>0.07833759984793112</v>
      </c>
      <c r="Q248" s="41" t="n">
        <v>8.434509224055622</v>
      </c>
      <c r="R248" s="39" t="n">
        <v>6129.750562419545</v>
      </c>
      <c r="S248" s="39">
        <f>R248*IF(A248=4, 2.0, 3.0)</f>
        <v/>
      </c>
      <c r="T248" s="37">
        <f>8.0*U248</f>
        <v/>
      </c>
      <c r="U248" s="42">
        <f>MIN(1, S248/M248)</f>
        <v/>
      </c>
      <c r="V248" s="42">
        <f>N248/(N248+O248)</f>
        <v/>
      </c>
      <c r="W248" s="42">
        <f>U248*V248</f>
        <v/>
      </c>
      <c r="X248" s="40">
        <f>T248/N248</f>
        <v/>
      </c>
      <c r="Y248" s="15">
        <f>IF(X248=MAXIFS(X$2:X$721, A$2:A$721, A248, B$2:B$721, B248), "OPTIMAL", "")</f>
        <v/>
      </c>
    </row>
    <row r="249" ht="20" customHeight="1">
      <c r="A249" s="29" t="n">
        <v>4</v>
      </c>
      <c r="B249" s="29" t="n">
        <v>45</v>
      </c>
      <c r="C249" s="30" t="n">
        <v>80</v>
      </c>
      <c r="D249" s="30" t="n">
        <v>2</v>
      </c>
      <c r="E249" s="6" t="n">
        <v>4</v>
      </c>
      <c r="F249" s="30" t="n">
        <v>1.5</v>
      </c>
      <c r="G249" s="6" t="inlineStr">
        <is>
          <t>Non</t>
        </is>
      </c>
      <c r="H249" s="6" t="inlineStr">
        <is>
          <t>OFF</t>
        </is>
      </c>
      <c r="I249" s="31" t="n">
        <v>1132.611974342026</v>
      </c>
      <c r="J249" s="31" t="n">
        <v>6657.967474874614</v>
      </c>
      <c r="K249" s="31" t="n">
        <v>3166.666666666667</v>
      </c>
      <c r="L249" s="31" t="n">
        <v>150</v>
      </c>
      <c r="M249" s="31">
        <f>I249+J249+K249+L249</f>
        <v/>
      </c>
      <c r="N249" s="31">
        <f>M249*Dashboard!$B$18/(Dashboard!$B$16/3.6)</f>
        <v/>
      </c>
      <c r="O249" s="31" t="n">
        <v>988.5760832337978</v>
      </c>
      <c r="P249" s="32" t="n">
        <v>0.3520705084227755</v>
      </c>
      <c r="Q249" s="33" t="n">
        <v>8.434509224055622</v>
      </c>
      <c r="R249" s="31" t="n">
        <v>1363.902784353151</v>
      </c>
      <c r="S249" s="31">
        <f>R249*IF(A249=4, 2.0, 3.0)</f>
        <v/>
      </c>
      <c r="T249" s="30">
        <f>8.0*U249</f>
        <v/>
      </c>
      <c r="U249" s="34">
        <f>MIN(1, S249/M249)</f>
        <v/>
      </c>
      <c r="V249" s="34">
        <f>N249/(N249+O249)</f>
        <v/>
      </c>
      <c r="W249" s="34">
        <f>U249*V249</f>
        <v/>
      </c>
      <c r="X249" s="32">
        <f>T249/N249</f>
        <v/>
      </c>
      <c r="Y249" s="35">
        <f>IF(X249=MAXIFS(X$2:X$721, A$2:A$721, A249, B$2:B$721, B249), "OPTIMAL", "")</f>
        <v/>
      </c>
    </row>
    <row r="250" ht="20" customHeight="1">
      <c r="A250" s="36" t="n">
        <v>4</v>
      </c>
      <c r="B250" s="36" t="n">
        <v>45</v>
      </c>
      <c r="C250" s="37" t="n">
        <v>80</v>
      </c>
      <c r="D250" s="37" t="n">
        <v>2</v>
      </c>
      <c r="E250" s="38" t="n">
        <v>4</v>
      </c>
      <c r="F250" s="37" t="n">
        <v>2</v>
      </c>
      <c r="G250" s="38" t="inlineStr">
        <is>
          <t>Oui</t>
        </is>
      </c>
      <c r="H250" s="38" t="inlineStr">
        <is>
          <t>ON</t>
        </is>
      </c>
      <c r="I250" s="39" t="n">
        <v>1132.611974342026</v>
      </c>
      <c r="J250" s="39" t="n">
        <v>6657.967474874614</v>
      </c>
      <c r="K250" s="39" t="n">
        <v>3166.666666666667</v>
      </c>
      <c r="L250" s="39" t="n">
        <v>150</v>
      </c>
      <c r="M250" s="39">
        <f>I250+J250+K250+L250</f>
        <v/>
      </c>
      <c r="N250" s="39">
        <f>M250*Dashboard!$B$18/(Dashboard!$B$16/3.6)</f>
        <v/>
      </c>
      <c r="O250" s="39" t="n">
        <v>1121.966568301276</v>
      </c>
      <c r="P250" s="40" t="n">
        <v>0.08027381372050572</v>
      </c>
      <c r="Q250" s="41" t="n">
        <v>11.17934563207416</v>
      </c>
      <c r="R250" s="39" t="n">
        <v>6066.614330336301</v>
      </c>
      <c r="S250" s="39">
        <f>R250*IF(A250=4, 2.0, 3.0)</f>
        <v/>
      </c>
      <c r="T250" s="37">
        <f>8.0*U250</f>
        <v/>
      </c>
      <c r="U250" s="42">
        <f>MIN(1, S250/M250)</f>
        <v/>
      </c>
      <c r="V250" s="42">
        <f>N250/(N250+O250)</f>
        <v/>
      </c>
      <c r="W250" s="42">
        <f>U250*V250</f>
        <v/>
      </c>
      <c r="X250" s="40">
        <f>T250/N250</f>
        <v/>
      </c>
      <c r="Y250" s="15">
        <f>IF(X250=MAXIFS(X$2:X$721, A$2:A$721, A250, B$2:B$721, B250), "OPTIMAL", "")</f>
        <v/>
      </c>
    </row>
    <row r="251" ht="20" customHeight="1">
      <c r="A251" s="29" t="n">
        <v>4</v>
      </c>
      <c r="B251" s="29" t="n">
        <v>45</v>
      </c>
      <c r="C251" s="30" t="n">
        <v>80</v>
      </c>
      <c r="D251" s="30" t="n">
        <v>2</v>
      </c>
      <c r="E251" s="6" t="n">
        <v>4</v>
      </c>
      <c r="F251" s="30" t="n">
        <v>2</v>
      </c>
      <c r="G251" s="6" t="inlineStr">
        <is>
          <t>Oui</t>
        </is>
      </c>
      <c r="H251" s="6" t="inlineStr">
        <is>
          <t>OFF</t>
        </is>
      </c>
      <c r="I251" s="31" t="n">
        <v>1132.611974342026</v>
      </c>
      <c r="J251" s="31" t="n">
        <v>6657.967474874614</v>
      </c>
      <c r="K251" s="31" t="n">
        <v>3166.666666666667</v>
      </c>
      <c r="L251" s="31" t="n">
        <v>150</v>
      </c>
      <c r="M251" s="31">
        <f>I251+J251+K251+L251</f>
        <v/>
      </c>
      <c r="N251" s="31">
        <f>M251*Dashboard!$B$18/(Dashboard!$B$16/3.6)</f>
        <v/>
      </c>
      <c r="O251" s="31" t="n">
        <v>1121.966568301276</v>
      </c>
      <c r="P251" s="32" t="n">
        <v>0.355510990994127</v>
      </c>
      <c r="Q251" s="33" t="n">
        <v>11.17934563207416</v>
      </c>
      <c r="R251" s="31" t="n">
        <v>1369.831822374268</v>
      </c>
      <c r="S251" s="31">
        <f>R251*IF(A251=4, 2.0, 3.0)</f>
        <v/>
      </c>
      <c r="T251" s="30">
        <f>8.0*U251</f>
        <v/>
      </c>
      <c r="U251" s="34">
        <f>MIN(1, S251/M251)</f>
        <v/>
      </c>
      <c r="V251" s="34">
        <f>N251/(N251+O251)</f>
        <v/>
      </c>
      <c r="W251" s="34">
        <f>U251*V251</f>
        <v/>
      </c>
      <c r="X251" s="32">
        <f>T251/N251</f>
        <v/>
      </c>
      <c r="Y251" s="35">
        <f>IF(X251=MAXIFS(X$2:X$721, A$2:A$721, A251, B$2:B$721, B251), "OPTIMAL", "")</f>
        <v/>
      </c>
    </row>
    <row r="252" ht="20" customHeight="1">
      <c r="A252" s="36" t="n">
        <v>4</v>
      </c>
      <c r="B252" s="36" t="n">
        <v>45</v>
      </c>
      <c r="C252" s="37" t="n">
        <v>80</v>
      </c>
      <c r="D252" s="37" t="n">
        <v>2</v>
      </c>
      <c r="E252" s="38" t="n">
        <v>4</v>
      </c>
      <c r="F252" s="37" t="n">
        <v>2</v>
      </c>
      <c r="G252" s="38" t="inlineStr">
        <is>
          <t>Non</t>
        </is>
      </c>
      <c r="H252" s="38" t="inlineStr">
        <is>
          <t>ON</t>
        </is>
      </c>
      <c r="I252" s="39" t="n">
        <v>1132.611974342026</v>
      </c>
      <c r="J252" s="39" t="n">
        <v>6657.967474874614</v>
      </c>
      <c r="K252" s="39" t="n">
        <v>3166.666666666667</v>
      </c>
      <c r="L252" s="39" t="n">
        <v>150</v>
      </c>
      <c r="M252" s="39">
        <f>I252+J252+K252+L252</f>
        <v/>
      </c>
      <c r="N252" s="39">
        <f>M252*Dashboard!$B$18/(Dashboard!$B$16/3.6)</f>
        <v/>
      </c>
      <c r="O252" s="39" t="n">
        <v>1121.966568301276</v>
      </c>
      <c r="P252" s="40" t="n">
        <v>0.07629494014320834</v>
      </c>
      <c r="Q252" s="41" t="n">
        <v>11.17934563207416</v>
      </c>
      <c r="R252" s="39" t="n">
        <v>6382.995618758841</v>
      </c>
      <c r="S252" s="39">
        <f>R252*IF(A252=4, 2.0, 3.0)</f>
        <v/>
      </c>
      <c r="T252" s="37">
        <f>8.0*U252</f>
        <v/>
      </c>
      <c r="U252" s="42">
        <f>MIN(1, S252/M252)</f>
        <v/>
      </c>
      <c r="V252" s="42">
        <f>N252/(N252+O252)</f>
        <v/>
      </c>
      <c r="W252" s="42">
        <f>U252*V252</f>
        <v/>
      </c>
      <c r="X252" s="40">
        <f>T252/N252</f>
        <v/>
      </c>
      <c r="Y252" s="15">
        <f>IF(X252=MAXIFS(X$2:X$721, A$2:A$721, A252, B$2:B$721, B252), "OPTIMAL", "")</f>
        <v/>
      </c>
    </row>
    <row r="253" ht="20" customHeight="1">
      <c r="A253" s="29" t="n">
        <v>4</v>
      </c>
      <c r="B253" s="29" t="n">
        <v>45</v>
      </c>
      <c r="C253" s="30" t="n">
        <v>80</v>
      </c>
      <c r="D253" s="30" t="n">
        <v>2</v>
      </c>
      <c r="E253" s="6" t="n">
        <v>4</v>
      </c>
      <c r="F253" s="30" t="n">
        <v>2</v>
      </c>
      <c r="G253" s="6" t="inlineStr">
        <is>
          <t>Non</t>
        </is>
      </c>
      <c r="H253" s="6" t="inlineStr">
        <is>
          <t>OFF</t>
        </is>
      </c>
      <c r="I253" s="31" t="n">
        <v>1132.611974342026</v>
      </c>
      <c r="J253" s="31" t="n">
        <v>6657.967474874614</v>
      </c>
      <c r="K253" s="31" t="n">
        <v>3166.666666666667</v>
      </c>
      <c r="L253" s="31" t="n">
        <v>150</v>
      </c>
      <c r="M253" s="31">
        <f>I253+J253+K253+L253</f>
        <v/>
      </c>
      <c r="N253" s="31">
        <f>M253*Dashboard!$B$18/(Dashboard!$B$16/3.6)</f>
        <v/>
      </c>
      <c r="O253" s="31" t="n">
        <v>1121.966568301276</v>
      </c>
      <c r="P253" s="32" t="n">
        <v>0.3515321174168297</v>
      </c>
      <c r="Q253" s="33" t="n">
        <v>11.17934563207416</v>
      </c>
      <c r="R253" s="31" t="n">
        <v>1385.336487164038</v>
      </c>
      <c r="S253" s="31">
        <f>R253*IF(A253=4, 2.0, 3.0)</f>
        <v/>
      </c>
      <c r="T253" s="30">
        <f>8.0*U253</f>
        <v/>
      </c>
      <c r="U253" s="34">
        <f>MIN(1, S253/M253)</f>
        <v/>
      </c>
      <c r="V253" s="34">
        <f>N253/(N253+O253)</f>
        <v/>
      </c>
      <c r="W253" s="34">
        <f>U253*V253</f>
        <v/>
      </c>
      <c r="X253" s="32">
        <f>T253/N253</f>
        <v/>
      </c>
      <c r="Y253" s="35">
        <f>IF(X253=MAXIFS(X$2:X$721, A$2:A$721, A253, B$2:B$721, B253), "OPTIMAL", "")</f>
        <v/>
      </c>
    </row>
    <row r="254" ht="20" customHeight="1">
      <c r="A254" s="36" t="n">
        <v>4</v>
      </c>
      <c r="B254" s="36" t="n">
        <v>45</v>
      </c>
      <c r="C254" s="37" t="n">
        <v>80</v>
      </c>
      <c r="D254" s="37" t="n">
        <v>2</v>
      </c>
      <c r="E254" s="38" t="n">
        <v>8</v>
      </c>
      <c r="F254" s="37" t="n">
        <v>1.5</v>
      </c>
      <c r="G254" s="38" t="inlineStr">
        <is>
          <t>Oui</t>
        </is>
      </c>
      <c r="H254" s="38" t="inlineStr">
        <is>
          <t>ON</t>
        </is>
      </c>
      <c r="I254" s="39" t="n">
        <v>1132.611974342026</v>
      </c>
      <c r="J254" s="39" t="n">
        <v>6657.967474874614</v>
      </c>
      <c r="K254" s="39" t="n">
        <v>3166.666666666667</v>
      </c>
      <c r="L254" s="39" t="n">
        <v>150</v>
      </c>
      <c r="M254" s="39">
        <f>I254+J254+K254+L254</f>
        <v/>
      </c>
      <c r="N254" s="39">
        <f>M254*Dashboard!$B$18/(Dashboard!$B$16/3.6)</f>
        <v/>
      </c>
      <c r="O254" s="39" t="n">
        <v>1400.412163880632</v>
      </c>
      <c r="P254" s="40" t="n">
        <v>0.06145178783543291</v>
      </c>
      <c r="Q254" s="41" t="n">
        <v>16.66901844811125</v>
      </c>
      <c r="R254" s="39" t="n">
        <v>8155.752653718411</v>
      </c>
      <c r="S254" s="39">
        <f>R254*IF(A254=4, 2.0, 3.0)</f>
        <v/>
      </c>
      <c r="T254" s="37">
        <f>8.0*U254</f>
        <v/>
      </c>
      <c r="U254" s="42">
        <f>MIN(1, S254/M254)</f>
        <v/>
      </c>
      <c r="V254" s="42">
        <f>N254/(N254+O254)</f>
        <v/>
      </c>
      <c r="W254" s="42">
        <f>U254*V254</f>
        <v/>
      </c>
      <c r="X254" s="40">
        <f>T254/N254</f>
        <v/>
      </c>
      <c r="Y254" s="15">
        <f>IF(X254=MAXIFS(X$2:X$721, A$2:A$721, A254, B$2:B$721, B254), "OPTIMAL", "")</f>
        <v/>
      </c>
    </row>
    <row r="255" ht="20" customHeight="1">
      <c r="A255" s="29" t="n">
        <v>4</v>
      </c>
      <c r="B255" s="29" t="n">
        <v>45</v>
      </c>
      <c r="C255" s="30" t="n">
        <v>80</v>
      </c>
      <c r="D255" s="30" t="n">
        <v>2</v>
      </c>
      <c r="E255" s="6" t="n">
        <v>8</v>
      </c>
      <c r="F255" s="30" t="n">
        <v>1.5</v>
      </c>
      <c r="G255" s="6" t="inlineStr">
        <is>
          <t>Oui</t>
        </is>
      </c>
      <c r="H255" s="6" t="inlineStr">
        <is>
          <t>OFF</t>
        </is>
      </c>
      <c r="I255" s="31" t="n">
        <v>1132.611974342026</v>
      </c>
      <c r="J255" s="31" t="n">
        <v>6657.967474874614</v>
      </c>
      <c r="K255" s="31" t="n">
        <v>3166.666666666667</v>
      </c>
      <c r="L255" s="31" t="n">
        <v>150</v>
      </c>
      <c r="M255" s="31">
        <f>I255+J255+K255+L255</f>
        <v/>
      </c>
      <c r="N255" s="31">
        <f>M255*Dashboard!$B$18/(Dashboard!$B$16/3.6)</f>
        <v/>
      </c>
      <c r="O255" s="31" t="n">
        <v>1400.412163880632</v>
      </c>
      <c r="P255" s="32" t="n">
        <v>0.2700829218988253</v>
      </c>
      <c r="Q255" s="33" t="n">
        <v>16.66901844811125</v>
      </c>
      <c r="R255" s="31" t="n">
        <v>1855.672984396695</v>
      </c>
      <c r="S255" s="31">
        <f>R255*IF(A255=4, 2.0, 3.0)</f>
        <v/>
      </c>
      <c r="T255" s="30">
        <f>8.0*U255</f>
        <v/>
      </c>
      <c r="U255" s="34">
        <f>MIN(1, S255/M255)</f>
        <v/>
      </c>
      <c r="V255" s="34">
        <f>N255/(N255+O255)</f>
        <v/>
      </c>
      <c r="W255" s="34">
        <f>U255*V255</f>
        <v/>
      </c>
      <c r="X255" s="32">
        <f>T255/N255</f>
        <v/>
      </c>
      <c r="Y255" s="35">
        <f>IF(X255=MAXIFS(X$2:X$721, A$2:A$721, A255, B$2:B$721, B255), "OPTIMAL", "")</f>
        <v/>
      </c>
    </row>
    <row r="256" ht="20" customHeight="1">
      <c r="A256" s="36" t="n">
        <v>4</v>
      </c>
      <c r="B256" s="36" t="n">
        <v>45</v>
      </c>
      <c r="C256" s="37" t="n">
        <v>80</v>
      </c>
      <c r="D256" s="37" t="n">
        <v>2</v>
      </c>
      <c r="E256" s="38" t="n">
        <v>8</v>
      </c>
      <c r="F256" s="37" t="n">
        <v>1.5</v>
      </c>
      <c r="G256" s="38" t="inlineStr">
        <is>
          <t>Non</t>
        </is>
      </c>
      <c r="H256" s="38" t="inlineStr">
        <is>
          <t>ON</t>
        </is>
      </c>
      <c r="I256" s="39" t="n">
        <v>1132.611974342026</v>
      </c>
      <c r="J256" s="39" t="n">
        <v>6657.967474874614</v>
      </c>
      <c r="K256" s="39" t="n">
        <v>3166.666666666667</v>
      </c>
      <c r="L256" s="39" t="n">
        <v>150</v>
      </c>
      <c r="M256" s="39">
        <f>I256+J256+K256+L256</f>
        <v/>
      </c>
      <c r="N256" s="39">
        <f>M256*Dashboard!$B$18/(Dashboard!$B$16/3.6)</f>
        <v/>
      </c>
      <c r="O256" s="39" t="n">
        <v>1400.412163880632</v>
      </c>
      <c r="P256" s="40" t="n">
        <v>0.05747291425813553</v>
      </c>
      <c r="Q256" s="41" t="n">
        <v>16.66901844811125</v>
      </c>
      <c r="R256" s="39" t="n">
        <v>8720.37877640123</v>
      </c>
      <c r="S256" s="39">
        <f>R256*IF(A256=4, 2.0, 3.0)</f>
        <v/>
      </c>
      <c r="T256" s="37">
        <f>8.0*U256</f>
        <v/>
      </c>
      <c r="U256" s="42">
        <f>MIN(1, S256/M256)</f>
        <v/>
      </c>
      <c r="V256" s="42">
        <f>N256/(N256+O256)</f>
        <v/>
      </c>
      <c r="W256" s="42">
        <f>U256*V256</f>
        <v/>
      </c>
      <c r="X256" s="40">
        <f>T256/N256</f>
        <v/>
      </c>
      <c r="Y256" s="15">
        <f>IF(X256=MAXIFS(X$2:X$721, A$2:A$721, A256, B$2:B$721, B256), "OPTIMAL", "")</f>
        <v/>
      </c>
    </row>
    <row r="257" ht="20" customHeight="1">
      <c r="A257" s="29" t="n">
        <v>4</v>
      </c>
      <c r="B257" s="29" t="n">
        <v>45</v>
      </c>
      <c r="C257" s="30" t="n">
        <v>80</v>
      </c>
      <c r="D257" s="30" t="n">
        <v>2</v>
      </c>
      <c r="E257" s="6" t="n">
        <v>8</v>
      </c>
      <c r="F257" s="30" t="n">
        <v>1.5</v>
      </c>
      <c r="G257" s="6" t="inlineStr">
        <is>
          <t>Non</t>
        </is>
      </c>
      <c r="H257" s="6" t="inlineStr">
        <is>
          <t>OFF</t>
        </is>
      </c>
      <c r="I257" s="31" t="n">
        <v>1132.611974342026</v>
      </c>
      <c r="J257" s="31" t="n">
        <v>6657.967474874614</v>
      </c>
      <c r="K257" s="31" t="n">
        <v>3166.666666666667</v>
      </c>
      <c r="L257" s="31" t="n">
        <v>150</v>
      </c>
      <c r="M257" s="31">
        <f>I257+J257+K257+L257</f>
        <v/>
      </c>
      <c r="N257" s="31">
        <f>M257*Dashboard!$B$18/(Dashboard!$B$16/3.6)</f>
        <v/>
      </c>
      <c r="O257" s="31" t="n">
        <v>1400.412163880632</v>
      </c>
      <c r="P257" s="32" t="n">
        <v>0.2661040483215279</v>
      </c>
      <c r="Q257" s="33" t="n">
        <v>16.66901844811125</v>
      </c>
      <c r="R257" s="31" t="n">
        <v>1883.419605510852</v>
      </c>
      <c r="S257" s="31">
        <f>R257*IF(A257=4, 2.0, 3.0)</f>
        <v/>
      </c>
      <c r="T257" s="30">
        <f>8.0*U257</f>
        <v/>
      </c>
      <c r="U257" s="34">
        <f>MIN(1, S257/M257)</f>
        <v/>
      </c>
      <c r="V257" s="34">
        <f>N257/(N257+O257)</f>
        <v/>
      </c>
      <c r="W257" s="34">
        <f>U257*V257</f>
        <v/>
      </c>
      <c r="X257" s="32">
        <f>T257/N257</f>
        <v/>
      </c>
      <c r="Y257" s="35">
        <f>IF(X257=MAXIFS(X$2:X$721, A$2:A$721, A257, B$2:B$721, B257), "OPTIMAL", "")</f>
        <v/>
      </c>
    </row>
    <row r="258" ht="20" customHeight="1">
      <c r="A258" s="36" t="n">
        <v>4</v>
      </c>
      <c r="B258" s="36" t="n">
        <v>45</v>
      </c>
      <c r="C258" s="37" t="n">
        <v>80</v>
      </c>
      <c r="D258" s="37" t="n">
        <v>2</v>
      </c>
      <c r="E258" s="38" t="n">
        <v>8</v>
      </c>
      <c r="F258" s="37" t="n">
        <v>2</v>
      </c>
      <c r="G258" s="38" t="inlineStr">
        <is>
          <t>Oui</t>
        </is>
      </c>
      <c r="H258" s="38" t="inlineStr">
        <is>
          <t>ON</t>
        </is>
      </c>
      <c r="I258" s="39" t="n">
        <v>1132.611974342026</v>
      </c>
      <c r="J258" s="39" t="n">
        <v>6657.967474874614</v>
      </c>
      <c r="K258" s="39" t="n">
        <v>3166.666666666667</v>
      </c>
      <c r="L258" s="39" t="n">
        <v>150</v>
      </c>
      <c r="M258" s="39">
        <f>I258+J258+K258+L258</f>
        <v/>
      </c>
      <c r="N258" s="39">
        <f>M258*Dashboard!$B$18/(Dashboard!$B$16/3.6)</f>
        <v/>
      </c>
      <c r="O258" s="39" t="n">
        <v>1695.577998746893</v>
      </c>
      <c r="P258" s="40" t="n">
        <v>0.06058998977604487</v>
      </c>
      <c r="Q258" s="41" t="n">
        <v>22.15869126414833</v>
      </c>
      <c r="R258" s="39" t="n">
        <v>8520.108748511147</v>
      </c>
      <c r="S258" s="39">
        <f>R258*IF(A258=4, 2.0, 3.0)</f>
        <v/>
      </c>
      <c r="T258" s="37">
        <f>8.0*U258</f>
        <v/>
      </c>
      <c r="U258" s="42">
        <f>MIN(1, S258/M258)</f>
        <v/>
      </c>
      <c r="V258" s="42">
        <f>N258/(N258+O258)</f>
        <v/>
      </c>
      <c r="W258" s="42">
        <f>U258*V258</f>
        <v/>
      </c>
      <c r="X258" s="40">
        <f>T258/N258</f>
        <v/>
      </c>
      <c r="Y258" s="15">
        <f>IF(X258=MAXIFS(X$2:X$721, A$2:A$721, A258, B$2:B$721, B258), "OPTIMAL", "")</f>
        <v/>
      </c>
    </row>
    <row r="259" ht="20" customHeight="1">
      <c r="A259" s="29" t="n">
        <v>4</v>
      </c>
      <c r="B259" s="29" t="n">
        <v>45</v>
      </c>
      <c r="C259" s="30" t="n">
        <v>80</v>
      </c>
      <c r="D259" s="30" t="n">
        <v>2</v>
      </c>
      <c r="E259" s="6" t="n">
        <v>8</v>
      </c>
      <c r="F259" s="30" t="n">
        <v>2</v>
      </c>
      <c r="G259" s="6" t="inlineStr">
        <is>
          <t>Oui</t>
        </is>
      </c>
      <c r="H259" s="6" t="inlineStr">
        <is>
          <t>OFF</t>
        </is>
      </c>
      <c r="I259" s="31" t="n">
        <v>1132.611974342026</v>
      </c>
      <c r="J259" s="31" t="n">
        <v>6657.967474874614</v>
      </c>
      <c r="K259" s="31" t="n">
        <v>3166.666666666667</v>
      </c>
      <c r="L259" s="31" t="n">
        <v>150</v>
      </c>
      <c r="M259" s="31">
        <f>I259+J259+K259+L259</f>
        <v/>
      </c>
      <c r="N259" s="31">
        <f>M259*Dashboard!$B$18/(Dashboard!$B$16/3.6)</f>
        <v/>
      </c>
      <c r="O259" s="31" t="n">
        <v>1695.577998746893</v>
      </c>
      <c r="P259" s="32" t="n">
        <v>0.2709744149858122</v>
      </c>
      <c r="Q259" s="33" t="n">
        <v>22.15869126414833</v>
      </c>
      <c r="R259" s="31" t="n">
        <v>1905.099793241033</v>
      </c>
      <c r="S259" s="31">
        <f>R259*IF(A259=4, 2.0, 3.0)</f>
        <v/>
      </c>
      <c r="T259" s="30">
        <f>8.0*U259</f>
        <v/>
      </c>
      <c r="U259" s="34">
        <f>MIN(1, S259/M259)</f>
        <v/>
      </c>
      <c r="V259" s="34">
        <f>N259/(N259+O259)</f>
        <v/>
      </c>
      <c r="W259" s="34">
        <f>U259*V259</f>
        <v/>
      </c>
      <c r="X259" s="32">
        <f>T259/N259</f>
        <v/>
      </c>
      <c r="Y259" s="35">
        <f>IF(X259=MAXIFS(X$2:X$721, A$2:A$721, A259, B$2:B$721, B259), "OPTIMAL", "")</f>
        <v/>
      </c>
    </row>
    <row r="260" ht="20" customHeight="1">
      <c r="A260" s="36" t="n">
        <v>4</v>
      </c>
      <c r="B260" s="36" t="n">
        <v>45</v>
      </c>
      <c r="C260" s="37" t="n">
        <v>80</v>
      </c>
      <c r="D260" s="37" t="n">
        <v>2</v>
      </c>
      <c r="E260" s="38" t="n">
        <v>8</v>
      </c>
      <c r="F260" s="37" t="n">
        <v>2</v>
      </c>
      <c r="G260" s="38" t="inlineStr">
        <is>
          <t>Non</t>
        </is>
      </c>
      <c r="H260" s="38" t="inlineStr">
        <is>
          <t>ON</t>
        </is>
      </c>
      <c r="I260" s="39" t="n">
        <v>1132.611974342026</v>
      </c>
      <c r="J260" s="39" t="n">
        <v>6657.967474874614</v>
      </c>
      <c r="K260" s="39" t="n">
        <v>3166.666666666667</v>
      </c>
      <c r="L260" s="39" t="n">
        <v>150</v>
      </c>
      <c r="M260" s="39">
        <f>I260+J260+K260+L260</f>
        <v/>
      </c>
      <c r="N260" s="39">
        <f>M260*Dashboard!$B$18/(Dashboard!$B$16/3.6)</f>
        <v/>
      </c>
      <c r="O260" s="39" t="n">
        <v>1695.577998746893</v>
      </c>
      <c r="P260" s="40" t="n">
        <v>0.05661111619874749</v>
      </c>
      <c r="Q260" s="41" t="n">
        <v>22.15869126414833</v>
      </c>
      <c r="R260" s="39" t="n">
        <v>9118.938763735283</v>
      </c>
      <c r="S260" s="39">
        <f>R260*IF(A260=4, 2.0, 3.0)</f>
        <v/>
      </c>
      <c r="T260" s="37">
        <f>8.0*U260</f>
        <v/>
      </c>
      <c r="U260" s="42">
        <f>MIN(1, S260/M260)</f>
        <v/>
      </c>
      <c r="V260" s="42">
        <f>N260/(N260+O260)</f>
        <v/>
      </c>
      <c r="W260" s="42">
        <f>U260*V260</f>
        <v/>
      </c>
      <c r="X260" s="40">
        <f>T260/N260</f>
        <v/>
      </c>
      <c r="Y260" s="15">
        <f>IF(X260=MAXIFS(X$2:X$721, A$2:A$721, A260, B$2:B$721, B260), "OPTIMAL", "")</f>
        <v/>
      </c>
    </row>
    <row r="261" ht="20" customHeight="1">
      <c r="A261" s="29" t="n">
        <v>4</v>
      </c>
      <c r="B261" s="29" t="n">
        <v>45</v>
      </c>
      <c r="C261" s="30" t="n">
        <v>80</v>
      </c>
      <c r="D261" s="30" t="n">
        <v>2</v>
      </c>
      <c r="E261" s="6" t="n">
        <v>8</v>
      </c>
      <c r="F261" s="30" t="n">
        <v>2</v>
      </c>
      <c r="G261" s="6" t="inlineStr">
        <is>
          <t>Non</t>
        </is>
      </c>
      <c r="H261" s="6" t="inlineStr">
        <is>
          <t>OFF</t>
        </is>
      </c>
      <c r="I261" s="31" t="n">
        <v>1132.611974342026</v>
      </c>
      <c r="J261" s="31" t="n">
        <v>6657.967474874614</v>
      </c>
      <c r="K261" s="31" t="n">
        <v>3166.666666666667</v>
      </c>
      <c r="L261" s="31" t="n">
        <v>150</v>
      </c>
      <c r="M261" s="31">
        <f>I261+J261+K261+L261</f>
        <v/>
      </c>
      <c r="N261" s="31">
        <f>M261*Dashboard!$B$18/(Dashboard!$B$16/3.6)</f>
        <v/>
      </c>
      <c r="O261" s="31" t="n">
        <v>1695.577998746893</v>
      </c>
      <c r="P261" s="32" t="n">
        <v>0.2669955414085148</v>
      </c>
      <c r="Q261" s="33" t="n">
        <v>22.15869126414833</v>
      </c>
      <c r="R261" s="31" t="n">
        <v>1933.49034684149</v>
      </c>
      <c r="S261" s="31">
        <f>R261*IF(A261=4, 2.0, 3.0)</f>
        <v/>
      </c>
      <c r="T261" s="30">
        <f>8.0*U261</f>
        <v/>
      </c>
      <c r="U261" s="34">
        <f>MIN(1, S261/M261)</f>
        <v/>
      </c>
      <c r="V261" s="34">
        <f>N261/(N261+O261)</f>
        <v/>
      </c>
      <c r="W261" s="34">
        <f>U261*V261</f>
        <v/>
      </c>
      <c r="X261" s="32">
        <f>T261/N261</f>
        <v/>
      </c>
      <c r="Y261" s="35">
        <f>IF(X261=MAXIFS(X$2:X$721, A$2:A$721, A261, B$2:B$721, B261), "OPTIMAL", "")</f>
        <v/>
      </c>
    </row>
    <row r="262" ht="20" customHeight="1">
      <c r="A262" s="21" t="n">
        <v>4</v>
      </c>
      <c r="B262" s="21" t="n">
        <v>45</v>
      </c>
      <c r="C262" s="22" t="n">
        <v>80</v>
      </c>
      <c r="D262" s="22" t="n">
        <v>3</v>
      </c>
      <c r="E262" s="23" t="n">
        <v>0</v>
      </c>
      <c r="F262" s="22" t="n">
        <v>0</v>
      </c>
      <c r="G262" s="23" t="inlineStr">
        <is>
          <t>Oui</t>
        </is>
      </c>
      <c r="H262" s="23" t="inlineStr">
        <is>
          <t>ON</t>
        </is>
      </c>
      <c r="I262" s="24" t="n">
        <v>1132.611974342026</v>
      </c>
      <c r="J262" s="24" t="n">
        <v>6657.967474874614</v>
      </c>
      <c r="K262" s="24" t="n">
        <v>3166.666666666667</v>
      </c>
      <c r="L262" s="24" t="n">
        <v>150</v>
      </c>
      <c r="M262" s="24">
        <f>I262+J262+K262+L262</f>
        <v/>
      </c>
      <c r="N262" s="24">
        <f>M262*Dashboard!$B$18/(Dashboard!$B$16/3.6)</f>
        <v/>
      </c>
      <c r="O262" s="24" t="n">
        <v>952.5323803516766</v>
      </c>
      <c r="P262" s="25" t="n">
        <v>0.5013985973965238</v>
      </c>
      <c r="Q262" s="26" t="n">
        <v>0.2</v>
      </c>
      <c r="R262" s="24" t="n">
        <v>969.551798954281</v>
      </c>
      <c r="S262" s="24">
        <f>R262*IF(A262=4, 2.0, 3.0)</f>
        <v/>
      </c>
      <c r="T262" s="22">
        <f>8.0*U262</f>
        <v/>
      </c>
      <c r="U262" s="27">
        <f>MIN(1, S262/M262)</f>
        <v/>
      </c>
      <c r="V262" s="27">
        <f>N262/(N262+O262)</f>
        <v/>
      </c>
      <c r="W262" s="27">
        <f>U262*V262</f>
        <v/>
      </c>
      <c r="X262" s="25">
        <f>T262/N262</f>
        <v/>
      </c>
      <c r="Y262" s="28">
        <f>IF(X262=MAXIFS(X$2:X$721, A$2:A$721, A262, B$2:B$721, B262), "OPTIMAL", "")</f>
        <v/>
      </c>
    </row>
    <row r="263" ht="20" customHeight="1">
      <c r="A263" s="29" t="n">
        <v>4</v>
      </c>
      <c r="B263" s="29" t="n">
        <v>45</v>
      </c>
      <c r="C263" s="30" t="n">
        <v>80</v>
      </c>
      <c r="D263" s="30" t="n">
        <v>3</v>
      </c>
      <c r="E263" s="6" t="n">
        <v>0</v>
      </c>
      <c r="F263" s="30" t="n">
        <v>0</v>
      </c>
      <c r="G263" s="6" t="inlineStr">
        <is>
          <t>Oui</t>
        </is>
      </c>
      <c r="H263" s="6" t="inlineStr">
        <is>
          <t>OFF</t>
        </is>
      </c>
      <c r="I263" s="31" t="n">
        <v>1132.611974342026</v>
      </c>
      <c r="J263" s="31" t="n">
        <v>6657.967474874614</v>
      </c>
      <c r="K263" s="31" t="n">
        <v>3166.666666666667</v>
      </c>
      <c r="L263" s="31" t="n">
        <v>150</v>
      </c>
      <c r="M263" s="31">
        <f>I263+J263+K263+L263</f>
        <v/>
      </c>
      <c r="N263" s="31">
        <f>M263*Dashboard!$B$18/(Dashboard!$B$16/3.6)</f>
        <v/>
      </c>
      <c r="O263" s="31" t="n">
        <v>952.5323803516766</v>
      </c>
      <c r="P263" s="32" t="n">
        <v>0.8992859551262622</v>
      </c>
      <c r="Q263" s="33" t="n">
        <v>0.2</v>
      </c>
      <c r="R263" s="31" t="n">
        <v>540.5754524774032</v>
      </c>
      <c r="S263" s="31">
        <f>R263*IF(A263=4, 2.0, 3.0)</f>
        <v/>
      </c>
      <c r="T263" s="30">
        <f>8.0*U263</f>
        <v/>
      </c>
      <c r="U263" s="34">
        <f>MIN(1, S263/M263)</f>
        <v/>
      </c>
      <c r="V263" s="34">
        <f>N263/(N263+O263)</f>
        <v/>
      </c>
      <c r="W263" s="34">
        <f>U263*V263</f>
        <v/>
      </c>
      <c r="X263" s="32">
        <f>T263/N263</f>
        <v/>
      </c>
      <c r="Y263" s="35">
        <f>IF(X263=MAXIFS(X$2:X$721, A$2:A$721, A263, B$2:B$721, B263), "OPTIMAL", "")</f>
        <v/>
      </c>
    </row>
    <row r="264" ht="20" customHeight="1">
      <c r="A264" s="21" t="n">
        <v>4</v>
      </c>
      <c r="B264" s="21" t="n">
        <v>45</v>
      </c>
      <c r="C264" s="22" t="n">
        <v>80</v>
      </c>
      <c r="D264" s="22" t="n">
        <v>3</v>
      </c>
      <c r="E264" s="23" t="n">
        <v>0</v>
      </c>
      <c r="F264" s="22" t="n">
        <v>0</v>
      </c>
      <c r="G264" s="23" t="inlineStr">
        <is>
          <t>Non</t>
        </is>
      </c>
      <c r="H264" s="23" t="inlineStr">
        <is>
          <t>ON</t>
        </is>
      </c>
      <c r="I264" s="24" t="n">
        <v>1132.611974342026</v>
      </c>
      <c r="J264" s="24" t="n">
        <v>6657.967474874614</v>
      </c>
      <c r="K264" s="24" t="n">
        <v>3166.666666666667</v>
      </c>
      <c r="L264" s="24" t="n">
        <v>150</v>
      </c>
      <c r="M264" s="24">
        <f>I264+J264+K264+L264</f>
        <v/>
      </c>
      <c r="N264" s="24">
        <f>M264*Dashboard!$B$18/(Dashboard!$B$16/3.6)</f>
        <v/>
      </c>
      <c r="O264" s="24" t="n">
        <v>952.5323803516766</v>
      </c>
      <c r="P264" s="25" t="n">
        <v>0.4974197238192265</v>
      </c>
      <c r="Q264" s="26" t="n">
        <v>0.2</v>
      </c>
      <c r="R264" s="24" t="n">
        <v>977.3072695356652</v>
      </c>
      <c r="S264" s="24">
        <f>R264*IF(A264=4, 2.0, 3.0)</f>
        <v/>
      </c>
      <c r="T264" s="22">
        <f>8.0*U264</f>
        <v/>
      </c>
      <c r="U264" s="27">
        <f>MIN(1, S264/M264)</f>
        <v/>
      </c>
      <c r="V264" s="27">
        <f>N264/(N264+O264)</f>
        <v/>
      </c>
      <c r="W264" s="27">
        <f>U264*V264</f>
        <v/>
      </c>
      <c r="X264" s="25">
        <f>T264/N264</f>
        <v/>
      </c>
      <c r="Y264" s="28">
        <f>IF(X264=MAXIFS(X$2:X$721, A$2:A$721, A264, B$2:B$721, B264), "OPTIMAL", "")</f>
        <v/>
      </c>
    </row>
    <row r="265" ht="20" customHeight="1">
      <c r="A265" s="29" t="n">
        <v>4</v>
      </c>
      <c r="B265" s="29" t="n">
        <v>45</v>
      </c>
      <c r="C265" s="30" t="n">
        <v>80</v>
      </c>
      <c r="D265" s="30" t="n">
        <v>3</v>
      </c>
      <c r="E265" s="6" t="n">
        <v>0</v>
      </c>
      <c r="F265" s="30" t="n">
        <v>0</v>
      </c>
      <c r="G265" s="6" t="inlineStr">
        <is>
          <t>Non</t>
        </is>
      </c>
      <c r="H265" s="6" t="inlineStr">
        <is>
          <t>OFF</t>
        </is>
      </c>
      <c r="I265" s="31" t="n">
        <v>1132.611974342026</v>
      </c>
      <c r="J265" s="31" t="n">
        <v>6657.967474874614</v>
      </c>
      <c r="K265" s="31" t="n">
        <v>3166.666666666667</v>
      </c>
      <c r="L265" s="31" t="n">
        <v>150</v>
      </c>
      <c r="M265" s="31">
        <f>I265+J265+K265+L265</f>
        <v/>
      </c>
      <c r="N265" s="31">
        <f>M265*Dashboard!$B$18/(Dashboard!$B$16/3.6)</f>
        <v/>
      </c>
      <c r="O265" s="31" t="n">
        <v>952.5323803516766</v>
      </c>
      <c r="P265" s="32" t="n">
        <v>0.8953070815489648</v>
      </c>
      <c r="Q265" s="33" t="n">
        <v>0.2</v>
      </c>
      <c r="R265" s="31" t="n">
        <v>542.9778476206168</v>
      </c>
      <c r="S265" s="31">
        <f>R265*IF(A265=4, 2.0, 3.0)</f>
        <v/>
      </c>
      <c r="T265" s="30">
        <f>8.0*U265</f>
        <v/>
      </c>
      <c r="U265" s="34">
        <f>MIN(1, S265/M265)</f>
        <v/>
      </c>
      <c r="V265" s="34">
        <f>N265/(N265+O265)</f>
        <v/>
      </c>
      <c r="W265" s="34">
        <f>U265*V265</f>
        <v/>
      </c>
      <c r="X265" s="32">
        <f>T265/N265</f>
        <v/>
      </c>
      <c r="Y265" s="35">
        <f>IF(X265=MAXIFS(X$2:X$721, A$2:A$721, A265, B$2:B$721, B265), "OPTIMAL", "")</f>
        <v/>
      </c>
    </row>
    <row r="266" ht="20" customHeight="1">
      <c r="A266" s="36" t="n">
        <v>4</v>
      </c>
      <c r="B266" s="36" t="n">
        <v>45</v>
      </c>
      <c r="C266" s="37" t="n">
        <v>80</v>
      </c>
      <c r="D266" s="37" t="n">
        <v>3</v>
      </c>
      <c r="E266" s="38" t="n">
        <v>4</v>
      </c>
      <c r="F266" s="37" t="n">
        <v>1.5</v>
      </c>
      <c r="G266" s="38" t="inlineStr">
        <is>
          <t>Oui</t>
        </is>
      </c>
      <c r="H266" s="38" t="inlineStr">
        <is>
          <t>ON</t>
        </is>
      </c>
      <c r="I266" s="39" t="n">
        <v>1132.611974342026</v>
      </c>
      <c r="J266" s="39" t="n">
        <v>6657.967474874614</v>
      </c>
      <c r="K266" s="39" t="n">
        <v>3166.666666666667</v>
      </c>
      <c r="L266" s="39" t="n">
        <v>150</v>
      </c>
      <c r="M266" s="39">
        <f>I266+J266+K266+L266</f>
        <v/>
      </c>
      <c r="N266" s="39">
        <f>M266*Dashboard!$B$18/(Dashboard!$B$16/3.6)</f>
        <v/>
      </c>
      <c r="O266" s="39" t="n">
        <v>1359.929693722732</v>
      </c>
      <c r="P266" s="40" t="n">
        <v>0.08209463084427607</v>
      </c>
      <c r="Q266" s="41" t="n">
        <v>8.657063527408475</v>
      </c>
      <c r="R266" s="39" t="n">
        <v>6176.664998373939</v>
      </c>
      <c r="S266" s="39">
        <f>R266*IF(A266=4, 2.0, 3.0)</f>
        <v/>
      </c>
      <c r="T266" s="37">
        <f>8.0*U266</f>
        <v/>
      </c>
      <c r="U266" s="42">
        <f>MIN(1, S266/M266)</f>
        <v/>
      </c>
      <c r="V266" s="42">
        <f>N266/(N266+O266)</f>
        <v/>
      </c>
      <c r="W266" s="42">
        <f>U266*V266</f>
        <v/>
      </c>
      <c r="X266" s="40">
        <f>T266/N266</f>
        <v/>
      </c>
      <c r="Y266" s="15">
        <f>IF(X266=MAXIFS(X$2:X$721, A$2:A$721, A266, B$2:B$721, B266), "OPTIMAL", "")</f>
        <v/>
      </c>
    </row>
    <row r="267" ht="20" customHeight="1">
      <c r="A267" s="29" t="n">
        <v>4</v>
      </c>
      <c r="B267" s="29" t="n">
        <v>45</v>
      </c>
      <c r="C267" s="30" t="n">
        <v>80</v>
      </c>
      <c r="D267" s="30" t="n">
        <v>3</v>
      </c>
      <c r="E267" s="6" t="n">
        <v>4</v>
      </c>
      <c r="F267" s="30" t="n">
        <v>1.5</v>
      </c>
      <c r="G267" s="6" t="inlineStr">
        <is>
          <t>Oui</t>
        </is>
      </c>
      <c r="H267" s="6" t="inlineStr">
        <is>
          <t>OFF</t>
        </is>
      </c>
      <c r="I267" s="31" t="n">
        <v>1132.611974342026</v>
      </c>
      <c r="J267" s="31" t="n">
        <v>6657.967474874614</v>
      </c>
      <c r="K267" s="31" t="n">
        <v>3166.666666666667</v>
      </c>
      <c r="L267" s="31" t="n">
        <v>150</v>
      </c>
      <c r="M267" s="31">
        <f>I267+J267+K267+L267</f>
        <v/>
      </c>
      <c r="N267" s="31">
        <f>M267*Dashboard!$B$18/(Dashboard!$B$16/3.6)</f>
        <v/>
      </c>
      <c r="O267" s="31" t="n">
        <v>1359.929693722732</v>
      </c>
      <c r="P267" s="32" t="n">
        <v>0.3558275394191204</v>
      </c>
      <c r="Q267" s="33" t="n">
        <v>8.657063527408475</v>
      </c>
      <c r="R267" s="31" t="n">
        <v>1425.047183582391</v>
      </c>
      <c r="S267" s="31">
        <f>R267*IF(A267=4, 2.0, 3.0)</f>
        <v/>
      </c>
      <c r="T267" s="30">
        <f>8.0*U267</f>
        <v/>
      </c>
      <c r="U267" s="34">
        <f>MIN(1, S267/M267)</f>
        <v/>
      </c>
      <c r="V267" s="34">
        <f>N267/(N267+O267)</f>
        <v/>
      </c>
      <c r="W267" s="34">
        <f>U267*V267</f>
        <v/>
      </c>
      <c r="X267" s="32">
        <f>T267/N267</f>
        <v/>
      </c>
      <c r="Y267" s="35">
        <f>IF(X267=MAXIFS(X$2:X$721, A$2:A$721, A267, B$2:B$721, B267), "OPTIMAL", "")</f>
        <v/>
      </c>
    </row>
    <row r="268" ht="20" customHeight="1">
      <c r="A268" s="36" t="n">
        <v>4</v>
      </c>
      <c r="B268" s="36" t="n">
        <v>45</v>
      </c>
      <c r="C268" s="37" t="n">
        <v>80</v>
      </c>
      <c r="D268" s="37" t="n">
        <v>3</v>
      </c>
      <c r="E268" s="38" t="n">
        <v>4</v>
      </c>
      <c r="F268" s="37" t="n">
        <v>1.5</v>
      </c>
      <c r="G268" s="38" t="inlineStr">
        <is>
          <t>Non</t>
        </is>
      </c>
      <c r="H268" s="38" t="inlineStr">
        <is>
          <t>ON</t>
        </is>
      </c>
      <c r="I268" s="39" t="n">
        <v>1132.611974342026</v>
      </c>
      <c r="J268" s="39" t="n">
        <v>6657.967474874614</v>
      </c>
      <c r="K268" s="39" t="n">
        <v>3166.666666666667</v>
      </c>
      <c r="L268" s="39" t="n">
        <v>150</v>
      </c>
      <c r="M268" s="39">
        <f>I268+J268+K268+L268</f>
        <v/>
      </c>
      <c r="N268" s="39">
        <f>M268*Dashboard!$B$18/(Dashboard!$B$16/3.6)</f>
        <v/>
      </c>
      <c r="O268" s="39" t="n">
        <v>1359.929693722732</v>
      </c>
      <c r="P268" s="40" t="n">
        <v>0.07811575726697868</v>
      </c>
      <c r="Q268" s="41" t="n">
        <v>8.657063527408475</v>
      </c>
      <c r="R268" s="39" t="n">
        <v>6491.277184412832</v>
      </c>
      <c r="S268" s="39">
        <f>R268*IF(A268=4, 2.0, 3.0)</f>
        <v/>
      </c>
      <c r="T268" s="37">
        <f>8.0*U268</f>
        <v/>
      </c>
      <c r="U268" s="42">
        <f>MIN(1, S268/M268)</f>
        <v/>
      </c>
      <c r="V268" s="42">
        <f>N268/(N268+O268)</f>
        <v/>
      </c>
      <c r="W268" s="42">
        <f>U268*V268</f>
        <v/>
      </c>
      <c r="X268" s="40">
        <f>T268/N268</f>
        <v/>
      </c>
      <c r="Y268" s="15">
        <f>IF(X268=MAXIFS(X$2:X$721, A$2:A$721, A268, B$2:B$721, B268), "OPTIMAL", "")</f>
        <v/>
      </c>
    </row>
    <row r="269" ht="20" customHeight="1">
      <c r="A269" s="29" t="n">
        <v>4</v>
      </c>
      <c r="B269" s="29" t="n">
        <v>45</v>
      </c>
      <c r="C269" s="30" t="n">
        <v>80</v>
      </c>
      <c r="D269" s="30" t="n">
        <v>3</v>
      </c>
      <c r="E269" s="6" t="n">
        <v>4</v>
      </c>
      <c r="F269" s="30" t="n">
        <v>1.5</v>
      </c>
      <c r="G269" s="6" t="inlineStr">
        <is>
          <t>Non</t>
        </is>
      </c>
      <c r="H269" s="6" t="inlineStr">
        <is>
          <t>OFF</t>
        </is>
      </c>
      <c r="I269" s="31" t="n">
        <v>1132.611974342026</v>
      </c>
      <c r="J269" s="31" t="n">
        <v>6657.967474874614</v>
      </c>
      <c r="K269" s="31" t="n">
        <v>3166.666666666667</v>
      </c>
      <c r="L269" s="31" t="n">
        <v>150</v>
      </c>
      <c r="M269" s="31">
        <f>I269+J269+K269+L269</f>
        <v/>
      </c>
      <c r="N269" s="31">
        <f>M269*Dashboard!$B$18/(Dashboard!$B$16/3.6)</f>
        <v/>
      </c>
      <c r="O269" s="31" t="n">
        <v>1359.929693722732</v>
      </c>
      <c r="P269" s="32" t="n">
        <v>0.3518486658418231</v>
      </c>
      <c r="Q269" s="33" t="n">
        <v>8.657063527408475</v>
      </c>
      <c r="R269" s="31" t="n">
        <v>1441.162301062208</v>
      </c>
      <c r="S269" s="31">
        <f>R269*IF(A269=4, 2.0, 3.0)</f>
        <v/>
      </c>
      <c r="T269" s="30">
        <f>8.0*U269</f>
        <v/>
      </c>
      <c r="U269" s="34">
        <f>MIN(1, S269/M269)</f>
        <v/>
      </c>
      <c r="V269" s="34">
        <f>N269/(N269+O269)</f>
        <v/>
      </c>
      <c r="W269" s="34">
        <f>U269*V269</f>
        <v/>
      </c>
      <c r="X269" s="32">
        <f>T269/N269</f>
        <v/>
      </c>
      <c r="Y269" s="35">
        <f>IF(X269=MAXIFS(X$2:X$721, A$2:A$721, A269, B$2:B$721, B269), "OPTIMAL", "")</f>
        <v/>
      </c>
    </row>
    <row r="270" ht="20" customHeight="1">
      <c r="A270" s="36" t="n">
        <v>4</v>
      </c>
      <c r="B270" s="36" t="n">
        <v>45</v>
      </c>
      <c r="C270" s="37" t="n">
        <v>80</v>
      </c>
      <c r="D270" s="37" t="n">
        <v>3</v>
      </c>
      <c r="E270" s="38" t="n">
        <v>4</v>
      </c>
      <c r="F270" s="37" t="n">
        <v>2</v>
      </c>
      <c r="G270" s="38" t="inlineStr">
        <is>
          <t>Oui</t>
        </is>
      </c>
      <c r="H270" s="38" t="inlineStr">
        <is>
          <t>ON</t>
        </is>
      </c>
      <c r="I270" s="39" t="n">
        <v>1132.611974342026</v>
      </c>
      <c r="J270" s="39" t="n">
        <v>6657.967474874614</v>
      </c>
      <c r="K270" s="39" t="n">
        <v>3166.666666666667</v>
      </c>
      <c r="L270" s="39" t="n">
        <v>150</v>
      </c>
      <c r="M270" s="39">
        <f>I270+J270+K270+L270</f>
        <v/>
      </c>
      <c r="N270" s="39">
        <f>M270*Dashboard!$B$18/(Dashboard!$B$16/3.6)</f>
        <v/>
      </c>
      <c r="O270" s="39" t="n">
        <v>1503.641423356485</v>
      </c>
      <c r="P270" s="40" t="n">
        <v>0.08011046001180847</v>
      </c>
      <c r="Q270" s="41" t="n">
        <v>11.4760847032113</v>
      </c>
      <c r="R270" s="39" t="n">
        <v>6421.85087056882</v>
      </c>
      <c r="S270" s="39">
        <f>R270*IF(A270=4, 2.0, 3.0)</f>
        <v/>
      </c>
      <c r="T270" s="37">
        <f>8.0*U270</f>
        <v/>
      </c>
      <c r="U270" s="42">
        <f>MIN(1, S270/M270)</f>
        <v/>
      </c>
      <c r="V270" s="42">
        <f>N270/(N270+O270)</f>
        <v/>
      </c>
      <c r="W270" s="42">
        <f>U270*V270</f>
        <v/>
      </c>
      <c r="X270" s="40">
        <f>T270/N270</f>
        <v/>
      </c>
      <c r="Y270" s="15">
        <f>IF(X270=MAXIFS(X$2:X$721, A$2:A$721, A270, B$2:B$721, B270), "OPTIMAL", "")</f>
        <v/>
      </c>
    </row>
    <row r="271" ht="20" customHeight="1">
      <c r="A271" s="29" t="n">
        <v>4</v>
      </c>
      <c r="B271" s="29" t="n">
        <v>45</v>
      </c>
      <c r="C271" s="30" t="n">
        <v>80</v>
      </c>
      <c r="D271" s="30" t="n">
        <v>3</v>
      </c>
      <c r="E271" s="6" t="n">
        <v>4</v>
      </c>
      <c r="F271" s="30" t="n">
        <v>2</v>
      </c>
      <c r="G271" s="6" t="inlineStr">
        <is>
          <t>Oui</t>
        </is>
      </c>
      <c r="H271" s="6" t="inlineStr">
        <is>
          <t>OFF</t>
        </is>
      </c>
      <c r="I271" s="31" t="n">
        <v>1132.611974342026</v>
      </c>
      <c r="J271" s="31" t="n">
        <v>6657.967474874614</v>
      </c>
      <c r="K271" s="31" t="n">
        <v>3166.666666666667</v>
      </c>
      <c r="L271" s="31" t="n">
        <v>150</v>
      </c>
      <c r="M271" s="31">
        <f>I271+J271+K271+L271</f>
        <v/>
      </c>
      <c r="N271" s="31">
        <f>M271*Dashboard!$B$18/(Dashboard!$B$16/3.6)</f>
        <v/>
      </c>
      <c r="O271" s="31" t="n">
        <v>1503.641423356485</v>
      </c>
      <c r="P271" s="32" t="n">
        <v>0.3553476372854298</v>
      </c>
      <c r="Q271" s="33" t="n">
        <v>11.4760847032113</v>
      </c>
      <c r="R271" s="31" t="n">
        <v>1447.758120184903</v>
      </c>
      <c r="S271" s="31">
        <f>R271*IF(A271=4, 2.0, 3.0)</f>
        <v/>
      </c>
      <c r="T271" s="30">
        <f>8.0*U271</f>
        <v/>
      </c>
      <c r="U271" s="34">
        <f>MIN(1, S271/M271)</f>
        <v/>
      </c>
      <c r="V271" s="34">
        <f>N271/(N271+O271)</f>
        <v/>
      </c>
      <c r="W271" s="34">
        <f>U271*V271</f>
        <v/>
      </c>
      <c r="X271" s="32">
        <f>T271/N271</f>
        <v/>
      </c>
      <c r="Y271" s="35">
        <f>IF(X271=MAXIFS(X$2:X$721, A$2:A$721, A271, B$2:B$721, B271), "OPTIMAL", "")</f>
        <v/>
      </c>
    </row>
    <row r="272" ht="20" customHeight="1">
      <c r="A272" s="36" t="n">
        <v>4</v>
      </c>
      <c r="B272" s="36" t="n">
        <v>45</v>
      </c>
      <c r="C272" s="37" t="n">
        <v>80</v>
      </c>
      <c r="D272" s="37" t="n">
        <v>3</v>
      </c>
      <c r="E272" s="38" t="n">
        <v>4</v>
      </c>
      <c r="F272" s="37" t="n">
        <v>2</v>
      </c>
      <c r="G272" s="38" t="inlineStr">
        <is>
          <t>Non</t>
        </is>
      </c>
      <c r="H272" s="38" t="inlineStr">
        <is>
          <t>ON</t>
        </is>
      </c>
      <c r="I272" s="39" t="n">
        <v>1132.611974342026</v>
      </c>
      <c r="J272" s="39" t="n">
        <v>6657.967474874614</v>
      </c>
      <c r="K272" s="39" t="n">
        <v>3166.666666666667</v>
      </c>
      <c r="L272" s="39" t="n">
        <v>150</v>
      </c>
      <c r="M272" s="39">
        <f>I272+J272+K272+L272</f>
        <v/>
      </c>
      <c r="N272" s="39">
        <f>M272*Dashboard!$B$18/(Dashboard!$B$16/3.6)</f>
        <v/>
      </c>
      <c r="O272" s="39" t="n">
        <v>1503.641423356485</v>
      </c>
      <c r="P272" s="40" t="n">
        <v>0.07613158643451108</v>
      </c>
      <c r="Q272" s="41" t="n">
        <v>11.4760847032113</v>
      </c>
      <c r="R272" s="39" t="n">
        <v>6757.47677754017</v>
      </c>
      <c r="S272" s="39">
        <f>R272*IF(A272=4, 2.0, 3.0)</f>
        <v/>
      </c>
      <c r="T272" s="37">
        <f>8.0*U272</f>
        <v/>
      </c>
      <c r="U272" s="42">
        <f>MIN(1, S272/M272)</f>
        <v/>
      </c>
      <c r="V272" s="42">
        <f>N272/(N272+O272)</f>
        <v/>
      </c>
      <c r="W272" s="42">
        <f>U272*V272</f>
        <v/>
      </c>
      <c r="X272" s="40">
        <f>T272/N272</f>
        <v/>
      </c>
      <c r="Y272" s="15">
        <f>IF(X272=MAXIFS(X$2:X$721, A$2:A$721, A272, B$2:B$721, B272), "OPTIMAL", "")</f>
        <v/>
      </c>
    </row>
    <row r="273" ht="20" customHeight="1">
      <c r="A273" s="29" t="n">
        <v>4</v>
      </c>
      <c r="B273" s="29" t="n">
        <v>45</v>
      </c>
      <c r="C273" s="30" t="n">
        <v>80</v>
      </c>
      <c r="D273" s="30" t="n">
        <v>3</v>
      </c>
      <c r="E273" s="6" t="n">
        <v>4</v>
      </c>
      <c r="F273" s="30" t="n">
        <v>2</v>
      </c>
      <c r="G273" s="6" t="inlineStr">
        <is>
          <t>Non</t>
        </is>
      </c>
      <c r="H273" s="6" t="inlineStr">
        <is>
          <t>OFF</t>
        </is>
      </c>
      <c r="I273" s="31" t="n">
        <v>1132.611974342026</v>
      </c>
      <c r="J273" s="31" t="n">
        <v>6657.967474874614</v>
      </c>
      <c r="K273" s="31" t="n">
        <v>3166.666666666667</v>
      </c>
      <c r="L273" s="31" t="n">
        <v>150</v>
      </c>
      <c r="M273" s="31">
        <f>I273+J273+K273+L273</f>
        <v/>
      </c>
      <c r="N273" s="31">
        <f>M273*Dashboard!$B$18/(Dashboard!$B$16/3.6)</f>
        <v/>
      </c>
      <c r="O273" s="31" t="n">
        <v>1503.641423356485</v>
      </c>
      <c r="P273" s="32" t="n">
        <v>0.3513687637081325</v>
      </c>
      <c r="Q273" s="33" t="n">
        <v>11.4760847032113</v>
      </c>
      <c r="R273" s="31" t="n">
        <v>1464.152424760897</v>
      </c>
      <c r="S273" s="31">
        <f>R273*IF(A273=4, 2.0, 3.0)</f>
        <v/>
      </c>
      <c r="T273" s="30">
        <f>8.0*U273</f>
        <v/>
      </c>
      <c r="U273" s="34">
        <f>MIN(1, S273/M273)</f>
        <v/>
      </c>
      <c r="V273" s="34">
        <f>N273/(N273+O273)</f>
        <v/>
      </c>
      <c r="W273" s="34">
        <f>U273*V273</f>
        <v/>
      </c>
      <c r="X273" s="32">
        <f>T273/N273</f>
        <v/>
      </c>
      <c r="Y273" s="35">
        <f>IF(X273=MAXIFS(X$2:X$721, A$2:A$721, A273, B$2:B$721, B273), "OPTIMAL", "")</f>
        <v/>
      </c>
    </row>
    <row r="274" ht="20" customHeight="1">
      <c r="A274" s="36" t="n">
        <v>4</v>
      </c>
      <c r="B274" s="36" t="n">
        <v>45</v>
      </c>
      <c r="C274" s="37" t="n">
        <v>80</v>
      </c>
      <c r="D274" s="37" t="n">
        <v>3</v>
      </c>
      <c r="E274" s="38" t="n">
        <v>8</v>
      </c>
      <c r="F274" s="37" t="n">
        <v>1.5</v>
      </c>
      <c r="G274" s="38" t="inlineStr">
        <is>
          <t>Oui</t>
        </is>
      </c>
      <c r="H274" s="38" t="inlineStr">
        <is>
          <t>ON</t>
        </is>
      </c>
      <c r="I274" s="39" t="n">
        <v>1132.611974342026</v>
      </c>
      <c r="J274" s="39" t="n">
        <v>6657.967474874614</v>
      </c>
      <c r="K274" s="39" t="n">
        <v>3166.666666666667</v>
      </c>
      <c r="L274" s="39" t="n">
        <v>150</v>
      </c>
      <c r="M274" s="39">
        <f>I274+J274+K274+L274</f>
        <v/>
      </c>
      <c r="N274" s="39">
        <f>M274*Dashboard!$B$18/(Dashboard!$B$16/3.6)</f>
        <v/>
      </c>
      <c r="O274" s="39" t="n">
        <v>1804.00230264493</v>
      </c>
      <c r="P274" s="40" t="n">
        <v>0.06134832938702932</v>
      </c>
      <c r="Q274" s="41" t="n">
        <v>17.11412705481695</v>
      </c>
      <c r="R274" s="39" t="n">
        <v>8637.483205186274</v>
      </c>
      <c r="S274" s="39">
        <f>R274*IF(A274=4, 2.0, 3.0)</f>
        <v/>
      </c>
      <c r="T274" s="37">
        <f>8.0*U274</f>
        <v/>
      </c>
      <c r="U274" s="42">
        <f>MIN(1, S274/M274)</f>
        <v/>
      </c>
      <c r="V274" s="42">
        <f>N274/(N274+O274)</f>
        <v/>
      </c>
      <c r="W274" s="42">
        <f>U274*V274</f>
        <v/>
      </c>
      <c r="X274" s="40">
        <f>T274/N274</f>
        <v/>
      </c>
      <c r="Y274" s="15">
        <f>IF(X274=MAXIFS(X$2:X$721, A$2:A$721, A274, B$2:B$721, B274), "OPTIMAL", "")</f>
        <v/>
      </c>
    </row>
    <row r="275" ht="20" customHeight="1">
      <c r="A275" s="29" t="n">
        <v>4</v>
      </c>
      <c r="B275" s="29" t="n">
        <v>45</v>
      </c>
      <c r="C275" s="30" t="n">
        <v>80</v>
      </c>
      <c r="D275" s="30" t="n">
        <v>3</v>
      </c>
      <c r="E275" s="6" t="n">
        <v>8</v>
      </c>
      <c r="F275" s="30" t="n">
        <v>1.5</v>
      </c>
      <c r="G275" s="6" t="inlineStr">
        <is>
          <t>Oui</t>
        </is>
      </c>
      <c r="H275" s="6" t="inlineStr">
        <is>
          <t>OFF</t>
        </is>
      </c>
      <c r="I275" s="31" t="n">
        <v>1132.611974342026</v>
      </c>
      <c r="J275" s="31" t="n">
        <v>6657.967474874614</v>
      </c>
      <c r="K275" s="31" t="n">
        <v>3166.666666666667</v>
      </c>
      <c r="L275" s="31" t="n">
        <v>150</v>
      </c>
      <c r="M275" s="31">
        <f>I275+J275+K275+L275</f>
        <v/>
      </c>
      <c r="N275" s="31">
        <f>M275*Dashboard!$B$18/(Dashboard!$B$16/3.6)</f>
        <v/>
      </c>
      <c r="O275" s="31" t="n">
        <v>1804.00230264493</v>
      </c>
      <c r="P275" s="32" t="n">
        <v>0.2699794634504217</v>
      </c>
      <c r="Q275" s="33" t="n">
        <v>17.11412705481695</v>
      </c>
      <c r="R275" s="31" t="n">
        <v>1962.723971573526</v>
      </c>
      <c r="S275" s="31">
        <f>R275*IF(A275=4, 2.0, 3.0)</f>
        <v/>
      </c>
      <c r="T275" s="30">
        <f>8.0*U275</f>
        <v/>
      </c>
      <c r="U275" s="34">
        <f>MIN(1, S275/M275)</f>
        <v/>
      </c>
      <c r="V275" s="34">
        <f>N275/(N275+O275)</f>
        <v/>
      </c>
      <c r="W275" s="34">
        <f>U275*V275</f>
        <v/>
      </c>
      <c r="X275" s="32">
        <f>T275/N275</f>
        <v/>
      </c>
      <c r="Y275" s="35">
        <f>IF(X275=MAXIFS(X$2:X$721, A$2:A$721, A275, B$2:B$721, B275), "OPTIMAL", "")</f>
        <v/>
      </c>
    </row>
    <row r="276" ht="20" customHeight="1">
      <c r="A276" s="36" t="n">
        <v>4</v>
      </c>
      <c r="B276" s="36" t="n">
        <v>45</v>
      </c>
      <c r="C276" s="37" t="n">
        <v>80</v>
      </c>
      <c r="D276" s="37" t="n">
        <v>3</v>
      </c>
      <c r="E276" s="38" t="n">
        <v>8</v>
      </c>
      <c r="F276" s="37" t="n">
        <v>1.5</v>
      </c>
      <c r="G276" s="38" t="inlineStr">
        <is>
          <t>Non</t>
        </is>
      </c>
      <c r="H276" s="38" t="inlineStr">
        <is>
          <t>ON</t>
        </is>
      </c>
      <c r="I276" s="39" t="n">
        <v>1132.611974342026</v>
      </c>
      <c r="J276" s="39" t="n">
        <v>6657.967474874614</v>
      </c>
      <c r="K276" s="39" t="n">
        <v>3166.666666666667</v>
      </c>
      <c r="L276" s="39" t="n">
        <v>150</v>
      </c>
      <c r="M276" s="39">
        <f>I276+J276+K276+L276</f>
        <v/>
      </c>
      <c r="N276" s="39">
        <f>M276*Dashboard!$B$18/(Dashboard!$B$16/3.6)</f>
        <v/>
      </c>
      <c r="O276" s="39" t="n">
        <v>1804.00230264493</v>
      </c>
      <c r="P276" s="40" t="n">
        <v>0.05736945580973193</v>
      </c>
      <c r="Q276" s="41" t="n">
        <v>17.11412705481695</v>
      </c>
      <c r="R276" s="39" t="n">
        <v>9236.538106690772</v>
      </c>
      <c r="S276" s="39">
        <f>R276*IF(A276=4, 2.0, 3.0)</f>
        <v/>
      </c>
      <c r="T276" s="37">
        <f>8.0*U276</f>
        <v/>
      </c>
      <c r="U276" s="42">
        <f>MIN(1, S276/M276)</f>
        <v/>
      </c>
      <c r="V276" s="42">
        <f>N276/(N276+O276)</f>
        <v/>
      </c>
      <c r="W276" s="42">
        <f>U276*V276</f>
        <v/>
      </c>
      <c r="X276" s="40">
        <f>T276/N276</f>
        <v/>
      </c>
      <c r="Y276" s="15">
        <f>IF(X276=MAXIFS(X$2:X$721, A$2:A$721, A276, B$2:B$721, B276), "OPTIMAL", "")</f>
        <v/>
      </c>
    </row>
    <row r="277" ht="20" customHeight="1">
      <c r="A277" s="29" t="n">
        <v>4</v>
      </c>
      <c r="B277" s="29" t="n">
        <v>45</v>
      </c>
      <c r="C277" s="30" t="n">
        <v>80</v>
      </c>
      <c r="D277" s="30" t="n">
        <v>3</v>
      </c>
      <c r="E277" s="6" t="n">
        <v>8</v>
      </c>
      <c r="F277" s="30" t="n">
        <v>1.5</v>
      </c>
      <c r="G277" s="6" t="inlineStr">
        <is>
          <t>Non</t>
        </is>
      </c>
      <c r="H277" s="6" t="inlineStr">
        <is>
          <t>OFF</t>
        </is>
      </c>
      <c r="I277" s="31" t="n">
        <v>1132.611974342026</v>
      </c>
      <c r="J277" s="31" t="n">
        <v>6657.967474874614</v>
      </c>
      <c r="K277" s="31" t="n">
        <v>3166.666666666667</v>
      </c>
      <c r="L277" s="31" t="n">
        <v>150</v>
      </c>
      <c r="M277" s="31">
        <f>I277+J277+K277+L277</f>
        <v/>
      </c>
      <c r="N277" s="31">
        <f>M277*Dashboard!$B$18/(Dashboard!$B$16/3.6)</f>
        <v/>
      </c>
      <c r="O277" s="31" t="n">
        <v>1804.00230264493</v>
      </c>
      <c r="P277" s="32" t="n">
        <v>0.2660005898731243</v>
      </c>
      <c r="Q277" s="33" t="n">
        <v>17.11412705481695</v>
      </c>
      <c r="R277" s="31" t="n">
        <v>1992.082667934865</v>
      </c>
      <c r="S277" s="31">
        <f>R277*IF(A277=4, 2.0, 3.0)</f>
        <v/>
      </c>
      <c r="T277" s="30">
        <f>8.0*U277</f>
        <v/>
      </c>
      <c r="U277" s="34">
        <f>MIN(1, S277/M277)</f>
        <v/>
      </c>
      <c r="V277" s="34">
        <f>N277/(N277+O277)</f>
        <v/>
      </c>
      <c r="W277" s="34">
        <f>U277*V277</f>
        <v/>
      </c>
      <c r="X277" s="32">
        <f>T277/N277</f>
        <v/>
      </c>
      <c r="Y277" s="35">
        <f>IF(X277=MAXIFS(X$2:X$721, A$2:A$721, A277, B$2:B$721, B277), "OPTIMAL", "")</f>
        <v/>
      </c>
    </row>
    <row r="278" ht="20" customHeight="1">
      <c r="A278" s="36" t="n">
        <v>4</v>
      </c>
      <c r="B278" s="36" t="n">
        <v>45</v>
      </c>
      <c r="C278" s="37" t="n">
        <v>80</v>
      </c>
      <c r="D278" s="37" t="n">
        <v>3</v>
      </c>
      <c r="E278" s="38" t="n">
        <v>8</v>
      </c>
      <c r="F278" s="37" t="n">
        <v>2</v>
      </c>
      <c r="G278" s="38" t="inlineStr">
        <is>
          <t>Oui</t>
        </is>
      </c>
      <c r="H278" s="38" t="inlineStr">
        <is>
          <t>ON</t>
        </is>
      </c>
      <c r="I278" s="39" t="n">
        <v>1132.611974342026</v>
      </c>
      <c r="J278" s="39" t="n">
        <v>6657.967474874614</v>
      </c>
      <c r="K278" s="39" t="n">
        <v>3166.666666666667</v>
      </c>
      <c r="L278" s="39" t="n">
        <v>150</v>
      </c>
      <c r="M278" s="39">
        <f>I278+J278+K278+L278</f>
        <v/>
      </c>
      <c r="N278" s="39">
        <f>M278*Dashboard!$B$18/(Dashboard!$B$16/3.6)</f>
        <v/>
      </c>
      <c r="O278" s="39" t="n">
        <v>2122.947187599487</v>
      </c>
      <c r="P278" s="40" t="n">
        <v>0.060517018169736</v>
      </c>
      <c r="Q278" s="41" t="n">
        <v>22.7521694064226</v>
      </c>
      <c r="R278" s="39" t="n">
        <v>9027.015644673142</v>
      </c>
      <c r="S278" s="39">
        <f>R278*IF(A278=4, 2.0, 3.0)</f>
        <v/>
      </c>
      <c r="T278" s="37">
        <f>8.0*U278</f>
        <v/>
      </c>
      <c r="U278" s="42">
        <f>MIN(1, S278/M278)</f>
        <v/>
      </c>
      <c r="V278" s="42">
        <f>N278/(N278+O278)</f>
        <v/>
      </c>
      <c r="W278" s="42">
        <f>U278*V278</f>
        <v/>
      </c>
      <c r="X278" s="40">
        <f>T278/N278</f>
        <v/>
      </c>
      <c r="Y278" s="15">
        <f>IF(X278=MAXIFS(X$2:X$721, A$2:A$721, A278, B$2:B$721, B278), "OPTIMAL", "")</f>
        <v/>
      </c>
    </row>
    <row r="279" ht="20" customHeight="1">
      <c r="A279" s="29" t="n">
        <v>4</v>
      </c>
      <c r="B279" s="29" t="n">
        <v>45</v>
      </c>
      <c r="C279" s="30" t="n">
        <v>80</v>
      </c>
      <c r="D279" s="30" t="n">
        <v>3</v>
      </c>
      <c r="E279" s="6" t="n">
        <v>8</v>
      </c>
      <c r="F279" s="30" t="n">
        <v>2</v>
      </c>
      <c r="G279" s="6" t="inlineStr">
        <is>
          <t>Oui</t>
        </is>
      </c>
      <c r="H279" s="6" t="inlineStr">
        <is>
          <t>OFF</t>
        </is>
      </c>
      <c r="I279" s="31" t="n">
        <v>1132.611974342026</v>
      </c>
      <c r="J279" s="31" t="n">
        <v>6657.967474874614</v>
      </c>
      <c r="K279" s="31" t="n">
        <v>3166.666666666667</v>
      </c>
      <c r="L279" s="31" t="n">
        <v>150</v>
      </c>
      <c r="M279" s="31">
        <f>I279+J279+K279+L279</f>
        <v/>
      </c>
      <c r="N279" s="31">
        <f>M279*Dashboard!$B$18/(Dashboard!$B$16/3.6)</f>
        <v/>
      </c>
      <c r="O279" s="31" t="n">
        <v>2122.947187599487</v>
      </c>
      <c r="P279" s="32" t="n">
        <v>0.2709014433795033</v>
      </c>
      <c r="Q279" s="33" t="n">
        <v>22.7521694064226</v>
      </c>
      <c r="R279" s="31" t="n">
        <v>2016.556512110885</v>
      </c>
      <c r="S279" s="31">
        <f>R279*IF(A279=4, 2.0, 3.0)</f>
        <v/>
      </c>
      <c r="T279" s="30">
        <f>8.0*U279</f>
        <v/>
      </c>
      <c r="U279" s="34">
        <f>MIN(1, S279/M279)</f>
        <v/>
      </c>
      <c r="V279" s="34">
        <f>N279/(N279+O279)</f>
        <v/>
      </c>
      <c r="W279" s="34">
        <f>U279*V279</f>
        <v/>
      </c>
      <c r="X279" s="32">
        <f>T279/N279</f>
        <v/>
      </c>
      <c r="Y279" s="35">
        <f>IF(X279=MAXIFS(X$2:X$721, A$2:A$721, A279, B$2:B$721, B279), "OPTIMAL", "")</f>
        <v/>
      </c>
    </row>
    <row r="280" ht="20" customHeight="1">
      <c r="A280" s="36" t="n">
        <v>4</v>
      </c>
      <c r="B280" s="36" t="n">
        <v>45</v>
      </c>
      <c r="C280" s="37" t="n">
        <v>80</v>
      </c>
      <c r="D280" s="37" t="n">
        <v>3</v>
      </c>
      <c r="E280" s="38" t="n">
        <v>8</v>
      </c>
      <c r="F280" s="37" t="n">
        <v>2</v>
      </c>
      <c r="G280" s="38" t="inlineStr">
        <is>
          <t>Non</t>
        </is>
      </c>
      <c r="H280" s="38" t="inlineStr">
        <is>
          <t>ON</t>
        </is>
      </c>
      <c r="I280" s="39" t="n">
        <v>1132.611974342026</v>
      </c>
      <c r="J280" s="39" t="n">
        <v>6657.967474874614</v>
      </c>
      <c r="K280" s="39" t="n">
        <v>3166.666666666667</v>
      </c>
      <c r="L280" s="39" t="n">
        <v>150</v>
      </c>
      <c r="M280" s="39">
        <f>I280+J280+K280+L280</f>
        <v/>
      </c>
      <c r="N280" s="39">
        <f>M280*Dashboard!$B$18/(Dashboard!$B$16/3.6)</f>
        <v/>
      </c>
      <c r="O280" s="39" t="n">
        <v>2122.947187599487</v>
      </c>
      <c r="P280" s="40" t="n">
        <v>0.05653814459243862</v>
      </c>
      <c r="Q280" s="41" t="n">
        <v>22.7521694064226</v>
      </c>
      <c r="R280" s="39" t="n">
        <v>9662.292134366149</v>
      </c>
      <c r="S280" s="39">
        <f>R280*IF(A280=4, 2.0, 3.0)</f>
        <v/>
      </c>
      <c r="T280" s="37">
        <f>8.0*U280</f>
        <v/>
      </c>
      <c r="U280" s="42">
        <f>MIN(1, S280/M280)</f>
        <v/>
      </c>
      <c r="V280" s="42">
        <f>N280/(N280+O280)</f>
        <v/>
      </c>
      <c r="W280" s="42">
        <f>U280*V280</f>
        <v/>
      </c>
      <c r="X280" s="40">
        <f>T280/N280</f>
        <v/>
      </c>
      <c r="Y280" s="15">
        <f>IF(X280=MAXIFS(X$2:X$721, A$2:A$721, A280, B$2:B$721, B280), "OPTIMAL", "")</f>
        <v/>
      </c>
    </row>
    <row r="281" ht="20" customHeight="1">
      <c r="A281" s="29" t="n">
        <v>4</v>
      </c>
      <c r="B281" s="29" t="n">
        <v>45</v>
      </c>
      <c r="C281" s="30" t="n">
        <v>80</v>
      </c>
      <c r="D281" s="30" t="n">
        <v>3</v>
      </c>
      <c r="E281" s="6" t="n">
        <v>8</v>
      </c>
      <c r="F281" s="30" t="n">
        <v>2</v>
      </c>
      <c r="G281" s="6" t="inlineStr">
        <is>
          <t>Non</t>
        </is>
      </c>
      <c r="H281" s="6" t="inlineStr">
        <is>
          <t>OFF</t>
        </is>
      </c>
      <c r="I281" s="31" t="n">
        <v>1132.611974342026</v>
      </c>
      <c r="J281" s="31" t="n">
        <v>6657.967474874614</v>
      </c>
      <c r="K281" s="31" t="n">
        <v>3166.666666666667</v>
      </c>
      <c r="L281" s="31" t="n">
        <v>150</v>
      </c>
      <c r="M281" s="31">
        <f>I281+J281+K281+L281</f>
        <v/>
      </c>
      <c r="N281" s="31">
        <f>M281*Dashboard!$B$18/(Dashboard!$B$16/3.6)</f>
        <v/>
      </c>
      <c r="O281" s="31" t="n">
        <v>2122.947187599487</v>
      </c>
      <c r="P281" s="32" t="n">
        <v>0.266922569802206</v>
      </c>
      <c r="Q281" s="33" t="n">
        <v>22.7521694064226</v>
      </c>
      <c r="R281" s="31" t="n">
        <v>2046.616253514958</v>
      </c>
      <c r="S281" s="31">
        <f>R281*IF(A281=4, 2.0, 3.0)</f>
        <v/>
      </c>
      <c r="T281" s="30">
        <f>8.0*U281</f>
        <v/>
      </c>
      <c r="U281" s="34">
        <f>MIN(1, S281/M281)</f>
        <v/>
      </c>
      <c r="V281" s="34">
        <f>N281/(N281+O281)</f>
        <v/>
      </c>
      <c r="W281" s="34">
        <f>U281*V281</f>
        <v/>
      </c>
      <c r="X281" s="32">
        <f>T281/N281</f>
        <v/>
      </c>
      <c r="Y281" s="35">
        <f>IF(X281=MAXIFS(X$2:X$721, A$2:A$721, A281, B$2:B$721, B281), "OPTIMAL", "")</f>
        <v/>
      </c>
    </row>
    <row r="282" ht="20" customHeight="1">
      <c r="A282" s="21" t="n">
        <v>4</v>
      </c>
      <c r="B282" s="21" t="n">
        <v>45</v>
      </c>
      <c r="C282" s="22" t="n">
        <v>100</v>
      </c>
      <c r="D282" s="22" t="n">
        <v>2</v>
      </c>
      <c r="E282" s="23" t="n">
        <v>0</v>
      </c>
      <c r="F282" s="22" t="n">
        <v>0</v>
      </c>
      <c r="G282" s="23" t="inlineStr">
        <is>
          <t>Oui</t>
        </is>
      </c>
      <c r="H282" s="23" t="inlineStr">
        <is>
          <t>ON</t>
        </is>
      </c>
      <c r="I282" s="24" t="n">
        <v>1132.611974342026</v>
      </c>
      <c r="J282" s="24" t="n">
        <v>6657.967474874614</v>
      </c>
      <c r="K282" s="24" t="n">
        <v>3166.666666666667</v>
      </c>
      <c r="L282" s="24" t="n">
        <v>150</v>
      </c>
      <c r="M282" s="24">
        <f>I282+J282+K282+L282</f>
        <v/>
      </c>
      <c r="N282" s="24">
        <f>M282*Dashboard!$B$18/(Dashboard!$B$16/3.6)</f>
        <v/>
      </c>
      <c r="O282" s="24" t="n">
        <v>480.2250526573088</v>
      </c>
      <c r="P282" s="25" t="n">
        <v>0.4806796209288155</v>
      </c>
      <c r="Q282" s="26" t="n">
        <v>0.2</v>
      </c>
      <c r="R282" s="24" t="n">
        <v>600.9237857933757</v>
      </c>
      <c r="S282" s="24">
        <f>R282*IF(A282=4, 2.0, 3.0)</f>
        <v/>
      </c>
      <c r="T282" s="22">
        <f>8.0*U282</f>
        <v/>
      </c>
      <c r="U282" s="27">
        <f>MIN(1, S282/M282)</f>
        <v/>
      </c>
      <c r="V282" s="27">
        <f>N282/(N282+O282)</f>
        <v/>
      </c>
      <c r="W282" s="27">
        <f>U282*V282</f>
        <v/>
      </c>
      <c r="X282" s="25">
        <f>T282/N282</f>
        <v/>
      </c>
      <c r="Y282" s="28">
        <f>IF(X282=MAXIFS(X$2:X$721, A$2:A$721, A282, B$2:B$721, B282), "OPTIMAL", "")</f>
        <v/>
      </c>
    </row>
    <row r="283" ht="20" customHeight="1">
      <c r="A283" s="29" t="n">
        <v>4</v>
      </c>
      <c r="B283" s="29" t="n">
        <v>45</v>
      </c>
      <c r="C283" s="30" t="n">
        <v>100</v>
      </c>
      <c r="D283" s="30" t="n">
        <v>2</v>
      </c>
      <c r="E283" s="6" t="n">
        <v>0</v>
      </c>
      <c r="F283" s="30" t="n">
        <v>0</v>
      </c>
      <c r="G283" s="6" t="inlineStr">
        <is>
          <t>Oui</t>
        </is>
      </c>
      <c r="H283" s="6" t="inlineStr">
        <is>
          <t>OFF</t>
        </is>
      </c>
      <c r="I283" s="31" t="n">
        <v>1132.611974342026</v>
      </c>
      <c r="J283" s="31" t="n">
        <v>6657.967474874614</v>
      </c>
      <c r="K283" s="31" t="n">
        <v>3166.666666666667</v>
      </c>
      <c r="L283" s="31" t="n">
        <v>150</v>
      </c>
      <c r="M283" s="31">
        <f>I283+J283+K283+L283</f>
        <v/>
      </c>
      <c r="N283" s="31">
        <f>M283*Dashboard!$B$18/(Dashboard!$B$16/3.6)</f>
        <v/>
      </c>
      <c r="O283" s="31" t="n">
        <v>480.2250526573088</v>
      </c>
      <c r="P283" s="32" t="n">
        <v>0.7989895071126063</v>
      </c>
      <c r="Q283" s="33" t="n">
        <v>0.2</v>
      </c>
      <c r="R283" s="31" t="n">
        <v>361.5214154765602</v>
      </c>
      <c r="S283" s="31">
        <f>R283*IF(A283=4, 2.0, 3.0)</f>
        <v/>
      </c>
      <c r="T283" s="30">
        <f>8.0*U283</f>
        <v/>
      </c>
      <c r="U283" s="34">
        <f>MIN(1, S283/M283)</f>
        <v/>
      </c>
      <c r="V283" s="34">
        <f>N283/(N283+O283)</f>
        <v/>
      </c>
      <c r="W283" s="34">
        <f>U283*V283</f>
        <v/>
      </c>
      <c r="X283" s="32">
        <f>T283/N283</f>
        <v/>
      </c>
      <c r="Y283" s="35">
        <f>IF(X283=MAXIFS(X$2:X$721, A$2:A$721, A283, B$2:B$721, B283), "OPTIMAL", "")</f>
        <v/>
      </c>
    </row>
    <row r="284" ht="20" customHeight="1">
      <c r="A284" s="21" t="n">
        <v>4</v>
      </c>
      <c r="B284" s="21" t="n">
        <v>45</v>
      </c>
      <c r="C284" s="22" t="n">
        <v>100</v>
      </c>
      <c r="D284" s="22" t="n">
        <v>2</v>
      </c>
      <c r="E284" s="23" t="n">
        <v>0</v>
      </c>
      <c r="F284" s="22" t="n">
        <v>0</v>
      </c>
      <c r="G284" s="23" t="inlineStr">
        <is>
          <t>Non</t>
        </is>
      </c>
      <c r="H284" s="23" t="inlineStr">
        <is>
          <t>ON</t>
        </is>
      </c>
      <c r="I284" s="24" t="n">
        <v>1132.611974342026</v>
      </c>
      <c r="J284" s="24" t="n">
        <v>6657.967474874614</v>
      </c>
      <c r="K284" s="24" t="n">
        <v>3166.666666666667</v>
      </c>
      <c r="L284" s="24" t="n">
        <v>150</v>
      </c>
      <c r="M284" s="24">
        <f>I284+J284+K284+L284</f>
        <v/>
      </c>
      <c r="N284" s="24">
        <f>M284*Dashboard!$B$18/(Dashboard!$B$16/3.6)</f>
        <v/>
      </c>
      <c r="O284" s="24" t="n">
        <v>480.2250526573088</v>
      </c>
      <c r="P284" s="25" t="n">
        <v>0.4774965220669776</v>
      </c>
      <c r="Q284" s="26" t="n">
        <v>0.2</v>
      </c>
      <c r="R284" s="24" t="n">
        <v>604.9296784652848</v>
      </c>
      <c r="S284" s="24">
        <f>R284*IF(A284=4, 2.0, 3.0)</f>
        <v/>
      </c>
      <c r="T284" s="22">
        <f>8.0*U284</f>
        <v/>
      </c>
      <c r="U284" s="27">
        <f>MIN(1, S284/M284)</f>
        <v/>
      </c>
      <c r="V284" s="27">
        <f>N284/(N284+O284)</f>
        <v/>
      </c>
      <c r="W284" s="27">
        <f>U284*V284</f>
        <v/>
      </c>
      <c r="X284" s="25">
        <f>T284/N284</f>
        <v/>
      </c>
      <c r="Y284" s="28">
        <f>IF(X284=MAXIFS(X$2:X$721, A$2:A$721, A284, B$2:B$721, B284), "OPTIMAL", "")</f>
        <v/>
      </c>
    </row>
    <row r="285" ht="20" customHeight="1">
      <c r="A285" s="29" t="n">
        <v>4</v>
      </c>
      <c r="B285" s="29" t="n">
        <v>45</v>
      </c>
      <c r="C285" s="30" t="n">
        <v>100</v>
      </c>
      <c r="D285" s="30" t="n">
        <v>2</v>
      </c>
      <c r="E285" s="6" t="n">
        <v>0</v>
      </c>
      <c r="F285" s="30" t="n">
        <v>0</v>
      </c>
      <c r="G285" s="6" t="inlineStr">
        <is>
          <t>Non</t>
        </is>
      </c>
      <c r="H285" s="6" t="inlineStr">
        <is>
          <t>OFF</t>
        </is>
      </c>
      <c r="I285" s="31" t="n">
        <v>1132.611974342026</v>
      </c>
      <c r="J285" s="31" t="n">
        <v>6657.967474874614</v>
      </c>
      <c r="K285" s="31" t="n">
        <v>3166.666666666667</v>
      </c>
      <c r="L285" s="31" t="n">
        <v>150</v>
      </c>
      <c r="M285" s="31">
        <f>I285+J285+K285+L285</f>
        <v/>
      </c>
      <c r="N285" s="31">
        <f>M285*Dashboard!$B$18/(Dashboard!$B$16/3.6)</f>
        <v/>
      </c>
      <c r="O285" s="31" t="n">
        <v>480.2250526573088</v>
      </c>
      <c r="P285" s="32" t="n">
        <v>0.7958064082507683</v>
      </c>
      <c r="Q285" s="33" t="n">
        <v>0.2</v>
      </c>
      <c r="R285" s="31" t="n">
        <v>362.9674435484663</v>
      </c>
      <c r="S285" s="31">
        <f>R285*IF(A285=4, 2.0, 3.0)</f>
        <v/>
      </c>
      <c r="T285" s="30">
        <f>8.0*U285</f>
        <v/>
      </c>
      <c r="U285" s="34">
        <f>MIN(1, S285/M285)</f>
        <v/>
      </c>
      <c r="V285" s="34">
        <f>N285/(N285+O285)</f>
        <v/>
      </c>
      <c r="W285" s="34">
        <f>U285*V285</f>
        <v/>
      </c>
      <c r="X285" s="32">
        <f>T285/N285</f>
        <v/>
      </c>
      <c r="Y285" s="35">
        <f>IF(X285=MAXIFS(X$2:X$721, A$2:A$721, A285, B$2:B$721, B285), "OPTIMAL", "")</f>
        <v/>
      </c>
    </row>
    <row r="286" ht="20" customHeight="1">
      <c r="A286" s="21" t="n">
        <v>4</v>
      </c>
      <c r="B286" s="21" t="n">
        <v>45</v>
      </c>
      <c r="C286" s="22" t="n">
        <v>100</v>
      </c>
      <c r="D286" s="22" t="n">
        <v>2</v>
      </c>
      <c r="E286" s="23" t="n">
        <v>4</v>
      </c>
      <c r="F286" s="22" t="n">
        <v>1.5</v>
      </c>
      <c r="G286" s="23" t="inlineStr">
        <is>
          <t>Oui</t>
        </is>
      </c>
      <c r="H286" s="23" t="inlineStr">
        <is>
          <t>ON</t>
        </is>
      </c>
      <c r="I286" s="24" t="n">
        <v>1132.611974342026</v>
      </c>
      <c r="J286" s="24" t="n">
        <v>6657.967474874614</v>
      </c>
      <c r="K286" s="24" t="n">
        <v>3166.666666666667</v>
      </c>
      <c r="L286" s="24" t="n">
        <v>150</v>
      </c>
      <c r="M286" s="24">
        <f>I286+J286+K286+L286</f>
        <v/>
      </c>
      <c r="N286" s="24">
        <f>M286*Dashboard!$B$18/(Dashboard!$B$16/3.6)</f>
        <v/>
      </c>
      <c r="O286" s="24" t="n">
        <v>754.1090185815629</v>
      </c>
      <c r="P286" s="25" t="n">
        <v>0.07376163664698646</v>
      </c>
      <c r="Q286" s="26" t="n">
        <v>6.718986469044035</v>
      </c>
      <c r="R286" s="24" t="n">
        <v>4044.765820290888</v>
      </c>
      <c r="S286" s="24">
        <f>R286*IF(A286=4, 2.0, 3.0)</f>
        <v/>
      </c>
      <c r="T286" s="22">
        <f>8.0*U286</f>
        <v/>
      </c>
      <c r="U286" s="27">
        <f>MIN(1, S286/M286)</f>
        <v/>
      </c>
      <c r="V286" s="27">
        <f>N286/(N286+O286)</f>
        <v/>
      </c>
      <c r="W286" s="27">
        <f>U286*V286</f>
        <v/>
      </c>
      <c r="X286" s="25">
        <f>T286/N286</f>
        <v/>
      </c>
      <c r="Y286" s="28">
        <f>IF(X286=MAXIFS(X$2:X$721, A$2:A$721, A286, B$2:B$721, B286), "OPTIMAL", "")</f>
        <v/>
      </c>
    </row>
    <row r="287" ht="20" customHeight="1">
      <c r="A287" s="29" t="n">
        <v>4</v>
      </c>
      <c r="B287" s="29" t="n">
        <v>45</v>
      </c>
      <c r="C287" s="30" t="n">
        <v>100</v>
      </c>
      <c r="D287" s="30" t="n">
        <v>2</v>
      </c>
      <c r="E287" s="6" t="n">
        <v>4</v>
      </c>
      <c r="F287" s="30" t="n">
        <v>1.5</v>
      </c>
      <c r="G287" s="6" t="inlineStr">
        <is>
          <t>Oui</t>
        </is>
      </c>
      <c r="H287" s="6" t="inlineStr">
        <is>
          <t>OFF</t>
        </is>
      </c>
      <c r="I287" s="31" t="n">
        <v>1132.611974342026</v>
      </c>
      <c r="J287" s="31" t="n">
        <v>6657.967474874614</v>
      </c>
      <c r="K287" s="31" t="n">
        <v>3166.666666666667</v>
      </c>
      <c r="L287" s="31" t="n">
        <v>150</v>
      </c>
      <c r="M287" s="31">
        <f>I287+J287+K287+L287</f>
        <v/>
      </c>
      <c r="N287" s="31">
        <f>M287*Dashboard!$B$18/(Dashboard!$B$16/3.6)</f>
        <v/>
      </c>
      <c r="O287" s="31" t="n">
        <v>754.1090185815629</v>
      </c>
      <c r="P287" s="32" t="n">
        <v>0.3073240714228834</v>
      </c>
      <c r="Q287" s="33" t="n">
        <v>6.718986469044035</v>
      </c>
      <c r="R287" s="31" t="n">
        <v>970.794592747386</v>
      </c>
      <c r="S287" s="31">
        <f>R287*IF(A287=4, 2.0, 3.0)</f>
        <v/>
      </c>
      <c r="T287" s="30">
        <f>8.0*U287</f>
        <v/>
      </c>
      <c r="U287" s="34">
        <f>MIN(1, S287/M287)</f>
        <v/>
      </c>
      <c r="V287" s="34">
        <f>N287/(N287+O287)</f>
        <v/>
      </c>
      <c r="W287" s="34">
        <f>U287*V287</f>
        <v/>
      </c>
      <c r="X287" s="32">
        <f>T287/N287</f>
        <v/>
      </c>
      <c r="Y287" s="35">
        <f>IF(X287=MAXIFS(X$2:X$721, A$2:A$721, A287, B$2:B$721, B287), "OPTIMAL", "")</f>
        <v/>
      </c>
    </row>
    <row r="288" ht="20" customHeight="1">
      <c r="A288" s="21" t="n">
        <v>4</v>
      </c>
      <c r="B288" s="21" t="n">
        <v>45</v>
      </c>
      <c r="C288" s="22" t="n">
        <v>100</v>
      </c>
      <c r="D288" s="22" t="n">
        <v>2</v>
      </c>
      <c r="E288" s="23" t="n">
        <v>4</v>
      </c>
      <c r="F288" s="22" t="n">
        <v>1.5</v>
      </c>
      <c r="G288" s="23" t="inlineStr">
        <is>
          <t>Non</t>
        </is>
      </c>
      <c r="H288" s="23" t="inlineStr">
        <is>
          <t>ON</t>
        </is>
      </c>
      <c r="I288" s="24" t="n">
        <v>1132.611974342026</v>
      </c>
      <c r="J288" s="24" t="n">
        <v>6657.967474874614</v>
      </c>
      <c r="K288" s="24" t="n">
        <v>3166.666666666667</v>
      </c>
      <c r="L288" s="24" t="n">
        <v>150</v>
      </c>
      <c r="M288" s="24">
        <f>I288+J288+K288+L288</f>
        <v/>
      </c>
      <c r="N288" s="24">
        <f>M288*Dashboard!$B$18/(Dashboard!$B$16/3.6)</f>
        <v/>
      </c>
      <c r="O288" s="24" t="n">
        <v>754.1090185815629</v>
      </c>
      <c r="P288" s="25" t="n">
        <v>0.07057853778514854</v>
      </c>
      <c r="Q288" s="26" t="n">
        <v>6.718986469044035</v>
      </c>
      <c r="R288" s="24" t="n">
        <v>4227.185148928184</v>
      </c>
      <c r="S288" s="24">
        <f>R288*IF(A288=4, 2.0, 3.0)</f>
        <v/>
      </c>
      <c r="T288" s="22">
        <f>8.0*U288</f>
        <v/>
      </c>
      <c r="U288" s="27">
        <f>MIN(1, S288/M288)</f>
        <v/>
      </c>
      <c r="V288" s="27">
        <f>N288/(N288+O288)</f>
        <v/>
      </c>
      <c r="W288" s="27">
        <f>U288*V288</f>
        <v/>
      </c>
      <c r="X288" s="25">
        <f>T288/N288</f>
        <v/>
      </c>
      <c r="Y288" s="28">
        <f>IF(X288=MAXIFS(X$2:X$721, A$2:A$721, A288, B$2:B$721, B288), "OPTIMAL", "")</f>
        <v/>
      </c>
    </row>
    <row r="289" ht="20" customHeight="1">
      <c r="A289" s="29" t="n">
        <v>4</v>
      </c>
      <c r="B289" s="29" t="n">
        <v>45</v>
      </c>
      <c r="C289" s="30" t="n">
        <v>100</v>
      </c>
      <c r="D289" s="30" t="n">
        <v>2</v>
      </c>
      <c r="E289" s="6" t="n">
        <v>4</v>
      </c>
      <c r="F289" s="30" t="n">
        <v>1.5</v>
      </c>
      <c r="G289" s="6" t="inlineStr">
        <is>
          <t>Non</t>
        </is>
      </c>
      <c r="H289" s="6" t="inlineStr">
        <is>
          <t>OFF</t>
        </is>
      </c>
      <c r="I289" s="31" t="n">
        <v>1132.611974342026</v>
      </c>
      <c r="J289" s="31" t="n">
        <v>6657.967474874614</v>
      </c>
      <c r="K289" s="31" t="n">
        <v>3166.666666666667</v>
      </c>
      <c r="L289" s="31" t="n">
        <v>150</v>
      </c>
      <c r="M289" s="31">
        <f>I289+J289+K289+L289</f>
        <v/>
      </c>
      <c r="N289" s="31">
        <f>M289*Dashboard!$B$18/(Dashboard!$B$16/3.6)</f>
        <v/>
      </c>
      <c r="O289" s="31" t="n">
        <v>754.1090185815629</v>
      </c>
      <c r="P289" s="32" t="n">
        <v>0.3041409725610454</v>
      </c>
      <c r="Q289" s="33" t="n">
        <v>6.718986469044035</v>
      </c>
      <c r="R289" s="31" t="n">
        <v>980.9547995003002</v>
      </c>
      <c r="S289" s="31">
        <f>R289*IF(A289=4, 2.0, 3.0)</f>
        <v/>
      </c>
      <c r="T289" s="30">
        <f>8.0*U289</f>
        <v/>
      </c>
      <c r="U289" s="34">
        <f>MIN(1, S289/M289)</f>
        <v/>
      </c>
      <c r="V289" s="34">
        <f>N289/(N289+O289)</f>
        <v/>
      </c>
      <c r="W289" s="34">
        <f>U289*V289</f>
        <v/>
      </c>
      <c r="X289" s="32">
        <f>T289/N289</f>
        <v/>
      </c>
      <c r="Y289" s="35">
        <f>IF(X289=MAXIFS(X$2:X$721, A$2:A$721, A289, B$2:B$721, B289), "OPTIMAL", "")</f>
        <v/>
      </c>
    </row>
    <row r="290" ht="20" customHeight="1">
      <c r="A290" s="21" t="n">
        <v>4</v>
      </c>
      <c r="B290" s="21" t="n">
        <v>45</v>
      </c>
      <c r="C290" s="22" t="n">
        <v>100</v>
      </c>
      <c r="D290" s="22" t="n">
        <v>2</v>
      </c>
      <c r="E290" s="23" t="n">
        <v>4</v>
      </c>
      <c r="F290" s="22" t="n">
        <v>2</v>
      </c>
      <c r="G290" s="23" t="inlineStr">
        <is>
          <t>Oui</t>
        </is>
      </c>
      <c r="H290" s="23" t="inlineStr">
        <is>
          <t>ON</t>
        </is>
      </c>
      <c r="I290" s="24" t="n">
        <v>1132.611974342026</v>
      </c>
      <c r="J290" s="24" t="n">
        <v>6657.967474874614</v>
      </c>
      <c r="K290" s="24" t="n">
        <v>3166.666666666667</v>
      </c>
      <c r="L290" s="24" t="n">
        <v>150</v>
      </c>
      <c r="M290" s="24">
        <f>I290+J290+K290+L290</f>
        <v/>
      </c>
      <c r="N290" s="24">
        <f>M290*Dashboard!$B$18/(Dashboard!$B$16/3.6)</f>
        <v/>
      </c>
      <c r="O290" s="24" t="n">
        <v>849.4500739542225</v>
      </c>
      <c r="P290" s="25" t="n">
        <v>0.07106618988155999</v>
      </c>
      <c r="Q290" s="26" t="n">
        <v>8.891981958725379</v>
      </c>
      <c r="R290" s="24" t="n">
        <v>4244.696805427266</v>
      </c>
      <c r="S290" s="24">
        <f>R290*IF(A290=4, 2.0, 3.0)</f>
        <v/>
      </c>
      <c r="T290" s="22">
        <f>8.0*U290</f>
        <v/>
      </c>
      <c r="U290" s="27">
        <f>MIN(1, S290/M290)</f>
        <v/>
      </c>
      <c r="V290" s="27">
        <f>N290/(N290+O290)</f>
        <v/>
      </c>
      <c r="W290" s="27">
        <f>U290*V290</f>
        <v/>
      </c>
      <c r="X290" s="25">
        <f>T290/N290</f>
        <v/>
      </c>
      <c r="Y290" s="28">
        <f>IF(X290=MAXIFS(X$2:X$721, A$2:A$721, A290, B$2:B$721, B290), "OPTIMAL", "")</f>
        <v/>
      </c>
    </row>
    <row r="291" ht="20" customHeight="1">
      <c r="A291" s="29" t="n">
        <v>4</v>
      </c>
      <c r="B291" s="29" t="n">
        <v>45</v>
      </c>
      <c r="C291" s="30" t="n">
        <v>100</v>
      </c>
      <c r="D291" s="30" t="n">
        <v>2</v>
      </c>
      <c r="E291" s="6" t="n">
        <v>4</v>
      </c>
      <c r="F291" s="30" t="n">
        <v>2</v>
      </c>
      <c r="G291" s="6" t="inlineStr">
        <is>
          <t>Oui</t>
        </is>
      </c>
      <c r="H291" s="6" t="inlineStr">
        <is>
          <t>OFF</t>
        </is>
      </c>
      <c r="I291" s="31" t="n">
        <v>1132.611974342026</v>
      </c>
      <c r="J291" s="31" t="n">
        <v>6657.967474874614</v>
      </c>
      <c r="K291" s="31" t="n">
        <v>3166.666666666667</v>
      </c>
      <c r="L291" s="31" t="n">
        <v>150</v>
      </c>
      <c r="M291" s="31">
        <f>I291+J291+K291+L291</f>
        <v/>
      </c>
      <c r="N291" s="31">
        <f>M291*Dashboard!$B$18/(Dashboard!$B$16/3.6)</f>
        <v/>
      </c>
      <c r="O291" s="31" t="n">
        <v>849.4500739542225</v>
      </c>
      <c r="P291" s="32" t="n">
        <v>0.3057228026390766</v>
      </c>
      <c r="Q291" s="33" t="n">
        <v>8.891981958725379</v>
      </c>
      <c r="R291" s="31" t="n">
        <v>986.692607028942</v>
      </c>
      <c r="S291" s="31">
        <f>R291*IF(A291=4, 2.0, 3.0)</f>
        <v/>
      </c>
      <c r="T291" s="30">
        <f>8.0*U291</f>
        <v/>
      </c>
      <c r="U291" s="34">
        <f>MIN(1, S291/M291)</f>
        <v/>
      </c>
      <c r="V291" s="34">
        <f>N291/(N291+O291)</f>
        <v/>
      </c>
      <c r="W291" s="34">
        <f>U291*V291</f>
        <v/>
      </c>
      <c r="X291" s="32">
        <f>T291/N291</f>
        <v/>
      </c>
      <c r="Y291" s="35">
        <f>IF(X291=MAXIFS(X$2:X$721, A$2:A$721, A291, B$2:B$721, B291), "OPTIMAL", "")</f>
        <v/>
      </c>
    </row>
    <row r="292" ht="20" customHeight="1">
      <c r="A292" s="21" t="n">
        <v>4</v>
      </c>
      <c r="B292" s="21" t="n">
        <v>45</v>
      </c>
      <c r="C292" s="22" t="n">
        <v>100</v>
      </c>
      <c r="D292" s="22" t="n">
        <v>2</v>
      </c>
      <c r="E292" s="23" t="n">
        <v>4</v>
      </c>
      <c r="F292" s="22" t="n">
        <v>2</v>
      </c>
      <c r="G292" s="23" t="inlineStr">
        <is>
          <t>Non</t>
        </is>
      </c>
      <c r="H292" s="23" t="inlineStr">
        <is>
          <t>ON</t>
        </is>
      </c>
      <c r="I292" s="24" t="n">
        <v>1132.611974342026</v>
      </c>
      <c r="J292" s="24" t="n">
        <v>6657.967474874614</v>
      </c>
      <c r="K292" s="24" t="n">
        <v>3166.666666666667</v>
      </c>
      <c r="L292" s="24" t="n">
        <v>150</v>
      </c>
      <c r="M292" s="24">
        <f>I292+J292+K292+L292</f>
        <v/>
      </c>
      <c r="N292" s="24">
        <f>M292*Dashboard!$B$18/(Dashboard!$B$16/3.6)</f>
        <v/>
      </c>
      <c r="O292" s="24" t="n">
        <v>849.4500739542225</v>
      </c>
      <c r="P292" s="25" t="n">
        <v>0.06788309101972209</v>
      </c>
      <c r="Q292" s="26" t="n">
        <v>8.891981958725379</v>
      </c>
      <c r="R292" s="24" t="n">
        <v>4443.734435671256</v>
      </c>
      <c r="S292" s="24">
        <f>R292*IF(A292=4, 2.0, 3.0)</f>
        <v/>
      </c>
      <c r="T292" s="22">
        <f>8.0*U292</f>
        <v/>
      </c>
      <c r="U292" s="27">
        <f>MIN(1, S292/M292)</f>
        <v/>
      </c>
      <c r="V292" s="27">
        <f>N292/(N292+O292)</f>
        <v/>
      </c>
      <c r="W292" s="27">
        <f>U292*V292</f>
        <v/>
      </c>
      <c r="X292" s="25">
        <f>T292/N292</f>
        <v/>
      </c>
      <c r="Y292" s="28">
        <f>IF(X292=MAXIFS(X$2:X$721, A$2:A$721, A292, B$2:B$721, B292), "OPTIMAL", "")</f>
        <v/>
      </c>
    </row>
    <row r="293" ht="20" customHeight="1">
      <c r="A293" s="29" t="n">
        <v>4</v>
      </c>
      <c r="B293" s="29" t="n">
        <v>45</v>
      </c>
      <c r="C293" s="30" t="n">
        <v>100</v>
      </c>
      <c r="D293" s="30" t="n">
        <v>2</v>
      </c>
      <c r="E293" s="6" t="n">
        <v>4</v>
      </c>
      <c r="F293" s="30" t="n">
        <v>2</v>
      </c>
      <c r="G293" s="6" t="inlineStr">
        <is>
          <t>Non</t>
        </is>
      </c>
      <c r="H293" s="6" t="inlineStr">
        <is>
          <t>OFF</t>
        </is>
      </c>
      <c r="I293" s="31" t="n">
        <v>1132.611974342026</v>
      </c>
      <c r="J293" s="31" t="n">
        <v>6657.967474874614</v>
      </c>
      <c r="K293" s="31" t="n">
        <v>3166.666666666667</v>
      </c>
      <c r="L293" s="31" t="n">
        <v>150</v>
      </c>
      <c r="M293" s="31">
        <f>I293+J293+K293+L293</f>
        <v/>
      </c>
      <c r="N293" s="31">
        <f>M293*Dashboard!$B$18/(Dashboard!$B$16/3.6)</f>
        <v/>
      </c>
      <c r="O293" s="31" t="n">
        <v>849.4500739542225</v>
      </c>
      <c r="P293" s="32" t="n">
        <v>0.3025397037772387</v>
      </c>
      <c r="Q293" s="33" t="n">
        <v>8.891981958725379</v>
      </c>
      <c r="R293" s="31" t="n">
        <v>997.0738564160647</v>
      </c>
      <c r="S293" s="31">
        <f>R293*IF(A293=4, 2.0, 3.0)</f>
        <v/>
      </c>
      <c r="T293" s="30">
        <f>8.0*U293</f>
        <v/>
      </c>
      <c r="U293" s="34">
        <f>MIN(1, S293/M293)</f>
        <v/>
      </c>
      <c r="V293" s="34">
        <f>N293/(N293+O293)</f>
        <v/>
      </c>
      <c r="W293" s="34">
        <f>U293*V293</f>
        <v/>
      </c>
      <c r="X293" s="32">
        <f>T293/N293</f>
        <v/>
      </c>
      <c r="Y293" s="35">
        <f>IF(X293=MAXIFS(X$2:X$721, A$2:A$721, A293, B$2:B$721, B293), "OPTIMAL", "")</f>
        <v/>
      </c>
    </row>
    <row r="294" ht="20" customHeight="1">
      <c r="A294" s="21" t="n">
        <v>4</v>
      </c>
      <c r="B294" s="21" t="n">
        <v>45</v>
      </c>
      <c r="C294" s="22" t="n">
        <v>100</v>
      </c>
      <c r="D294" s="22" t="n">
        <v>2</v>
      </c>
      <c r="E294" s="23" t="n">
        <v>8</v>
      </c>
      <c r="F294" s="22" t="n">
        <v>1.5</v>
      </c>
      <c r="G294" s="23" t="inlineStr">
        <is>
          <t>Oui</t>
        </is>
      </c>
      <c r="H294" s="23" t="inlineStr">
        <is>
          <t>ON</t>
        </is>
      </c>
      <c r="I294" s="24" t="n">
        <v>1132.611974342026</v>
      </c>
      <c r="J294" s="24" t="n">
        <v>6657.967474874614</v>
      </c>
      <c r="K294" s="24" t="n">
        <v>3166.666666666667</v>
      </c>
      <c r="L294" s="24" t="n">
        <v>150</v>
      </c>
      <c r="M294" s="24">
        <f>I294+J294+K294+L294</f>
        <v/>
      </c>
      <c r="N294" s="24">
        <f>M294*Dashboard!$B$18/(Dashboard!$B$16/3.6)</f>
        <v/>
      </c>
      <c r="O294" s="24" t="n">
        <v>1046.614459208646</v>
      </c>
      <c r="P294" s="25" t="n">
        <v>0.05573050288457804</v>
      </c>
      <c r="Q294" s="26" t="n">
        <v>13.23797293808807</v>
      </c>
      <c r="R294" s="24" t="n">
        <v>5535.406038105171</v>
      </c>
      <c r="S294" s="24">
        <f>R294*IF(A294=4, 2.0, 3.0)</f>
        <v/>
      </c>
      <c r="T294" s="22">
        <f>8.0*U294</f>
        <v/>
      </c>
      <c r="U294" s="27">
        <f>MIN(1, S294/M294)</f>
        <v/>
      </c>
      <c r="V294" s="27">
        <f>N294/(N294+O294)</f>
        <v/>
      </c>
      <c r="W294" s="27">
        <f>U294*V294</f>
        <v/>
      </c>
      <c r="X294" s="25">
        <f>T294/N294</f>
        <v/>
      </c>
      <c r="Y294" s="28">
        <f>IF(X294=MAXIFS(X$2:X$721, A$2:A$721, A294, B$2:B$721, B294), "OPTIMAL", "")</f>
        <v/>
      </c>
    </row>
    <row r="295" ht="20" customHeight="1">
      <c r="A295" s="29" t="n">
        <v>4</v>
      </c>
      <c r="B295" s="29" t="n">
        <v>45</v>
      </c>
      <c r="C295" s="30" t="n">
        <v>100</v>
      </c>
      <c r="D295" s="30" t="n">
        <v>2</v>
      </c>
      <c r="E295" s="6" t="n">
        <v>8</v>
      </c>
      <c r="F295" s="30" t="n">
        <v>1.5</v>
      </c>
      <c r="G295" s="6" t="inlineStr">
        <is>
          <t>Oui</t>
        </is>
      </c>
      <c r="H295" s="6" t="inlineStr">
        <is>
          <t>OFF</t>
        </is>
      </c>
      <c r="I295" s="31" t="n">
        <v>1132.611974342026</v>
      </c>
      <c r="J295" s="31" t="n">
        <v>6657.967474874614</v>
      </c>
      <c r="K295" s="31" t="n">
        <v>3166.666666666667</v>
      </c>
      <c r="L295" s="31" t="n">
        <v>150</v>
      </c>
      <c r="M295" s="31">
        <f>I295+J295+K295+L295</f>
        <v/>
      </c>
      <c r="N295" s="31">
        <f>M295*Dashboard!$B$18/(Dashboard!$B$16/3.6)</f>
        <v/>
      </c>
      <c r="O295" s="31" t="n">
        <v>1046.614459208646</v>
      </c>
      <c r="P295" s="32" t="n">
        <v>0.2401827722650424</v>
      </c>
      <c r="Q295" s="33" t="n">
        <v>13.23797293808807</v>
      </c>
      <c r="R295" s="31" t="n">
        <v>1284.400872155436</v>
      </c>
      <c r="S295" s="31">
        <f>R295*IF(A295=4, 2.0, 3.0)</f>
        <v/>
      </c>
      <c r="T295" s="30">
        <f>8.0*U295</f>
        <v/>
      </c>
      <c r="U295" s="34">
        <f>MIN(1, S295/M295)</f>
        <v/>
      </c>
      <c r="V295" s="34">
        <f>N295/(N295+O295)</f>
        <v/>
      </c>
      <c r="W295" s="34">
        <f>U295*V295</f>
        <v/>
      </c>
      <c r="X295" s="32">
        <f>T295/N295</f>
        <v/>
      </c>
      <c r="Y295" s="35">
        <f>IF(X295=MAXIFS(X$2:X$721, A$2:A$721, A295, B$2:B$721, B295), "OPTIMAL", "")</f>
        <v/>
      </c>
    </row>
    <row r="296" ht="20" customHeight="1">
      <c r="A296" s="36" t="n">
        <v>4</v>
      </c>
      <c r="B296" s="36" t="n">
        <v>45</v>
      </c>
      <c r="C296" s="37" t="n">
        <v>100</v>
      </c>
      <c r="D296" s="37" t="n">
        <v>2</v>
      </c>
      <c r="E296" s="38" t="n">
        <v>8</v>
      </c>
      <c r="F296" s="37" t="n">
        <v>1.5</v>
      </c>
      <c r="G296" s="38" t="inlineStr">
        <is>
          <t>Non</t>
        </is>
      </c>
      <c r="H296" s="38" t="inlineStr">
        <is>
          <t>ON</t>
        </is>
      </c>
      <c r="I296" s="39" t="n">
        <v>1132.611974342026</v>
      </c>
      <c r="J296" s="39" t="n">
        <v>6657.967474874614</v>
      </c>
      <c r="K296" s="39" t="n">
        <v>3166.666666666667</v>
      </c>
      <c r="L296" s="39" t="n">
        <v>150</v>
      </c>
      <c r="M296" s="39">
        <f>I296+J296+K296+L296</f>
        <v/>
      </c>
      <c r="N296" s="39">
        <f>M296*Dashboard!$B$18/(Dashboard!$B$16/3.6)</f>
        <v/>
      </c>
      <c r="O296" s="39" t="n">
        <v>1046.614459208646</v>
      </c>
      <c r="P296" s="40" t="n">
        <v>0.05254740402274013</v>
      </c>
      <c r="Q296" s="41" t="n">
        <v>13.23797293808807</v>
      </c>
      <c r="R296" s="39" t="n">
        <v>5870.717458096124</v>
      </c>
      <c r="S296" s="39">
        <f>R296*IF(A296=4, 2.0, 3.0)</f>
        <v/>
      </c>
      <c r="T296" s="37">
        <f>8.0*U296</f>
        <v/>
      </c>
      <c r="U296" s="42">
        <f>MIN(1, S296/M296)</f>
        <v/>
      </c>
      <c r="V296" s="42">
        <f>N296/(N296+O296)</f>
        <v/>
      </c>
      <c r="W296" s="42">
        <f>U296*V296</f>
        <v/>
      </c>
      <c r="X296" s="40">
        <f>T296/N296</f>
        <v/>
      </c>
      <c r="Y296" s="15">
        <f>IF(X296=MAXIFS(X$2:X$721, A$2:A$721, A296, B$2:B$721, B296), "OPTIMAL", "")</f>
        <v/>
      </c>
    </row>
    <row r="297" ht="20" customHeight="1">
      <c r="A297" s="29" t="n">
        <v>4</v>
      </c>
      <c r="B297" s="29" t="n">
        <v>45</v>
      </c>
      <c r="C297" s="30" t="n">
        <v>100</v>
      </c>
      <c r="D297" s="30" t="n">
        <v>2</v>
      </c>
      <c r="E297" s="6" t="n">
        <v>8</v>
      </c>
      <c r="F297" s="30" t="n">
        <v>1.5</v>
      </c>
      <c r="G297" s="6" t="inlineStr">
        <is>
          <t>Non</t>
        </is>
      </c>
      <c r="H297" s="6" t="inlineStr">
        <is>
          <t>OFF</t>
        </is>
      </c>
      <c r="I297" s="31" t="n">
        <v>1132.611974342026</v>
      </c>
      <c r="J297" s="31" t="n">
        <v>6657.967474874614</v>
      </c>
      <c r="K297" s="31" t="n">
        <v>3166.666666666667</v>
      </c>
      <c r="L297" s="31" t="n">
        <v>150</v>
      </c>
      <c r="M297" s="31">
        <f>I297+J297+K297+L297</f>
        <v/>
      </c>
      <c r="N297" s="31">
        <f>M297*Dashboard!$B$18/(Dashboard!$B$16/3.6)</f>
        <v/>
      </c>
      <c r="O297" s="31" t="n">
        <v>1046.614459208646</v>
      </c>
      <c r="P297" s="32" t="n">
        <v>0.2369996734032044</v>
      </c>
      <c r="Q297" s="33" t="n">
        <v>13.23797293808807</v>
      </c>
      <c r="R297" s="31" t="n">
        <v>1301.651423160821</v>
      </c>
      <c r="S297" s="31">
        <f>R297*IF(A297=4, 2.0, 3.0)</f>
        <v/>
      </c>
      <c r="T297" s="30">
        <f>8.0*U297</f>
        <v/>
      </c>
      <c r="U297" s="34">
        <f>MIN(1, S297/M297)</f>
        <v/>
      </c>
      <c r="V297" s="34">
        <f>N297/(N297+O297)</f>
        <v/>
      </c>
      <c r="W297" s="34">
        <f>U297*V297</f>
        <v/>
      </c>
      <c r="X297" s="32">
        <f>T297/N297</f>
        <v/>
      </c>
      <c r="Y297" s="35">
        <f>IF(X297=MAXIFS(X$2:X$721, A$2:A$721, A297, B$2:B$721, B297), "OPTIMAL", "")</f>
        <v/>
      </c>
    </row>
    <row r="298" ht="20" customHeight="1">
      <c r="A298" s="36" t="n">
        <v>4</v>
      </c>
      <c r="B298" s="36" t="n">
        <v>45</v>
      </c>
      <c r="C298" s="37" t="n">
        <v>100</v>
      </c>
      <c r="D298" s="37" t="n">
        <v>2</v>
      </c>
      <c r="E298" s="38" t="n">
        <v>8</v>
      </c>
      <c r="F298" s="37" t="n">
        <v>2</v>
      </c>
      <c r="G298" s="38" t="inlineStr">
        <is>
          <t>Oui</t>
        </is>
      </c>
      <c r="H298" s="38" t="inlineStr">
        <is>
          <t>ON</t>
        </is>
      </c>
      <c r="I298" s="39" t="n">
        <v>1132.611974342026</v>
      </c>
      <c r="J298" s="39" t="n">
        <v>6657.967474874614</v>
      </c>
      <c r="K298" s="39" t="n">
        <v>3166.666666666667</v>
      </c>
      <c r="L298" s="39" t="n">
        <v>150</v>
      </c>
      <c r="M298" s="39">
        <f>I298+J298+K298+L298</f>
        <v/>
      </c>
      <c r="N298" s="39">
        <f>M298*Dashboard!$B$18/(Dashboard!$B$16/3.6)</f>
        <v/>
      </c>
      <c r="O298" s="39" t="n">
        <v>1252.922935413642</v>
      </c>
      <c r="P298" s="40" t="n">
        <v>0.05449488140602117</v>
      </c>
      <c r="Q298" s="41" t="n">
        <v>17.58396391745076</v>
      </c>
      <c r="R298" s="39" t="n">
        <v>5792.187299165436</v>
      </c>
      <c r="S298" s="39">
        <f>R298*IF(A298=4, 2.0, 3.0)</f>
        <v/>
      </c>
      <c r="T298" s="37">
        <f>8.0*U298</f>
        <v/>
      </c>
      <c r="U298" s="42">
        <f>MIN(1, S298/M298)</f>
        <v/>
      </c>
      <c r="V298" s="42">
        <f>N298/(N298+O298)</f>
        <v/>
      </c>
      <c r="W298" s="42">
        <f>U298*V298</f>
        <v/>
      </c>
      <c r="X298" s="40">
        <f>T298/N298</f>
        <v/>
      </c>
      <c r="Y298" s="15">
        <f>IF(X298=MAXIFS(X$2:X$721, A$2:A$721, A298, B$2:B$721, B298), "OPTIMAL", "")</f>
        <v/>
      </c>
    </row>
    <row r="299" ht="20" customHeight="1">
      <c r="A299" s="29" t="n">
        <v>4</v>
      </c>
      <c r="B299" s="29" t="n">
        <v>45</v>
      </c>
      <c r="C299" s="30" t="n">
        <v>100</v>
      </c>
      <c r="D299" s="30" t="n">
        <v>2</v>
      </c>
      <c r="E299" s="6" t="n">
        <v>8</v>
      </c>
      <c r="F299" s="30" t="n">
        <v>2</v>
      </c>
      <c r="G299" s="6" t="inlineStr">
        <is>
          <t>Oui</t>
        </is>
      </c>
      <c r="H299" s="6" t="inlineStr">
        <is>
          <t>OFF</t>
        </is>
      </c>
      <c r="I299" s="31" t="n">
        <v>1132.611974342026</v>
      </c>
      <c r="J299" s="31" t="n">
        <v>6657.967474874614</v>
      </c>
      <c r="K299" s="31" t="n">
        <v>3166.666666666667</v>
      </c>
      <c r="L299" s="31" t="n">
        <v>150</v>
      </c>
      <c r="M299" s="31">
        <f>I299+J299+K299+L299</f>
        <v/>
      </c>
      <c r="N299" s="31">
        <f>M299*Dashboard!$B$18/(Dashboard!$B$16/3.6)</f>
        <v/>
      </c>
      <c r="O299" s="31" t="n">
        <v>1252.922935413642</v>
      </c>
      <c r="P299" s="32" t="n">
        <v>0.2403161193409352</v>
      </c>
      <c r="Q299" s="33" t="n">
        <v>17.58396391745076</v>
      </c>
      <c r="R299" s="31" t="n">
        <v>1313.455630088963</v>
      </c>
      <c r="S299" s="31">
        <f>R299*IF(A299=4, 2.0, 3.0)</f>
        <v/>
      </c>
      <c r="T299" s="30">
        <f>8.0*U299</f>
        <v/>
      </c>
      <c r="U299" s="34">
        <f>MIN(1, S299/M299)</f>
        <v/>
      </c>
      <c r="V299" s="34">
        <f>N299/(N299+O299)</f>
        <v/>
      </c>
      <c r="W299" s="34">
        <f>U299*V299</f>
        <v/>
      </c>
      <c r="X299" s="32">
        <f>T299/N299</f>
        <v/>
      </c>
      <c r="Y299" s="35">
        <f>IF(X299=MAXIFS(X$2:X$721, A$2:A$721, A299, B$2:B$721, B299), "OPTIMAL", "")</f>
        <v/>
      </c>
    </row>
    <row r="300" ht="20" customHeight="1">
      <c r="A300" s="36" t="n">
        <v>4</v>
      </c>
      <c r="B300" s="36" t="n">
        <v>45</v>
      </c>
      <c r="C300" s="37" t="n">
        <v>100</v>
      </c>
      <c r="D300" s="37" t="n">
        <v>2</v>
      </c>
      <c r="E300" s="38" t="n">
        <v>8</v>
      </c>
      <c r="F300" s="37" t="n">
        <v>2</v>
      </c>
      <c r="G300" s="38" t="inlineStr">
        <is>
          <t>Non</t>
        </is>
      </c>
      <c r="H300" s="38" t="inlineStr">
        <is>
          <t>ON</t>
        </is>
      </c>
      <c r="I300" s="39" t="n">
        <v>1132.611974342026</v>
      </c>
      <c r="J300" s="39" t="n">
        <v>6657.967474874614</v>
      </c>
      <c r="K300" s="39" t="n">
        <v>3166.666666666667</v>
      </c>
      <c r="L300" s="39" t="n">
        <v>150</v>
      </c>
      <c r="M300" s="39">
        <f>I300+J300+K300+L300</f>
        <v/>
      </c>
      <c r="N300" s="39">
        <f>M300*Dashboard!$B$18/(Dashboard!$B$16/3.6)</f>
        <v/>
      </c>
      <c r="O300" s="39" t="n">
        <v>1252.922935413642</v>
      </c>
      <c r="P300" s="40" t="n">
        <v>0.05131178254418326</v>
      </c>
      <c r="Q300" s="41" t="n">
        <v>17.58396391745076</v>
      </c>
      <c r="R300" s="39" t="n">
        <v>6151.502526299668</v>
      </c>
      <c r="S300" s="39">
        <f>R300*IF(A300=4, 2.0, 3.0)</f>
        <v/>
      </c>
      <c r="T300" s="37">
        <f>8.0*U300</f>
        <v/>
      </c>
      <c r="U300" s="42">
        <f>MIN(1, S300/M300)</f>
        <v/>
      </c>
      <c r="V300" s="42">
        <f>N300/(N300+O300)</f>
        <v/>
      </c>
      <c r="W300" s="42">
        <f>U300*V300</f>
        <v/>
      </c>
      <c r="X300" s="40">
        <f>T300/N300</f>
        <v/>
      </c>
      <c r="Y300" s="15">
        <f>IF(X300=MAXIFS(X$2:X$721, A$2:A$721, A300, B$2:B$721, B300), "OPTIMAL", "")</f>
        <v/>
      </c>
    </row>
    <row r="301" ht="20" customHeight="1">
      <c r="A301" s="29" t="n">
        <v>4</v>
      </c>
      <c r="B301" s="29" t="n">
        <v>45</v>
      </c>
      <c r="C301" s="30" t="n">
        <v>100</v>
      </c>
      <c r="D301" s="30" t="n">
        <v>2</v>
      </c>
      <c r="E301" s="6" t="n">
        <v>8</v>
      </c>
      <c r="F301" s="30" t="n">
        <v>2</v>
      </c>
      <c r="G301" s="6" t="inlineStr">
        <is>
          <t>Non</t>
        </is>
      </c>
      <c r="H301" s="6" t="inlineStr">
        <is>
          <t>OFF</t>
        </is>
      </c>
      <c r="I301" s="31" t="n">
        <v>1132.611974342026</v>
      </c>
      <c r="J301" s="31" t="n">
        <v>6657.967474874614</v>
      </c>
      <c r="K301" s="31" t="n">
        <v>3166.666666666667</v>
      </c>
      <c r="L301" s="31" t="n">
        <v>150</v>
      </c>
      <c r="M301" s="31">
        <f>I301+J301+K301+L301</f>
        <v/>
      </c>
      <c r="N301" s="31">
        <f>M301*Dashboard!$B$18/(Dashboard!$B$16/3.6)</f>
        <v/>
      </c>
      <c r="O301" s="31" t="n">
        <v>1252.922935413642</v>
      </c>
      <c r="P301" s="32" t="n">
        <v>0.2371330204790973</v>
      </c>
      <c r="Q301" s="33" t="n">
        <v>17.58396391745076</v>
      </c>
      <c r="R301" s="31" t="n">
        <v>1331.086490239793</v>
      </c>
      <c r="S301" s="31">
        <f>R301*IF(A301=4, 2.0, 3.0)</f>
        <v/>
      </c>
      <c r="T301" s="30">
        <f>8.0*U301</f>
        <v/>
      </c>
      <c r="U301" s="34">
        <f>MIN(1, S301/M301)</f>
        <v/>
      </c>
      <c r="V301" s="34">
        <f>N301/(N301+O301)</f>
        <v/>
      </c>
      <c r="W301" s="34">
        <f>U301*V301</f>
        <v/>
      </c>
      <c r="X301" s="32">
        <f>T301/N301</f>
        <v/>
      </c>
      <c r="Y301" s="35">
        <f>IF(X301=MAXIFS(X$2:X$721, A$2:A$721, A301, B$2:B$721, B301), "OPTIMAL", "")</f>
        <v/>
      </c>
    </row>
    <row r="302" ht="20" customHeight="1">
      <c r="A302" s="21" t="n">
        <v>4</v>
      </c>
      <c r="B302" s="21" t="n">
        <v>45</v>
      </c>
      <c r="C302" s="22" t="n">
        <v>100</v>
      </c>
      <c r="D302" s="22" t="n">
        <v>3</v>
      </c>
      <c r="E302" s="23" t="n">
        <v>0</v>
      </c>
      <c r="F302" s="22" t="n">
        <v>0</v>
      </c>
      <c r="G302" s="23" t="inlineStr">
        <is>
          <t>Oui</t>
        </is>
      </c>
      <c r="H302" s="23" t="inlineStr">
        <is>
          <t>ON</t>
        </is>
      </c>
      <c r="I302" s="24" t="n">
        <v>1132.611974342026</v>
      </c>
      <c r="J302" s="24" t="n">
        <v>6657.967474874614</v>
      </c>
      <c r="K302" s="24" t="n">
        <v>3166.666666666667</v>
      </c>
      <c r="L302" s="24" t="n">
        <v>150</v>
      </c>
      <c r="M302" s="24">
        <f>I302+J302+K302+L302</f>
        <v/>
      </c>
      <c r="N302" s="24">
        <f>M302*Dashboard!$B$18/(Dashboard!$B$16/3.6)</f>
        <v/>
      </c>
      <c r="O302" s="24" t="n">
        <v>743.6498408755223</v>
      </c>
      <c r="P302" s="25" t="n">
        <v>0.4806959660709754</v>
      </c>
      <c r="Q302" s="26" t="n">
        <v>0.2</v>
      </c>
      <c r="R302" s="24" t="n">
        <v>626.7457330201217</v>
      </c>
      <c r="S302" s="24">
        <f>R302*IF(A302=4, 2.0, 3.0)</f>
        <v/>
      </c>
      <c r="T302" s="22">
        <f>8.0*U302</f>
        <v/>
      </c>
      <c r="U302" s="27">
        <f>MIN(1, S302/M302)</f>
        <v/>
      </c>
      <c r="V302" s="27">
        <f>N302/(N302+O302)</f>
        <v/>
      </c>
      <c r="W302" s="27">
        <f>U302*V302</f>
        <v/>
      </c>
      <c r="X302" s="25">
        <f>T302/N302</f>
        <v/>
      </c>
      <c r="Y302" s="28">
        <f>IF(X302=MAXIFS(X$2:X$721, A$2:A$721, A302, B$2:B$721, B302), "OPTIMAL", "")</f>
        <v/>
      </c>
    </row>
    <row r="303" ht="20" customHeight="1">
      <c r="A303" s="29" t="n">
        <v>4</v>
      </c>
      <c r="B303" s="29" t="n">
        <v>45</v>
      </c>
      <c r="C303" s="30" t="n">
        <v>100</v>
      </c>
      <c r="D303" s="30" t="n">
        <v>3</v>
      </c>
      <c r="E303" s="6" t="n">
        <v>0</v>
      </c>
      <c r="F303" s="30" t="n">
        <v>0</v>
      </c>
      <c r="G303" s="6" t="inlineStr">
        <is>
          <t>Oui</t>
        </is>
      </c>
      <c r="H303" s="6" t="inlineStr">
        <is>
          <t>OFF</t>
        </is>
      </c>
      <c r="I303" s="31" t="n">
        <v>1132.611974342026</v>
      </c>
      <c r="J303" s="31" t="n">
        <v>6657.967474874614</v>
      </c>
      <c r="K303" s="31" t="n">
        <v>3166.666666666667</v>
      </c>
      <c r="L303" s="31" t="n">
        <v>150</v>
      </c>
      <c r="M303" s="31">
        <f>I303+J303+K303+L303</f>
        <v/>
      </c>
      <c r="N303" s="31">
        <f>M303*Dashboard!$B$18/(Dashboard!$B$16/3.6)</f>
        <v/>
      </c>
      <c r="O303" s="31" t="n">
        <v>743.6498408755223</v>
      </c>
      <c r="P303" s="32" t="n">
        <v>0.7990058522547661</v>
      </c>
      <c r="Q303" s="33" t="n">
        <v>0.2</v>
      </c>
      <c r="R303" s="31" t="n">
        <v>377.0612502584107</v>
      </c>
      <c r="S303" s="31">
        <f>R303*IF(A303=4, 2.0, 3.0)</f>
        <v/>
      </c>
      <c r="T303" s="30">
        <f>8.0*U303</f>
        <v/>
      </c>
      <c r="U303" s="34">
        <f>MIN(1, S303/M303)</f>
        <v/>
      </c>
      <c r="V303" s="34">
        <f>N303/(N303+O303)</f>
        <v/>
      </c>
      <c r="W303" s="34">
        <f>U303*V303</f>
        <v/>
      </c>
      <c r="X303" s="32">
        <f>T303/N303</f>
        <v/>
      </c>
      <c r="Y303" s="35">
        <f>IF(X303=MAXIFS(X$2:X$721, A$2:A$721, A303, B$2:B$721, B303), "OPTIMAL", "")</f>
        <v/>
      </c>
    </row>
    <row r="304" ht="20" customHeight="1">
      <c r="A304" s="21" t="n">
        <v>4</v>
      </c>
      <c r="B304" s="21" t="n">
        <v>45</v>
      </c>
      <c r="C304" s="22" t="n">
        <v>100</v>
      </c>
      <c r="D304" s="22" t="n">
        <v>3</v>
      </c>
      <c r="E304" s="23" t="n">
        <v>0</v>
      </c>
      <c r="F304" s="22" t="n">
        <v>0</v>
      </c>
      <c r="G304" s="23" t="inlineStr">
        <is>
          <t>Non</t>
        </is>
      </c>
      <c r="H304" s="23" t="inlineStr">
        <is>
          <t>ON</t>
        </is>
      </c>
      <c r="I304" s="24" t="n">
        <v>1132.611974342026</v>
      </c>
      <c r="J304" s="24" t="n">
        <v>6657.967474874614</v>
      </c>
      <c r="K304" s="24" t="n">
        <v>3166.666666666667</v>
      </c>
      <c r="L304" s="24" t="n">
        <v>150</v>
      </c>
      <c r="M304" s="24">
        <f>I304+J304+K304+L304</f>
        <v/>
      </c>
      <c r="N304" s="24">
        <f>M304*Dashboard!$B$18/(Dashboard!$B$16/3.6)</f>
        <v/>
      </c>
      <c r="O304" s="24" t="n">
        <v>743.6498408755223</v>
      </c>
      <c r="P304" s="25" t="n">
        <v>0.4775128672091374</v>
      </c>
      <c r="Q304" s="26" t="n">
        <v>0.2</v>
      </c>
      <c r="R304" s="24" t="n">
        <v>630.9236175682346</v>
      </c>
      <c r="S304" s="24">
        <f>R304*IF(A304=4, 2.0, 3.0)</f>
        <v/>
      </c>
      <c r="T304" s="22">
        <f>8.0*U304</f>
        <v/>
      </c>
      <c r="U304" s="27">
        <f>MIN(1, S304/M304)</f>
        <v/>
      </c>
      <c r="V304" s="27">
        <f>N304/(N304+O304)</f>
        <v/>
      </c>
      <c r="W304" s="27">
        <f>U304*V304</f>
        <v/>
      </c>
      <c r="X304" s="25">
        <f>T304/N304</f>
        <v/>
      </c>
      <c r="Y304" s="28">
        <f>IF(X304=MAXIFS(X$2:X$721, A$2:A$721, A304, B$2:B$721, B304), "OPTIMAL", "")</f>
        <v/>
      </c>
    </row>
    <row r="305" ht="20" customHeight="1">
      <c r="A305" s="29" t="n">
        <v>4</v>
      </c>
      <c r="B305" s="29" t="n">
        <v>45</v>
      </c>
      <c r="C305" s="30" t="n">
        <v>100</v>
      </c>
      <c r="D305" s="30" t="n">
        <v>3</v>
      </c>
      <c r="E305" s="6" t="n">
        <v>0</v>
      </c>
      <c r="F305" s="30" t="n">
        <v>0</v>
      </c>
      <c r="G305" s="6" t="inlineStr">
        <is>
          <t>Non</t>
        </is>
      </c>
      <c r="H305" s="6" t="inlineStr">
        <is>
          <t>OFF</t>
        </is>
      </c>
      <c r="I305" s="31" t="n">
        <v>1132.611974342026</v>
      </c>
      <c r="J305" s="31" t="n">
        <v>6657.967474874614</v>
      </c>
      <c r="K305" s="31" t="n">
        <v>3166.666666666667</v>
      </c>
      <c r="L305" s="31" t="n">
        <v>150</v>
      </c>
      <c r="M305" s="31">
        <f>I305+J305+K305+L305</f>
        <v/>
      </c>
      <c r="N305" s="31">
        <f>M305*Dashboard!$B$18/(Dashboard!$B$16/3.6)</f>
        <v/>
      </c>
      <c r="O305" s="31" t="n">
        <v>743.6498408755223</v>
      </c>
      <c r="P305" s="32" t="n">
        <v>0.7958227533929282</v>
      </c>
      <c r="Q305" s="33" t="n">
        <v>0.2</v>
      </c>
      <c r="R305" s="31" t="n">
        <v>378.5694042178491</v>
      </c>
      <c r="S305" s="31">
        <f>R305*IF(A305=4, 2.0, 3.0)</f>
        <v/>
      </c>
      <c r="T305" s="30">
        <f>8.0*U305</f>
        <v/>
      </c>
      <c r="U305" s="34">
        <f>MIN(1, S305/M305)</f>
        <v/>
      </c>
      <c r="V305" s="34">
        <f>N305/(N305+O305)</f>
        <v/>
      </c>
      <c r="W305" s="34">
        <f>U305*V305</f>
        <v/>
      </c>
      <c r="X305" s="32">
        <f>T305/N305</f>
        <v/>
      </c>
      <c r="Y305" s="35">
        <f>IF(X305=MAXIFS(X$2:X$721, A$2:A$721, A305, B$2:B$721, B305), "OPTIMAL", "")</f>
        <v/>
      </c>
    </row>
    <row r="306" ht="20" customHeight="1">
      <c r="A306" s="21" t="n">
        <v>4</v>
      </c>
      <c r="B306" s="21" t="n">
        <v>45</v>
      </c>
      <c r="C306" s="22" t="n">
        <v>100</v>
      </c>
      <c r="D306" s="22" t="n">
        <v>3</v>
      </c>
      <c r="E306" s="23" t="n">
        <v>4</v>
      </c>
      <c r="F306" s="22" t="n">
        <v>1.5</v>
      </c>
      <c r="G306" s="23" t="inlineStr">
        <is>
          <t>Oui</t>
        </is>
      </c>
      <c r="H306" s="23" t="inlineStr">
        <is>
          <t>ON</t>
        </is>
      </c>
      <c r="I306" s="24" t="n">
        <v>1132.611974342026</v>
      </c>
      <c r="J306" s="24" t="n">
        <v>6657.967474874614</v>
      </c>
      <c r="K306" s="24" t="n">
        <v>3166.666666666667</v>
      </c>
      <c r="L306" s="24" t="n">
        <v>150</v>
      </c>
      <c r="M306" s="24">
        <f>I306+J306+K306+L306</f>
        <v/>
      </c>
      <c r="N306" s="24">
        <f>M306*Dashboard!$B$18/(Dashboard!$B$16/3.6)</f>
        <v/>
      </c>
      <c r="O306" s="24" t="n">
        <v>1033.984588827817</v>
      </c>
      <c r="P306" s="25" t="n">
        <v>0.0735384347268611</v>
      </c>
      <c r="Q306" s="26" t="n">
        <v>6.857688308810928</v>
      </c>
      <c r="R306" s="24" t="n">
        <v>4234.481196174283</v>
      </c>
      <c r="S306" s="24">
        <f>R306*IF(A306=4, 2.0, 3.0)</f>
        <v/>
      </c>
      <c r="T306" s="22">
        <f>8.0*U306</f>
        <v/>
      </c>
      <c r="U306" s="27">
        <f>MIN(1, S306/M306)</f>
        <v/>
      </c>
      <c r="V306" s="27">
        <f>N306/(N306+O306)</f>
        <v/>
      </c>
      <c r="W306" s="27">
        <f>U306*V306</f>
        <v/>
      </c>
      <c r="X306" s="25">
        <f>T306/N306</f>
        <v/>
      </c>
      <c r="Y306" s="28">
        <f>IF(X306=MAXIFS(X$2:X$721, A$2:A$721, A306, B$2:B$721, B306), "OPTIMAL", "")</f>
        <v/>
      </c>
    </row>
    <row r="307" ht="20" customHeight="1">
      <c r="A307" s="29" t="n">
        <v>4</v>
      </c>
      <c r="B307" s="29" t="n">
        <v>45</v>
      </c>
      <c r="C307" s="30" t="n">
        <v>100</v>
      </c>
      <c r="D307" s="30" t="n">
        <v>3</v>
      </c>
      <c r="E307" s="6" t="n">
        <v>4</v>
      </c>
      <c r="F307" s="30" t="n">
        <v>1.5</v>
      </c>
      <c r="G307" s="6" t="inlineStr">
        <is>
          <t>Oui</t>
        </is>
      </c>
      <c r="H307" s="6" t="inlineStr">
        <is>
          <t>OFF</t>
        </is>
      </c>
      <c r="I307" s="31" t="n">
        <v>1132.611974342026</v>
      </c>
      <c r="J307" s="31" t="n">
        <v>6657.967474874614</v>
      </c>
      <c r="K307" s="31" t="n">
        <v>3166.666666666667</v>
      </c>
      <c r="L307" s="31" t="n">
        <v>150</v>
      </c>
      <c r="M307" s="31">
        <f>I307+J307+K307+L307</f>
        <v/>
      </c>
      <c r="N307" s="31">
        <f>M307*Dashboard!$B$18/(Dashboard!$B$16/3.6)</f>
        <v/>
      </c>
      <c r="O307" s="31" t="n">
        <v>1033.984588827817</v>
      </c>
      <c r="P307" s="32" t="n">
        <v>0.307100869502758</v>
      </c>
      <c r="Q307" s="33" t="n">
        <v>6.857688308810928</v>
      </c>
      <c r="R307" s="31" t="n">
        <v>1013.989701661156</v>
      </c>
      <c r="S307" s="31">
        <f>R307*IF(A307=4, 2.0, 3.0)</f>
        <v/>
      </c>
      <c r="T307" s="30">
        <f>8.0*U307</f>
        <v/>
      </c>
      <c r="U307" s="34">
        <f>MIN(1, S307/M307)</f>
        <v/>
      </c>
      <c r="V307" s="34">
        <f>N307/(N307+O307)</f>
        <v/>
      </c>
      <c r="W307" s="34">
        <f>U307*V307</f>
        <v/>
      </c>
      <c r="X307" s="32">
        <f>T307/N307</f>
        <v/>
      </c>
      <c r="Y307" s="35">
        <f>IF(X307=MAXIFS(X$2:X$721, A$2:A$721, A307, B$2:B$721, B307), "OPTIMAL", "")</f>
        <v/>
      </c>
    </row>
    <row r="308" ht="20" customHeight="1">
      <c r="A308" s="21" t="n">
        <v>4</v>
      </c>
      <c r="B308" s="21" t="n">
        <v>45</v>
      </c>
      <c r="C308" s="22" t="n">
        <v>100</v>
      </c>
      <c r="D308" s="22" t="n">
        <v>3</v>
      </c>
      <c r="E308" s="23" t="n">
        <v>4</v>
      </c>
      <c r="F308" s="22" t="n">
        <v>1.5</v>
      </c>
      <c r="G308" s="23" t="inlineStr">
        <is>
          <t>Non</t>
        </is>
      </c>
      <c r="H308" s="23" t="inlineStr">
        <is>
          <t>ON</t>
        </is>
      </c>
      <c r="I308" s="24" t="n">
        <v>1132.611974342026</v>
      </c>
      <c r="J308" s="24" t="n">
        <v>6657.967474874614</v>
      </c>
      <c r="K308" s="24" t="n">
        <v>3166.666666666667</v>
      </c>
      <c r="L308" s="24" t="n">
        <v>150</v>
      </c>
      <c r="M308" s="24">
        <f>I308+J308+K308+L308</f>
        <v/>
      </c>
      <c r="N308" s="24">
        <f>M308*Dashboard!$B$18/(Dashboard!$B$16/3.6)</f>
        <v/>
      </c>
      <c r="O308" s="24" t="n">
        <v>1033.984588827817</v>
      </c>
      <c r="P308" s="25" t="n">
        <v>0.07035533586502318</v>
      </c>
      <c r="Q308" s="26" t="n">
        <v>6.857688308810928</v>
      </c>
      <c r="R308" s="24" t="n">
        <v>4426.06257533045</v>
      </c>
      <c r="S308" s="24">
        <f>R308*IF(A308=4, 2.0, 3.0)</f>
        <v/>
      </c>
      <c r="T308" s="22">
        <f>8.0*U308</f>
        <v/>
      </c>
      <c r="U308" s="27">
        <f>MIN(1, S308/M308)</f>
        <v/>
      </c>
      <c r="V308" s="27">
        <f>N308/(N308+O308)</f>
        <v/>
      </c>
      <c r="W308" s="27">
        <f>U308*V308</f>
        <v/>
      </c>
      <c r="X308" s="25">
        <f>T308/N308</f>
        <v/>
      </c>
      <c r="Y308" s="28">
        <f>IF(X308=MAXIFS(X$2:X$721, A$2:A$721, A308, B$2:B$721, B308), "OPTIMAL", "")</f>
        <v/>
      </c>
    </row>
    <row r="309" ht="20" customHeight="1">
      <c r="A309" s="29" t="n">
        <v>4</v>
      </c>
      <c r="B309" s="29" t="n">
        <v>45</v>
      </c>
      <c r="C309" s="30" t="n">
        <v>100</v>
      </c>
      <c r="D309" s="30" t="n">
        <v>3</v>
      </c>
      <c r="E309" s="6" t="n">
        <v>4</v>
      </c>
      <c r="F309" s="30" t="n">
        <v>1.5</v>
      </c>
      <c r="G309" s="6" t="inlineStr">
        <is>
          <t>Non</t>
        </is>
      </c>
      <c r="H309" s="6" t="inlineStr">
        <is>
          <t>OFF</t>
        </is>
      </c>
      <c r="I309" s="31" t="n">
        <v>1132.611974342026</v>
      </c>
      <c r="J309" s="31" t="n">
        <v>6657.967474874614</v>
      </c>
      <c r="K309" s="31" t="n">
        <v>3166.666666666667</v>
      </c>
      <c r="L309" s="31" t="n">
        <v>150</v>
      </c>
      <c r="M309" s="31">
        <f>I309+J309+K309+L309</f>
        <v/>
      </c>
      <c r="N309" s="31">
        <f>M309*Dashboard!$B$18/(Dashboard!$B$16/3.6)</f>
        <v/>
      </c>
      <c r="O309" s="31" t="n">
        <v>1033.984588827817</v>
      </c>
      <c r="P309" s="32" t="n">
        <v>0.3039177706409201</v>
      </c>
      <c r="Q309" s="33" t="n">
        <v>6.857688308810928</v>
      </c>
      <c r="R309" s="31" t="n">
        <v>1024.609776487536</v>
      </c>
      <c r="S309" s="31">
        <f>R309*IF(A309=4, 2.0, 3.0)</f>
        <v/>
      </c>
      <c r="T309" s="30">
        <f>8.0*U309</f>
        <v/>
      </c>
      <c r="U309" s="34">
        <f>MIN(1, S309/M309)</f>
        <v/>
      </c>
      <c r="V309" s="34">
        <f>N309/(N309+O309)</f>
        <v/>
      </c>
      <c r="W309" s="34">
        <f>U309*V309</f>
        <v/>
      </c>
      <c r="X309" s="32">
        <f>T309/N309</f>
        <v/>
      </c>
      <c r="Y309" s="35">
        <f>IF(X309=MAXIFS(X$2:X$721, A$2:A$721, A309, B$2:B$721, B309), "OPTIMAL", "")</f>
        <v/>
      </c>
    </row>
    <row r="310" ht="20" customHeight="1">
      <c r="A310" s="21" t="n">
        <v>4</v>
      </c>
      <c r="B310" s="21" t="n">
        <v>45</v>
      </c>
      <c r="C310" s="22" t="n">
        <v>100</v>
      </c>
      <c r="D310" s="22" t="n">
        <v>3</v>
      </c>
      <c r="E310" s="23" t="n">
        <v>4</v>
      </c>
      <c r="F310" s="22" t="n">
        <v>2</v>
      </c>
      <c r="G310" s="23" t="inlineStr">
        <is>
          <t>Oui</t>
        </is>
      </c>
      <c r="H310" s="23" t="inlineStr">
        <is>
          <t>ON</t>
        </is>
      </c>
      <c r="I310" s="24" t="n">
        <v>1132.611974342026</v>
      </c>
      <c r="J310" s="24" t="n">
        <v>6657.967474874614</v>
      </c>
      <c r="K310" s="24" t="n">
        <v>3166.666666666667</v>
      </c>
      <c r="L310" s="24" t="n">
        <v>150</v>
      </c>
      <c r="M310" s="24">
        <f>I310+J310+K310+L310</f>
        <v/>
      </c>
      <c r="N310" s="24">
        <f>M310*Dashboard!$B$18/(Dashboard!$B$16/3.6)</f>
        <v/>
      </c>
      <c r="O310" s="24" t="n">
        <v>1135.14768422268</v>
      </c>
      <c r="P310" s="25" t="n">
        <v>0.07090019831070833</v>
      </c>
      <c r="Q310" s="26" t="n">
        <v>9.076917745081236</v>
      </c>
      <c r="R310" s="24" t="n">
        <v>4441.797562199403</v>
      </c>
      <c r="S310" s="24">
        <f>R310*IF(A310=4, 2.0, 3.0)</f>
        <v/>
      </c>
      <c r="T310" s="22">
        <f>8.0*U310</f>
        <v/>
      </c>
      <c r="U310" s="27">
        <f>MIN(1, S310/M310)</f>
        <v/>
      </c>
      <c r="V310" s="27">
        <f>N310/(N310+O310)</f>
        <v/>
      </c>
      <c r="W310" s="27">
        <f>U310*V310</f>
        <v/>
      </c>
      <c r="X310" s="25">
        <f>T310/N310</f>
        <v/>
      </c>
      <c r="Y310" s="28">
        <f>IF(X310=MAXIFS(X$2:X$721, A$2:A$721, A310, B$2:B$721, B310), "OPTIMAL", "")</f>
        <v/>
      </c>
    </row>
    <row r="311" ht="20" customHeight="1">
      <c r="A311" s="29" t="n">
        <v>4</v>
      </c>
      <c r="B311" s="29" t="n">
        <v>45</v>
      </c>
      <c r="C311" s="30" t="n">
        <v>100</v>
      </c>
      <c r="D311" s="30" t="n">
        <v>3</v>
      </c>
      <c r="E311" s="6" t="n">
        <v>4</v>
      </c>
      <c r="F311" s="30" t="n">
        <v>2</v>
      </c>
      <c r="G311" s="6" t="inlineStr">
        <is>
          <t>Oui</t>
        </is>
      </c>
      <c r="H311" s="6" t="inlineStr">
        <is>
          <t>OFF</t>
        </is>
      </c>
      <c r="I311" s="31" t="n">
        <v>1132.611974342026</v>
      </c>
      <c r="J311" s="31" t="n">
        <v>6657.967474874614</v>
      </c>
      <c r="K311" s="31" t="n">
        <v>3166.666666666667</v>
      </c>
      <c r="L311" s="31" t="n">
        <v>150</v>
      </c>
      <c r="M311" s="31">
        <f>I311+J311+K311+L311</f>
        <v/>
      </c>
      <c r="N311" s="31">
        <f>M311*Dashboard!$B$18/(Dashboard!$B$16/3.6)</f>
        <v/>
      </c>
      <c r="O311" s="31" t="n">
        <v>1135.14768422268</v>
      </c>
      <c r="P311" s="32" t="n">
        <v>0.305556811068225</v>
      </c>
      <c r="Q311" s="33" t="n">
        <v>9.076917745081236</v>
      </c>
      <c r="R311" s="31" t="n">
        <v>1030.657202223654</v>
      </c>
      <c r="S311" s="31">
        <f>R311*IF(A311=4, 2.0, 3.0)</f>
        <v/>
      </c>
      <c r="T311" s="30">
        <f>8.0*U311</f>
        <v/>
      </c>
      <c r="U311" s="34">
        <f>MIN(1, S311/M311)</f>
        <v/>
      </c>
      <c r="V311" s="34">
        <f>N311/(N311+O311)</f>
        <v/>
      </c>
      <c r="W311" s="34">
        <f>U311*V311</f>
        <v/>
      </c>
      <c r="X311" s="32">
        <f>T311/N311</f>
        <v/>
      </c>
      <c r="Y311" s="35">
        <f>IF(X311=MAXIFS(X$2:X$721, A$2:A$721, A311, B$2:B$721, B311), "OPTIMAL", "")</f>
        <v/>
      </c>
    </row>
    <row r="312" ht="20" customHeight="1">
      <c r="A312" s="21" t="n">
        <v>4</v>
      </c>
      <c r="B312" s="21" t="n">
        <v>45</v>
      </c>
      <c r="C312" s="22" t="n">
        <v>100</v>
      </c>
      <c r="D312" s="22" t="n">
        <v>3</v>
      </c>
      <c r="E312" s="23" t="n">
        <v>4</v>
      </c>
      <c r="F312" s="22" t="n">
        <v>2</v>
      </c>
      <c r="G312" s="23" t="inlineStr">
        <is>
          <t>Non</t>
        </is>
      </c>
      <c r="H312" s="23" t="inlineStr">
        <is>
          <t>ON</t>
        </is>
      </c>
      <c r="I312" s="24" t="n">
        <v>1132.611974342026</v>
      </c>
      <c r="J312" s="24" t="n">
        <v>6657.967474874614</v>
      </c>
      <c r="K312" s="24" t="n">
        <v>3166.666666666667</v>
      </c>
      <c r="L312" s="24" t="n">
        <v>150</v>
      </c>
      <c r="M312" s="24">
        <f>I312+J312+K312+L312</f>
        <v/>
      </c>
      <c r="N312" s="24">
        <f>M312*Dashboard!$B$18/(Dashboard!$B$16/3.6)</f>
        <v/>
      </c>
      <c r="O312" s="24" t="n">
        <v>1135.14768422268</v>
      </c>
      <c r="P312" s="25" t="n">
        <v>0.06771709944887042</v>
      </c>
      <c r="Q312" s="26" t="n">
        <v>9.076917745081236</v>
      </c>
      <c r="R312" s="24" t="n">
        <v>4650.587969346519</v>
      </c>
      <c r="S312" s="24">
        <f>R312*IF(A312=4, 2.0, 3.0)</f>
        <v/>
      </c>
      <c r="T312" s="22">
        <f>8.0*U312</f>
        <v/>
      </c>
      <c r="U312" s="27">
        <f>MIN(1, S312/M312)</f>
        <v/>
      </c>
      <c r="V312" s="27">
        <f>N312/(N312+O312)</f>
        <v/>
      </c>
      <c r="W312" s="27">
        <f>U312*V312</f>
        <v/>
      </c>
      <c r="X312" s="25">
        <f>T312/N312</f>
        <v/>
      </c>
      <c r="Y312" s="28">
        <f>IF(X312=MAXIFS(X$2:X$721, A$2:A$721, A312, B$2:B$721, B312), "OPTIMAL", "")</f>
        <v/>
      </c>
    </row>
    <row r="313" ht="20" customHeight="1">
      <c r="A313" s="29" t="n">
        <v>4</v>
      </c>
      <c r="B313" s="29" t="n">
        <v>45</v>
      </c>
      <c r="C313" s="30" t="n">
        <v>100</v>
      </c>
      <c r="D313" s="30" t="n">
        <v>3</v>
      </c>
      <c r="E313" s="6" t="n">
        <v>4</v>
      </c>
      <c r="F313" s="30" t="n">
        <v>2</v>
      </c>
      <c r="G313" s="6" t="inlineStr">
        <is>
          <t>Non</t>
        </is>
      </c>
      <c r="H313" s="6" t="inlineStr">
        <is>
          <t>OFF</t>
        </is>
      </c>
      <c r="I313" s="31" t="n">
        <v>1132.611974342026</v>
      </c>
      <c r="J313" s="31" t="n">
        <v>6657.967474874614</v>
      </c>
      <c r="K313" s="31" t="n">
        <v>3166.666666666667</v>
      </c>
      <c r="L313" s="31" t="n">
        <v>150</v>
      </c>
      <c r="M313" s="31">
        <f>I313+J313+K313+L313</f>
        <v/>
      </c>
      <c r="N313" s="31">
        <f>M313*Dashboard!$B$18/(Dashboard!$B$16/3.6)</f>
        <v/>
      </c>
      <c r="O313" s="31" t="n">
        <v>1135.14768422268</v>
      </c>
      <c r="P313" s="32" t="n">
        <v>0.302373712206387</v>
      </c>
      <c r="Q313" s="33" t="n">
        <v>9.076917745081236</v>
      </c>
      <c r="R313" s="31" t="n">
        <v>1041.506967381493</v>
      </c>
      <c r="S313" s="31">
        <f>R313*IF(A313=4, 2.0, 3.0)</f>
        <v/>
      </c>
      <c r="T313" s="30">
        <f>8.0*U313</f>
        <v/>
      </c>
      <c r="U313" s="34">
        <f>MIN(1, S313/M313)</f>
        <v/>
      </c>
      <c r="V313" s="34">
        <f>N313/(N313+O313)</f>
        <v/>
      </c>
      <c r="W313" s="34">
        <f>U313*V313</f>
        <v/>
      </c>
      <c r="X313" s="32">
        <f>T313/N313</f>
        <v/>
      </c>
      <c r="Y313" s="35">
        <f>IF(X313=MAXIFS(X$2:X$721, A$2:A$721, A313, B$2:B$721, B313), "OPTIMAL", "")</f>
        <v/>
      </c>
    </row>
    <row r="314" ht="20" customHeight="1">
      <c r="A314" s="36" t="n">
        <v>4</v>
      </c>
      <c r="B314" s="36" t="n">
        <v>45</v>
      </c>
      <c r="C314" s="37" t="n">
        <v>100</v>
      </c>
      <c r="D314" s="37" t="n">
        <v>3</v>
      </c>
      <c r="E314" s="38" t="n">
        <v>8</v>
      </c>
      <c r="F314" s="37" t="n">
        <v>1.5</v>
      </c>
      <c r="G314" s="38" t="inlineStr">
        <is>
          <t>Oui</t>
        </is>
      </c>
      <c r="H314" s="38" t="inlineStr">
        <is>
          <t>ON</t>
        </is>
      </c>
      <c r="I314" s="39" t="n">
        <v>1132.611974342026</v>
      </c>
      <c r="J314" s="39" t="n">
        <v>6657.967474874614</v>
      </c>
      <c r="K314" s="39" t="n">
        <v>3166.666666666667</v>
      </c>
      <c r="L314" s="39" t="n">
        <v>150</v>
      </c>
      <c r="M314" s="39">
        <f>I314+J314+K314+L314</f>
        <v/>
      </c>
      <c r="N314" s="39">
        <f>M314*Dashboard!$B$18/(Dashboard!$B$16/3.6)</f>
        <v/>
      </c>
      <c r="O314" s="39" t="n">
        <v>1344.50851148187</v>
      </c>
      <c r="P314" s="40" t="n">
        <v>0.05562346576923688</v>
      </c>
      <c r="Q314" s="41" t="n">
        <v>13.51537661762185</v>
      </c>
      <c r="R314" s="39" t="n">
        <v>5792.951141406373</v>
      </c>
      <c r="S314" s="39">
        <f>R314*IF(A314=4, 2.0, 3.0)</f>
        <v/>
      </c>
      <c r="T314" s="37">
        <f>8.0*U314</f>
        <v/>
      </c>
      <c r="U314" s="42">
        <f>MIN(1, S314/M314)</f>
        <v/>
      </c>
      <c r="V314" s="42">
        <f>N314/(N314+O314)</f>
        <v/>
      </c>
      <c r="W314" s="42">
        <f>U314*V314</f>
        <v/>
      </c>
      <c r="X314" s="40">
        <f>T314/N314</f>
        <v/>
      </c>
      <c r="Y314" s="15">
        <f>IF(X314=MAXIFS(X$2:X$721, A$2:A$721, A314, B$2:B$721, B314), "OPTIMAL", "")</f>
        <v/>
      </c>
    </row>
    <row r="315" ht="20" customHeight="1">
      <c r="A315" s="29" t="n">
        <v>4</v>
      </c>
      <c r="B315" s="29" t="n">
        <v>45</v>
      </c>
      <c r="C315" s="30" t="n">
        <v>100</v>
      </c>
      <c r="D315" s="30" t="n">
        <v>3</v>
      </c>
      <c r="E315" s="6" t="n">
        <v>8</v>
      </c>
      <c r="F315" s="30" t="n">
        <v>1.5</v>
      </c>
      <c r="G315" s="6" t="inlineStr">
        <is>
          <t>Oui</t>
        </is>
      </c>
      <c r="H315" s="6" t="inlineStr">
        <is>
          <t>OFF</t>
        </is>
      </c>
      <c r="I315" s="31" t="n">
        <v>1132.611974342026</v>
      </c>
      <c r="J315" s="31" t="n">
        <v>6657.967474874614</v>
      </c>
      <c r="K315" s="31" t="n">
        <v>3166.666666666667</v>
      </c>
      <c r="L315" s="31" t="n">
        <v>150</v>
      </c>
      <c r="M315" s="31">
        <f>I315+J315+K315+L315</f>
        <v/>
      </c>
      <c r="N315" s="31">
        <f>M315*Dashboard!$B$18/(Dashboard!$B$16/3.6)</f>
        <v/>
      </c>
      <c r="O315" s="31" t="n">
        <v>1344.50851148187</v>
      </c>
      <c r="P315" s="32" t="n">
        <v>0.2400757351497012</v>
      </c>
      <c r="Q315" s="33" t="n">
        <v>13.51537661762185</v>
      </c>
      <c r="R315" s="31" t="n">
        <v>1342.176539898768</v>
      </c>
      <c r="S315" s="31">
        <f>R315*IF(A315=4, 2.0, 3.0)</f>
        <v/>
      </c>
      <c r="T315" s="30">
        <f>8.0*U315</f>
        <v/>
      </c>
      <c r="U315" s="34">
        <f>MIN(1, S315/M315)</f>
        <v/>
      </c>
      <c r="V315" s="34">
        <f>N315/(N315+O315)</f>
        <v/>
      </c>
      <c r="W315" s="34">
        <f>U315*V315</f>
        <v/>
      </c>
      <c r="X315" s="32">
        <f>T315/N315</f>
        <v/>
      </c>
      <c r="Y315" s="35">
        <f>IF(X315=MAXIFS(X$2:X$721, A$2:A$721, A315, B$2:B$721, B315), "OPTIMAL", "")</f>
        <v/>
      </c>
    </row>
    <row r="316" ht="20" customHeight="1">
      <c r="A316" s="36" t="n">
        <v>4</v>
      </c>
      <c r="B316" s="36" t="n">
        <v>45</v>
      </c>
      <c r="C316" s="37" t="n">
        <v>100</v>
      </c>
      <c r="D316" s="37" t="n">
        <v>3</v>
      </c>
      <c r="E316" s="38" t="n">
        <v>8</v>
      </c>
      <c r="F316" s="37" t="n">
        <v>1.5</v>
      </c>
      <c r="G316" s="38" t="inlineStr">
        <is>
          <t>Non</t>
        </is>
      </c>
      <c r="H316" s="38" t="inlineStr">
        <is>
          <t>ON</t>
        </is>
      </c>
      <c r="I316" s="39" t="n">
        <v>1132.611974342026</v>
      </c>
      <c r="J316" s="39" t="n">
        <v>6657.967474874614</v>
      </c>
      <c r="K316" s="39" t="n">
        <v>3166.666666666667</v>
      </c>
      <c r="L316" s="39" t="n">
        <v>150</v>
      </c>
      <c r="M316" s="39">
        <f>I316+J316+K316+L316</f>
        <v/>
      </c>
      <c r="N316" s="39">
        <f>M316*Dashboard!$B$18/(Dashboard!$B$16/3.6)</f>
        <v/>
      </c>
      <c r="O316" s="39" t="n">
        <v>1344.50851148187</v>
      </c>
      <c r="P316" s="40" t="n">
        <v>0.05244036690739898</v>
      </c>
      <c r="Q316" s="41" t="n">
        <v>13.51537661762185</v>
      </c>
      <c r="R316" s="39" t="n">
        <v>6144.57980597034</v>
      </c>
      <c r="S316" s="39">
        <f>R316*IF(A316=4, 2.0, 3.0)</f>
        <v/>
      </c>
      <c r="T316" s="37">
        <f>8.0*U316</f>
        <v/>
      </c>
      <c r="U316" s="42">
        <f>MIN(1, S316/M316)</f>
        <v/>
      </c>
      <c r="V316" s="42">
        <f>N316/(N316+O316)</f>
        <v/>
      </c>
      <c r="W316" s="42">
        <f>U316*V316</f>
        <v/>
      </c>
      <c r="X316" s="40">
        <f>T316/N316</f>
        <v/>
      </c>
      <c r="Y316" s="15">
        <f>IF(X316=MAXIFS(X$2:X$721, A$2:A$721, A316, B$2:B$721, B316), "OPTIMAL", "")</f>
        <v/>
      </c>
    </row>
    <row r="317" ht="20" customHeight="1">
      <c r="A317" s="29" t="n">
        <v>4</v>
      </c>
      <c r="B317" s="29" t="n">
        <v>45</v>
      </c>
      <c r="C317" s="30" t="n">
        <v>100</v>
      </c>
      <c r="D317" s="30" t="n">
        <v>3</v>
      </c>
      <c r="E317" s="6" t="n">
        <v>8</v>
      </c>
      <c r="F317" s="30" t="n">
        <v>1.5</v>
      </c>
      <c r="G317" s="6" t="inlineStr">
        <is>
          <t>Non</t>
        </is>
      </c>
      <c r="H317" s="6" t="inlineStr">
        <is>
          <t>OFF</t>
        </is>
      </c>
      <c r="I317" s="31" t="n">
        <v>1132.611974342026</v>
      </c>
      <c r="J317" s="31" t="n">
        <v>6657.967474874614</v>
      </c>
      <c r="K317" s="31" t="n">
        <v>3166.666666666667</v>
      </c>
      <c r="L317" s="31" t="n">
        <v>150</v>
      </c>
      <c r="M317" s="31">
        <f>I317+J317+K317+L317</f>
        <v/>
      </c>
      <c r="N317" s="31">
        <f>M317*Dashboard!$B$18/(Dashboard!$B$16/3.6)</f>
        <v/>
      </c>
      <c r="O317" s="31" t="n">
        <v>1344.50851148187</v>
      </c>
      <c r="P317" s="32" t="n">
        <v>0.2368926362878633</v>
      </c>
      <c r="Q317" s="33" t="n">
        <v>13.51537661762185</v>
      </c>
      <c r="R317" s="31" t="n">
        <v>1360.211210302562</v>
      </c>
      <c r="S317" s="31">
        <f>R317*IF(A317=4, 2.0, 3.0)</f>
        <v/>
      </c>
      <c r="T317" s="30">
        <f>8.0*U317</f>
        <v/>
      </c>
      <c r="U317" s="34">
        <f>MIN(1, S317/M317)</f>
        <v/>
      </c>
      <c r="V317" s="34">
        <f>N317/(N317+O317)</f>
        <v/>
      </c>
      <c r="W317" s="34">
        <f>U317*V317</f>
        <v/>
      </c>
      <c r="X317" s="32">
        <f>T317/N317</f>
        <v/>
      </c>
      <c r="Y317" s="35">
        <f>IF(X317=MAXIFS(X$2:X$721, A$2:A$721, A317, B$2:B$721, B317), "OPTIMAL", "")</f>
        <v/>
      </c>
    </row>
    <row r="318" ht="20" customHeight="1">
      <c r="A318" s="36" t="n">
        <v>4</v>
      </c>
      <c r="B318" s="36" t="n">
        <v>45</v>
      </c>
      <c r="C318" s="37" t="n">
        <v>100</v>
      </c>
      <c r="D318" s="37" t="n">
        <v>3</v>
      </c>
      <c r="E318" s="38" t="n">
        <v>8</v>
      </c>
      <c r="F318" s="37" t="n">
        <v>2</v>
      </c>
      <c r="G318" s="38" t="inlineStr">
        <is>
          <t>Oui</t>
        </is>
      </c>
      <c r="H318" s="38" t="inlineStr">
        <is>
          <t>ON</t>
        </is>
      </c>
      <c r="I318" s="39" t="n">
        <v>1132.611974342026</v>
      </c>
      <c r="J318" s="39" t="n">
        <v>6657.967474874614</v>
      </c>
      <c r="K318" s="39" t="n">
        <v>3166.666666666667</v>
      </c>
      <c r="L318" s="39" t="n">
        <v>150</v>
      </c>
      <c r="M318" s="39">
        <f>I318+J318+K318+L318</f>
        <v/>
      </c>
      <c r="N318" s="39">
        <f>M318*Dashboard!$B$18/(Dashboard!$B$16/3.6)</f>
        <v/>
      </c>
      <c r="O318" s="39" t="n">
        <v>1563.805275398687</v>
      </c>
      <c r="P318" s="40" t="n">
        <v>0.05441799410512958</v>
      </c>
      <c r="Q318" s="41" t="n">
        <v>17.95383549016247</v>
      </c>
      <c r="R318" s="39" t="n">
        <v>6061.784311560867</v>
      </c>
      <c r="S318" s="39">
        <f>R318*IF(A318=4, 2.0, 3.0)</f>
        <v/>
      </c>
      <c r="T318" s="37">
        <f>8.0*U318</f>
        <v/>
      </c>
      <c r="U318" s="42">
        <f>MIN(1, S318/M318)</f>
        <v/>
      </c>
      <c r="V318" s="42">
        <f>N318/(N318+O318)</f>
        <v/>
      </c>
      <c r="W318" s="42">
        <f>U318*V318</f>
        <v/>
      </c>
      <c r="X318" s="40">
        <f>T318/N318</f>
        <v/>
      </c>
      <c r="Y318" s="15">
        <f>IF(X318=MAXIFS(X$2:X$721, A$2:A$721, A318, B$2:B$721, B318), "OPTIMAL", "")</f>
        <v/>
      </c>
    </row>
    <row r="319" ht="20" customHeight="1">
      <c r="A319" s="29" t="n">
        <v>4</v>
      </c>
      <c r="B319" s="29" t="n">
        <v>45</v>
      </c>
      <c r="C319" s="30" t="n">
        <v>100</v>
      </c>
      <c r="D319" s="30" t="n">
        <v>3</v>
      </c>
      <c r="E319" s="6" t="n">
        <v>8</v>
      </c>
      <c r="F319" s="30" t="n">
        <v>2</v>
      </c>
      <c r="G319" s="6" t="inlineStr">
        <is>
          <t>Oui</t>
        </is>
      </c>
      <c r="H319" s="6" t="inlineStr">
        <is>
          <t>OFF</t>
        </is>
      </c>
      <c r="I319" s="31" t="n">
        <v>1132.611974342026</v>
      </c>
      <c r="J319" s="31" t="n">
        <v>6657.967474874614</v>
      </c>
      <c r="K319" s="31" t="n">
        <v>3166.666666666667</v>
      </c>
      <c r="L319" s="31" t="n">
        <v>150</v>
      </c>
      <c r="M319" s="31">
        <f>I319+J319+K319+L319</f>
        <v/>
      </c>
      <c r="N319" s="31">
        <f>M319*Dashboard!$B$18/(Dashboard!$B$16/3.6)</f>
        <v/>
      </c>
      <c r="O319" s="31" t="n">
        <v>1563.805275398687</v>
      </c>
      <c r="P319" s="32" t="n">
        <v>0.2402392320400437</v>
      </c>
      <c r="Q319" s="33" t="n">
        <v>17.95383549016247</v>
      </c>
      <c r="R319" s="31" t="n">
        <v>1373.090232315189</v>
      </c>
      <c r="S319" s="31">
        <f>R319*IF(A319=4, 2.0, 3.0)</f>
        <v/>
      </c>
      <c r="T319" s="30">
        <f>8.0*U319</f>
        <v/>
      </c>
      <c r="U319" s="34">
        <f>MIN(1, S319/M319)</f>
        <v/>
      </c>
      <c r="V319" s="34">
        <f>N319/(N319+O319)</f>
        <v/>
      </c>
      <c r="W319" s="34">
        <f>U319*V319</f>
        <v/>
      </c>
      <c r="X319" s="32">
        <f>T319/N319</f>
        <v/>
      </c>
      <c r="Y319" s="35">
        <f>IF(X319=MAXIFS(X$2:X$721, A$2:A$721, A319, B$2:B$721, B319), "OPTIMAL", "")</f>
        <v/>
      </c>
    </row>
    <row r="320" ht="20" customHeight="1">
      <c r="A320" s="36" t="n">
        <v>4</v>
      </c>
      <c r="B320" s="36" t="n">
        <v>45</v>
      </c>
      <c r="C320" s="37" t="n">
        <v>100</v>
      </c>
      <c r="D320" s="37" t="n">
        <v>3</v>
      </c>
      <c r="E320" s="38" t="n">
        <v>8</v>
      </c>
      <c r="F320" s="37" t="n">
        <v>2</v>
      </c>
      <c r="G320" s="38" t="inlineStr">
        <is>
          <t>Non</t>
        </is>
      </c>
      <c r="H320" s="38" t="inlineStr">
        <is>
          <t>ON</t>
        </is>
      </c>
      <c r="I320" s="39" t="n">
        <v>1132.611974342026</v>
      </c>
      <c r="J320" s="39" t="n">
        <v>6657.967474874614</v>
      </c>
      <c r="K320" s="39" t="n">
        <v>3166.666666666667</v>
      </c>
      <c r="L320" s="39" t="n">
        <v>150</v>
      </c>
      <c r="M320" s="39">
        <f>I320+J320+K320+L320</f>
        <v/>
      </c>
      <c r="N320" s="39">
        <f>M320*Dashboard!$B$18/(Dashboard!$B$16/3.6)</f>
        <v/>
      </c>
      <c r="O320" s="39" t="n">
        <v>1563.805275398687</v>
      </c>
      <c r="P320" s="40" t="n">
        <v>0.05123489524329167</v>
      </c>
      <c r="Q320" s="41" t="n">
        <v>17.95383549016247</v>
      </c>
      <c r="R320" s="39" t="n">
        <v>6438.388160387173</v>
      </c>
      <c r="S320" s="39">
        <f>R320*IF(A320=4, 2.0, 3.0)</f>
        <v/>
      </c>
      <c r="T320" s="37">
        <f>8.0*U320</f>
        <v/>
      </c>
      <c r="U320" s="42">
        <f>MIN(1, S320/M320)</f>
        <v/>
      </c>
      <c r="V320" s="42">
        <f>N320/(N320+O320)</f>
        <v/>
      </c>
      <c r="W320" s="42">
        <f>U320*V320</f>
        <v/>
      </c>
      <c r="X320" s="40">
        <f>T320/N320</f>
        <v/>
      </c>
      <c r="Y320" s="15">
        <f>IF(X320=MAXIFS(X$2:X$721, A$2:A$721, A320, B$2:B$721, B320), "OPTIMAL", "")</f>
        <v/>
      </c>
    </row>
    <row r="321" ht="20" customHeight="1">
      <c r="A321" s="29" t="n">
        <v>4</v>
      </c>
      <c r="B321" s="29" t="n">
        <v>45</v>
      </c>
      <c r="C321" s="30" t="n">
        <v>100</v>
      </c>
      <c r="D321" s="30" t="n">
        <v>3</v>
      </c>
      <c r="E321" s="6" t="n">
        <v>8</v>
      </c>
      <c r="F321" s="30" t="n">
        <v>2</v>
      </c>
      <c r="G321" s="6" t="inlineStr">
        <is>
          <t>Non</t>
        </is>
      </c>
      <c r="H321" s="6" t="inlineStr">
        <is>
          <t>OFF</t>
        </is>
      </c>
      <c r="I321" s="31" t="n">
        <v>1132.611974342026</v>
      </c>
      <c r="J321" s="31" t="n">
        <v>6657.967474874614</v>
      </c>
      <c r="K321" s="31" t="n">
        <v>3166.666666666667</v>
      </c>
      <c r="L321" s="31" t="n">
        <v>150</v>
      </c>
      <c r="M321" s="31">
        <f>I321+J321+K321+L321</f>
        <v/>
      </c>
      <c r="N321" s="31">
        <f>M321*Dashboard!$B$18/(Dashboard!$B$16/3.6)</f>
        <v/>
      </c>
      <c r="O321" s="31" t="n">
        <v>1563.805275398687</v>
      </c>
      <c r="P321" s="32" t="n">
        <v>0.2370561331782058</v>
      </c>
      <c r="Q321" s="33" t="n">
        <v>17.95383549016247</v>
      </c>
      <c r="R321" s="31" t="n">
        <v>1391.527561470464</v>
      </c>
      <c r="S321" s="31">
        <f>R321*IF(A321=4, 2.0, 3.0)</f>
        <v/>
      </c>
      <c r="T321" s="30">
        <f>8.0*U321</f>
        <v/>
      </c>
      <c r="U321" s="34">
        <f>MIN(1, S321/M321)</f>
        <v/>
      </c>
      <c r="V321" s="34">
        <f>N321/(N321+O321)</f>
        <v/>
      </c>
      <c r="W321" s="34">
        <f>U321*V321</f>
        <v/>
      </c>
      <c r="X321" s="32">
        <f>T321/N321</f>
        <v/>
      </c>
      <c r="Y321" s="35">
        <f>IF(X321=MAXIFS(X$2:X$721, A$2:A$721, A321, B$2:B$721, B321), "OPTIMAL", "")</f>
        <v/>
      </c>
    </row>
    <row r="322" ht="20" customHeight="1">
      <c r="A322" s="21" t="n">
        <v>4</v>
      </c>
      <c r="B322" s="21" t="n">
        <v>45</v>
      </c>
      <c r="C322" s="22" t="n">
        <v>120</v>
      </c>
      <c r="D322" s="22" t="n">
        <v>2</v>
      </c>
      <c r="E322" s="23" t="n">
        <v>0</v>
      </c>
      <c r="F322" s="22" t="n">
        <v>0</v>
      </c>
      <c r="G322" s="23" t="inlineStr">
        <is>
          <t>Oui</t>
        </is>
      </c>
      <c r="H322" s="23" t="inlineStr">
        <is>
          <t>ON</t>
        </is>
      </c>
      <c r="I322" s="24" t="n">
        <v>1132.611974342026</v>
      </c>
      <c r="J322" s="24" t="n">
        <v>6657.967474874614</v>
      </c>
      <c r="K322" s="24" t="n">
        <v>3166.666666666667</v>
      </c>
      <c r="L322" s="24" t="n">
        <v>150</v>
      </c>
      <c r="M322" s="24">
        <f>I322+J322+K322+L322</f>
        <v/>
      </c>
      <c r="N322" s="24">
        <f>M322*Dashboard!$B$18/(Dashboard!$B$16/3.6)</f>
        <v/>
      </c>
      <c r="O322" s="24" t="n">
        <v>396.0292215172896</v>
      </c>
      <c r="P322" s="25" t="n">
        <v>0.4668808197339223</v>
      </c>
      <c r="Q322" s="26" t="n">
        <v>0.2</v>
      </c>
      <c r="R322" s="24" t="n">
        <v>423.7361921293952</v>
      </c>
      <c r="S322" s="24">
        <f>R322*IF(A322=4, 2.0, 3.0)</f>
        <v/>
      </c>
      <c r="T322" s="22">
        <f>8.0*U322</f>
        <v/>
      </c>
      <c r="U322" s="27">
        <f>MIN(1, S322/M322)</f>
        <v/>
      </c>
      <c r="V322" s="27">
        <f>N322/(N322+O322)</f>
        <v/>
      </c>
      <c r="W322" s="27">
        <f>U322*V322</f>
        <v/>
      </c>
      <c r="X322" s="25">
        <f>T322/N322</f>
        <v/>
      </c>
      <c r="Y322" s="28">
        <f>IF(X322=MAXIFS(X$2:X$721, A$2:A$721, A322, B$2:B$721, B322), "OPTIMAL", "")</f>
        <v/>
      </c>
    </row>
    <row r="323" ht="20" customHeight="1">
      <c r="A323" s="29" t="n">
        <v>4</v>
      </c>
      <c r="B323" s="29" t="n">
        <v>45</v>
      </c>
      <c r="C323" s="30" t="n">
        <v>120</v>
      </c>
      <c r="D323" s="30" t="n">
        <v>2</v>
      </c>
      <c r="E323" s="6" t="n">
        <v>0</v>
      </c>
      <c r="F323" s="30" t="n">
        <v>0</v>
      </c>
      <c r="G323" s="6" t="inlineStr">
        <is>
          <t>Oui</t>
        </is>
      </c>
      <c r="H323" s="6" t="inlineStr">
        <is>
          <t>OFF</t>
        </is>
      </c>
      <c r="I323" s="31" t="n">
        <v>1132.611974342026</v>
      </c>
      <c r="J323" s="31" t="n">
        <v>6657.967474874614</v>
      </c>
      <c r="K323" s="31" t="n">
        <v>3166.666666666667</v>
      </c>
      <c r="L323" s="31" t="n">
        <v>150</v>
      </c>
      <c r="M323" s="31">
        <f>I323+J323+K323+L323</f>
        <v/>
      </c>
      <c r="N323" s="31">
        <f>M323*Dashboard!$B$18/(Dashboard!$B$16/3.6)</f>
        <v/>
      </c>
      <c r="O323" s="31" t="n">
        <v>396.0292215172896</v>
      </c>
      <c r="P323" s="32" t="n">
        <v>0.7321390582204146</v>
      </c>
      <c r="Q323" s="33" t="n">
        <v>0.2</v>
      </c>
      <c r="R323" s="31" t="n">
        <v>270.2141055186592</v>
      </c>
      <c r="S323" s="31">
        <f>R323*IF(A323=4, 2.0, 3.0)</f>
        <v/>
      </c>
      <c r="T323" s="30">
        <f>8.0*U323</f>
        <v/>
      </c>
      <c r="U323" s="34">
        <f>MIN(1, S323/M323)</f>
        <v/>
      </c>
      <c r="V323" s="34">
        <f>N323/(N323+O323)</f>
        <v/>
      </c>
      <c r="W323" s="34">
        <f>U323*V323</f>
        <v/>
      </c>
      <c r="X323" s="32">
        <f>T323/N323</f>
        <v/>
      </c>
      <c r="Y323" s="35">
        <f>IF(X323=MAXIFS(X$2:X$721, A$2:A$721, A323, B$2:B$721, B323), "OPTIMAL", "")</f>
        <v/>
      </c>
    </row>
    <row r="324" ht="20" customHeight="1">
      <c r="A324" s="21" t="n">
        <v>4</v>
      </c>
      <c r="B324" s="21" t="n">
        <v>45</v>
      </c>
      <c r="C324" s="22" t="n">
        <v>120</v>
      </c>
      <c r="D324" s="22" t="n">
        <v>2</v>
      </c>
      <c r="E324" s="23" t="n">
        <v>0</v>
      </c>
      <c r="F324" s="22" t="n">
        <v>0</v>
      </c>
      <c r="G324" s="23" t="inlineStr">
        <is>
          <t>Non</t>
        </is>
      </c>
      <c r="H324" s="23" t="inlineStr">
        <is>
          <t>ON</t>
        </is>
      </c>
      <c r="I324" s="24" t="n">
        <v>1132.611974342026</v>
      </c>
      <c r="J324" s="24" t="n">
        <v>6657.967474874614</v>
      </c>
      <c r="K324" s="24" t="n">
        <v>3166.666666666667</v>
      </c>
      <c r="L324" s="24" t="n">
        <v>150</v>
      </c>
      <c r="M324" s="24">
        <f>I324+J324+K324+L324</f>
        <v/>
      </c>
      <c r="N324" s="24">
        <f>M324*Dashboard!$B$18/(Dashboard!$B$16/3.6)</f>
        <v/>
      </c>
      <c r="O324" s="24" t="n">
        <v>396.0292215172896</v>
      </c>
      <c r="P324" s="25" t="n">
        <v>0.4642282373490574</v>
      </c>
      <c r="Q324" s="26" t="n">
        <v>0.2</v>
      </c>
      <c r="R324" s="24" t="n">
        <v>426.157404517273</v>
      </c>
      <c r="S324" s="24">
        <f>R324*IF(A324=4, 2.0, 3.0)</f>
        <v/>
      </c>
      <c r="T324" s="22">
        <f>8.0*U324</f>
        <v/>
      </c>
      <c r="U324" s="27">
        <f>MIN(1, S324/M324)</f>
        <v/>
      </c>
      <c r="V324" s="27">
        <f>N324/(N324+O324)</f>
        <v/>
      </c>
      <c r="W324" s="27">
        <f>U324*V324</f>
        <v/>
      </c>
      <c r="X324" s="25">
        <f>T324/N324</f>
        <v/>
      </c>
      <c r="Y324" s="28">
        <f>IF(X324=MAXIFS(X$2:X$721, A$2:A$721, A324, B$2:B$721, B324), "OPTIMAL", "")</f>
        <v/>
      </c>
    </row>
    <row r="325" ht="20" customHeight="1">
      <c r="A325" s="29" t="n">
        <v>4</v>
      </c>
      <c r="B325" s="29" t="n">
        <v>45</v>
      </c>
      <c r="C325" s="30" t="n">
        <v>120</v>
      </c>
      <c r="D325" s="30" t="n">
        <v>2</v>
      </c>
      <c r="E325" s="6" t="n">
        <v>0</v>
      </c>
      <c r="F325" s="30" t="n">
        <v>0</v>
      </c>
      <c r="G325" s="6" t="inlineStr">
        <is>
          <t>Non</t>
        </is>
      </c>
      <c r="H325" s="6" t="inlineStr">
        <is>
          <t>OFF</t>
        </is>
      </c>
      <c r="I325" s="31" t="n">
        <v>1132.611974342026</v>
      </c>
      <c r="J325" s="31" t="n">
        <v>6657.967474874614</v>
      </c>
      <c r="K325" s="31" t="n">
        <v>3166.666666666667</v>
      </c>
      <c r="L325" s="31" t="n">
        <v>150</v>
      </c>
      <c r="M325" s="31">
        <f>I325+J325+K325+L325</f>
        <v/>
      </c>
      <c r="N325" s="31">
        <f>M325*Dashboard!$B$18/(Dashboard!$B$16/3.6)</f>
        <v/>
      </c>
      <c r="O325" s="31" t="n">
        <v>396.0292215172896</v>
      </c>
      <c r="P325" s="32" t="n">
        <v>0.7294864758355497</v>
      </c>
      <c r="Q325" s="33" t="n">
        <v>0.2</v>
      </c>
      <c r="R325" s="31" t="n">
        <v>271.1966668137399</v>
      </c>
      <c r="S325" s="31">
        <f>R325*IF(A325=4, 2.0, 3.0)</f>
        <v/>
      </c>
      <c r="T325" s="30">
        <f>8.0*U325</f>
        <v/>
      </c>
      <c r="U325" s="34">
        <f>MIN(1, S325/M325)</f>
        <v/>
      </c>
      <c r="V325" s="34">
        <f>N325/(N325+O325)</f>
        <v/>
      </c>
      <c r="W325" s="34">
        <f>U325*V325</f>
        <v/>
      </c>
      <c r="X325" s="32">
        <f>T325/N325</f>
        <v/>
      </c>
      <c r="Y325" s="35">
        <f>IF(X325=MAXIFS(X$2:X$721, A$2:A$721, A325, B$2:B$721, B325), "OPTIMAL", "")</f>
        <v/>
      </c>
    </row>
    <row r="326" ht="20" customHeight="1">
      <c r="A326" s="21" t="n">
        <v>4</v>
      </c>
      <c r="B326" s="21" t="n">
        <v>45</v>
      </c>
      <c r="C326" s="22" t="n">
        <v>120</v>
      </c>
      <c r="D326" s="22" t="n">
        <v>2</v>
      </c>
      <c r="E326" s="23" t="n">
        <v>4</v>
      </c>
      <c r="F326" s="22" t="n">
        <v>1.5</v>
      </c>
      <c r="G326" s="23" t="inlineStr">
        <is>
          <t>Oui</t>
        </is>
      </c>
      <c r="H326" s="23" t="inlineStr">
        <is>
          <t>ON</t>
        </is>
      </c>
      <c r="I326" s="24" t="n">
        <v>1132.611974342026</v>
      </c>
      <c r="J326" s="24" t="n">
        <v>6657.967474874614</v>
      </c>
      <c r="K326" s="24" t="n">
        <v>3166.666666666667</v>
      </c>
      <c r="L326" s="24" t="n">
        <v>150</v>
      </c>
      <c r="M326" s="24">
        <f>I326+J326+K326+L326</f>
        <v/>
      </c>
      <c r="N326" s="24">
        <f>M326*Dashboard!$B$18/(Dashboard!$B$16/3.6)</f>
        <v/>
      </c>
      <c r="O326" s="24" t="n">
        <v>608.849908181526</v>
      </c>
      <c r="P326" s="25" t="n">
        <v>0.06805759746267123</v>
      </c>
      <c r="Q326" s="26" t="n">
        <v>5.595023284726097</v>
      </c>
      <c r="R326" s="24" t="n">
        <v>2985.51280085404</v>
      </c>
      <c r="S326" s="24">
        <f>R326*IF(A326=4, 2.0, 3.0)</f>
        <v/>
      </c>
      <c r="T326" s="22">
        <f>8.0*U326</f>
        <v/>
      </c>
      <c r="U326" s="27">
        <f>MIN(1, S326/M326)</f>
        <v/>
      </c>
      <c r="V326" s="27">
        <f>N326/(N326+O326)</f>
        <v/>
      </c>
      <c r="W326" s="27">
        <f>U326*V326</f>
        <v/>
      </c>
      <c r="X326" s="25">
        <f>T326/N326</f>
        <v/>
      </c>
      <c r="Y326" s="28">
        <f>IF(X326=MAXIFS(X$2:X$721, A$2:A$721, A326, B$2:B$721, B326), "OPTIMAL", "")</f>
        <v/>
      </c>
    </row>
    <row r="327" ht="20" customHeight="1">
      <c r="A327" s="29" t="n">
        <v>4</v>
      </c>
      <c r="B327" s="29" t="n">
        <v>45</v>
      </c>
      <c r="C327" s="30" t="n">
        <v>120</v>
      </c>
      <c r="D327" s="30" t="n">
        <v>2</v>
      </c>
      <c r="E327" s="6" t="n">
        <v>4</v>
      </c>
      <c r="F327" s="30" t="n">
        <v>1.5</v>
      </c>
      <c r="G327" s="6" t="inlineStr">
        <is>
          <t>Oui</t>
        </is>
      </c>
      <c r="H327" s="6" t="inlineStr">
        <is>
          <t>OFF</t>
        </is>
      </c>
      <c r="I327" s="31" t="n">
        <v>1132.611974342026</v>
      </c>
      <c r="J327" s="31" t="n">
        <v>6657.967474874614</v>
      </c>
      <c r="K327" s="31" t="n">
        <v>3166.666666666667</v>
      </c>
      <c r="L327" s="31" t="n">
        <v>150</v>
      </c>
      <c r="M327" s="31">
        <f>I327+J327+K327+L327</f>
        <v/>
      </c>
      <c r="N327" s="31">
        <f>M327*Dashboard!$B$18/(Dashboard!$B$16/3.6)</f>
        <v/>
      </c>
      <c r="O327" s="31" t="n">
        <v>608.849908181526</v>
      </c>
      <c r="P327" s="32" t="n">
        <v>0.2717308104184109</v>
      </c>
      <c r="Q327" s="33" t="n">
        <v>5.595023284726097</v>
      </c>
      <c r="R327" s="31" t="n">
        <v>747.7504229546494</v>
      </c>
      <c r="S327" s="31">
        <f>R327*IF(A327=4, 2.0, 3.0)</f>
        <v/>
      </c>
      <c r="T327" s="30">
        <f>8.0*U327</f>
        <v/>
      </c>
      <c r="U327" s="34">
        <f>MIN(1, S327/M327)</f>
        <v/>
      </c>
      <c r="V327" s="34">
        <f>N327/(N327+O327)</f>
        <v/>
      </c>
      <c r="W327" s="34">
        <f>U327*V327</f>
        <v/>
      </c>
      <c r="X327" s="32">
        <f>T327/N327</f>
        <v/>
      </c>
      <c r="Y327" s="35">
        <f>IF(X327=MAXIFS(X$2:X$721, A$2:A$721, A327, B$2:B$721, B327), "OPTIMAL", "")</f>
        <v/>
      </c>
    </row>
    <row r="328" ht="20" customHeight="1">
      <c r="A328" s="21" t="n">
        <v>4</v>
      </c>
      <c r="B328" s="21" t="n">
        <v>45</v>
      </c>
      <c r="C328" s="22" t="n">
        <v>120</v>
      </c>
      <c r="D328" s="22" t="n">
        <v>2</v>
      </c>
      <c r="E328" s="23" t="n">
        <v>4</v>
      </c>
      <c r="F328" s="22" t="n">
        <v>1.5</v>
      </c>
      <c r="G328" s="23" t="inlineStr">
        <is>
          <t>Non</t>
        </is>
      </c>
      <c r="H328" s="23" t="inlineStr">
        <is>
          <t>ON</t>
        </is>
      </c>
      <c r="I328" s="24" t="n">
        <v>1132.611974342026</v>
      </c>
      <c r="J328" s="24" t="n">
        <v>6657.967474874614</v>
      </c>
      <c r="K328" s="24" t="n">
        <v>3166.666666666667</v>
      </c>
      <c r="L328" s="24" t="n">
        <v>150</v>
      </c>
      <c r="M328" s="24">
        <f>I328+J328+K328+L328</f>
        <v/>
      </c>
      <c r="N328" s="24">
        <f>M328*Dashboard!$B$18/(Dashboard!$B$16/3.6)</f>
        <v/>
      </c>
      <c r="O328" s="24" t="n">
        <v>608.849908181526</v>
      </c>
      <c r="P328" s="25" t="n">
        <v>0.0654050150778063</v>
      </c>
      <c r="Q328" s="26" t="n">
        <v>5.595023284726097</v>
      </c>
      <c r="R328" s="24" t="n">
        <v>3106.594015435418</v>
      </c>
      <c r="S328" s="24">
        <f>R328*IF(A328=4, 2.0, 3.0)</f>
        <v/>
      </c>
      <c r="T328" s="22">
        <f>8.0*U328</f>
        <v/>
      </c>
      <c r="U328" s="27">
        <f>MIN(1, S328/M328)</f>
        <v/>
      </c>
      <c r="V328" s="27">
        <f>N328/(N328+O328)</f>
        <v/>
      </c>
      <c r="W328" s="27">
        <f>U328*V328</f>
        <v/>
      </c>
      <c r="X328" s="25">
        <f>T328/N328</f>
        <v/>
      </c>
      <c r="Y328" s="28">
        <f>IF(X328=MAXIFS(X$2:X$721, A$2:A$721, A328, B$2:B$721, B328), "OPTIMAL", "")</f>
        <v/>
      </c>
    </row>
    <row r="329" ht="20" customHeight="1">
      <c r="A329" s="29" t="n">
        <v>4</v>
      </c>
      <c r="B329" s="29" t="n">
        <v>45</v>
      </c>
      <c r="C329" s="30" t="n">
        <v>120</v>
      </c>
      <c r="D329" s="30" t="n">
        <v>2</v>
      </c>
      <c r="E329" s="6" t="n">
        <v>4</v>
      </c>
      <c r="F329" s="30" t="n">
        <v>1.5</v>
      </c>
      <c r="G329" s="6" t="inlineStr">
        <is>
          <t>Non</t>
        </is>
      </c>
      <c r="H329" s="6" t="inlineStr">
        <is>
          <t>OFF</t>
        </is>
      </c>
      <c r="I329" s="31" t="n">
        <v>1132.611974342026</v>
      </c>
      <c r="J329" s="31" t="n">
        <v>6657.967474874614</v>
      </c>
      <c r="K329" s="31" t="n">
        <v>3166.666666666667</v>
      </c>
      <c r="L329" s="31" t="n">
        <v>150</v>
      </c>
      <c r="M329" s="31">
        <f>I329+J329+K329+L329</f>
        <v/>
      </c>
      <c r="N329" s="31">
        <f>M329*Dashboard!$B$18/(Dashboard!$B$16/3.6)</f>
        <v/>
      </c>
      <c r="O329" s="31" t="n">
        <v>608.849908181526</v>
      </c>
      <c r="P329" s="32" t="n">
        <v>0.2690782280335459</v>
      </c>
      <c r="Q329" s="33" t="n">
        <v>5.595023284726097</v>
      </c>
      <c r="R329" s="31" t="n">
        <v>755.1217722261986</v>
      </c>
      <c r="S329" s="31">
        <f>R329*IF(A329=4, 2.0, 3.0)</f>
        <v/>
      </c>
      <c r="T329" s="30">
        <f>8.0*U329</f>
        <v/>
      </c>
      <c r="U329" s="34">
        <f>MIN(1, S329/M329)</f>
        <v/>
      </c>
      <c r="V329" s="34">
        <f>N329/(N329+O329)</f>
        <v/>
      </c>
      <c r="W329" s="34">
        <f>U329*V329</f>
        <v/>
      </c>
      <c r="X329" s="32">
        <f>T329/N329</f>
        <v/>
      </c>
      <c r="Y329" s="35">
        <f>IF(X329=MAXIFS(X$2:X$721, A$2:A$721, A329, B$2:B$721, B329), "OPTIMAL", "")</f>
        <v/>
      </c>
    </row>
    <row r="330" ht="20" customHeight="1">
      <c r="A330" s="21" t="n">
        <v>4</v>
      </c>
      <c r="B330" s="21" t="n">
        <v>45</v>
      </c>
      <c r="C330" s="22" t="n">
        <v>120</v>
      </c>
      <c r="D330" s="22" t="n">
        <v>2</v>
      </c>
      <c r="E330" s="23" t="n">
        <v>4</v>
      </c>
      <c r="F330" s="22" t="n">
        <v>2</v>
      </c>
      <c r="G330" s="23" t="inlineStr">
        <is>
          <t>Oui</t>
        </is>
      </c>
      <c r="H330" s="23" t="inlineStr">
        <is>
          <t>ON</t>
        </is>
      </c>
      <c r="I330" s="24" t="n">
        <v>1132.611974342026</v>
      </c>
      <c r="J330" s="24" t="n">
        <v>6657.967474874614</v>
      </c>
      <c r="K330" s="24" t="n">
        <v>3166.666666666667</v>
      </c>
      <c r="L330" s="24" t="n">
        <v>150</v>
      </c>
      <c r="M330" s="24">
        <f>I330+J330+K330+L330</f>
        <v/>
      </c>
      <c r="N330" s="24">
        <f>M330*Dashboard!$B$18/(Dashboard!$B$16/3.6)</f>
        <v/>
      </c>
      <c r="O330" s="24" t="n">
        <v>682.3725347404351</v>
      </c>
      <c r="P330" s="25" t="n">
        <v>0.06474901627983365</v>
      </c>
      <c r="Q330" s="26" t="n">
        <v>7.393364379634797</v>
      </c>
      <c r="R330" s="24" t="n">
        <v>3166.626528998883</v>
      </c>
      <c r="S330" s="24">
        <f>R330*IF(A330=4, 2.0, 3.0)</f>
        <v/>
      </c>
      <c r="T330" s="22">
        <f>8.0*U330</f>
        <v/>
      </c>
      <c r="U330" s="27">
        <f>MIN(1, S330/M330)</f>
        <v/>
      </c>
      <c r="V330" s="27">
        <f>N330/(N330+O330)</f>
        <v/>
      </c>
      <c r="W330" s="27">
        <f>U330*V330</f>
        <v/>
      </c>
      <c r="X330" s="25">
        <f>T330/N330</f>
        <v/>
      </c>
      <c r="Y330" s="28">
        <f>IF(X330=MAXIFS(X$2:X$721, A$2:A$721, A330, B$2:B$721, B330), "OPTIMAL", "")</f>
        <v/>
      </c>
    </row>
    <row r="331" ht="20" customHeight="1">
      <c r="A331" s="29" t="n">
        <v>4</v>
      </c>
      <c r="B331" s="29" t="n">
        <v>45</v>
      </c>
      <c r="C331" s="30" t="n">
        <v>120</v>
      </c>
      <c r="D331" s="30" t="n">
        <v>2</v>
      </c>
      <c r="E331" s="6" t="n">
        <v>4</v>
      </c>
      <c r="F331" s="30" t="n">
        <v>2</v>
      </c>
      <c r="G331" s="6" t="inlineStr">
        <is>
          <t>Oui</t>
        </is>
      </c>
      <c r="H331" s="6" t="inlineStr">
        <is>
          <t>OFF</t>
        </is>
      </c>
      <c r="I331" s="31" t="n">
        <v>1132.611974342026</v>
      </c>
      <c r="J331" s="31" t="n">
        <v>6657.967474874614</v>
      </c>
      <c r="K331" s="31" t="n">
        <v>3166.666666666667</v>
      </c>
      <c r="L331" s="31" t="n">
        <v>150</v>
      </c>
      <c r="M331" s="31">
        <f>I331+J331+K331+L331</f>
        <v/>
      </c>
      <c r="N331" s="31">
        <f>M331*Dashboard!$B$18/(Dashboard!$B$16/3.6)</f>
        <v/>
      </c>
      <c r="O331" s="31" t="n">
        <v>682.3725347404351</v>
      </c>
      <c r="P331" s="32" t="n">
        <v>0.269253725510994</v>
      </c>
      <c r="Q331" s="33" t="n">
        <v>7.393364379634797</v>
      </c>
      <c r="R331" s="31" t="n">
        <v>761.497179989548</v>
      </c>
      <c r="S331" s="31">
        <f>R331*IF(A331=4, 2.0, 3.0)</f>
        <v/>
      </c>
      <c r="T331" s="30">
        <f>8.0*U331</f>
        <v/>
      </c>
      <c r="U331" s="34">
        <f>MIN(1, S331/M331)</f>
        <v/>
      </c>
      <c r="V331" s="34">
        <f>N331/(N331+O331)</f>
        <v/>
      </c>
      <c r="W331" s="34">
        <f>U331*V331</f>
        <v/>
      </c>
      <c r="X331" s="32">
        <f>T331/N331</f>
        <v/>
      </c>
      <c r="Y331" s="35">
        <f>IF(X331=MAXIFS(X$2:X$721, A$2:A$721, A331, B$2:B$721, B331), "OPTIMAL", "")</f>
        <v/>
      </c>
    </row>
    <row r="332" ht="20" customHeight="1">
      <c r="A332" s="21" t="n">
        <v>4</v>
      </c>
      <c r="B332" s="21" t="n">
        <v>45</v>
      </c>
      <c r="C332" s="22" t="n">
        <v>120</v>
      </c>
      <c r="D332" s="22" t="n">
        <v>2</v>
      </c>
      <c r="E332" s="23" t="n">
        <v>4</v>
      </c>
      <c r="F332" s="22" t="n">
        <v>2</v>
      </c>
      <c r="G332" s="23" t="inlineStr">
        <is>
          <t>Non</t>
        </is>
      </c>
      <c r="H332" s="23" t="inlineStr">
        <is>
          <t>ON</t>
        </is>
      </c>
      <c r="I332" s="24" t="n">
        <v>1132.611974342026</v>
      </c>
      <c r="J332" s="24" t="n">
        <v>6657.967474874614</v>
      </c>
      <c r="K332" s="24" t="n">
        <v>3166.666666666667</v>
      </c>
      <c r="L332" s="24" t="n">
        <v>150</v>
      </c>
      <c r="M332" s="24">
        <f>I332+J332+K332+L332</f>
        <v/>
      </c>
      <c r="N332" s="24">
        <f>M332*Dashboard!$B$18/(Dashboard!$B$16/3.6)</f>
        <v/>
      </c>
      <c r="O332" s="24" t="n">
        <v>682.3725347404351</v>
      </c>
      <c r="P332" s="25" t="n">
        <v>0.06209643389496873</v>
      </c>
      <c r="Q332" s="26" t="n">
        <v>7.393364379634797</v>
      </c>
      <c r="R332" s="24" t="n">
        <v>3301.89577432263</v>
      </c>
      <c r="S332" s="24">
        <f>R332*IF(A332=4, 2.0, 3.0)</f>
        <v/>
      </c>
      <c r="T332" s="22">
        <f>8.0*U332</f>
        <v/>
      </c>
      <c r="U332" s="27">
        <f>MIN(1, S332/M332)</f>
        <v/>
      </c>
      <c r="V332" s="27">
        <f>N332/(N332+O332)</f>
        <v/>
      </c>
      <c r="W332" s="27">
        <f>U332*V332</f>
        <v/>
      </c>
      <c r="X332" s="25">
        <f>T332/N332</f>
        <v/>
      </c>
      <c r="Y332" s="28">
        <f>IF(X332=MAXIFS(X$2:X$721, A$2:A$721, A332, B$2:B$721, B332), "OPTIMAL", "")</f>
        <v/>
      </c>
    </row>
    <row r="333" ht="20" customHeight="1">
      <c r="A333" s="29" t="n">
        <v>4</v>
      </c>
      <c r="B333" s="29" t="n">
        <v>45</v>
      </c>
      <c r="C333" s="30" t="n">
        <v>120</v>
      </c>
      <c r="D333" s="30" t="n">
        <v>2</v>
      </c>
      <c r="E333" s="6" t="n">
        <v>4</v>
      </c>
      <c r="F333" s="30" t="n">
        <v>2</v>
      </c>
      <c r="G333" s="6" t="inlineStr">
        <is>
          <t>Non</t>
        </is>
      </c>
      <c r="H333" s="6" t="inlineStr">
        <is>
          <t>OFF</t>
        </is>
      </c>
      <c r="I333" s="31" t="n">
        <v>1132.611974342026</v>
      </c>
      <c r="J333" s="31" t="n">
        <v>6657.967474874614</v>
      </c>
      <c r="K333" s="31" t="n">
        <v>3166.666666666667</v>
      </c>
      <c r="L333" s="31" t="n">
        <v>150</v>
      </c>
      <c r="M333" s="31">
        <f>I333+J333+K333+L333</f>
        <v/>
      </c>
      <c r="N333" s="31">
        <f>M333*Dashboard!$B$18/(Dashboard!$B$16/3.6)</f>
        <v/>
      </c>
      <c r="O333" s="31" t="n">
        <v>682.3725347404351</v>
      </c>
      <c r="P333" s="32" t="n">
        <v>0.2666011431261291</v>
      </c>
      <c r="Q333" s="33" t="n">
        <v>7.393364379634797</v>
      </c>
      <c r="R333" s="31" t="n">
        <v>769.0737941858681</v>
      </c>
      <c r="S333" s="31">
        <f>R333*IF(A333=4, 2.0, 3.0)</f>
        <v/>
      </c>
      <c r="T333" s="30">
        <f>8.0*U333</f>
        <v/>
      </c>
      <c r="U333" s="34">
        <f>MIN(1, S333/M333)</f>
        <v/>
      </c>
      <c r="V333" s="34">
        <f>N333/(N333+O333)</f>
        <v/>
      </c>
      <c r="W333" s="34">
        <f>U333*V333</f>
        <v/>
      </c>
      <c r="X333" s="32">
        <f>T333/N333</f>
        <v/>
      </c>
      <c r="Y333" s="35">
        <f>IF(X333=MAXIFS(X$2:X$721, A$2:A$721, A333, B$2:B$721, B333), "OPTIMAL", "")</f>
        <v/>
      </c>
    </row>
    <row r="334" ht="20" customHeight="1">
      <c r="A334" s="21" t="n">
        <v>4</v>
      </c>
      <c r="B334" s="21" t="n">
        <v>45</v>
      </c>
      <c r="C334" s="22" t="n">
        <v>120</v>
      </c>
      <c r="D334" s="22" t="n">
        <v>2</v>
      </c>
      <c r="E334" s="23" t="n">
        <v>8</v>
      </c>
      <c r="F334" s="22" t="n">
        <v>1.5</v>
      </c>
      <c r="G334" s="23" t="inlineStr">
        <is>
          <t>Oui</t>
        </is>
      </c>
      <c r="H334" s="23" t="inlineStr">
        <is>
          <t>ON</t>
        </is>
      </c>
      <c r="I334" s="24" t="n">
        <v>1132.611974342026</v>
      </c>
      <c r="J334" s="24" t="n">
        <v>6657.967474874614</v>
      </c>
      <c r="K334" s="24" t="n">
        <v>3166.666666666667</v>
      </c>
      <c r="L334" s="24" t="n">
        <v>150</v>
      </c>
      <c r="M334" s="24">
        <f>I334+J334+K334+L334</f>
        <v/>
      </c>
      <c r="N334" s="24">
        <f>M334*Dashboard!$B$18/(Dashboard!$B$16/3.6)</f>
        <v/>
      </c>
      <c r="O334" s="24" t="n">
        <v>833.5068180881538</v>
      </c>
      <c r="P334" s="25" t="n">
        <v>0.05155761606859751</v>
      </c>
      <c r="Q334" s="26" t="n">
        <v>10.9900465694522</v>
      </c>
      <c r="R334" s="24" t="n">
        <v>4050.556598788186</v>
      </c>
      <c r="S334" s="24">
        <f>R334*IF(A334=4, 2.0, 3.0)</f>
        <v/>
      </c>
      <c r="T334" s="22">
        <f>8.0*U334</f>
        <v/>
      </c>
      <c r="U334" s="27">
        <f>MIN(1, S334/M334)</f>
        <v/>
      </c>
      <c r="V334" s="27">
        <f>N334/(N334+O334)</f>
        <v/>
      </c>
      <c r="W334" s="27">
        <f>U334*V334</f>
        <v/>
      </c>
      <c r="X334" s="25">
        <f>T334/N334</f>
        <v/>
      </c>
      <c r="Y334" s="28">
        <f>IF(X334=MAXIFS(X$2:X$721, A$2:A$721, A334, B$2:B$721, B334), "OPTIMAL", "")</f>
        <v/>
      </c>
    </row>
    <row r="335" ht="20" customHeight="1">
      <c r="A335" s="29" t="n">
        <v>4</v>
      </c>
      <c r="B335" s="29" t="n">
        <v>45</v>
      </c>
      <c r="C335" s="30" t="n">
        <v>120</v>
      </c>
      <c r="D335" s="30" t="n">
        <v>2</v>
      </c>
      <c r="E335" s="6" t="n">
        <v>8</v>
      </c>
      <c r="F335" s="30" t="n">
        <v>1.5</v>
      </c>
      <c r="G335" s="6" t="inlineStr">
        <is>
          <t>Oui</t>
        </is>
      </c>
      <c r="H335" s="6" t="inlineStr">
        <is>
          <t>OFF</t>
        </is>
      </c>
      <c r="I335" s="31" t="n">
        <v>1132.611974342026</v>
      </c>
      <c r="J335" s="31" t="n">
        <v>6657.967474874614</v>
      </c>
      <c r="K335" s="31" t="n">
        <v>3166.666666666667</v>
      </c>
      <c r="L335" s="31" t="n">
        <v>150</v>
      </c>
      <c r="M335" s="31">
        <f>I335+J335+K335+L335</f>
        <v/>
      </c>
      <c r="N335" s="31">
        <f>M335*Dashboard!$B$18/(Dashboard!$B$16/3.6)</f>
        <v/>
      </c>
      <c r="O335" s="31" t="n">
        <v>833.5068180881538</v>
      </c>
      <c r="P335" s="32" t="n">
        <v>0.216853233443705</v>
      </c>
      <c r="Q335" s="33" t="n">
        <v>10.9900465694522</v>
      </c>
      <c r="R335" s="31" t="n">
        <v>963.0340238328032</v>
      </c>
      <c r="S335" s="31">
        <f>R335*IF(A335=4, 2.0, 3.0)</f>
        <v/>
      </c>
      <c r="T335" s="30">
        <f>8.0*U335</f>
        <v/>
      </c>
      <c r="U335" s="34">
        <f>MIN(1, S335/M335)</f>
        <v/>
      </c>
      <c r="V335" s="34">
        <f>N335/(N335+O335)</f>
        <v/>
      </c>
      <c r="W335" s="34">
        <f>U335*V335</f>
        <v/>
      </c>
      <c r="X335" s="32">
        <f>T335/N335</f>
        <v/>
      </c>
      <c r="Y335" s="35">
        <f>IF(X335=MAXIFS(X$2:X$721, A$2:A$721, A335, B$2:B$721, B335), "OPTIMAL", "")</f>
        <v/>
      </c>
    </row>
    <row r="336" ht="20" customHeight="1">
      <c r="A336" s="21" t="n">
        <v>4</v>
      </c>
      <c r="B336" s="21" t="n">
        <v>45</v>
      </c>
      <c r="C336" s="22" t="n">
        <v>120</v>
      </c>
      <c r="D336" s="22" t="n">
        <v>2</v>
      </c>
      <c r="E336" s="23" t="n">
        <v>8</v>
      </c>
      <c r="F336" s="22" t="n">
        <v>1.5</v>
      </c>
      <c r="G336" s="23" t="inlineStr">
        <is>
          <t>Non</t>
        </is>
      </c>
      <c r="H336" s="23" t="inlineStr">
        <is>
          <t>ON</t>
        </is>
      </c>
      <c r="I336" s="24" t="n">
        <v>1132.611974342026</v>
      </c>
      <c r="J336" s="24" t="n">
        <v>6657.967474874614</v>
      </c>
      <c r="K336" s="24" t="n">
        <v>3166.666666666667</v>
      </c>
      <c r="L336" s="24" t="n">
        <v>150</v>
      </c>
      <c r="M336" s="24">
        <f>I336+J336+K336+L336</f>
        <v/>
      </c>
      <c r="N336" s="24">
        <f>M336*Dashboard!$B$18/(Dashboard!$B$16/3.6)</f>
        <v/>
      </c>
      <c r="O336" s="24" t="n">
        <v>833.5068180881538</v>
      </c>
      <c r="P336" s="25" t="n">
        <v>0.04890503368373258</v>
      </c>
      <c r="Q336" s="26" t="n">
        <v>10.9900465694522</v>
      </c>
      <c r="R336" s="24" t="n">
        <v>4270.256582072685</v>
      </c>
      <c r="S336" s="24">
        <f>R336*IF(A336=4, 2.0, 3.0)</f>
        <v/>
      </c>
      <c r="T336" s="22">
        <f>8.0*U336</f>
        <v/>
      </c>
      <c r="U336" s="27">
        <f>MIN(1, S336/M336)</f>
        <v/>
      </c>
      <c r="V336" s="27">
        <f>N336/(N336+O336)</f>
        <v/>
      </c>
      <c r="W336" s="27">
        <f>U336*V336</f>
        <v/>
      </c>
      <c r="X336" s="25">
        <f>T336/N336</f>
        <v/>
      </c>
      <c r="Y336" s="28">
        <f>IF(X336=MAXIFS(X$2:X$721, A$2:A$721, A336, B$2:B$721, B336), "OPTIMAL", "")</f>
        <v/>
      </c>
    </row>
    <row r="337" ht="20" customHeight="1">
      <c r="A337" s="29" t="n">
        <v>4</v>
      </c>
      <c r="B337" s="29" t="n">
        <v>45</v>
      </c>
      <c r="C337" s="30" t="n">
        <v>120</v>
      </c>
      <c r="D337" s="30" t="n">
        <v>2</v>
      </c>
      <c r="E337" s="6" t="n">
        <v>8</v>
      </c>
      <c r="F337" s="30" t="n">
        <v>1.5</v>
      </c>
      <c r="G337" s="6" t="inlineStr">
        <is>
          <t>Non</t>
        </is>
      </c>
      <c r="H337" s="6" t="inlineStr">
        <is>
          <t>OFF</t>
        </is>
      </c>
      <c r="I337" s="31" t="n">
        <v>1132.611974342026</v>
      </c>
      <c r="J337" s="31" t="n">
        <v>6657.967474874614</v>
      </c>
      <c r="K337" s="31" t="n">
        <v>3166.666666666667</v>
      </c>
      <c r="L337" s="31" t="n">
        <v>150</v>
      </c>
      <c r="M337" s="31">
        <f>I337+J337+K337+L337</f>
        <v/>
      </c>
      <c r="N337" s="31">
        <f>M337*Dashboard!$B$18/(Dashboard!$B$16/3.6)</f>
        <v/>
      </c>
      <c r="O337" s="31" t="n">
        <v>833.5068180881538</v>
      </c>
      <c r="P337" s="32" t="n">
        <v>0.2142006510588401</v>
      </c>
      <c r="Q337" s="33" t="n">
        <v>10.9900465694522</v>
      </c>
      <c r="R337" s="31" t="n">
        <v>974.9598843519794</v>
      </c>
      <c r="S337" s="31">
        <f>R337*IF(A337=4, 2.0, 3.0)</f>
        <v/>
      </c>
      <c r="T337" s="30">
        <f>8.0*U337</f>
        <v/>
      </c>
      <c r="U337" s="34">
        <f>MIN(1, S337/M337)</f>
        <v/>
      </c>
      <c r="V337" s="34">
        <f>N337/(N337+O337)</f>
        <v/>
      </c>
      <c r="W337" s="34">
        <f>U337*V337</f>
        <v/>
      </c>
      <c r="X337" s="32">
        <f>T337/N337</f>
        <v/>
      </c>
      <c r="Y337" s="35">
        <f>IF(X337=MAXIFS(X$2:X$721, A$2:A$721, A337, B$2:B$721, B337), "OPTIMAL", "")</f>
        <v/>
      </c>
    </row>
    <row r="338" ht="20" customHeight="1">
      <c r="A338" s="21" t="n">
        <v>4</v>
      </c>
      <c r="B338" s="21" t="n">
        <v>45</v>
      </c>
      <c r="C338" s="22" t="n">
        <v>120</v>
      </c>
      <c r="D338" s="22" t="n">
        <v>2</v>
      </c>
      <c r="E338" s="23" t="n">
        <v>8</v>
      </c>
      <c r="F338" s="22" t="n">
        <v>2</v>
      </c>
      <c r="G338" s="23" t="inlineStr">
        <is>
          <t>Oui</t>
        </is>
      </c>
      <c r="H338" s="23" t="inlineStr">
        <is>
          <t>ON</t>
        </is>
      </c>
      <c r="I338" s="24" t="n">
        <v>1132.611974342026</v>
      </c>
      <c r="J338" s="24" t="n">
        <v>6657.967474874614</v>
      </c>
      <c r="K338" s="24" t="n">
        <v>3166.666666666667</v>
      </c>
      <c r="L338" s="24" t="n">
        <v>150</v>
      </c>
      <c r="M338" s="24">
        <f>I338+J338+K338+L338</f>
        <v/>
      </c>
      <c r="N338" s="24">
        <f>M338*Dashboard!$B$18/(Dashboard!$B$16/3.6)</f>
        <v/>
      </c>
      <c r="O338" s="24" t="n">
        <v>990.3505982755161</v>
      </c>
      <c r="P338" s="25" t="n">
        <v>0.04997260972227939</v>
      </c>
      <c r="Q338" s="26" t="n">
        <v>14.58672875926959</v>
      </c>
      <c r="R338" s="24" t="n">
        <v>4257.967087647923</v>
      </c>
      <c r="S338" s="24">
        <f>R338*IF(A338=4, 2.0, 3.0)</f>
        <v/>
      </c>
      <c r="T338" s="22">
        <f>8.0*U338</f>
        <v/>
      </c>
      <c r="U338" s="27">
        <f>MIN(1, S338/M338)</f>
        <v/>
      </c>
      <c r="V338" s="27">
        <f>N338/(N338+O338)</f>
        <v/>
      </c>
      <c r="W338" s="27">
        <f>U338*V338</f>
        <v/>
      </c>
      <c r="X338" s="25">
        <f>T338/N338</f>
        <v/>
      </c>
      <c r="Y338" s="28">
        <f>IF(X338=MAXIFS(X$2:X$721, A$2:A$721, A338, B$2:B$721, B338), "OPTIMAL", "")</f>
        <v/>
      </c>
    </row>
    <row r="339" ht="20" customHeight="1">
      <c r="A339" s="29" t="n">
        <v>4</v>
      </c>
      <c r="B339" s="29" t="n">
        <v>45</v>
      </c>
      <c r="C339" s="30" t="n">
        <v>120</v>
      </c>
      <c r="D339" s="30" t="n">
        <v>2</v>
      </c>
      <c r="E339" s="6" t="n">
        <v>8</v>
      </c>
      <c r="F339" s="30" t="n">
        <v>2</v>
      </c>
      <c r="G339" s="6" t="inlineStr">
        <is>
          <t>Oui</t>
        </is>
      </c>
      <c r="H339" s="6" t="inlineStr">
        <is>
          <t>OFF</t>
        </is>
      </c>
      <c r="I339" s="31" t="n">
        <v>1132.611974342026</v>
      </c>
      <c r="J339" s="31" t="n">
        <v>6657.967474874614</v>
      </c>
      <c r="K339" s="31" t="n">
        <v>3166.666666666667</v>
      </c>
      <c r="L339" s="31" t="n">
        <v>150</v>
      </c>
      <c r="M339" s="31">
        <f>I339+J339+K339+L339</f>
        <v/>
      </c>
      <c r="N339" s="31">
        <f>M339*Dashboard!$B$18/(Dashboard!$B$16/3.6)</f>
        <v/>
      </c>
      <c r="O339" s="31" t="n">
        <v>990.3505982755161</v>
      </c>
      <c r="P339" s="32" t="n">
        <v>0.2163666659525478</v>
      </c>
      <c r="Q339" s="33" t="n">
        <v>14.58672875926959</v>
      </c>
      <c r="R339" s="31" t="n">
        <v>983.4311886471746</v>
      </c>
      <c r="S339" s="31">
        <f>R339*IF(A339=4, 2.0, 3.0)</f>
        <v/>
      </c>
      <c r="T339" s="30">
        <f>8.0*U339</f>
        <v/>
      </c>
      <c r="U339" s="34">
        <f>MIN(1, S339/M339)</f>
        <v/>
      </c>
      <c r="V339" s="34">
        <f>N339/(N339+O339)</f>
        <v/>
      </c>
      <c r="W339" s="34">
        <f>U339*V339</f>
        <v/>
      </c>
      <c r="X339" s="32">
        <f>T339/N339</f>
        <v/>
      </c>
      <c r="Y339" s="35">
        <f>IF(X339=MAXIFS(X$2:X$721, A$2:A$721, A339, B$2:B$721, B339), "OPTIMAL", "")</f>
        <v/>
      </c>
    </row>
    <row r="340" ht="20" customHeight="1">
      <c r="A340" s="21" t="n">
        <v>4</v>
      </c>
      <c r="B340" s="21" t="n">
        <v>45</v>
      </c>
      <c r="C340" s="22" t="n">
        <v>120</v>
      </c>
      <c r="D340" s="22" t="n">
        <v>2</v>
      </c>
      <c r="E340" s="23" t="n">
        <v>8</v>
      </c>
      <c r="F340" s="22" t="n">
        <v>2</v>
      </c>
      <c r="G340" s="23" t="inlineStr">
        <is>
          <t>Non</t>
        </is>
      </c>
      <c r="H340" s="23" t="inlineStr">
        <is>
          <t>ON</t>
        </is>
      </c>
      <c r="I340" s="24" t="n">
        <v>1132.611974342026</v>
      </c>
      <c r="J340" s="24" t="n">
        <v>6657.967474874614</v>
      </c>
      <c r="K340" s="24" t="n">
        <v>3166.666666666667</v>
      </c>
      <c r="L340" s="24" t="n">
        <v>150</v>
      </c>
      <c r="M340" s="24">
        <f>I340+J340+K340+L340</f>
        <v/>
      </c>
      <c r="N340" s="24">
        <f>M340*Dashboard!$B$18/(Dashboard!$B$16/3.6)</f>
        <v/>
      </c>
      <c r="O340" s="24" t="n">
        <v>990.3505982755161</v>
      </c>
      <c r="P340" s="25" t="n">
        <v>0.04732002733741447</v>
      </c>
      <c r="Q340" s="26" t="n">
        <v>14.58672875926959</v>
      </c>
      <c r="R340" s="24" t="n">
        <v>4496.652674439611</v>
      </c>
      <c r="S340" s="24">
        <f>R340*IF(A340=4, 2.0, 3.0)</f>
        <v/>
      </c>
      <c r="T340" s="22">
        <f>8.0*U340</f>
        <v/>
      </c>
      <c r="U340" s="27">
        <f>MIN(1, S340/M340)</f>
        <v/>
      </c>
      <c r="V340" s="27">
        <f>N340/(N340+O340)</f>
        <v/>
      </c>
      <c r="W340" s="27">
        <f>U340*V340</f>
        <v/>
      </c>
      <c r="X340" s="25">
        <f>T340/N340</f>
        <v/>
      </c>
      <c r="Y340" s="28">
        <f>IF(X340=MAXIFS(X$2:X$721, A$2:A$721, A340, B$2:B$721, B340), "OPTIMAL", "")</f>
        <v/>
      </c>
    </row>
    <row r="341" ht="20" customHeight="1">
      <c r="A341" s="29" t="n">
        <v>4</v>
      </c>
      <c r="B341" s="29" t="n">
        <v>45</v>
      </c>
      <c r="C341" s="30" t="n">
        <v>120</v>
      </c>
      <c r="D341" s="30" t="n">
        <v>2</v>
      </c>
      <c r="E341" s="6" t="n">
        <v>8</v>
      </c>
      <c r="F341" s="30" t="n">
        <v>2</v>
      </c>
      <c r="G341" s="6" t="inlineStr">
        <is>
          <t>Non</t>
        </is>
      </c>
      <c r="H341" s="6" t="inlineStr">
        <is>
          <t>OFF</t>
        </is>
      </c>
      <c r="I341" s="31" t="n">
        <v>1132.611974342026</v>
      </c>
      <c r="J341" s="31" t="n">
        <v>6657.967474874614</v>
      </c>
      <c r="K341" s="31" t="n">
        <v>3166.666666666667</v>
      </c>
      <c r="L341" s="31" t="n">
        <v>150</v>
      </c>
      <c r="M341" s="31">
        <f>I341+J341+K341+L341</f>
        <v/>
      </c>
      <c r="N341" s="31">
        <f>M341*Dashboard!$B$18/(Dashboard!$B$16/3.6)</f>
        <v/>
      </c>
      <c r="O341" s="31" t="n">
        <v>990.3505982755161</v>
      </c>
      <c r="P341" s="32" t="n">
        <v>0.2137140835676829</v>
      </c>
      <c r="Q341" s="33" t="n">
        <v>14.58672875926959</v>
      </c>
      <c r="R341" s="31" t="n">
        <v>995.6373671272472</v>
      </c>
      <c r="S341" s="31">
        <f>R341*IF(A341=4, 2.0, 3.0)</f>
        <v/>
      </c>
      <c r="T341" s="30">
        <f>8.0*U341</f>
        <v/>
      </c>
      <c r="U341" s="34">
        <f>MIN(1, S341/M341)</f>
        <v/>
      </c>
      <c r="V341" s="34">
        <f>N341/(N341+O341)</f>
        <v/>
      </c>
      <c r="W341" s="34">
        <f>U341*V341</f>
        <v/>
      </c>
      <c r="X341" s="32">
        <f>T341/N341</f>
        <v/>
      </c>
      <c r="Y341" s="35">
        <f>IF(X341=MAXIFS(X$2:X$721, A$2:A$721, A341, B$2:B$721, B341), "OPTIMAL", "")</f>
        <v/>
      </c>
    </row>
    <row r="342" ht="20" customHeight="1">
      <c r="A342" s="21" t="n">
        <v>4</v>
      </c>
      <c r="B342" s="21" t="n">
        <v>45</v>
      </c>
      <c r="C342" s="22" t="n">
        <v>120</v>
      </c>
      <c r="D342" s="22" t="n">
        <v>3</v>
      </c>
      <c r="E342" s="23" t="n">
        <v>0</v>
      </c>
      <c r="F342" s="22" t="n">
        <v>0</v>
      </c>
      <c r="G342" s="23" t="inlineStr">
        <is>
          <t>Oui</t>
        </is>
      </c>
      <c r="H342" s="23" t="inlineStr">
        <is>
          <t>ON</t>
        </is>
      </c>
      <c r="I342" s="24" t="n">
        <v>1132.611974342026</v>
      </c>
      <c r="J342" s="24" t="n">
        <v>6657.967474874614</v>
      </c>
      <c r="K342" s="24" t="n">
        <v>3166.666666666667</v>
      </c>
      <c r="L342" s="24" t="n">
        <v>150</v>
      </c>
      <c r="M342" s="24">
        <f>I342+J342+K342+L342</f>
        <v/>
      </c>
      <c r="N342" s="24">
        <f>M342*Dashboard!$B$18/(Dashboard!$B$16/3.6)</f>
        <v/>
      </c>
      <c r="O342" s="24" t="n">
        <v>609.8578541971722</v>
      </c>
      <c r="P342" s="25" t="n">
        <v>0.4668943220842715</v>
      </c>
      <c r="Q342" s="26" t="n">
        <v>0.2</v>
      </c>
      <c r="R342" s="24" t="n">
        <v>438.7218612077345</v>
      </c>
      <c r="S342" s="24">
        <f>R342*IF(A342=4, 2.0, 3.0)</f>
        <v/>
      </c>
      <c r="T342" s="22">
        <f>8.0*U342</f>
        <v/>
      </c>
      <c r="U342" s="27">
        <f>MIN(1, S342/M342)</f>
        <v/>
      </c>
      <c r="V342" s="27">
        <f>N342/(N342+O342)</f>
        <v/>
      </c>
      <c r="W342" s="27">
        <f>U342*V342</f>
        <v/>
      </c>
      <c r="X342" s="25">
        <f>T342/N342</f>
        <v/>
      </c>
      <c r="Y342" s="28">
        <f>IF(X342=MAXIFS(X$2:X$721, A$2:A$721, A342, B$2:B$721, B342), "OPTIMAL", "")</f>
        <v/>
      </c>
    </row>
    <row r="343" ht="20" customHeight="1">
      <c r="A343" s="29" t="n">
        <v>4</v>
      </c>
      <c r="B343" s="29" t="n">
        <v>45</v>
      </c>
      <c r="C343" s="30" t="n">
        <v>120</v>
      </c>
      <c r="D343" s="30" t="n">
        <v>3</v>
      </c>
      <c r="E343" s="6" t="n">
        <v>0</v>
      </c>
      <c r="F343" s="30" t="n">
        <v>0</v>
      </c>
      <c r="G343" s="6" t="inlineStr">
        <is>
          <t>Oui</t>
        </is>
      </c>
      <c r="H343" s="6" t="inlineStr">
        <is>
          <t>OFF</t>
        </is>
      </c>
      <c r="I343" s="31" t="n">
        <v>1132.611974342026</v>
      </c>
      <c r="J343" s="31" t="n">
        <v>6657.967474874614</v>
      </c>
      <c r="K343" s="31" t="n">
        <v>3166.666666666667</v>
      </c>
      <c r="L343" s="31" t="n">
        <v>150</v>
      </c>
      <c r="M343" s="31">
        <f>I343+J343+K343+L343</f>
        <v/>
      </c>
      <c r="N343" s="31">
        <f>M343*Dashboard!$B$18/(Dashboard!$B$16/3.6)</f>
        <v/>
      </c>
      <c r="O343" s="31" t="n">
        <v>609.8578541971722</v>
      </c>
      <c r="P343" s="32" t="n">
        <v>0.7321525605707637</v>
      </c>
      <c r="Q343" s="33" t="n">
        <v>0.2</v>
      </c>
      <c r="R343" s="31" t="n">
        <v>279.7733109236831</v>
      </c>
      <c r="S343" s="31">
        <f>R343*IF(A343=4, 2.0, 3.0)</f>
        <v/>
      </c>
      <c r="T343" s="30">
        <f>8.0*U343</f>
        <v/>
      </c>
      <c r="U343" s="34">
        <f>MIN(1, S343/M343)</f>
        <v/>
      </c>
      <c r="V343" s="34">
        <f>N343/(N343+O343)</f>
        <v/>
      </c>
      <c r="W343" s="34">
        <f>U343*V343</f>
        <v/>
      </c>
      <c r="X343" s="32">
        <f>T343/N343</f>
        <v/>
      </c>
      <c r="Y343" s="35">
        <f>IF(X343=MAXIFS(X$2:X$721, A$2:A$721, A343, B$2:B$721, B343), "OPTIMAL", "")</f>
        <v/>
      </c>
    </row>
    <row r="344" ht="20" customHeight="1">
      <c r="A344" s="21" t="n">
        <v>4</v>
      </c>
      <c r="B344" s="21" t="n">
        <v>45</v>
      </c>
      <c r="C344" s="22" t="n">
        <v>120</v>
      </c>
      <c r="D344" s="22" t="n">
        <v>3</v>
      </c>
      <c r="E344" s="23" t="n">
        <v>0</v>
      </c>
      <c r="F344" s="22" t="n">
        <v>0</v>
      </c>
      <c r="G344" s="23" t="inlineStr">
        <is>
          <t>Non</t>
        </is>
      </c>
      <c r="H344" s="23" t="inlineStr">
        <is>
          <t>ON</t>
        </is>
      </c>
      <c r="I344" s="24" t="n">
        <v>1132.611974342026</v>
      </c>
      <c r="J344" s="24" t="n">
        <v>6657.967474874614</v>
      </c>
      <c r="K344" s="24" t="n">
        <v>3166.666666666667</v>
      </c>
      <c r="L344" s="24" t="n">
        <v>150</v>
      </c>
      <c r="M344" s="24">
        <f>I344+J344+K344+L344</f>
        <v/>
      </c>
      <c r="N344" s="24">
        <f>M344*Dashboard!$B$18/(Dashboard!$B$16/3.6)</f>
        <v/>
      </c>
      <c r="O344" s="24" t="n">
        <v>609.8578541971722</v>
      </c>
      <c r="P344" s="25" t="n">
        <v>0.4642417396994065</v>
      </c>
      <c r="Q344" s="26" t="n">
        <v>0.2</v>
      </c>
      <c r="R344" s="24" t="n">
        <v>441.2286282245226</v>
      </c>
      <c r="S344" s="24">
        <f>R344*IF(A344=4, 2.0, 3.0)</f>
        <v/>
      </c>
      <c r="T344" s="22">
        <f>8.0*U344</f>
        <v/>
      </c>
      <c r="U344" s="27">
        <f>MIN(1, S344/M344)</f>
        <v/>
      </c>
      <c r="V344" s="27">
        <f>N344/(N344+O344)</f>
        <v/>
      </c>
      <c r="W344" s="27">
        <f>U344*V344</f>
        <v/>
      </c>
      <c r="X344" s="25">
        <f>T344/N344</f>
        <v/>
      </c>
      <c r="Y344" s="28">
        <f>IF(X344=MAXIFS(X$2:X$721, A$2:A$721, A344, B$2:B$721, B344), "OPTIMAL", "")</f>
        <v/>
      </c>
    </row>
    <row r="345" ht="20" customHeight="1">
      <c r="A345" s="29" t="n">
        <v>4</v>
      </c>
      <c r="B345" s="29" t="n">
        <v>45</v>
      </c>
      <c r="C345" s="30" t="n">
        <v>120</v>
      </c>
      <c r="D345" s="30" t="n">
        <v>3</v>
      </c>
      <c r="E345" s="6" t="n">
        <v>0</v>
      </c>
      <c r="F345" s="30" t="n">
        <v>0</v>
      </c>
      <c r="G345" s="6" t="inlineStr">
        <is>
          <t>Non</t>
        </is>
      </c>
      <c r="H345" s="6" t="inlineStr">
        <is>
          <t>OFF</t>
        </is>
      </c>
      <c r="I345" s="31" t="n">
        <v>1132.611974342026</v>
      </c>
      <c r="J345" s="31" t="n">
        <v>6657.967474874614</v>
      </c>
      <c r="K345" s="31" t="n">
        <v>3166.666666666667</v>
      </c>
      <c r="L345" s="31" t="n">
        <v>150</v>
      </c>
      <c r="M345" s="31">
        <f>I345+J345+K345+L345</f>
        <v/>
      </c>
      <c r="N345" s="31">
        <f>M345*Dashboard!$B$18/(Dashboard!$B$16/3.6)</f>
        <v/>
      </c>
      <c r="O345" s="31" t="n">
        <v>609.8578541971722</v>
      </c>
      <c r="P345" s="32" t="n">
        <v>0.7294999781858988</v>
      </c>
      <c r="Q345" s="33" t="n">
        <v>0.2</v>
      </c>
      <c r="R345" s="31" t="n">
        <v>280.7906128818778</v>
      </c>
      <c r="S345" s="31">
        <f>R345*IF(A345=4, 2.0, 3.0)</f>
        <v/>
      </c>
      <c r="T345" s="30">
        <f>8.0*U345</f>
        <v/>
      </c>
      <c r="U345" s="34">
        <f>MIN(1, S345/M345)</f>
        <v/>
      </c>
      <c r="V345" s="34">
        <f>N345/(N345+O345)</f>
        <v/>
      </c>
      <c r="W345" s="34">
        <f>U345*V345</f>
        <v/>
      </c>
      <c r="X345" s="32">
        <f>T345/N345</f>
        <v/>
      </c>
      <c r="Y345" s="35">
        <f>IF(X345=MAXIFS(X$2:X$721, A$2:A$721, A345, B$2:B$721, B345), "OPTIMAL", "")</f>
        <v/>
      </c>
    </row>
    <row r="346" ht="20" customHeight="1">
      <c r="A346" s="21" t="n">
        <v>4</v>
      </c>
      <c r="B346" s="21" t="n">
        <v>45</v>
      </c>
      <c r="C346" s="22" t="n">
        <v>120</v>
      </c>
      <c r="D346" s="22" t="n">
        <v>3</v>
      </c>
      <c r="E346" s="23" t="n">
        <v>4</v>
      </c>
      <c r="F346" s="22" t="n">
        <v>1.5</v>
      </c>
      <c r="G346" s="23" t="inlineStr">
        <is>
          <t>Oui</t>
        </is>
      </c>
      <c r="H346" s="23" t="inlineStr">
        <is>
          <t>ON</t>
        </is>
      </c>
      <c r="I346" s="24" t="n">
        <v>1132.611974342026</v>
      </c>
      <c r="J346" s="24" t="n">
        <v>6657.967474874614</v>
      </c>
      <c r="K346" s="24" t="n">
        <v>3166.666666666667</v>
      </c>
      <c r="L346" s="24" t="n">
        <v>150</v>
      </c>
      <c r="M346" s="24">
        <f>I346+J346+K346+L346</f>
        <v/>
      </c>
      <c r="N346" s="24">
        <f>M346*Dashboard!$B$18/(Dashboard!$B$16/3.6)</f>
        <v/>
      </c>
      <c r="O346" s="24" t="n">
        <v>833.2864639907375</v>
      </c>
      <c r="P346" s="25" t="n">
        <v>0.06783449726767998</v>
      </c>
      <c r="Q346" s="26" t="n">
        <v>5.689672816037082</v>
      </c>
      <c r="R346" s="24" t="n">
        <v>3102.8258971085</v>
      </c>
      <c r="S346" s="24">
        <f>R346*IF(A346=4, 2.0, 3.0)</f>
        <v/>
      </c>
      <c r="T346" s="22">
        <f>8.0*U346</f>
        <v/>
      </c>
      <c r="U346" s="27">
        <f>MIN(1, S346/M346)</f>
        <v/>
      </c>
      <c r="V346" s="27">
        <f>N346/(N346+O346)</f>
        <v/>
      </c>
      <c r="W346" s="27">
        <f>U346*V346</f>
        <v/>
      </c>
      <c r="X346" s="25">
        <f>T346/N346</f>
        <v/>
      </c>
      <c r="Y346" s="28">
        <f>IF(X346=MAXIFS(X$2:X$721, A$2:A$721, A346, B$2:B$721, B346), "OPTIMAL", "")</f>
        <v/>
      </c>
    </row>
    <row r="347" ht="20" customHeight="1">
      <c r="A347" s="29" t="n">
        <v>4</v>
      </c>
      <c r="B347" s="29" t="n">
        <v>45</v>
      </c>
      <c r="C347" s="30" t="n">
        <v>120</v>
      </c>
      <c r="D347" s="30" t="n">
        <v>3</v>
      </c>
      <c r="E347" s="6" t="n">
        <v>4</v>
      </c>
      <c r="F347" s="30" t="n">
        <v>1.5</v>
      </c>
      <c r="G347" s="6" t="inlineStr">
        <is>
          <t>Oui</t>
        </is>
      </c>
      <c r="H347" s="6" t="inlineStr">
        <is>
          <t>OFF</t>
        </is>
      </c>
      <c r="I347" s="31" t="n">
        <v>1132.611974342026</v>
      </c>
      <c r="J347" s="31" t="n">
        <v>6657.967474874614</v>
      </c>
      <c r="K347" s="31" t="n">
        <v>3166.666666666667</v>
      </c>
      <c r="L347" s="31" t="n">
        <v>150</v>
      </c>
      <c r="M347" s="31">
        <f>I347+J347+K347+L347</f>
        <v/>
      </c>
      <c r="N347" s="31">
        <f>M347*Dashboard!$B$18/(Dashboard!$B$16/3.6)</f>
        <v/>
      </c>
      <c r="O347" s="31" t="n">
        <v>833.2864639907375</v>
      </c>
      <c r="P347" s="32" t="n">
        <v>0.2715077102234196</v>
      </c>
      <c r="Q347" s="33" t="n">
        <v>5.689672816037082</v>
      </c>
      <c r="R347" s="31" t="n">
        <v>775.2215753515566</v>
      </c>
      <c r="S347" s="31">
        <f>R347*IF(A347=4, 2.0, 3.0)</f>
        <v/>
      </c>
      <c r="T347" s="30">
        <f>8.0*U347</f>
        <v/>
      </c>
      <c r="U347" s="34">
        <f>MIN(1, S347/M347)</f>
        <v/>
      </c>
      <c r="V347" s="34">
        <f>N347/(N347+O347)</f>
        <v/>
      </c>
      <c r="W347" s="34">
        <f>U347*V347</f>
        <v/>
      </c>
      <c r="X347" s="32">
        <f>T347/N347</f>
        <v/>
      </c>
      <c r="Y347" s="35">
        <f>IF(X347=MAXIFS(X$2:X$721, A$2:A$721, A347, B$2:B$721, B347), "OPTIMAL", "")</f>
        <v/>
      </c>
    </row>
    <row r="348" ht="20" customHeight="1">
      <c r="A348" s="21" t="n">
        <v>4</v>
      </c>
      <c r="B348" s="21" t="n">
        <v>45</v>
      </c>
      <c r="C348" s="22" t="n">
        <v>120</v>
      </c>
      <c r="D348" s="22" t="n">
        <v>3</v>
      </c>
      <c r="E348" s="23" t="n">
        <v>4</v>
      </c>
      <c r="F348" s="22" t="n">
        <v>1.5</v>
      </c>
      <c r="G348" s="23" t="inlineStr">
        <is>
          <t>Non</t>
        </is>
      </c>
      <c r="H348" s="23" t="inlineStr">
        <is>
          <t>ON</t>
        </is>
      </c>
      <c r="I348" s="24" t="n">
        <v>1132.611974342026</v>
      </c>
      <c r="J348" s="24" t="n">
        <v>6657.967474874614</v>
      </c>
      <c r="K348" s="24" t="n">
        <v>3166.666666666667</v>
      </c>
      <c r="L348" s="24" t="n">
        <v>150</v>
      </c>
      <c r="M348" s="24">
        <f>I348+J348+K348+L348</f>
        <v/>
      </c>
      <c r="N348" s="24">
        <f>M348*Dashboard!$B$18/(Dashboard!$B$16/3.6)</f>
        <v/>
      </c>
      <c r="O348" s="24" t="n">
        <v>833.2864639907375</v>
      </c>
      <c r="P348" s="25" t="n">
        <v>0.06518191488281506</v>
      </c>
      <c r="Q348" s="26" t="n">
        <v>5.689672816037082</v>
      </c>
      <c r="R348" s="24" t="n">
        <v>3229.095604477018</v>
      </c>
      <c r="S348" s="24">
        <f>R348*IF(A348=4, 2.0, 3.0)</f>
        <v/>
      </c>
      <c r="T348" s="22">
        <f>8.0*U348</f>
        <v/>
      </c>
      <c r="U348" s="27">
        <f>MIN(1, S348/M348)</f>
        <v/>
      </c>
      <c r="V348" s="27">
        <f>N348/(N348+O348)</f>
        <v/>
      </c>
      <c r="W348" s="27">
        <f>U348*V348</f>
        <v/>
      </c>
      <c r="X348" s="25">
        <f>T348/N348</f>
        <v/>
      </c>
      <c r="Y348" s="28">
        <f>IF(X348=MAXIFS(X$2:X$721, A$2:A$721, A348, B$2:B$721, B348), "OPTIMAL", "")</f>
        <v/>
      </c>
    </row>
    <row r="349" ht="20" customHeight="1">
      <c r="A349" s="29" t="n">
        <v>4</v>
      </c>
      <c r="B349" s="29" t="n">
        <v>45</v>
      </c>
      <c r="C349" s="30" t="n">
        <v>120</v>
      </c>
      <c r="D349" s="30" t="n">
        <v>3</v>
      </c>
      <c r="E349" s="6" t="n">
        <v>4</v>
      </c>
      <c r="F349" s="30" t="n">
        <v>1.5</v>
      </c>
      <c r="G349" s="6" t="inlineStr">
        <is>
          <t>Non</t>
        </is>
      </c>
      <c r="H349" s="6" t="inlineStr">
        <is>
          <t>OFF</t>
        </is>
      </c>
      <c r="I349" s="31" t="n">
        <v>1132.611974342026</v>
      </c>
      <c r="J349" s="31" t="n">
        <v>6657.967474874614</v>
      </c>
      <c r="K349" s="31" t="n">
        <v>3166.666666666667</v>
      </c>
      <c r="L349" s="31" t="n">
        <v>150</v>
      </c>
      <c r="M349" s="31">
        <f>I349+J349+K349+L349</f>
        <v/>
      </c>
      <c r="N349" s="31">
        <f>M349*Dashboard!$B$18/(Dashboard!$B$16/3.6)</f>
        <v/>
      </c>
      <c r="O349" s="31" t="n">
        <v>833.2864639907375</v>
      </c>
      <c r="P349" s="32" t="n">
        <v>0.2688551278385546</v>
      </c>
      <c r="Q349" s="33" t="n">
        <v>5.689672816037082</v>
      </c>
      <c r="R349" s="31" t="n">
        <v>782.8700777687379</v>
      </c>
      <c r="S349" s="31">
        <f>R349*IF(A349=4, 2.0, 3.0)</f>
        <v/>
      </c>
      <c r="T349" s="30">
        <f>8.0*U349</f>
        <v/>
      </c>
      <c r="U349" s="34">
        <f>MIN(1, S349/M349)</f>
        <v/>
      </c>
      <c r="V349" s="34">
        <f>N349/(N349+O349)</f>
        <v/>
      </c>
      <c r="W349" s="34">
        <f>U349*V349</f>
        <v/>
      </c>
      <c r="X349" s="32">
        <f>T349/N349</f>
        <v/>
      </c>
      <c r="Y349" s="35">
        <f>IF(X349=MAXIFS(X$2:X$721, A$2:A$721, A349, B$2:B$721, B349), "OPTIMAL", "")</f>
        <v/>
      </c>
    </row>
    <row r="350" ht="20" customHeight="1">
      <c r="A350" s="21" t="n">
        <v>4</v>
      </c>
      <c r="B350" s="21" t="n">
        <v>45</v>
      </c>
      <c r="C350" s="22" t="n">
        <v>120</v>
      </c>
      <c r="D350" s="22" t="n">
        <v>3</v>
      </c>
      <c r="E350" s="23" t="n">
        <v>4</v>
      </c>
      <c r="F350" s="22" t="n">
        <v>2</v>
      </c>
      <c r="G350" s="23" t="inlineStr">
        <is>
          <t>Oui</t>
        </is>
      </c>
      <c r="H350" s="23" t="inlineStr">
        <is>
          <t>ON</t>
        </is>
      </c>
      <c r="I350" s="24" t="n">
        <v>1132.611974342026</v>
      </c>
      <c r="J350" s="24" t="n">
        <v>6657.967474874614</v>
      </c>
      <c r="K350" s="24" t="n">
        <v>3166.666666666667</v>
      </c>
      <c r="L350" s="24" t="n">
        <v>150</v>
      </c>
      <c r="M350" s="24">
        <f>I350+J350+K350+L350</f>
        <v/>
      </c>
      <c r="N350" s="24">
        <f>M350*Dashboard!$B$18/(Dashboard!$B$16/3.6)</f>
        <v/>
      </c>
      <c r="O350" s="24" t="n">
        <v>910.5231093950913</v>
      </c>
      <c r="P350" s="25" t="n">
        <v>0.06458187918791126</v>
      </c>
      <c r="Q350" s="26" t="n">
        <v>7.519563754716109</v>
      </c>
      <c r="R350" s="24" t="n">
        <v>3289.296815254362</v>
      </c>
      <c r="S350" s="24">
        <f>R350*IF(A350=4, 2.0, 3.0)</f>
        <v/>
      </c>
      <c r="T350" s="22">
        <f>8.0*U350</f>
        <v/>
      </c>
      <c r="U350" s="27">
        <f>MIN(1, S350/M350)</f>
        <v/>
      </c>
      <c r="V350" s="27">
        <f>N350/(N350+O350)</f>
        <v/>
      </c>
      <c r="W350" s="27">
        <f>U350*V350</f>
        <v/>
      </c>
      <c r="X350" s="25">
        <f>T350/N350</f>
        <v/>
      </c>
      <c r="Y350" s="28">
        <f>IF(X350=MAXIFS(X$2:X$721, A$2:A$721, A350, B$2:B$721, B350), "OPTIMAL", "")</f>
        <v/>
      </c>
    </row>
    <row r="351" ht="20" customHeight="1">
      <c r="A351" s="29" t="n">
        <v>4</v>
      </c>
      <c r="B351" s="29" t="n">
        <v>45</v>
      </c>
      <c r="C351" s="30" t="n">
        <v>120</v>
      </c>
      <c r="D351" s="30" t="n">
        <v>3</v>
      </c>
      <c r="E351" s="6" t="n">
        <v>4</v>
      </c>
      <c r="F351" s="30" t="n">
        <v>2</v>
      </c>
      <c r="G351" s="6" t="inlineStr">
        <is>
          <t>Oui</t>
        </is>
      </c>
      <c r="H351" s="6" t="inlineStr">
        <is>
          <t>OFF</t>
        </is>
      </c>
      <c r="I351" s="31" t="n">
        <v>1132.611974342026</v>
      </c>
      <c r="J351" s="31" t="n">
        <v>6657.967474874614</v>
      </c>
      <c r="K351" s="31" t="n">
        <v>3166.666666666667</v>
      </c>
      <c r="L351" s="31" t="n">
        <v>150</v>
      </c>
      <c r="M351" s="31">
        <f>I351+J351+K351+L351</f>
        <v/>
      </c>
      <c r="N351" s="31">
        <f>M351*Dashboard!$B$18/(Dashboard!$B$16/3.6)</f>
        <v/>
      </c>
      <c r="O351" s="31" t="n">
        <v>910.5231093950913</v>
      </c>
      <c r="P351" s="32" t="n">
        <v>0.2690865884190716</v>
      </c>
      <c r="Q351" s="33" t="n">
        <v>7.519563754716109</v>
      </c>
      <c r="R351" s="31" t="n">
        <v>789.4446571417549</v>
      </c>
      <c r="S351" s="31">
        <f>R351*IF(A351=4, 2.0, 3.0)</f>
        <v/>
      </c>
      <c r="T351" s="30">
        <f>8.0*U351</f>
        <v/>
      </c>
      <c r="U351" s="34">
        <f>MIN(1, S351/M351)</f>
        <v/>
      </c>
      <c r="V351" s="34">
        <f>N351/(N351+O351)</f>
        <v/>
      </c>
      <c r="W351" s="34">
        <f>U351*V351</f>
        <v/>
      </c>
      <c r="X351" s="32">
        <f>T351/N351</f>
        <v/>
      </c>
      <c r="Y351" s="35">
        <f>IF(X351=MAXIFS(X$2:X$721, A$2:A$721, A351, B$2:B$721, B351), "OPTIMAL", "")</f>
        <v/>
      </c>
    </row>
    <row r="352" ht="20" customHeight="1">
      <c r="A352" s="21" t="n">
        <v>4</v>
      </c>
      <c r="B352" s="21" t="n">
        <v>45</v>
      </c>
      <c r="C352" s="22" t="n">
        <v>120</v>
      </c>
      <c r="D352" s="22" t="n">
        <v>3</v>
      </c>
      <c r="E352" s="23" t="n">
        <v>4</v>
      </c>
      <c r="F352" s="22" t="n">
        <v>2</v>
      </c>
      <c r="G352" s="23" t="inlineStr">
        <is>
          <t>Non</t>
        </is>
      </c>
      <c r="H352" s="23" t="inlineStr">
        <is>
          <t>ON</t>
        </is>
      </c>
      <c r="I352" s="24" t="n">
        <v>1132.611974342026</v>
      </c>
      <c r="J352" s="24" t="n">
        <v>6657.967474874614</v>
      </c>
      <c r="K352" s="24" t="n">
        <v>3166.666666666667</v>
      </c>
      <c r="L352" s="24" t="n">
        <v>150</v>
      </c>
      <c r="M352" s="24">
        <f>I352+J352+K352+L352</f>
        <v/>
      </c>
      <c r="N352" s="24">
        <f>M352*Dashboard!$B$18/(Dashboard!$B$16/3.6)</f>
        <v/>
      </c>
      <c r="O352" s="24" t="n">
        <v>910.5231093950913</v>
      </c>
      <c r="P352" s="25" t="n">
        <v>0.06192929680304634</v>
      </c>
      <c r="Q352" s="26" t="n">
        <v>7.519563754716109</v>
      </c>
      <c r="R352" s="24" t="n">
        <v>3430.185396929761</v>
      </c>
      <c r="S352" s="24">
        <f>R352*IF(A352=4, 2.0, 3.0)</f>
        <v/>
      </c>
      <c r="T352" s="22">
        <f>8.0*U352</f>
        <v/>
      </c>
      <c r="U352" s="27">
        <f>MIN(1, S352/M352)</f>
        <v/>
      </c>
      <c r="V352" s="27">
        <f>N352/(N352+O352)</f>
        <v/>
      </c>
      <c r="W352" s="27">
        <f>U352*V352</f>
        <v/>
      </c>
      <c r="X352" s="25">
        <f>T352/N352</f>
        <v/>
      </c>
      <c r="Y352" s="28">
        <f>IF(X352=MAXIFS(X$2:X$721, A$2:A$721, A352, B$2:B$721, B352), "OPTIMAL", "")</f>
        <v/>
      </c>
    </row>
    <row r="353" ht="20" customHeight="1">
      <c r="A353" s="29" t="n">
        <v>4</v>
      </c>
      <c r="B353" s="29" t="n">
        <v>45</v>
      </c>
      <c r="C353" s="30" t="n">
        <v>120</v>
      </c>
      <c r="D353" s="30" t="n">
        <v>3</v>
      </c>
      <c r="E353" s="6" t="n">
        <v>4</v>
      </c>
      <c r="F353" s="30" t="n">
        <v>2</v>
      </c>
      <c r="G353" s="6" t="inlineStr">
        <is>
          <t>Non</t>
        </is>
      </c>
      <c r="H353" s="6" t="inlineStr">
        <is>
          <t>OFF</t>
        </is>
      </c>
      <c r="I353" s="31" t="n">
        <v>1132.611974342026</v>
      </c>
      <c r="J353" s="31" t="n">
        <v>6657.967474874614</v>
      </c>
      <c r="K353" s="31" t="n">
        <v>3166.666666666667</v>
      </c>
      <c r="L353" s="31" t="n">
        <v>150</v>
      </c>
      <c r="M353" s="31">
        <f>I353+J353+K353+L353</f>
        <v/>
      </c>
      <c r="N353" s="31">
        <f>M353*Dashboard!$B$18/(Dashboard!$B$16/3.6)</f>
        <v/>
      </c>
      <c r="O353" s="31" t="n">
        <v>910.5231093950913</v>
      </c>
      <c r="P353" s="32" t="n">
        <v>0.2664340060342067</v>
      </c>
      <c r="Q353" s="33" t="n">
        <v>7.519563754716109</v>
      </c>
      <c r="R353" s="31" t="n">
        <v>797.3042656899636</v>
      </c>
      <c r="S353" s="31">
        <f>R353*IF(A353=4, 2.0, 3.0)</f>
        <v/>
      </c>
      <c r="T353" s="30">
        <f>8.0*U353</f>
        <v/>
      </c>
      <c r="U353" s="34">
        <f>MIN(1, S353/M353)</f>
        <v/>
      </c>
      <c r="V353" s="34">
        <f>N353/(N353+O353)</f>
        <v/>
      </c>
      <c r="W353" s="34">
        <f>U353*V353</f>
        <v/>
      </c>
      <c r="X353" s="32">
        <f>T353/N353</f>
        <v/>
      </c>
      <c r="Y353" s="35">
        <f>IF(X353=MAXIFS(X$2:X$721, A$2:A$721, A353, B$2:B$721, B353), "OPTIMAL", "")</f>
        <v/>
      </c>
    </row>
    <row r="354" ht="20" customHeight="1">
      <c r="A354" s="21" t="n">
        <v>4</v>
      </c>
      <c r="B354" s="21" t="n">
        <v>45</v>
      </c>
      <c r="C354" s="22" t="n">
        <v>120</v>
      </c>
      <c r="D354" s="22" t="n">
        <v>3</v>
      </c>
      <c r="E354" s="23" t="n">
        <v>8</v>
      </c>
      <c r="F354" s="22" t="n">
        <v>1.5</v>
      </c>
      <c r="G354" s="23" t="inlineStr">
        <is>
          <t>Oui</t>
        </is>
      </c>
      <c r="H354" s="23" t="inlineStr">
        <is>
          <t>ON</t>
        </is>
      </c>
      <c r="I354" s="24" t="n">
        <v>1132.611974342026</v>
      </c>
      <c r="J354" s="24" t="n">
        <v>6657.967474874614</v>
      </c>
      <c r="K354" s="24" t="n">
        <v>3166.666666666667</v>
      </c>
      <c r="L354" s="24" t="n">
        <v>150</v>
      </c>
      <c r="M354" s="24">
        <f>I354+J354+K354+L354</f>
        <v/>
      </c>
      <c r="N354" s="24">
        <f>M354*Dashboard!$B$18/(Dashboard!$B$16/3.6)</f>
        <v/>
      </c>
      <c r="O354" s="24" t="n">
        <v>1069.37161928518</v>
      </c>
      <c r="P354" s="25" t="n">
        <v>0.05144850932496671</v>
      </c>
      <c r="Q354" s="26" t="n">
        <v>11.17934563207417</v>
      </c>
      <c r="R354" s="24" t="n">
        <v>4206.926930393576</v>
      </c>
      <c r="S354" s="24">
        <f>R354*IF(A354=4, 2.0, 3.0)</f>
        <v/>
      </c>
      <c r="T354" s="22">
        <f>8.0*U354</f>
        <v/>
      </c>
      <c r="U354" s="27">
        <f>MIN(1, S354/M354)</f>
        <v/>
      </c>
      <c r="V354" s="27">
        <f>N354/(N354+O354)</f>
        <v/>
      </c>
      <c r="W354" s="27">
        <f>U354*V354</f>
        <v/>
      </c>
      <c r="X354" s="25">
        <f>T354/N354</f>
        <v/>
      </c>
      <c r="Y354" s="28">
        <f>IF(X354=MAXIFS(X$2:X$721, A$2:A$721, A354, B$2:B$721, B354), "OPTIMAL", "")</f>
        <v/>
      </c>
    </row>
    <row r="355" ht="20" customHeight="1">
      <c r="A355" s="29" t="n">
        <v>4</v>
      </c>
      <c r="B355" s="29" t="n">
        <v>45</v>
      </c>
      <c r="C355" s="30" t="n">
        <v>120</v>
      </c>
      <c r="D355" s="30" t="n">
        <v>3</v>
      </c>
      <c r="E355" s="6" t="n">
        <v>8</v>
      </c>
      <c r="F355" s="30" t="n">
        <v>1.5</v>
      </c>
      <c r="G355" s="6" t="inlineStr">
        <is>
          <t>Oui</t>
        </is>
      </c>
      <c r="H355" s="6" t="inlineStr">
        <is>
          <t>OFF</t>
        </is>
      </c>
      <c r="I355" s="31" t="n">
        <v>1132.611974342026</v>
      </c>
      <c r="J355" s="31" t="n">
        <v>6657.967474874614</v>
      </c>
      <c r="K355" s="31" t="n">
        <v>3166.666666666667</v>
      </c>
      <c r="L355" s="31" t="n">
        <v>150</v>
      </c>
      <c r="M355" s="31">
        <f>I355+J355+K355+L355</f>
        <v/>
      </c>
      <c r="N355" s="31">
        <f>M355*Dashboard!$B$18/(Dashboard!$B$16/3.6)</f>
        <v/>
      </c>
      <c r="O355" s="31" t="n">
        <v>1069.37161928518</v>
      </c>
      <c r="P355" s="32" t="n">
        <v>0.2167441267000743</v>
      </c>
      <c r="Q355" s="33" t="n">
        <v>11.17934563207417</v>
      </c>
      <c r="R355" s="31" t="n">
        <v>998.5973908640789</v>
      </c>
      <c r="S355" s="31">
        <f>R355*IF(A355=4, 2.0, 3.0)</f>
        <v/>
      </c>
      <c r="T355" s="30">
        <f>8.0*U355</f>
        <v/>
      </c>
      <c r="U355" s="34">
        <f>MIN(1, S355/M355)</f>
        <v/>
      </c>
      <c r="V355" s="34">
        <f>N355/(N355+O355)</f>
        <v/>
      </c>
      <c r="W355" s="34">
        <f>U355*V355</f>
        <v/>
      </c>
      <c r="X355" s="32">
        <f>T355/N355</f>
        <v/>
      </c>
      <c r="Y355" s="35">
        <f>IF(X355=MAXIFS(X$2:X$721, A$2:A$721, A355, B$2:B$721, B355), "OPTIMAL", "")</f>
        <v/>
      </c>
    </row>
    <row r="356" ht="20" customHeight="1">
      <c r="A356" s="21" t="n">
        <v>4</v>
      </c>
      <c r="B356" s="21" t="n">
        <v>45</v>
      </c>
      <c r="C356" s="22" t="n">
        <v>120</v>
      </c>
      <c r="D356" s="22" t="n">
        <v>3</v>
      </c>
      <c r="E356" s="23" t="n">
        <v>8</v>
      </c>
      <c r="F356" s="22" t="n">
        <v>1.5</v>
      </c>
      <c r="G356" s="23" t="inlineStr">
        <is>
          <t>Non</t>
        </is>
      </c>
      <c r="H356" s="23" t="inlineStr">
        <is>
          <t>ON</t>
        </is>
      </c>
      <c r="I356" s="24" t="n">
        <v>1132.611974342026</v>
      </c>
      <c r="J356" s="24" t="n">
        <v>6657.967474874614</v>
      </c>
      <c r="K356" s="24" t="n">
        <v>3166.666666666667</v>
      </c>
      <c r="L356" s="24" t="n">
        <v>150</v>
      </c>
      <c r="M356" s="24">
        <f>I356+J356+K356+L356</f>
        <v/>
      </c>
      <c r="N356" s="24">
        <f>M356*Dashboard!$B$18/(Dashboard!$B$16/3.6)</f>
        <v/>
      </c>
      <c r="O356" s="24" t="n">
        <v>1069.37161928518</v>
      </c>
      <c r="P356" s="25" t="n">
        <v>0.04879592694010178</v>
      </c>
      <c r="Q356" s="26" t="n">
        <v>11.17934563207417</v>
      </c>
      <c r="R356" s="24" t="n">
        <v>4435.618564506278</v>
      </c>
      <c r="S356" s="24">
        <f>R356*IF(A356=4, 2.0, 3.0)</f>
        <v/>
      </c>
      <c r="T356" s="22">
        <f>8.0*U356</f>
        <v/>
      </c>
      <c r="U356" s="27">
        <f>MIN(1, S356/M356)</f>
        <v/>
      </c>
      <c r="V356" s="27">
        <f>N356/(N356+O356)</f>
        <v/>
      </c>
      <c r="W356" s="27">
        <f>U356*V356</f>
        <v/>
      </c>
      <c r="X356" s="25">
        <f>T356/N356</f>
        <v/>
      </c>
      <c r="Y356" s="28">
        <f>IF(X356=MAXIFS(X$2:X$721, A$2:A$721, A356, B$2:B$721, B356), "OPTIMAL", "")</f>
        <v/>
      </c>
    </row>
    <row r="357" ht="20" customHeight="1">
      <c r="A357" s="29" t="n">
        <v>4</v>
      </c>
      <c r="B357" s="29" t="n">
        <v>45</v>
      </c>
      <c r="C357" s="30" t="n">
        <v>120</v>
      </c>
      <c r="D357" s="30" t="n">
        <v>3</v>
      </c>
      <c r="E357" s="6" t="n">
        <v>8</v>
      </c>
      <c r="F357" s="30" t="n">
        <v>1.5</v>
      </c>
      <c r="G357" s="6" t="inlineStr">
        <is>
          <t>Non</t>
        </is>
      </c>
      <c r="H357" s="6" t="inlineStr">
        <is>
          <t>OFF</t>
        </is>
      </c>
      <c r="I357" s="31" t="n">
        <v>1132.611974342026</v>
      </c>
      <c r="J357" s="31" t="n">
        <v>6657.967474874614</v>
      </c>
      <c r="K357" s="31" t="n">
        <v>3166.666666666667</v>
      </c>
      <c r="L357" s="31" t="n">
        <v>150</v>
      </c>
      <c r="M357" s="31">
        <f>I357+J357+K357+L357</f>
        <v/>
      </c>
      <c r="N357" s="31">
        <f>M357*Dashboard!$B$18/(Dashboard!$B$16/3.6)</f>
        <v/>
      </c>
      <c r="O357" s="31" t="n">
        <v>1069.37161928518</v>
      </c>
      <c r="P357" s="32" t="n">
        <v>0.2140915443152093</v>
      </c>
      <c r="Q357" s="33" t="n">
        <v>11.17934563207417</v>
      </c>
      <c r="R357" s="31" t="n">
        <v>1010.969957268094</v>
      </c>
      <c r="S357" s="31">
        <f>R357*IF(A357=4, 2.0, 3.0)</f>
        <v/>
      </c>
      <c r="T357" s="30">
        <f>8.0*U357</f>
        <v/>
      </c>
      <c r="U357" s="34">
        <f>MIN(1, S357/M357)</f>
        <v/>
      </c>
      <c r="V357" s="34">
        <f>N357/(N357+O357)</f>
        <v/>
      </c>
      <c r="W357" s="34">
        <f>U357*V357</f>
        <v/>
      </c>
      <c r="X357" s="32">
        <f>T357/N357</f>
        <v/>
      </c>
      <c r="Y357" s="35">
        <f>IF(X357=MAXIFS(X$2:X$721, A$2:A$721, A357, B$2:B$721, B357), "OPTIMAL", "")</f>
        <v/>
      </c>
    </row>
    <row r="358" ht="20" customHeight="1">
      <c r="A358" s="21" t="n">
        <v>4</v>
      </c>
      <c r="B358" s="21" t="n">
        <v>45</v>
      </c>
      <c r="C358" s="22" t="n">
        <v>120</v>
      </c>
      <c r="D358" s="22" t="n">
        <v>3</v>
      </c>
      <c r="E358" s="23" t="n">
        <v>8</v>
      </c>
      <c r="F358" s="22" t="n">
        <v>2</v>
      </c>
      <c r="G358" s="23" t="inlineStr">
        <is>
          <t>Oui</t>
        </is>
      </c>
      <c r="H358" s="23" t="inlineStr">
        <is>
          <t>ON</t>
        </is>
      </c>
      <c r="I358" s="24" t="n">
        <v>1132.611974342026</v>
      </c>
      <c r="J358" s="24" t="n">
        <v>6657.967474874614</v>
      </c>
      <c r="K358" s="24" t="n">
        <v>3166.666666666667</v>
      </c>
      <c r="L358" s="24" t="n">
        <v>150</v>
      </c>
      <c r="M358" s="24">
        <f>I358+J358+K358+L358</f>
        <v/>
      </c>
      <c r="N358" s="24">
        <f>M358*Dashboard!$B$18/(Dashboard!$B$16/3.6)</f>
        <v/>
      </c>
      <c r="O358" s="24" t="n">
        <v>1234.334435342746</v>
      </c>
      <c r="P358" s="25" t="n">
        <v>0.04989331996011</v>
      </c>
      <c r="Q358" s="26" t="n">
        <v>14.83912750943222</v>
      </c>
      <c r="R358" s="24" t="n">
        <v>4421.547099837062</v>
      </c>
      <c r="S358" s="24">
        <f>R358*IF(A358=4, 2.0, 3.0)</f>
        <v/>
      </c>
      <c r="T358" s="22">
        <f>8.0*U358</f>
        <v/>
      </c>
      <c r="U358" s="27">
        <f>MIN(1, S358/M358)</f>
        <v/>
      </c>
      <c r="V358" s="27">
        <f>N358/(N358+O358)</f>
        <v/>
      </c>
      <c r="W358" s="27">
        <f>U358*V358</f>
        <v/>
      </c>
      <c r="X358" s="25">
        <f>T358/N358</f>
        <v/>
      </c>
      <c r="Y358" s="28">
        <f>IF(X358=MAXIFS(X$2:X$721, A$2:A$721, A358, B$2:B$721, B358), "OPTIMAL", "")</f>
        <v/>
      </c>
    </row>
    <row r="359" ht="20" customHeight="1">
      <c r="A359" s="29" t="n">
        <v>4</v>
      </c>
      <c r="B359" s="29" t="n">
        <v>45</v>
      </c>
      <c r="C359" s="30" t="n">
        <v>120</v>
      </c>
      <c r="D359" s="30" t="n">
        <v>3</v>
      </c>
      <c r="E359" s="6" t="n">
        <v>8</v>
      </c>
      <c r="F359" s="30" t="n">
        <v>2</v>
      </c>
      <c r="G359" s="6" t="inlineStr">
        <is>
          <t>Oui</t>
        </is>
      </c>
      <c r="H359" s="6" t="inlineStr">
        <is>
          <t>OFF</t>
        </is>
      </c>
      <c r="I359" s="31" t="n">
        <v>1132.611974342026</v>
      </c>
      <c r="J359" s="31" t="n">
        <v>6657.967474874614</v>
      </c>
      <c r="K359" s="31" t="n">
        <v>3166.666666666667</v>
      </c>
      <c r="L359" s="31" t="n">
        <v>150</v>
      </c>
      <c r="M359" s="31">
        <f>I359+J359+K359+L359</f>
        <v/>
      </c>
      <c r="N359" s="31">
        <f>M359*Dashboard!$B$18/(Dashboard!$B$16/3.6)</f>
        <v/>
      </c>
      <c r="O359" s="31" t="n">
        <v>1234.334435342746</v>
      </c>
      <c r="P359" s="32" t="n">
        <v>0.2162873761903785</v>
      </c>
      <c r="Q359" s="33" t="n">
        <v>14.83912750943222</v>
      </c>
      <c r="R359" s="31" t="n">
        <v>1019.965510963005</v>
      </c>
      <c r="S359" s="31">
        <f>R359*IF(A359=4, 2.0, 3.0)</f>
        <v/>
      </c>
      <c r="T359" s="30">
        <f>8.0*U359</f>
        <v/>
      </c>
      <c r="U359" s="34">
        <f>MIN(1, S359/M359)</f>
        <v/>
      </c>
      <c r="V359" s="34">
        <f>N359/(N359+O359)</f>
        <v/>
      </c>
      <c r="W359" s="34">
        <f>U359*V359</f>
        <v/>
      </c>
      <c r="X359" s="32">
        <f>T359/N359</f>
        <v/>
      </c>
      <c r="Y359" s="35">
        <f>IF(X359=MAXIFS(X$2:X$721, A$2:A$721, A359, B$2:B$721, B359), "OPTIMAL", "")</f>
        <v/>
      </c>
    </row>
    <row r="360" ht="20" customHeight="1">
      <c r="A360" s="21" t="n">
        <v>4</v>
      </c>
      <c r="B360" s="21" t="n">
        <v>45</v>
      </c>
      <c r="C360" s="22" t="n">
        <v>120</v>
      </c>
      <c r="D360" s="22" t="n">
        <v>3</v>
      </c>
      <c r="E360" s="23" t="n">
        <v>8</v>
      </c>
      <c r="F360" s="22" t="n">
        <v>2</v>
      </c>
      <c r="G360" s="23" t="inlineStr">
        <is>
          <t>Non</t>
        </is>
      </c>
      <c r="H360" s="23" t="inlineStr">
        <is>
          <t>ON</t>
        </is>
      </c>
      <c r="I360" s="24" t="n">
        <v>1132.611974342026</v>
      </c>
      <c r="J360" s="24" t="n">
        <v>6657.967474874614</v>
      </c>
      <c r="K360" s="24" t="n">
        <v>3166.666666666667</v>
      </c>
      <c r="L360" s="24" t="n">
        <v>150</v>
      </c>
      <c r="M360" s="24">
        <f>I360+J360+K360+L360</f>
        <v/>
      </c>
      <c r="N360" s="24">
        <f>M360*Dashboard!$B$18/(Dashboard!$B$16/3.6)</f>
        <v/>
      </c>
      <c r="O360" s="24" t="n">
        <v>1234.334435342746</v>
      </c>
      <c r="P360" s="25" t="n">
        <v>0.04724073757524508</v>
      </c>
      <c r="Q360" s="26" t="n">
        <v>14.83912750943222</v>
      </c>
      <c r="R360" s="24" t="n">
        <v>4669.818370627388</v>
      </c>
      <c r="S360" s="24">
        <f>R360*IF(A360=4, 2.0, 3.0)</f>
        <v/>
      </c>
      <c r="T360" s="22">
        <f>8.0*U360</f>
        <v/>
      </c>
      <c r="U360" s="27">
        <f>MIN(1, S360/M360)</f>
        <v/>
      </c>
      <c r="V360" s="27">
        <f>N360/(N360+O360)</f>
        <v/>
      </c>
      <c r="W360" s="27">
        <f>U360*V360</f>
        <v/>
      </c>
      <c r="X360" s="25">
        <f>T360/N360</f>
        <v/>
      </c>
      <c r="Y360" s="28">
        <f>IF(X360=MAXIFS(X$2:X$721, A$2:A$721, A360, B$2:B$721, B360), "OPTIMAL", "")</f>
        <v/>
      </c>
    </row>
    <row r="361" ht="20" customHeight="1">
      <c r="A361" s="29" t="n">
        <v>4</v>
      </c>
      <c r="B361" s="29" t="n">
        <v>45</v>
      </c>
      <c r="C361" s="30" t="n">
        <v>120</v>
      </c>
      <c r="D361" s="30" t="n">
        <v>3</v>
      </c>
      <c r="E361" s="6" t="n">
        <v>8</v>
      </c>
      <c r="F361" s="30" t="n">
        <v>2</v>
      </c>
      <c r="G361" s="6" t="inlineStr">
        <is>
          <t>Non</t>
        </is>
      </c>
      <c r="H361" s="6" t="inlineStr">
        <is>
          <t>OFF</t>
        </is>
      </c>
      <c r="I361" s="31" t="n">
        <v>1132.611974342026</v>
      </c>
      <c r="J361" s="31" t="n">
        <v>6657.967474874614</v>
      </c>
      <c r="K361" s="31" t="n">
        <v>3166.666666666667</v>
      </c>
      <c r="L361" s="31" t="n">
        <v>150</v>
      </c>
      <c r="M361" s="31">
        <f>I361+J361+K361+L361</f>
        <v/>
      </c>
      <c r="N361" s="31">
        <f>M361*Dashboard!$B$18/(Dashboard!$B$16/3.6)</f>
        <v/>
      </c>
      <c r="O361" s="31" t="n">
        <v>1234.334435342746</v>
      </c>
      <c r="P361" s="32" t="n">
        <v>0.2136347938055135</v>
      </c>
      <c r="Q361" s="33" t="n">
        <v>14.83912750943222</v>
      </c>
      <c r="R361" s="31" t="n">
        <v>1032.629845734303</v>
      </c>
      <c r="S361" s="31">
        <f>R361*IF(A361=4, 2.0, 3.0)</f>
        <v/>
      </c>
      <c r="T361" s="30">
        <f>8.0*U361</f>
        <v/>
      </c>
      <c r="U361" s="34">
        <f>MIN(1, S361/M361)</f>
        <v/>
      </c>
      <c r="V361" s="34">
        <f>N361/(N361+O361)</f>
        <v/>
      </c>
      <c r="W361" s="34">
        <f>U361*V361</f>
        <v/>
      </c>
      <c r="X361" s="32">
        <f>T361/N361</f>
        <v/>
      </c>
      <c r="Y361" s="35">
        <f>IF(X361=MAXIFS(X$2:X$721, A$2:A$721, A361, B$2:B$721, B361), "OPTIMAL", "")</f>
        <v/>
      </c>
    </row>
    <row r="362" ht="20" customHeight="1">
      <c r="A362" s="21" t="n">
        <v>-18</v>
      </c>
      <c r="B362" s="21" t="n">
        <v>25</v>
      </c>
      <c r="C362" s="22" t="n">
        <v>80</v>
      </c>
      <c r="D362" s="22" t="n">
        <v>2</v>
      </c>
      <c r="E362" s="23" t="n">
        <v>0</v>
      </c>
      <c r="F362" s="22" t="n">
        <v>0</v>
      </c>
      <c r="G362" s="23" t="inlineStr">
        <is>
          <t>Oui</t>
        </is>
      </c>
      <c r="H362" s="23" t="inlineStr">
        <is>
          <t>ON</t>
        </is>
      </c>
      <c r="I362" s="24" t="n">
        <v>604.2334594602274</v>
      </c>
      <c r="J362" s="24" t="n">
        <v>4012.68388558375</v>
      </c>
      <c r="K362" s="24" t="n">
        <v>3342.592592592593</v>
      </c>
      <c r="L362" s="24" t="n">
        <v>150</v>
      </c>
      <c r="M362" s="24">
        <f>I362+J362+K362+L362</f>
        <v/>
      </c>
      <c r="N362" s="24">
        <f>M362*Dashboard!$B$18/(Dashboard!$B$16/3.6)</f>
        <v/>
      </c>
      <c r="O362" s="24" t="n">
        <v>445.263234248985</v>
      </c>
      <c r="P362" s="25" t="n">
        <v>0.5013778930875155</v>
      </c>
      <c r="Q362" s="26" t="n">
        <v>0.2</v>
      </c>
      <c r="R362" s="24" t="n">
        <v>671.1404586344094</v>
      </c>
      <c r="S362" s="24">
        <f>R362*IF(A362=4, 2.0, 3.0)</f>
        <v/>
      </c>
      <c r="T362" s="22">
        <f>8.0*U362</f>
        <v/>
      </c>
      <c r="U362" s="27">
        <f>MIN(1, S362/M362)</f>
        <v/>
      </c>
      <c r="V362" s="27">
        <f>N362/(N362+O362)</f>
        <v/>
      </c>
      <c r="W362" s="27">
        <f>U362*V362</f>
        <v/>
      </c>
      <c r="X362" s="25">
        <f>T362/N362</f>
        <v/>
      </c>
      <c r="Y362" s="28">
        <f>IF(X362=MAXIFS(X$2:X$721, A$2:A$721, A362, B$2:B$721, B362), "OPTIMAL", "")</f>
        <v/>
      </c>
    </row>
    <row r="363" ht="20" customHeight="1">
      <c r="A363" s="29" t="n">
        <v>-18</v>
      </c>
      <c r="B363" s="29" t="n">
        <v>25</v>
      </c>
      <c r="C363" s="30" t="n">
        <v>80</v>
      </c>
      <c r="D363" s="30" t="n">
        <v>2</v>
      </c>
      <c r="E363" s="6" t="n">
        <v>0</v>
      </c>
      <c r="F363" s="30" t="n">
        <v>0</v>
      </c>
      <c r="G363" s="6" t="inlineStr">
        <is>
          <t>Oui</t>
        </is>
      </c>
      <c r="H363" s="6" t="inlineStr">
        <is>
          <t>OFF</t>
        </is>
      </c>
      <c r="I363" s="31" t="n">
        <v>604.2334594602274</v>
      </c>
      <c r="J363" s="31" t="n">
        <v>4012.68388558375</v>
      </c>
      <c r="K363" s="31" t="n">
        <v>3342.592592592593</v>
      </c>
      <c r="L363" s="31" t="n">
        <v>150</v>
      </c>
      <c r="M363" s="31">
        <f>I363+J363+K363+L363</f>
        <v/>
      </c>
      <c r="N363" s="31">
        <f>M363*Dashboard!$B$18/(Dashboard!$B$16/3.6)</f>
        <v/>
      </c>
      <c r="O363" s="31" t="n">
        <v>445.263234248985</v>
      </c>
      <c r="P363" s="32" t="n">
        <v>0.8992652508172538</v>
      </c>
      <c r="Q363" s="33" t="n">
        <v>0.2</v>
      </c>
      <c r="R363" s="31" t="n">
        <v>374.1888044824391</v>
      </c>
      <c r="S363" s="31">
        <f>R363*IF(A363=4, 2.0, 3.0)</f>
        <v/>
      </c>
      <c r="T363" s="30">
        <f>8.0*U363</f>
        <v/>
      </c>
      <c r="U363" s="34">
        <f>MIN(1, S363/M363)</f>
        <v/>
      </c>
      <c r="V363" s="34">
        <f>N363/(N363+O363)</f>
        <v/>
      </c>
      <c r="W363" s="34">
        <f>U363*V363</f>
        <v/>
      </c>
      <c r="X363" s="32">
        <f>T363/N363</f>
        <v/>
      </c>
      <c r="Y363" s="35">
        <f>IF(X363=MAXIFS(X$2:X$721, A$2:A$721, A363, B$2:B$721, B363), "OPTIMAL", "")</f>
        <v/>
      </c>
    </row>
    <row r="364" ht="20" customHeight="1">
      <c r="A364" s="21" t="n">
        <v>-18</v>
      </c>
      <c r="B364" s="21" t="n">
        <v>25</v>
      </c>
      <c r="C364" s="22" t="n">
        <v>80</v>
      </c>
      <c r="D364" s="22" t="n">
        <v>2</v>
      </c>
      <c r="E364" s="23" t="n">
        <v>0</v>
      </c>
      <c r="F364" s="22" t="n">
        <v>0</v>
      </c>
      <c r="G364" s="23" t="inlineStr">
        <is>
          <t>Non</t>
        </is>
      </c>
      <c r="H364" s="23" t="inlineStr">
        <is>
          <t>ON</t>
        </is>
      </c>
      <c r="I364" s="24" t="n">
        <v>604.2334594602274</v>
      </c>
      <c r="J364" s="24" t="n">
        <v>4012.68388558375</v>
      </c>
      <c r="K364" s="24" t="n">
        <v>3342.592592592593</v>
      </c>
      <c r="L364" s="24" t="n">
        <v>150</v>
      </c>
      <c r="M364" s="24">
        <f>I364+J364+K364+L364</f>
        <v/>
      </c>
      <c r="N364" s="24">
        <f>M364*Dashboard!$B$18/(Dashboard!$B$16/3.6)</f>
        <v/>
      </c>
      <c r="O364" s="24" t="n">
        <v>445.263234248985</v>
      </c>
      <c r="P364" s="25" t="n">
        <v>0.4973990195102181</v>
      </c>
      <c r="Q364" s="26" t="n">
        <v>0.2</v>
      </c>
      <c r="R364" s="24" t="n">
        <v>676.5091524451555</v>
      </c>
      <c r="S364" s="24">
        <f>R364*IF(A364=4, 2.0, 3.0)</f>
        <v/>
      </c>
      <c r="T364" s="22">
        <f>8.0*U364</f>
        <v/>
      </c>
      <c r="U364" s="27">
        <f>MIN(1, S364/M364)</f>
        <v/>
      </c>
      <c r="V364" s="27">
        <f>N364/(N364+O364)</f>
        <v/>
      </c>
      <c r="W364" s="27">
        <f>U364*V364</f>
        <v/>
      </c>
      <c r="X364" s="25">
        <f>T364/N364</f>
        <v/>
      </c>
      <c r="Y364" s="28">
        <f>IF(X364=MAXIFS(X$2:X$721, A$2:A$721, A364, B$2:B$721, B364), "OPTIMAL", "")</f>
        <v/>
      </c>
    </row>
    <row r="365" ht="20" customHeight="1">
      <c r="A365" s="29" t="n">
        <v>-18</v>
      </c>
      <c r="B365" s="29" t="n">
        <v>25</v>
      </c>
      <c r="C365" s="30" t="n">
        <v>80</v>
      </c>
      <c r="D365" s="30" t="n">
        <v>2</v>
      </c>
      <c r="E365" s="6" t="n">
        <v>0</v>
      </c>
      <c r="F365" s="30" t="n">
        <v>0</v>
      </c>
      <c r="G365" s="6" t="inlineStr">
        <is>
          <t>Non</t>
        </is>
      </c>
      <c r="H365" s="6" t="inlineStr">
        <is>
          <t>OFF</t>
        </is>
      </c>
      <c r="I365" s="31" t="n">
        <v>604.2334594602274</v>
      </c>
      <c r="J365" s="31" t="n">
        <v>4012.68388558375</v>
      </c>
      <c r="K365" s="31" t="n">
        <v>3342.592592592593</v>
      </c>
      <c r="L365" s="31" t="n">
        <v>150</v>
      </c>
      <c r="M365" s="31">
        <f>I365+J365+K365+L365</f>
        <v/>
      </c>
      <c r="N365" s="31">
        <f>M365*Dashboard!$B$18/(Dashboard!$B$16/3.6)</f>
        <v/>
      </c>
      <c r="O365" s="31" t="n">
        <v>445.263234248985</v>
      </c>
      <c r="P365" s="32" t="n">
        <v>0.8952863772399564</v>
      </c>
      <c r="Q365" s="33" t="n">
        <v>0.2</v>
      </c>
      <c r="R365" s="31" t="n">
        <v>375.8517918627069</v>
      </c>
      <c r="S365" s="31">
        <f>R365*IF(A365=4, 2.0, 3.0)</f>
        <v/>
      </c>
      <c r="T365" s="30">
        <f>8.0*U365</f>
        <v/>
      </c>
      <c r="U365" s="34">
        <f>MIN(1, S365/M365)</f>
        <v/>
      </c>
      <c r="V365" s="34">
        <f>N365/(N365+O365)</f>
        <v/>
      </c>
      <c r="W365" s="34">
        <f>U365*V365</f>
        <v/>
      </c>
      <c r="X365" s="32">
        <f>T365/N365</f>
        <v/>
      </c>
      <c r="Y365" s="35">
        <f>IF(X365=MAXIFS(X$2:X$721, A$2:A$721, A365, B$2:B$721, B365), "OPTIMAL", "")</f>
        <v/>
      </c>
    </row>
    <row r="366" ht="20" customHeight="1">
      <c r="A366" s="36" t="n">
        <v>-18</v>
      </c>
      <c r="B366" s="36" t="n">
        <v>25</v>
      </c>
      <c r="C366" s="37" t="n">
        <v>80</v>
      </c>
      <c r="D366" s="37" t="n">
        <v>2</v>
      </c>
      <c r="E366" s="38" t="n">
        <v>4</v>
      </c>
      <c r="F366" s="37" t="n">
        <v>1.5</v>
      </c>
      <c r="G366" s="38" t="inlineStr">
        <is>
          <t>Oui</t>
        </is>
      </c>
      <c r="H366" s="38" t="inlineStr">
        <is>
          <t>ON</t>
        </is>
      </c>
      <c r="I366" s="39" t="n">
        <v>604.2334594602274</v>
      </c>
      <c r="J366" s="39" t="n">
        <v>4012.68388558375</v>
      </c>
      <c r="K366" s="39" t="n">
        <v>3342.592592592593</v>
      </c>
      <c r="L366" s="39" t="n">
        <v>150</v>
      </c>
      <c r="M366" s="39">
        <f>I366+J366+K366+L366</f>
        <v/>
      </c>
      <c r="N366" s="39">
        <f>M366*Dashboard!$B$18/(Dashboard!$B$16/3.6)</f>
        <v/>
      </c>
      <c r="O366" s="39" t="n">
        <v>721.7691484867919</v>
      </c>
      <c r="P366" s="40" t="n">
        <v>0.08231647342522849</v>
      </c>
      <c r="Q366" s="41" t="n">
        <v>8.434509224055622</v>
      </c>
      <c r="R366" s="39" t="n">
        <v>4259.067493164613</v>
      </c>
      <c r="S366" s="39">
        <f>R366*IF(A366=4, 2.0, 3.0)</f>
        <v/>
      </c>
      <c r="T366" s="37">
        <f>8.0*U366</f>
        <v/>
      </c>
      <c r="U366" s="42">
        <f>MIN(1, S366/M366)</f>
        <v/>
      </c>
      <c r="V366" s="42">
        <f>N366/(N366+O366)</f>
        <v/>
      </c>
      <c r="W366" s="42">
        <f>U366*V366</f>
        <v/>
      </c>
      <c r="X366" s="40">
        <f>T366/N366</f>
        <v/>
      </c>
      <c r="Y366" s="15">
        <f>IF(X366=MAXIFS(X$2:X$721, A$2:A$721, A366, B$2:B$721, B366), "OPTIMAL", "")</f>
        <v/>
      </c>
    </row>
    <row r="367" ht="20" customHeight="1">
      <c r="A367" s="29" t="n">
        <v>-18</v>
      </c>
      <c r="B367" s="29" t="n">
        <v>25</v>
      </c>
      <c r="C367" s="30" t="n">
        <v>80</v>
      </c>
      <c r="D367" s="30" t="n">
        <v>2</v>
      </c>
      <c r="E367" s="6" t="n">
        <v>4</v>
      </c>
      <c r="F367" s="30" t="n">
        <v>1.5</v>
      </c>
      <c r="G367" s="6" t="inlineStr">
        <is>
          <t>Oui</t>
        </is>
      </c>
      <c r="H367" s="6" t="inlineStr">
        <is>
          <t>OFF</t>
        </is>
      </c>
      <c r="I367" s="31" t="n">
        <v>604.2334594602274</v>
      </c>
      <c r="J367" s="31" t="n">
        <v>4012.68388558375</v>
      </c>
      <c r="K367" s="31" t="n">
        <v>3342.592592592593</v>
      </c>
      <c r="L367" s="31" t="n">
        <v>150</v>
      </c>
      <c r="M367" s="31">
        <f>I367+J367+K367+L367</f>
        <v/>
      </c>
      <c r="N367" s="31">
        <f>M367*Dashboard!$B$18/(Dashboard!$B$16/3.6)</f>
        <v/>
      </c>
      <c r="O367" s="31" t="n">
        <v>721.7691484867919</v>
      </c>
      <c r="P367" s="32" t="n">
        <v>0.3560493820000729</v>
      </c>
      <c r="Q367" s="33" t="n">
        <v>8.434509224055622</v>
      </c>
      <c r="R367" s="31" t="n">
        <v>984.670761532926</v>
      </c>
      <c r="S367" s="31">
        <f>R367*IF(A367=4, 2.0, 3.0)</f>
        <v/>
      </c>
      <c r="T367" s="30">
        <f>8.0*U367</f>
        <v/>
      </c>
      <c r="U367" s="34">
        <f>MIN(1, S367/M367)</f>
        <v/>
      </c>
      <c r="V367" s="34">
        <f>N367/(N367+O367)</f>
        <v/>
      </c>
      <c r="W367" s="34">
        <f>U367*V367</f>
        <v/>
      </c>
      <c r="X367" s="32">
        <f>T367/N367</f>
        <v/>
      </c>
      <c r="Y367" s="35">
        <f>IF(X367=MAXIFS(X$2:X$721, A$2:A$721, A367, B$2:B$721, B367), "OPTIMAL", "")</f>
        <v/>
      </c>
    </row>
    <row r="368" ht="20" customHeight="1">
      <c r="A368" s="36" t="n">
        <v>-18</v>
      </c>
      <c r="B368" s="36" t="n">
        <v>25</v>
      </c>
      <c r="C368" s="37" t="n">
        <v>80</v>
      </c>
      <c r="D368" s="37" t="n">
        <v>2</v>
      </c>
      <c r="E368" s="38" t="n">
        <v>4</v>
      </c>
      <c r="F368" s="37" t="n">
        <v>1.5</v>
      </c>
      <c r="G368" s="38" t="inlineStr">
        <is>
          <t>Non</t>
        </is>
      </c>
      <c r="H368" s="38" t="inlineStr">
        <is>
          <t>ON</t>
        </is>
      </c>
      <c r="I368" s="39" t="n">
        <v>604.2334594602274</v>
      </c>
      <c r="J368" s="39" t="n">
        <v>4012.68388558375</v>
      </c>
      <c r="K368" s="39" t="n">
        <v>3342.592592592593</v>
      </c>
      <c r="L368" s="39" t="n">
        <v>150</v>
      </c>
      <c r="M368" s="39">
        <f>I368+J368+K368+L368</f>
        <v/>
      </c>
      <c r="N368" s="39">
        <f>M368*Dashboard!$B$18/(Dashboard!$B$16/3.6)</f>
        <v/>
      </c>
      <c r="O368" s="39" t="n">
        <v>721.7691484867919</v>
      </c>
      <c r="P368" s="40" t="n">
        <v>0.07833759984793112</v>
      </c>
      <c r="Q368" s="41" t="n">
        <v>8.434509224055622</v>
      </c>
      <c r="R368" s="39" t="n">
        <v>4475.391342061886</v>
      </c>
      <c r="S368" s="39">
        <f>R368*IF(A368=4, 2.0, 3.0)</f>
        <v/>
      </c>
      <c r="T368" s="37">
        <f>8.0*U368</f>
        <v/>
      </c>
      <c r="U368" s="42">
        <f>MIN(1, S368/M368)</f>
        <v/>
      </c>
      <c r="V368" s="42">
        <f>N368/(N368+O368)</f>
        <v/>
      </c>
      <c r="W368" s="42">
        <f>U368*V368</f>
        <v/>
      </c>
      <c r="X368" s="40">
        <f>T368/N368</f>
        <v/>
      </c>
      <c r="Y368" s="15">
        <f>IF(X368=MAXIFS(X$2:X$721, A$2:A$721, A368, B$2:B$721, B368), "OPTIMAL", "")</f>
        <v/>
      </c>
    </row>
    <row r="369" ht="20" customHeight="1">
      <c r="A369" s="29" t="n">
        <v>-18</v>
      </c>
      <c r="B369" s="29" t="n">
        <v>25</v>
      </c>
      <c r="C369" s="30" t="n">
        <v>80</v>
      </c>
      <c r="D369" s="30" t="n">
        <v>2</v>
      </c>
      <c r="E369" s="6" t="n">
        <v>4</v>
      </c>
      <c r="F369" s="30" t="n">
        <v>1.5</v>
      </c>
      <c r="G369" s="6" t="inlineStr">
        <is>
          <t>Non</t>
        </is>
      </c>
      <c r="H369" s="6" t="inlineStr">
        <is>
          <t>OFF</t>
        </is>
      </c>
      <c r="I369" s="31" t="n">
        <v>604.2334594602274</v>
      </c>
      <c r="J369" s="31" t="n">
        <v>4012.68388558375</v>
      </c>
      <c r="K369" s="31" t="n">
        <v>3342.592592592593</v>
      </c>
      <c r="L369" s="31" t="n">
        <v>150</v>
      </c>
      <c r="M369" s="31">
        <f>I369+J369+K369+L369</f>
        <v/>
      </c>
      <c r="N369" s="31">
        <f>M369*Dashboard!$B$18/(Dashboard!$B$16/3.6)</f>
        <v/>
      </c>
      <c r="O369" s="31" t="n">
        <v>721.7691484867919</v>
      </c>
      <c r="P369" s="32" t="n">
        <v>0.3520705084227755</v>
      </c>
      <c r="Q369" s="33" t="n">
        <v>8.434509224055622</v>
      </c>
      <c r="R369" s="31" t="n">
        <v>995.7988747422719</v>
      </c>
      <c r="S369" s="31">
        <f>R369*IF(A369=4, 2.0, 3.0)</f>
        <v/>
      </c>
      <c r="T369" s="30">
        <f>8.0*U369</f>
        <v/>
      </c>
      <c r="U369" s="34">
        <f>MIN(1, S369/M369)</f>
        <v/>
      </c>
      <c r="V369" s="34">
        <f>N369/(N369+O369)</f>
        <v/>
      </c>
      <c r="W369" s="34">
        <f>U369*V369</f>
        <v/>
      </c>
      <c r="X369" s="32">
        <f>T369/N369</f>
        <v/>
      </c>
      <c r="Y369" s="35">
        <f>IF(X369=MAXIFS(X$2:X$721, A$2:A$721, A369, B$2:B$721, B369), "OPTIMAL", "")</f>
        <v/>
      </c>
    </row>
    <row r="370" ht="20" customHeight="1">
      <c r="A370" s="36" t="n">
        <v>-18</v>
      </c>
      <c r="B370" s="36" t="n">
        <v>25</v>
      </c>
      <c r="C370" s="37" t="n">
        <v>80</v>
      </c>
      <c r="D370" s="37" t="n">
        <v>2</v>
      </c>
      <c r="E370" s="38" t="n">
        <v>4</v>
      </c>
      <c r="F370" s="37" t="n">
        <v>2</v>
      </c>
      <c r="G370" s="38" t="inlineStr">
        <is>
          <t>Oui</t>
        </is>
      </c>
      <c r="H370" s="38" t="inlineStr">
        <is>
          <t>ON</t>
        </is>
      </c>
      <c r="I370" s="39" t="n">
        <v>604.2334594602274</v>
      </c>
      <c r="J370" s="39" t="n">
        <v>4012.68388558375</v>
      </c>
      <c r="K370" s="39" t="n">
        <v>3342.592592592593</v>
      </c>
      <c r="L370" s="39" t="n">
        <v>150</v>
      </c>
      <c r="M370" s="39">
        <f>I370+J370+K370+L370</f>
        <v/>
      </c>
      <c r="N370" s="39">
        <f>M370*Dashboard!$B$18/(Dashboard!$B$16/3.6)</f>
        <v/>
      </c>
      <c r="O370" s="39" t="n">
        <v>819.158857236831</v>
      </c>
      <c r="P370" s="40" t="n">
        <v>0.08027381372050572</v>
      </c>
      <c r="Q370" s="41" t="n">
        <v>11.17934563207416</v>
      </c>
      <c r="R370" s="39" t="n">
        <v>4429.294956318545</v>
      </c>
      <c r="S370" s="39">
        <f>R370*IF(A370=4, 2.0, 3.0)</f>
        <v/>
      </c>
      <c r="T370" s="37">
        <f>8.0*U370</f>
        <v/>
      </c>
      <c r="U370" s="42">
        <f>MIN(1, S370/M370)</f>
        <v/>
      </c>
      <c r="V370" s="42">
        <f>N370/(N370+O370)</f>
        <v/>
      </c>
      <c r="W370" s="42">
        <f>U370*V370</f>
        <v/>
      </c>
      <c r="X370" s="40">
        <f>T370/N370</f>
        <v/>
      </c>
      <c r="Y370" s="15">
        <f>IF(X370=MAXIFS(X$2:X$721, A$2:A$721, A370, B$2:B$721, B370), "OPTIMAL", "")</f>
        <v/>
      </c>
    </row>
    <row r="371" ht="20" customHeight="1">
      <c r="A371" s="29" t="n">
        <v>-18</v>
      </c>
      <c r="B371" s="29" t="n">
        <v>25</v>
      </c>
      <c r="C371" s="30" t="n">
        <v>80</v>
      </c>
      <c r="D371" s="30" t="n">
        <v>2</v>
      </c>
      <c r="E371" s="6" t="n">
        <v>4</v>
      </c>
      <c r="F371" s="30" t="n">
        <v>2</v>
      </c>
      <c r="G371" s="6" t="inlineStr">
        <is>
          <t>Oui</t>
        </is>
      </c>
      <c r="H371" s="6" t="inlineStr">
        <is>
          <t>OFF</t>
        </is>
      </c>
      <c r="I371" s="31" t="n">
        <v>604.2334594602274</v>
      </c>
      <c r="J371" s="31" t="n">
        <v>4012.68388558375</v>
      </c>
      <c r="K371" s="31" t="n">
        <v>3342.592592592593</v>
      </c>
      <c r="L371" s="31" t="n">
        <v>150</v>
      </c>
      <c r="M371" s="31">
        <f>I371+J371+K371+L371</f>
        <v/>
      </c>
      <c r="N371" s="31">
        <f>M371*Dashboard!$B$18/(Dashboard!$B$16/3.6)</f>
        <v/>
      </c>
      <c r="O371" s="31" t="n">
        <v>819.158857236831</v>
      </c>
      <c r="P371" s="32" t="n">
        <v>0.355510990994127</v>
      </c>
      <c r="Q371" s="33" t="n">
        <v>11.17934563207416</v>
      </c>
      <c r="R371" s="31" t="n">
        <v>1000.127723878343</v>
      </c>
      <c r="S371" s="31">
        <f>R371*IF(A371=4, 2.0, 3.0)</f>
        <v/>
      </c>
      <c r="T371" s="30">
        <f>8.0*U371</f>
        <v/>
      </c>
      <c r="U371" s="34">
        <f>MIN(1, S371/M371)</f>
        <v/>
      </c>
      <c r="V371" s="34">
        <f>N371/(N371+O371)</f>
        <v/>
      </c>
      <c r="W371" s="34">
        <f>U371*V371</f>
        <v/>
      </c>
      <c r="X371" s="32">
        <f>T371/N371</f>
        <v/>
      </c>
      <c r="Y371" s="35">
        <f>IF(X371=MAXIFS(X$2:X$721, A$2:A$721, A371, B$2:B$721, B371), "OPTIMAL", "")</f>
        <v/>
      </c>
    </row>
    <row r="372" ht="20" customHeight="1">
      <c r="A372" s="36" t="n">
        <v>-18</v>
      </c>
      <c r="B372" s="36" t="n">
        <v>25</v>
      </c>
      <c r="C372" s="37" t="n">
        <v>80</v>
      </c>
      <c r="D372" s="37" t="n">
        <v>2</v>
      </c>
      <c r="E372" s="38" t="n">
        <v>4</v>
      </c>
      <c r="F372" s="37" t="n">
        <v>2</v>
      </c>
      <c r="G372" s="38" t="inlineStr">
        <is>
          <t>Non</t>
        </is>
      </c>
      <c r="H372" s="38" t="inlineStr">
        <is>
          <t>ON</t>
        </is>
      </c>
      <c r="I372" s="39" t="n">
        <v>604.2334594602274</v>
      </c>
      <c r="J372" s="39" t="n">
        <v>4012.68388558375</v>
      </c>
      <c r="K372" s="39" t="n">
        <v>3342.592592592593</v>
      </c>
      <c r="L372" s="39" t="n">
        <v>150</v>
      </c>
      <c r="M372" s="39">
        <f>I372+J372+K372+L372</f>
        <v/>
      </c>
      <c r="N372" s="39">
        <f>M372*Dashboard!$B$18/(Dashboard!$B$16/3.6)</f>
        <v/>
      </c>
      <c r="O372" s="39" t="n">
        <v>819.158857236831</v>
      </c>
      <c r="P372" s="40" t="n">
        <v>0.07629494014320834</v>
      </c>
      <c r="Q372" s="41" t="n">
        <v>11.17934563207416</v>
      </c>
      <c r="R372" s="39" t="n">
        <v>4660.288055397884</v>
      </c>
      <c r="S372" s="39">
        <f>R372*IF(A372=4, 2.0, 3.0)</f>
        <v/>
      </c>
      <c r="T372" s="37">
        <f>8.0*U372</f>
        <v/>
      </c>
      <c r="U372" s="42">
        <f>MIN(1, S372/M372)</f>
        <v/>
      </c>
      <c r="V372" s="42">
        <f>N372/(N372+O372)</f>
        <v/>
      </c>
      <c r="W372" s="42">
        <f>U372*V372</f>
        <v/>
      </c>
      <c r="X372" s="40">
        <f>T372/N372</f>
        <v/>
      </c>
      <c r="Y372" s="15">
        <f>IF(X372=MAXIFS(X$2:X$721, A$2:A$721, A372, B$2:B$721, B372), "OPTIMAL", "")</f>
        <v/>
      </c>
    </row>
    <row r="373" ht="20" customHeight="1">
      <c r="A373" s="29" t="n">
        <v>-18</v>
      </c>
      <c r="B373" s="29" t="n">
        <v>25</v>
      </c>
      <c r="C373" s="30" t="n">
        <v>80</v>
      </c>
      <c r="D373" s="30" t="n">
        <v>2</v>
      </c>
      <c r="E373" s="6" t="n">
        <v>4</v>
      </c>
      <c r="F373" s="30" t="n">
        <v>2</v>
      </c>
      <c r="G373" s="6" t="inlineStr">
        <is>
          <t>Non</t>
        </is>
      </c>
      <c r="H373" s="6" t="inlineStr">
        <is>
          <t>OFF</t>
        </is>
      </c>
      <c r="I373" s="31" t="n">
        <v>604.2334594602274</v>
      </c>
      <c r="J373" s="31" t="n">
        <v>4012.68388558375</v>
      </c>
      <c r="K373" s="31" t="n">
        <v>3342.592592592593</v>
      </c>
      <c r="L373" s="31" t="n">
        <v>150</v>
      </c>
      <c r="M373" s="31">
        <f>I373+J373+K373+L373</f>
        <v/>
      </c>
      <c r="N373" s="31">
        <f>M373*Dashboard!$B$18/(Dashboard!$B$16/3.6)</f>
        <v/>
      </c>
      <c r="O373" s="31" t="n">
        <v>819.158857236831</v>
      </c>
      <c r="P373" s="32" t="n">
        <v>0.3515321174168297</v>
      </c>
      <c r="Q373" s="33" t="n">
        <v>11.17934563207416</v>
      </c>
      <c r="R373" s="31" t="n">
        <v>1011.447832560599</v>
      </c>
      <c r="S373" s="31">
        <f>R373*IF(A373=4, 2.0, 3.0)</f>
        <v/>
      </c>
      <c r="T373" s="30">
        <f>8.0*U373</f>
        <v/>
      </c>
      <c r="U373" s="34">
        <f>MIN(1, S373/M373)</f>
        <v/>
      </c>
      <c r="V373" s="34">
        <f>N373/(N373+O373)</f>
        <v/>
      </c>
      <c r="W373" s="34">
        <f>U373*V373</f>
        <v/>
      </c>
      <c r="X373" s="32">
        <f>T373/N373</f>
        <v/>
      </c>
      <c r="Y373" s="35">
        <f>IF(X373=MAXIFS(X$2:X$721, A$2:A$721, A373, B$2:B$721, B373), "OPTIMAL", "")</f>
        <v/>
      </c>
    </row>
    <row r="374" ht="20" customHeight="1">
      <c r="A374" s="36" t="n">
        <v>-18</v>
      </c>
      <c r="B374" s="36" t="n">
        <v>25</v>
      </c>
      <c r="C374" s="37" t="n">
        <v>80</v>
      </c>
      <c r="D374" s="37" t="n">
        <v>2</v>
      </c>
      <c r="E374" s="38" t="n">
        <v>8</v>
      </c>
      <c r="F374" s="37" t="n">
        <v>1.5</v>
      </c>
      <c r="G374" s="38" t="inlineStr">
        <is>
          <t>Oui</t>
        </is>
      </c>
      <c r="H374" s="38" t="inlineStr">
        <is>
          <t>ON</t>
        </is>
      </c>
      <c r="I374" s="39" t="n">
        <v>604.2334594602274</v>
      </c>
      <c r="J374" s="39" t="n">
        <v>4012.68388558375</v>
      </c>
      <c r="K374" s="39" t="n">
        <v>3342.592592592593</v>
      </c>
      <c r="L374" s="39" t="n">
        <v>150</v>
      </c>
      <c r="M374" s="39">
        <f>I374+J374+K374+L374</f>
        <v/>
      </c>
      <c r="N374" s="39">
        <f>M374*Dashboard!$B$18/(Dashboard!$B$16/3.6)</f>
        <v/>
      </c>
      <c r="O374" s="39" t="n">
        <v>1022.45473281961</v>
      </c>
      <c r="P374" s="40" t="n">
        <v>0.06145178783543291</v>
      </c>
      <c r="Q374" s="41" t="n">
        <v>16.66901844811125</v>
      </c>
      <c r="R374" s="39" t="n">
        <v>5954.595450951305</v>
      </c>
      <c r="S374" s="39">
        <f>R374*IF(A374=4, 2.0, 3.0)</f>
        <v/>
      </c>
      <c r="T374" s="37">
        <f>8.0*U374</f>
        <v/>
      </c>
      <c r="U374" s="42">
        <f>MIN(1, S374/M374)</f>
        <v/>
      </c>
      <c r="V374" s="42">
        <f>N374/(N374+O374)</f>
        <v/>
      </c>
      <c r="W374" s="42">
        <f>U374*V374</f>
        <v/>
      </c>
      <c r="X374" s="40">
        <f>T374/N374</f>
        <v/>
      </c>
      <c r="Y374" s="15">
        <f>IF(X374=MAXIFS(X$2:X$721, A$2:A$721, A374, B$2:B$721, B374), "OPTIMAL", "")</f>
        <v/>
      </c>
    </row>
    <row r="375" ht="20" customHeight="1">
      <c r="A375" s="29" t="n">
        <v>-18</v>
      </c>
      <c r="B375" s="29" t="n">
        <v>25</v>
      </c>
      <c r="C375" s="30" t="n">
        <v>80</v>
      </c>
      <c r="D375" s="30" t="n">
        <v>2</v>
      </c>
      <c r="E375" s="6" t="n">
        <v>8</v>
      </c>
      <c r="F375" s="30" t="n">
        <v>1.5</v>
      </c>
      <c r="G375" s="6" t="inlineStr">
        <is>
          <t>Oui</t>
        </is>
      </c>
      <c r="H375" s="6" t="inlineStr">
        <is>
          <t>OFF</t>
        </is>
      </c>
      <c r="I375" s="31" t="n">
        <v>604.2334594602274</v>
      </c>
      <c r="J375" s="31" t="n">
        <v>4012.68388558375</v>
      </c>
      <c r="K375" s="31" t="n">
        <v>3342.592592592593</v>
      </c>
      <c r="L375" s="31" t="n">
        <v>150</v>
      </c>
      <c r="M375" s="31">
        <f>I375+J375+K375+L375</f>
        <v/>
      </c>
      <c r="N375" s="31">
        <f>M375*Dashboard!$B$18/(Dashboard!$B$16/3.6)</f>
        <v/>
      </c>
      <c r="O375" s="31" t="n">
        <v>1022.45473281961</v>
      </c>
      <c r="P375" s="32" t="n">
        <v>0.2700829218988253</v>
      </c>
      <c r="Q375" s="33" t="n">
        <v>16.66901844811125</v>
      </c>
      <c r="R375" s="31" t="n">
        <v>1354.845148020021</v>
      </c>
      <c r="S375" s="31">
        <f>R375*IF(A375=4, 2.0, 3.0)</f>
        <v/>
      </c>
      <c r="T375" s="30">
        <f>8.0*U375</f>
        <v/>
      </c>
      <c r="U375" s="34">
        <f>MIN(1, S375/M375)</f>
        <v/>
      </c>
      <c r="V375" s="34">
        <f>N375/(N375+O375)</f>
        <v/>
      </c>
      <c r="W375" s="34">
        <f>U375*V375</f>
        <v/>
      </c>
      <c r="X375" s="32">
        <f>T375/N375</f>
        <v/>
      </c>
      <c r="Y375" s="35">
        <f>IF(X375=MAXIFS(X$2:X$721, A$2:A$721, A375, B$2:B$721, B375), "OPTIMAL", "")</f>
        <v/>
      </c>
    </row>
    <row r="376" ht="20" customHeight="1">
      <c r="A376" s="36" t="n">
        <v>-18</v>
      </c>
      <c r="B376" s="36" t="n">
        <v>25</v>
      </c>
      <c r="C376" s="37" t="n">
        <v>80</v>
      </c>
      <c r="D376" s="37" t="n">
        <v>2</v>
      </c>
      <c r="E376" s="38" t="n">
        <v>8</v>
      </c>
      <c r="F376" s="37" t="n">
        <v>1.5</v>
      </c>
      <c r="G376" s="38" t="inlineStr">
        <is>
          <t>Non</t>
        </is>
      </c>
      <c r="H376" s="38" t="inlineStr">
        <is>
          <t>ON</t>
        </is>
      </c>
      <c r="I376" s="39" t="n">
        <v>604.2334594602274</v>
      </c>
      <c r="J376" s="39" t="n">
        <v>4012.68388558375</v>
      </c>
      <c r="K376" s="39" t="n">
        <v>3342.592592592593</v>
      </c>
      <c r="L376" s="39" t="n">
        <v>150</v>
      </c>
      <c r="M376" s="39">
        <f>I376+J376+K376+L376</f>
        <v/>
      </c>
      <c r="N376" s="39">
        <f>M376*Dashboard!$B$18/(Dashboard!$B$16/3.6)</f>
        <v/>
      </c>
      <c r="O376" s="39" t="n">
        <v>1022.45473281961</v>
      </c>
      <c r="P376" s="40" t="n">
        <v>0.05747291425813553</v>
      </c>
      <c r="Q376" s="41" t="n">
        <v>16.66901844811125</v>
      </c>
      <c r="R376" s="39" t="n">
        <v>6366.834551910616</v>
      </c>
      <c r="S376" s="39">
        <f>R376*IF(A376=4, 2.0, 3.0)</f>
        <v/>
      </c>
      <c r="T376" s="37">
        <f>8.0*U376</f>
        <v/>
      </c>
      <c r="U376" s="42">
        <f>MIN(1, S376/M376)</f>
        <v/>
      </c>
      <c r="V376" s="42">
        <f>N376/(N376+O376)</f>
        <v/>
      </c>
      <c r="W376" s="42">
        <f>U376*V376</f>
        <v/>
      </c>
      <c r="X376" s="40">
        <f>T376/N376</f>
        <v/>
      </c>
      <c r="Y376" s="15">
        <f>IF(X376=MAXIFS(X$2:X$721, A$2:A$721, A376, B$2:B$721, B376), "OPTIMAL", "")</f>
        <v/>
      </c>
    </row>
    <row r="377" ht="20" customHeight="1">
      <c r="A377" s="29" t="n">
        <v>-18</v>
      </c>
      <c r="B377" s="29" t="n">
        <v>25</v>
      </c>
      <c r="C377" s="30" t="n">
        <v>80</v>
      </c>
      <c r="D377" s="30" t="n">
        <v>2</v>
      </c>
      <c r="E377" s="6" t="n">
        <v>8</v>
      </c>
      <c r="F377" s="30" t="n">
        <v>1.5</v>
      </c>
      <c r="G377" s="6" t="inlineStr">
        <is>
          <t>Non</t>
        </is>
      </c>
      <c r="H377" s="6" t="inlineStr">
        <is>
          <t>OFF</t>
        </is>
      </c>
      <c r="I377" s="31" t="n">
        <v>604.2334594602274</v>
      </c>
      <c r="J377" s="31" t="n">
        <v>4012.68388558375</v>
      </c>
      <c r="K377" s="31" t="n">
        <v>3342.592592592593</v>
      </c>
      <c r="L377" s="31" t="n">
        <v>150</v>
      </c>
      <c r="M377" s="31">
        <f>I377+J377+K377+L377</f>
        <v/>
      </c>
      <c r="N377" s="31">
        <f>M377*Dashboard!$B$18/(Dashboard!$B$16/3.6)</f>
        <v/>
      </c>
      <c r="O377" s="31" t="n">
        <v>1022.45473281961</v>
      </c>
      <c r="P377" s="32" t="n">
        <v>0.2661040483215279</v>
      </c>
      <c r="Q377" s="33" t="n">
        <v>16.66901844811125</v>
      </c>
      <c r="R377" s="31" t="n">
        <v>1375.103229754549</v>
      </c>
      <c r="S377" s="31">
        <f>R377*IF(A377=4, 2.0, 3.0)</f>
        <v/>
      </c>
      <c r="T377" s="30">
        <f>8.0*U377</f>
        <v/>
      </c>
      <c r="U377" s="34">
        <f>MIN(1, S377/M377)</f>
        <v/>
      </c>
      <c r="V377" s="34">
        <f>N377/(N377+O377)</f>
        <v/>
      </c>
      <c r="W377" s="34">
        <f>U377*V377</f>
        <v/>
      </c>
      <c r="X377" s="32">
        <f>T377/N377</f>
        <v/>
      </c>
      <c r="Y377" s="35">
        <f>IF(X377=MAXIFS(X$2:X$721, A$2:A$721, A377, B$2:B$721, B377), "OPTIMAL", "")</f>
        <v/>
      </c>
    </row>
    <row r="378" ht="20" customHeight="1">
      <c r="A378" s="36" t="n">
        <v>-18</v>
      </c>
      <c r="B378" s="36" t="n">
        <v>25</v>
      </c>
      <c r="C378" s="37" t="n">
        <v>80</v>
      </c>
      <c r="D378" s="37" t="n">
        <v>2</v>
      </c>
      <c r="E378" s="38" t="n">
        <v>8</v>
      </c>
      <c r="F378" s="37" t="n">
        <v>2</v>
      </c>
      <c r="G378" s="38" t="inlineStr">
        <is>
          <t>Oui</t>
        </is>
      </c>
      <c r="H378" s="38" t="inlineStr">
        <is>
          <t>ON</t>
        </is>
      </c>
      <c r="I378" s="39" t="n">
        <v>604.2334594602274</v>
      </c>
      <c r="J378" s="39" t="n">
        <v>4012.68388558375</v>
      </c>
      <c r="K378" s="39" t="n">
        <v>3342.592592592593</v>
      </c>
      <c r="L378" s="39" t="n">
        <v>150</v>
      </c>
      <c r="M378" s="39">
        <f>I378+J378+K378+L378</f>
        <v/>
      </c>
      <c r="N378" s="39">
        <f>M378*Dashboard!$B$18/(Dashboard!$B$16/3.6)</f>
        <v/>
      </c>
      <c r="O378" s="39" t="n">
        <v>1237.958220013959</v>
      </c>
      <c r="P378" s="40" t="n">
        <v>0.06058998977604487</v>
      </c>
      <c r="Q378" s="41" t="n">
        <v>22.15869126414833</v>
      </c>
      <c r="R378" s="39" t="n">
        <v>6220.615429326941</v>
      </c>
      <c r="S378" s="39">
        <f>R378*IF(A378=4, 2.0, 3.0)</f>
        <v/>
      </c>
      <c r="T378" s="37">
        <f>8.0*U378</f>
        <v/>
      </c>
      <c r="U378" s="42">
        <f>MIN(1, S378/M378)</f>
        <v/>
      </c>
      <c r="V378" s="42">
        <f>N378/(N378+O378)</f>
        <v/>
      </c>
      <c r="W378" s="42">
        <f>U378*V378</f>
        <v/>
      </c>
      <c r="X378" s="40">
        <f>T378/N378</f>
        <v/>
      </c>
      <c r="Y378" s="15">
        <f>IF(X378=MAXIFS(X$2:X$721, A$2:A$721, A378, B$2:B$721, B378), "OPTIMAL", "")</f>
        <v/>
      </c>
    </row>
    <row r="379" ht="20" customHeight="1">
      <c r="A379" s="29" t="n">
        <v>-18</v>
      </c>
      <c r="B379" s="29" t="n">
        <v>25</v>
      </c>
      <c r="C379" s="30" t="n">
        <v>80</v>
      </c>
      <c r="D379" s="30" t="n">
        <v>2</v>
      </c>
      <c r="E379" s="6" t="n">
        <v>8</v>
      </c>
      <c r="F379" s="30" t="n">
        <v>2</v>
      </c>
      <c r="G379" s="6" t="inlineStr">
        <is>
          <t>Oui</t>
        </is>
      </c>
      <c r="H379" s="6" t="inlineStr">
        <is>
          <t>OFF</t>
        </is>
      </c>
      <c r="I379" s="31" t="n">
        <v>604.2334594602274</v>
      </c>
      <c r="J379" s="31" t="n">
        <v>4012.68388558375</v>
      </c>
      <c r="K379" s="31" t="n">
        <v>3342.592592592593</v>
      </c>
      <c r="L379" s="31" t="n">
        <v>150</v>
      </c>
      <c r="M379" s="31">
        <f>I379+J379+K379+L379</f>
        <v/>
      </c>
      <c r="N379" s="31">
        <f>M379*Dashboard!$B$18/(Dashboard!$B$16/3.6)</f>
        <v/>
      </c>
      <c r="O379" s="31" t="n">
        <v>1237.958220013959</v>
      </c>
      <c r="P379" s="32" t="n">
        <v>0.2709744149858122</v>
      </c>
      <c r="Q379" s="33" t="n">
        <v>22.15869126414833</v>
      </c>
      <c r="R379" s="31" t="n">
        <v>1390.932148643482</v>
      </c>
      <c r="S379" s="31">
        <f>R379*IF(A379=4, 2.0, 3.0)</f>
        <v/>
      </c>
      <c r="T379" s="30">
        <f>8.0*U379</f>
        <v/>
      </c>
      <c r="U379" s="34">
        <f>MIN(1, S379/M379)</f>
        <v/>
      </c>
      <c r="V379" s="34">
        <f>N379/(N379+O379)</f>
        <v/>
      </c>
      <c r="W379" s="34">
        <f>U379*V379</f>
        <v/>
      </c>
      <c r="X379" s="32">
        <f>T379/N379</f>
        <v/>
      </c>
      <c r="Y379" s="35">
        <f>IF(X379=MAXIFS(X$2:X$721, A$2:A$721, A379, B$2:B$721, B379), "OPTIMAL", "")</f>
        <v/>
      </c>
    </row>
    <row r="380" ht="20" customHeight="1">
      <c r="A380" s="36" t="n">
        <v>-18</v>
      </c>
      <c r="B380" s="36" t="n">
        <v>25</v>
      </c>
      <c r="C380" s="37" t="n">
        <v>80</v>
      </c>
      <c r="D380" s="37" t="n">
        <v>2</v>
      </c>
      <c r="E380" s="38" t="n">
        <v>8</v>
      </c>
      <c r="F380" s="37" t="n">
        <v>2</v>
      </c>
      <c r="G380" s="38" t="inlineStr">
        <is>
          <t>Non</t>
        </is>
      </c>
      <c r="H380" s="38" t="inlineStr">
        <is>
          <t>ON</t>
        </is>
      </c>
      <c r="I380" s="39" t="n">
        <v>604.2334594602274</v>
      </c>
      <c r="J380" s="39" t="n">
        <v>4012.68388558375</v>
      </c>
      <c r="K380" s="39" t="n">
        <v>3342.592592592593</v>
      </c>
      <c r="L380" s="39" t="n">
        <v>150</v>
      </c>
      <c r="M380" s="39">
        <f>I380+J380+K380+L380</f>
        <v/>
      </c>
      <c r="N380" s="39">
        <f>M380*Dashboard!$B$18/(Dashboard!$B$16/3.6)</f>
        <v/>
      </c>
      <c r="O380" s="39" t="n">
        <v>1237.958220013959</v>
      </c>
      <c r="P380" s="40" t="n">
        <v>0.05661111619874749</v>
      </c>
      <c r="Q380" s="41" t="n">
        <v>22.15869126414833</v>
      </c>
      <c r="R380" s="39" t="n">
        <v>6657.827129576459</v>
      </c>
      <c r="S380" s="39">
        <f>R380*IF(A380=4, 2.0, 3.0)</f>
        <v/>
      </c>
      <c r="T380" s="37">
        <f>8.0*U380</f>
        <v/>
      </c>
      <c r="U380" s="42">
        <f>MIN(1, S380/M380)</f>
        <v/>
      </c>
      <c r="V380" s="42">
        <f>N380/(N380+O380)</f>
        <v/>
      </c>
      <c r="W380" s="42">
        <f>U380*V380</f>
        <v/>
      </c>
      <c r="X380" s="40">
        <f>T380/N380</f>
        <v/>
      </c>
      <c r="Y380" s="15">
        <f>IF(X380=MAXIFS(X$2:X$721, A$2:A$721, A380, B$2:B$721, B380), "OPTIMAL", "")</f>
        <v/>
      </c>
    </row>
    <row r="381" ht="20" customHeight="1">
      <c r="A381" s="29" t="n">
        <v>-18</v>
      </c>
      <c r="B381" s="29" t="n">
        <v>25</v>
      </c>
      <c r="C381" s="30" t="n">
        <v>80</v>
      </c>
      <c r="D381" s="30" t="n">
        <v>2</v>
      </c>
      <c r="E381" s="6" t="n">
        <v>8</v>
      </c>
      <c r="F381" s="30" t="n">
        <v>2</v>
      </c>
      <c r="G381" s="6" t="inlineStr">
        <is>
          <t>Non</t>
        </is>
      </c>
      <c r="H381" s="6" t="inlineStr">
        <is>
          <t>OFF</t>
        </is>
      </c>
      <c r="I381" s="31" t="n">
        <v>604.2334594602274</v>
      </c>
      <c r="J381" s="31" t="n">
        <v>4012.68388558375</v>
      </c>
      <c r="K381" s="31" t="n">
        <v>3342.592592592593</v>
      </c>
      <c r="L381" s="31" t="n">
        <v>150</v>
      </c>
      <c r="M381" s="31">
        <f>I381+J381+K381+L381</f>
        <v/>
      </c>
      <c r="N381" s="31">
        <f>M381*Dashboard!$B$18/(Dashboard!$B$16/3.6)</f>
        <v/>
      </c>
      <c r="O381" s="31" t="n">
        <v>1237.958220013959</v>
      </c>
      <c r="P381" s="32" t="n">
        <v>0.2669955414085148</v>
      </c>
      <c r="Q381" s="33" t="n">
        <v>22.15869126414833</v>
      </c>
      <c r="R381" s="31" t="n">
        <v>1411.660371837229</v>
      </c>
      <c r="S381" s="31">
        <f>R381*IF(A381=4, 2.0, 3.0)</f>
        <v/>
      </c>
      <c r="T381" s="30">
        <f>8.0*U381</f>
        <v/>
      </c>
      <c r="U381" s="34">
        <f>MIN(1, S381/M381)</f>
        <v/>
      </c>
      <c r="V381" s="34">
        <f>N381/(N381+O381)</f>
        <v/>
      </c>
      <c r="W381" s="34">
        <f>U381*V381</f>
        <v/>
      </c>
      <c r="X381" s="32">
        <f>T381/N381</f>
        <v/>
      </c>
      <c r="Y381" s="35">
        <f>IF(X381=MAXIFS(X$2:X$721, A$2:A$721, A381, B$2:B$721, B381), "OPTIMAL", "")</f>
        <v/>
      </c>
    </row>
    <row r="382" ht="20" customHeight="1">
      <c r="A382" s="21" t="n">
        <v>-18</v>
      </c>
      <c r="B382" s="21" t="n">
        <v>25</v>
      </c>
      <c r="C382" s="22" t="n">
        <v>80</v>
      </c>
      <c r="D382" s="22" t="n">
        <v>3</v>
      </c>
      <c r="E382" s="23" t="n">
        <v>0</v>
      </c>
      <c r="F382" s="22" t="n">
        <v>0</v>
      </c>
      <c r="G382" s="23" t="inlineStr">
        <is>
          <t>Oui</t>
        </is>
      </c>
      <c r="H382" s="23" t="inlineStr">
        <is>
          <t>ON</t>
        </is>
      </c>
      <c r="I382" s="24" t="n">
        <v>604.2334594602274</v>
      </c>
      <c r="J382" s="24" t="n">
        <v>4012.68388558375</v>
      </c>
      <c r="K382" s="24" t="n">
        <v>3342.592592592593</v>
      </c>
      <c r="L382" s="24" t="n">
        <v>150</v>
      </c>
      <c r="M382" s="24">
        <f>I382+J382+K382+L382</f>
        <v/>
      </c>
      <c r="N382" s="24">
        <f>M382*Dashboard!$B$18/(Dashboard!$B$16/3.6)</f>
        <v/>
      </c>
      <c r="O382" s="24" t="n">
        <v>695.4532855211016</v>
      </c>
      <c r="P382" s="25" t="n">
        <v>0.5013985973965238</v>
      </c>
      <c r="Q382" s="26" t="n">
        <v>0.2</v>
      </c>
      <c r="R382" s="24" t="n">
        <v>707.8793309018059</v>
      </c>
      <c r="S382" s="24">
        <f>R382*IF(A382=4, 2.0, 3.0)</f>
        <v/>
      </c>
      <c r="T382" s="22">
        <f>8.0*U382</f>
        <v/>
      </c>
      <c r="U382" s="27">
        <f>MIN(1, S382/M382)</f>
        <v/>
      </c>
      <c r="V382" s="27">
        <f>N382/(N382+O382)</f>
        <v/>
      </c>
      <c r="W382" s="27">
        <f>U382*V382</f>
        <v/>
      </c>
      <c r="X382" s="25">
        <f>T382/N382</f>
        <v/>
      </c>
      <c r="Y382" s="28">
        <f>IF(X382=MAXIFS(X$2:X$721, A$2:A$721, A382, B$2:B$721, B382), "OPTIMAL", "")</f>
        <v/>
      </c>
    </row>
    <row r="383" ht="20" customHeight="1">
      <c r="A383" s="29" t="n">
        <v>-18</v>
      </c>
      <c r="B383" s="29" t="n">
        <v>25</v>
      </c>
      <c r="C383" s="30" t="n">
        <v>80</v>
      </c>
      <c r="D383" s="30" t="n">
        <v>3</v>
      </c>
      <c r="E383" s="6" t="n">
        <v>0</v>
      </c>
      <c r="F383" s="30" t="n">
        <v>0</v>
      </c>
      <c r="G383" s="6" t="inlineStr">
        <is>
          <t>Oui</t>
        </is>
      </c>
      <c r="H383" s="6" t="inlineStr">
        <is>
          <t>OFF</t>
        </is>
      </c>
      <c r="I383" s="31" t="n">
        <v>604.2334594602274</v>
      </c>
      <c r="J383" s="31" t="n">
        <v>4012.68388558375</v>
      </c>
      <c r="K383" s="31" t="n">
        <v>3342.592592592593</v>
      </c>
      <c r="L383" s="31" t="n">
        <v>150</v>
      </c>
      <c r="M383" s="31">
        <f>I383+J383+K383+L383</f>
        <v/>
      </c>
      <c r="N383" s="31">
        <f>M383*Dashboard!$B$18/(Dashboard!$B$16/3.6)</f>
        <v/>
      </c>
      <c r="O383" s="31" t="n">
        <v>695.4532855211016</v>
      </c>
      <c r="P383" s="32" t="n">
        <v>0.8992859551262622</v>
      </c>
      <c r="Q383" s="33" t="n">
        <v>0.2</v>
      </c>
      <c r="R383" s="31" t="n">
        <v>394.6794694356392</v>
      </c>
      <c r="S383" s="31">
        <f>R383*IF(A383=4, 2.0, 3.0)</f>
        <v/>
      </c>
      <c r="T383" s="30">
        <f>8.0*U383</f>
        <v/>
      </c>
      <c r="U383" s="34">
        <f>MIN(1, S383/M383)</f>
        <v/>
      </c>
      <c r="V383" s="34">
        <f>N383/(N383+O383)</f>
        <v/>
      </c>
      <c r="W383" s="34">
        <f>U383*V383</f>
        <v/>
      </c>
      <c r="X383" s="32">
        <f>T383/N383</f>
        <v/>
      </c>
      <c r="Y383" s="35">
        <f>IF(X383=MAXIFS(X$2:X$721, A$2:A$721, A383, B$2:B$721, B383), "OPTIMAL", "")</f>
        <v/>
      </c>
    </row>
    <row r="384" ht="20" customHeight="1">
      <c r="A384" s="21" t="n">
        <v>-18</v>
      </c>
      <c r="B384" s="21" t="n">
        <v>25</v>
      </c>
      <c r="C384" s="22" t="n">
        <v>80</v>
      </c>
      <c r="D384" s="22" t="n">
        <v>3</v>
      </c>
      <c r="E384" s="23" t="n">
        <v>0</v>
      </c>
      <c r="F384" s="22" t="n">
        <v>0</v>
      </c>
      <c r="G384" s="23" t="inlineStr">
        <is>
          <t>Non</t>
        </is>
      </c>
      <c r="H384" s="23" t="inlineStr">
        <is>
          <t>ON</t>
        </is>
      </c>
      <c r="I384" s="24" t="n">
        <v>604.2334594602274</v>
      </c>
      <c r="J384" s="24" t="n">
        <v>4012.68388558375</v>
      </c>
      <c r="K384" s="24" t="n">
        <v>3342.592592592593</v>
      </c>
      <c r="L384" s="24" t="n">
        <v>150</v>
      </c>
      <c r="M384" s="24">
        <f>I384+J384+K384+L384</f>
        <v/>
      </c>
      <c r="N384" s="24">
        <f>M384*Dashboard!$B$18/(Dashboard!$B$16/3.6)</f>
        <v/>
      </c>
      <c r="O384" s="24" t="n">
        <v>695.4532855211016</v>
      </c>
      <c r="P384" s="25" t="n">
        <v>0.4974197238192265</v>
      </c>
      <c r="Q384" s="26" t="n">
        <v>0.2</v>
      </c>
      <c r="R384" s="24" t="n">
        <v>713.5416764638483</v>
      </c>
      <c r="S384" s="24">
        <f>R384*IF(A384=4, 2.0, 3.0)</f>
        <v/>
      </c>
      <c r="T384" s="22">
        <f>8.0*U384</f>
        <v/>
      </c>
      <c r="U384" s="27">
        <f>MIN(1, S384/M384)</f>
        <v/>
      </c>
      <c r="V384" s="27">
        <f>N384/(N384+O384)</f>
        <v/>
      </c>
      <c r="W384" s="27">
        <f>U384*V384</f>
        <v/>
      </c>
      <c r="X384" s="25">
        <f>T384/N384</f>
        <v/>
      </c>
      <c r="Y384" s="28">
        <f>IF(X384=MAXIFS(X$2:X$721, A$2:A$721, A384, B$2:B$721, B384), "OPTIMAL", "")</f>
        <v/>
      </c>
    </row>
    <row r="385" ht="20" customHeight="1">
      <c r="A385" s="29" t="n">
        <v>-18</v>
      </c>
      <c r="B385" s="29" t="n">
        <v>25</v>
      </c>
      <c r="C385" s="30" t="n">
        <v>80</v>
      </c>
      <c r="D385" s="30" t="n">
        <v>3</v>
      </c>
      <c r="E385" s="6" t="n">
        <v>0</v>
      </c>
      <c r="F385" s="30" t="n">
        <v>0</v>
      </c>
      <c r="G385" s="6" t="inlineStr">
        <is>
          <t>Non</t>
        </is>
      </c>
      <c r="H385" s="6" t="inlineStr">
        <is>
          <t>OFF</t>
        </is>
      </c>
      <c r="I385" s="31" t="n">
        <v>604.2334594602274</v>
      </c>
      <c r="J385" s="31" t="n">
        <v>4012.68388558375</v>
      </c>
      <c r="K385" s="31" t="n">
        <v>3342.592592592593</v>
      </c>
      <c r="L385" s="31" t="n">
        <v>150</v>
      </c>
      <c r="M385" s="31">
        <f>I385+J385+K385+L385</f>
        <v/>
      </c>
      <c r="N385" s="31">
        <f>M385*Dashboard!$B$18/(Dashboard!$B$16/3.6)</f>
        <v/>
      </c>
      <c r="O385" s="31" t="n">
        <v>695.4532855211016</v>
      </c>
      <c r="P385" s="32" t="n">
        <v>0.8953070815489648</v>
      </c>
      <c r="Q385" s="33" t="n">
        <v>0.2</v>
      </c>
      <c r="R385" s="31" t="n">
        <v>396.433481824017</v>
      </c>
      <c r="S385" s="31">
        <f>R385*IF(A385=4, 2.0, 3.0)</f>
        <v/>
      </c>
      <c r="T385" s="30">
        <f>8.0*U385</f>
        <v/>
      </c>
      <c r="U385" s="34">
        <f>MIN(1, S385/M385)</f>
        <v/>
      </c>
      <c r="V385" s="34">
        <f>N385/(N385+O385)</f>
        <v/>
      </c>
      <c r="W385" s="34">
        <f>U385*V385</f>
        <v/>
      </c>
      <c r="X385" s="32">
        <f>T385/N385</f>
        <v/>
      </c>
      <c r="Y385" s="35">
        <f>IF(X385=MAXIFS(X$2:X$721, A$2:A$721, A385, B$2:B$721, B385), "OPTIMAL", "")</f>
        <v/>
      </c>
    </row>
    <row r="386" ht="20" customHeight="1">
      <c r="A386" s="36" t="n">
        <v>-18</v>
      </c>
      <c r="B386" s="36" t="n">
        <v>25</v>
      </c>
      <c r="C386" s="37" t="n">
        <v>80</v>
      </c>
      <c r="D386" s="37" t="n">
        <v>3</v>
      </c>
      <c r="E386" s="38" t="n">
        <v>4</v>
      </c>
      <c r="F386" s="37" t="n">
        <v>1.5</v>
      </c>
      <c r="G386" s="38" t="inlineStr">
        <is>
          <t>Oui</t>
        </is>
      </c>
      <c r="H386" s="38" t="inlineStr">
        <is>
          <t>ON</t>
        </is>
      </c>
      <c r="I386" s="39" t="n">
        <v>604.2334594602274</v>
      </c>
      <c r="J386" s="39" t="n">
        <v>4012.68388558375</v>
      </c>
      <c r="K386" s="39" t="n">
        <v>3342.592592592593</v>
      </c>
      <c r="L386" s="39" t="n">
        <v>150</v>
      </c>
      <c r="M386" s="39">
        <f>I386+J386+K386+L386</f>
        <v/>
      </c>
      <c r="N386" s="39">
        <f>M386*Dashboard!$B$18/(Dashboard!$B$16/3.6)</f>
        <v/>
      </c>
      <c r="O386" s="39" t="n">
        <v>992.8980820872464</v>
      </c>
      <c r="P386" s="40" t="n">
        <v>0.08209463084427607</v>
      </c>
      <c r="Q386" s="41" t="n">
        <v>8.657063527408475</v>
      </c>
      <c r="R386" s="39" t="n">
        <v>4509.644034459395</v>
      </c>
      <c r="S386" s="39">
        <f>R386*IF(A386=4, 2.0, 3.0)</f>
        <v/>
      </c>
      <c r="T386" s="37">
        <f>8.0*U386</f>
        <v/>
      </c>
      <c r="U386" s="42">
        <f>MIN(1, S386/M386)</f>
        <v/>
      </c>
      <c r="V386" s="42">
        <f>N386/(N386+O386)</f>
        <v/>
      </c>
      <c r="W386" s="42">
        <f>U386*V386</f>
        <v/>
      </c>
      <c r="X386" s="40">
        <f>T386/N386</f>
        <v/>
      </c>
      <c r="Y386" s="15">
        <f>IF(X386=MAXIFS(X$2:X$721, A$2:A$721, A386, B$2:B$721, B386), "OPTIMAL", "")</f>
        <v/>
      </c>
    </row>
    <row r="387" ht="20" customHeight="1">
      <c r="A387" s="29" t="n">
        <v>-18</v>
      </c>
      <c r="B387" s="29" t="n">
        <v>25</v>
      </c>
      <c r="C387" s="30" t="n">
        <v>80</v>
      </c>
      <c r="D387" s="30" t="n">
        <v>3</v>
      </c>
      <c r="E387" s="6" t="n">
        <v>4</v>
      </c>
      <c r="F387" s="30" t="n">
        <v>1.5</v>
      </c>
      <c r="G387" s="6" t="inlineStr">
        <is>
          <t>Oui</t>
        </is>
      </c>
      <c r="H387" s="6" t="inlineStr">
        <is>
          <t>OFF</t>
        </is>
      </c>
      <c r="I387" s="31" t="n">
        <v>604.2334594602274</v>
      </c>
      <c r="J387" s="31" t="n">
        <v>4012.68388558375</v>
      </c>
      <c r="K387" s="31" t="n">
        <v>3342.592592592593</v>
      </c>
      <c r="L387" s="31" t="n">
        <v>150</v>
      </c>
      <c r="M387" s="31">
        <f>I387+J387+K387+L387</f>
        <v/>
      </c>
      <c r="N387" s="31">
        <f>M387*Dashboard!$B$18/(Dashboard!$B$16/3.6)</f>
        <v/>
      </c>
      <c r="O387" s="31" t="n">
        <v>992.8980820872464</v>
      </c>
      <c r="P387" s="32" t="n">
        <v>0.3558275394191204</v>
      </c>
      <c r="Q387" s="33" t="n">
        <v>8.657063527408475</v>
      </c>
      <c r="R387" s="31" t="n">
        <v>1040.441003673877</v>
      </c>
      <c r="S387" s="31">
        <f>R387*IF(A387=4, 2.0, 3.0)</f>
        <v/>
      </c>
      <c r="T387" s="30">
        <f>8.0*U387</f>
        <v/>
      </c>
      <c r="U387" s="34">
        <f>MIN(1, S387/M387)</f>
        <v/>
      </c>
      <c r="V387" s="34">
        <f>N387/(N387+O387)</f>
        <v/>
      </c>
      <c r="W387" s="34">
        <f>U387*V387</f>
        <v/>
      </c>
      <c r="X387" s="32">
        <f>T387/N387</f>
        <v/>
      </c>
      <c r="Y387" s="35">
        <f>IF(X387=MAXIFS(X$2:X$721, A$2:A$721, A387, B$2:B$721, B387), "OPTIMAL", "")</f>
        <v/>
      </c>
    </row>
    <row r="388" ht="20" customHeight="1">
      <c r="A388" s="36" t="n">
        <v>-18</v>
      </c>
      <c r="B388" s="36" t="n">
        <v>25</v>
      </c>
      <c r="C388" s="37" t="n">
        <v>80</v>
      </c>
      <c r="D388" s="37" t="n">
        <v>3</v>
      </c>
      <c r="E388" s="38" t="n">
        <v>4</v>
      </c>
      <c r="F388" s="37" t="n">
        <v>1.5</v>
      </c>
      <c r="G388" s="38" t="inlineStr">
        <is>
          <t>Non</t>
        </is>
      </c>
      <c r="H388" s="38" t="inlineStr">
        <is>
          <t>ON</t>
        </is>
      </c>
      <c r="I388" s="39" t="n">
        <v>604.2334594602274</v>
      </c>
      <c r="J388" s="39" t="n">
        <v>4012.68388558375</v>
      </c>
      <c r="K388" s="39" t="n">
        <v>3342.592592592593</v>
      </c>
      <c r="L388" s="39" t="n">
        <v>150</v>
      </c>
      <c r="M388" s="39">
        <f>I388+J388+K388+L388</f>
        <v/>
      </c>
      <c r="N388" s="39">
        <f>M388*Dashboard!$B$18/(Dashboard!$B$16/3.6)</f>
        <v/>
      </c>
      <c r="O388" s="39" t="n">
        <v>992.8980820872464</v>
      </c>
      <c r="P388" s="40" t="n">
        <v>0.07811575726697868</v>
      </c>
      <c r="Q388" s="41" t="n">
        <v>8.657063527408475</v>
      </c>
      <c r="R388" s="39" t="n">
        <v>4739.345494440149</v>
      </c>
      <c r="S388" s="39">
        <f>R388*IF(A388=4, 2.0, 3.0)</f>
        <v/>
      </c>
      <c r="T388" s="37">
        <f>8.0*U388</f>
        <v/>
      </c>
      <c r="U388" s="42">
        <f>MIN(1, S388/M388)</f>
        <v/>
      </c>
      <c r="V388" s="42">
        <f>N388/(N388+O388)</f>
        <v/>
      </c>
      <c r="W388" s="42">
        <f>U388*V388</f>
        <v/>
      </c>
      <c r="X388" s="40">
        <f>T388/N388</f>
        <v/>
      </c>
      <c r="Y388" s="15">
        <f>IF(X388=MAXIFS(X$2:X$721, A$2:A$721, A388, B$2:B$721, B388), "OPTIMAL", "")</f>
        <v/>
      </c>
    </row>
    <row r="389" ht="20" customHeight="1">
      <c r="A389" s="29" t="n">
        <v>-18</v>
      </c>
      <c r="B389" s="29" t="n">
        <v>25</v>
      </c>
      <c r="C389" s="30" t="n">
        <v>80</v>
      </c>
      <c r="D389" s="30" t="n">
        <v>3</v>
      </c>
      <c r="E389" s="6" t="n">
        <v>4</v>
      </c>
      <c r="F389" s="30" t="n">
        <v>1.5</v>
      </c>
      <c r="G389" s="6" t="inlineStr">
        <is>
          <t>Non</t>
        </is>
      </c>
      <c r="H389" s="6" t="inlineStr">
        <is>
          <t>OFF</t>
        </is>
      </c>
      <c r="I389" s="31" t="n">
        <v>604.2334594602274</v>
      </c>
      <c r="J389" s="31" t="n">
        <v>4012.68388558375</v>
      </c>
      <c r="K389" s="31" t="n">
        <v>3342.592592592593</v>
      </c>
      <c r="L389" s="31" t="n">
        <v>150</v>
      </c>
      <c r="M389" s="31">
        <f>I389+J389+K389+L389</f>
        <v/>
      </c>
      <c r="N389" s="31">
        <f>M389*Dashboard!$B$18/(Dashboard!$B$16/3.6)</f>
        <v/>
      </c>
      <c r="O389" s="31" t="n">
        <v>992.8980820872464</v>
      </c>
      <c r="P389" s="32" t="n">
        <v>0.3518486658418231</v>
      </c>
      <c r="Q389" s="33" t="n">
        <v>8.657063527408475</v>
      </c>
      <c r="R389" s="31" t="n">
        <v>1052.206809885903</v>
      </c>
      <c r="S389" s="31">
        <f>R389*IF(A389=4, 2.0, 3.0)</f>
        <v/>
      </c>
      <c r="T389" s="30">
        <f>8.0*U389</f>
        <v/>
      </c>
      <c r="U389" s="34">
        <f>MIN(1, S389/M389)</f>
        <v/>
      </c>
      <c r="V389" s="34">
        <f>N389/(N389+O389)</f>
        <v/>
      </c>
      <c r="W389" s="34">
        <f>U389*V389</f>
        <v/>
      </c>
      <c r="X389" s="32">
        <f>T389/N389</f>
        <v/>
      </c>
      <c r="Y389" s="35">
        <f>IF(X389=MAXIFS(X$2:X$721, A$2:A$721, A389, B$2:B$721, B389), "OPTIMAL", "")</f>
        <v/>
      </c>
    </row>
    <row r="390" ht="20" customHeight="1">
      <c r="A390" s="36" t="n">
        <v>-18</v>
      </c>
      <c r="B390" s="36" t="n">
        <v>25</v>
      </c>
      <c r="C390" s="37" t="n">
        <v>80</v>
      </c>
      <c r="D390" s="37" t="n">
        <v>3</v>
      </c>
      <c r="E390" s="38" t="n">
        <v>4</v>
      </c>
      <c r="F390" s="37" t="n">
        <v>2</v>
      </c>
      <c r="G390" s="38" t="inlineStr">
        <is>
          <t>Oui</t>
        </is>
      </c>
      <c r="H390" s="38" t="inlineStr">
        <is>
          <t>ON</t>
        </is>
      </c>
      <c r="I390" s="39" t="n">
        <v>604.2334594602274</v>
      </c>
      <c r="J390" s="39" t="n">
        <v>4012.68388558375</v>
      </c>
      <c r="K390" s="39" t="n">
        <v>3342.592592592593</v>
      </c>
      <c r="L390" s="39" t="n">
        <v>150</v>
      </c>
      <c r="M390" s="39">
        <f>I390+J390+K390+L390</f>
        <v/>
      </c>
      <c r="N390" s="39">
        <f>M390*Dashboard!$B$18/(Dashboard!$B$16/3.6)</f>
        <v/>
      </c>
      <c r="O390" s="39" t="n">
        <v>1097.823433291385</v>
      </c>
      <c r="P390" s="40" t="n">
        <v>0.08011046001180847</v>
      </c>
      <c r="Q390" s="41" t="n">
        <v>11.4760847032113</v>
      </c>
      <c r="R390" s="39" t="n">
        <v>4688.656657965518</v>
      </c>
      <c r="S390" s="39">
        <f>R390*IF(A390=4, 2.0, 3.0)</f>
        <v/>
      </c>
      <c r="T390" s="37">
        <f>8.0*U390</f>
        <v/>
      </c>
      <c r="U390" s="42">
        <f>MIN(1, S390/M390)</f>
        <v/>
      </c>
      <c r="V390" s="42">
        <f>N390/(N390+O390)</f>
        <v/>
      </c>
      <c r="W390" s="42">
        <f>U390*V390</f>
        <v/>
      </c>
      <c r="X390" s="40">
        <f>T390/N390</f>
        <v/>
      </c>
      <c r="Y390" s="15">
        <f>IF(X390=MAXIFS(X$2:X$721, A$2:A$721, A390, B$2:B$721, B390), "OPTIMAL", "")</f>
        <v/>
      </c>
    </row>
    <row r="391" ht="20" customHeight="1">
      <c r="A391" s="29" t="n">
        <v>-18</v>
      </c>
      <c r="B391" s="29" t="n">
        <v>25</v>
      </c>
      <c r="C391" s="30" t="n">
        <v>80</v>
      </c>
      <c r="D391" s="30" t="n">
        <v>3</v>
      </c>
      <c r="E391" s="6" t="n">
        <v>4</v>
      </c>
      <c r="F391" s="30" t="n">
        <v>2</v>
      </c>
      <c r="G391" s="6" t="inlineStr">
        <is>
          <t>Oui</t>
        </is>
      </c>
      <c r="H391" s="6" t="inlineStr">
        <is>
          <t>OFF</t>
        </is>
      </c>
      <c r="I391" s="31" t="n">
        <v>604.2334594602274</v>
      </c>
      <c r="J391" s="31" t="n">
        <v>4012.68388558375</v>
      </c>
      <c r="K391" s="31" t="n">
        <v>3342.592592592593</v>
      </c>
      <c r="L391" s="31" t="n">
        <v>150</v>
      </c>
      <c r="M391" s="31">
        <f>I391+J391+K391+L391</f>
        <v/>
      </c>
      <c r="N391" s="31">
        <f>M391*Dashboard!$B$18/(Dashboard!$B$16/3.6)</f>
        <v/>
      </c>
      <c r="O391" s="31" t="n">
        <v>1097.823433291385</v>
      </c>
      <c r="P391" s="32" t="n">
        <v>0.3553476372854298</v>
      </c>
      <c r="Q391" s="33" t="n">
        <v>11.4760847032113</v>
      </c>
      <c r="R391" s="31" t="n">
        <v>1057.022482480559</v>
      </c>
      <c r="S391" s="31">
        <f>R391*IF(A391=4, 2.0, 3.0)</f>
        <v/>
      </c>
      <c r="T391" s="30">
        <f>8.0*U391</f>
        <v/>
      </c>
      <c r="U391" s="34">
        <f>MIN(1, S391/M391)</f>
        <v/>
      </c>
      <c r="V391" s="34">
        <f>N391/(N391+O391)</f>
        <v/>
      </c>
      <c r="W391" s="34">
        <f>U391*V391</f>
        <v/>
      </c>
      <c r="X391" s="32">
        <f>T391/N391</f>
        <v/>
      </c>
      <c r="Y391" s="35">
        <f>IF(X391=MAXIFS(X$2:X$721, A$2:A$721, A391, B$2:B$721, B391), "OPTIMAL", "")</f>
        <v/>
      </c>
    </row>
    <row r="392" ht="20" customHeight="1">
      <c r="A392" s="36" t="n">
        <v>-18</v>
      </c>
      <c r="B392" s="36" t="n">
        <v>25</v>
      </c>
      <c r="C392" s="37" t="n">
        <v>80</v>
      </c>
      <c r="D392" s="37" t="n">
        <v>3</v>
      </c>
      <c r="E392" s="38" t="n">
        <v>4</v>
      </c>
      <c r="F392" s="37" t="n">
        <v>2</v>
      </c>
      <c r="G392" s="38" t="inlineStr">
        <is>
          <t>Non</t>
        </is>
      </c>
      <c r="H392" s="38" t="inlineStr">
        <is>
          <t>ON</t>
        </is>
      </c>
      <c r="I392" s="39" t="n">
        <v>604.2334594602274</v>
      </c>
      <c r="J392" s="39" t="n">
        <v>4012.68388558375</v>
      </c>
      <c r="K392" s="39" t="n">
        <v>3342.592592592593</v>
      </c>
      <c r="L392" s="39" t="n">
        <v>150</v>
      </c>
      <c r="M392" s="39">
        <f>I392+J392+K392+L392</f>
        <v/>
      </c>
      <c r="N392" s="39">
        <f>M392*Dashboard!$B$18/(Dashboard!$B$16/3.6)</f>
        <v/>
      </c>
      <c r="O392" s="39" t="n">
        <v>1097.823433291385</v>
      </c>
      <c r="P392" s="40" t="n">
        <v>0.07613158643451108</v>
      </c>
      <c r="Q392" s="41" t="n">
        <v>11.4760847032113</v>
      </c>
      <c r="R392" s="39" t="n">
        <v>4933.700442852965</v>
      </c>
      <c r="S392" s="39">
        <f>R392*IF(A392=4, 2.0, 3.0)</f>
        <v/>
      </c>
      <c r="T392" s="37">
        <f>8.0*U392</f>
        <v/>
      </c>
      <c r="U392" s="42">
        <f>MIN(1, S392/M392)</f>
        <v/>
      </c>
      <c r="V392" s="42">
        <f>N392/(N392+O392)</f>
        <v/>
      </c>
      <c r="W392" s="42">
        <f>U392*V392</f>
        <v/>
      </c>
      <c r="X392" s="40">
        <f>T392/N392</f>
        <v/>
      </c>
      <c r="Y392" s="15">
        <f>IF(X392=MAXIFS(X$2:X$721, A$2:A$721, A392, B$2:B$721, B392), "OPTIMAL", "")</f>
        <v/>
      </c>
    </row>
    <row r="393" ht="20" customHeight="1">
      <c r="A393" s="29" t="n">
        <v>-18</v>
      </c>
      <c r="B393" s="29" t="n">
        <v>25</v>
      </c>
      <c r="C393" s="30" t="n">
        <v>80</v>
      </c>
      <c r="D393" s="30" t="n">
        <v>3</v>
      </c>
      <c r="E393" s="6" t="n">
        <v>4</v>
      </c>
      <c r="F393" s="30" t="n">
        <v>2</v>
      </c>
      <c r="G393" s="6" t="inlineStr">
        <is>
          <t>Non</t>
        </is>
      </c>
      <c r="H393" s="6" t="inlineStr">
        <is>
          <t>OFF</t>
        </is>
      </c>
      <c r="I393" s="31" t="n">
        <v>604.2334594602274</v>
      </c>
      <c r="J393" s="31" t="n">
        <v>4012.68388558375</v>
      </c>
      <c r="K393" s="31" t="n">
        <v>3342.592592592593</v>
      </c>
      <c r="L393" s="31" t="n">
        <v>150</v>
      </c>
      <c r="M393" s="31">
        <f>I393+J393+K393+L393</f>
        <v/>
      </c>
      <c r="N393" s="31">
        <f>M393*Dashboard!$B$18/(Dashboard!$B$16/3.6)</f>
        <v/>
      </c>
      <c r="O393" s="31" t="n">
        <v>1097.823433291385</v>
      </c>
      <c r="P393" s="32" t="n">
        <v>0.3513687637081325</v>
      </c>
      <c r="Q393" s="33" t="n">
        <v>11.4760847032113</v>
      </c>
      <c r="R393" s="31" t="n">
        <v>1068.992125945066</v>
      </c>
      <c r="S393" s="31">
        <f>R393*IF(A393=4, 2.0, 3.0)</f>
        <v/>
      </c>
      <c r="T393" s="30">
        <f>8.0*U393</f>
        <v/>
      </c>
      <c r="U393" s="34">
        <f>MIN(1, S393/M393)</f>
        <v/>
      </c>
      <c r="V393" s="34">
        <f>N393/(N393+O393)</f>
        <v/>
      </c>
      <c r="W393" s="34">
        <f>U393*V393</f>
        <v/>
      </c>
      <c r="X393" s="32">
        <f>T393/N393</f>
        <v/>
      </c>
      <c r="Y393" s="35">
        <f>IF(X393=MAXIFS(X$2:X$721, A$2:A$721, A393, B$2:B$721, B393), "OPTIMAL", "")</f>
        <v/>
      </c>
    </row>
    <row r="394" ht="20" customHeight="1">
      <c r="A394" s="36" t="n">
        <v>-18</v>
      </c>
      <c r="B394" s="36" t="n">
        <v>25</v>
      </c>
      <c r="C394" s="37" t="n">
        <v>80</v>
      </c>
      <c r="D394" s="37" t="n">
        <v>3</v>
      </c>
      <c r="E394" s="38" t="n">
        <v>8</v>
      </c>
      <c r="F394" s="37" t="n">
        <v>1.5</v>
      </c>
      <c r="G394" s="38" t="inlineStr">
        <is>
          <t>Oui</t>
        </is>
      </c>
      <c r="H394" s="38" t="inlineStr">
        <is>
          <t>ON</t>
        </is>
      </c>
      <c r="I394" s="39" t="n">
        <v>604.2334594602274</v>
      </c>
      <c r="J394" s="39" t="n">
        <v>4012.68388558375</v>
      </c>
      <c r="K394" s="39" t="n">
        <v>3342.592592592593</v>
      </c>
      <c r="L394" s="39" t="n">
        <v>150</v>
      </c>
      <c r="M394" s="39">
        <f>I394+J394+K394+L394</f>
        <v/>
      </c>
      <c r="N394" s="39">
        <f>M394*Dashboard!$B$18/(Dashboard!$B$16/3.6)</f>
        <v/>
      </c>
      <c r="O394" s="39" t="n">
        <v>1317.119873656</v>
      </c>
      <c r="P394" s="40" t="n">
        <v>0.06134832938702932</v>
      </c>
      <c r="Q394" s="41" t="n">
        <v>17.11412705481695</v>
      </c>
      <c r="R394" s="39" t="n">
        <v>6306.311677785009</v>
      </c>
      <c r="S394" s="39">
        <f>R394*IF(A394=4, 2.0, 3.0)</f>
        <v/>
      </c>
      <c r="T394" s="37">
        <f>8.0*U394</f>
        <v/>
      </c>
      <c r="U394" s="42">
        <f>MIN(1, S394/M394)</f>
        <v/>
      </c>
      <c r="V394" s="42">
        <f>N394/(N394+O394)</f>
        <v/>
      </c>
      <c r="W394" s="42">
        <f>U394*V394</f>
        <v/>
      </c>
      <c r="X394" s="40">
        <f>T394/N394</f>
        <v/>
      </c>
      <c r="Y394" s="15">
        <f>IF(X394=MAXIFS(X$2:X$721, A$2:A$721, A394, B$2:B$721, B394), "OPTIMAL", "")</f>
        <v/>
      </c>
    </row>
    <row r="395" ht="20" customHeight="1">
      <c r="A395" s="29" t="n">
        <v>-18</v>
      </c>
      <c r="B395" s="29" t="n">
        <v>25</v>
      </c>
      <c r="C395" s="30" t="n">
        <v>80</v>
      </c>
      <c r="D395" s="30" t="n">
        <v>3</v>
      </c>
      <c r="E395" s="6" t="n">
        <v>8</v>
      </c>
      <c r="F395" s="30" t="n">
        <v>1.5</v>
      </c>
      <c r="G395" s="6" t="inlineStr">
        <is>
          <t>Oui</t>
        </is>
      </c>
      <c r="H395" s="6" t="inlineStr">
        <is>
          <t>OFF</t>
        </is>
      </c>
      <c r="I395" s="31" t="n">
        <v>604.2334594602274</v>
      </c>
      <c r="J395" s="31" t="n">
        <v>4012.68388558375</v>
      </c>
      <c r="K395" s="31" t="n">
        <v>3342.592592592593</v>
      </c>
      <c r="L395" s="31" t="n">
        <v>150</v>
      </c>
      <c r="M395" s="31">
        <f>I395+J395+K395+L395</f>
        <v/>
      </c>
      <c r="N395" s="31">
        <f>M395*Dashboard!$B$18/(Dashboard!$B$16/3.6)</f>
        <v/>
      </c>
      <c r="O395" s="31" t="n">
        <v>1317.119873656</v>
      </c>
      <c r="P395" s="32" t="n">
        <v>0.2699794634504217</v>
      </c>
      <c r="Q395" s="33" t="n">
        <v>17.11412705481695</v>
      </c>
      <c r="R395" s="31" t="n">
        <v>1433.004129579175</v>
      </c>
      <c r="S395" s="31">
        <f>R395*IF(A395=4, 2.0, 3.0)</f>
        <v/>
      </c>
      <c r="T395" s="30">
        <f>8.0*U395</f>
        <v/>
      </c>
      <c r="U395" s="34">
        <f>MIN(1, S395/M395)</f>
        <v/>
      </c>
      <c r="V395" s="34">
        <f>N395/(N395+O395)</f>
        <v/>
      </c>
      <c r="W395" s="34">
        <f>U395*V395</f>
        <v/>
      </c>
      <c r="X395" s="32">
        <f>T395/N395</f>
        <v/>
      </c>
      <c r="Y395" s="35">
        <f>IF(X395=MAXIFS(X$2:X$721, A$2:A$721, A395, B$2:B$721, B395), "OPTIMAL", "")</f>
        <v/>
      </c>
    </row>
    <row r="396" ht="20" customHeight="1">
      <c r="A396" s="36" t="n">
        <v>-18</v>
      </c>
      <c r="B396" s="36" t="n">
        <v>25</v>
      </c>
      <c r="C396" s="37" t="n">
        <v>80</v>
      </c>
      <c r="D396" s="37" t="n">
        <v>3</v>
      </c>
      <c r="E396" s="38" t="n">
        <v>8</v>
      </c>
      <c r="F396" s="37" t="n">
        <v>1.5</v>
      </c>
      <c r="G396" s="38" t="inlineStr">
        <is>
          <t>Non</t>
        </is>
      </c>
      <c r="H396" s="38" t="inlineStr">
        <is>
          <t>ON</t>
        </is>
      </c>
      <c r="I396" s="39" t="n">
        <v>604.2334594602274</v>
      </c>
      <c r="J396" s="39" t="n">
        <v>4012.68388558375</v>
      </c>
      <c r="K396" s="39" t="n">
        <v>3342.592592592593</v>
      </c>
      <c r="L396" s="39" t="n">
        <v>150</v>
      </c>
      <c r="M396" s="39">
        <f>I396+J396+K396+L396</f>
        <v/>
      </c>
      <c r="N396" s="39">
        <f>M396*Dashboard!$B$18/(Dashboard!$B$16/3.6)</f>
        <v/>
      </c>
      <c r="O396" s="39" t="n">
        <v>1317.119873656</v>
      </c>
      <c r="P396" s="40" t="n">
        <v>0.05736945580973193</v>
      </c>
      <c r="Q396" s="41" t="n">
        <v>17.11412705481695</v>
      </c>
      <c r="R396" s="39" t="n">
        <v>6743.687569725825</v>
      </c>
      <c r="S396" s="39">
        <f>R396*IF(A396=4, 2.0, 3.0)</f>
        <v/>
      </c>
      <c r="T396" s="37">
        <f>8.0*U396</f>
        <v/>
      </c>
      <c r="U396" s="42">
        <f>MIN(1, S396/M396)</f>
        <v/>
      </c>
      <c r="V396" s="42">
        <f>N396/(N396+O396)</f>
        <v/>
      </c>
      <c r="W396" s="42">
        <f>U396*V396</f>
        <v/>
      </c>
      <c r="X396" s="40">
        <f>T396/N396</f>
        <v/>
      </c>
      <c r="Y396" s="15">
        <f>IF(X396=MAXIFS(X$2:X$721, A$2:A$721, A396, B$2:B$721, B396), "OPTIMAL", "")</f>
        <v/>
      </c>
    </row>
    <row r="397" ht="20" customHeight="1">
      <c r="A397" s="29" t="n">
        <v>-18</v>
      </c>
      <c r="B397" s="29" t="n">
        <v>25</v>
      </c>
      <c r="C397" s="30" t="n">
        <v>80</v>
      </c>
      <c r="D397" s="30" t="n">
        <v>3</v>
      </c>
      <c r="E397" s="6" t="n">
        <v>8</v>
      </c>
      <c r="F397" s="30" t="n">
        <v>1.5</v>
      </c>
      <c r="G397" s="6" t="inlineStr">
        <is>
          <t>Non</t>
        </is>
      </c>
      <c r="H397" s="6" t="inlineStr">
        <is>
          <t>OFF</t>
        </is>
      </c>
      <c r="I397" s="31" t="n">
        <v>604.2334594602274</v>
      </c>
      <c r="J397" s="31" t="n">
        <v>4012.68388558375</v>
      </c>
      <c r="K397" s="31" t="n">
        <v>3342.592592592593</v>
      </c>
      <c r="L397" s="31" t="n">
        <v>150</v>
      </c>
      <c r="M397" s="31">
        <f>I397+J397+K397+L397</f>
        <v/>
      </c>
      <c r="N397" s="31">
        <f>M397*Dashboard!$B$18/(Dashboard!$B$16/3.6)</f>
        <v/>
      </c>
      <c r="O397" s="31" t="n">
        <v>1317.119873656</v>
      </c>
      <c r="P397" s="32" t="n">
        <v>0.2660005898731243</v>
      </c>
      <c r="Q397" s="33" t="n">
        <v>17.11412705481695</v>
      </c>
      <c r="R397" s="31" t="n">
        <v>1454.43920335123</v>
      </c>
      <c r="S397" s="31">
        <f>R397*IF(A397=4, 2.0, 3.0)</f>
        <v/>
      </c>
      <c r="T397" s="30">
        <f>8.0*U397</f>
        <v/>
      </c>
      <c r="U397" s="34">
        <f>MIN(1, S397/M397)</f>
        <v/>
      </c>
      <c r="V397" s="34">
        <f>N397/(N397+O397)</f>
        <v/>
      </c>
      <c r="W397" s="34">
        <f>U397*V397</f>
        <v/>
      </c>
      <c r="X397" s="32">
        <f>T397/N397</f>
        <v/>
      </c>
      <c r="Y397" s="35">
        <f>IF(X397=MAXIFS(X$2:X$721, A$2:A$721, A397, B$2:B$721, B397), "OPTIMAL", "")</f>
        <v/>
      </c>
    </row>
    <row r="398" ht="20" customHeight="1">
      <c r="A398" s="36" t="n">
        <v>-18</v>
      </c>
      <c r="B398" s="36" t="n">
        <v>25</v>
      </c>
      <c r="C398" s="37" t="n">
        <v>80</v>
      </c>
      <c r="D398" s="37" t="n">
        <v>3</v>
      </c>
      <c r="E398" s="38" t="n">
        <v>8</v>
      </c>
      <c r="F398" s="37" t="n">
        <v>2</v>
      </c>
      <c r="G398" s="38" t="inlineStr">
        <is>
          <t>Oui</t>
        </is>
      </c>
      <c r="H398" s="38" t="inlineStr">
        <is>
          <t>ON</t>
        </is>
      </c>
      <c r="I398" s="39" t="n">
        <v>604.2334594602274</v>
      </c>
      <c r="J398" s="39" t="n">
        <v>4012.68388558375</v>
      </c>
      <c r="K398" s="39" t="n">
        <v>3342.592592592593</v>
      </c>
      <c r="L398" s="39" t="n">
        <v>150</v>
      </c>
      <c r="M398" s="39">
        <f>I398+J398+K398+L398</f>
        <v/>
      </c>
      <c r="N398" s="39">
        <f>M398*Dashboard!$B$18/(Dashboard!$B$16/3.6)</f>
        <v/>
      </c>
      <c r="O398" s="39" t="n">
        <v>1549.984679847579</v>
      </c>
      <c r="P398" s="40" t="n">
        <v>0.060517018169736</v>
      </c>
      <c r="Q398" s="41" t="n">
        <v>22.7521694064226</v>
      </c>
      <c r="R398" s="39" t="n">
        <v>6590.713153730818</v>
      </c>
      <c r="S398" s="39">
        <f>R398*IF(A398=4, 2.0, 3.0)</f>
        <v/>
      </c>
      <c r="T398" s="37">
        <f>8.0*U398</f>
        <v/>
      </c>
      <c r="U398" s="42">
        <f>MIN(1, S398/M398)</f>
        <v/>
      </c>
      <c r="V398" s="42">
        <f>N398/(N398+O398)</f>
        <v/>
      </c>
      <c r="W398" s="42">
        <f>U398*V398</f>
        <v/>
      </c>
      <c r="X398" s="40">
        <f>T398/N398</f>
        <v/>
      </c>
      <c r="Y398" s="15">
        <f>IF(X398=MAXIFS(X$2:X$721, A$2:A$721, A398, B$2:B$721, B398), "OPTIMAL", "")</f>
        <v/>
      </c>
    </row>
    <row r="399" ht="20" customHeight="1">
      <c r="A399" s="29" t="n">
        <v>-18</v>
      </c>
      <c r="B399" s="29" t="n">
        <v>25</v>
      </c>
      <c r="C399" s="30" t="n">
        <v>80</v>
      </c>
      <c r="D399" s="30" t="n">
        <v>3</v>
      </c>
      <c r="E399" s="6" t="n">
        <v>8</v>
      </c>
      <c r="F399" s="30" t="n">
        <v>2</v>
      </c>
      <c r="G399" s="6" t="inlineStr">
        <is>
          <t>Oui</t>
        </is>
      </c>
      <c r="H399" s="6" t="inlineStr">
        <is>
          <t>OFF</t>
        </is>
      </c>
      <c r="I399" s="31" t="n">
        <v>604.2334594602274</v>
      </c>
      <c r="J399" s="31" t="n">
        <v>4012.68388558375</v>
      </c>
      <c r="K399" s="31" t="n">
        <v>3342.592592592593</v>
      </c>
      <c r="L399" s="31" t="n">
        <v>150</v>
      </c>
      <c r="M399" s="31">
        <f>I399+J399+K399+L399</f>
        <v/>
      </c>
      <c r="N399" s="31">
        <f>M399*Dashboard!$B$18/(Dashboard!$B$16/3.6)</f>
        <v/>
      </c>
      <c r="O399" s="31" t="n">
        <v>1549.984679847579</v>
      </c>
      <c r="P399" s="32" t="n">
        <v>0.2709014433795033</v>
      </c>
      <c r="Q399" s="33" t="n">
        <v>22.7521694064226</v>
      </c>
      <c r="R399" s="31" t="n">
        <v>1472.307798364515</v>
      </c>
      <c r="S399" s="31">
        <f>R399*IF(A399=4, 2.0, 3.0)</f>
        <v/>
      </c>
      <c r="T399" s="30">
        <f>8.0*U399</f>
        <v/>
      </c>
      <c r="U399" s="34">
        <f>MIN(1, S399/M399)</f>
        <v/>
      </c>
      <c r="V399" s="34">
        <f>N399/(N399+O399)</f>
        <v/>
      </c>
      <c r="W399" s="34">
        <f>U399*V399</f>
        <v/>
      </c>
      <c r="X399" s="32">
        <f>T399/N399</f>
        <v/>
      </c>
      <c r="Y399" s="35">
        <f>IF(X399=MAXIFS(X$2:X$721, A$2:A$721, A399, B$2:B$721, B399), "OPTIMAL", "")</f>
        <v/>
      </c>
    </row>
    <row r="400" ht="20" customHeight="1">
      <c r="A400" s="36" t="n">
        <v>-18</v>
      </c>
      <c r="B400" s="36" t="n">
        <v>25</v>
      </c>
      <c r="C400" s="37" t="n">
        <v>80</v>
      </c>
      <c r="D400" s="37" t="n">
        <v>3</v>
      </c>
      <c r="E400" s="38" t="n">
        <v>8</v>
      </c>
      <c r="F400" s="37" t="n">
        <v>2</v>
      </c>
      <c r="G400" s="38" t="inlineStr">
        <is>
          <t>Non</t>
        </is>
      </c>
      <c r="H400" s="38" t="inlineStr">
        <is>
          <t>ON</t>
        </is>
      </c>
      <c r="I400" s="39" t="n">
        <v>604.2334594602274</v>
      </c>
      <c r="J400" s="39" t="n">
        <v>4012.68388558375</v>
      </c>
      <c r="K400" s="39" t="n">
        <v>3342.592592592593</v>
      </c>
      <c r="L400" s="39" t="n">
        <v>150</v>
      </c>
      <c r="M400" s="39">
        <f>I400+J400+K400+L400</f>
        <v/>
      </c>
      <c r="N400" s="39">
        <f>M400*Dashboard!$B$18/(Dashboard!$B$16/3.6)</f>
        <v/>
      </c>
      <c r="O400" s="39" t="n">
        <v>1549.984679847579</v>
      </c>
      <c r="P400" s="40" t="n">
        <v>0.05653814459243862</v>
      </c>
      <c r="Q400" s="41" t="n">
        <v>22.7521694064226</v>
      </c>
      <c r="R400" s="39" t="n">
        <v>7054.534784453963</v>
      </c>
      <c r="S400" s="39">
        <f>R400*IF(A400=4, 2.0, 3.0)</f>
        <v/>
      </c>
      <c r="T400" s="37">
        <f>8.0*U400</f>
        <v/>
      </c>
      <c r="U400" s="42">
        <f>MIN(1, S400/M400)</f>
        <v/>
      </c>
      <c r="V400" s="42">
        <f>N400/(N400+O400)</f>
        <v/>
      </c>
      <c r="W400" s="42">
        <f>U400*V400</f>
        <v/>
      </c>
      <c r="X400" s="40">
        <f>T400/N400</f>
        <v/>
      </c>
      <c r="Y400" s="15">
        <f>IF(X400=MAXIFS(X$2:X$721, A$2:A$721, A400, B$2:B$721, B400), "OPTIMAL", "")</f>
        <v/>
      </c>
    </row>
    <row r="401" ht="20" customHeight="1">
      <c r="A401" s="29" t="n">
        <v>-18</v>
      </c>
      <c r="B401" s="29" t="n">
        <v>25</v>
      </c>
      <c r="C401" s="30" t="n">
        <v>80</v>
      </c>
      <c r="D401" s="30" t="n">
        <v>3</v>
      </c>
      <c r="E401" s="6" t="n">
        <v>8</v>
      </c>
      <c r="F401" s="30" t="n">
        <v>2</v>
      </c>
      <c r="G401" s="6" t="inlineStr">
        <is>
          <t>Non</t>
        </is>
      </c>
      <c r="H401" s="6" t="inlineStr">
        <is>
          <t>OFF</t>
        </is>
      </c>
      <c r="I401" s="31" t="n">
        <v>604.2334594602274</v>
      </c>
      <c r="J401" s="31" t="n">
        <v>4012.68388558375</v>
      </c>
      <c r="K401" s="31" t="n">
        <v>3342.592592592593</v>
      </c>
      <c r="L401" s="31" t="n">
        <v>150</v>
      </c>
      <c r="M401" s="31">
        <f>I401+J401+K401+L401</f>
        <v/>
      </c>
      <c r="N401" s="31">
        <f>M401*Dashboard!$B$18/(Dashboard!$B$16/3.6)</f>
        <v/>
      </c>
      <c r="O401" s="31" t="n">
        <v>1549.984679847579</v>
      </c>
      <c r="P401" s="32" t="n">
        <v>0.266922569802206</v>
      </c>
      <c r="Q401" s="33" t="n">
        <v>22.7521694064226</v>
      </c>
      <c r="R401" s="31" t="n">
        <v>1494.25471203653</v>
      </c>
      <c r="S401" s="31">
        <f>R401*IF(A401=4, 2.0, 3.0)</f>
        <v/>
      </c>
      <c r="T401" s="30">
        <f>8.0*U401</f>
        <v/>
      </c>
      <c r="U401" s="34">
        <f>MIN(1, S401/M401)</f>
        <v/>
      </c>
      <c r="V401" s="34">
        <f>N401/(N401+O401)</f>
        <v/>
      </c>
      <c r="W401" s="34">
        <f>U401*V401</f>
        <v/>
      </c>
      <c r="X401" s="32">
        <f>T401/N401</f>
        <v/>
      </c>
      <c r="Y401" s="35">
        <f>IF(X401=MAXIFS(X$2:X$721, A$2:A$721, A401, B$2:B$721, B401), "OPTIMAL", "")</f>
        <v/>
      </c>
    </row>
    <row r="402" ht="20" customHeight="1">
      <c r="A402" s="21" t="n">
        <v>-18</v>
      </c>
      <c r="B402" s="21" t="n">
        <v>25</v>
      </c>
      <c r="C402" s="22" t="n">
        <v>100</v>
      </c>
      <c r="D402" s="22" t="n">
        <v>2</v>
      </c>
      <c r="E402" s="23" t="n">
        <v>0</v>
      </c>
      <c r="F402" s="22" t="n">
        <v>0</v>
      </c>
      <c r="G402" s="23" t="inlineStr">
        <is>
          <t>Oui</t>
        </is>
      </c>
      <c r="H402" s="23" t="inlineStr">
        <is>
          <t>ON</t>
        </is>
      </c>
      <c r="I402" s="24" t="n">
        <v>604.2334594602274</v>
      </c>
      <c r="J402" s="24" t="n">
        <v>4012.68388558375</v>
      </c>
      <c r="K402" s="24" t="n">
        <v>3342.592592592593</v>
      </c>
      <c r="L402" s="24" t="n">
        <v>150</v>
      </c>
      <c r="M402" s="24">
        <f>I402+J402+K402+L402</f>
        <v/>
      </c>
      <c r="N402" s="24">
        <f>M402*Dashboard!$B$18/(Dashboard!$B$16/3.6)</f>
        <v/>
      </c>
      <c r="O402" s="24" t="n">
        <v>350.6170473036996</v>
      </c>
      <c r="P402" s="25" t="n">
        <v>0.4806796209288155</v>
      </c>
      <c r="Q402" s="26" t="n">
        <v>0.2</v>
      </c>
      <c r="R402" s="24" t="n">
        <v>438.7403827925377</v>
      </c>
      <c r="S402" s="24">
        <f>R402*IF(A402=4, 2.0, 3.0)</f>
        <v/>
      </c>
      <c r="T402" s="22">
        <f>8.0*U402</f>
        <v/>
      </c>
      <c r="U402" s="27">
        <f>MIN(1, S402/M402)</f>
        <v/>
      </c>
      <c r="V402" s="27">
        <f>N402/(N402+O402)</f>
        <v/>
      </c>
      <c r="W402" s="27">
        <f>U402*V402</f>
        <v/>
      </c>
      <c r="X402" s="25">
        <f>T402/N402</f>
        <v/>
      </c>
      <c r="Y402" s="28">
        <f>IF(X402=MAXIFS(X$2:X$721, A$2:A$721, A402, B$2:B$721, B402), "OPTIMAL", "")</f>
        <v/>
      </c>
    </row>
    <row r="403" ht="20" customHeight="1">
      <c r="A403" s="29" t="n">
        <v>-18</v>
      </c>
      <c r="B403" s="29" t="n">
        <v>25</v>
      </c>
      <c r="C403" s="30" t="n">
        <v>100</v>
      </c>
      <c r="D403" s="30" t="n">
        <v>2</v>
      </c>
      <c r="E403" s="6" t="n">
        <v>0</v>
      </c>
      <c r="F403" s="30" t="n">
        <v>0</v>
      </c>
      <c r="G403" s="6" t="inlineStr">
        <is>
          <t>Oui</t>
        </is>
      </c>
      <c r="H403" s="6" t="inlineStr">
        <is>
          <t>OFF</t>
        </is>
      </c>
      <c r="I403" s="31" t="n">
        <v>604.2334594602274</v>
      </c>
      <c r="J403" s="31" t="n">
        <v>4012.68388558375</v>
      </c>
      <c r="K403" s="31" t="n">
        <v>3342.592592592593</v>
      </c>
      <c r="L403" s="31" t="n">
        <v>150</v>
      </c>
      <c r="M403" s="31">
        <f>I403+J403+K403+L403</f>
        <v/>
      </c>
      <c r="N403" s="31">
        <f>M403*Dashboard!$B$18/(Dashboard!$B$16/3.6)</f>
        <v/>
      </c>
      <c r="O403" s="31" t="n">
        <v>350.6170473036996</v>
      </c>
      <c r="P403" s="32" t="n">
        <v>0.7989895071126063</v>
      </c>
      <c r="Q403" s="33" t="n">
        <v>0.2</v>
      </c>
      <c r="R403" s="31" t="n">
        <v>263.9503510490507</v>
      </c>
      <c r="S403" s="31">
        <f>R403*IF(A403=4, 2.0, 3.0)</f>
        <v/>
      </c>
      <c r="T403" s="30">
        <f>8.0*U403</f>
        <v/>
      </c>
      <c r="U403" s="34">
        <f>MIN(1, S403/M403)</f>
        <v/>
      </c>
      <c r="V403" s="34">
        <f>N403/(N403+O403)</f>
        <v/>
      </c>
      <c r="W403" s="34">
        <f>U403*V403</f>
        <v/>
      </c>
      <c r="X403" s="32">
        <f>T403/N403</f>
        <v/>
      </c>
      <c r="Y403" s="35">
        <f>IF(X403=MAXIFS(X$2:X$721, A$2:A$721, A403, B$2:B$721, B403), "OPTIMAL", "")</f>
        <v/>
      </c>
    </row>
    <row r="404" ht="20" customHeight="1">
      <c r="A404" s="21" t="n">
        <v>-18</v>
      </c>
      <c r="B404" s="21" t="n">
        <v>25</v>
      </c>
      <c r="C404" s="22" t="n">
        <v>100</v>
      </c>
      <c r="D404" s="22" t="n">
        <v>2</v>
      </c>
      <c r="E404" s="23" t="n">
        <v>0</v>
      </c>
      <c r="F404" s="22" t="n">
        <v>0</v>
      </c>
      <c r="G404" s="23" t="inlineStr">
        <is>
          <t>Non</t>
        </is>
      </c>
      <c r="H404" s="23" t="inlineStr">
        <is>
          <t>ON</t>
        </is>
      </c>
      <c r="I404" s="24" t="n">
        <v>604.2334594602274</v>
      </c>
      <c r="J404" s="24" t="n">
        <v>4012.68388558375</v>
      </c>
      <c r="K404" s="24" t="n">
        <v>3342.592592592593</v>
      </c>
      <c r="L404" s="24" t="n">
        <v>150</v>
      </c>
      <c r="M404" s="24">
        <f>I404+J404+K404+L404</f>
        <v/>
      </c>
      <c r="N404" s="24">
        <f>M404*Dashboard!$B$18/(Dashboard!$B$16/3.6)</f>
        <v/>
      </c>
      <c r="O404" s="24" t="n">
        <v>350.6170473036996</v>
      </c>
      <c r="P404" s="25" t="n">
        <v>0.4774965220669776</v>
      </c>
      <c r="Q404" s="26" t="n">
        <v>0.2</v>
      </c>
      <c r="R404" s="24" t="n">
        <v>441.6651245415747</v>
      </c>
      <c r="S404" s="24">
        <f>R404*IF(A404=4, 2.0, 3.0)</f>
        <v/>
      </c>
      <c r="T404" s="22">
        <f>8.0*U404</f>
        <v/>
      </c>
      <c r="U404" s="27">
        <f>MIN(1, S404/M404)</f>
        <v/>
      </c>
      <c r="V404" s="27">
        <f>N404/(N404+O404)</f>
        <v/>
      </c>
      <c r="W404" s="27">
        <f>U404*V404</f>
        <v/>
      </c>
      <c r="X404" s="25">
        <f>T404/N404</f>
        <v/>
      </c>
      <c r="Y404" s="28">
        <f>IF(X404=MAXIFS(X$2:X$721, A$2:A$721, A404, B$2:B$721, B404), "OPTIMAL", "")</f>
        <v/>
      </c>
    </row>
    <row r="405" ht="20" customHeight="1">
      <c r="A405" s="29" t="n">
        <v>-18</v>
      </c>
      <c r="B405" s="29" t="n">
        <v>25</v>
      </c>
      <c r="C405" s="30" t="n">
        <v>100</v>
      </c>
      <c r="D405" s="30" t="n">
        <v>2</v>
      </c>
      <c r="E405" s="6" t="n">
        <v>0</v>
      </c>
      <c r="F405" s="30" t="n">
        <v>0</v>
      </c>
      <c r="G405" s="6" t="inlineStr">
        <is>
          <t>Non</t>
        </is>
      </c>
      <c r="H405" s="6" t="inlineStr">
        <is>
          <t>OFF</t>
        </is>
      </c>
      <c r="I405" s="31" t="n">
        <v>604.2334594602274</v>
      </c>
      <c r="J405" s="31" t="n">
        <v>4012.68388558375</v>
      </c>
      <c r="K405" s="31" t="n">
        <v>3342.592592592593</v>
      </c>
      <c r="L405" s="31" t="n">
        <v>150</v>
      </c>
      <c r="M405" s="31">
        <f>I405+J405+K405+L405</f>
        <v/>
      </c>
      <c r="N405" s="31">
        <f>M405*Dashboard!$B$18/(Dashboard!$B$16/3.6)</f>
        <v/>
      </c>
      <c r="O405" s="31" t="n">
        <v>350.6170473036996</v>
      </c>
      <c r="P405" s="32" t="n">
        <v>0.7958064082507683</v>
      </c>
      <c r="Q405" s="33" t="n">
        <v>0.2</v>
      </c>
      <c r="R405" s="31" t="n">
        <v>265.0061104062199</v>
      </c>
      <c r="S405" s="31">
        <f>R405*IF(A405=4, 2.0, 3.0)</f>
        <v/>
      </c>
      <c r="T405" s="30">
        <f>8.0*U405</f>
        <v/>
      </c>
      <c r="U405" s="34">
        <f>MIN(1, S405/M405)</f>
        <v/>
      </c>
      <c r="V405" s="34">
        <f>N405/(N405+O405)</f>
        <v/>
      </c>
      <c r="W405" s="34">
        <f>U405*V405</f>
        <v/>
      </c>
      <c r="X405" s="32">
        <f>T405/N405</f>
        <v/>
      </c>
      <c r="Y405" s="35">
        <f>IF(X405=MAXIFS(X$2:X$721, A$2:A$721, A405, B$2:B$721, B405), "OPTIMAL", "")</f>
        <v/>
      </c>
    </row>
    <row r="406" ht="20" customHeight="1">
      <c r="A406" s="36" t="n">
        <v>-18</v>
      </c>
      <c r="B406" s="36" t="n">
        <v>25</v>
      </c>
      <c r="C406" s="37" t="n">
        <v>100</v>
      </c>
      <c r="D406" s="37" t="n">
        <v>2</v>
      </c>
      <c r="E406" s="38" t="n">
        <v>4</v>
      </c>
      <c r="F406" s="37" t="n">
        <v>1.5</v>
      </c>
      <c r="G406" s="38" t="inlineStr">
        <is>
          <t>Oui</t>
        </is>
      </c>
      <c r="H406" s="38" t="inlineStr">
        <is>
          <t>ON</t>
        </is>
      </c>
      <c r="I406" s="39" t="n">
        <v>604.2334594602274</v>
      </c>
      <c r="J406" s="39" t="n">
        <v>4012.68388558375</v>
      </c>
      <c r="K406" s="39" t="n">
        <v>3342.592592592593</v>
      </c>
      <c r="L406" s="39" t="n">
        <v>150</v>
      </c>
      <c r="M406" s="39">
        <f>I406+J406+K406+L406</f>
        <v/>
      </c>
      <c r="N406" s="39">
        <f>M406*Dashboard!$B$18/(Dashboard!$B$16/3.6)</f>
        <v/>
      </c>
      <c r="O406" s="39" t="n">
        <v>550.5824320848959</v>
      </c>
      <c r="P406" s="40" t="n">
        <v>0.07376163664698646</v>
      </c>
      <c r="Q406" s="41" t="n">
        <v>6.718986469044035</v>
      </c>
      <c r="R406" s="39" t="n">
        <v>2953.123418068168</v>
      </c>
      <c r="S406" s="39">
        <f>R406*IF(A406=4, 2.0, 3.0)</f>
        <v/>
      </c>
      <c r="T406" s="37">
        <f>8.0*U406</f>
        <v/>
      </c>
      <c r="U406" s="42">
        <f>MIN(1, S406/M406)</f>
        <v/>
      </c>
      <c r="V406" s="42">
        <f>N406/(N406+O406)</f>
        <v/>
      </c>
      <c r="W406" s="42">
        <f>U406*V406</f>
        <v/>
      </c>
      <c r="X406" s="40">
        <f>T406/N406</f>
        <v/>
      </c>
      <c r="Y406" s="15">
        <f>IF(X406=MAXIFS(X$2:X$721, A$2:A$721, A406, B$2:B$721, B406), "OPTIMAL", "")</f>
        <v/>
      </c>
    </row>
    <row r="407" ht="20" customHeight="1">
      <c r="A407" s="29" t="n">
        <v>-18</v>
      </c>
      <c r="B407" s="29" t="n">
        <v>25</v>
      </c>
      <c r="C407" s="30" t="n">
        <v>100</v>
      </c>
      <c r="D407" s="30" t="n">
        <v>2</v>
      </c>
      <c r="E407" s="6" t="n">
        <v>4</v>
      </c>
      <c r="F407" s="30" t="n">
        <v>1.5</v>
      </c>
      <c r="G407" s="6" t="inlineStr">
        <is>
          <t>Oui</t>
        </is>
      </c>
      <c r="H407" s="6" t="inlineStr">
        <is>
          <t>OFF</t>
        </is>
      </c>
      <c r="I407" s="31" t="n">
        <v>604.2334594602274</v>
      </c>
      <c r="J407" s="31" t="n">
        <v>4012.68388558375</v>
      </c>
      <c r="K407" s="31" t="n">
        <v>3342.592592592593</v>
      </c>
      <c r="L407" s="31" t="n">
        <v>150</v>
      </c>
      <c r="M407" s="31">
        <f>I407+J407+K407+L407</f>
        <v/>
      </c>
      <c r="N407" s="31">
        <f>M407*Dashboard!$B$18/(Dashboard!$B$16/3.6)</f>
        <v/>
      </c>
      <c r="O407" s="31" t="n">
        <v>550.5824320848959</v>
      </c>
      <c r="P407" s="32" t="n">
        <v>0.3073240714228834</v>
      </c>
      <c r="Q407" s="33" t="n">
        <v>6.718986469044035</v>
      </c>
      <c r="R407" s="31" t="n">
        <v>708.7867069075652</v>
      </c>
      <c r="S407" s="31">
        <f>R407*IF(A407=4, 2.0, 3.0)</f>
        <v/>
      </c>
      <c r="T407" s="30">
        <f>8.0*U407</f>
        <v/>
      </c>
      <c r="U407" s="34">
        <f>MIN(1, S407/M407)</f>
        <v/>
      </c>
      <c r="V407" s="34">
        <f>N407/(N407+O407)</f>
        <v/>
      </c>
      <c r="W407" s="34">
        <f>U407*V407</f>
        <v/>
      </c>
      <c r="X407" s="32">
        <f>T407/N407</f>
        <v/>
      </c>
      <c r="Y407" s="35">
        <f>IF(X407=MAXIFS(X$2:X$721, A$2:A$721, A407, B$2:B$721, B407), "OPTIMAL", "")</f>
        <v/>
      </c>
    </row>
    <row r="408" ht="20" customHeight="1">
      <c r="A408" s="36" t="n">
        <v>-18</v>
      </c>
      <c r="B408" s="36" t="n">
        <v>25</v>
      </c>
      <c r="C408" s="37" t="n">
        <v>100</v>
      </c>
      <c r="D408" s="37" t="n">
        <v>2</v>
      </c>
      <c r="E408" s="38" t="n">
        <v>4</v>
      </c>
      <c r="F408" s="37" t="n">
        <v>1.5</v>
      </c>
      <c r="G408" s="38" t="inlineStr">
        <is>
          <t>Non</t>
        </is>
      </c>
      <c r="H408" s="38" t="inlineStr">
        <is>
          <t>ON</t>
        </is>
      </c>
      <c r="I408" s="39" t="n">
        <v>604.2334594602274</v>
      </c>
      <c r="J408" s="39" t="n">
        <v>4012.68388558375</v>
      </c>
      <c r="K408" s="39" t="n">
        <v>3342.592592592593</v>
      </c>
      <c r="L408" s="39" t="n">
        <v>150</v>
      </c>
      <c r="M408" s="39">
        <f>I408+J408+K408+L408</f>
        <v/>
      </c>
      <c r="N408" s="39">
        <f>M408*Dashboard!$B$18/(Dashboard!$B$16/3.6)</f>
        <v/>
      </c>
      <c r="O408" s="39" t="n">
        <v>550.5824320848959</v>
      </c>
      <c r="P408" s="40" t="n">
        <v>0.07057853778514854</v>
      </c>
      <c r="Q408" s="41" t="n">
        <v>6.718986469044035</v>
      </c>
      <c r="R408" s="39" t="n">
        <v>3086.309569069694</v>
      </c>
      <c r="S408" s="39">
        <f>R408*IF(A408=4, 2.0, 3.0)</f>
        <v/>
      </c>
      <c r="T408" s="37">
        <f>8.0*U408</f>
        <v/>
      </c>
      <c r="U408" s="42">
        <f>MIN(1, S408/M408)</f>
        <v/>
      </c>
      <c r="V408" s="42">
        <f>N408/(N408+O408)</f>
        <v/>
      </c>
      <c r="W408" s="42">
        <f>U408*V408</f>
        <v/>
      </c>
      <c r="X408" s="40">
        <f>T408/N408</f>
        <v/>
      </c>
      <c r="Y408" s="15">
        <f>IF(X408=MAXIFS(X$2:X$721, A$2:A$721, A408, B$2:B$721, B408), "OPTIMAL", "")</f>
        <v/>
      </c>
    </row>
    <row r="409" ht="20" customHeight="1">
      <c r="A409" s="29" t="n">
        <v>-18</v>
      </c>
      <c r="B409" s="29" t="n">
        <v>25</v>
      </c>
      <c r="C409" s="30" t="n">
        <v>100</v>
      </c>
      <c r="D409" s="30" t="n">
        <v>2</v>
      </c>
      <c r="E409" s="6" t="n">
        <v>4</v>
      </c>
      <c r="F409" s="30" t="n">
        <v>1.5</v>
      </c>
      <c r="G409" s="6" t="inlineStr">
        <is>
          <t>Non</t>
        </is>
      </c>
      <c r="H409" s="6" t="inlineStr">
        <is>
          <t>OFF</t>
        </is>
      </c>
      <c r="I409" s="31" t="n">
        <v>604.2334594602274</v>
      </c>
      <c r="J409" s="31" t="n">
        <v>4012.68388558375</v>
      </c>
      <c r="K409" s="31" t="n">
        <v>3342.592592592593</v>
      </c>
      <c r="L409" s="31" t="n">
        <v>150</v>
      </c>
      <c r="M409" s="31">
        <f>I409+J409+K409+L409</f>
        <v/>
      </c>
      <c r="N409" s="31">
        <f>M409*Dashboard!$B$18/(Dashboard!$B$16/3.6)</f>
        <v/>
      </c>
      <c r="O409" s="31" t="n">
        <v>550.5824320848959</v>
      </c>
      <c r="P409" s="32" t="n">
        <v>0.3041409725610454</v>
      </c>
      <c r="Q409" s="33" t="n">
        <v>6.718986469044035</v>
      </c>
      <c r="R409" s="31" t="n">
        <v>716.2047740658481</v>
      </c>
      <c r="S409" s="31">
        <f>R409*IF(A409=4, 2.0, 3.0)</f>
        <v/>
      </c>
      <c r="T409" s="30">
        <f>8.0*U409</f>
        <v/>
      </c>
      <c r="U409" s="34">
        <f>MIN(1, S409/M409)</f>
        <v/>
      </c>
      <c r="V409" s="34">
        <f>N409/(N409+O409)</f>
        <v/>
      </c>
      <c r="W409" s="34">
        <f>U409*V409</f>
        <v/>
      </c>
      <c r="X409" s="32">
        <f>T409/N409</f>
        <v/>
      </c>
      <c r="Y409" s="35">
        <f>IF(X409=MAXIFS(X$2:X$721, A$2:A$721, A409, B$2:B$721, B409), "OPTIMAL", "")</f>
        <v/>
      </c>
    </row>
    <row r="410" ht="20" customHeight="1">
      <c r="A410" s="36" t="n">
        <v>-18</v>
      </c>
      <c r="B410" s="36" t="n">
        <v>25</v>
      </c>
      <c r="C410" s="37" t="n">
        <v>100</v>
      </c>
      <c r="D410" s="37" t="n">
        <v>2</v>
      </c>
      <c r="E410" s="38" t="n">
        <v>4</v>
      </c>
      <c r="F410" s="37" t="n">
        <v>2</v>
      </c>
      <c r="G410" s="38" t="inlineStr">
        <is>
          <t>Oui</t>
        </is>
      </c>
      <c r="H410" s="38" t="inlineStr">
        <is>
          <t>ON</t>
        </is>
      </c>
      <c r="I410" s="39" t="n">
        <v>604.2334594602274</v>
      </c>
      <c r="J410" s="39" t="n">
        <v>4012.68388558375</v>
      </c>
      <c r="K410" s="39" t="n">
        <v>3342.592592592593</v>
      </c>
      <c r="L410" s="39" t="n">
        <v>150</v>
      </c>
      <c r="M410" s="39">
        <f>I410+J410+K410+L410</f>
        <v/>
      </c>
      <c r="N410" s="39">
        <f>M410*Dashboard!$B$18/(Dashboard!$B$16/3.6)</f>
        <v/>
      </c>
      <c r="O410" s="39" t="n">
        <v>620.191876941233</v>
      </c>
      <c r="P410" s="40" t="n">
        <v>0.07106618988155999</v>
      </c>
      <c r="Q410" s="41" t="n">
        <v>8.891981958725379</v>
      </c>
      <c r="R410" s="39" t="n">
        <v>3099.095002193455</v>
      </c>
      <c r="S410" s="39">
        <f>R410*IF(A410=4, 2.0, 3.0)</f>
        <v/>
      </c>
      <c r="T410" s="37">
        <f>8.0*U410</f>
        <v/>
      </c>
      <c r="U410" s="42">
        <f>MIN(1, S410/M410)</f>
        <v/>
      </c>
      <c r="V410" s="42">
        <f>N410/(N410+O410)</f>
        <v/>
      </c>
      <c r="W410" s="42">
        <f>U410*V410</f>
        <v/>
      </c>
      <c r="X410" s="40">
        <f>T410/N410</f>
        <v/>
      </c>
      <c r="Y410" s="15">
        <f>IF(X410=MAXIFS(X$2:X$721, A$2:A$721, A410, B$2:B$721, B410), "OPTIMAL", "")</f>
        <v/>
      </c>
    </row>
    <row r="411" ht="20" customHeight="1">
      <c r="A411" s="29" t="n">
        <v>-18</v>
      </c>
      <c r="B411" s="29" t="n">
        <v>25</v>
      </c>
      <c r="C411" s="30" t="n">
        <v>100</v>
      </c>
      <c r="D411" s="30" t="n">
        <v>2</v>
      </c>
      <c r="E411" s="6" t="n">
        <v>4</v>
      </c>
      <c r="F411" s="30" t="n">
        <v>2</v>
      </c>
      <c r="G411" s="6" t="inlineStr">
        <is>
          <t>Oui</t>
        </is>
      </c>
      <c r="H411" s="6" t="inlineStr">
        <is>
          <t>OFF</t>
        </is>
      </c>
      <c r="I411" s="31" t="n">
        <v>604.2334594602274</v>
      </c>
      <c r="J411" s="31" t="n">
        <v>4012.68388558375</v>
      </c>
      <c r="K411" s="31" t="n">
        <v>3342.592592592593</v>
      </c>
      <c r="L411" s="31" t="n">
        <v>150</v>
      </c>
      <c r="M411" s="31">
        <f>I411+J411+K411+L411</f>
        <v/>
      </c>
      <c r="N411" s="31">
        <f>M411*Dashboard!$B$18/(Dashboard!$B$16/3.6)</f>
        <v/>
      </c>
      <c r="O411" s="31" t="n">
        <v>620.191876941233</v>
      </c>
      <c r="P411" s="32" t="n">
        <v>0.3057228026390766</v>
      </c>
      <c r="Q411" s="33" t="n">
        <v>8.891981958725379</v>
      </c>
      <c r="R411" s="31" t="n">
        <v>720.3940039332974</v>
      </c>
      <c r="S411" s="31">
        <f>R411*IF(A411=4, 2.0, 3.0)</f>
        <v/>
      </c>
      <c r="T411" s="30">
        <f>8.0*U411</f>
        <v/>
      </c>
      <c r="U411" s="34">
        <f>MIN(1, S411/M411)</f>
        <v/>
      </c>
      <c r="V411" s="34">
        <f>N411/(N411+O411)</f>
        <v/>
      </c>
      <c r="W411" s="34">
        <f>U411*V411</f>
        <v/>
      </c>
      <c r="X411" s="32">
        <f>T411/N411</f>
        <v/>
      </c>
      <c r="Y411" s="35">
        <f>IF(X411=MAXIFS(X$2:X$721, A$2:A$721, A411, B$2:B$721, B411), "OPTIMAL", "")</f>
        <v/>
      </c>
    </row>
    <row r="412" ht="20" customHeight="1">
      <c r="A412" s="36" t="n">
        <v>-18</v>
      </c>
      <c r="B412" s="36" t="n">
        <v>25</v>
      </c>
      <c r="C412" s="37" t="n">
        <v>100</v>
      </c>
      <c r="D412" s="37" t="n">
        <v>2</v>
      </c>
      <c r="E412" s="38" t="n">
        <v>4</v>
      </c>
      <c r="F412" s="37" t="n">
        <v>2</v>
      </c>
      <c r="G412" s="38" t="inlineStr">
        <is>
          <t>Non</t>
        </is>
      </c>
      <c r="H412" s="38" t="inlineStr">
        <is>
          <t>ON</t>
        </is>
      </c>
      <c r="I412" s="39" t="n">
        <v>604.2334594602274</v>
      </c>
      <c r="J412" s="39" t="n">
        <v>4012.68388558375</v>
      </c>
      <c r="K412" s="39" t="n">
        <v>3342.592592592593</v>
      </c>
      <c r="L412" s="39" t="n">
        <v>150</v>
      </c>
      <c r="M412" s="39">
        <f>I412+J412+K412+L412</f>
        <v/>
      </c>
      <c r="N412" s="39">
        <f>M412*Dashboard!$B$18/(Dashboard!$B$16/3.6)</f>
        <v/>
      </c>
      <c r="O412" s="39" t="n">
        <v>620.191876941233</v>
      </c>
      <c r="P412" s="40" t="n">
        <v>0.06788309101972209</v>
      </c>
      <c r="Q412" s="41" t="n">
        <v>8.891981958725379</v>
      </c>
      <c r="R412" s="39" t="n">
        <v>3244.414339100838</v>
      </c>
      <c r="S412" s="39">
        <f>R412*IF(A412=4, 2.0, 3.0)</f>
        <v/>
      </c>
      <c r="T412" s="37">
        <f>8.0*U412</f>
        <v/>
      </c>
      <c r="U412" s="42">
        <f>MIN(1, S412/M412)</f>
        <v/>
      </c>
      <c r="V412" s="42">
        <f>N412/(N412+O412)</f>
        <v/>
      </c>
      <c r="W412" s="42">
        <f>U412*V412</f>
        <v/>
      </c>
      <c r="X412" s="40">
        <f>T412/N412</f>
        <v/>
      </c>
      <c r="Y412" s="15">
        <f>IF(X412=MAXIFS(X$2:X$721, A$2:A$721, A412, B$2:B$721, B412), "OPTIMAL", "")</f>
        <v/>
      </c>
    </row>
    <row r="413" ht="20" customHeight="1">
      <c r="A413" s="29" t="n">
        <v>-18</v>
      </c>
      <c r="B413" s="29" t="n">
        <v>25</v>
      </c>
      <c r="C413" s="30" t="n">
        <v>100</v>
      </c>
      <c r="D413" s="30" t="n">
        <v>2</v>
      </c>
      <c r="E413" s="6" t="n">
        <v>4</v>
      </c>
      <c r="F413" s="30" t="n">
        <v>2</v>
      </c>
      <c r="G413" s="6" t="inlineStr">
        <is>
          <t>Non</t>
        </is>
      </c>
      <c r="H413" s="6" t="inlineStr">
        <is>
          <t>OFF</t>
        </is>
      </c>
      <c r="I413" s="31" t="n">
        <v>604.2334594602274</v>
      </c>
      <c r="J413" s="31" t="n">
        <v>4012.68388558375</v>
      </c>
      <c r="K413" s="31" t="n">
        <v>3342.592592592593</v>
      </c>
      <c r="L413" s="31" t="n">
        <v>150</v>
      </c>
      <c r="M413" s="31">
        <f>I413+J413+K413+L413</f>
        <v/>
      </c>
      <c r="N413" s="31">
        <f>M413*Dashboard!$B$18/(Dashboard!$B$16/3.6)</f>
        <v/>
      </c>
      <c r="O413" s="31" t="n">
        <v>620.191876941233</v>
      </c>
      <c r="P413" s="32" t="n">
        <v>0.3025397037772387</v>
      </c>
      <c r="Q413" s="33" t="n">
        <v>8.891981958725379</v>
      </c>
      <c r="R413" s="31" t="n">
        <v>727.9734564989129</v>
      </c>
      <c r="S413" s="31">
        <f>R413*IF(A413=4, 2.0, 3.0)</f>
        <v/>
      </c>
      <c r="T413" s="30">
        <f>8.0*U413</f>
        <v/>
      </c>
      <c r="U413" s="34">
        <f>MIN(1, S413/M413)</f>
        <v/>
      </c>
      <c r="V413" s="34">
        <f>N413/(N413+O413)</f>
        <v/>
      </c>
      <c r="W413" s="34">
        <f>U413*V413</f>
        <v/>
      </c>
      <c r="X413" s="32">
        <f>T413/N413</f>
        <v/>
      </c>
      <c r="Y413" s="35">
        <f>IF(X413=MAXIFS(X$2:X$721, A$2:A$721, A413, B$2:B$721, B413), "OPTIMAL", "")</f>
        <v/>
      </c>
    </row>
    <row r="414" ht="20" customHeight="1">
      <c r="A414" s="36" t="n">
        <v>-18</v>
      </c>
      <c r="B414" s="36" t="n">
        <v>25</v>
      </c>
      <c r="C414" s="37" t="n">
        <v>100</v>
      </c>
      <c r="D414" s="37" t="n">
        <v>2</v>
      </c>
      <c r="E414" s="38" t="n">
        <v>8</v>
      </c>
      <c r="F414" s="37" t="n">
        <v>1.5</v>
      </c>
      <c r="G414" s="38" t="inlineStr">
        <is>
          <t>Oui</t>
        </is>
      </c>
      <c r="H414" s="38" t="inlineStr">
        <is>
          <t>ON</t>
        </is>
      </c>
      <c r="I414" s="39" t="n">
        <v>604.2334594602274</v>
      </c>
      <c r="J414" s="39" t="n">
        <v>4012.68388558375</v>
      </c>
      <c r="K414" s="39" t="n">
        <v>3342.592592592593</v>
      </c>
      <c r="L414" s="39" t="n">
        <v>150</v>
      </c>
      <c r="M414" s="39">
        <f>I414+J414+K414+L414</f>
        <v/>
      </c>
      <c r="N414" s="39">
        <f>M414*Dashboard!$B$18/(Dashboard!$B$16/3.6)</f>
        <v/>
      </c>
      <c r="O414" s="39" t="n">
        <v>764.1435392063127</v>
      </c>
      <c r="P414" s="40" t="n">
        <v>0.05573050288457804</v>
      </c>
      <c r="Q414" s="41" t="n">
        <v>13.23797293808807</v>
      </c>
      <c r="R414" s="39" t="n">
        <v>4041.454542965038</v>
      </c>
      <c r="S414" s="39">
        <f>R414*IF(A414=4, 2.0, 3.0)</f>
        <v/>
      </c>
      <c r="T414" s="37">
        <f>8.0*U414</f>
        <v/>
      </c>
      <c r="U414" s="42">
        <f>MIN(1, S414/M414)</f>
        <v/>
      </c>
      <c r="V414" s="42">
        <f>N414/(N414+O414)</f>
        <v/>
      </c>
      <c r="W414" s="42">
        <f>U414*V414</f>
        <v/>
      </c>
      <c r="X414" s="40">
        <f>T414/N414</f>
        <v/>
      </c>
      <c r="Y414" s="15">
        <f>IF(X414=MAXIFS(X$2:X$721, A$2:A$721, A414, B$2:B$721, B414), "OPTIMAL", "")</f>
        <v/>
      </c>
    </row>
    <row r="415" ht="20" customHeight="1">
      <c r="A415" s="29" t="n">
        <v>-18</v>
      </c>
      <c r="B415" s="29" t="n">
        <v>25</v>
      </c>
      <c r="C415" s="30" t="n">
        <v>100</v>
      </c>
      <c r="D415" s="30" t="n">
        <v>2</v>
      </c>
      <c r="E415" s="6" t="n">
        <v>8</v>
      </c>
      <c r="F415" s="30" t="n">
        <v>1.5</v>
      </c>
      <c r="G415" s="6" t="inlineStr">
        <is>
          <t>Oui</t>
        </is>
      </c>
      <c r="H415" s="6" t="inlineStr">
        <is>
          <t>OFF</t>
        </is>
      </c>
      <c r="I415" s="31" t="n">
        <v>604.2334594602274</v>
      </c>
      <c r="J415" s="31" t="n">
        <v>4012.68388558375</v>
      </c>
      <c r="K415" s="31" t="n">
        <v>3342.592592592593</v>
      </c>
      <c r="L415" s="31" t="n">
        <v>150</v>
      </c>
      <c r="M415" s="31">
        <f>I415+J415+K415+L415</f>
        <v/>
      </c>
      <c r="N415" s="31">
        <f>M415*Dashboard!$B$18/(Dashboard!$B$16/3.6)</f>
        <v/>
      </c>
      <c r="O415" s="31" t="n">
        <v>764.1435392063127</v>
      </c>
      <c r="P415" s="32" t="n">
        <v>0.2401827722650424</v>
      </c>
      <c r="Q415" s="33" t="n">
        <v>13.23797293808807</v>
      </c>
      <c r="R415" s="31" t="n">
        <v>937.7537445360969</v>
      </c>
      <c r="S415" s="31">
        <f>R415*IF(A415=4, 2.0, 3.0)</f>
        <v/>
      </c>
      <c r="T415" s="30">
        <f>8.0*U415</f>
        <v/>
      </c>
      <c r="U415" s="34">
        <f>MIN(1, S415/M415)</f>
        <v/>
      </c>
      <c r="V415" s="34">
        <f>N415/(N415+O415)</f>
        <v/>
      </c>
      <c r="W415" s="34">
        <f>U415*V415</f>
        <v/>
      </c>
      <c r="X415" s="32">
        <f>T415/N415</f>
        <v/>
      </c>
      <c r="Y415" s="35">
        <f>IF(X415=MAXIFS(X$2:X$721, A$2:A$721, A415, B$2:B$721, B415), "OPTIMAL", "")</f>
        <v/>
      </c>
    </row>
    <row r="416" ht="20" customHeight="1">
      <c r="A416" s="36" t="n">
        <v>-18</v>
      </c>
      <c r="B416" s="36" t="n">
        <v>25</v>
      </c>
      <c r="C416" s="37" t="n">
        <v>100</v>
      </c>
      <c r="D416" s="37" t="n">
        <v>2</v>
      </c>
      <c r="E416" s="38" t="n">
        <v>8</v>
      </c>
      <c r="F416" s="37" t="n">
        <v>1.5</v>
      </c>
      <c r="G416" s="38" t="inlineStr">
        <is>
          <t>Non</t>
        </is>
      </c>
      <c r="H416" s="38" t="inlineStr">
        <is>
          <t>ON</t>
        </is>
      </c>
      <c r="I416" s="39" t="n">
        <v>604.2334594602274</v>
      </c>
      <c r="J416" s="39" t="n">
        <v>4012.68388558375</v>
      </c>
      <c r="K416" s="39" t="n">
        <v>3342.592592592593</v>
      </c>
      <c r="L416" s="39" t="n">
        <v>150</v>
      </c>
      <c r="M416" s="39">
        <f>I416+J416+K416+L416</f>
        <v/>
      </c>
      <c r="N416" s="39">
        <f>M416*Dashboard!$B$18/(Dashboard!$B$16/3.6)</f>
        <v/>
      </c>
      <c r="O416" s="39" t="n">
        <v>764.1435392063127</v>
      </c>
      <c r="P416" s="40" t="n">
        <v>0.05254740402274013</v>
      </c>
      <c r="Q416" s="41" t="n">
        <v>13.23797293808807</v>
      </c>
      <c r="R416" s="39" t="n">
        <v>4286.268717806379</v>
      </c>
      <c r="S416" s="39">
        <f>R416*IF(A416=4, 2.0, 3.0)</f>
        <v/>
      </c>
      <c r="T416" s="37">
        <f>8.0*U416</f>
        <v/>
      </c>
      <c r="U416" s="42">
        <f>MIN(1, S416/M416)</f>
        <v/>
      </c>
      <c r="V416" s="42">
        <f>N416/(N416+O416)</f>
        <v/>
      </c>
      <c r="W416" s="42">
        <f>U416*V416</f>
        <v/>
      </c>
      <c r="X416" s="40">
        <f>T416/N416</f>
        <v/>
      </c>
      <c r="Y416" s="15">
        <f>IF(X416=MAXIFS(X$2:X$721, A$2:A$721, A416, B$2:B$721, B416), "OPTIMAL", "")</f>
        <v/>
      </c>
    </row>
    <row r="417" ht="20" customHeight="1">
      <c r="A417" s="29" t="n">
        <v>-18</v>
      </c>
      <c r="B417" s="29" t="n">
        <v>25</v>
      </c>
      <c r="C417" s="30" t="n">
        <v>100</v>
      </c>
      <c r="D417" s="30" t="n">
        <v>2</v>
      </c>
      <c r="E417" s="6" t="n">
        <v>8</v>
      </c>
      <c r="F417" s="30" t="n">
        <v>1.5</v>
      </c>
      <c r="G417" s="6" t="inlineStr">
        <is>
          <t>Non</t>
        </is>
      </c>
      <c r="H417" s="6" t="inlineStr">
        <is>
          <t>OFF</t>
        </is>
      </c>
      <c r="I417" s="31" t="n">
        <v>604.2334594602274</v>
      </c>
      <c r="J417" s="31" t="n">
        <v>4012.68388558375</v>
      </c>
      <c r="K417" s="31" t="n">
        <v>3342.592592592593</v>
      </c>
      <c r="L417" s="31" t="n">
        <v>150</v>
      </c>
      <c r="M417" s="31">
        <f>I417+J417+K417+L417</f>
        <v/>
      </c>
      <c r="N417" s="31">
        <f>M417*Dashboard!$B$18/(Dashboard!$B$16/3.6)</f>
        <v/>
      </c>
      <c r="O417" s="31" t="n">
        <v>764.1435392063127</v>
      </c>
      <c r="P417" s="32" t="n">
        <v>0.2369996734032044</v>
      </c>
      <c r="Q417" s="33" t="n">
        <v>13.23797293808807</v>
      </c>
      <c r="R417" s="31" t="n">
        <v>950.3485419636817</v>
      </c>
      <c r="S417" s="31">
        <f>R417*IF(A417=4, 2.0, 3.0)</f>
        <v/>
      </c>
      <c r="T417" s="30">
        <f>8.0*U417</f>
        <v/>
      </c>
      <c r="U417" s="34">
        <f>MIN(1, S417/M417)</f>
        <v/>
      </c>
      <c r="V417" s="34">
        <f>N417/(N417+O417)</f>
        <v/>
      </c>
      <c r="W417" s="34">
        <f>U417*V417</f>
        <v/>
      </c>
      <c r="X417" s="32">
        <f>T417/N417</f>
        <v/>
      </c>
      <c r="Y417" s="35">
        <f>IF(X417=MAXIFS(X$2:X$721, A$2:A$721, A417, B$2:B$721, B417), "OPTIMAL", "")</f>
        <v/>
      </c>
    </row>
    <row r="418" ht="20" customHeight="1">
      <c r="A418" s="36" t="n">
        <v>-18</v>
      </c>
      <c r="B418" s="36" t="n">
        <v>25</v>
      </c>
      <c r="C418" s="37" t="n">
        <v>100</v>
      </c>
      <c r="D418" s="37" t="n">
        <v>2</v>
      </c>
      <c r="E418" s="38" t="n">
        <v>8</v>
      </c>
      <c r="F418" s="37" t="n">
        <v>2</v>
      </c>
      <c r="G418" s="38" t="inlineStr">
        <is>
          <t>Oui</t>
        </is>
      </c>
      <c r="H418" s="38" t="inlineStr">
        <is>
          <t>ON</t>
        </is>
      </c>
      <c r="I418" s="39" t="n">
        <v>604.2334594602274</v>
      </c>
      <c r="J418" s="39" t="n">
        <v>4012.68388558375</v>
      </c>
      <c r="K418" s="39" t="n">
        <v>3342.592592592593</v>
      </c>
      <c r="L418" s="39" t="n">
        <v>150</v>
      </c>
      <c r="M418" s="39">
        <f>I418+J418+K418+L418</f>
        <v/>
      </c>
      <c r="N418" s="39">
        <f>M418*Dashboard!$B$18/(Dashboard!$B$16/3.6)</f>
        <v/>
      </c>
      <c r="O418" s="39" t="n">
        <v>914.7713924606495</v>
      </c>
      <c r="P418" s="40" t="n">
        <v>0.05449488140602117</v>
      </c>
      <c r="Q418" s="41" t="n">
        <v>17.58396391745076</v>
      </c>
      <c r="R418" s="39" t="n">
        <v>4228.933074244659</v>
      </c>
      <c r="S418" s="39">
        <f>R418*IF(A418=4, 2.0, 3.0)</f>
        <v/>
      </c>
      <c r="T418" s="37">
        <f>8.0*U418</f>
        <v/>
      </c>
      <c r="U418" s="42">
        <f>MIN(1, S418/M418)</f>
        <v/>
      </c>
      <c r="V418" s="42">
        <f>N418/(N418+O418)</f>
        <v/>
      </c>
      <c r="W418" s="42">
        <f>U418*V418</f>
        <v/>
      </c>
      <c r="X418" s="40">
        <f>T418/N418</f>
        <v/>
      </c>
      <c r="Y418" s="15">
        <f>IF(X418=MAXIFS(X$2:X$721, A$2:A$721, A418, B$2:B$721, B418), "OPTIMAL", "")</f>
        <v/>
      </c>
    </row>
    <row r="419" ht="20" customHeight="1">
      <c r="A419" s="29" t="n">
        <v>-18</v>
      </c>
      <c r="B419" s="29" t="n">
        <v>25</v>
      </c>
      <c r="C419" s="30" t="n">
        <v>100</v>
      </c>
      <c r="D419" s="30" t="n">
        <v>2</v>
      </c>
      <c r="E419" s="6" t="n">
        <v>8</v>
      </c>
      <c r="F419" s="30" t="n">
        <v>2</v>
      </c>
      <c r="G419" s="6" t="inlineStr">
        <is>
          <t>Oui</t>
        </is>
      </c>
      <c r="H419" s="6" t="inlineStr">
        <is>
          <t>OFF</t>
        </is>
      </c>
      <c r="I419" s="31" t="n">
        <v>604.2334594602274</v>
      </c>
      <c r="J419" s="31" t="n">
        <v>4012.68388558375</v>
      </c>
      <c r="K419" s="31" t="n">
        <v>3342.592592592593</v>
      </c>
      <c r="L419" s="31" t="n">
        <v>150</v>
      </c>
      <c r="M419" s="31">
        <f>I419+J419+K419+L419</f>
        <v/>
      </c>
      <c r="N419" s="31">
        <f>M419*Dashboard!$B$18/(Dashboard!$B$16/3.6)</f>
        <v/>
      </c>
      <c r="O419" s="31" t="n">
        <v>914.7713924606495</v>
      </c>
      <c r="P419" s="32" t="n">
        <v>0.2403161193409352</v>
      </c>
      <c r="Q419" s="33" t="n">
        <v>17.58396391745076</v>
      </c>
      <c r="R419" s="31" t="n">
        <v>958.9669098643258</v>
      </c>
      <c r="S419" s="31">
        <f>R419*IF(A419=4, 2.0, 3.0)</f>
        <v/>
      </c>
      <c r="T419" s="30">
        <f>8.0*U419</f>
        <v/>
      </c>
      <c r="U419" s="34">
        <f>MIN(1, S419/M419)</f>
        <v/>
      </c>
      <c r="V419" s="34">
        <f>N419/(N419+O419)</f>
        <v/>
      </c>
      <c r="W419" s="34">
        <f>U419*V419</f>
        <v/>
      </c>
      <c r="X419" s="32">
        <f>T419/N419</f>
        <v/>
      </c>
      <c r="Y419" s="35">
        <f>IF(X419=MAXIFS(X$2:X$721, A$2:A$721, A419, B$2:B$721, B419), "OPTIMAL", "")</f>
        <v/>
      </c>
    </row>
    <row r="420" ht="20" customHeight="1">
      <c r="A420" s="36" t="n">
        <v>-18</v>
      </c>
      <c r="B420" s="36" t="n">
        <v>25</v>
      </c>
      <c r="C420" s="37" t="n">
        <v>100</v>
      </c>
      <c r="D420" s="37" t="n">
        <v>2</v>
      </c>
      <c r="E420" s="38" t="n">
        <v>8</v>
      </c>
      <c r="F420" s="37" t="n">
        <v>2</v>
      </c>
      <c r="G420" s="38" t="inlineStr">
        <is>
          <t>Non</t>
        </is>
      </c>
      <c r="H420" s="38" t="inlineStr">
        <is>
          <t>ON</t>
        </is>
      </c>
      <c r="I420" s="39" t="n">
        <v>604.2334594602274</v>
      </c>
      <c r="J420" s="39" t="n">
        <v>4012.68388558375</v>
      </c>
      <c r="K420" s="39" t="n">
        <v>3342.592592592593</v>
      </c>
      <c r="L420" s="39" t="n">
        <v>150</v>
      </c>
      <c r="M420" s="39">
        <f>I420+J420+K420+L420</f>
        <v/>
      </c>
      <c r="N420" s="39">
        <f>M420*Dashboard!$B$18/(Dashboard!$B$16/3.6)</f>
        <v/>
      </c>
      <c r="O420" s="39" t="n">
        <v>914.7713924606495</v>
      </c>
      <c r="P420" s="40" t="n">
        <v>0.05131178254418326</v>
      </c>
      <c r="Q420" s="41" t="n">
        <v>17.58396391745076</v>
      </c>
      <c r="R420" s="39" t="n">
        <v>4491.272665425804</v>
      </c>
      <c r="S420" s="39">
        <f>R420*IF(A420=4, 2.0, 3.0)</f>
        <v/>
      </c>
      <c r="T420" s="37">
        <f>8.0*U420</f>
        <v/>
      </c>
      <c r="U420" s="42">
        <f>MIN(1, S420/M420)</f>
        <v/>
      </c>
      <c r="V420" s="42">
        <f>N420/(N420+O420)</f>
        <v/>
      </c>
      <c r="W420" s="42">
        <f>U420*V420</f>
        <v/>
      </c>
      <c r="X420" s="40">
        <f>T420/N420</f>
        <v/>
      </c>
      <c r="Y420" s="15">
        <f>IF(X420=MAXIFS(X$2:X$721, A$2:A$721, A420, B$2:B$721, B420), "OPTIMAL", "")</f>
        <v/>
      </c>
    </row>
    <row r="421" ht="20" customHeight="1">
      <c r="A421" s="29" t="n">
        <v>-18</v>
      </c>
      <c r="B421" s="29" t="n">
        <v>25</v>
      </c>
      <c r="C421" s="30" t="n">
        <v>100</v>
      </c>
      <c r="D421" s="30" t="n">
        <v>2</v>
      </c>
      <c r="E421" s="6" t="n">
        <v>8</v>
      </c>
      <c r="F421" s="30" t="n">
        <v>2</v>
      </c>
      <c r="G421" s="6" t="inlineStr">
        <is>
          <t>Non</t>
        </is>
      </c>
      <c r="H421" s="6" t="inlineStr">
        <is>
          <t>OFF</t>
        </is>
      </c>
      <c r="I421" s="31" t="n">
        <v>604.2334594602274</v>
      </c>
      <c r="J421" s="31" t="n">
        <v>4012.68388558375</v>
      </c>
      <c r="K421" s="31" t="n">
        <v>3342.592592592593</v>
      </c>
      <c r="L421" s="31" t="n">
        <v>150</v>
      </c>
      <c r="M421" s="31">
        <f>I421+J421+K421+L421</f>
        <v/>
      </c>
      <c r="N421" s="31">
        <f>M421*Dashboard!$B$18/(Dashboard!$B$16/3.6)</f>
        <v/>
      </c>
      <c r="O421" s="31" t="n">
        <v>914.7713924606495</v>
      </c>
      <c r="P421" s="32" t="n">
        <v>0.2371330204790973</v>
      </c>
      <c r="Q421" s="33" t="n">
        <v>17.58396391745076</v>
      </c>
      <c r="R421" s="31" t="n">
        <v>971.8393747499084</v>
      </c>
      <c r="S421" s="31">
        <f>R421*IF(A421=4, 2.0, 3.0)</f>
        <v/>
      </c>
      <c r="T421" s="30">
        <f>8.0*U421</f>
        <v/>
      </c>
      <c r="U421" s="34">
        <f>MIN(1, S421/M421)</f>
        <v/>
      </c>
      <c r="V421" s="34">
        <f>N421/(N421+O421)</f>
        <v/>
      </c>
      <c r="W421" s="34">
        <f>U421*V421</f>
        <v/>
      </c>
      <c r="X421" s="32">
        <f>T421/N421</f>
        <v/>
      </c>
      <c r="Y421" s="35">
        <f>IF(X421=MAXIFS(X$2:X$721, A$2:A$721, A421, B$2:B$721, B421), "OPTIMAL", "")</f>
        <v/>
      </c>
    </row>
    <row r="422" ht="20" customHeight="1">
      <c r="A422" s="21" t="n">
        <v>-18</v>
      </c>
      <c r="B422" s="21" t="n">
        <v>25</v>
      </c>
      <c r="C422" s="22" t="n">
        <v>100</v>
      </c>
      <c r="D422" s="22" t="n">
        <v>3</v>
      </c>
      <c r="E422" s="23" t="n">
        <v>0</v>
      </c>
      <c r="F422" s="22" t="n">
        <v>0</v>
      </c>
      <c r="G422" s="23" t="inlineStr">
        <is>
          <t>Oui</t>
        </is>
      </c>
      <c r="H422" s="23" t="inlineStr">
        <is>
          <t>ON</t>
        </is>
      </c>
      <c r="I422" s="24" t="n">
        <v>604.2334594602274</v>
      </c>
      <c r="J422" s="24" t="n">
        <v>4012.68388558375</v>
      </c>
      <c r="K422" s="24" t="n">
        <v>3342.592592592593</v>
      </c>
      <c r="L422" s="24" t="n">
        <v>150</v>
      </c>
      <c r="M422" s="24">
        <f>I422+J422+K422+L422</f>
        <v/>
      </c>
      <c r="N422" s="24">
        <f>M422*Dashboard!$B$18/(Dashboard!$B$16/3.6)</f>
        <v/>
      </c>
      <c r="O422" s="24" t="n">
        <v>542.946083285048</v>
      </c>
      <c r="P422" s="25" t="n">
        <v>0.4806959660709754</v>
      </c>
      <c r="Q422" s="26" t="n">
        <v>0.2</v>
      </c>
      <c r="R422" s="24" t="n">
        <v>457.5932411392146</v>
      </c>
      <c r="S422" s="24">
        <f>R422*IF(A422=4, 2.0, 3.0)</f>
        <v/>
      </c>
      <c r="T422" s="22">
        <f>8.0*U422</f>
        <v/>
      </c>
      <c r="U422" s="27">
        <f>MIN(1, S422/M422)</f>
        <v/>
      </c>
      <c r="V422" s="27">
        <f>N422/(N422+O422)</f>
        <v/>
      </c>
      <c r="W422" s="27">
        <f>U422*V422</f>
        <v/>
      </c>
      <c r="X422" s="25">
        <f>T422/N422</f>
        <v/>
      </c>
      <c r="Y422" s="28">
        <f>IF(X422=MAXIFS(X$2:X$721, A$2:A$721, A422, B$2:B$721, B422), "OPTIMAL", "")</f>
        <v/>
      </c>
    </row>
    <row r="423" ht="20" customHeight="1">
      <c r="A423" s="29" t="n">
        <v>-18</v>
      </c>
      <c r="B423" s="29" t="n">
        <v>25</v>
      </c>
      <c r="C423" s="30" t="n">
        <v>100</v>
      </c>
      <c r="D423" s="30" t="n">
        <v>3</v>
      </c>
      <c r="E423" s="6" t="n">
        <v>0</v>
      </c>
      <c r="F423" s="30" t="n">
        <v>0</v>
      </c>
      <c r="G423" s="6" t="inlineStr">
        <is>
          <t>Oui</t>
        </is>
      </c>
      <c r="H423" s="6" t="inlineStr">
        <is>
          <t>OFF</t>
        </is>
      </c>
      <c r="I423" s="31" t="n">
        <v>604.2334594602274</v>
      </c>
      <c r="J423" s="31" t="n">
        <v>4012.68388558375</v>
      </c>
      <c r="K423" s="31" t="n">
        <v>3342.592592592593</v>
      </c>
      <c r="L423" s="31" t="n">
        <v>150</v>
      </c>
      <c r="M423" s="31">
        <f>I423+J423+K423+L423</f>
        <v/>
      </c>
      <c r="N423" s="31">
        <f>M423*Dashboard!$B$18/(Dashboard!$B$16/3.6)</f>
        <v/>
      </c>
      <c r="O423" s="31" t="n">
        <v>542.946083285048</v>
      </c>
      <c r="P423" s="32" t="n">
        <v>0.7990058522547661</v>
      </c>
      <c r="Q423" s="33" t="n">
        <v>0.2</v>
      </c>
      <c r="R423" s="31" t="n">
        <v>275.2961376893988</v>
      </c>
      <c r="S423" s="31">
        <f>R423*IF(A423=4, 2.0, 3.0)</f>
        <v/>
      </c>
      <c r="T423" s="30">
        <f>8.0*U423</f>
        <v/>
      </c>
      <c r="U423" s="34">
        <f>MIN(1, S423/M423)</f>
        <v/>
      </c>
      <c r="V423" s="34">
        <f>N423/(N423+O423)</f>
        <v/>
      </c>
      <c r="W423" s="34">
        <f>U423*V423</f>
        <v/>
      </c>
      <c r="X423" s="32">
        <f>T423/N423</f>
        <v/>
      </c>
      <c r="Y423" s="35">
        <f>IF(X423=MAXIFS(X$2:X$721, A$2:A$721, A423, B$2:B$721, B423), "OPTIMAL", "")</f>
        <v/>
      </c>
    </row>
    <row r="424" ht="20" customHeight="1">
      <c r="A424" s="21" t="n">
        <v>-18</v>
      </c>
      <c r="B424" s="21" t="n">
        <v>25</v>
      </c>
      <c r="C424" s="22" t="n">
        <v>100</v>
      </c>
      <c r="D424" s="22" t="n">
        <v>3</v>
      </c>
      <c r="E424" s="23" t="n">
        <v>0</v>
      </c>
      <c r="F424" s="22" t="n">
        <v>0</v>
      </c>
      <c r="G424" s="23" t="inlineStr">
        <is>
          <t>Non</t>
        </is>
      </c>
      <c r="H424" s="23" t="inlineStr">
        <is>
          <t>ON</t>
        </is>
      </c>
      <c r="I424" s="24" t="n">
        <v>604.2334594602274</v>
      </c>
      <c r="J424" s="24" t="n">
        <v>4012.68388558375</v>
      </c>
      <c r="K424" s="24" t="n">
        <v>3342.592592592593</v>
      </c>
      <c r="L424" s="24" t="n">
        <v>150</v>
      </c>
      <c r="M424" s="24">
        <f>I424+J424+K424+L424</f>
        <v/>
      </c>
      <c r="N424" s="24">
        <f>M424*Dashboard!$B$18/(Dashboard!$B$16/3.6)</f>
        <v/>
      </c>
      <c r="O424" s="24" t="n">
        <v>542.946083285048</v>
      </c>
      <c r="P424" s="25" t="n">
        <v>0.4775128672091374</v>
      </c>
      <c r="Q424" s="26" t="n">
        <v>0.2</v>
      </c>
      <c r="R424" s="24" t="n">
        <v>460.6435558533876</v>
      </c>
      <c r="S424" s="24">
        <f>R424*IF(A424=4, 2.0, 3.0)</f>
        <v/>
      </c>
      <c r="T424" s="22">
        <f>8.0*U424</f>
        <v/>
      </c>
      <c r="U424" s="27">
        <f>MIN(1, S424/M424)</f>
        <v/>
      </c>
      <c r="V424" s="27">
        <f>N424/(N424+O424)</f>
        <v/>
      </c>
      <c r="W424" s="27">
        <f>U424*V424</f>
        <v/>
      </c>
      <c r="X424" s="25">
        <f>T424/N424</f>
        <v/>
      </c>
      <c r="Y424" s="28">
        <f>IF(X424=MAXIFS(X$2:X$721, A$2:A$721, A424, B$2:B$721, B424), "OPTIMAL", "")</f>
        <v/>
      </c>
    </row>
    <row r="425" ht="20" customHeight="1">
      <c r="A425" s="29" t="n">
        <v>-18</v>
      </c>
      <c r="B425" s="29" t="n">
        <v>25</v>
      </c>
      <c r="C425" s="30" t="n">
        <v>100</v>
      </c>
      <c r="D425" s="30" t="n">
        <v>3</v>
      </c>
      <c r="E425" s="6" t="n">
        <v>0</v>
      </c>
      <c r="F425" s="30" t="n">
        <v>0</v>
      </c>
      <c r="G425" s="6" t="inlineStr">
        <is>
          <t>Non</t>
        </is>
      </c>
      <c r="H425" s="6" t="inlineStr">
        <is>
          <t>OFF</t>
        </is>
      </c>
      <c r="I425" s="31" t="n">
        <v>604.2334594602274</v>
      </c>
      <c r="J425" s="31" t="n">
        <v>4012.68388558375</v>
      </c>
      <c r="K425" s="31" t="n">
        <v>3342.592592592593</v>
      </c>
      <c r="L425" s="31" t="n">
        <v>150</v>
      </c>
      <c r="M425" s="31">
        <f>I425+J425+K425+L425</f>
        <v/>
      </c>
      <c r="N425" s="31">
        <f>M425*Dashboard!$B$18/(Dashboard!$B$16/3.6)</f>
        <v/>
      </c>
      <c r="O425" s="31" t="n">
        <v>542.946083285048</v>
      </c>
      <c r="P425" s="32" t="n">
        <v>0.7958227533929282</v>
      </c>
      <c r="Q425" s="33" t="n">
        <v>0.2</v>
      </c>
      <c r="R425" s="31" t="n">
        <v>276.3972557697899</v>
      </c>
      <c r="S425" s="31">
        <f>R425*IF(A425=4, 2.0, 3.0)</f>
        <v/>
      </c>
      <c r="T425" s="30">
        <f>8.0*U425</f>
        <v/>
      </c>
      <c r="U425" s="34">
        <f>MIN(1, S425/M425)</f>
        <v/>
      </c>
      <c r="V425" s="34">
        <f>N425/(N425+O425)</f>
        <v/>
      </c>
      <c r="W425" s="34">
        <f>U425*V425</f>
        <v/>
      </c>
      <c r="X425" s="32">
        <f>T425/N425</f>
        <v/>
      </c>
      <c r="Y425" s="35">
        <f>IF(X425=MAXIFS(X$2:X$721, A$2:A$721, A425, B$2:B$721, B425), "OPTIMAL", "")</f>
        <v/>
      </c>
    </row>
    <row r="426" ht="20" customHeight="1">
      <c r="A426" s="36" t="n">
        <v>-18</v>
      </c>
      <c r="B426" s="36" t="n">
        <v>25</v>
      </c>
      <c r="C426" s="37" t="n">
        <v>100</v>
      </c>
      <c r="D426" s="37" t="n">
        <v>3</v>
      </c>
      <c r="E426" s="38" t="n">
        <v>4</v>
      </c>
      <c r="F426" s="37" t="n">
        <v>1.5</v>
      </c>
      <c r="G426" s="38" t="inlineStr">
        <is>
          <t>Oui</t>
        </is>
      </c>
      <c r="H426" s="38" t="inlineStr">
        <is>
          <t>ON</t>
        </is>
      </c>
      <c r="I426" s="39" t="n">
        <v>604.2334594602274</v>
      </c>
      <c r="J426" s="39" t="n">
        <v>4012.68388558375</v>
      </c>
      <c r="K426" s="39" t="n">
        <v>3342.592592592593</v>
      </c>
      <c r="L426" s="39" t="n">
        <v>150</v>
      </c>
      <c r="M426" s="39">
        <f>I426+J426+K426+L426</f>
        <v/>
      </c>
      <c r="N426" s="39">
        <f>M426*Dashboard!$B$18/(Dashboard!$B$16/3.6)</f>
        <v/>
      </c>
      <c r="O426" s="39" t="n">
        <v>754.9223462755169</v>
      </c>
      <c r="P426" s="40" t="n">
        <v>0.0735384347268611</v>
      </c>
      <c r="Q426" s="41" t="n">
        <v>6.857688308810928</v>
      </c>
      <c r="R426" s="39" t="n">
        <v>3091.636485123449</v>
      </c>
      <c r="S426" s="39">
        <f>R426*IF(A426=4, 2.0, 3.0)</f>
        <v/>
      </c>
      <c r="T426" s="37">
        <f>8.0*U426</f>
        <v/>
      </c>
      <c r="U426" s="42">
        <f>MIN(1, S426/M426)</f>
        <v/>
      </c>
      <c r="V426" s="42">
        <f>N426/(N426+O426)</f>
        <v/>
      </c>
      <c r="W426" s="42">
        <f>U426*V426</f>
        <v/>
      </c>
      <c r="X426" s="40">
        <f>T426/N426</f>
        <v/>
      </c>
      <c r="Y426" s="15">
        <f>IF(X426=MAXIFS(X$2:X$721, A$2:A$721, A426, B$2:B$721, B426), "OPTIMAL", "")</f>
        <v/>
      </c>
    </row>
    <row r="427" ht="20" customHeight="1">
      <c r="A427" s="29" t="n">
        <v>-18</v>
      </c>
      <c r="B427" s="29" t="n">
        <v>25</v>
      </c>
      <c r="C427" s="30" t="n">
        <v>100</v>
      </c>
      <c r="D427" s="30" t="n">
        <v>3</v>
      </c>
      <c r="E427" s="6" t="n">
        <v>4</v>
      </c>
      <c r="F427" s="30" t="n">
        <v>1.5</v>
      </c>
      <c r="G427" s="6" t="inlineStr">
        <is>
          <t>Oui</t>
        </is>
      </c>
      <c r="H427" s="6" t="inlineStr">
        <is>
          <t>OFF</t>
        </is>
      </c>
      <c r="I427" s="31" t="n">
        <v>604.2334594602274</v>
      </c>
      <c r="J427" s="31" t="n">
        <v>4012.68388558375</v>
      </c>
      <c r="K427" s="31" t="n">
        <v>3342.592592592593</v>
      </c>
      <c r="L427" s="31" t="n">
        <v>150</v>
      </c>
      <c r="M427" s="31">
        <f>I427+J427+K427+L427</f>
        <v/>
      </c>
      <c r="N427" s="31">
        <f>M427*Dashboard!$B$18/(Dashboard!$B$16/3.6)</f>
        <v/>
      </c>
      <c r="O427" s="31" t="n">
        <v>754.9223462755169</v>
      </c>
      <c r="P427" s="32" t="n">
        <v>0.307100869502758</v>
      </c>
      <c r="Q427" s="33" t="n">
        <v>6.857688308810928</v>
      </c>
      <c r="R427" s="31" t="n">
        <v>740.3238819497749</v>
      </c>
      <c r="S427" s="31">
        <f>R427*IF(A427=4, 2.0, 3.0)</f>
        <v/>
      </c>
      <c r="T427" s="30">
        <f>8.0*U427</f>
        <v/>
      </c>
      <c r="U427" s="34">
        <f>MIN(1, S427/M427)</f>
        <v/>
      </c>
      <c r="V427" s="34">
        <f>N427/(N427+O427)</f>
        <v/>
      </c>
      <c r="W427" s="34">
        <f>U427*V427</f>
        <v/>
      </c>
      <c r="X427" s="32">
        <f>T427/N427</f>
        <v/>
      </c>
      <c r="Y427" s="35">
        <f>IF(X427=MAXIFS(X$2:X$721, A$2:A$721, A427, B$2:B$721, B427), "OPTIMAL", "")</f>
        <v/>
      </c>
    </row>
    <row r="428" ht="20" customHeight="1">
      <c r="A428" s="36" t="n">
        <v>-18</v>
      </c>
      <c r="B428" s="36" t="n">
        <v>25</v>
      </c>
      <c r="C428" s="37" t="n">
        <v>100</v>
      </c>
      <c r="D428" s="37" t="n">
        <v>3</v>
      </c>
      <c r="E428" s="38" t="n">
        <v>4</v>
      </c>
      <c r="F428" s="37" t="n">
        <v>1.5</v>
      </c>
      <c r="G428" s="38" t="inlineStr">
        <is>
          <t>Non</t>
        </is>
      </c>
      <c r="H428" s="38" t="inlineStr">
        <is>
          <t>ON</t>
        </is>
      </c>
      <c r="I428" s="39" t="n">
        <v>604.2334594602274</v>
      </c>
      <c r="J428" s="39" t="n">
        <v>4012.68388558375</v>
      </c>
      <c r="K428" s="39" t="n">
        <v>3342.592592592593</v>
      </c>
      <c r="L428" s="39" t="n">
        <v>150</v>
      </c>
      <c r="M428" s="39">
        <f>I428+J428+K428+L428</f>
        <v/>
      </c>
      <c r="N428" s="39">
        <f>M428*Dashboard!$B$18/(Dashboard!$B$16/3.6)</f>
        <v/>
      </c>
      <c r="O428" s="39" t="n">
        <v>754.9223462755169</v>
      </c>
      <c r="P428" s="40" t="n">
        <v>0.07035533586502318</v>
      </c>
      <c r="Q428" s="41" t="n">
        <v>6.857688308810928</v>
      </c>
      <c r="R428" s="39" t="n">
        <v>3231.511939572177</v>
      </c>
      <c r="S428" s="39">
        <f>R428*IF(A428=4, 2.0, 3.0)</f>
        <v/>
      </c>
      <c r="T428" s="37">
        <f>8.0*U428</f>
        <v/>
      </c>
      <c r="U428" s="42">
        <f>MIN(1, S428/M428)</f>
        <v/>
      </c>
      <c r="V428" s="42">
        <f>N428/(N428+O428)</f>
        <v/>
      </c>
      <c r="W428" s="42">
        <f>U428*V428</f>
        <v/>
      </c>
      <c r="X428" s="40">
        <f>T428/N428</f>
        <v/>
      </c>
      <c r="Y428" s="15">
        <f>IF(X428=MAXIFS(X$2:X$721, A$2:A$721, A428, B$2:B$721, B428), "OPTIMAL", "")</f>
        <v/>
      </c>
    </row>
    <row r="429" ht="20" customHeight="1">
      <c r="A429" s="29" t="n">
        <v>-18</v>
      </c>
      <c r="B429" s="29" t="n">
        <v>25</v>
      </c>
      <c r="C429" s="30" t="n">
        <v>100</v>
      </c>
      <c r="D429" s="30" t="n">
        <v>3</v>
      </c>
      <c r="E429" s="6" t="n">
        <v>4</v>
      </c>
      <c r="F429" s="30" t="n">
        <v>1.5</v>
      </c>
      <c r="G429" s="6" t="inlineStr">
        <is>
          <t>Non</t>
        </is>
      </c>
      <c r="H429" s="6" t="inlineStr">
        <is>
          <t>OFF</t>
        </is>
      </c>
      <c r="I429" s="31" t="n">
        <v>604.2334594602274</v>
      </c>
      <c r="J429" s="31" t="n">
        <v>4012.68388558375</v>
      </c>
      <c r="K429" s="31" t="n">
        <v>3342.592592592593</v>
      </c>
      <c r="L429" s="31" t="n">
        <v>150</v>
      </c>
      <c r="M429" s="31">
        <f>I429+J429+K429+L429</f>
        <v/>
      </c>
      <c r="N429" s="31">
        <f>M429*Dashboard!$B$18/(Dashboard!$B$16/3.6)</f>
        <v/>
      </c>
      <c r="O429" s="31" t="n">
        <v>754.9223462755169</v>
      </c>
      <c r="P429" s="32" t="n">
        <v>0.3039177706409201</v>
      </c>
      <c r="Q429" s="33" t="n">
        <v>6.857688308810928</v>
      </c>
      <c r="R429" s="31" t="n">
        <v>748.0777033240769</v>
      </c>
      <c r="S429" s="31">
        <f>R429*IF(A429=4, 2.0, 3.0)</f>
        <v/>
      </c>
      <c r="T429" s="30">
        <f>8.0*U429</f>
        <v/>
      </c>
      <c r="U429" s="34">
        <f>MIN(1, S429/M429)</f>
        <v/>
      </c>
      <c r="V429" s="34">
        <f>N429/(N429+O429)</f>
        <v/>
      </c>
      <c r="W429" s="34">
        <f>U429*V429</f>
        <v/>
      </c>
      <c r="X429" s="32">
        <f>T429/N429</f>
        <v/>
      </c>
      <c r="Y429" s="35">
        <f>IF(X429=MAXIFS(X$2:X$721, A$2:A$721, A429, B$2:B$721, B429), "OPTIMAL", "")</f>
        <v/>
      </c>
    </row>
    <row r="430" ht="20" customHeight="1">
      <c r="A430" s="36" t="n">
        <v>-18</v>
      </c>
      <c r="B430" s="36" t="n">
        <v>25</v>
      </c>
      <c r="C430" s="37" t="n">
        <v>100</v>
      </c>
      <c r="D430" s="37" t="n">
        <v>3</v>
      </c>
      <c r="E430" s="38" t="n">
        <v>4</v>
      </c>
      <c r="F430" s="37" t="n">
        <v>2</v>
      </c>
      <c r="G430" s="38" t="inlineStr">
        <is>
          <t>Oui</t>
        </is>
      </c>
      <c r="H430" s="38" t="inlineStr">
        <is>
          <t>ON</t>
        </is>
      </c>
      <c r="I430" s="39" t="n">
        <v>604.2334594602274</v>
      </c>
      <c r="J430" s="39" t="n">
        <v>4012.68388558375</v>
      </c>
      <c r="K430" s="39" t="n">
        <v>3342.592592592593</v>
      </c>
      <c r="L430" s="39" t="n">
        <v>150</v>
      </c>
      <c r="M430" s="39">
        <f>I430+J430+K430+L430</f>
        <v/>
      </c>
      <c r="N430" s="39">
        <f>M430*Dashboard!$B$18/(Dashboard!$B$16/3.6)</f>
        <v/>
      </c>
      <c r="O430" s="39" t="n">
        <v>828.7825199736197</v>
      </c>
      <c r="P430" s="40" t="n">
        <v>0.07090019831070833</v>
      </c>
      <c r="Q430" s="41" t="n">
        <v>9.076917745081236</v>
      </c>
      <c r="R430" s="39" t="n">
        <v>3243.000208676063</v>
      </c>
      <c r="S430" s="39">
        <f>R430*IF(A430=4, 2.0, 3.0)</f>
        <v/>
      </c>
      <c r="T430" s="37">
        <f>8.0*U430</f>
        <v/>
      </c>
      <c r="U430" s="42">
        <f>MIN(1, S430/M430)</f>
        <v/>
      </c>
      <c r="V430" s="42">
        <f>N430/(N430+O430)</f>
        <v/>
      </c>
      <c r="W430" s="42">
        <f>U430*V430</f>
        <v/>
      </c>
      <c r="X430" s="40">
        <f>T430/N430</f>
        <v/>
      </c>
      <c r="Y430" s="15">
        <f>IF(X430=MAXIFS(X$2:X$721, A$2:A$721, A430, B$2:B$721, B430), "OPTIMAL", "")</f>
        <v/>
      </c>
    </row>
    <row r="431" ht="20" customHeight="1">
      <c r="A431" s="29" t="n">
        <v>-18</v>
      </c>
      <c r="B431" s="29" t="n">
        <v>25</v>
      </c>
      <c r="C431" s="30" t="n">
        <v>100</v>
      </c>
      <c r="D431" s="30" t="n">
        <v>3</v>
      </c>
      <c r="E431" s="6" t="n">
        <v>4</v>
      </c>
      <c r="F431" s="30" t="n">
        <v>2</v>
      </c>
      <c r="G431" s="6" t="inlineStr">
        <is>
          <t>Oui</t>
        </is>
      </c>
      <c r="H431" s="6" t="inlineStr">
        <is>
          <t>OFF</t>
        </is>
      </c>
      <c r="I431" s="31" t="n">
        <v>604.2334594602274</v>
      </c>
      <c r="J431" s="31" t="n">
        <v>4012.68388558375</v>
      </c>
      <c r="K431" s="31" t="n">
        <v>3342.592592592593</v>
      </c>
      <c r="L431" s="31" t="n">
        <v>150</v>
      </c>
      <c r="M431" s="31">
        <f>I431+J431+K431+L431</f>
        <v/>
      </c>
      <c r="N431" s="31">
        <f>M431*Dashboard!$B$18/(Dashboard!$B$16/3.6)</f>
        <v/>
      </c>
      <c r="O431" s="31" t="n">
        <v>828.7825199736197</v>
      </c>
      <c r="P431" s="32" t="n">
        <v>0.305556811068225</v>
      </c>
      <c r="Q431" s="33" t="n">
        <v>9.076917745081236</v>
      </c>
      <c r="R431" s="31" t="n">
        <v>752.4929884985041</v>
      </c>
      <c r="S431" s="31">
        <f>R431*IF(A431=4, 2.0, 3.0)</f>
        <v/>
      </c>
      <c r="T431" s="30">
        <f>8.0*U431</f>
        <v/>
      </c>
      <c r="U431" s="34">
        <f>MIN(1, S431/M431)</f>
        <v/>
      </c>
      <c r="V431" s="34">
        <f>N431/(N431+O431)</f>
        <v/>
      </c>
      <c r="W431" s="34">
        <f>U431*V431</f>
        <v/>
      </c>
      <c r="X431" s="32">
        <f>T431/N431</f>
        <v/>
      </c>
      <c r="Y431" s="35">
        <f>IF(X431=MAXIFS(X$2:X$721, A$2:A$721, A431, B$2:B$721, B431), "OPTIMAL", "")</f>
        <v/>
      </c>
    </row>
    <row r="432" ht="20" customHeight="1">
      <c r="A432" s="36" t="n">
        <v>-18</v>
      </c>
      <c r="B432" s="36" t="n">
        <v>25</v>
      </c>
      <c r="C432" s="37" t="n">
        <v>100</v>
      </c>
      <c r="D432" s="37" t="n">
        <v>3</v>
      </c>
      <c r="E432" s="38" t="n">
        <v>4</v>
      </c>
      <c r="F432" s="37" t="n">
        <v>2</v>
      </c>
      <c r="G432" s="38" t="inlineStr">
        <is>
          <t>Non</t>
        </is>
      </c>
      <c r="H432" s="38" t="inlineStr">
        <is>
          <t>ON</t>
        </is>
      </c>
      <c r="I432" s="39" t="n">
        <v>604.2334594602274</v>
      </c>
      <c r="J432" s="39" t="n">
        <v>4012.68388558375</v>
      </c>
      <c r="K432" s="39" t="n">
        <v>3342.592592592593</v>
      </c>
      <c r="L432" s="39" t="n">
        <v>150</v>
      </c>
      <c r="M432" s="39">
        <f>I432+J432+K432+L432</f>
        <v/>
      </c>
      <c r="N432" s="39">
        <f>M432*Dashboard!$B$18/(Dashboard!$B$16/3.6)</f>
        <v/>
      </c>
      <c r="O432" s="39" t="n">
        <v>828.7825199736197</v>
      </c>
      <c r="P432" s="40" t="n">
        <v>0.06771709944887042</v>
      </c>
      <c r="Q432" s="41" t="n">
        <v>9.076917745081236</v>
      </c>
      <c r="R432" s="39" t="n">
        <v>3395.440144190004</v>
      </c>
      <c r="S432" s="39">
        <f>R432*IF(A432=4, 2.0, 3.0)</f>
        <v/>
      </c>
      <c r="T432" s="37">
        <f>8.0*U432</f>
        <v/>
      </c>
      <c r="U432" s="42">
        <f>MIN(1, S432/M432)</f>
        <v/>
      </c>
      <c r="V432" s="42">
        <f>N432/(N432+O432)</f>
        <v/>
      </c>
      <c r="W432" s="42">
        <f>U432*V432</f>
        <v/>
      </c>
      <c r="X432" s="40">
        <f>T432/N432</f>
        <v/>
      </c>
      <c r="Y432" s="15">
        <f>IF(X432=MAXIFS(X$2:X$721, A$2:A$721, A432, B$2:B$721, B432), "OPTIMAL", "")</f>
        <v/>
      </c>
    </row>
    <row r="433" ht="20" customHeight="1">
      <c r="A433" s="29" t="n">
        <v>-18</v>
      </c>
      <c r="B433" s="29" t="n">
        <v>25</v>
      </c>
      <c r="C433" s="30" t="n">
        <v>100</v>
      </c>
      <c r="D433" s="30" t="n">
        <v>3</v>
      </c>
      <c r="E433" s="6" t="n">
        <v>4</v>
      </c>
      <c r="F433" s="30" t="n">
        <v>2</v>
      </c>
      <c r="G433" s="6" t="inlineStr">
        <is>
          <t>Non</t>
        </is>
      </c>
      <c r="H433" s="6" t="inlineStr">
        <is>
          <t>OFF</t>
        </is>
      </c>
      <c r="I433" s="31" t="n">
        <v>604.2334594602274</v>
      </c>
      <c r="J433" s="31" t="n">
        <v>4012.68388558375</v>
      </c>
      <c r="K433" s="31" t="n">
        <v>3342.592592592593</v>
      </c>
      <c r="L433" s="31" t="n">
        <v>150</v>
      </c>
      <c r="M433" s="31">
        <f>I433+J433+K433+L433</f>
        <v/>
      </c>
      <c r="N433" s="31">
        <f>M433*Dashboard!$B$18/(Dashboard!$B$16/3.6)</f>
        <v/>
      </c>
      <c r="O433" s="31" t="n">
        <v>828.7825199736197</v>
      </c>
      <c r="P433" s="32" t="n">
        <v>0.302373712206387</v>
      </c>
      <c r="Q433" s="33" t="n">
        <v>9.076917745081236</v>
      </c>
      <c r="R433" s="31" t="n">
        <v>760.4145090491918</v>
      </c>
      <c r="S433" s="31">
        <f>R433*IF(A433=4, 2.0, 3.0)</f>
        <v/>
      </c>
      <c r="T433" s="30">
        <f>8.0*U433</f>
        <v/>
      </c>
      <c r="U433" s="34">
        <f>MIN(1, S433/M433)</f>
        <v/>
      </c>
      <c r="V433" s="34">
        <f>N433/(N433+O433)</f>
        <v/>
      </c>
      <c r="W433" s="34">
        <f>U433*V433</f>
        <v/>
      </c>
      <c r="X433" s="32">
        <f>T433/N433</f>
        <v/>
      </c>
      <c r="Y433" s="35">
        <f>IF(X433=MAXIFS(X$2:X$721, A$2:A$721, A433, B$2:B$721, B433), "OPTIMAL", "")</f>
        <v/>
      </c>
    </row>
    <row r="434" ht="20" customHeight="1">
      <c r="A434" s="36" t="n">
        <v>-18</v>
      </c>
      <c r="B434" s="36" t="n">
        <v>25</v>
      </c>
      <c r="C434" s="37" t="n">
        <v>100</v>
      </c>
      <c r="D434" s="37" t="n">
        <v>3</v>
      </c>
      <c r="E434" s="38" t="n">
        <v>8</v>
      </c>
      <c r="F434" s="37" t="n">
        <v>1.5</v>
      </c>
      <c r="G434" s="38" t="inlineStr">
        <is>
          <t>Oui</t>
        </is>
      </c>
      <c r="H434" s="38" t="inlineStr">
        <is>
          <t>ON</t>
        </is>
      </c>
      <c r="I434" s="39" t="n">
        <v>604.2334594602274</v>
      </c>
      <c r="J434" s="39" t="n">
        <v>4012.68388558375</v>
      </c>
      <c r="K434" s="39" t="n">
        <v>3342.592592592593</v>
      </c>
      <c r="L434" s="39" t="n">
        <v>150</v>
      </c>
      <c r="M434" s="39">
        <f>I434+J434+K434+L434</f>
        <v/>
      </c>
      <c r="N434" s="39">
        <f>M434*Dashboard!$B$18/(Dashboard!$B$16/3.6)</f>
        <v/>
      </c>
      <c r="O434" s="39" t="n">
        <v>981.638924837319</v>
      </c>
      <c r="P434" s="40" t="n">
        <v>0.05562346576923688</v>
      </c>
      <c r="Q434" s="41" t="n">
        <v>13.51537661762185</v>
      </c>
      <c r="R434" s="39" t="n">
        <v>4229.490762998382</v>
      </c>
      <c r="S434" s="39">
        <f>R434*IF(A434=4, 2.0, 3.0)</f>
        <v/>
      </c>
      <c r="T434" s="37">
        <f>8.0*U434</f>
        <v/>
      </c>
      <c r="U434" s="42">
        <f>MIN(1, S434/M434)</f>
        <v/>
      </c>
      <c r="V434" s="42">
        <f>N434/(N434+O434)</f>
        <v/>
      </c>
      <c r="W434" s="42">
        <f>U434*V434</f>
        <v/>
      </c>
      <c r="X434" s="40">
        <f>T434/N434</f>
        <v/>
      </c>
      <c r="Y434" s="15">
        <f>IF(X434=MAXIFS(X$2:X$721, A$2:A$721, A434, B$2:B$721, B434), "OPTIMAL", "")</f>
        <v/>
      </c>
    </row>
    <row r="435" ht="20" customHeight="1">
      <c r="A435" s="29" t="n">
        <v>-18</v>
      </c>
      <c r="B435" s="29" t="n">
        <v>25</v>
      </c>
      <c r="C435" s="30" t="n">
        <v>100</v>
      </c>
      <c r="D435" s="30" t="n">
        <v>3</v>
      </c>
      <c r="E435" s="6" t="n">
        <v>8</v>
      </c>
      <c r="F435" s="30" t="n">
        <v>1.5</v>
      </c>
      <c r="G435" s="6" t="inlineStr">
        <is>
          <t>Oui</t>
        </is>
      </c>
      <c r="H435" s="6" t="inlineStr">
        <is>
          <t>OFF</t>
        </is>
      </c>
      <c r="I435" s="31" t="n">
        <v>604.2334594602274</v>
      </c>
      <c r="J435" s="31" t="n">
        <v>4012.68388558375</v>
      </c>
      <c r="K435" s="31" t="n">
        <v>3342.592592592593</v>
      </c>
      <c r="L435" s="31" t="n">
        <v>150</v>
      </c>
      <c r="M435" s="31">
        <f>I435+J435+K435+L435</f>
        <v/>
      </c>
      <c r="N435" s="31">
        <f>M435*Dashboard!$B$18/(Dashboard!$B$16/3.6)</f>
        <v/>
      </c>
      <c r="O435" s="31" t="n">
        <v>981.638924837319</v>
      </c>
      <c r="P435" s="32" t="n">
        <v>0.2400757351497012</v>
      </c>
      <c r="Q435" s="33" t="n">
        <v>13.51537661762185</v>
      </c>
      <c r="R435" s="31" t="n">
        <v>979.936329384752</v>
      </c>
      <c r="S435" s="31">
        <f>R435*IF(A435=4, 2.0, 3.0)</f>
        <v/>
      </c>
      <c r="T435" s="30">
        <f>8.0*U435</f>
        <v/>
      </c>
      <c r="U435" s="34">
        <f>MIN(1, S435/M435)</f>
        <v/>
      </c>
      <c r="V435" s="34">
        <f>N435/(N435+O435)</f>
        <v/>
      </c>
      <c r="W435" s="34">
        <f>U435*V435</f>
        <v/>
      </c>
      <c r="X435" s="32">
        <f>T435/N435</f>
        <v/>
      </c>
      <c r="Y435" s="35">
        <f>IF(X435=MAXIFS(X$2:X$721, A$2:A$721, A435, B$2:B$721, B435), "OPTIMAL", "")</f>
        <v/>
      </c>
    </row>
    <row r="436" ht="20" customHeight="1">
      <c r="A436" s="36" t="n">
        <v>-18</v>
      </c>
      <c r="B436" s="36" t="n">
        <v>25</v>
      </c>
      <c r="C436" s="37" t="n">
        <v>100</v>
      </c>
      <c r="D436" s="37" t="n">
        <v>3</v>
      </c>
      <c r="E436" s="38" t="n">
        <v>8</v>
      </c>
      <c r="F436" s="37" t="n">
        <v>1.5</v>
      </c>
      <c r="G436" s="38" t="inlineStr">
        <is>
          <t>Non</t>
        </is>
      </c>
      <c r="H436" s="38" t="inlineStr">
        <is>
          <t>ON</t>
        </is>
      </c>
      <c r="I436" s="39" t="n">
        <v>604.2334594602274</v>
      </c>
      <c r="J436" s="39" t="n">
        <v>4012.68388558375</v>
      </c>
      <c r="K436" s="39" t="n">
        <v>3342.592592592593</v>
      </c>
      <c r="L436" s="39" t="n">
        <v>150</v>
      </c>
      <c r="M436" s="39">
        <f>I436+J436+K436+L436</f>
        <v/>
      </c>
      <c r="N436" s="39">
        <f>M436*Dashboard!$B$18/(Dashboard!$B$16/3.6)</f>
        <v/>
      </c>
      <c r="O436" s="39" t="n">
        <v>981.638924837319</v>
      </c>
      <c r="P436" s="40" t="n">
        <v>0.05244036690739898</v>
      </c>
      <c r="Q436" s="41" t="n">
        <v>13.51537661762185</v>
      </c>
      <c r="R436" s="39" t="n">
        <v>4486.218319036029</v>
      </c>
      <c r="S436" s="39">
        <f>R436*IF(A436=4, 2.0, 3.0)</f>
        <v/>
      </c>
      <c r="T436" s="37">
        <f>8.0*U436</f>
        <v/>
      </c>
      <c r="U436" s="42">
        <f>MIN(1, S436/M436)</f>
        <v/>
      </c>
      <c r="V436" s="42">
        <f>N436/(N436+O436)</f>
        <v/>
      </c>
      <c r="W436" s="42">
        <f>U436*V436</f>
        <v/>
      </c>
      <c r="X436" s="40">
        <f>T436/N436</f>
        <v/>
      </c>
      <c r="Y436" s="15">
        <f>IF(X436=MAXIFS(X$2:X$721, A$2:A$721, A436, B$2:B$721, B436), "OPTIMAL", "")</f>
        <v/>
      </c>
    </row>
    <row r="437" ht="20" customHeight="1">
      <c r="A437" s="29" t="n">
        <v>-18</v>
      </c>
      <c r="B437" s="29" t="n">
        <v>25</v>
      </c>
      <c r="C437" s="30" t="n">
        <v>100</v>
      </c>
      <c r="D437" s="30" t="n">
        <v>3</v>
      </c>
      <c r="E437" s="6" t="n">
        <v>8</v>
      </c>
      <c r="F437" s="30" t="n">
        <v>1.5</v>
      </c>
      <c r="G437" s="6" t="inlineStr">
        <is>
          <t>Non</t>
        </is>
      </c>
      <c r="H437" s="6" t="inlineStr">
        <is>
          <t>OFF</t>
        </is>
      </c>
      <c r="I437" s="31" t="n">
        <v>604.2334594602274</v>
      </c>
      <c r="J437" s="31" t="n">
        <v>4012.68388558375</v>
      </c>
      <c r="K437" s="31" t="n">
        <v>3342.592592592593</v>
      </c>
      <c r="L437" s="31" t="n">
        <v>150</v>
      </c>
      <c r="M437" s="31">
        <f>I437+J437+K437+L437</f>
        <v/>
      </c>
      <c r="N437" s="31">
        <f>M437*Dashboard!$B$18/(Dashboard!$B$16/3.6)</f>
        <v/>
      </c>
      <c r="O437" s="31" t="n">
        <v>981.638924837319</v>
      </c>
      <c r="P437" s="32" t="n">
        <v>0.2368926362878633</v>
      </c>
      <c r="Q437" s="33" t="n">
        <v>13.51537661762185</v>
      </c>
      <c r="R437" s="31" t="n">
        <v>993.103620118719</v>
      </c>
      <c r="S437" s="31">
        <f>R437*IF(A437=4, 2.0, 3.0)</f>
        <v/>
      </c>
      <c r="T437" s="30">
        <f>8.0*U437</f>
        <v/>
      </c>
      <c r="U437" s="34">
        <f>MIN(1, S437/M437)</f>
        <v/>
      </c>
      <c r="V437" s="34">
        <f>N437/(N437+O437)</f>
        <v/>
      </c>
      <c r="W437" s="34">
        <f>U437*V437</f>
        <v/>
      </c>
      <c r="X437" s="32">
        <f>T437/N437</f>
        <v/>
      </c>
      <c r="Y437" s="35">
        <f>IF(X437=MAXIFS(X$2:X$721, A$2:A$721, A437, B$2:B$721, B437), "OPTIMAL", "")</f>
        <v/>
      </c>
    </row>
    <row r="438" ht="20" customHeight="1">
      <c r="A438" s="36" t="n">
        <v>-18</v>
      </c>
      <c r="B438" s="36" t="n">
        <v>25</v>
      </c>
      <c r="C438" s="37" t="n">
        <v>100</v>
      </c>
      <c r="D438" s="37" t="n">
        <v>3</v>
      </c>
      <c r="E438" s="38" t="n">
        <v>8</v>
      </c>
      <c r="F438" s="37" t="n">
        <v>2</v>
      </c>
      <c r="G438" s="38" t="inlineStr">
        <is>
          <t>Oui</t>
        </is>
      </c>
      <c r="H438" s="38" t="inlineStr">
        <is>
          <t>ON</t>
        </is>
      </c>
      <c r="I438" s="39" t="n">
        <v>604.2334594602274</v>
      </c>
      <c r="J438" s="39" t="n">
        <v>4012.68388558375</v>
      </c>
      <c r="K438" s="39" t="n">
        <v>3342.592592592593</v>
      </c>
      <c r="L438" s="39" t="n">
        <v>150</v>
      </c>
      <c r="M438" s="39">
        <f>I438+J438+K438+L438</f>
        <v/>
      </c>
      <c r="N438" s="39">
        <f>M438*Dashboard!$B$18/(Dashboard!$B$16/3.6)</f>
        <v/>
      </c>
      <c r="O438" s="39" t="n">
        <v>1141.749655050804</v>
      </c>
      <c r="P438" s="40" t="n">
        <v>0.05441799410512958</v>
      </c>
      <c r="Q438" s="41" t="n">
        <v>17.95383549016247</v>
      </c>
      <c r="R438" s="39" t="n">
        <v>4425.768511973141</v>
      </c>
      <c r="S438" s="39">
        <f>R438*IF(A438=4, 2.0, 3.0)</f>
        <v/>
      </c>
      <c r="T438" s="37">
        <f>8.0*U438</f>
        <v/>
      </c>
      <c r="U438" s="42">
        <f>MIN(1, S438/M438)</f>
        <v/>
      </c>
      <c r="V438" s="42">
        <f>N438/(N438+O438)</f>
        <v/>
      </c>
      <c r="W438" s="42">
        <f>U438*V438</f>
        <v/>
      </c>
      <c r="X438" s="40">
        <f>T438/N438</f>
        <v/>
      </c>
      <c r="Y438" s="15">
        <f>IF(X438=MAXIFS(X$2:X$721, A$2:A$721, A438, B$2:B$721, B438), "OPTIMAL", "")</f>
        <v/>
      </c>
    </row>
    <row r="439" ht="20" customHeight="1">
      <c r="A439" s="29" t="n">
        <v>-18</v>
      </c>
      <c r="B439" s="29" t="n">
        <v>25</v>
      </c>
      <c r="C439" s="30" t="n">
        <v>100</v>
      </c>
      <c r="D439" s="30" t="n">
        <v>3</v>
      </c>
      <c r="E439" s="6" t="n">
        <v>8</v>
      </c>
      <c r="F439" s="30" t="n">
        <v>2</v>
      </c>
      <c r="G439" s="6" t="inlineStr">
        <is>
          <t>Oui</t>
        </is>
      </c>
      <c r="H439" s="6" t="inlineStr">
        <is>
          <t>OFF</t>
        </is>
      </c>
      <c r="I439" s="31" t="n">
        <v>604.2334594602274</v>
      </c>
      <c r="J439" s="31" t="n">
        <v>4012.68388558375</v>
      </c>
      <c r="K439" s="31" t="n">
        <v>3342.592592592593</v>
      </c>
      <c r="L439" s="31" t="n">
        <v>150</v>
      </c>
      <c r="M439" s="31">
        <f>I439+J439+K439+L439</f>
        <v/>
      </c>
      <c r="N439" s="31">
        <f>M439*Dashboard!$B$18/(Dashboard!$B$16/3.6)</f>
        <v/>
      </c>
      <c r="O439" s="31" t="n">
        <v>1141.749655050804</v>
      </c>
      <c r="P439" s="32" t="n">
        <v>0.2402392320400437</v>
      </c>
      <c r="Q439" s="33" t="n">
        <v>17.95383549016247</v>
      </c>
      <c r="R439" s="31" t="n">
        <v>1002.506721113221</v>
      </c>
      <c r="S439" s="31">
        <f>R439*IF(A439=4, 2.0, 3.0)</f>
        <v/>
      </c>
      <c r="T439" s="30">
        <f>8.0*U439</f>
        <v/>
      </c>
      <c r="U439" s="34">
        <f>MIN(1, S439/M439)</f>
        <v/>
      </c>
      <c r="V439" s="34">
        <f>N439/(N439+O439)</f>
        <v/>
      </c>
      <c r="W439" s="34">
        <f>U439*V439</f>
        <v/>
      </c>
      <c r="X439" s="32">
        <f>T439/N439</f>
        <v/>
      </c>
      <c r="Y439" s="35">
        <f>IF(X439=MAXIFS(X$2:X$721, A$2:A$721, A439, B$2:B$721, B439), "OPTIMAL", "")</f>
        <v/>
      </c>
    </row>
    <row r="440" ht="20" customHeight="1">
      <c r="A440" s="36" t="n">
        <v>-18</v>
      </c>
      <c r="B440" s="36" t="n">
        <v>25</v>
      </c>
      <c r="C440" s="37" t="n">
        <v>100</v>
      </c>
      <c r="D440" s="37" t="n">
        <v>3</v>
      </c>
      <c r="E440" s="38" t="n">
        <v>8</v>
      </c>
      <c r="F440" s="37" t="n">
        <v>2</v>
      </c>
      <c r="G440" s="38" t="inlineStr">
        <is>
          <t>Non</t>
        </is>
      </c>
      <c r="H440" s="38" t="inlineStr">
        <is>
          <t>ON</t>
        </is>
      </c>
      <c r="I440" s="39" t="n">
        <v>604.2334594602274</v>
      </c>
      <c r="J440" s="39" t="n">
        <v>4012.68388558375</v>
      </c>
      <c r="K440" s="39" t="n">
        <v>3342.592592592593</v>
      </c>
      <c r="L440" s="39" t="n">
        <v>150</v>
      </c>
      <c r="M440" s="39">
        <f>I440+J440+K440+L440</f>
        <v/>
      </c>
      <c r="N440" s="39">
        <f>M440*Dashboard!$B$18/(Dashboard!$B$16/3.6)</f>
        <v/>
      </c>
      <c r="O440" s="39" t="n">
        <v>1141.749655050804</v>
      </c>
      <c r="P440" s="40" t="n">
        <v>0.05123489524329167</v>
      </c>
      <c r="Q440" s="41" t="n">
        <v>17.95383549016247</v>
      </c>
      <c r="R440" s="39" t="n">
        <v>4700.730696365707</v>
      </c>
      <c r="S440" s="39">
        <f>R440*IF(A440=4, 2.0, 3.0)</f>
        <v/>
      </c>
      <c r="T440" s="37">
        <f>8.0*U440</f>
        <v/>
      </c>
      <c r="U440" s="42">
        <f>MIN(1, S440/M440)</f>
        <v/>
      </c>
      <c r="V440" s="42">
        <f>N440/(N440+O440)</f>
        <v/>
      </c>
      <c r="W440" s="42">
        <f>U440*V440</f>
        <v/>
      </c>
      <c r="X440" s="40">
        <f>T440/N440</f>
        <v/>
      </c>
      <c r="Y440" s="15">
        <f>IF(X440=MAXIFS(X$2:X$721, A$2:A$721, A440, B$2:B$721, B440), "OPTIMAL", "")</f>
        <v/>
      </c>
    </row>
    <row r="441" ht="20" customHeight="1">
      <c r="A441" s="29" t="n">
        <v>-18</v>
      </c>
      <c r="B441" s="29" t="n">
        <v>25</v>
      </c>
      <c r="C441" s="30" t="n">
        <v>100</v>
      </c>
      <c r="D441" s="30" t="n">
        <v>3</v>
      </c>
      <c r="E441" s="6" t="n">
        <v>8</v>
      </c>
      <c r="F441" s="30" t="n">
        <v>2</v>
      </c>
      <c r="G441" s="6" t="inlineStr">
        <is>
          <t>Non</t>
        </is>
      </c>
      <c r="H441" s="6" t="inlineStr">
        <is>
          <t>OFF</t>
        </is>
      </c>
      <c r="I441" s="31" t="n">
        <v>604.2334594602274</v>
      </c>
      <c r="J441" s="31" t="n">
        <v>4012.68388558375</v>
      </c>
      <c r="K441" s="31" t="n">
        <v>3342.592592592593</v>
      </c>
      <c r="L441" s="31" t="n">
        <v>150</v>
      </c>
      <c r="M441" s="31">
        <f>I441+J441+K441+L441</f>
        <v/>
      </c>
      <c r="N441" s="31">
        <f>M441*Dashboard!$B$18/(Dashboard!$B$16/3.6)</f>
        <v/>
      </c>
      <c r="O441" s="31" t="n">
        <v>1141.749655050804</v>
      </c>
      <c r="P441" s="32" t="n">
        <v>0.2370561331782058</v>
      </c>
      <c r="Q441" s="33" t="n">
        <v>17.95383549016247</v>
      </c>
      <c r="R441" s="31" t="n">
        <v>1015.967996972983</v>
      </c>
      <c r="S441" s="31">
        <f>R441*IF(A441=4, 2.0, 3.0)</f>
        <v/>
      </c>
      <c r="T441" s="30">
        <f>8.0*U441</f>
        <v/>
      </c>
      <c r="U441" s="34">
        <f>MIN(1, S441/M441)</f>
        <v/>
      </c>
      <c r="V441" s="34">
        <f>N441/(N441+O441)</f>
        <v/>
      </c>
      <c r="W441" s="34">
        <f>U441*V441</f>
        <v/>
      </c>
      <c r="X441" s="32">
        <f>T441/N441</f>
        <v/>
      </c>
      <c r="Y441" s="35">
        <f>IF(X441=MAXIFS(X$2:X$721, A$2:A$721, A441, B$2:B$721, B441), "OPTIMAL", "")</f>
        <v/>
      </c>
    </row>
    <row r="442" ht="20" customHeight="1">
      <c r="A442" s="21" t="n">
        <v>-18</v>
      </c>
      <c r="B442" s="21" t="n">
        <v>25</v>
      </c>
      <c r="C442" s="22" t="n">
        <v>120</v>
      </c>
      <c r="D442" s="22" t="n">
        <v>2</v>
      </c>
      <c r="E442" s="23" t="n">
        <v>0</v>
      </c>
      <c r="F442" s="22" t="n">
        <v>0</v>
      </c>
      <c r="G442" s="23" t="inlineStr">
        <is>
          <t>Oui</t>
        </is>
      </c>
      <c r="H442" s="23" t="inlineStr">
        <is>
          <t>ON</t>
        </is>
      </c>
      <c r="I442" s="24" t="n">
        <v>604.2334594602274</v>
      </c>
      <c r="J442" s="24" t="n">
        <v>4012.68388558375</v>
      </c>
      <c r="K442" s="24" t="n">
        <v>3342.592592592593</v>
      </c>
      <c r="L442" s="24" t="n">
        <v>150</v>
      </c>
      <c r="M442" s="24">
        <f>I442+J442+K442+L442</f>
        <v/>
      </c>
      <c r="N442" s="24">
        <f>M442*Dashboard!$B$18/(Dashboard!$B$16/3.6)</f>
        <v/>
      </c>
      <c r="O442" s="24" t="n">
        <v>289.1448405826137</v>
      </c>
      <c r="P442" s="25" t="n">
        <v>0.4668808197339223</v>
      </c>
      <c r="Q442" s="26" t="n">
        <v>0.2</v>
      </c>
      <c r="R442" s="24" t="n">
        <v>309.3739730945305</v>
      </c>
      <c r="S442" s="24">
        <f>R442*IF(A442=4, 2.0, 3.0)</f>
        <v/>
      </c>
      <c r="T442" s="22">
        <f>8.0*U442</f>
        <v/>
      </c>
      <c r="U442" s="27">
        <f>MIN(1, S442/M442)</f>
        <v/>
      </c>
      <c r="V442" s="27">
        <f>N442/(N442+O442)</f>
        <v/>
      </c>
      <c r="W442" s="27">
        <f>U442*V442</f>
        <v/>
      </c>
      <c r="X442" s="25">
        <f>T442/N442</f>
        <v/>
      </c>
      <c r="Y442" s="28">
        <f>IF(X442=MAXIFS(X$2:X$721, A$2:A$721, A442, B$2:B$721, B442), "OPTIMAL", "")</f>
        <v/>
      </c>
    </row>
    <row r="443" ht="20" customHeight="1">
      <c r="A443" s="29" t="n">
        <v>-18</v>
      </c>
      <c r="B443" s="29" t="n">
        <v>25</v>
      </c>
      <c r="C443" s="30" t="n">
        <v>120</v>
      </c>
      <c r="D443" s="30" t="n">
        <v>2</v>
      </c>
      <c r="E443" s="6" t="n">
        <v>0</v>
      </c>
      <c r="F443" s="30" t="n">
        <v>0</v>
      </c>
      <c r="G443" s="6" t="inlineStr">
        <is>
          <t>Oui</t>
        </is>
      </c>
      <c r="H443" s="6" t="inlineStr">
        <is>
          <t>OFF</t>
        </is>
      </c>
      <c r="I443" s="31" t="n">
        <v>604.2334594602274</v>
      </c>
      <c r="J443" s="31" t="n">
        <v>4012.68388558375</v>
      </c>
      <c r="K443" s="31" t="n">
        <v>3342.592592592593</v>
      </c>
      <c r="L443" s="31" t="n">
        <v>150</v>
      </c>
      <c r="M443" s="31">
        <f>I443+J443+K443+L443</f>
        <v/>
      </c>
      <c r="N443" s="31">
        <f>M443*Dashboard!$B$18/(Dashboard!$B$16/3.6)</f>
        <v/>
      </c>
      <c r="O443" s="31" t="n">
        <v>289.1448405826137</v>
      </c>
      <c r="P443" s="32" t="n">
        <v>0.7321390582204146</v>
      </c>
      <c r="Q443" s="33" t="n">
        <v>0.2</v>
      </c>
      <c r="R443" s="31" t="n">
        <v>197.2859835040109</v>
      </c>
      <c r="S443" s="31">
        <f>R443*IF(A443=4, 2.0, 3.0)</f>
        <v/>
      </c>
      <c r="T443" s="30">
        <f>8.0*U443</f>
        <v/>
      </c>
      <c r="U443" s="34">
        <f>MIN(1, S443/M443)</f>
        <v/>
      </c>
      <c r="V443" s="34">
        <f>N443/(N443+O443)</f>
        <v/>
      </c>
      <c r="W443" s="34">
        <f>U443*V443</f>
        <v/>
      </c>
      <c r="X443" s="32">
        <f>T443/N443</f>
        <v/>
      </c>
      <c r="Y443" s="35">
        <f>IF(X443=MAXIFS(X$2:X$721, A$2:A$721, A443, B$2:B$721, B443), "OPTIMAL", "")</f>
        <v/>
      </c>
    </row>
    <row r="444" ht="20" customHeight="1">
      <c r="A444" s="21" t="n">
        <v>-18</v>
      </c>
      <c r="B444" s="21" t="n">
        <v>25</v>
      </c>
      <c r="C444" s="22" t="n">
        <v>120</v>
      </c>
      <c r="D444" s="22" t="n">
        <v>2</v>
      </c>
      <c r="E444" s="23" t="n">
        <v>0</v>
      </c>
      <c r="F444" s="22" t="n">
        <v>0</v>
      </c>
      <c r="G444" s="23" t="inlineStr">
        <is>
          <t>Non</t>
        </is>
      </c>
      <c r="H444" s="23" t="inlineStr">
        <is>
          <t>ON</t>
        </is>
      </c>
      <c r="I444" s="24" t="n">
        <v>604.2334594602274</v>
      </c>
      <c r="J444" s="24" t="n">
        <v>4012.68388558375</v>
      </c>
      <c r="K444" s="24" t="n">
        <v>3342.592592592593</v>
      </c>
      <c r="L444" s="24" t="n">
        <v>150</v>
      </c>
      <c r="M444" s="24">
        <f>I444+J444+K444+L444</f>
        <v/>
      </c>
      <c r="N444" s="24">
        <f>M444*Dashboard!$B$18/(Dashboard!$B$16/3.6)</f>
        <v/>
      </c>
      <c r="O444" s="24" t="n">
        <v>289.1448405826137</v>
      </c>
      <c r="P444" s="25" t="n">
        <v>0.4642282373490574</v>
      </c>
      <c r="Q444" s="26" t="n">
        <v>0.2</v>
      </c>
      <c r="R444" s="24" t="n">
        <v>311.1417241388281</v>
      </c>
      <c r="S444" s="24">
        <f>R444*IF(A444=4, 2.0, 3.0)</f>
        <v/>
      </c>
      <c r="T444" s="22">
        <f>8.0*U444</f>
        <v/>
      </c>
      <c r="U444" s="27">
        <f>MIN(1, S444/M444)</f>
        <v/>
      </c>
      <c r="V444" s="27">
        <f>N444/(N444+O444)</f>
        <v/>
      </c>
      <c r="W444" s="27">
        <f>U444*V444</f>
        <v/>
      </c>
      <c r="X444" s="25">
        <f>T444/N444</f>
        <v/>
      </c>
      <c r="Y444" s="28">
        <f>IF(X444=MAXIFS(X$2:X$721, A$2:A$721, A444, B$2:B$721, B444), "OPTIMAL", "")</f>
        <v/>
      </c>
    </row>
    <row r="445" ht="20" customHeight="1">
      <c r="A445" s="29" t="n">
        <v>-18</v>
      </c>
      <c r="B445" s="29" t="n">
        <v>25</v>
      </c>
      <c r="C445" s="30" t="n">
        <v>120</v>
      </c>
      <c r="D445" s="30" t="n">
        <v>2</v>
      </c>
      <c r="E445" s="6" t="n">
        <v>0</v>
      </c>
      <c r="F445" s="30" t="n">
        <v>0</v>
      </c>
      <c r="G445" s="6" t="inlineStr">
        <is>
          <t>Non</t>
        </is>
      </c>
      <c r="H445" s="6" t="inlineStr">
        <is>
          <t>OFF</t>
        </is>
      </c>
      <c r="I445" s="31" t="n">
        <v>604.2334594602274</v>
      </c>
      <c r="J445" s="31" t="n">
        <v>4012.68388558375</v>
      </c>
      <c r="K445" s="31" t="n">
        <v>3342.592592592593</v>
      </c>
      <c r="L445" s="31" t="n">
        <v>150</v>
      </c>
      <c r="M445" s="31">
        <f>I445+J445+K445+L445</f>
        <v/>
      </c>
      <c r="N445" s="31">
        <f>M445*Dashboard!$B$18/(Dashboard!$B$16/3.6)</f>
        <v/>
      </c>
      <c r="O445" s="31" t="n">
        <v>289.1448405826137</v>
      </c>
      <c r="P445" s="32" t="n">
        <v>0.7294864758355497</v>
      </c>
      <c r="Q445" s="33" t="n">
        <v>0.2</v>
      </c>
      <c r="R445" s="31" t="n">
        <v>198.0033611963445</v>
      </c>
      <c r="S445" s="31">
        <f>R445*IF(A445=4, 2.0, 3.0)</f>
        <v/>
      </c>
      <c r="T445" s="30">
        <f>8.0*U445</f>
        <v/>
      </c>
      <c r="U445" s="34">
        <f>MIN(1, S445/M445)</f>
        <v/>
      </c>
      <c r="V445" s="34">
        <f>N445/(N445+O445)</f>
        <v/>
      </c>
      <c r="W445" s="34">
        <f>U445*V445</f>
        <v/>
      </c>
      <c r="X445" s="32">
        <f>T445/N445</f>
        <v/>
      </c>
      <c r="Y445" s="35">
        <f>IF(X445=MAXIFS(X$2:X$721, A$2:A$721, A445, B$2:B$721, B445), "OPTIMAL", "")</f>
        <v/>
      </c>
    </row>
    <row r="446" ht="20" customHeight="1">
      <c r="A446" s="21" t="n">
        <v>-18</v>
      </c>
      <c r="B446" s="21" t="n">
        <v>25</v>
      </c>
      <c r="C446" s="22" t="n">
        <v>120</v>
      </c>
      <c r="D446" s="22" t="n">
        <v>2</v>
      </c>
      <c r="E446" s="23" t="n">
        <v>4</v>
      </c>
      <c r="F446" s="22" t="n">
        <v>1.5</v>
      </c>
      <c r="G446" s="23" t="inlineStr">
        <is>
          <t>Oui</t>
        </is>
      </c>
      <c r="H446" s="23" t="inlineStr">
        <is>
          <t>ON</t>
        </is>
      </c>
      <c r="I446" s="24" t="n">
        <v>604.2334594602274</v>
      </c>
      <c r="J446" s="24" t="n">
        <v>4012.68388558375</v>
      </c>
      <c r="K446" s="24" t="n">
        <v>3342.592592592593</v>
      </c>
      <c r="L446" s="24" t="n">
        <v>150</v>
      </c>
      <c r="M446" s="24">
        <f>I446+J446+K446+L446</f>
        <v/>
      </c>
      <c r="N446" s="24">
        <f>M446*Dashboard!$B$18/(Dashboard!$B$16/3.6)</f>
        <v/>
      </c>
      <c r="O446" s="24" t="n">
        <v>444.5273229218028</v>
      </c>
      <c r="P446" s="25" t="n">
        <v>0.06805759746267123</v>
      </c>
      <c r="Q446" s="26" t="n">
        <v>5.595023284726097</v>
      </c>
      <c r="R446" s="24" t="n">
        <v>2179.752341387786</v>
      </c>
      <c r="S446" s="24">
        <f>R446*IF(A446=4, 2.0, 3.0)</f>
        <v/>
      </c>
      <c r="T446" s="22">
        <f>8.0*U446</f>
        <v/>
      </c>
      <c r="U446" s="27">
        <f>MIN(1, S446/M446)</f>
        <v/>
      </c>
      <c r="V446" s="27">
        <f>N446/(N446+O446)</f>
        <v/>
      </c>
      <c r="W446" s="27">
        <f>U446*V446</f>
        <v/>
      </c>
      <c r="X446" s="25">
        <f>T446/N446</f>
        <v/>
      </c>
      <c r="Y446" s="28">
        <f>IF(X446=MAXIFS(X$2:X$721, A$2:A$721, A446, B$2:B$721, B446), "OPTIMAL", "")</f>
        <v/>
      </c>
    </row>
    <row r="447" ht="20" customHeight="1">
      <c r="A447" s="29" t="n">
        <v>-18</v>
      </c>
      <c r="B447" s="29" t="n">
        <v>25</v>
      </c>
      <c r="C447" s="30" t="n">
        <v>120</v>
      </c>
      <c r="D447" s="30" t="n">
        <v>2</v>
      </c>
      <c r="E447" s="6" t="n">
        <v>4</v>
      </c>
      <c r="F447" s="30" t="n">
        <v>1.5</v>
      </c>
      <c r="G447" s="6" t="inlineStr">
        <is>
          <t>Oui</t>
        </is>
      </c>
      <c r="H447" s="6" t="inlineStr">
        <is>
          <t>OFF</t>
        </is>
      </c>
      <c r="I447" s="31" t="n">
        <v>604.2334594602274</v>
      </c>
      <c r="J447" s="31" t="n">
        <v>4012.68388558375</v>
      </c>
      <c r="K447" s="31" t="n">
        <v>3342.592592592593</v>
      </c>
      <c r="L447" s="31" t="n">
        <v>150</v>
      </c>
      <c r="M447" s="31">
        <f>I447+J447+K447+L447</f>
        <v/>
      </c>
      <c r="N447" s="31">
        <f>M447*Dashboard!$B$18/(Dashboard!$B$16/3.6)</f>
        <v/>
      </c>
      <c r="O447" s="31" t="n">
        <v>444.5273229218028</v>
      </c>
      <c r="P447" s="32" t="n">
        <v>0.2717308104184109</v>
      </c>
      <c r="Q447" s="33" t="n">
        <v>5.595023284726097</v>
      </c>
      <c r="R447" s="31" t="n">
        <v>545.9399587041964</v>
      </c>
      <c r="S447" s="31">
        <f>R447*IF(A447=4, 2.0, 3.0)</f>
        <v/>
      </c>
      <c r="T447" s="30">
        <f>8.0*U447</f>
        <v/>
      </c>
      <c r="U447" s="34">
        <f>MIN(1, S447/M447)</f>
        <v/>
      </c>
      <c r="V447" s="34">
        <f>N447/(N447+O447)</f>
        <v/>
      </c>
      <c r="W447" s="34">
        <f>U447*V447</f>
        <v/>
      </c>
      <c r="X447" s="32">
        <f>T447/N447</f>
        <v/>
      </c>
      <c r="Y447" s="35">
        <f>IF(X447=MAXIFS(X$2:X$721, A$2:A$721, A447, B$2:B$721, B447), "OPTIMAL", "")</f>
        <v/>
      </c>
    </row>
    <row r="448" ht="20" customHeight="1">
      <c r="A448" s="21" t="n">
        <v>-18</v>
      </c>
      <c r="B448" s="21" t="n">
        <v>25</v>
      </c>
      <c r="C448" s="22" t="n">
        <v>120</v>
      </c>
      <c r="D448" s="22" t="n">
        <v>2</v>
      </c>
      <c r="E448" s="23" t="n">
        <v>4</v>
      </c>
      <c r="F448" s="22" t="n">
        <v>1.5</v>
      </c>
      <c r="G448" s="23" t="inlineStr">
        <is>
          <t>Non</t>
        </is>
      </c>
      <c r="H448" s="23" t="inlineStr">
        <is>
          <t>ON</t>
        </is>
      </c>
      <c r="I448" s="24" t="n">
        <v>604.2334594602274</v>
      </c>
      <c r="J448" s="24" t="n">
        <v>4012.68388558375</v>
      </c>
      <c r="K448" s="24" t="n">
        <v>3342.592592592593</v>
      </c>
      <c r="L448" s="24" t="n">
        <v>150</v>
      </c>
      <c r="M448" s="24">
        <f>I448+J448+K448+L448</f>
        <v/>
      </c>
      <c r="N448" s="24">
        <f>M448*Dashboard!$B$18/(Dashboard!$B$16/3.6)</f>
        <v/>
      </c>
      <c r="O448" s="24" t="n">
        <v>444.5273229218028</v>
      </c>
      <c r="P448" s="25" t="n">
        <v>0.0654050150778063</v>
      </c>
      <c r="Q448" s="26" t="n">
        <v>5.595023284726097</v>
      </c>
      <c r="R448" s="24" t="n">
        <v>2268.15493035218</v>
      </c>
      <c r="S448" s="24">
        <f>R448*IF(A448=4, 2.0, 3.0)</f>
        <v/>
      </c>
      <c r="T448" s="22">
        <f>8.0*U448</f>
        <v/>
      </c>
      <c r="U448" s="27">
        <f>MIN(1, S448/M448)</f>
        <v/>
      </c>
      <c r="V448" s="27">
        <f>N448/(N448+O448)</f>
        <v/>
      </c>
      <c r="W448" s="27">
        <f>U448*V448</f>
        <v/>
      </c>
      <c r="X448" s="25">
        <f>T448/N448</f>
        <v/>
      </c>
      <c r="Y448" s="28">
        <f>IF(X448=MAXIFS(X$2:X$721, A$2:A$721, A448, B$2:B$721, B448), "OPTIMAL", "")</f>
        <v/>
      </c>
    </row>
    <row r="449" ht="20" customHeight="1">
      <c r="A449" s="29" t="n">
        <v>-18</v>
      </c>
      <c r="B449" s="29" t="n">
        <v>25</v>
      </c>
      <c r="C449" s="30" t="n">
        <v>120</v>
      </c>
      <c r="D449" s="30" t="n">
        <v>2</v>
      </c>
      <c r="E449" s="6" t="n">
        <v>4</v>
      </c>
      <c r="F449" s="30" t="n">
        <v>1.5</v>
      </c>
      <c r="G449" s="6" t="inlineStr">
        <is>
          <t>Non</t>
        </is>
      </c>
      <c r="H449" s="6" t="inlineStr">
        <is>
          <t>OFF</t>
        </is>
      </c>
      <c r="I449" s="31" t="n">
        <v>604.2334594602274</v>
      </c>
      <c r="J449" s="31" t="n">
        <v>4012.68388558375</v>
      </c>
      <c r="K449" s="31" t="n">
        <v>3342.592592592593</v>
      </c>
      <c r="L449" s="31" t="n">
        <v>150</v>
      </c>
      <c r="M449" s="31">
        <f>I449+J449+K449+L449</f>
        <v/>
      </c>
      <c r="N449" s="31">
        <f>M449*Dashboard!$B$18/(Dashboard!$B$16/3.6)</f>
        <v/>
      </c>
      <c r="O449" s="31" t="n">
        <v>444.5273229218028</v>
      </c>
      <c r="P449" s="32" t="n">
        <v>0.2690782280335459</v>
      </c>
      <c r="Q449" s="33" t="n">
        <v>5.595023284726097</v>
      </c>
      <c r="R449" s="31" t="n">
        <v>551.3218535094205</v>
      </c>
      <c r="S449" s="31">
        <f>R449*IF(A449=4, 2.0, 3.0)</f>
        <v/>
      </c>
      <c r="T449" s="30">
        <f>8.0*U449</f>
        <v/>
      </c>
      <c r="U449" s="34">
        <f>MIN(1, S449/M449)</f>
        <v/>
      </c>
      <c r="V449" s="34">
        <f>N449/(N449+O449)</f>
        <v/>
      </c>
      <c r="W449" s="34">
        <f>U449*V449</f>
        <v/>
      </c>
      <c r="X449" s="32">
        <f>T449/N449</f>
        <v/>
      </c>
      <c r="Y449" s="35">
        <f>IF(X449=MAXIFS(X$2:X$721, A$2:A$721, A449, B$2:B$721, B449), "OPTIMAL", "")</f>
        <v/>
      </c>
    </row>
    <row r="450" ht="20" customHeight="1">
      <c r="A450" s="21" t="n">
        <v>-18</v>
      </c>
      <c r="B450" s="21" t="n">
        <v>25</v>
      </c>
      <c r="C450" s="22" t="n">
        <v>120</v>
      </c>
      <c r="D450" s="22" t="n">
        <v>2</v>
      </c>
      <c r="E450" s="23" t="n">
        <v>4</v>
      </c>
      <c r="F450" s="22" t="n">
        <v>2</v>
      </c>
      <c r="G450" s="23" t="inlineStr">
        <is>
          <t>Oui</t>
        </is>
      </c>
      <c r="H450" s="23" t="inlineStr">
        <is>
          <t>ON</t>
        </is>
      </c>
      <c r="I450" s="24" t="n">
        <v>604.2334594602274</v>
      </c>
      <c r="J450" s="24" t="n">
        <v>4012.68388558375</v>
      </c>
      <c r="K450" s="24" t="n">
        <v>3342.592592592593</v>
      </c>
      <c r="L450" s="24" t="n">
        <v>150</v>
      </c>
      <c r="M450" s="24">
        <f>I450+J450+K450+L450</f>
        <v/>
      </c>
      <c r="N450" s="24">
        <f>M450*Dashboard!$B$18/(Dashboard!$B$16/3.6)</f>
        <v/>
      </c>
      <c r="O450" s="24" t="n">
        <v>498.2069177106503</v>
      </c>
      <c r="P450" s="25" t="n">
        <v>0.06474901627983365</v>
      </c>
      <c r="Q450" s="26" t="n">
        <v>7.393364379634797</v>
      </c>
      <c r="R450" s="24" t="n">
        <v>2311.985260592909</v>
      </c>
      <c r="S450" s="24">
        <f>R450*IF(A450=4, 2.0, 3.0)</f>
        <v/>
      </c>
      <c r="T450" s="22">
        <f>8.0*U450</f>
        <v/>
      </c>
      <c r="U450" s="27">
        <f>MIN(1, S450/M450)</f>
        <v/>
      </c>
      <c r="V450" s="27">
        <f>N450/(N450+O450)</f>
        <v/>
      </c>
      <c r="W450" s="27">
        <f>U450*V450</f>
        <v/>
      </c>
      <c r="X450" s="25">
        <f>T450/N450</f>
        <v/>
      </c>
      <c r="Y450" s="28">
        <f>IF(X450=MAXIFS(X$2:X$721, A$2:A$721, A450, B$2:B$721, B450), "OPTIMAL", "")</f>
        <v/>
      </c>
    </row>
    <row r="451" ht="20" customHeight="1">
      <c r="A451" s="29" t="n">
        <v>-18</v>
      </c>
      <c r="B451" s="29" t="n">
        <v>25</v>
      </c>
      <c r="C451" s="30" t="n">
        <v>120</v>
      </c>
      <c r="D451" s="30" t="n">
        <v>2</v>
      </c>
      <c r="E451" s="6" t="n">
        <v>4</v>
      </c>
      <c r="F451" s="30" t="n">
        <v>2</v>
      </c>
      <c r="G451" s="6" t="inlineStr">
        <is>
          <t>Oui</t>
        </is>
      </c>
      <c r="H451" s="6" t="inlineStr">
        <is>
          <t>OFF</t>
        </is>
      </c>
      <c r="I451" s="31" t="n">
        <v>604.2334594602274</v>
      </c>
      <c r="J451" s="31" t="n">
        <v>4012.68388558375</v>
      </c>
      <c r="K451" s="31" t="n">
        <v>3342.592592592593</v>
      </c>
      <c r="L451" s="31" t="n">
        <v>150</v>
      </c>
      <c r="M451" s="31">
        <f>I451+J451+K451+L451</f>
        <v/>
      </c>
      <c r="N451" s="31">
        <f>M451*Dashboard!$B$18/(Dashboard!$B$16/3.6)</f>
        <v/>
      </c>
      <c r="O451" s="31" t="n">
        <v>498.2069177106503</v>
      </c>
      <c r="P451" s="32" t="n">
        <v>0.269253725510994</v>
      </c>
      <c r="Q451" s="33" t="n">
        <v>7.393364379634797</v>
      </c>
      <c r="R451" s="31" t="n">
        <v>555.9766015967466</v>
      </c>
      <c r="S451" s="31">
        <f>R451*IF(A451=4, 2.0, 3.0)</f>
        <v/>
      </c>
      <c r="T451" s="30">
        <f>8.0*U451</f>
        <v/>
      </c>
      <c r="U451" s="34">
        <f>MIN(1, S451/M451)</f>
        <v/>
      </c>
      <c r="V451" s="34">
        <f>N451/(N451+O451)</f>
        <v/>
      </c>
      <c r="W451" s="34">
        <f>U451*V451</f>
        <v/>
      </c>
      <c r="X451" s="32">
        <f>T451/N451</f>
        <v/>
      </c>
      <c r="Y451" s="35">
        <f>IF(X451=MAXIFS(X$2:X$721, A$2:A$721, A451, B$2:B$721, B451), "OPTIMAL", "")</f>
        <v/>
      </c>
    </row>
    <row r="452" ht="20" customHeight="1">
      <c r="A452" s="21" t="n">
        <v>-18</v>
      </c>
      <c r="B452" s="21" t="n">
        <v>25</v>
      </c>
      <c r="C452" s="22" t="n">
        <v>120</v>
      </c>
      <c r="D452" s="22" t="n">
        <v>2</v>
      </c>
      <c r="E452" s="23" t="n">
        <v>4</v>
      </c>
      <c r="F452" s="22" t="n">
        <v>2</v>
      </c>
      <c r="G452" s="23" t="inlineStr">
        <is>
          <t>Non</t>
        </is>
      </c>
      <c r="H452" s="23" t="inlineStr">
        <is>
          <t>ON</t>
        </is>
      </c>
      <c r="I452" s="24" t="n">
        <v>604.2334594602274</v>
      </c>
      <c r="J452" s="24" t="n">
        <v>4012.68388558375</v>
      </c>
      <c r="K452" s="24" t="n">
        <v>3342.592592592593</v>
      </c>
      <c r="L452" s="24" t="n">
        <v>150</v>
      </c>
      <c r="M452" s="24">
        <f>I452+J452+K452+L452</f>
        <v/>
      </c>
      <c r="N452" s="24">
        <f>M452*Dashboard!$B$18/(Dashboard!$B$16/3.6)</f>
        <v/>
      </c>
      <c r="O452" s="24" t="n">
        <v>498.2069177106503</v>
      </c>
      <c r="P452" s="25" t="n">
        <v>0.06209643389496873</v>
      </c>
      <c r="Q452" s="26" t="n">
        <v>7.393364379634797</v>
      </c>
      <c r="R452" s="24" t="n">
        <v>2410.746670735867</v>
      </c>
      <c r="S452" s="24">
        <f>R452*IF(A452=4, 2.0, 3.0)</f>
        <v/>
      </c>
      <c r="T452" s="22">
        <f>8.0*U452</f>
        <v/>
      </c>
      <c r="U452" s="27">
        <f>MIN(1, S452/M452)</f>
        <v/>
      </c>
      <c r="V452" s="27">
        <f>N452/(N452+O452)</f>
        <v/>
      </c>
      <c r="W452" s="27">
        <f>U452*V452</f>
        <v/>
      </c>
      <c r="X452" s="25">
        <f>T452/N452</f>
        <v/>
      </c>
      <c r="Y452" s="28">
        <f>IF(X452=MAXIFS(X$2:X$721, A$2:A$721, A452, B$2:B$721, B452), "OPTIMAL", "")</f>
        <v/>
      </c>
    </row>
    <row r="453" ht="20" customHeight="1">
      <c r="A453" s="29" t="n">
        <v>-18</v>
      </c>
      <c r="B453" s="29" t="n">
        <v>25</v>
      </c>
      <c r="C453" s="30" t="n">
        <v>120</v>
      </c>
      <c r="D453" s="30" t="n">
        <v>2</v>
      </c>
      <c r="E453" s="6" t="n">
        <v>4</v>
      </c>
      <c r="F453" s="30" t="n">
        <v>2</v>
      </c>
      <c r="G453" s="6" t="inlineStr">
        <is>
          <t>Non</t>
        </is>
      </c>
      <c r="H453" s="6" t="inlineStr">
        <is>
          <t>OFF</t>
        </is>
      </c>
      <c r="I453" s="31" t="n">
        <v>604.2334594602274</v>
      </c>
      <c r="J453" s="31" t="n">
        <v>4012.68388558375</v>
      </c>
      <c r="K453" s="31" t="n">
        <v>3342.592592592593</v>
      </c>
      <c r="L453" s="31" t="n">
        <v>150</v>
      </c>
      <c r="M453" s="31">
        <f>I453+J453+K453+L453</f>
        <v/>
      </c>
      <c r="N453" s="31">
        <f>M453*Dashboard!$B$18/(Dashboard!$B$16/3.6)</f>
        <v/>
      </c>
      <c r="O453" s="31" t="n">
        <v>498.2069177106503</v>
      </c>
      <c r="P453" s="32" t="n">
        <v>0.2666011431261291</v>
      </c>
      <c r="Q453" s="33" t="n">
        <v>7.393364379634797</v>
      </c>
      <c r="R453" s="31" t="n">
        <v>561.5083623480307</v>
      </c>
      <c r="S453" s="31">
        <f>R453*IF(A453=4, 2.0, 3.0)</f>
        <v/>
      </c>
      <c r="T453" s="30">
        <f>8.0*U453</f>
        <v/>
      </c>
      <c r="U453" s="34">
        <f>MIN(1, S453/M453)</f>
        <v/>
      </c>
      <c r="V453" s="34">
        <f>N453/(N453+O453)</f>
        <v/>
      </c>
      <c r="W453" s="34">
        <f>U453*V453</f>
        <v/>
      </c>
      <c r="X453" s="32">
        <f>T453/N453</f>
        <v/>
      </c>
      <c r="Y453" s="35">
        <f>IF(X453=MAXIFS(X$2:X$721, A$2:A$721, A453, B$2:B$721, B453), "OPTIMAL", "")</f>
        <v/>
      </c>
    </row>
    <row r="454" ht="20" customHeight="1">
      <c r="A454" s="36" t="n">
        <v>-18</v>
      </c>
      <c r="B454" s="36" t="n">
        <v>25</v>
      </c>
      <c r="C454" s="37" t="n">
        <v>120</v>
      </c>
      <c r="D454" s="37" t="n">
        <v>2</v>
      </c>
      <c r="E454" s="38" t="n">
        <v>8</v>
      </c>
      <c r="F454" s="37" t="n">
        <v>1.5</v>
      </c>
      <c r="G454" s="38" t="inlineStr">
        <is>
          <t>Oui</t>
        </is>
      </c>
      <c r="H454" s="38" t="inlineStr">
        <is>
          <t>ON</t>
        </is>
      </c>
      <c r="I454" s="39" t="n">
        <v>604.2334594602274</v>
      </c>
      <c r="J454" s="39" t="n">
        <v>4012.68388558375</v>
      </c>
      <c r="K454" s="39" t="n">
        <v>3342.592592592593</v>
      </c>
      <c r="L454" s="39" t="n">
        <v>150</v>
      </c>
      <c r="M454" s="39">
        <f>I454+J454+K454+L454</f>
        <v/>
      </c>
      <c r="N454" s="39">
        <f>M454*Dashboard!$B$18/(Dashboard!$B$16/3.6)</f>
        <v/>
      </c>
      <c r="O454" s="39" t="n">
        <v>608.5515485884399</v>
      </c>
      <c r="P454" s="40" t="n">
        <v>0.05155761606859751</v>
      </c>
      <c r="Q454" s="41" t="n">
        <v>10.9900465694522</v>
      </c>
      <c r="R454" s="39" t="n">
        <v>2957.351322562274</v>
      </c>
      <c r="S454" s="39">
        <f>R454*IF(A454=4, 2.0, 3.0)</f>
        <v/>
      </c>
      <c r="T454" s="37">
        <f>8.0*U454</f>
        <v/>
      </c>
      <c r="U454" s="42">
        <f>MIN(1, S454/M454)</f>
        <v/>
      </c>
      <c r="V454" s="42">
        <f>N454/(N454+O454)</f>
        <v/>
      </c>
      <c r="W454" s="42">
        <f>U454*V454</f>
        <v/>
      </c>
      <c r="X454" s="40">
        <f>T454/N454</f>
        <v/>
      </c>
      <c r="Y454" s="15">
        <f>IF(X454=MAXIFS(X$2:X$721, A$2:A$721, A454, B$2:B$721, B454), "OPTIMAL", "")</f>
        <v/>
      </c>
    </row>
    <row r="455" ht="20" customHeight="1">
      <c r="A455" s="29" t="n">
        <v>-18</v>
      </c>
      <c r="B455" s="29" t="n">
        <v>25</v>
      </c>
      <c r="C455" s="30" t="n">
        <v>120</v>
      </c>
      <c r="D455" s="30" t="n">
        <v>2</v>
      </c>
      <c r="E455" s="6" t="n">
        <v>8</v>
      </c>
      <c r="F455" s="30" t="n">
        <v>1.5</v>
      </c>
      <c r="G455" s="6" t="inlineStr">
        <is>
          <t>Oui</t>
        </is>
      </c>
      <c r="H455" s="6" t="inlineStr">
        <is>
          <t>OFF</t>
        </is>
      </c>
      <c r="I455" s="31" t="n">
        <v>604.2334594602274</v>
      </c>
      <c r="J455" s="31" t="n">
        <v>4012.68388558375</v>
      </c>
      <c r="K455" s="31" t="n">
        <v>3342.592592592593</v>
      </c>
      <c r="L455" s="31" t="n">
        <v>150</v>
      </c>
      <c r="M455" s="31">
        <f>I455+J455+K455+L455</f>
        <v/>
      </c>
      <c r="N455" s="31">
        <f>M455*Dashboard!$B$18/(Dashboard!$B$16/3.6)</f>
        <v/>
      </c>
      <c r="O455" s="31" t="n">
        <v>608.5515485884399</v>
      </c>
      <c r="P455" s="32" t="n">
        <v>0.216853233443705</v>
      </c>
      <c r="Q455" s="33" t="n">
        <v>10.9900465694522</v>
      </c>
      <c r="R455" s="31" t="n">
        <v>703.1206390021709</v>
      </c>
      <c r="S455" s="31">
        <f>R455*IF(A455=4, 2.0, 3.0)</f>
        <v/>
      </c>
      <c r="T455" s="30">
        <f>8.0*U455</f>
        <v/>
      </c>
      <c r="U455" s="34">
        <f>MIN(1, S455/M455)</f>
        <v/>
      </c>
      <c r="V455" s="34">
        <f>N455/(N455+O455)</f>
        <v/>
      </c>
      <c r="W455" s="34">
        <f>U455*V455</f>
        <v/>
      </c>
      <c r="X455" s="32">
        <f>T455/N455</f>
        <v/>
      </c>
      <c r="Y455" s="35">
        <f>IF(X455=MAXIFS(X$2:X$721, A$2:A$721, A455, B$2:B$721, B455), "OPTIMAL", "")</f>
        <v/>
      </c>
    </row>
    <row r="456" ht="20" customHeight="1">
      <c r="A456" s="36" t="n">
        <v>-18</v>
      </c>
      <c r="B456" s="36" t="n">
        <v>25</v>
      </c>
      <c r="C456" s="37" t="n">
        <v>120</v>
      </c>
      <c r="D456" s="37" t="n">
        <v>2</v>
      </c>
      <c r="E456" s="38" t="n">
        <v>8</v>
      </c>
      <c r="F456" s="37" t="n">
        <v>1.5</v>
      </c>
      <c r="G456" s="38" t="inlineStr">
        <is>
          <t>Non</t>
        </is>
      </c>
      <c r="H456" s="38" t="inlineStr">
        <is>
          <t>ON</t>
        </is>
      </c>
      <c r="I456" s="39" t="n">
        <v>604.2334594602274</v>
      </c>
      <c r="J456" s="39" t="n">
        <v>4012.68388558375</v>
      </c>
      <c r="K456" s="39" t="n">
        <v>3342.592592592593</v>
      </c>
      <c r="L456" s="39" t="n">
        <v>150</v>
      </c>
      <c r="M456" s="39">
        <f>I456+J456+K456+L456</f>
        <v/>
      </c>
      <c r="N456" s="39">
        <f>M456*Dashboard!$B$18/(Dashboard!$B$16/3.6)</f>
        <v/>
      </c>
      <c r="O456" s="39" t="n">
        <v>608.5515485884399</v>
      </c>
      <c r="P456" s="40" t="n">
        <v>0.04890503368373258</v>
      </c>
      <c r="Q456" s="41" t="n">
        <v>10.9900465694522</v>
      </c>
      <c r="R456" s="39" t="n">
        <v>3117.756447212972</v>
      </c>
      <c r="S456" s="39">
        <f>R456*IF(A456=4, 2.0, 3.0)</f>
        <v/>
      </c>
      <c r="T456" s="37">
        <f>8.0*U456</f>
        <v/>
      </c>
      <c r="U456" s="42">
        <f>MIN(1, S456/M456)</f>
        <v/>
      </c>
      <c r="V456" s="42">
        <f>N456/(N456+O456)</f>
        <v/>
      </c>
      <c r="W456" s="42">
        <f>U456*V456</f>
        <v/>
      </c>
      <c r="X456" s="40">
        <f>T456/N456</f>
        <v/>
      </c>
      <c r="Y456" s="15">
        <f>IF(X456=MAXIFS(X$2:X$721, A$2:A$721, A456, B$2:B$721, B456), "OPTIMAL", "")</f>
        <v/>
      </c>
    </row>
    <row r="457" ht="20" customHeight="1">
      <c r="A457" s="29" t="n">
        <v>-18</v>
      </c>
      <c r="B457" s="29" t="n">
        <v>25</v>
      </c>
      <c r="C457" s="30" t="n">
        <v>120</v>
      </c>
      <c r="D457" s="30" t="n">
        <v>2</v>
      </c>
      <c r="E457" s="6" t="n">
        <v>8</v>
      </c>
      <c r="F457" s="30" t="n">
        <v>1.5</v>
      </c>
      <c r="G457" s="6" t="inlineStr">
        <is>
          <t>Non</t>
        </is>
      </c>
      <c r="H457" s="6" t="inlineStr">
        <is>
          <t>OFF</t>
        </is>
      </c>
      <c r="I457" s="31" t="n">
        <v>604.2334594602274</v>
      </c>
      <c r="J457" s="31" t="n">
        <v>4012.68388558375</v>
      </c>
      <c r="K457" s="31" t="n">
        <v>3342.592592592593</v>
      </c>
      <c r="L457" s="31" t="n">
        <v>150</v>
      </c>
      <c r="M457" s="31">
        <f>I457+J457+K457+L457</f>
        <v/>
      </c>
      <c r="N457" s="31">
        <f>M457*Dashboard!$B$18/(Dashboard!$B$16/3.6)</f>
        <v/>
      </c>
      <c r="O457" s="31" t="n">
        <v>608.5515485884399</v>
      </c>
      <c r="P457" s="32" t="n">
        <v>0.2142006510588401</v>
      </c>
      <c r="Q457" s="33" t="n">
        <v>10.9900465694522</v>
      </c>
      <c r="R457" s="31" t="n">
        <v>711.8278273894732</v>
      </c>
      <c r="S457" s="31">
        <f>R457*IF(A457=4, 2.0, 3.0)</f>
        <v/>
      </c>
      <c r="T457" s="30">
        <f>8.0*U457</f>
        <v/>
      </c>
      <c r="U457" s="34">
        <f>MIN(1, S457/M457)</f>
        <v/>
      </c>
      <c r="V457" s="34">
        <f>N457/(N457+O457)</f>
        <v/>
      </c>
      <c r="W457" s="34">
        <f>U457*V457</f>
        <v/>
      </c>
      <c r="X457" s="32">
        <f>T457/N457</f>
        <v/>
      </c>
      <c r="Y457" s="35">
        <f>IF(X457=MAXIFS(X$2:X$721, A$2:A$721, A457, B$2:B$721, B457), "OPTIMAL", "")</f>
        <v/>
      </c>
    </row>
    <row r="458" ht="20" customHeight="1">
      <c r="A458" s="36" t="n">
        <v>-18</v>
      </c>
      <c r="B458" s="36" t="n">
        <v>25</v>
      </c>
      <c r="C458" s="37" t="n">
        <v>120</v>
      </c>
      <c r="D458" s="37" t="n">
        <v>2</v>
      </c>
      <c r="E458" s="38" t="n">
        <v>8</v>
      </c>
      <c r="F458" s="37" t="n">
        <v>2</v>
      </c>
      <c r="G458" s="38" t="inlineStr">
        <is>
          <t>Oui</t>
        </is>
      </c>
      <c r="H458" s="38" t="inlineStr">
        <is>
          <t>ON</t>
        </is>
      </c>
      <c r="I458" s="39" t="n">
        <v>604.2334594602274</v>
      </c>
      <c r="J458" s="39" t="n">
        <v>4012.68388558375</v>
      </c>
      <c r="K458" s="39" t="n">
        <v>3342.592592592593</v>
      </c>
      <c r="L458" s="39" t="n">
        <v>150</v>
      </c>
      <c r="M458" s="39">
        <f>I458+J458+K458+L458</f>
        <v/>
      </c>
      <c r="N458" s="39">
        <f>M458*Dashboard!$B$18/(Dashboard!$B$16/3.6)</f>
        <v/>
      </c>
      <c r="O458" s="39" t="n">
        <v>723.0647394204187</v>
      </c>
      <c r="P458" s="40" t="n">
        <v>0.04997260972227939</v>
      </c>
      <c r="Q458" s="41" t="n">
        <v>14.58672875926959</v>
      </c>
      <c r="R458" s="39" t="n">
        <v>3108.783766124757</v>
      </c>
      <c r="S458" s="39">
        <f>R458*IF(A458=4, 2.0, 3.0)</f>
        <v/>
      </c>
      <c r="T458" s="37">
        <f>8.0*U458</f>
        <v/>
      </c>
      <c r="U458" s="42">
        <f>MIN(1, S458/M458)</f>
        <v/>
      </c>
      <c r="V458" s="42">
        <f>N458/(N458+O458)</f>
        <v/>
      </c>
      <c r="W458" s="42">
        <f>U458*V458</f>
        <v/>
      </c>
      <c r="X458" s="40">
        <f>T458/N458</f>
        <v/>
      </c>
      <c r="Y458" s="15">
        <f>IF(X458=MAXIFS(X$2:X$721, A$2:A$721, A458, B$2:B$721, B458), "OPTIMAL", "")</f>
        <v/>
      </c>
    </row>
    <row r="459" ht="20" customHeight="1">
      <c r="A459" s="29" t="n">
        <v>-18</v>
      </c>
      <c r="B459" s="29" t="n">
        <v>25</v>
      </c>
      <c r="C459" s="30" t="n">
        <v>120</v>
      </c>
      <c r="D459" s="30" t="n">
        <v>2</v>
      </c>
      <c r="E459" s="6" t="n">
        <v>8</v>
      </c>
      <c r="F459" s="30" t="n">
        <v>2</v>
      </c>
      <c r="G459" s="6" t="inlineStr">
        <is>
          <t>Oui</t>
        </is>
      </c>
      <c r="H459" s="6" t="inlineStr">
        <is>
          <t>OFF</t>
        </is>
      </c>
      <c r="I459" s="31" t="n">
        <v>604.2334594602274</v>
      </c>
      <c r="J459" s="31" t="n">
        <v>4012.68388558375</v>
      </c>
      <c r="K459" s="31" t="n">
        <v>3342.592592592593</v>
      </c>
      <c r="L459" s="31" t="n">
        <v>150</v>
      </c>
      <c r="M459" s="31">
        <f>I459+J459+K459+L459</f>
        <v/>
      </c>
      <c r="N459" s="31">
        <f>M459*Dashboard!$B$18/(Dashboard!$B$16/3.6)</f>
        <v/>
      </c>
      <c r="O459" s="31" t="n">
        <v>723.0647394204187</v>
      </c>
      <c r="P459" s="32" t="n">
        <v>0.2163666659525478</v>
      </c>
      <c r="Q459" s="33" t="n">
        <v>14.58672875926959</v>
      </c>
      <c r="R459" s="31" t="n">
        <v>718.0128102060861</v>
      </c>
      <c r="S459" s="31">
        <f>R459*IF(A459=4, 2.0, 3.0)</f>
        <v/>
      </c>
      <c r="T459" s="30">
        <f>8.0*U459</f>
        <v/>
      </c>
      <c r="U459" s="34">
        <f>MIN(1, S459/M459)</f>
        <v/>
      </c>
      <c r="V459" s="34">
        <f>N459/(N459+O459)</f>
        <v/>
      </c>
      <c r="W459" s="34">
        <f>U459*V459</f>
        <v/>
      </c>
      <c r="X459" s="32">
        <f>T459/N459</f>
        <v/>
      </c>
      <c r="Y459" s="35">
        <f>IF(X459=MAXIFS(X$2:X$721, A$2:A$721, A459, B$2:B$721, B459), "OPTIMAL", "")</f>
        <v/>
      </c>
    </row>
    <row r="460" ht="20" customHeight="1">
      <c r="A460" s="36" t="n">
        <v>-18</v>
      </c>
      <c r="B460" s="36" t="n">
        <v>25</v>
      </c>
      <c r="C460" s="37" t="n">
        <v>120</v>
      </c>
      <c r="D460" s="37" t="n">
        <v>2</v>
      </c>
      <c r="E460" s="38" t="n">
        <v>8</v>
      </c>
      <c r="F460" s="37" t="n">
        <v>2</v>
      </c>
      <c r="G460" s="38" t="inlineStr">
        <is>
          <t>Non</t>
        </is>
      </c>
      <c r="H460" s="38" t="inlineStr">
        <is>
          <t>ON</t>
        </is>
      </c>
      <c r="I460" s="39" t="n">
        <v>604.2334594602274</v>
      </c>
      <c r="J460" s="39" t="n">
        <v>4012.68388558375</v>
      </c>
      <c r="K460" s="39" t="n">
        <v>3342.592592592593</v>
      </c>
      <c r="L460" s="39" t="n">
        <v>150</v>
      </c>
      <c r="M460" s="39">
        <f>I460+J460+K460+L460</f>
        <v/>
      </c>
      <c r="N460" s="39">
        <f>M460*Dashboard!$B$18/(Dashboard!$B$16/3.6)</f>
        <v/>
      </c>
      <c r="O460" s="39" t="n">
        <v>723.0647394204187</v>
      </c>
      <c r="P460" s="40" t="n">
        <v>0.04732002733741447</v>
      </c>
      <c r="Q460" s="41" t="n">
        <v>14.58672875926959</v>
      </c>
      <c r="R460" s="39" t="n">
        <v>3283.050467147064</v>
      </c>
      <c r="S460" s="39">
        <f>R460*IF(A460=4, 2.0, 3.0)</f>
        <v/>
      </c>
      <c r="T460" s="37">
        <f>8.0*U460</f>
        <v/>
      </c>
      <c r="U460" s="42">
        <f>MIN(1, S460/M460)</f>
        <v/>
      </c>
      <c r="V460" s="42">
        <f>N460/(N460+O460)</f>
        <v/>
      </c>
      <c r="W460" s="42">
        <f>U460*V460</f>
        <v/>
      </c>
      <c r="X460" s="40">
        <f>T460/N460</f>
        <v/>
      </c>
      <c r="Y460" s="15">
        <f>IF(X460=MAXIFS(X$2:X$721, A$2:A$721, A460, B$2:B$721, B460), "OPTIMAL", "")</f>
        <v/>
      </c>
    </row>
    <row r="461" ht="20" customHeight="1">
      <c r="A461" s="29" t="n">
        <v>-18</v>
      </c>
      <c r="B461" s="29" t="n">
        <v>25</v>
      </c>
      <c r="C461" s="30" t="n">
        <v>120</v>
      </c>
      <c r="D461" s="30" t="n">
        <v>2</v>
      </c>
      <c r="E461" s="6" t="n">
        <v>8</v>
      </c>
      <c r="F461" s="30" t="n">
        <v>2</v>
      </c>
      <c r="G461" s="6" t="inlineStr">
        <is>
          <t>Non</t>
        </is>
      </c>
      <c r="H461" s="6" t="inlineStr">
        <is>
          <t>OFF</t>
        </is>
      </c>
      <c r="I461" s="31" t="n">
        <v>604.2334594602274</v>
      </c>
      <c r="J461" s="31" t="n">
        <v>4012.68388558375</v>
      </c>
      <c r="K461" s="31" t="n">
        <v>3342.592592592593</v>
      </c>
      <c r="L461" s="31" t="n">
        <v>150</v>
      </c>
      <c r="M461" s="31">
        <f>I461+J461+K461+L461</f>
        <v/>
      </c>
      <c r="N461" s="31">
        <f>M461*Dashboard!$B$18/(Dashboard!$B$16/3.6)</f>
        <v/>
      </c>
      <c r="O461" s="31" t="n">
        <v>723.0647394204187</v>
      </c>
      <c r="P461" s="32" t="n">
        <v>0.2137140835676829</v>
      </c>
      <c r="Q461" s="33" t="n">
        <v>14.58672875926959</v>
      </c>
      <c r="R461" s="31" t="n">
        <v>726.9246615013559</v>
      </c>
      <c r="S461" s="31">
        <f>R461*IF(A461=4, 2.0, 3.0)</f>
        <v/>
      </c>
      <c r="T461" s="30">
        <f>8.0*U461</f>
        <v/>
      </c>
      <c r="U461" s="34">
        <f>MIN(1, S461/M461)</f>
        <v/>
      </c>
      <c r="V461" s="34">
        <f>N461/(N461+O461)</f>
        <v/>
      </c>
      <c r="W461" s="34">
        <f>U461*V461</f>
        <v/>
      </c>
      <c r="X461" s="32">
        <f>T461/N461</f>
        <v/>
      </c>
      <c r="Y461" s="35">
        <f>IF(X461=MAXIFS(X$2:X$721, A$2:A$721, A461, B$2:B$721, B461), "OPTIMAL", "")</f>
        <v/>
      </c>
    </row>
    <row r="462" ht="20" customHeight="1">
      <c r="A462" s="21" t="n">
        <v>-18</v>
      </c>
      <c r="B462" s="21" t="n">
        <v>25</v>
      </c>
      <c r="C462" s="22" t="n">
        <v>120</v>
      </c>
      <c r="D462" s="22" t="n">
        <v>3</v>
      </c>
      <c r="E462" s="23" t="n">
        <v>0</v>
      </c>
      <c r="F462" s="22" t="n">
        <v>0</v>
      </c>
      <c r="G462" s="23" t="inlineStr">
        <is>
          <t>Oui</t>
        </is>
      </c>
      <c r="H462" s="23" t="inlineStr">
        <is>
          <t>ON</t>
        </is>
      </c>
      <c r="I462" s="24" t="n">
        <v>604.2334594602274</v>
      </c>
      <c r="J462" s="24" t="n">
        <v>4012.68388558375</v>
      </c>
      <c r="K462" s="24" t="n">
        <v>3342.592592592593</v>
      </c>
      <c r="L462" s="24" t="n">
        <v>150</v>
      </c>
      <c r="M462" s="24">
        <f>I462+J462+K462+L462</f>
        <v/>
      </c>
      <c r="N462" s="24">
        <f>M462*Dashboard!$B$18/(Dashboard!$B$16/3.6)</f>
        <v/>
      </c>
      <c r="O462" s="24" t="n">
        <v>445.2632342489854</v>
      </c>
      <c r="P462" s="25" t="n">
        <v>0.4668943220842715</v>
      </c>
      <c r="Q462" s="26" t="n">
        <v>0.2</v>
      </c>
      <c r="R462" s="24" t="n">
        <v>320.3151578891253</v>
      </c>
      <c r="S462" s="24">
        <f>R462*IF(A462=4, 2.0, 3.0)</f>
        <v/>
      </c>
      <c r="T462" s="22">
        <f>8.0*U462</f>
        <v/>
      </c>
      <c r="U462" s="27">
        <f>MIN(1, S462/M462)</f>
        <v/>
      </c>
      <c r="V462" s="27">
        <f>N462/(N462+O462)</f>
        <v/>
      </c>
      <c r="W462" s="27">
        <f>U462*V462</f>
        <v/>
      </c>
      <c r="X462" s="25">
        <f>T462/N462</f>
        <v/>
      </c>
      <c r="Y462" s="28">
        <f>IF(X462=MAXIFS(X$2:X$721, A$2:A$721, A462, B$2:B$721, B462), "OPTIMAL", "")</f>
        <v/>
      </c>
    </row>
    <row r="463" ht="20" customHeight="1">
      <c r="A463" s="29" t="n">
        <v>-18</v>
      </c>
      <c r="B463" s="29" t="n">
        <v>25</v>
      </c>
      <c r="C463" s="30" t="n">
        <v>120</v>
      </c>
      <c r="D463" s="30" t="n">
        <v>3</v>
      </c>
      <c r="E463" s="6" t="n">
        <v>0</v>
      </c>
      <c r="F463" s="30" t="n">
        <v>0</v>
      </c>
      <c r="G463" s="6" t="inlineStr">
        <is>
          <t>Oui</t>
        </is>
      </c>
      <c r="H463" s="6" t="inlineStr">
        <is>
          <t>OFF</t>
        </is>
      </c>
      <c r="I463" s="31" t="n">
        <v>604.2334594602274</v>
      </c>
      <c r="J463" s="31" t="n">
        <v>4012.68388558375</v>
      </c>
      <c r="K463" s="31" t="n">
        <v>3342.592592592593</v>
      </c>
      <c r="L463" s="31" t="n">
        <v>150</v>
      </c>
      <c r="M463" s="31">
        <f>I463+J463+K463+L463</f>
        <v/>
      </c>
      <c r="N463" s="31">
        <f>M463*Dashboard!$B$18/(Dashboard!$B$16/3.6)</f>
        <v/>
      </c>
      <c r="O463" s="31" t="n">
        <v>445.2632342489854</v>
      </c>
      <c r="P463" s="32" t="n">
        <v>0.7321525605707637</v>
      </c>
      <c r="Q463" s="33" t="n">
        <v>0.2</v>
      </c>
      <c r="R463" s="31" t="n">
        <v>204.2652536506494</v>
      </c>
      <c r="S463" s="31">
        <f>R463*IF(A463=4, 2.0, 3.0)</f>
        <v/>
      </c>
      <c r="T463" s="30">
        <f>8.0*U463</f>
        <v/>
      </c>
      <c r="U463" s="34">
        <f>MIN(1, S463/M463)</f>
        <v/>
      </c>
      <c r="V463" s="34">
        <f>N463/(N463+O463)</f>
        <v/>
      </c>
      <c r="W463" s="34">
        <f>U463*V463</f>
        <v/>
      </c>
      <c r="X463" s="32">
        <f>T463/N463</f>
        <v/>
      </c>
      <c r="Y463" s="35">
        <f>IF(X463=MAXIFS(X$2:X$721, A$2:A$721, A463, B$2:B$721, B463), "OPTIMAL", "")</f>
        <v/>
      </c>
    </row>
    <row r="464" ht="20" customHeight="1">
      <c r="A464" s="21" t="n">
        <v>-18</v>
      </c>
      <c r="B464" s="21" t="n">
        <v>25</v>
      </c>
      <c r="C464" s="22" t="n">
        <v>120</v>
      </c>
      <c r="D464" s="22" t="n">
        <v>3</v>
      </c>
      <c r="E464" s="23" t="n">
        <v>0</v>
      </c>
      <c r="F464" s="22" t="n">
        <v>0</v>
      </c>
      <c r="G464" s="23" t="inlineStr">
        <is>
          <t>Non</t>
        </is>
      </c>
      <c r="H464" s="23" t="inlineStr">
        <is>
          <t>ON</t>
        </is>
      </c>
      <c r="I464" s="24" t="n">
        <v>604.2334594602274</v>
      </c>
      <c r="J464" s="24" t="n">
        <v>4012.68388558375</v>
      </c>
      <c r="K464" s="24" t="n">
        <v>3342.592592592593</v>
      </c>
      <c r="L464" s="24" t="n">
        <v>150</v>
      </c>
      <c r="M464" s="24">
        <f>I464+J464+K464+L464</f>
        <v/>
      </c>
      <c r="N464" s="24">
        <f>M464*Dashboard!$B$18/(Dashboard!$B$16/3.6)</f>
        <v/>
      </c>
      <c r="O464" s="24" t="n">
        <v>445.2632342489854</v>
      </c>
      <c r="P464" s="25" t="n">
        <v>0.4642417396994065</v>
      </c>
      <c r="Q464" s="26" t="n">
        <v>0.2</v>
      </c>
      <c r="R464" s="24" t="n">
        <v>322.1453732117977</v>
      </c>
      <c r="S464" s="24">
        <f>R464*IF(A464=4, 2.0, 3.0)</f>
        <v/>
      </c>
      <c r="T464" s="22">
        <f>8.0*U464</f>
        <v/>
      </c>
      <c r="U464" s="27">
        <f>MIN(1, S464/M464)</f>
        <v/>
      </c>
      <c r="V464" s="27">
        <f>N464/(N464+O464)</f>
        <v/>
      </c>
      <c r="W464" s="27">
        <f>U464*V464</f>
        <v/>
      </c>
      <c r="X464" s="25">
        <f>T464/N464</f>
        <v/>
      </c>
      <c r="Y464" s="28">
        <f>IF(X464=MAXIFS(X$2:X$721, A$2:A$721, A464, B$2:B$721, B464), "OPTIMAL", "")</f>
        <v/>
      </c>
    </row>
    <row r="465" ht="20" customHeight="1">
      <c r="A465" s="29" t="n">
        <v>-18</v>
      </c>
      <c r="B465" s="29" t="n">
        <v>25</v>
      </c>
      <c r="C465" s="30" t="n">
        <v>120</v>
      </c>
      <c r="D465" s="30" t="n">
        <v>3</v>
      </c>
      <c r="E465" s="6" t="n">
        <v>0</v>
      </c>
      <c r="F465" s="30" t="n">
        <v>0</v>
      </c>
      <c r="G465" s="6" t="inlineStr">
        <is>
          <t>Non</t>
        </is>
      </c>
      <c r="H465" s="6" t="inlineStr">
        <is>
          <t>OFF</t>
        </is>
      </c>
      <c r="I465" s="31" t="n">
        <v>604.2334594602274</v>
      </c>
      <c r="J465" s="31" t="n">
        <v>4012.68388558375</v>
      </c>
      <c r="K465" s="31" t="n">
        <v>3342.592592592593</v>
      </c>
      <c r="L465" s="31" t="n">
        <v>150</v>
      </c>
      <c r="M465" s="31">
        <f>I465+J465+K465+L465</f>
        <v/>
      </c>
      <c r="N465" s="31">
        <f>M465*Dashboard!$B$18/(Dashboard!$B$16/3.6)</f>
        <v/>
      </c>
      <c r="O465" s="31" t="n">
        <v>445.2632342489854</v>
      </c>
      <c r="P465" s="32" t="n">
        <v>0.7294999781858988</v>
      </c>
      <c r="Q465" s="33" t="n">
        <v>0.2</v>
      </c>
      <c r="R465" s="31" t="n">
        <v>205.0079958437624</v>
      </c>
      <c r="S465" s="31">
        <f>R465*IF(A465=4, 2.0, 3.0)</f>
        <v/>
      </c>
      <c r="T465" s="30">
        <f>8.0*U465</f>
        <v/>
      </c>
      <c r="U465" s="34">
        <f>MIN(1, S465/M465)</f>
        <v/>
      </c>
      <c r="V465" s="34">
        <f>N465/(N465+O465)</f>
        <v/>
      </c>
      <c r="W465" s="34">
        <f>U465*V465</f>
        <v/>
      </c>
      <c r="X465" s="32">
        <f>T465/N465</f>
        <v/>
      </c>
      <c r="Y465" s="35">
        <f>IF(X465=MAXIFS(X$2:X$721, A$2:A$721, A465, B$2:B$721, B465), "OPTIMAL", "")</f>
        <v/>
      </c>
    </row>
    <row r="466" ht="20" customHeight="1">
      <c r="A466" s="21" t="n">
        <v>-18</v>
      </c>
      <c r="B466" s="21" t="n">
        <v>25</v>
      </c>
      <c r="C466" s="22" t="n">
        <v>120</v>
      </c>
      <c r="D466" s="22" t="n">
        <v>3</v>
      </c>
      <c r="E466" s="23" t="n">
        <v>4</v>
      </c>
      <c r="F466" s="22" t="n">
        <v>1.5</v>
      </c>
      <c r="G466" s="23" t="inlineStr">
        <is>
          <t>Oui</t>
        </is>
      </c>
      <c r="H466" s="23" t="inlineStr">
        <is>
          <t>ON</t>
        </is>
      </c>
      <c r="I466" s="24" t="n">
        <v>604.2334594602274</v>
      </c>
      <c r="J466" s="24" t="n">
        <v>4012.68388558375</v>
      </c>
      <c r="K466" s="24" t="n">
        <v>3342.592592592593</v>
      </c>
      <c r="L466" s="24" t="n">
        <v>150</v>
      </c>
      <c r="M466" s="24">
        <f>I466+J466+K466+L466</f>
        <v/>
      </c>
      <c r="N466" s="24">
        <f>M466*Dashboard!$B$18/(Dashboard!$B$16/3.6)</f>
        <v/>
      </c>
      <c r="O466" s="24" t="n">
        <v>608.3906658886103</v>
      </c>
      <c r="P466" s="25" t="n">
        <v>0.06783449726767998</v>
      </c>
      <c r="Q466" s="26" t="n">
        <v>5.689672816037082</v>
      </c>
      <c r="R466" s="24" t="n">
        <v>2265.40378999754</v>
      </c>
      <c r="S466" s="24">
        <f>R466*IF(A466=4, 2.0, 3.0)</f>
        <v/>
      </c>
      <c r="T466" s="22">
        <f>8.0*U466</f>
        <v/>
      </c>
      <c r="U466" s="27">
        <f>MIN(1, S466/M466)</f>
        <v/>
      </c>
      <c r="V466" s="27">
        <f>N466/(N466+O466)</f>
        <v/>
      </c>
      <c r="W466" s="27">
        <f>U466*V466</f>
        <v/>
      </c>
      <c r="X466" s="25">
        <f>T466/N466</f>
        <v/>
      </c>
      <c r="Y466" s="28">
        <f>IF(X466=MAXIFS(X$2:X$721, A$2:A$721, A466, B$2:B$721, B466), "OPTIMAL", "")</f>
        <v/>
      </c>
    </row>
    <row r="467" ht="20" customHeight="1">
      <c r="A467" s="29" t="n">
        <v>-18</v>
      </c>
      <c r="B467" s="29" t="n">
        <v>25</v>
      </c>
      <c r="C467" s="30" t="n">
        <v>120</v>
      </c>
      <c r="D467" s="30" t="n">
        <v>3</v>
      </c>
      <c r="E467" s="6" t="n">
        <v>4</v>
      </c>
      <c r="F467" s="30" t="n">
        <v>1.5</v>
      </c>
      <c r="G467" s="6" t="inlineStr">
        <is>
          <t>Oui</t>
        </is>
      </c>
      <c r="H467" s="6" t="inlineStr">
        <is>
          <t>OFF</t>
        </is>
      </c>
      <c r="I467" s="31" t="n">
        <v>604.2334594602274</v>
      </c>
      <c r="J467" s="31" t="n">
        <v>4012.68388558375</v>
      </c>
      <c r="K467" s="31" t="n">
        <v>3342.592592592593</v>
      </c>
      <c r="L467" s="31" t="n">
        <v>150</v>
      </c>
      <c r="M467" s="31">
        <f>I467+J467+K467+L467</f>
        <v/>
      </c>
      <c r="N467" s="31">
        <f>M467*Dashboard!$B$18/(Dashboard!$B$16/3.6)</f>
        <v/>
      </c>
      <c r="O467" s="31" t="n">
        <v>608.3906658886103</v>
      </c>
      <c r="P467" s="32" t="n">
        <v>0.2715077102234196</v>
      </c>
      <c r="Q467" s="33" t="n">
        <v>5.689672816037082</v>
      </c>
      <c r="R467" s="31" t="n">
        <v>565.9969180113713</v>
      </c>
      <c r="S467" s="31">
        <f>R467*IF(A467=4, 2.0, 3.0)</f>
        <v/>
      </c>
      <c r="T467" s="30">
        <f>8.0*U467</f>
        <v/>
      </c>
      <c r="U467" s="34">
        <f>MIN(1, S467/M467)</f>
        <v/>
      </c>
      <c r="V467" s="34">
        <f>N467/(N467+O467)</f>
        <v/>
      </c>
      <c r="W467" s="34">
        <f>U467*V467</f>
        <v/>
      </c>
      <c r="X467" s="32">
        <f>T467/N467</f>
        <v/>
      </c>
      <c r="Y467" s="35">
        <f>IF(X467=MAXIFS(X$2:X$721, A$2:A$721, A467, B$2:B$721, B467), "OPTIMAL", "")</f>
        <v/>
      </c>
    </row>
    <row r="468" ht="20" customHeight="1">
      <c r="A468" s="21" t="n">
        <v>-18</v>
      </c>
      <c r="B468" s="21" t="n">
        <v>25</v>
      </c>
      <c r="C468" s="22" t="n">
        <v>120</v>
      </c>
      <c r="D468" s="22" t="n">
        <v>3</v>
      </c>
      <c r="E468" s="23" t="n">
        <v>4</v>
      </c>
      <c r="F468" s="22" t="n">
        <v>1.5</v>
      </c>
      <c r="G468" s="23" t="inlineStr">
        <is>
          <t>Non</t>
        </is>
      </c>
      <c r="H468" s="23" t="inlineStr">
        <is>
          <t>ON</t>
        </is>
      </c>
      <c r="I468" s="24" t="n">
        <v>604.2334594602274</v>
      </c>
      <c r="J468" s="24" t="n">
        <v>4012.68388558375</v>
      </c>
      <c r="K468" s="24" t="n">
        <v>3342.592592592593</v>
      </c>
      <c r="L468" s="24" t="n">
        <v>150</v>
      </c>
      <c r="M468" s="24">
        <f>I468+J468+K468+L468</f>
        <v/>
      </c>
      <c r="N468" s="24">
        <f>M468*Dashboard!$B$18/(Dashboard!$B$16/3.6)</f>
        <v/>
      </c>
      <c r="O468" s="24" t="n">
        <v>608.3906658886103</v>
      </c>
      <c r="P468" s="25" t="n">
        <v>0.06518191488281506</v>
      </c>
      <c r="Q468" s="26" t="n">
        <v>5.689672816037082</v>
      </c>
      <c r="R468" s="24" t="n">
        <v>2357.594548718836</v>
      </c>
      <c r="S468" s="24">
        <f>R468*IF(A468=4, 2.0, 3.0)</f>
        <v/>
      </c>
      <c r="T468" s="22">
        <f>8.0*U468</f>
        <v/>
      </c>
      <c r="U468" s="27">
        <f>MIN(1, S468/M468)</f>
        <v/>
      </c>
      <c r="V468" s="27">
        <f>N468/(N468+O468)</f>
        <v/>
      </c>
      <c r="W468" s="27">
        <f>U468*V468</f>
        <v/>
      </c>
      <c r="X468" s="25">
        <f>T468/N468</f>
        <v/>
      </c>
      <c r="Y468" s="28">
        <f>IF(X468=MAXIFS(X$2:X$721, A$2:A$721, A468, B$2:B$721, B468), "OPTIMAL", "")</f>
        <v/>
      </c>
    </row>
    <row r="469" ht="20" customHeight="1">
      <c r="A469" s="29" t="n">
        <v>-18</v>
      </c>
      <c r="B469" s="29" t="n">
        <v>25</v>
      </c>
      <c r="C469" s="30" t="n">
        <v>120</v>
      </c>
      <c r="D469" s="30" t="n">
        <v>3</v>
      </c>
      <c r="E469" s="6" t="n">
        <v>4</v>
      </c>
      <c r="F469" s="30" t="n">
        <v>1.5</v>
      </c>
      <c r="G469" s="6" t="inlineStr">
        <is>
          <t>Non</t>
        </is>
      </c>
      <c r="H469" s="6" t="inlineStr">
        <is>
          <t>OFF</t>
        </is>
      </c>
      <c r="I469" s="31" t="n">
        <v>604.2334594602274</v>
      </c>
      <c r="J469" s="31" t="n">
        <v>4012.68388558375</v>
      </c>
      <c r="K469" s="31" t="n">
        <v>3342.592592592593</v>
      </c>
      <c r="L469" s="31" t="n">
        <v>150</v>
      </c>
      <c r="M469" s="31">
        <f>I469+J469+K469+L469</f>
        <v/>
      </c>
      <c r="N469" s="31">
        <f>M469*Dashboard!$B$18/(Dashboard!$B$16/3.6)</f>
        <v/>
      </c>
      <c r="O469" s="31" t="n">
        <v>608.3906658886103</v>
      </c>
      <c r="P469" s="32" t="n">
        <v>0.2688551278385546</v>
      </c>
      <c r="Q469" s="33" t="n">
        <v>5.689672816037082</v>
      </c>
      <c r="R469" s="31" t="n">
        <v>571.5811650617246</v>
      </c>
      <c r="S469" s="31">
        <f>R469*IF(A469=4, 2.0, 3.0)</f>
        <v/>
      </c>
      <c r="T469" s="30">
        <f>8.0*U469</f>
        <v/>
      </c>
      <c r="U469" s="34">
        <f>MIN(1, S469/M469)</f>
        <v/>
      </c>
      <c r="V469" s="34">
        <f>N469/(N469+O469)</f>
        <v/>
      </c>
      <c r="W469" s="34">
        <f>U469*V469</f>
        <v/>
      </c>
      <c r="X469" s="32">
        <f>T469/N469</f>
        <v/>
      </c>
      <c r="Y469" s="35">
        <f>IF(X469=MAXIFS(X$2:X$721, A$2:A$721, A469, B$2:B$721, B469), "OPTIMAL", "")</f>
        <v/>
      </c>
    </row>
    <row r="470" ht="20" customHeight="1">
      <c r="A470" s="21" t="n">
        <v>-18</v>
      </c>
      <c r="B470" s="21" t="n">
        <v>25</v>
      </c>
      <c r="C470" s="22" t="n">
        <v>120</v>
      </c>
      <c r="D470" s="22" t="n">
        <v>3</v>
      </c>
      <c r="E470" s="23" t="n">
        <v>4</v>
      </c>
      <c r="F470" s="22" t="n">
        <v>2</v>
      </c>
      <c r="G470" s="23" t="inlineStr">
        <is>
          <t>Oui</t>
        </is>
      </c>
      <c r="H470" s="23" t="inlineStr">
        <is>
          <t>ON</t>
        </is>
      </c>
      <c r="I470" s="24" t="n">
        <v>604.2334594602274</v>
      </c>
      <c r="J470" s="24" t="n">
        <v>4012.68388558375</v>
      </c>
      <c r="K470" s="24" t="n">
        <v>3342.592592592593</v>
      </c>
      <c r="L470" s="24" t="n">
        <v>150</v>
      </c>
      <c r="M470" s="24">
        <f>I470+J470+K470+L470</f>
        <v/>
      </c>
      <c r="N470" s="24">
        <f>M470*Dashboard!$B$18/(Dashboard!$B$16/3.6)</f>
        <v/>
      </c>
      <c r="O470" s="24" t="n">
        <v>664.7819024671028</v>
      </c>
      <c r="P470" s="25" t="n">
        <v>0.06458187918791126</v>
      </c>
      <c r="Q470" s="26" t="n">
        <v>7.519563754716109</v>
      </c>
      <c r="R470" s="24" t="n">
        <v>2401.548046459243</v>
      </c>
      <c r="S470" s="24">
        <f>R470*IF(A470=4, 2.0, 3.0)</f>
        <v/>
      </c>
      <c r="T470" s="22">
        <f>8.0*U470</f>
        <v/>
      </c>
      <c r="U470" s="27">
        <f>MIN(1, S470/M470)</f>
        <v/>
      </c>
      <c r="V470" s="27">
        <f>N470/(N470+O470)</f>
        <v/>
      </c>
      <c r="W470" s="27">
        <f>U470*V470</f>
        <v/>
      </c>
      <c r="X470" s="25">
        <f>T470/N470</f>
        <v/>
      </c>
      <c r="Y470" s="28">
        <f>IF(X470=MAXIFS(X$2:X$721, A$2:A$721, A470, B$2:B$721, B470), "OPTIMAL", "")</f>
        <v/>
      </c>
    </row>
    <row r="471" ht="20" customHeight="1">
      <c r="A471" s="29" t="n">
        <v>-18</v>
      </c>
      <c r="B471" s="29" t="n">
        <v>25</v>
      </c>
      <c r="C471" s="30" t="n">
        <v>120</v>
      </c>
      <c r="D471" s="30" t="n">
        <v>3</v>
      </c>
      <c r="E471" s="6" t="n">
        <v>4</v>
      </c>
      <c r="F471" s="30" t="n">
        <v>2</v>
      </c>
      <c r="G471" s="6" t="inlineStr">
        <is>
          <t>Oui</t>
        </is>
      </c>
      <c r="H471" s="6" t="inlineStr">
        <is>
          <t>OFF</t>
        </is>
      </c>
      <c r="I471" s="31" t="n">
        <v>604.2334594602274</v>
      </c>
      <c r="J471" s="31" t="n">
        <v>4012.68388558375</v>
      </c>
      <c r="K471" s="31" t="n">
        <v>3342.592592592593</v>
      </c>
      <c r="L471" s="31" t="n">
        <v>150</v>
      </c>
      <c r="M471" s="31">
        <f>I471+J471+K471+L471</f>
        <v/>
      </c>
      <c r="N471" s="31">
        <f>M471*Dashboard!$B$18/(Dashboard!$B$16/3.6)</f>
        <v/>
      </c>
      <c r="O471" s="31" t="n">
        <v>664.7819024671028</v>
      </c>
      <c r="P471" s="32" t="n">
        <v>0.2690865884190716</v>
      </c>
      <c r="Q471" s="33" t="n">
        <v>7.519563754716109</v>
      </c>
      <c r="R471" s="31" t="n">
        <v>576.3813303056564</v>
      </c>
      <c r="S471" s="31">
        <f>R471*IF(A471=4, 2.0, 3.0)</f>
        <v/>
      </c>
      <c r="T471" s="30">
        <f>8.0*U471</f>
        <v/>
      </c>
      <c r="U471" s="34">
        <f>MIN(1, S471/M471)</f>
        <v/>
      </c>
      <c r="V471" s="34">
        <f>N471/(N471+O471)</f>
        <v/>
      </c>
      <c r="W471" s="34">
        <f>U471*V471</f>
        <v/>
      </c>
      <c r="X471" s="32">
        <f>T471/N471</f>
        <v/>
      </c>
      <c r="Y471" s="35">
        <f>IF(X471=MAXIFS(X$2:X$721, A$2:A$721, A471, B$2:B$721, B471), "OPTIMAL", "")</f>
        <v/>
      </c>
    </row>
    <row r="472" ht="20" customHeight="1">
      <c r="A472" s="21" t="n">
        <v>-18</v>
      </c>
      <c r="B472" s="21" t="n">
        <v>25</v>
      </c>
      <c r="C472" s="22" t="n">
        <v>120</v>
      </c>
      <c r="D472" s="22" t="n">
        <v>3</v>
      </c>
      <c r="E472" s="23" t="n">
        <v>4</v>
      </c>
      <c r="F472" s="22" t="n">
        <v>2</v>
      </c>
      <c r="G472" s="23" t="inlineStr">
        <is>
          <t>Non</t>
        </is>
      </c>
      <c r="H472" s="23" t="inlineStr">
        <is>
          <t>ON</t>
        </is>
      </c>
      <c r="I472" s="24" t="n">
        <v>604.2334594602274</v>
      </c>
      <c r="J472" s="24" t="n">
        <v>4012.68388558375</v>
      </c>
      <c r="K472" s="24" t="n">
        <v>3342.592592592593</v>
      </c>
      <c r="L472" s="24" t="n">
        <v>150</v>
      </c>
      <c r="M472" s="24">
        <f>I472+J472+K472+L472</f>
        <v/>
      </c>
      <c r="N472" s="24">
        <f>M472*Dashboard!$B$18/(Dashboard!$B$16/3.6)</f>
        <v/>
      </c>
      <c r="O472" s="24" t="n">
        <v>664.7819024671028</v>
      </c>
      <c r="P472" s="25" t="n">
        <v>0.06192929680304634</v>
      </c>
      <c r="Q472" s="26" t="n">
        <v>7.519563754716109</v>
      </c>
      <c r="R472" s="24" t="n">
        <v>2504.412189494873</v>
      </c>
      <c r="S472" s="24">
        <f>R472*IF(A472=4, 2.0, 3.0)</f>
        <v/>
      </c>
      <c r="T472" s="22">
        <f>8.0*U472</f>
        <v/>
      </c>
      <c r="U472" s="27">
        <f>MIN(1, S472/M472)</f>
        <v/>
      </c>
      <c r="V472" s="27">
        <f>N472/(N472+O472)</f>
        <v/>
      </c>
      <c r="W472" s="27">
        <f>U472*V472</f>
        <v/>
      </c>
      <c r="X472" s="25">
        <f>T472/N472</f>
        <v/>
      </c>
      <c r="Y472" s="28">
        <f>IF(X472=MAXIFS(X$2:X$721, A$2:A$721, A472, B$2:B$721, B472), "OPTIMAL", "")</f>
        <v/>
      </c>
    </row>
    <row r="473" ht="20" customHeight="1">
      <c r="A473" s="29" t="n">
        <v>-18</v>
      </c>
      <c r="B473" s="29" t="n">
        <v>25</v>
      </c>
      <c r="C473" s="30" t="n">
        <v>120</v>
      </c>
      <c r="D473" s="30" t="n">
        <v>3</v>
      </c>
      <c r="E473" s="6" t="n">
        <v>4</v>
      </c>
      <c r="F473" s="30" t="n">
        <v>2</v>
      </c>
      <c r="G473" s="6" t="inlineStr">
        <is>
          <t>Non</t>
        </is>
      </c>
      <c r="H473" s="6" t="inlineStr">
        <is>
          <t>OFF</t>
        </is>
      </c>
      <c r="I473" s="31" t="n">
        <v>604.2334594602274</v>
      </c>
      <c r="J473" s="31" t="n">
        <v>4012.68388558375</v>
      </c>
      <c r="K473" s="31" t="n">
        <v>3342.592592592593</v>
      </c>
      <c r="L473" s="31" t="n">
        <v>150</v>
      </c>
      <c r="M473" s="31">
        <f>I473+J473+K473+L473</f>
        <v/>
      </c>
      <c r="N473" s="31">
        <f>M473*Dashboard!$B$18/(Dashboard!$B$16/3.6)</f>
        <v/>
      </c>
      <c r="O473" s="31" t="n">
        <v>664.7819024671028</v>
      </c>
      <c r="P473" s="32" t="n">
        <v>0.2664340060342067</v>
      </c>
      <c r="Q473" s="33" t="n">
        <v>7.519563754716109</v>
      </c>
      <c r="R473" s="31" t="n">
        <v>582.1197080243682</v>
      </c>
      <c r="S473" s="31">
        <f>R473*IF(A473=4, 2.0, 3.0)</f>
        <v/>
      </c>
      <c r="T473" s="30">
        <f>8.0*U473</f>
        <v/>
      </c>
      <c r="U473" s="34">
        <f>MIN(1, S473/M473)</f>
        <v/>
      </c>
      <c r="V473" s="34">
        <f>N473/(N473+O473)</f>
        <v/>
      </c>
      <c r="W473" s="34">
        <f>U473*V473</f>
        <v/>
      </c>
      <c r="X473" s="32">
        <f>T473/N473</f>
        <v/>
      </c>
      <c r="Y473" s="35">
        <f>IF(X473=MAXIFS(X$2:X$721, A$2:A$721, A473, B$2:B$721, B473), "OPTIMAL", "")</f>
        <v/>
      </c>
    </row>
    <row r="474" ht="20" customHeight="1">
      <c r="A474" s="36" t="n">
        <v>-18</v>
      </c>
      <c r="B474" s="36" t="n">
        <v>25</v>
      </c>
      <c r="C474" s="37" t="n">
        <v>120</v>
      </c>
      <c r="D474" s="37" t="n">
        <v>3</v>
      </c>
      <c r="E474" s="38" t="n">
        <v>8</v>
      </c>
      <c r="F474" s="37" t="n">
        <v>1.5</v>
      </c>
      <c r="G474" s="38" t="inlineStr">
        <is>
          <t>Oui</t>
        </is>
      </c>
      <c r="H474" s="38" t="inlineStr">
        <is>
          <t>ON</t>
        </is>
      </c>
      <c r="I474" s="39" t="n">
        <v>604.2334594602274</v>
      </c>
      <c r="J474" s="39" t="n">
        <v>4012.68388558375</v>
      </c>
      <c r="K474" s="39" t="n">
        <v>3342.592592592593</v>
      </c>
      <c r="L474" s="39" t="n">
        <v>150</v>
      </c>
      <c r="M474" s="39">
        <f>I474+J474+K474+L474</f>
        <v/>
      </c>
      <c r="N474" s="39">
        <f>M474*Dashboard!$B$18/(Dashboard!$B$16/3.6)</f>
        <v/>
      </c>
      <c r="O474" s="39" t="n">
        <v>780.758766227269</v>
      </c>
      <c r="P474" s="40" t="n">
        <v>0.05144850932496671</v>
      </c>
      <c r="Q474" s="41" t="n">
        <v>11.17934563207417</v>
      </c>
      <c r="R474" s="39" t="n">
        <v>3071.518843915032</v>
      </c>
      <c r="S474" s="39">
        <f>R474*IF(A474=4, 2.0, 3.0)</f>
        <v/>
      </c>
      <c r="T474" s="37">
        <f>8.0*U474</f>
        <v/>
      </c>
      <c r="U474" s="42">
        <f>MIN(1, S474/M474)</f>
        <v/>
      </c>
      <c r="V474" s="42">
        <f>N474/(N474+O474)</f>
        <v/>
      </c>
      <c r="W474" s="42">
        <f>U474*V474</f>
        <v/>
      </c>
      <c r="X474" s="40">
        <f>T474/N474</f>
        <v/>
      </c>
      <c r="Y474" s="15">
        <f>IF(X474=MAXIFS(X$2:X$721, A$2:A$721, A474, B$2:B$721, B474), "OPTIMAL", "")</f>
        <v/>
      </c>
    </row>
    <row r="475" ht="20" customHeight="1">
      <c r="A475" s="29" t="n">
        <v>-18</v>
      </c>
      <c r="B475" s="29" t="n">
        <v>25</v>
      </c>
      <c r="C475" s="30" t="n">
        <v>120</v>
      </c>
      <c r="D475" s="30" t="n">
        <v>3</v>
      </c>
      <c r="E475" s="6" t="n">
        <v>8</v>
      </c>
      <c r="F475" s="30" t="n">
        <v>1.5</v>
      </c>
      <c r="G475" s="6" t="inlineStr">
        <is>
          <t>Oui</t>
        </is>
      </c>
      <c r="H475" s="6" t="inlineStr">
        <is>
          <t>OFF</t>
        </is>
      </c>
      <c r="I475" s="31" t="n">
        <v>604.2334594602274</v>
      </c>
      <c r="J475" s="31" t="n">
        <v>4012.68388558375</v>
      </c>
      <c r="K475" s="31" t="n">
        <v>3342.592592592593</v>
      </c>
      <c r="L475" s="31" t="n">
        <v>150</v>
      </c>
      <c r="M475" s="31">
        <f>I475+J475+K475+L475</f>
        <v/>
      </c>
      <c r="N475" s="31">
        <f>M475*Dashboard!$B$18/(Dashboard!$B$16/3.6)</f>
        <v/>
      </c>
      <c r="O475" s="31" t="n">
        <v>780.758766227269</v>
      </c>
      <c r="P475" s="32" t="n">
        <v>0.2167441267000743</v>
      </c>
      <c r="Q475" s="33" t="n">
        <v>11.17934563207417</v>
      </c>
      <c r="R475" s="31" t="n">
        <v>729.0858040257077</v>
      </c>
      <c r="S475" s="31">
        <f>R475*IF(A475=4, 2.0, 3.0)</f>
        <v/>
      </c>
      <c r="T475" s="30">
        <f>8.0*U475</f>
        <v/>
      </c>
      <c r="U475" s="34">
        <f>MIN(1, S475/M475)</f>
        <v/>
      </c>
      <c r="V475" s="34">
        <f>N475/(N475+O475)</f>
        <v/>
      </c>
      <c r="W475" s="34">
        <f>U475*V475</f>
        <v/>
      </c>
      <c r="X475" s="32">
        <f>T475/N475</f>
        <v/>
      </c>
      <c r="Y475" s="35">
        <f>IF(X475=MAXIFS(X$2:X$721, A$2:A$721, A475, B$2:B$721, B475), "OPTIMAL", "")</f>
        <v/>
      </c>
    </row>
    <row r="476" ht="20" customHeight="1">
      <c r="A476" s="36" t="n">
        <v>-18</v>
      </c>
      <c r="B476" s="36" t="n">
        <v>25</v>
      </c>
      <c r="C476" s="37" t="n">
        <v>120</v>
      </c>
      <c r="D476" s="37" t="n">
        <v>3</v>
      </c>
      <c r="E476" s="38" t="n">
        <v>8</v>
      </c>
      <c r="F476" s="37" t="n">
        <v>1.5</v>
      </c>
      <c r="G476" s="38" t="inlineStr">
        <is>
          <t>Non</t>
        </is>
      </c>
      <c r="H476" s="38" t="inlineStr">
        <is>
          <t>ON</t>
        </is>
      </c>
      <c r="I476" s="39" t="n">
        <v>604.2334594602274</v>
      </c>
      <c r="J476" s="39" t="n">
        <v>4012.68388558375</v>
      </c>
      <c r="K476" s="39" t="n">
        <v>3342.592592592593</v>
      </c>
      <c r="L476" s="39" t="n">
        <v>150</v>
      </c>
      <c r="M476" s="39">
        <f>I476+J476+K476+L476</f>
        <v/>
      </c>
      <c r="N476" s="39">
        <f>M476*Dashboard!$B$18/(Dashboard!$B$16/3.6)</f>
        <v/>
      </c>
      <c r="O476" s="39" t="n">
        <v>780.758766227269</v>
      </c>
      <c r="P476" s="40" t="n">
        <v>0.04879592694010178</v>
      </c>
      <c r="Q476" s="41" t="n">
        <v>11.17934563207417</v>
      </c>
      <c r="R476" s="39" t="n">
        <v>3238.488861518159</v>
      </c>
      <c r="S476" s="39">
        <f>R476*IF(A476=4, 2.0, 3.0)</f>
        <v/>
      </c>
      <c r="T476" s="37">
        <f>8.0*U476</f>
        <v/>
      </c>
      <c r="U476" s="42">
        <f>MIN(1, S476/M476)</f>
        <v/>
      </c>
      <c r="V476" s="42">
        <f>N476/(N476+O476)</f>
        <v/>
      </c>
      <c r="W476" s="42">
        <f>U476*V476</f>
        <v/>
      </c>
      <c r="X476" s="40">
        <f>T476/N476</f>
        <v/>
      </c>
      <c r="Y476" s="15">
        <f>IF(X476=MAXIFS(X$2:X$721, A$2:A$721, A476, B$2:B$721, B476), "OPTIMAL", "")</f>
        <v/>
      </c>
    </row>
    <row r="477" ht="20" customHeight="1">
      <c r="A477" s="29" t="n">
        <v>-18</v>
      </c>
      <c r="B477" s="29" t="n">
        <v>25</v>
      </c>
      <c r="C477" s="30" t="n">
        <v>120</v>
      </c>
      <c r="D477" s="30" t="n">
        <v>3</v>
      </c>
      <c r="E477" s="6" t="n">
        <v>8</v>
      </c>
      <c r="F477" s="30" t="n">
        <v>1.5</v>
      </c>
      <c r="G477" s="6" t="inlineStr">
        <is>
          <t>Non</t>
        </is>
      </c>
      <c r="H477" s="6" t="inlineStr">
        <is>
          <t>OFF</t>
        </is>
      </c>
      <c r="I477" s="31" t="n">
        <v>604.2334594602274</v>
      </c>
      <c r="J477" s="31" t="n">
        <v>4012.68388558375</v>
      </c>
      <c r="K477" s="31" t="n">
        <v>3342.592592592593</v>
      </c>
      <c r="L477" s="31" t="n">
        <v>150</v>
      </c>
      <c r="M477" s="31">
        <f>I477+J477+K477+L477</f>
        <v/>
      </c>
      <c r="N477" s="31">
        <f>M477*Dashboard!$B$18/(Dashboard!$B$16/3.6)</f>
        <v/>
      </c>
      <c r="O477" s="31" t="n">
        <v>780.758766227269</v>
      </c>
      <c r="P477" s="32" t="n">
        <v>0.2140915443152093</v>
      </c>
      <c r="Q477" s="33" t="n">
        <v>11.17934563207417</v>
      </c>
      <c r="R477" s="31" t="n">
        <v>738.1191367852972</v>
      </c>
      <c r="S477" s="31">
        <f>R477*IF(A477=4, 2.0, 3.0)</f>
        <v/>
      </c>
      <c r="T477" s="30">
        <f>8.0*U477</f>
        <v/>
      </c>
      <c r="U477" s="34">
        <f>MIN(1, S477/M477)</f>
        <v/>
      </c>
      <c r="V477" s="34">
        <f>N477/(N477+O477)</f>
        <v/>
      </c>
      <c r="W477" s="34">
        <f>U477*V477</f>
        <v/>
      </c>
      <c r="X477" s="32">
        <f>T477/N477</f>
        <v/>
      </c>
      <c r="Y477" s="35">
        <f>IF(X477=MAXIFS(X$2:X$721, A$2:A$721, A477, B$2:B$721, B477), "OPTIMAL", "")</f>
        <v/>
      </c>
    </row>
    <row r="478" ht="20" customHeight="1">
      <c r="A478" s="36" t="n">
        <v>-18</v>
      </c>
      <c r="B478" s="36" t="n">
        <v>25</v>
      </c>
      <c r="C478" s="37" t="n">
        <v>120</v>
      </c>
      <c r="D478" s="37" t="n">
        <v>3</v>
      </c>
      <c r="E478" s="38" t="n">
        <v>8</v>
      </c>
      <c r="F478" s="37" t="n">
        <v>2</v>
      </c>
      <c r="G478" s="38" t="inlineStr">
        <is>
          <t>Oui</t>
        </is>
      </c>
      <c r="H478" s="38" t="inlineStr">
        <is>
          <t>ON</t>
        </is>
      </c>
      <c r="I478" s="39" t="n">
        <v>604.2334594602274</v>
      </c>
      <c r="J478" s="39" t="n">
        <v>4012.68388558375</v>
      </c>
      <c r="K478" s="39" t="n">
        <v>3342.592592592593</v>
      </c>
      <c r="L478" s="39" t="n">
        <v>150</v>
      </c>
      <c r="M478" s="39">
        <f>I478+J478+K478+L478</f>
        <v/>
      </c>
      <c r="N478" s="39">
        <f>M478*Dashboard!$B$18/(Dashboard!$B$16/3.6)</f>
        <v/>
      </c>
      <c r="O478" s="39" t="n">
        <v>901.1997452244257</v>
      </c>
      <c r="P478" s="40" t="n">
        <v>0.04989331996011</v>
      </c>
      <c r="Q478" s="41" t="n">
        <v>14.83912750943222</v>
      </c>
      <c r="R478" s="39" t="n">
        <v>3228.215146379271</v>
      </c>
      <c r="S478" s="39">
        <f>R478*IF(A478=4, 2.0, 3.0)</f>
        <v/>
      </c>
      <c r="T478" s="37">
        <f>8.0*U478</f>
        <v/>
      </c>
      <c r="U478" s="42">
        <f>MIN(1, S478/M478)</f>
        <v/>
      </c>
      <c r="V478" s="42">
        <f>N478/(N478+O478)</f>
        <v/>
      </c>
      <c r="W478" s="42">
        <f>U478*V478</f>
        <v/>
      </c>
      <c r="X478" s="40">
        <f>T478/N478</f>
        <v/>
      </c>
      <c r="Y478" s="15">
        <f>IF(X478=MAXIFS(X$2:X$721, A$2:A$721, A478, B$2:B$721, B478), "OPTIMAL", "")</f>
        <v/>
      </c>
    </row>
    <row r="479" ht="20" customHeight="1">
      <c r="A479" s="29" t="n">
        <v>-18</v>
      </c>
      <c r="B479" s="29" t="n">
        <v>25</v>
      </c>
      <c r="C479" s="30" t="n">
        <v>120</v>
      </c>
      <c r="D479" s="30" t="n">
        <v>3</v>
      </c>
      <c r="E479" s="6" t="n">
        <v>8</v>
      </c>
      <c r="F479" s="30" t="n">
        <v>2</v>
      </c>
      <c r="G479" s="6" t="inlineStr">
        <is>
          <t>Oui</t>
        </is>
      </c>
      <c r="H479" s="6" t="inlineStr">
        <is>
          <t>OFF</t>
        </is>
      </c>
      <c r="I479" s="31" t="n">
        <v>604.2334594602274</v>
      </c>
      <c r="J479" s="31" t="n">
        <v>4012.68388558375</v>
      </c>
      <c r="K479" s="31" t="n">
        <v>3342.592592592593</v>
      </c>
      <c r="L479" s="31" t="n">
        <v>150</v>
      </c>
      <c r="M479" s="31">
        <f>I479+J479+K479+L479</f>
        <v/>
      </c>
      <c r="N479" s="31">
        <f>M479*Dashboard!$B$18/(Dashboard!$B$16/3.6)</f>
        <v/>
      </c>
      <c r="O479" s="31" t="n">
        <v>901.1997452244257</v>
      </c>
      <c r="P479" s="32" t="n">
        <v>0.2162873761903785</v>
      </c>
      <c r="Q479" s="33" t="n">
        <v>14.83912750943222</v>
      </c>
      <c r="R479" s="31" t="n">
        <v>744.6868792592035</v>
      </c>
      <c r="S479" s="31">
        <f>R479*IF(A479=4, 2.0, 3.0)</f>
        <v/>
      </c>
      <c r="T479" s="30">
        <f>8.0*U479</f>
        <v/>
      </c>
      <c r="U479" s="34">
        <f>MIN(1, S479/M479)</f>
        <v/>
      </c>
      <c r="V479" s="34">
        <f>N479/(N479+O479)</f>
        <v/>
      </c>
      <c r="W479" s="34">
        <f>U479*V479</f>
        <v/>
      </c>
      <c r="X479" s="32">
        <f>T479/N479</f>
        <v/>
      </c>
      <c r="Y479" s="35">
        <f>IF(X479=MAXIFS(X$2:X$721, A$2:A$721, A479, B$2:B$721, B479), "OPTIMAL", "")</f>
        <v/>
      </c>
    </row>
    <row r="480" ht="20" customHeight="1">
      <c r="A480" s="36" t="n">
        <v>-18</v>
      </c>
      <c r="B480" s="36" t="n">
        <v>25</v>
      </c>
      <c r="C480" s="37" t="n">
        <v>120</v>
      </c>
      <c r="D480" s="37" t="n">
        <v>3</v>
      </c>
      <c r="E480" s="38" t="n">
        <v>8</v>
      </c>
      <c r="F480" s="37" t="n">
        <v>2</v>
      </c>
      <c r="G480" s="38" t="inlineStr">
        <is>
          <t>Non</t>
        </is>
      </c>
      <c r="H480" s="38" t="inlineStr">
        <is>
          <t>ON</t>
        </is>
      </c>
      <c r="I480" s="39" t="n">
        <v>604.2334594602274</v>
      </c>
      <c r="J480" s="39" t="n">
        <v>4012.68388558375</v>
      </c>
      <c r="K480" s="39" t="n">
        <v>3342.592592592593</v>
      </c>
      <c r="L480" s="39" t="n">
        <v>150</v>
      </c>
      <c r="M480" s="39">
        <f>I480+J480+K480+L480</f>
        <v/>
      </c>
      <c r="N480" s="39">
        <f>M480*Dashboard!$B$18/(Dashboard!$B$16/3.6)</f>
        <v/>
      </c>
      <c r="O480" s="39" t="n">
        <v>901.1997452244257</v>
      </c>
      <c r="P480" s="40" t="n">
        <v>0.04724073757524508</v>
      </c>
      <c r="Q480" s="41" t="n">
        <v>14.83912750943222</v>
      </c>
      <c r="R480" s="39" t="n">
        <v>3409.480449830566</v>
      </c>
      <c r="S480" s="39">
        <f>R480*IF(A480=4, 2.0, 3.0)</f>
        <v/>
      </c>
      <c r="T480" s="37">
        <f>8.0*U480</f>
        <v/>
      </c>
      <c r="U480" s="42">
        <f>MIN(1, S480/M480)</f>
        <v/>
      </c>
      <c r="V480" s="42">
        <f>N480/(N480+O480)</f>
        <v/>
      </c>
      <c r="W480" s="42">
        <f>U480*V480</f>
        <v/>
      </c>
      <c r="X480" s="40">
        <f>T480/N480</f>
        <v/>
      </c>
      <c r="Y480" s="15">
        <f>IF(X480=MAXIFS(X$2:X$721, A$2:A$721, A480, B$2:B$721, B480), "OPTIMAL", "")</f>
        <v/>
      </c>
    </row>
    <row r="481" ht="20" customHeight="1">
      <c r="A481" s="29" t="n">
        <v>-18</v>
      </c>
      <c r="B481" s="29" t="n">
        <v>25</v>
      </c>
      <c r="C481" s="30" t="n">
        <v>120</v>
      </c>
      <c r="D481" s="30" t="n">
        <v>3</v>
      </c>
      <c r="E481" s="6" t="n">
        <v>8</v>
      </c>
      <c r="F481" s="30" t="n">
        <v>2</v>
      </c>
      <c r="G481" s="6" t="inlineStr">
        <is>
          <t>Non</t>
        </is>
      </c>
      <c r="H481" s="6" t="inlineStr">
        <is>
          <t>OFF</t>
        </is>
      </c>
      <c r="I481" s="31" t="n">
        <v>604.2334594602274</v>
      </c>
      <c r="J481" s="31" t="n">
        <v>4012.68388558375</v>
      </c>
      <c r="K481" s="31" t="n">
        <v>3342.592592592593</v>
      </c>
      <c r="L481" s="31" t="n">
        <v>150</v>
      </c>
      <c r="M481" s="31">
        <f>I481+J481+K481+L481</f>
        <v/>
      </c>
      <c r="N481" s="31">
        <f>M481*Dashboard!$B$18/(Dashboard!$B$16/3.6)</f>
        <v/>
      </c>
      <c r="O481" s="31" t="n">
        <v>901.1997452244257</v>
      </c>
      <c r="P481" s="32" t="n">
        <v>0.2136347938055135</v>
      </c>
      <c r="Q481" s="33" t="n">
        <v>14.83912750943222</v>
      </c>
      <c r="R481" s="31" t="n">
        <v>753.9332349813959</v>
      </c>
      <c r="S481" s="31">
        <f>R481*IF(A481=4, 2.0, 3.0)</f>
        <v/>
      </c>
      <c r="T481" s="30">
        <f>8.0*U481</f>
        <v/>
      </c>
      <c r="U481" s="34">
        <f>MIN(1, S481/M481)</f>
        <v/>
      </c>
      <c r="V481" s="34">
        <f>N481/(N481+O481)</f>
        <v/>
      </c>
      <c r="W481" s="34">
        <f>U481*V481</f>
        <v/>
      </c>
      <c r="X481" s="32">
        <f>T481/N481</f>
        <v/>
      </c>
      <c r="Y481" s="35">
        <f>IF(X481=MAXIFS(X$2:X$721, A$2:A$721, A481, B$2:B$721, B481), "OPTIMAL", "")</f>
        <v/>
      </c>
    </row>
    <row r="482" ht="20" customHeight="1">
      <c r="A482" s="21" t="n">
        <v>-18</v>
      </c>
      <c r="B482" s="21" t="n">
        <v>35</v>
      </c>
      <c r="C482" s="22" t="n">
        <v>80</v>
      </c>
      <c r="D482" s="22" t="n">
        <v>2</v>
      </c>
      <c r="E482" s="23" t="n">
        <v>0</v>
      </c>
      <c r="F482" s="22" t="n">
        <v>0</v>
      </c>
      <c r="G482" s="23" t="inlineStr">
        <is>
          <t>Oui</t>
        </is>
      </c>
      <c r="H482" s="23" t="inlineStr">
        <is>
          <t>ON</t>
        </is>
      </c>
      <c r="I482" s="24" t="n">
        <v>744.7528686370244</v>
      </c>
      <c r="J482" s="24" t="n">
        <v>6550.668683077564</v>
      </c>
      <c r="K482" s="24" t="n">
        <v>4222.222222222223</v>
      </c>
      <c r="L482" s="24" t="n">
        <v>150</v>
      </c>
      <c r="M482" s="24">
        <f>I482+J482+K482+L482</f>
        <v/>
      </c>
      <c r="N482" s="24">
        <f>M482*Dashboard!$B$18/(Dashboard!$B$16/3.6)</f>
        <v/>
      </c>
      <c r="O482" s="24" t="n">
        <v>640.6272194990632</v>
      </c>
      <c r="P482" s="25" t="n">
        <v>0.5013778930875155</v>
      </c>
      <c r="Q482" s="26" t="n">
        <v>0.2</v>
      </c>
      <c r="R482" s="24" t="n">
        <v>965.6104812549271</v>
      </c>
      <c r="S482" s="24">
        <f>R482*IF(A482=4, 2.0, 3.0)</f>
        <v/>
      </c>
      <c r="T482" s="22">
        <f>8.0*U482</f>
        <v/>
      </c>
      <c r="U482" s="27">
        <f>MIN(1, S482/M482)</f>
        <v/>
      </c>
      <c r="V482" s="27">
        <f>N482/(N482+O482)</f>
        <v/>
      </c>
      <c r="W482" s="27">
        <f>U482*V482</f>
        <v/>
      </c>
      <c r="X482" s="25">
        <f>T482/N482</f>
        <v/>
      </c>
      <c r="Y482" s="28">
        <f>IF(X482=MAXIFS(X$2:X$721, A$2:A$721, A482, B$2:B$721, B482), "OPTIMAL", "")</f>
        <v/>
      </c>
    </row>
    <row r="483" ht="20" customHeight="1">
      <c r="A483" s="29" t="n">
        <v>-18</v>
      </c>
      <c r="B483" s="29" t="n">
        <v>35</v>
      </c>
      <c r="C483" s="30" t="n">
        <v>80</v>
      </c>
      <c r="D483" s="30" t="n">
        <v>2</v>
      </c>
      <c r="E483" s="6" t="n">
        <v>0</v>
      </c>
      <c r="F483" s="30" t="n">
        <v>0</v>
      </c>
      <c r="G483" s="6" t="inlineStr">
        <is>
          <t>Oui</t>
        </is>
      </c>
      <c r="H483" s="6" t="inlineStr">
        <is>
          <t>OFF</t>
        </is>
      </c>
      <c r="I483" s="31" t="n">
        <v>744.7528686370244</v>
      </c>
      <c r="J483" s="31" t="n">
        <v>6550.668683077564</v>
      </c>
      <c r="K483" s="31" t="n">
        <v>4222.222222222223</v>
      </c>
      <c r="L483" s="31" t="n">
        <v>150</v>
      </c>
      <c r="M483" s="31">
        <f>I483+J483+K483+L483</f>
        <v/>
      </c>
      <c r="N483" s="31">
        <f>M483*Dashboard!$B$18/(Dashboard!$B$16/3.6)</f>
        <v/>
      </c>
      <c r="O483" s="31" t="n">
        <v>640.6272194990632</v>
      </c>
      <c r="P483" s="32" t="n">
        <v>0.8992652508172538</v>
      </c>
      <c r="Q483" s="33" t="n">
        <v>0.2</v>
      </c>
      <c r="R483" s="31" t="n">
        <v>538.3681268622731</v>
      </c>
      <c r="S483" s="31">
        <f>R483*IF(A483=4, 2.0, 3.0)</f>
        <v/>
      </c>
      <c r="T483" s="30">
        <f>8.0*U483</f>
        <v/>
      </c>
      <c r="U483" s="34">
        <f>MIN(1, S483/M483)</f>
        <v/>
      </c>
      <c r="V483" s="34">
        <f>N483/(N483+O483)</f>
        <v/>
      </c>
      <c r="W483" s="34">
        <f>U483*V483</f>
        <v/>
      </c>
      <c r="X483" s="32">
        <f>T483/N483</f>
        <v/>
      </c>
      <c r="Y483" s="35">
        <f>IF(X483=MAXIFS(X$2:X$721, A$2:A$721, A483, B$2:B$721, B483), "OPTIMAL", "")</f>
        <v/>
      </c>
    </row>
    <row r="484" ht="20" customHeight="1">
      <c r="A484" s="21" t="n">
        <v>-18</v>
      </c>
      <c r="B484" s="21" t="n">
        <v>35</v>
      </c>
      <c r="C484" s="22" t="n">
        <v>80</v>
      </c>
      <c r="D484" s="22" t="n">
        <v>2</v>
      </c>
      <c r="E484" s="23" t="n">
        <v>0</v>
      </c>
      <c r="F484" s="22" t="n">
        <v>0</v>
      </c>
      <c r="G484" s="23" t="inlineStr">
        <is>
          <t>Non</t>
        </is>
      </c>
      <c r="H484" s="23" t="inlineStr">
        <is>
          <t>ON</t>
        </is>
      </c>
      <c r="I484" s="24" t="n">
        <v>744.7528686370244</v>
      </c>
      <c r="J484" s="24" t="n">
        <v>6550.668683077564</v>
      </c>
      <c r="K484" s="24" t="n">
        <v>4222.222222222223</v>
      </c>
      <c r="L484" s="24" t="n">
        <v>150</v>
      </c>
      <c r="M484" s="24">
        <f>I484+J484+K484+L484</f>
        <v/>
      </c>
      <c r="N484" s="24">
        <f>M484*Dashboard!$B$18/(Dashboard!$B$16/3.6)</f>
        <v/>
      </c>
      <c r="O484" s="24" t="n">
        <v>640.6272194990632</v>
      </c>
      <c r="P484" s="25" t="n">
        <v>0.4973990195102181</v>
      </c>
      <c r="Q484" s="26" t="n">
        <v>0.2</v>
      </c>
      <c r="R484" s="24" t="n">
        <v>973.3347466417182</v>
      </c>
      <c r="S484" s="24">
        <f>R484*IF(A484=4, 2.0, 3.0)</f>
        <v/>
      </c>
      <c r="T484" s="22">
        <f>8.0*U484</f>
        <v/>
      </c>
      <c r="U484" s="27">
        <f>MIN(1, S484/M484)</f>
        <v/>
      </c>
      <c r="V484" s="27">
        <f>N484/(N484+O484)</f>
        <v/>
      </c>
      <c r="W484" s="27">
        <f>U484*V484</f>
        <v/>
      </c>
      <c r="X484" s="25">
        <f>T484/N484</f>
        <v/>
      </c>
      <c r="Y484" s="28">
        <f>IF(X484=MAXIFS(X$2:X$721, A$2:A$721, A484, B$2:B$721, B484), "OPTIMAL", "")</f>
        <v/>
      </c>
    </row>
    <row r="485" ht="20" customHeight="1">
      <c r="A485" s="29" t="n">
        <v>-18</v>
      </c>
      <c r="B485" s="29" t="n">
        <v>35</v>
      </c>
      <c r="C485" s="30" t="n">
        <v>80</v>
      </c>
      <c r="D485" s="30" t="n">
        <v>2</v>
      </c>
      <c r="E485" s="6" t="n">
        <v>0</v>
      </c>
      <c r="F485" s="30" t="n">
        <v>0</v>
      </c>
      <c r="G485" s="6" t="inlineStr">
        <is>
          <t>Non</t>
        </is>
      </c>
      <c r="H485" s="6" t="inlineStr">
        <is>
          <t>OFF</t>
        </is>
      </c>
      <c r="I485" s="31" t="n">
        <v>744.7528686370244</v>
      </c>
      <c r="J485" s="31" t="n">
        <v>6550.668683077564</v>
      </c>
      <c r="K485" s="31" t="n">
        <v>4222.222222222223</v>
      </c>
      <c r="L485" s="31" t="n">
        <v>150</v>
      </c>
      <c r="M485" s="31">
        <f>I485+J485+K485+L485</f>
        <v/>
      </c>
      <c r="N485" s="31">
        <f>M485*Dashboard!$B$18/(Dashboard!$B$16/3.6)</f>
        <v/>
      </c>
      <c r="O485" s="31" t="n">
        <v>640.6272194990632</v>
      </c>
      <c r="P485" s="32" t="n">
        <v>0.8952863772399564</v>
      </c>
      <c r="Q485" s="33" t="n">
        <v>0.2</v>
      </c>
      <c r="R485" s="31" t="n">
        <v>540.7607676633486</v>
      </c>
      <c r="S485" s="31">
        <f>R485*IF(A485=4, 2.0, 3.0)</f>
        <v/>
      </c>
      <c r="T485" s="30">
        <f>8.0*U485</f>
        <v/>
      </c>
      <c r="U485" s="34">
        <f>MIN(1, S485/M485)</f>
        <v/>
      </c>
      <c r="V485" s="34">
        <f>N485/(N485+O485)</f>
        <v/>
      </c>
      <c r="W485" s="34">
        <f>U485*V485</f>
        <v/>
      </c>
      <c r="X485" s="32">
        <f>T485/N485</f>
        <v/>
      </c>
      <c r="Y485" s="35">
        <f>IF(X485=MAXIFS(X$2:X$721, A$2:A$721, A485, B$2:B$721, B485), "OPTIMAL", "")</f>
        <v/>
      </c>
    </row>
    <row r="486" ht="20" customHeight="1">
      <c r="A486" s="36" t="n">
        <v>-18</v>
      </c>
      <c r="B486" s="36" t="n">
        <v>35</v>
      </c>
      <c r="C486" s="37" t="n">
        <v>80</v>
      </c>
      <c r="D486" s="37" t="n">
        <v>2</v>
      </c>
      <c r="E486" s="38" t="n">
        <v>4</v>
      </c>
      <c r="F486" s="37" t="n">
        <v>1.5</v>
      </c>
      <c r="G486" s="38" t="inlineStr">
        <is>
          <t>Oui</t>
        </is>
      </c>
      <c r="H486" s="38" t="inlineStr">
        <is>
          <t>ON</t>
        </is>
      </c>
      <c r="I486" s="39" t="n">
        <v>744.7528686370244</v>
      </c>
      <c r="J486" s="39" t="n">
        <v>6550.668683077564</v>
      </c>
      <c r="K486" s="39" t="n">
        <v>4222.222222222223</v>
      </c>
      <c r="L486" s="39" t="n">
        <v>150</v>
      </c>
      <c r="M486" s="39">
        <f>I486+J486+K486+L486</f>
        <v/>
      </c>
      <c r="N486" s="39">
        <f>M486*Dashboard!$B$18/(Dashboard!$B$16/3.6)</f>
        <v/>
      </c>
      <c r="O486" s="39" t="n">
        <v>1038.453047881202</v>
      </c>
      <c r="P486" s="40" t="n">
        <v>0.08231647342522849</v>
      </c>
      <c r="Q486" s="41" t="n">
        <v>8.434509224055622</v>
      </c>
      <c r="R486" s="39" t="n">
        <v>6127.778706919168</v>
      </c>
      <c r="S486" s="39">
        <f>R486*IF(A486=4, 2.0, 3.0)</f>
        <v/>
      </c>
      <c r="T486" s="37">
        <f>8.0*U486</f>
        <v/>
      </c>
      <c r="U486" s="42">
        <f>MIN(1, S486/M486)</f>
        <v/>
      </c>
      <c r="V486" s="42">
        <f>N486/(N486+O486)</f>
        <v/>
      </c>
      <c r="W486" s="42">
        <f>U486*V486</f>
        <v/>
      </c>
      <c r="X486" s="40">
        <f>T486/N486</f>
        <v/>
      </c>
      <c r="Y486" s="15">
        <f>IF(X486=MAXIFS(X$2:X$721, A$2:A$721, A486, B$2:B$721, B486), "OPTIMAL", "")</f>
        <v/>
      </c>
    </row>
    <row r="487" ht="20" customHeight="1">
      <c r="A487" s="29" t="n">
        <v>-18</v>
      </c>
      <c r="B487" s="29" t="n">
        <v>35</v>
      </c>
      <c r="C487" s="30" t="n">
        <v>80</v>
      </c>
      <c r="D487" s="30" t="n">
        <v>2</v>
      </c>
      <c r="E487" s="6" t="n">
        <v>4</v>
      </c>
      <c r="F487" s="30" t="n">
        <v>1.5</v>
      </c>
      <c r="G487" s="6" t="inlineStr">
        <is>
          <t>Oui</t>
        </is>
      </c>
      <c r="H487" s="6" t="inlineStr">
        <is>
          <t>OFF</t>
        </is>
      </c>
      <c r="I487" s="31" t="n">
        <v>744.7528686370244</v>
      </c>
      <c r="J487" s="31" t="n">
        <v>6550.668683077564</v>
      </c>
      <c r="K487" s="31" t="n">
        <v>4222.222222222223</v>
      </c>
      <c r="L487" s="31" t="n">
        <v>150</v>
      </c>
      <c r="M487" s="31">
        <f>I487+J487+K487+L487</f>
        <v/>
      </c>
      <c r="N487" s="31">
        <f>M487*Dashboard!$B$18/(Dashboard!$B$16/3.6)</f>
        <v/>
      </c>
      <c r="O487" s="31" t="n">
        <v>1038.453047881202</v>
      </c>
      <c r="P487" s="32" t="n">
        <v>0.3560493820000729</v>
      </c>
      <c r="Q487" s="33" t="n">
        <v>8.434509224055622</v>
      </c>
      <c r="R487" s="31" t="n">
        <v>1416.705543063376</v>
      </c>
      <c r="S487" s="31">
        <f>R487*IF(A487=4, 2.0, 3.0)</f>
        <v/>
      </c>
      <c r="T487" s="30">
        <f>8.0*U487</f>
        <v/>
      </c>
      <c r="U487" s="34">
        <f>MIN(1, S487/M487)</f>
        <v/>
      </c>
      <c r="V487" s="34">
        <f>N487/(N487+O487)</f>
        <v/>
      </c>
      <c r="W487" s="34">
        <f>U487*V487</f>
        <v/>
      </c>
      <c r="X487" s="32">
        <f>T487/N487</f>
        <v/>
      </c>
      <c r="Y487" s="35">
        <f>IF(X487=MAXIFS(X$2:X$721, A$2:A$721, A487, B$2:B$721, B487), "OPTIMAL", "")</f>
        <v/>
      </c>
    </row>
    <row r="488" ht="20" customHeight="1">
      <c r="A488" s="36" t="n">
        <v>-18</v>
      </c>
      <c r="B488" s="36" t="n">
        <v>35</v>
      </c>
      <c r="C488" s="37" t="n">
        <v>80</v>
      </c>
      <c r="D488" s="37" t="n">
        <v>2</v>
      </c>
      <c r="E488" s="38" t="n">
        <v>4</v>
      </c>
      <c r="F488" s="37" t="n">
        <v>1.5</v>
      </c>
      <c r="G488" s="38" t="inlineStr">
        <is>
          <t>Non</t>
        </is>
      </c>
      <c r="H488" s="38" t="inlineStr">
        <is>
          <t>ON</t>
        </is>
      </c>
      <c r="I488" s="39" t="n">
        <v>744.7528686370244</v>
      </c>
      <c r="J488" s="39" t="n">
        <v>6550.668683077564</v>
      </c>
      <c r="K488" s="39" t="n">
        <v>4222.222222222223</v>
      </c>
      <c r="L488" s="39" t="n">
        <v>150</v>
      </c>
      <c r="M488" s="39">
        <f>I488+J488+K488+L488</f>
        <v/>
      </c>
      <c r="N488" s="39">
        <f>M488*Dashboard!$B$18/(Dashboard!$B$16/3.6)</f>
        <v/>
      </c>
      <c r="O488" s="39" t="n">
        <v>1038.453047881202</v>
      </c>
      <c r="P488" s="40" t="n">
        <v>0.07833759984793112</v>
      </c>
      <c r="Q488" s="41" t="n">
        <v>8.434509224055622</v>
      </c>
      <c r="R488" s="39" t="n">
        <v>6439.016947965814</v>
      </c>
      <c r="S488" s="39">
        <f>R488*IF(A488=4, 2.0, 3.0)</f>
        <v/>
      </c>
      <c r="T488" s="37">
        <f>8.0*U488</f>
        <v/>
      </c>
      <c r="U488" s="42">
        <f>MIN(1, S488/M488)</f>
        <v/>
      </c>
      <c r="V488" s="42">
        <f>N488/(N488+O488)</f>
        <v/>
      </c>
      <c r="W488" s="42">
        <f>U488*V488</f>
        <v/>
      </c>
      <c r="X488" s="40">
        <f>T488/N488</f>
        <v/>
      </c>
      <c r="Y488" s="15">
        <f>IF(X488=MAXIFS(X$2:X$721, A$2:A$721, A488, B$2:B$721, B488), "OPTIMAL", "")</f>
        <v/>
      </c>
    </row>
    <row r="489" ht="20" customHeight="1">
      <c r="A489" s="29" t="n">
        <v>-18</v>
      </c>
      <c r="B489" s="29" t="n">
        <v>35</v>
      </c>
      <c r="C489" s="30" t="n">
        <v>80</v>
      </c>
      <c r="D489" s="30" t="n">
        <v>2</v>
      </c>
      <c r="E489" s="6" t="n">
        <v>4</v>
      </c>
      <c r="F489" s="30" t="n">
        <v>1.5</v>
      </c>
      <c r="G489" s="6" t="inlineStr">
        <is>
          <t>Non</t>
        </is>
      </c>
      <c r="H489" s="6" t="inlineStr">
        <is>
          <t>OFF</t>
        </is>
      </c>
      <c r="I489" s="31" t="n">
        <v>744.7528686370244</v>
      </c>
      <c r="J489" s="31" t="n">
        <v>6550.668683077564</v>
      </c>
      <c r="K489" s="31" t="n">
        <v>4222.222222222223</v>
      </c>
      <c r="L489" s="31" t="n">
        <v>150</v>
      </c>
      <c r="M489" s="31">
        <f>I489+J489+K489+L489</f>
        <v/>
      </c>
      <c r="N489" s="31">
        <f>M489*Dashboard!$B$18/(Dashboard!$B$16/3.6)</f>
        <v/>
      </c>
      <c r="O489" s="31" t="n">
        <v>1038.453047881202</v>
      </c>
      <c r="P489" s="32" t="n">
        <v>0.3520705084227755</v>
      </c>
      <c r="Q489" s="33" t="n">
        <v>8.434509224055622</v>
      </c>
      <c r="R489" s="31" t="n">
        <v>1432.716234436982</v>
      </c>
      <c r="S489" s="31">
        <f>R489*IF(A489=4, 2.0, 3.0)</f>
        <v/>
      </c>
      <c r="T489" s="30">
        <f>8.0*U489</f>
        <v/>
      </c>
      <c r="U489" s="34">
        <f>MIN(1, S489/M489)</f>
        <v/>
      </c>
      <c r="V489" s="34">
        <f>N489/(N489+O489)</f>
        <v/>
      </c>
      <c r="W489" s="34">
        <f>U489*V489</f>
        <v/>
      </c>
      <c r="X489" s="32">
        <f>T489/N489</f>
        <v/>
      </c>
      <c r="Y489" s="35">
        <f>IF(X489=MAXIFS(X$2:X$721, A$2:A$721, A489, B$2:B$721, B489), "OPTIMAL", "")</f>
        <v/>
      </c>
    </row>
    <row r="490" ht="20" customHeight="1">
      <c r="A490" s="36" t="n">
        <v>-18</v>
      </c>
      <c r="B490" s="36" t="n">
        <v>35</v>
      </c>
      <c r="C490" s="37" t="n">
        <v>80</v>
      </c>
      <c r="D490" s="37" t="n">
        <v>2</v>
      </c>
      <c r="E490" s="38" t="n">
        <v>4</v>
      </c>
      <c r="F490" s="37" t="n">
        <v>2</v>
      </c>
      <c r="G490" s="38" t="inlineStr">
        <is>
          <t>Oui</t>
        </is>
      </c>
      <c r="H490" s="38" t="inlineStr">
        <is>
          <t>ON</t>
        </is>
      </c>
      <c r="I490" s="39" t="n">
        <v>744.7528686370244</v>
      </c>
      <c r="J490" s="39" t="n">
        <v>6550.668683077564</v>
      </c>
      <c r="K490" s="39" t="n">
        <v>4222.222222222223</v>
      </c>
      <c r="L490" s="39" t="n">
        <v>150</v>
      </c>
      <c r="M490" s="39">
        <f>I490+J490+K490+L490</f>
        <v/>
      </c>
      <c r="N490" s="39">
        <f>M490*Dashboard!$B$18/(Dashboard!$B$16/3.6)</f>
        <v/>
      </c>
      <c r="O490" s="39" t="n">
        <v>1178.573528364154</v>
      </c>
      <c r="P490" s="40" t="n">
        <v>0.08027381372050572</v>
      </c>
      <c r="Q490" s="41" t="n">
        <v>11.17934563207416</v>
      </c>
      <c r="R490" s="39" t="n">
        <v>6372.695282137011</v>
      </c>
      <c r="S490" s="39">
        <f>R490*IF(A490=4, 2.0, 3.0)</f>
        <v/>
      </c>
      <c r="T490" s="37">
        <f>8.0*U490</f>
        <v/>
      </c>
      <c r="U490" s="42">
        <f>MIN(1, S490/M490)</f>
        <v/>
      </c>
      <c r="V490" s="42">
        <f>N490/(N490+O490)</f>
        <v/>
      </c>
      <c r="W490" s="42">
        <f>U490*V490</f>
        <v/>
      </c>
      <c r="X490" s="40">
        <f>T490/N490</f>
        <v/>
      </c>
      <c r="Y490" s="15">
        <f>IF(X490=MAXIFS(X$2:X$721, A$2:A$721, A490, B$2:B$721, B490), "OPTIMAL", "")</f>
        <v/>
      </c>
    </row>
    <row r="491" ht="20" customHeight="1">
      <c r="A491" s="29" t="n">
        <v>-18</v>
      </c>
      <c r="B491" s="29" t="n">
        <v>35</v>
      </c>
      <c r="C491" s="30" t="n">
        <v>80</v>
      </c>
      <c r="D491" s="30" t="n">
        <v>2</v>
      </c>
      <c r="E491" s="6" t="n">
        <v>4</v>
      </c>
      <c r="F491" s="30" t="n">
        <v>2</v>
      </c>
      <c r="G491" s="6" t="inlineStr">
        <is>
          <t>Oui</t>
        </is>
      </c>
      <c r="H491" s="6" t="inlineStr">
        <is>
          <t>OFF</t>
        </is>
      </c>
      <c r="I491" s="31" t="n">
        <v>744.7528686370244</v>
      </c>
      <c r="J491" s="31" t="n">
        <v>6550.668683077564</v>
      </c>
      <c r="K491" s="31" t="n">
        <v>4222.222222222223</v>
      </c>
      <c r="L491" s="31" t="n">
        <v>150</v>
      </c>
      <c r="M491" s="31">
        <f>I491+J491+K491+L491</f>
        <v/>
      </c>
      <c r="N491" s="31">
        <f>M491*Dashboard!$B$18/(Dashboard!$B$16/3.6)</f>
        <v/>
      </c>
      <c r="O491" s="31" t="n">
        <v>1178.573528364154</v>
      </c>
      <c r="P491" s="32" t="n">
        <v>0.355510990994127</v>
      </c>
      <c r="Q491" s="33" t="n">
        <v>11.17934563207416</v>
      </c>
      <c r="R491" s="31" t="n">
        <v>1438.944412225677</v>
      </c>
      <c r="S491" s="31">
        <f>R491*IF(A491=4, 2.0, 3.0)</f>
        <v/>
      </c>
      <c r="T491" s="30">
        <f>8.0*U491</f>
        <v/>
      </c>
      <c r="U491" s="34">
        <f>MIN(1, S491/M491)</f>
        <v/>
      </c>
      <c r="V491" s="34">
        <f>N491/(N491+O491)</f>
        <v/>
      </c>
      <c r="W491" s="34">
        <f>U491*V491</f>
        <v/>
      </c>
      <c r="X491" s="32">
        <f>T491/N491</f>
        <v/>
      </c>
      <c r="Y491" s="35">
        <f>IF(X491=MAXIFS(X$2:X$721, A$2:A$721, A491, B$2:B$721, B491), "OPTIMAL", "")</f>
        <v/>
      </c>
    </row>
    <row r="492" ht="20" customHeight="1">
      <c r="A492" s="36" t="n">
        <v>-18</v>
      </c>
      <c r="B492" s="36" t="n">
        <v>35</v>
      </c>
      <c r="C492" s="37" t="n">
        <v>80</v>
      </c>
      <c r="D492" s="37" t="n">
        <v>2</v>
      </c>
      <c r="E492" s="38" t="n">
        <v>4</v>
      </c>
      <c r="F492" s="37" t="n">
        <v>2</v>
      </c>
      <c r="G492" s="38" t="inlineStr">
        <is>
          <t>Non</t>
        </is>
      </c>
      <c r="H492" s="38" t="inlineStr">
        <is>
          <t>ON</t>
        </is>
      </c>
      <c r="I492" s="39" t="n">
        <v>744.7528686370244</v>
      </c>
      <c r="J492" s="39" t="n">
        <v>6550.668683077564</v>
      </c>
      <c r="K492" s="39" t="n">
        <v>4222.222222222223</v>
      </c>
      <c r="L492" s="39" t="n">
        <v>150</v>
      </c>
      <c r="M492" s="39">
        <f>I492+J492+K492+L492</f>
        <v/>
      </c>
      <c r="N492" s="39">
        <f>M492*Dashboard!$B$18/(Dashboard!$B$16/3.6)</f>
        <v/>
      </c>
      <c r="O492" s="39" t="n">
        <v>1178.573528364154</v>
      </c>
      <c r="P492" s="40" t="n">
        <v>0.07629494014320834</v>
      </c>
      <c r="Q492" s="41" t="n">
        <v>11.17934563207416</v>
      </c>
      <c r="R492" s="39" t="n">
        <v>6705.039063083274</v>
      </c>
      <c r="S492" s="39">
        <f>R492*IF(A492=4, 2.0, 3.0)</f>
        <v/>
      </c>
      <c r="T492" s="37">
        <f>8.0*U492</f>
        <v/>
      </c>
      <c r="U492" s="42">
        <f>MIN(1, S492/M492)</f>
        <v/>
      </c>
      <c r="V492" s="42">
        <f>N492/(N492+O492)</f>
        <v/>
      </c>
      <c r="W492" s="42">
        <f>U492*V492</f>
        <v/>
      </c>
      <c r="X492" s="40">
        <f>T492/N492</f>
        <v/>
      </c>
      <c r="Y492" s="15">
        <f>IF(X492=MAXIFS(X$2:X$721, A$2:A$721, A492, B$2:B$721, B492), "OPTIMAL", "")</f>
        <v/>
      </c>
    </row>
    <row r="493" ht="20" customHeight="1">
      <c r="A493" s="29" t="n">
        <v>-18</v>
      </c>
      <c r="B493" s="29" t="n">
        <v>35</v>
      </c>
      <c r="C493" s="30" t="n">
        <v>80</v>
      </c>
      <c r="D493" s="30" t="n">
        <v>2</v>
      </c>
      <c r="E493" s="6" t="n">
        <v>4</v>
      </c>
      <c r="F493" s="30" t="n">
        <v>2</v>
      </c>
      <c r="G493" s="6" t="inlineStr">
        <is>
          <t>Non</t>
        </is>
      </c>
      <c r="H493" s="6" t="inlineStr">
        <is>
          <t>OFF</t>
        </is>
      </c>
      <c r="I493" s="31" t="n">
        <v>744.7528686370244</v>
      </c>
      <c r="J493" s="31" t="n">
        <v>6550.668683077564</v>
      </c>
      <c r="K493" s="31" t="n">
        <v>4222.222222222223</v>
      </c>
      <c r="L493" s="31" t="n">
        <v>150</v>
      </c>
      <c r="M493" s="31">
        <f>I493+J493+K493+L493</f>
        <v/>
      </c>
      <c r="N493" s="31">
        <f>M493*Dashboard!$B$18/(Dashboard!$B$16/3.6)</f>
        <v/>
      </c>
      <c r="O493" s="31" t="n">
        <v>1178.573528364154</v>
      </c>
      <c r="P493" s="32" t="n">
        <v>0.3515321174168297</v>
      </c>
      <c r="Q493" s="33" t="n">
        <v>11.17934563207416</v>
      </c>
      <c r="R493" s="31" t="n">
        <v>1455.231339130326</v>
      </c>
      <c r="S493" s="31">
        <f>R493*IF(A493=4, 2.0, 3.0)</f>
        <v/>
      </c>
      <c r="T493" s="30">
        <f>8.0*U493</f>
        <v/>
      </c>
      <c r="U493" s="34">
        <f>MIN(1, S493/M493)</f>
        <v/>
      </c>
      <c r="V493" s="34">
        <f>N493/(N493+O493)</f>
        <v/>
      </c>
      <c r="W493" s="34">
        <f>U493*V493</f>
        <v/>
      </c>
      <c r="X493" s="32">
        <f>T493/N493</f>
        <v/>
      </c>
      <c r="Y493" s="35">
        <f>IF(X493=MAXIFS(X$2:X$721, A$2:A$721, A493, B$2:B$721, B493), "OPTIMAL", "")</f>
        <v/>
      </c>
    </row>
    <row r="494" ht="20" customHeight="1">
      <c r="A494" s="36" t="n">
        <v>-18</v>
      </c>
      <c r="B494" s="36" t="n">
        <v>35</v>
      </c>
      <c r="C494" s="37" t="n">
        <v>80</v>
      </c>
      <c r="D494" s="37" t="n">
        <v>2</v>
      </c>
      <c r="E494" s="38" t="n">
        <v>8</v>
      </c>
      <c r="F494" s="37" t="n">
        <v>1.5</v>
      </c>
      <c r="G494" s="38" t="inlineStr">
        <is>
          <t>Oui</t>
        </is>
      </c>
      <c r="H494" s="38" t="inlineStr">
        <is>
          <t>ON</t>
        </is>
      </c>
      <c r="I494" s="39" t="n">
        <v>744.7528686370244</v>
      </c>
      <c r="J494" s="39" t="n">
        <v>6550.668683077564</v>
      </c>
      <c r="K494" s="39" t="n">
        <v>4222.222222222223</v>
      </c>
      <c r="L494" s="39" t="n">
        <v>150</v>
      </c>
      <c r="M494" s="39">
        <f>I494+J494+K494+L494</f>
        <v/>
      </c>
      <c r="N494" s="39">
        <f>M494*Dashboard!$B$18/(Dashboard!$B$16/3.6)</f>
        <v/>
      </c>
      <c r="O494" s="39" t="n">
        <v>1471.067634080946</v>
      </c>
      <c r="P494" s="40" t="n">
        <v>0.06145178783543291</v>
      </c>
      <c r="Q494" s="41" t="n">
        <v>16.66901844811125</v>
      </c>
      <c r="R494" s="39" t="n">
        <v>8567.237610396533</v>
      </c>
      <c r="S494" s="39">
        <f>R494*IF(A494=4, 2.0, 3.0)</f>
        <v/>
      </c>
      <c r="T494" s="37">
        <f>8.0*U494</f>
        <v/>
      </c>
      <c r="U494" s="42">
        <f>MIN(1, S494/M494)</f>
        <v/>
      </c>
      <c r="V494" s="42">
        <f>N494/(N494+O494)</f>
        <v/>
      </c>
      <c r="W494" s="42">
        <f>U494*V494</f>
        <v/>
      </c>
      <c r="X494" s="40">
        <f>T494/N494</f>
        <v/>
      </c>
      <c r="Y494" s="15">
        <f>IF(X494=MAXIFS(X$2:X$721, A$2:A$721, A494, B$2:B$721, B494), "OPTIMAL", "")</f>
        <v/>
      </c>
    </row>
    <row r="495" ht="20" customHeight="1">
      <c r="A495" s="29" t="n">
        <v>-18</v>
      </c>
      <c r="B495" s="29" t="n">
        <v>35</v>
      </c>
      <c r="C495" s="30" t="n">
        <v>80</v>
      </c>
      <c r="D495" s="30" t="n">
        <v>2</v>
      </c>
      <c r="E495" s="6" t="n">
        <v>8</v>
      </c>
      <c r="F495" s="30" t="n">
        <v>1.5</v>
      </c>
      <c r="G495" s="6" t="inlineStr">
        <is>
          <t>Oui</t>
        </is>
      </c>
      <c r="H495" s="6" t="inlineStr">
        <is>
          <t>OFF</t>
        </is>
      </c>
      <c r="I495" s="31" t="n">
        <v>744.7528686370244</v>
      </c>
      <c r="J495" s="31" t="n">
        <v>6550.668683077564</v>
      </c>
      <c r="K495" s="31" t="n">
        <v>4222.222222222223</v>
      </c>
      <c r="L495" s="31" t="n">
        <v>150</v>
      </c>
      <c r="M495" s="31">
        <f>I495+J495+K495+L495</f>
        <v/>
      </c>
      <c r="N495" s="31">
        <f>M495*Dashboard!$B$18/(Dashboard!$B$16/3.6)</f>
        <v/>
      </c>
      <c r="O495" s="31" t="n">
        <v>1471.067634080946</v>
      </c>
      <c r="P495" s="32" t="n">
        <v>0.2700829218988253</v>
      </c>
      <c r="Q495" s="33" t="n">
        <v>16.66901844811125</v>
      </c>
      <c r="R495" s="31" t="n">
        <v>1949.29788328878</v>
      </c>
      <c r="S495" s="31">
        <f>R495*IF(A495=4, 2.0, 3.0)</f>
        <v/>
      </c>
      <c r="T495" s="30">
        <f>8.0*U495</f>
        <v/>
      </c>
      <c r="U495" s="34">
        <f>MIN(1, S495/M495)</f>
        <v/>
      </c>
      <c r="V495" s="34">
        <f>N495/(N495+O495)</f>
        <v/>
      </c>
      <c r="W495" s="34">
        <f>U495*V495</f>
        <v/>
      </c>
      <c r="X495" s="32">
        <f>T495/N495</f>
        <v/>
      </c>
      <c r="Y495" s="35">
        <f>IF(X495=MAXIFS(X$2:X$721, A$2:A$721, A495, B$2:B$721, B495), "OPTIMAL", "")</f>
        <v/>
      </c>
    </row>
    <row r="496" ht="20" customHeight="1">
      <c r="A496" s="36" t="n">
        <v>-18</v>
      </c>
      <c r="B496" s="36" t="n">
        <v>35</v>
      </c>
      <c r="C496" s="37" t="n">
        <v>80</v>
      </c>
      <c r="D496" s="37" t="n">
        <v>2</v>
      </c>
      <c r="E496" s="38" t="n">
        <v>8</v>
      </c>
      <c r="F496" s="37" t="n">
        <v>1.5</v>
      </c>
      <c r="G496" s="38" t="inlineStr">
        <is>
          <t>Non</t>
        </is>
      </c>
      <c r="H496" s="38" t="inlineStr">
        <is>
          <t>ON</t>
        </is>
      </c>
      <c r="I496" s="39" t="n">
        <v>744.7528686370244</v>
      </c>
      <c r="J496" s="39" t="n">
        <v>6550.668683077564</v>
      </c>
      <c r="K496" s="39" t="n">
        <v>4222.222222222223</v>
      </c>
      <c r="L496" s="39" t="n">
        <v>150</v>
      </c>
      <c r="M496" s="39">
        <f>I496+J496+K496+L496</f>
        <v/>
      </c>
      <c r="N496" s="39">
        <f>M496*Dashboard!$B$18/(Dashboard!$B$16/3.6)</f>
        <v/>
      </c>
      <c r="O496" s="39" t="n">
        <v>1471.067634080946</v>
      </c>
      <c r="P496" s="40" t="n">
        <v>0.05747291425813553</v>
      </c>
      <c r="Q496" s="41" t="n">
        <v>16.66901844811125</v>
      </c>
      <c r="R496" s="39" t="n">
        <v>9160.351006479625</v>
      </c>
      <c r="S496" s="39">
        <f>R496*IF(A496=4, 2.0, 3.0)</f>
        <v/>
      </c>
      <c r="T496" s="37">
        <f>8.0*U496</f>
        <v/>
      </c>
      <c r="U496" s="42">
        <f>MIN(1, S496/M496)</f>
        <v/>
      </c>
      <c r="V496" s="42">
        <f>N496/(N496+O496)</f>
        <v/>
      </c>
      <c r="W496" s="42">
        <f>U496*V496</f>
        <v/>
      </c>
      <c r="X496" s="40">
        <f>T496/N496</f>
        <v/>
      </c>
      <c r="Y496" s="15">
        <f>IF(X496=MAXIFS(X$2:X$721, A$2:A$721, A496, B$2:B$721, B496), "OPTIMAL", "")</f>
        <v/>
      </c>
    </row>
    <row r="497" ht="20" customHeight="1">
      <c r="A497" s="29" t="n">
        <v>-18</v>
      </c>
      <c r="B497" s="29" t="n">
        <v>35</v>
      </c>
      <c r="C497" s="30" t="n">
        <v>80</v>
      </c>
      <c r="D497" s="30" t="n">
        <v>2</v>
      </c>
      <c r="E497" s="6" t="n">
        <v>8</v>
      </c>
      <c r="F497" s="30" t="n">
        <v>1.5</v>
      </c>
      <c r="G497" s="6" t="inlineStr">
        <is>
          <t>Non</t>
        </is>
      </c>
      <c r="H497" s="6" t="inlineStr">
        <is>
          <t>OFF</t>
        </is>
      </c>
      <c r="I497" s="31" t="n">
        <v>744.7528686370244</v>
      </c>
      <c r="J497" s="31" t="n">
        <v>6550.668683077564</v>
      </c>
      <c r="K497" s="31" t="n">
        <v>4222.222222222223</v>
      </c>
      <c r="L497" s="31" t="n">
        <v>150</v>
      </c>
      <c r="M497" s="31">
        <f>I497+J497+K497+L497</f>
        <v/>
      </c>
      <c r="N497" s="31">
        <f>M497*Dashboard!$B$18/(Dashboard!$B$16/3.6)</f>
        <v/>
      </c>
      <c r="O497" s="31" t="n">
        <v>1471.067634080946</v>
      </c>
      <c r="P497" s="32" t="n">
        <v>0.2661040483215279</v>
      </c>
      <c r="Q497" s="33" t="n">
        <v>16.66901844811125</v>
      </c>
      <c r="R497" s="31" t="n">
        <v>1978.444414095136</v>
      </c>
      <c r="S497" s="31">
        <f>R497*IF(A497=4, 2.0, 3.0)</f>
        <v/>
      </c>
      <c r="T497" s="30">
        <f>8.0*U497</f>
        <v/>
      </c>
      <c r="U497" s="34">
        <f>MIN(1, S497/M497)</f>
        <v/>
      </c>
      <c r="V497" s="34">
        <f>N497/(N497+O497)</f>
        <v/>
      </c>
      <c r="W497" s="34">
        <f>U497*V497</f>
        <v/>
      </c>
      <c r="X497" s="32">
        <f>T497/N497</f>
        <v/>
      </c>
      <c r="Y497" s="35">
        <f>IF(X497=MAXIFS(X$2:X$721, A$2:A$721, A497, B$2:B$721, B497), "OPTIMAL", "")</f>
        <v/>
      </c>
    </row>
    <row r="498" ht="20" customHeight="1">
      <c r="A498" s="36" t="n">
        <v>-18</v>
      </c>
      <c r="B498" s="36" t="n">
        <v>35</v>
      </c>
      <c r="C498" s="37" t="n">
        <v>80</v>
      </c>
      <c r="D498" s="37" t="n">
        <v>2</v>
      </c>
      <c r="E498" s="38" t="n">
        <v>8</v>
      </c>
      <c r="F498" s="37" t="n">
        <v>2</v>
      </c>
      <c r="G498" s="38" t="inlineStr">
        <is>
          <t>Oui</t>
        </is>
      </c>
      <c r="H498" s="38" t="inlineStr">
        <is>
          <t>ON</t>
        </is>
      </c>
      <c r="I498" s="39" t="n">
        <v>744.7528686370244</v>
      </c>
      <c r="J498" s="39" t="n">
        <v>6550.668683077564</v>
      </c>
      <c r="K498" s="39" t="n">
        <v>4222.222222222223</v>
      </c>
      <c r="L498" s="39" t="n">
        <v>150</v>
      </c>
      <c r="M498" s="39">
        <f>I498+J498+K498+L498</f>
        <v/>
      </c>
      <c r="N498" s="39">
        <f>M498*Dashboard!$B$18/(Dashboard!$B$16/3.6)</f>
        <v/>
      </c>
      <c r="O498" s="39" t="n">
        <v>1781.125570992189</v>
      </c>
      <c r="P498" s="40" t="n">
        <v>0.06058998977604487</v>
      </c>
      <c r="Q498" s="41" t="n">
        <v>22.15869126414833</v>
      </c>
      <c r="R498" s="39" t="n">
        <v>8949.976686901304</v>
      </c>
      <c r="S498" s="39">
        <f>R498*IF(A498=4, 2.0, 3.0)</f>
        <v/>
      </c>
      <c r="T498" s="37">
        <f>8.0*U498</f>
        <v/>
      </c>
      <c r="U498" s="42">
        <f>MIN(1, S498/M498)</f>
        <v/>
      </c>
      <c r="V498" s="42">
        <f>N498/(N498+O498)</f>
        <v/>
      </c>
      <c r="W498" s="42">
        <f>U498*V498</f>
        <v/>
      </c>
      <c r="X498" s="40">
        <f>T498/N498</f>
        <v/>
      </c>
      <c r="Y498" s="15">
        <f>IF(X498=MAXIFS(X$2:X$721, A$2:A$721, A498, B$2:B$721, B498), "OPTIMAL", "")</f>
        <v/>
      </c>
    </row>
    <row r="499" ht="20" customHeight="1">
      <c r="A499" s="29" t="n">
        <v>-18</v>
      </c>
      <c r="B499" s="29" t="n">
        <v>35</v>
      </c>
      <c r="C499" s="30" t="n">
        <v>80</v>
      </c>
      <c r="D499" s="30" t="n">
        <v>2</v>
      </c>
      <c r="E499" s="6" t="n">
        <v>8</v>
      </c>
      <c r="F499" s="30" t="n">
        <v>2</v>
      </c>
      <c r="G499" s="6" t="inlineStr">
        <is>
          <t>Oui</t>
        </is>
      </c>
      <c r="H499" s="6" t="inlineStr">
        <is>
          <t>OFF</t>
        </is>
      </c>
      <c r="I499" s="31" t="n">
        <v>744.7528686370244</v>
      </c>
      <c r="J499" s="31" t="n">
        <v>6550.668683077564</v>
      </c>
      <c r="K499" s="31" t="n">
        <v>4222.222222222223</v>
      </c>
      <c r="L499" s="31" t="n">
        <v>150</v>
      </c>
      <c r="M499" s="31">
        <f>I499+J499+K499+L499</f>
        <v/>
      </c>
      <c r="N499" s="31">
        <f>M499*Dashboard!$B$18/(Dashboard!$B$16/3.6)</f>
        <v/>
      </c>
      <c r="O499" s="31" t="n">
        <v>1781.125570992189</v>
      </c>
      <c r="P499" s="32" t="n">
        <v>0.2709744149858122</v>
      </c>
      <c r="Q499" s="33" t="n">
        <v>22.15869126414833</v>
      </c>
      <c r="R499" s="31" t="n">
        <v>2001.218439695064</v>
      </c>
      <c r="S499" s="31">
        <f>R499*IF(A499=4, 2.0, 3.0)</f>
        <v/>
      </c>
      <c r="T499" s="30">
        <f>8.0*U499</f>
        <v/>
      </c>
      <c r="U499" s="34">
        <f>MIN(1, S499/M499)</f>
        <v/>
      </c>
      <c r="V499" s="34">
        <f>N499/(N499+O499)</f>
        <v/>
      </c>
      <c r="W499" s="34">
        <f>U499*V499</f>
        <v/>
      </c>
      <c r="X499" s="32">
        <f>T499/N499</f>
        <v/>
      </c>
      <c r="Y499" s="35">
        <f>IF(X499=MAXIFS(X$2:X$721, A$2:A$721, A499, B$2:B$721, B499), "OPTIMAL", "")</f>
        <v/>
      </c>
    </row>
    <row r="500" ht="20" customHeight="1">
      <c r="A500" s="36" t="n">
        <v>-18</v>
      </c>
      <c r="B500" s="36" t="n">
        <v>35</v>
      </c>
      <c r="C500" s="37" t="n">
        <v>80</v>
      </c>
      <c r="D500" s="37" t="n">
        <v>2</v>
      </c>
      <c r="E500" s="38" t="n">
        <v>8</v>
      </c>
      <c r="F500" s="37" t="n">
        <v>2</v>
      </c>
      <c r="G500" s="38" t="inlineStr">
        <is>
          <t>Non</t>
        </is>
      </c>
      <c r="H500" s="38" t="inlineStr">
        <is>
          <t>ON</t>
        </is>
      </c>
      <c r="I500" s="39" t="n">
        <v>744.7528686370244</v>
      </c>
      <c r="J500" s="39" t="n">
        <v>6550.668683077564</v>
      </c>
      <c r="K500" s="39" t="n">
        <v>4222.222222222223</v>
      </c>
      <c r="L500" s="39" t="n">
        <v>150</v>
      </c>
      <c r="M500" s="39">
        <f>I500+J500+K500+L500</f>
        <v/>
      </c>
      <c r="N500" s="39">
        <f>M500*Dashboard!$B$18/(Dashboard!$B$16/3.6)</f>
        <v/>
      </c>
      <c r="O500" s="39" t="n">
        <v>1781.125570992189</v>
      </c>
      <c r="P500" s="40" t="n">
        <v>0.05661111619874749</v>
      </c>
      <c r="Q500" s="41" t="n">
        <v>22.15869126414833</v>
      </c>
      <c r="R500" s="39" t="n">
        <v>9579.019676124808</v>
      </c>
      <c r="S500" s="39">
        <f>R500*IF(A500=4, 2.0, 3.0)</f>
        <v/>
      </c>
      <c r="T500" s="37">
        <f>8.0*U500</f>
        <v/>
      </c>
      <c r="U500" s="42">
        <f>MIN(1, S500/M500)</f>
        <v/>
      </c>
      <c r="V500" s="42">
        <f>N500/(N500+O500)</f>
        <v/>
      </c>
      <c r="W500" s="42">
        <f>U500*V500</f>
        <v/>
      </c>
      <c r="X500" s="40">
        <f>T500/N500</f>
        <v/>
      </c>
      <c r="Y500" s="15">
        <f>IF(X500=MAXIFS(X$2:X$721, A$2:A$721, A500, B$2:B$721, B500), "OPTIMAL", "")</f>
        <v/>
      </c>
    </row>
    <row r="501" ht="20" customHeight="1">
      <c r="A501" s="29" t="n">
        <v>-18</v>
      </c>
      <c r="B501" s="29" t="n">
        <v>35</v>
      </c>
      <c r="C501" s="30" t="n">
        <v>80</v>
      </c>
      <c r="D501" s="30" t="n">
        <v>2</v>
      </c>
      <c r="E501" s="6" t="n">
        <v>8</v>
      </c>
      <c r="F501" s="30" t="n">
        <v>2</v>
      </c>
      <c r="G501" s="6" t="inlineStr">
        <is>
          <t>Non</t>
        </is>
      </c>
      <c r="H501" s="6" t="inlineStr">
        <is>
          <t>OFF</t>
        </is>
      </c>
      <c r="I501" s="31" t="n">
        <v>744.7528686370244</v>
      </c>
      <c r="J501" s="31" t="n">
        <v>6550.668683077564</v>
      </c>
      <c r="K501" s="31" t="n">
        <v>4222.222222222223</v>
      </c>
      <c r="L501" s="31" t="n">
        <v>150</v>
      </c>
      <c r="M501" s="31">
        <f>I501+J501+K501+L501</f>
        <v/>
      </c>
      <c r="N501" s="31">
        <f>M501*Dashboard!$B$18/(Dashboard!$B$16/3.6)</f>
        <v/>
      </c>
      <c r="O501" s="31" t="n">
        <v>1781.125570992189</v>
      </c>
      <c r="P501" s="32" t="n">
        <v>0.2669955414085148</v>
      </c>
      <c r="Q501" s="33" t="n">
        <v>22.15869126414833</v>
      </c>
      <c r="R501" s="31" t="n">
        <v>2031.041391532001</v>
      </c>
      <c r="S501" s="31">
        <f>R501*IF(A501=4, 2.0, 3.0)</f>
        <v/>
      </c>
      <c r="T501" s="30">
        <f>8.0*U501</f>
        <v/>
      </c>
      <c r="U501" s="34">
        <f>MIN(1, S501/M501)</f>
        <v/>
      </c>
      <c r="V501" s="34">
        <f>N501/(N501+O501)</f>
        <v/>
      </c>
      <c r="W501" s="34">
        <f>U501*V501</f>
        <v/>
      </c>
      <c r="X501" s="32">
        <f>T501/N501</f>
        <v/>
      </c>
      <c r="Y501" s="35">
        <f>IF(X501=MAXIFS(X$2:X$721, A$2:A$721, A501, B$2:B$721, B501), "OPTIMAL", "")</f>
        <v/>
      </c>
    </row>
    <row r="502" ht="20" customHeight="1">
      <c r="A502" s="21" t="n">
        <v>-18</v>
      </c>
      <c r="B502" s="21" t="n">
        <v>35</v>
      </c>
      <c r="C502" s="22" t="n">
        <v>80</v>
      </c>
      <c r="D502" s="22" t="n">
        <v>3</v>
      </c>
      <c r="E502" s="23" t="n">
        <v>0</v>
      </c>
      <c r="F502" s="22" t="n">
        <v>0</v>
      </c>
      <c r="G502" s="23" t="inlineStr">
        <is>
          <t>Oui</t>
        </is>
      </c>
      <c r="H502" s="23" t="inlineStr">
        <is>
          <t>ON</t>
        </is>
      </c>
      <c r="I502" s="24" t="n">
        <v>744.7528686370244</v>
      </c>
      <c r="J502" s="24" t="n">
        <v>6550.668683077564</v>
      </c>
      <c r="K502" s="24" t="n">
        <v>4222.222222222223</v>
      </c>
      <c r="L502" s="24" t="n">
        <v>150</v>
      </c>
      <c r="M502" s="24">
        <f>I502+J502+K502+L502</f>
        <v/>
      </c>
      <c r="N502" s="24">
        <f>M502*Dashboard!$B$18/(Dashboard!$B$16/3.6)</f>
        <v/>
      </c>
      <c r="O502" s="24" t="n">
        <v>1000.590819824435</v>
      </c>
      <c r="P502" s="25" t="n">
        <v>0.5013985973965238</v>
      </c>
      <c r="Q502" s="26" t="n">
        <v>0.2</v>
      </c>
      <c r="R502" s="24" t="n">
        <v>1018.468924930141</v>
      </c>
      <c r="S502" s="24">
        <f>R502*IF(A502=4, 2.0, 3.0)</f>
        <v/>
      </c>
      <c r="T502" s="22">
        <f>8.0*U502</f>
        <v/>
      </c>
      <c r="U502" s="27">
        <f>MIN(1, S502/M502)</f>
        <v/>
      </c>
      <c r="V502" s="27">
        <f>N502/(N502+O502)</f>
        <v/>
      </c>
      <c r="W502" s="27">
        <f>U502*V502</f>
        <v/>
      </c>
      <c r="X502" s="25">
        <f>T502/N502</f>
        <v/>
      </c>
      <c r="Y502" s="28">
        <f>IF(X502=MAXIFS(X$2:X$721, A$2:A$721, A502, B$2:B$721, B502), "OPTIMAL", "")</f>
        <v/>
      </c>
    </row>
    <row r="503" ht="20" customHeight="1">
      <c r="A503" s="29" t="n">
        <v>-18</v>
      </c>
      <c r="B503" s="29" t="n">
        <v>35</v>
      </c>
      <c r="C503" s="30" t="n">
        <v>80</v>
      </c>
      <c r="D503" s="30" t="n">
        <v>3</v>
      </c>
      <c r="E503" s="6" t="n">
        <v>0</v>
      </c>
      <c r="F503" s="30" t="n">
        <v>0</v>
      </c>
      <c r="G503" s="6" t="inlineStr">
        <is>
          <t>Oui</t>
        </is>
      </c>
      <c r="H503" s="6" t="inlineStr">
        <is>
          <t>OFF</t>
        </is>
      </c>
      <c r="I503" s="31" t="n">
        <v>744.7528686370244</v>
      </c>
      <c r="J503" s="31" t="n">
        <v>6550.668683077564</v>
      </c>
      <c r="K503" s="31" t="n">
        <v>4222.222222222223</v>
      </c>
      <c r="L503" s="31" t="n">
        <v>150</v>
      </c>
      <c r="M503" s="31">
        <f>I503+J503+K503+L503</f>
        <v/>
      </c>
      <c r="N503" s="31">
        <f>M503*Dashboard!$B$18/(Dashboard!$B$16/3.6)</f>
        <v/>
      </c>
      <c r="O503" s="31" t="n">
        <v>1000.590819824435</v>
      </c>
      <c r="P503" s="32" t="n">
        <v>0.8992859551262622</v>
      </c>
      <c r="Q503" s="33" t="n">
        <v>0.2</v>
      </c>
      <c r="R503" s="31" t="n">
        <v>567.8492892510706</v>
      </c>
      <c r="S503" s="31">
        <f>R503*IF(A503=4, 2.0, 3.0)</f>
        <v/>
      </c>
      <c r="T503" s="30">
        <f>8.0*U503</f>
        <v/>
      </c>
      <c r="U503" s="34">
        <f>MIN(1, S503/M503)</f>
        <v/>
      </c>
      <c r="V503" s="34">
        <f>N503/(N503+O503)</f>
        <v/>
      </c>
      <c r="W503" s="34">
        <f>U503*V503</f>
        <v/>
      </c>
      <c r="X503" s="32">
        <f>T503/N503</f>
        <v/>
      </c>
      <c r="Y503" s="35">
        <f>IF(X503=MAXIFS(X$2:X$721, A$2:A$721, A503, B$2:B$721, B503), "OPTIMAL", "")</f>
        <v/>
      </c>
    </row>
    <row r="504" ht="20" customHeight="1">
      <c r="A504" s="21" t="n">
        <v>-18</v>
      </c>
      <c r="B504" s="21" t="n">
        <v>35</v>
      </c>
      <c r="C504" s="22" t="n">
        <v>80</v>
      </c>
      <c r="D504" s="22" t="n">
        <v>3</v>
      </c>
      <c r="E504" s="23" t="n">
        <v>0</v>
      </c>
      <c r="F504" s="22" t="n">
        <v>0</v>
      </c>
      <c r="G504" s="23" t="inlineStr">
        <is>
          <t>Non</t>
        </is>
      </c>
      <c r="H504" s="23" t="inlineStr">
        <is>
          <t>ON</t>
        </is>
      </c>
      <c r="I504" s="24" t="n">
        <v>744.7528686370244</v>
      </c>
      <c r="J504" s="24" t="n">
        <v>6550.668683077564</v>
      </c>
      <c r="K504" s="24" t="n">
        <v>4222.222222222223</v>
      </c>
      <c r="L504" s="24" t="n">
        <v>150</v>
      </c>
      <c r="M504" s="24">
        <f>I504+J504+K504+L504</f>
        <v/>
      </c>
      <c r="N504" s="24">
        <f>M504*Dashboard!$B$18/(Dashboard!$B$16/3.6)</f>
        <v/>
      </c>
      <c r="O504" s="24" t="n">
        <v>1000.590819824435</v>
      </c>
      <c r="P504" s="25" t="n">
        <v>0.4974197238192265</v>
      </c>
      <c r="Q504" s="26" t="n">
        <v>0.2</v>
      </c>
      <c r="R504" s="24" t="n">
        <v>1026.615684900953</v>
      </c>
      <c r="S504" s="24">
        <f>R504*IF(A504=4, 2.0, 3.0)</f>
        <v/>
      </c>
      <c r="T504" s="22">
        <f>8.0*U504</f>
        <v/>
      </c>
      <c r="U504" s="27">
        <f>MIN(1, S504/M504)</f>
        <v/>
      </c>
      <c r="V504" s="27">
        <f>N504/(N504+O504)</f>
        <v/>
      </c>
      <c r="W504" s="27">
        <f>U504*V504</f>
        <v/>
      </c>
      <c r="X504" s="25">
        <f>T504/N504</f>
        <v/>
      </c>
      <c r="Y504" s="28">
        <f>IF(X504=MAXIFS(X$2:X$721, A$2:A$721, A504, B$2:B$721, B504), "OPTIMAL", "")</f>
        <v/>
      </c>
    </row>
    <row r="505" ht="20" customHeight="1">
      <c r="A505" s="29" t="n">
        <v>-18</v>
      </c>
      <c r="B505" s="29" t="n">
        <v>35</v>
      </c>
      <c r="C505" s="30" t="n">
        <v>80</v>
      </c>
      <c r="D505" s="30" t="n">
        <v>3</v>
      </c>
      <c r="E505" s="6" t="n">
        <v>0</v>
      </c>
      <c r="F505" s="30" t="n">
        <v>0</v>
      </c>
      <c r="G505" s="6" t="inlineStr">
        <is>
          <t>Non</t>
        </is>
      </c>
      <c r="H505" s="6" t="inlineStr">
        <is>
          <t>OFF</t>
        </is>
      </c>
      <c r="I505" s="31" t="n">
        <v>744.7528686370244</v>
      </c>
      <c r="J505" s="31" t="n">
        <v>6550.668683077564</v>
      </c>
      <c r="K505" s="31" t="n">
        <v>4222.222222222223</v>
      </c>
      <c r="L505" s="31" t="n">
        <v>150</v>
      </c>
      <c r="M505" s="31">
        <f>I505+J505+K505+L505</f>
        <v/>
      </c>
      <c r="N505" s="31">
        <f>M505*Dashboard!$B$18/(Dashboard!$B$16/3.6)</f>
        <v/>
      </c>
      <c r="O505" s="31" t="n">
        <v>1000.590819824435</v>
      </c>
      <c r="P505" s="32" t="n">
        <v>0.8953070815489648</v>
      </c>
      <c r="Q505" s="33" t="n">
        <v>0.2</v>
      </c>
      <c r="R505" s="31" t="n">
        <v>570.372893251811</v>
      </c>
      <c r="S505" s="31">
        <f>R505*IF(A505=4, 2.0, 3.0)</f>
        <v/>
      </c>
      <c r="T505" s="30">
        <f>8.0*U505</f>
        <v/>
      </c>
      <c r="U505" s="34">
        <f>MIN(1, S505/M505)</f>
        <v/>
      </c>
      <c r="V505" s="34">
        <f>N505/(N505+O505)</f>
        <v/>
      </c>
      <c r="W505" s="34">
        <f>U505*V505</f>
        <v/>
      </c>
      <c r="X505" s="32">
        <f>T505/N505</f>
        <v/>
      </c>
      <c r="Y505" s="35">
        <f>IF(X505=MAXIFS(X$2:X$721, A$2:A$721, A505, B$2:B$721, B505), "OPTIMAL", "")</f>
        <v/>
      </c>
    </row>
    <row r="506" ht="20" customHeight="1">
      <c r="A506" s="36" t="n">
        <v>-18</v>
      </c>
      <c r="B506" s="36" t="n">
        <v>35</v>
      </c>
      <c r="C506" s="37" t="n">
        <v>80</v>
      </c>
      <c r="D506" s="37" t="n">
        <v>3</v>
      </c>
      <c r="E506" s="38" t="n">
        <v>4</v>
      </c>
      <c r="F506" s="37" t="n">
        <v>1.5</v>
      </c>
      <c r="G506" s="38" t="inlineStr">
        <is>
          <t>Oui</t>
        </is>
      </c>
      <c r="H506" s="38" t="inlineStr">
        <is>
          <t>ON</t>
        </is>
      </c>
      <c r="I506" s="39" t="n">
        <v>744.7528686370244</v>
      </c>
      <c r="J506" s="39" t="n">
        <v>6550.668683077564</v>
      </c>
      <c r="K506" s="39" t="n">
        <v>4222.222222222223</v>
      </c>
      <c r="L506" s="39" t="n">
        <v>150</v>
      </c>
      <c r="M506" s="39">
        <f>I506+J506+K506+L506</f>
        <v/>
      </c>
      <c r="N506" s="39">
        <f>M506*Dashboard!$B$18/(Dashboard!$B$16/3.6)</f>
        <v/>
      </c>
      <c r="O506" s="39" t="n">
        <v>1428.54268811653</v>
      </c>
      <c r="P506" s="40" t="n">
        <v>0.08209463084427607</v>
      </c>
      <c r="Q506" s="41" t="n">
        <v>8.657063527408475</v>
      </c>
      <c r="R506" s="39" t="n">
        <v>6488.298373880048</v>
      </c>
      <c r="S506" s="39">
        <f>R506*IF(A506=4, 2.0, 3.0)</f>
        <v/>
      </c>
      <c r="T506" s="37">
        <f>8.0*U506</f>
        <v/>
      </c>
      <c r="U506" s="42">
        <f>MIN(1, S506/M506)</f>
        <v/>
      </c>
      <c r="V506" s="42">
        <f>N506/(N506+O506)</f>
        <v/>
      </c>
      <c r="W506" s="42">
        <f>U506*V506</f>
        <v/>
      </c>
      <c r="X506" s="40">
        <f>T506/N506</f>
        <v/>
      </c>
      <c r="Y506" s="15">
        <f>IF(X506=MAXIFS(X$2:X$721, A$2:A$721, A506, B$2:B$721, B506), "OPTIMAL", "")</f>
        <v/>
      </c>
    </row>
    <row r="507" ht="20" customHeight="1">
      <c r="A507" s="29" t="n">
        <v>-18</v>
      </c>
      <c r="B507" s="29" t="n">
        <v>35</v>
      </c>
      <c r="C507" s="30" t="n">
        <v>80</v>
      </c>
      <c r="D507" s="30" t="n">
        <v>3</v>
      </c>
      <c r="E507" s="6" t="n">
        <v>4</v>
      </c>
      <c r="F507" s="30" t="n">
        <v>1.5</v>
      </c>
      <c r="G507" s="6" t="inlineStr">
        <is>
          <t>Oui</t>
        </is>
      </c>
      <c r="H507" s="6" t="inlineStr">
        <is>
          <t>OFF</t>
        </is>
      </c>
      <c r="I507" s="31" t="n">
        <v>744.7528686370244</v>
      </c>
      <c r="J507" s="31" t="n">
        <v>6550.668683077564</v>
      </c>
      <c r="K507" s="31" t="n">
        <v>4222.222222222223</v>
      </c>
      <c r="L507" s="31" t="n">
        <v>150</v>
      </c>
      <c r="M507" s="31">
        <f>I507+J507+K507+L507</f>
        <v/>
      </c>
      <c r="N507" s="31">
        <f>M507*Dashboard!$B$18/(Dashboard!$B$16/3.6)</f>
        <v/>
      </c>
      <c r="O507" s="31" t="n">
        <v>1428.54268811653</v>
      </c>
      <c r="P507" s="32" t="n">
        <v>0.3558275394191204</v>
      </c>
      <c r="Q507" s="33" t="n">
        <v>8.657063527408475</v>
      </c>
      <c r="R507" s="31" t="n">
        <v>1496.945572792776</v>
      </c>
      <c r="S507" s="31">
        <f>R507*IF(A507=4, 2.0, 3.0)</f>
        <v/>
      </c>
      <c r="T507" s="30">
        <f>8.0*U507</f>
        <v/>
      </c>
      <c r="U507" s="34">
        <f>MIN(1, S507/M507)</f>
        <v/>
      </c>
      <c r="V507" s="34">
        <f>N507/(N507+O507)</f>
        <v/>
      </c>
      <c r="W507" s="34">
        <f>U507*V507</f>
        <v/>
      </c>
      <c r="X507" s="32">
        <f>T507/N507</f>
        <v/>
      </c>
      <c r="Y507" s="35">
        <f>IF(X507=MAXIFS(X$2:X$721, A$2:A$721, A507, B$2:B$721, B507), "OPTIMAL", "")</f>
        <v/>
      </c>
    </row>
    <row r="508" ht="20" customHeight="1">
      <c r="A508" s="36" t="n">
        <v>-18</v>
      </c>
      <c r="B508" s="36" t="n">
        <v>35</v>
      </c>
      <c r="C508" s="37" t="n">
        <v>80</v>
      </c>
      <c r="D508" s="37" t="n">
        <v>3</v>
      </c>
      <c r="E508" s="38" t="n">
        <v>4</v>
      </c>
      <c r="F508" s="37" t="n">
        <v>1.5</v>
      </c>
      <c r="G508" s="38" t="inlineStr">
        <is>
          <t>Non</t>
        </is>
      </c>
      <c r="H508" s="38" t="inlineStr">
        <is>
          <t>ON</t>
        </is>
      </c>
      <c r="I508" s="39" t="n">
        <v>744.7528686370244</v>
      </c>
      <c r="J508" s="39" t="n">
        <v>6550.668683077564</v>
      </c>
      <c r="K508" s="39" t="n">
        <v>4222.222222222223</v>
      </c>
      <c r="L508" s="39" t="n">
        <v>150</v>
      </c>
      <c r="M508" s="39">
        <f>I508+J508+K508+L508</f>
        <v/>
      </c>
      <c r="N508" s="39">
        <f>M508*Dashboard!$B$18/(Dashboard!$B$16/3.6)</f>
        <v/>
      </c>
      <c r="O508" s="39" t="n">
        <v>1428.54268811653</v>
      </c>
      <c r="P508" s="40" t="n">
        <v>0.07811575726697868</v>
      </c>
      <c r="Q508" s="41" t="n">
        <v>8.657063527408475</v>
      </c>
      <c r="R508" s="39" t="n">
        <v>6818.783795319673</v>
      </c>
      <c r="S508" s="39">
        <f>R508*IF(A508=4, 2.0, 3.0)</f>
        <v/>
      </c>
      <c r="T508" s="37">
        <f>8.0*U508</f>
        <v/>
      </c>
      <c r="U508" s="42">
        <f>MIN(1, S508/M508)</f>
        <v/>
      </c>
      <c r="V508" s="42">
        <f>N508/(N508+O508)</f>
        <v/>
      </c>
      <c r="W508" s="42">
        <f>U508*V508</f>
        <v/>
      </c>
      <c r="X508" s="40">
        <f>T508/N508</f>
        <v/>
      </c>
      <c r="Y508" s="15">
        <f>IF(X508=MAXIFS(X$2:X$721, A$2:A$721, A508, B$2:B$721, B508), "OPTIMAL", "")</f>
        <v/>
      </c>
    </row>
    <row r="509" ht="20" customHeight="1">
      <c r="A509" s="29" t="n">
        <v>-18</v>
      </c>
      <c r="B509" s="29" t="n">
        <v>35</v>
      </c>
      <c r="C509" s="30" t="n">
        <v>80</v>
      </c>
      <c r="D509" s="30" t="n">
        <v>3</v>
      </c>
      <c r="E509" s="6" t="n">
        <v>4</v>
      </c>
      <c r="F509" s="30" t="n">
        <v>1.5</v>
      </c>
      <c r="G509" s="6" t="inlineStr">
        <is>
          <t>Non</t>
        </is>
      </c>
      <c r="H509" s="6" t="inlineStr">
        <is>
          <t>OFF</t>
        </is>
      </c>
      <c r="I509" s="31" t="n">
        <v>744.7528686370244</v>
      </c>
      <c r="J509" s="31" t="n">
        <v>6550.668683077564</v>
      </c>
      <c r="K509" s="31" t="n">
        <v>4222.222222222223</v>
      </c>
      <c r="L509" s="31" t="n">
        <v>150</v>
      </c>
      <c r="M509" s="31">
        <f>I509+J509+K509+L509</f>
        <v/>
      </c>
      <c r="N509" s="31">
        <f>M509*Dashboard!$B$18/(Dashboard!$B$16/3.6)</f>
        <v/>
      </c>
      <c r="O509" s="31" t="n">
        <v>1428.54268811653</v>
      </c>
      <c r="P509" s="32" t="n">
        <v>0.3518486658418231</v>
      </c>
      <c r="Q509" s="33" t="n">
        <v>8.657063527408475</v>
      </c>
      <c r="R509" s="31" t="n">
        <v>1513.873751764229</v>
      </c>
      <c r="S509" s="31">
        <f>R509*IF(A509=4, 2.0, 3.0)</f>
        <v/>
      </c>
      <c r="T509" s="30">
        <f>8.0*U509</f>
        <v/>
      </c>
      <c r="U509" s="34">
        <f>MIN(1, S509/M509)</f>
        <v/>
      </c>
      <c r="V509" s="34">
        <f>N509/(N509+O509)</f>
        <v/>
      </c>
      <c r="W509" s="34">
        <f>U509*V509</f>
        <v/>
      </c>
      <c r="X509" s="32">
        <f>T509/N509</f>
        <v/>
      </c>
      <c r="Y509" s="35">
        <f>IF(X509=MAXIFS(X$2:X$721, A$2:A$721, A509, B$2:B$721, B509), "OPTIMAL", "")</f>
        <v/>
      </c>
    </row>
    <row r="510" ht="20" customHeight="1">
      <c r="A510" s="36" t="n">
        <v>-18</v>
      </c>
      <c r="B510" s="36" t="n">
        <v>35</v>
      </c>
      <c r="C510" s="37" t="n">
        <v>80</v>
      </c>
      <c r="D510" s="37" t="n">
        <v>3</v>
      </c>
      <c r="E510" s="38" t="n">
        <v>4</v>
      </c>
      <c r="F510" s="37" t="n">
        <v>2</v>
      </c>
      <c r="G510" s="38" t="inlineStr">
        <is>
          <t>Oui</t>
        </is>
      </c>
      <c r="H510" s="38" t="inlineStr">
        <is>
          <t>ON</t>
        </is>
      </c>
      <c r="I510" s="39" t="n">
        <v>744.7528686370244</v>
      </c>
      <c r="J510" s="39" t="n">
        <v>6550.668683077564</v>
      </c>
      <c r="K510" s="39" t="n">
        <v>4222.222222222223</v>
      </c>
      <c r="L510" s="39" t="n">
        <v>150</v>
      </c>
      <c r="M510" s="39">
        <f>I510+J510+K510+L510</f>
        <v/>
      </c>
      <c r="N510" s="39">
        <f>M510*Dashboard!$B$18/(Dashboard!$B$16/3.6)</f>
        <v/>
      </c>
      <c r="O510" s="39" t="n">
        <v>1579.505154420861</v>
      </c>
      <c r="P510" s="40" t="n">
        <v>0.08011046001180847</v>
      </c>
      <c r="Q510" s="41" t="n">
        <v>11.4760847032113</v>
      </c>
      <c r="R510" s="39" t="n">
        <v>6745.854692100187</v>
      </c>
      <c r="S510" s="39">
        <f>R510*IF(A510=4, 2.0, 3.0)</f>
        <v/>
      </c>
      <c r="T510" s="37">
        <f>8.0*U510</f>
        <v/>
      </c>
      <c r="U510" s="42">
        <f>MIN(1, S510/M510)</f>
        <v/>
      </c>
      <c r="V510" s="42">
        <f>N510/(N510+O510)</f>
        <v/>
      </c>
      <c r="W510" s="42">
        <f>U510*V510</f>
        <v/>
      </c>
      <c r="X510" s="40">
        <f>T510/N510</f>
        <v/>
      </c>
      <c r="Y510" s="15">
        <f>IF(X510=MAXIFS(X$2:X$721, A$2:A$721, A510, B$2:B$721, B510), "OPTIMAL", "")</f>
        <v/>
      </c>
    </row>
    <row r="511" ht="20" customHeight="1">
      <c r="A511" s="29" t="n">
        <v>-18</v>
      </c>
      <c r="B511" s="29" t="n">
        <v>35</v>
      </c>
      <c r="C511" s="30" t="n">
        <v>80</v>
      </c>
      <c r="D511" s="30" t="n">
        <v>3</v>
      </c>
      <c r="E511" s="6" t="n">
        <v>4</v>
      </c>
      <c r="F511" s="30" t="n">
        <v>2</v>
      </c>
      <c r="G511" s="6" t="inlineStr">
        <is>
          <t>Oui</t>
        </is>
      </c>
      <c r="H511" s="6" t="inlineStr">
        <is>
          <t>OFF</t>
        </is>
      </c>
      <c r="I511" s="31" t="n">
        <v>744.7528686370244</v>
      </c>
      <c r="J511" s="31" t="n">
        <v>6550.668683077564</v>
      </c>
      <c r="K511" s="31" t="n">
        <v>4222.222222222223</v>
      </c>
      <c r="L511" s="31" t="n">
        <v>150</v>
      </c>
      <c r="M511" s="31">
        <f>I511+J511+K511+L511</f>
        <v/>
      </c>
      <c r="N511" s="31">
        <f>M511*Dashboard!$B$18/(Dashboard!$B$16/3.6)</f>
        <v/>
      </c>
      <c r="O511" s="31" t="n">
        <v>1579.505154420861</v>
      </c>
      <c r="P511" s="32" t="n">
        <v>0.3553476372854298</v>
      </c>
      <c r="Q511" s="33" t="n">
        <v>11.4760847032113</v>
      </c>
      <c r="R511" s="31" t="n">
        <v>1520.802351987725</v>
      </c>
      <c r="S511" s="31">
        <f>R511*IF(A511=4, 2.0, 3.0)</f>
        <v/>
      </c>
      <c r="T511" s="30">
        <f>8.0*U511</f>
        <v/>
      </c>
      <c r="U511" s="34">
        <f>MIN(1, S511/M511)</f>
        <v/>
      </c>
      <c r="V511" s="34">
        <f>N511/(N511+O511)</f>
        <v/>
      </c>
      <c r="W511" s="34">
        <f>U511*V511</f>
        <v/>
      </c>
      <c r="X511" s="32">
        <f>T511/N511</f>
        <v/>
      </c>
      <c r="Y511" s="35">
        <f>IF(X511=MAXIFS(X$2:X$721, A$2:A$721, A511, B$2:B$721, B511), "OPTIMAL", "")</f>
        <v/>
      </c>
    </row>
    <row r="512" ht="20" customHeight="1">
      <c r="A512" s="36" t="n">
        <v>-18</v>
      </c>
      <c r="B512" s="36" t="n">
        <v>35</v>
      </c>
      <c r="C512" s="37" t="n">
        <v>80</v>
      </c>
      <c r="D512" s="37" t="n">
        <v>3</v>
      </c>
      <c r="E512" s="38" t="n">
        <v>4</v>
      </c>
      <c r="F512" s="37" t="n">
        <v>2</v>
      </c>
      <c r="G512" s="38" t="inlineStr">
        <is>
          <t>Non</t>
        </is>
      </c>
      <c r="H512" s="38" t="inlineStr">
        <is>
          <t>ON</t>
        </is>
      </c>
      <c r="I512" s="39" t="n">
        <v>744.7528686370244</v>
      </c>
      <c r="J512" s="39" t="n">
        <v>6550.668683077564</v>
      </c>
      <c r="K512" s="39" t="n">
        <v>4222.222222222223</v>
      </c>
      <c r="L512" s="39" t="n">
        <v>150</v>
      </c>
      <c r="M512" s="39">
        <f>I512+J512+K512+L512</f>
        <v/>
      </c>
      <c r="N512" s="39">
        <f>M512*Dashboard!$B$18/(Dashboard!$B$16/3.6)</f>
        <v/>
      </c>
      <c r="O512" s="39" t="n">
        <v>1579.505154420861</v>
      </c>
      <c r="P512" s="40" t="n">
        <v>0.07613158643451108</v>
      </c>
      <c r="Q512" s="41" t="n">
        <v>11.4760847032113</v>
      </c>
      <c r="R512" s="39" t="n">
        <v>7098.414046866474</v>
      </c>
      <c r="S512" s="39">
        <f>R512*IF(A512=4, 2.0, 3.0)</f>
        <v/>
      </c>
      <c r="T512" s="37">
        <f>8.0*U512</f>
        <v/>
      </c>
      <c r="U512" s="42">
        <f>MIN(1, S512/M512)</f>
        <v/>
      </c>
      <c r="V512" s="42">
        <f>N512/(N512+O512)</f>
        <v/>
      </c>
      <c r="W512" s="42">
        <f>U512*V512</f>
        <v/>
      </c>
      <c r="X512" s="40">
        <f>T512/N512</f>
        <v/>
      </c>
      <c r="Y512" s="15">
        <f>IF(X512=MAXIFS(X$2:X$721, A$2:A$721, A512, B$2:B$721, B512), "OPTIMAL", "")</f>
        <v/>
      </c>
    </row>
    <row r="513" ht="20" customHeight="1">
      <c r="A513" s="29" t="n">
        <v>-18</v>
      </c>
      <c r="B513" s="29" t="n">
        <v>35</v>
      </c>
      <c r="C513" s="30" t="n">
        <v>80</v>
      </c>
      <c r="D513" s="30" t="n">
        <v>3</v>
      </c>
      <c r="E513" s="6" t="n">
        <v>4</v>
      </c>
      <c r="F513" s="30" t="n">
        <v>2</v>
      </c>
      <c r="G513" s="6" t="inlineStr">
        <is>
          <t>Non</t>
        </is>
      </c>
      <c r="H513" s="6" t="inlineStr">
        <is>
          <t>OFF</t>
        </is>
      </c>
      <c r="I513" s="31" t="n">
        <v>744.7528686370244</v>
      </c>
      <c r="J513" s="31" t="n">
        <v>6550.668683077564</v>
      </c>
      <c r="K513" s="31" t="n">
        <v>4222.222222222223</v>
      </c>
      <c r="L513" s="31" t="n">
        <v>150</v>
      </c>
      <c r="M513" s="31">
        <f>I513+J513+K513+L513</f>
        <v/>
      </c>
      <c r="N513" s="31">
        <f>M513*Dashboard!$B$18/(Dashboard!$B$16/3.6)</f>
        <v/>
      </c>
      <c r="O513" s="31" t="n">
        <v>1579.505154420861</v>
      </c>
      <c r="P513" s="32" t="n">
        <v>0.3513687637081325</v>
      </c>
      <c r="Q513" s="33" t="n">
        <v>11.4760847032113</v>
      </c>
      <c r="R513" s="31" t="n">
        <v>1538.023803976673</v>
      </c>
      <c r="S513" s="31">
        <f>R513*IF(A513=4, 2.0, 3.0)</f>
        <v/>
      </c>
      <c r="T513" s="30">
        <f>8.0*U513</f>
        <v/>
      </c>
      <c r="U513" s="34">
        <f>MIN(1, S513/M513)</f>
        <v/>
      </c>
      <c r="V513" s="34">
        <f>N513/(N513+O513)</f>
        <v/>
      </c>
      <c r="W513" s="34">
        <f>U513*V513</f>
        <v/>
      </c>
      <c r="X513" s="32">
        <f>T513/N513</f>
        <v/>
      </c>
      <c r="Y513" s="35">
        <f>IF(X513=MAXIFS(X$2:X$721, A$2:A$721, A513, B$2:B$721, B513), "OPTIMAL", "")</f>
        <v/>
      </c>
    </row>
    <row r="514" ht="20" customHeight="1">
      <c r="A514" s="36" t="n">
        <v>-18</v>
      </c>
      <c r="B514" s="36" t="n">
        <v>35</v>
      </c>
      <c r="C514" s="37" t="n">
        <v>80</v>
      </c>
      <c r="D514" s="37" t="n">
        <v>3</v>
      </c>
      <c r="E514" s="38" t="n">
        <v>8</v>
      </c>
      <c r="F514" s="37" t="n">
        <v>1.5</v>
      </c>
      <c r="G514" s="38" t="inlineStr">
        <is>
          <t>Oui</t>
        </is>
      </c>
      <c r="H514" s="38" t="inlineStr">
        <is>
          <t>ON</t>
        </is>
      </c>
      <c r="I514" s="39" t="n">
        <v>744.7528686370244</v>
      </c>
      <c r="J514" s="39" t="n">
        <v>6550.668683077564</v>
      </c>
      <c r="K514" s="39" t="n">
        <v>4222.222222222223</v>
      </c>
      <c r="L514" s="39" t="n">
        <v>150</v>
      </c>
      <c r="M514" s="39">
        <f>I514+J514+K514+L514</f>
        <v/>
      </c>
      <c r="N514" s="39">
        <f>M514*Dashboard!$B$18/(Dashboard!$B$16/3.6)</f>
        <v/>
      </c>
      <c r="O514" s="39" t="n">
        <v>1895.020243093705</v>
      </c>
      <c r="P514" s="40" t="n">
        <v>0.06134832938702932</v>
      </c>
      <c r="Q514" s="41" t="n">
        <v>17.11412705481695</v>
      </c>
      <c r="R514" s="39" t="n">
        <v>9073.273076875632</v>
      </c>
      <c r="S514" s="39">
        <f>R514*IF(A514=4, 2.0, 3.0)</f>
        <v/>
      </c>
      <c r="T514" s="37">
        <f>8.0*U514</f>
        <v/>
      </c>
      <c r="U514" s="42">
        <f>MIN(1, S514/M514)</f>
        <v/>
      </c>
      <c r="V514" s="42">
        <f>N514/(N514+O514)</f>
        <v/>
      </c>
      <c r="W514" s="42">
        <f>U514*V514</f>
        <v/>
      </c>
      <c r="X514" s="40">
        <f>T514/N514</f>
        <v/>
      </c>
      <c r="Y514" s="15">
        <f>IF(X514=MAXIFS(X$2:X$721, A$2:A$721, A514, B$2:B$721, B514), "OPTIMAL", "")</f>
        <v/>
      </c>
    </row>
    <row r="515" ht="20" customHeight="1">
      <c r="A515" s="29" t="n">
        <v>-18</v>
      </c>
      <c r="B515" s="29" t="n">
        <v>35</v>
      </c>
      <c r="C515" s="30" t="n">
        <v>80</v>
      </c>
      <c r="D515" s="30" t="n">
        <v>3</v>
      </c>
      <c r="E515" s="6" t="n">
        <v>8</v>
      </c>
      <c r="F515" s="30" t="n">
        <v>1.5</v>
      </c>
      <c r="G515" s="6" t="inlineStr">
        <is>
          <t>Oui</t>
        </is>
      </c>
      <c r="H515" s="6" t="inlineStr">
        <is>
          <t>OFF</t>
        </is>
      </c>
      <c r="I515" s="31" t="n">
        <v>744.7528686370244</v>
      </c>
      <c r="J515" s="31" t="n">
        <v>6550.668683077564</v>
      </c>
      <c r="K515" s="31" t="n">
        <v>4222.222222222223</v>
      </c>
      <c r="L515" s="31" t="n">
        <v>150</v>
      </c>
      <c r="M515" s="31">
        <f>I515+J515+K515+L515</f>
        <v/>
      </c>
      <c r="N515" s="31">
        <f>M515*Dashboard!$B$18/(Dashboard!$B$16/3.6)</f>
        <v/>
      </c>
      <c r="O515" s="31" t="n">
        <v>1895.020243093705</v>
      </c>
      <c r="P515" s="32" t="n">
        <v>0.2699794634504217</v>
      </c>
      <c r="Q515" s="33" t="n">
        <v>17.11412705481695</v>
      </c>
      <c r="R515" s="31" t="n">
        <v>2061.749950254455</v>
      </c>
      <c r="S515" s="31">
        <f>R515*IF(A515=4, 2.0, 3.0)</f>
        <v/>
      </c>
      <c r="T515" s="30">
        <f>8.0*U515</f>
        <v/>
      </c>
      <c r="U515" s="34">
        <f>MIN(1, S515/M515)</f>
        <v/>
      </c>
      <c r="V515" s="34">
        <f>N515/(N515+O515)</f>
        <v/>
      </c>
      <c r="W515" s="34">
        <f>U515*V515</f>
        <v/>
      </c>
      <c r="X515" s="32">
        <f>T515/N515</f>
        <v/>
      </c>
      <c r="Y515" s="35">
        <f>IF(X515=MAXIFS(X$2:X$721, A$2:A$721, A515, B$2:B$721, B515), "OPTIMAL", "")</f>
        <v/>
      </c>
    </row>
    <row r="516" ht="20" customHeight="1">
      <c r="A516" s="36" t="n">
        <v>-18</v>
      </c>
      <c r="B516" s="36" t="n">
        <v>35</v>
      </c>
      <c r="C516" s="37" t="n">
        <v>80</v>
      </c>
      <c r="D516" s="37" t="n">
        <v>3</v>
      </c>
      <c r="E516" s="38" t="n">
        <v>8</v>
      </c>
      <c r="F516" s="37" t="n">
        <v>1.5</v>
      </c>
      <c r="G516" s="38" t="inlineStr">
        <is>
          <t>Non</t>
        </is>
      </c>
      <c r="H516" s="38" t="inlineStr">
        <is>
          <t>ON</t>
        </is>
      </c>
      <c r="I516" s="39" t="n">
        <v>744.7528686370244</v>
      </c>
      <c r="J516" s="39" t="n">
        <v>6550.668683077564</v>
      </c>
      <c r="K516" s="39" t="n">
        <v>4222.222222222223</v>
      </c>
      <c r="L516" s="39" t="n">
        <v>150</v>
      </c>
      <c r="M516" s="39">
        <f>I516+J516+K516+L516</f>
        <v/>
      </c>
      <c r="N516" s="39">
        <f>M516*Dashboard!$B$18/(Dashboard!$B$16/3.6)</f>
        <v/>
      </c>
      <c r="O516" s="39" t="n">
        <v>1895.020243093705</v>
      </c>
      <c r="P516" s="40" t="n">
        <v>0.05736945580973193</v>
      </c>
      <c r="Q516" s="41" t="n">
        <v>17.11412705481695</v>
      </c>
      <c r="R516" s="39" t="n">
        <v>9702.552298643324</v>
      </c>
      <c r="S516" s="39">
        <f>R516*IF(A516=4, 2.0, 3.0)</f>
        <v/>
      </c>
      <c r="T516" s="37">
        <f>8.0*U516</f>
        <v/>
      </c>
      <c r="U516" s="42">
        <f>MIN(1, S516/M516)</f>
        <v/>
      </c>
      <c r="V516" s="42">
        <f>N516/(N516+O516)</f>
        <v/>
      </c>
      <c r="W516" s="42">
        <f>U516*V516</f>
        <v/>
      </c>
      <c r="X516" s="40">
        <f>T516/N516</f>
        <v/>
      </c>
      <c r="Y516" s="15">
        <f>IF(X516=MAXIFS(X$2:X$721, A$2:A$721, A516, B$2:B$721, B516), "OPTIMAL", "")</f>
        <v/>
      </c>
    </row>
    <row r="517" ht="20" customHeight="1">
      <c r="A517" s="29" t="n">
        <v>-18</v>
      </c>
      <c r="B517" s="29" t="n">
        <v>35</v>
      </c>
      <c r="C517" s="30" t="n">
        <v>80</v>
      </c>
      <c r="D517" s="30" t="n">
        <v>3</v>
      </c>
      <c r="E517" s="6" t="n">
        <v>8</v>
      </c>
      <c r="F517" s="30" t="n">
        <v>1.5</v>
      </c>
      <c r="G517" s="6" t="inlineStr">
        <is>
          <t>Non</t>
        </is>
      </c>
      <c r="H517" s="6" t="inlineStr">
        <is>
          <t>OFF</t>
        </is>
      </c>
      <c r="I517" s="31" t="n">
        <v>744.7528686370244</v>
      </c>
      <c r="J517" s="31" t="n">
        <v>6550.668683077564</v>
      </c>
      <c r="K517" s="31" t="n">
        <v>4222.222222222223</v>
      </c>
      <c r="L517" s="31" t="n">
        <v>150</v>
      </c>
      <c r="M517" s="31">
        <f>I517+J517+K517+L517</f>
        <v/>
      </c>
      <c r="N517" s="31">
        <f>M517*Dashboard!$B$18/(Dashboard!$B$16/3.6)</f>
        <v/>
      </c>
      <c r="O517" s="31" t="n">
        <v>1895.020243093705</v>
      </c>
      <c r="P517" s="32" t="n">
        <v>0.2660005898731243</v>
      </c>
      <c r="Q517" s="33" t="n">
        <v>17.11412705481695</v>
      </c>
      <c r="R517" s="31" t="n">
        <v>2092.589890887573</v>
      </c>
      <c r="S517" s="31">
        <f>R517*IF(A517=4, 2.0, 3.0)</f>
        <v/>
      </c>
      <c r="T517" s="30">
        <f>8.0*U517</f>
        <v/>
      </c>
      <c r="U517" s="34">
        <f>MIN(1, S517/M517)</f>
        <v/>
      </c>
      <c r="V517" s="34">
        <f>N517/(N517+O517)</f>
        <v/>
      </c>
      <c r="W517" s="34">
        <f>U517*V517</f>
        <v/>
      </c>
      <c r="X517" s="32">
        <f>T517/N517</f>
        <v/>
      </c>
      <c r="Y517" s="35">
        <f>IF(X517=MAXIFS(X$2:X$721, A$2:A$721, A517, B$2:B$721, B517), "OPTIMAL", "")</f>
        <v/>
      </c>
    </row>
    <row r="518" ht="20" customHeight="1">
      <c r="A518" s="36" t="n">
        <v>-18</v>
      </c>
      <c r="B518" s="36" t="n">
        <v>35</v>
      </c>
      <c r="C518" s="37" t="n">
        <v>80</v>
      </c>
      <c r="D518" s="37" t="n">
        <v>3</v>
      </c>
      <c r="E518" s="38" t="n">
        <v>8</v>
      </c>
      <c r="F518" s="37" t="n">
        <v>2</v>
      </c>
      <c r="G518" s="38" t="inlineStr">
        <is>
          <t>Oui</t>
        </is>
      </c>
      <c r="H518" s="38" t="inlineStr">
        <is>
          <t>ON</t>
        </is>
      </c>
      <c r="I518" s="39" t="n">
        <v>744.7528686370244</v>
      </c>
      <c r="J518" s="39" t="n">
        <v>6550.668683077564</v>
      </c>
      <c r="K518" s="39" t="n">
        <v>4222.222222222223</v>
      </c>
      <c r="L518" s="39" t="n">
        <v>150</v>
      </c>
      <c r="M518" s="39">
        <f>I518+J518+K518+L518</f>
        <v/>
      </c>
      <c r="N518" s="39">
        <f>M518*Dashboard!$B$18/(Dashboard!$B$16/3.6)</f>
        <v/>
      </c>
      <c r="O518" s="39" t="n">
        <v>2230.056962577893</v>
      </c>
      <c r="P518" s="40" t="n">
        <v>0.060517018169736</v>
      </c>
      <c r="Q518" s="41" t="n">
        <v>22.7521694064226</v>
      </c>
      <c r="R518" s="39" t="n">
        <v>9482.458728738169</v>
      </c>
      <c r="S518" s="39">
        <f>R518*IF(A518=4, 2.0, 3.0)</f>
        <v/>
      </c>
      <c r="T518" s="37">
        <f>8.0*U518</f>
        <v/>
      </c>
      <c r="U518" s="42">
        <f>MIN(1, S518/M518)</f>
        <v/>
      </c>
      <c r="V518" s="42">
        <f>N518/(N518+O518)</f>
        <v/>
      </c>
      <c r="W518" s="42">
        <f>U518*V518</f>
        <v/>
      </c>
      <c r="X518" s="40">
        <f>T518/N518</f>
        <v/>
      </c>
      <c r="Y518" s="15">
        <f>IF(X518=MAXIFS(X$2:X$721, A$2:A$721, A518, B$2:B$721, B518), "OPTIMAL", "")</f>
        <v/>
      </c>
    </row>
    <row r="519" ht="20" customHeight="1">
      <c r="A519" s="29" t="n">
        <v>-18</v>
      </c>
      <c r="B519" s="29" t="n">
        <v>35</v>
      </c>
      <c r="C519" s="30" t="n">
        <v>80</v>
      </c>
      <c r="D519" s="30" t="n">
        <v>3</v>
      </c>
      <c r="E519" s="6" t="n">
        <v>8</v>
      </c>
      <c r="F519" s="30" t="n">
        <v>2</v>
      </c>
      <c r="G519" s="6" t="inlineStr">
        <is>
          <t>Oui</t>
        </is>
      </c>
      <c r="H519" s="6" t="inlineStr">
        <is>
          <t>OFF</t>
        </is>
      </c>
      <c r="I519" s="31" t="n">
        <v>744.7528686370244</v>
      </c>
      <c r="J519" s="31" t="n">
        <v>6550.668683077564</v>
      </c>
      <c r="K519" s="31" t="n">
        <v>4222.222222222223</v>
      </c>
      <c r="L519" s="31" t="n">
        <v>150</v>
      </c>
      <c r="M519" s="31">
        <f>I519+J519+K519+L519</f>
        <v/>
      </c>
      <c r="N519" s="31">
        <f>M519*Dashboard!$B$18/(Dashboard!$B$16/3.6)</f>
        <v/>
      </c>
      <c r="O519" s="31" t="n">
        <v>2230.056962577893</v>
      </c>
      <c r="P519" s="32" t="n">
        <v>0.2709014433795033</v>
      </c>
      <c r="Q519" s="33" t="n">
        <v>22.7521694064226</v>
      </c>
      <c r="R519" s="31" t="n">
        <v>2118.298522230161</v>
      </c>
      <c r="S519" s="31">
        <f>R519*IF(A519=4, 2.0, 3.0)</f>
        <v/>
      </c>
      <c r="T519" s="30">
        <f>8.0*U519</f>
        <v/>
      </c>
      <c r="U519" s="34">
        <f>MIN(1, S519/M519)</f>
        <v/>
      </c>
      <c r="V519" s="34">
        <f>N519/(N519+O519)</f>
        <v/>
      </c>
      <c r="W519" s="34">
        <f>U519*V519</f>
        <v/>
      </c>
      <c r="X519" s="32">
        <f>T519/N519</f>
        <v/>
      </c>
      <c r="Y519" s="35">
        <f>IF(X519=MAXIFS(X$2:X$721, A$2:A$721, A519, B$2:B$721, B519), "OPTIMAL", "")</f>
        <v/>
      </c>
    </row>
    <row r="520" ht="20" customHeight="1">
      <c r="A520" s="36" t="n">
        <v>-18</v>
      </c>
      <c r="B520" s="36" t="n">
        <v>35</v>
      </c>
      <c r="C520" s="37" t="n">
        <v>80</v>
      </c>
      <c r="D520" s="37" t="n">
        <v>3</v>
      </c>
      <c r="E520" s="38" t="n">
        <v>8</v>
      </c>
      <c r="F520" s="37" t="n">
        <v>2</v>
      </c>
      <c r="G520" s="38" t="inlineStr">
        <is>
          <t>Non</t>
        </is>
      </c>
      <c r="H520" s="38" t="inlineStr">
        <is>
          <t>ON</t>
        </is>
      </c>
      <c r="I520" s="39" t="n">
        <v>744.7528686370244</v>
      </c>
      <c r="J520" s="39" t="n">
        <v>6550.668683077564</v>
      </c>
      <c r="K520" s="39" t="n">
        <v>4222.222222222223</v>
      </c>
      <c r="L520" s="39" t="n">
        <v>150</v>
      </c>
      <c r="M520" s="39">
        <f>I520+J520+K520+L520</f>
        <v/>
      </c>
      <c r="N520" s="39">
        <f>M520*Dashboard!$B$18/(Dashboard!$B$16/3.6)</f>
        <v/>
      </c>
      <c r="O520" s="39" t="n">
        <v>2230.056962577893</v>
      </c>
      <c r="P520" s="40" t="n">
        <v>0.05653814459243862</v>
      </c>
      <c r="Q520" s="41" t="n">
        <v>22.7521694064226</v>
      </c>
      <c r="R520" s="39" t="n">
        <v>10149.78703877675</v>
      </c>
      <c r="S520" s="39">
        <f>R520*IF(A520=4, 2.0, 3.0)</f>
        <v/>
      </c>
      <c r="T520" s="37">
        <f>8.0*U520</f>
        <v/>
      </c>
      <c r="U520" s="42">
        <f>MIN(1, S520/M520)</f>
        <v/>
      </c>
      <c r="V520" s="42">
        <f>N520/(N520+O520)</f>
        <v/>
      </c>
      <c r="W520" s="42">
        <f>U520*V520</f>
        <v/>
      </c>
      <c r="X520" s="40">
        <f>T520/N520</f>
        <v/>
      </c>
      <c r="Y520" s="15">
        <f>IF(X520=MAXIFS(X$2:X$721, A$2:A$721, A520, B$2:B$721, B520), "OPTIMAL", "")</f>
        <v/>
      </c>
    </row>
    <row r="521" ht="20" customHeight="1">
      <c r="A521" s="29" t="n">
        <v>-18</v>
      </c>
      <c r="B521" s="29" t="n">
        <v>35</v>
      </c>
      <c r="C521" s="30" t="n">
        <v>80</v>
      </c>
      <c r="D521" s="30" t="n">
        <v>3</v>
      </c>
      <c r="E521" s="6" t="n">
        <v>8</v>
      </c>
      <c r="F521" s="30" t="n">
        <v>2</v>
      </c>
      <c r="G521" s="6" t="inlineStr">
        <is>
          <t>Non</t>
        </is>
      </c>
      <c r="H521" s="6" t="inlineStr">
        <is>
          <t>OFF</t>
        </is>
      </c>
      <c r="I521" s="31" t="n">
        <v>744.7528686370244</v>
      </c>
      <c r="J521" s="31" t="n">
        <v>6550.668683077564</v>
      </c>
      <c r="K521" s="31" t="n">
        <v>4222.222222222223</v>
      </c>
      <c r="L521" s="31" t="n">
        <v>150</v>
      </c>
      <c r="M521" s="31">
        <f>I521+J521+K521+L521</f>
        <v/>
      </c>
      <c r="N521" s="31">
        <f>M521*Dashboard!$B$18/(Dashboard!$B$16/3.6)</f>
        <v/>
      </c>
      <c r="O521" s="31" t="n">
        <v>2230.056962577893</v>
      </c>
      <c r="P521" s="32" t="n">
        <v>0.266922569802206</v>
      </c>
      <c r="Q521" s="33" t="n">
        <v>22.7521694064226</v>
      </c>
      <c r="R521" s="31" t="n">
        <v>2149.874877969487</v>
      </c>
      <c r="S521" s="31">
        <f>R521*IF(A521=4, 2.0, 3.0)</f>
        <v/>
      </c>
      <c r="T521" s="30">
        <f>8.0*U521</f>
        <v/>
      </c>
      <c r="U521" s="34">
        <f>MIN(1, S521/M521)</f>
        <v/>
      </c>
      <c r="V521" s="34">
        <f>N521/(N521+O521)</f>
        <v/>
      </c>
      <c r="W521" s="34">
        <f>U521*V521</f>
        <v/>
      </c>
      <c r="X521" s="32">
        <f>T521/N521</f>
        <v/>
      </c>
      <c r="Y521" s="35">
        <f>IF(X521=MAXIFS(X$2:X$721, A$2:A$721, A521, B$2:B$721, B521), "OPTIMAL", "")</f>
        <v/>
      </c>
    </row>
    <row r="522" ht="20" customHeight="1">
      <c r="A522" s="21" t="n">
        <v>-18</v>
      </c>
      <c r="B522" s="21" t="n">
        <v>35</v>
      </c>
      <c r="C522" s="22" t="n">
        <v>100</v>
      </c>
      <c r="D522" s="22" t="n">
        <v>2</v>
      </c>
      <c r="E522" s="23" t="n">
        <v>0</v>
      </c>
      <c r="F522" s="22" t="n">
        <v>0</v>
      </c>
      <c r="G522" s="23" t="inlineStr">
        <is>
          <t>Oui</t>
        </is>
      </c>
      <c r="H522" s="23" t="inlineStr">
        <is>
          <t>ON</t>
        </is>
      </c>
      <c r="I522" s="24" t="n">
        <v>744.7528686370244</v>
      </c>
      <c r="J522" s="24" t="n">
        <v>6550.668683077564</v>
      </c>
      <c r="K522" s="24" t="n">
        <v>4222.222222222223</v>
      </c>
      <c r="L522" s="24" t="n">
        <v>150</v>
      </c>
      <c r="M522" s="24">
        <f>I522+J522+K522+L522</f>
        <v/>
      </c>
      <c r="N522" s="24">
        <f>M522*Dashboard!$B$18/(Dashboard!$B$16/3.6)</f>
        <v/>
      </c>
      <c r="O522" s="24" t="n">
        <v>504.4540102260927</v>
      </c>
      <c r="P522" s="25" t="n">
        <v>0.4806796209288155</v>
      </c>
      <c r="Q522" s="26" t="n">
        <v>0.2</v>
      </c>
      <c r="R522" s="24" t="n">
        <v>631.2423975098924</v>
      </c>
      <c r="S522" s="24">
        <f>R522*IF(A522=4, 2.0, 3.0)</f>
        <v/>
      </c>
      <c r="T522" s="22">
        <f>8.0*U522</f>
        <v/>
      </c>
      <c r="U522" s="27">
        <f>MIN(1, S522/M522)</f>
        <v/>
      </c>
      <c r="V522" s="27">
        <f>N522/(N522+O522)</f>
        <v/>
      </c>
      <c r="W522" s="27">
        <f>U522*V522</f>
        <v/>
      </c>
      <c r="X522" s="25">
        <f>T522/N522</f>
        <v/>
      </c>
      <c r="Y522" s="28">
        <f>IF(X522=MAXIFS(X$2:X$721, A$2:A$721, A522, B$2:B$721, B522), "OPTIMAL", "")</f>
        <v/>
      </c>
    </row>
    <row r="523" ht="20" customHeight="1">
      <c r="A523" s="29" t="n">
        <v>-18</v>
      </c>
      <c r="B523" s="29" t="n">
        <v>35</v>
      </c>
      <c r="C523" s="30" t="n">
        <v>100</v>
      </c>
      <c r="D523" s="30" t="n">
        <v>2</v>
      </c>
      <c r="E523" s="6" t="n">
        <v>0</v>
      </c>
      <c r="F523" s="30" t="n">
        <v>0</v>
      </c>
      <c r="G523" s="6" t="inlineStr">
        <is>
          <t>Oui</t>
        </is>
      </c>
      <c r="H523" s="6" t="inlineStr">
        <is>
          <t>OFF</t>
        </is>
      </c>
      <c r="I523" s="31" t="n">
        <v>744.7528686370244</v>
      </c>
      <c r="J523" s="31" t="n">
        <v>6550.668683077564</v>
      </c>
      <c r="K523" s="31" t="n">
        <v>4222.222222222223</v>
      </c>
      <c r="L523" s="31" t="n">
        <v>150</v>
      </c>
      <c r="M523" s="31">
        <f>I523+J523+K523+L523</f>
        <v/>
      </c>
      <c r="N523" s="31">
        <f>M523*Dashboard!$B$18/(Dashboard!$B$16/3.6)</f>
        <v/>
      </c>
      <c r="O523" s="31" t="n">
        <v>504.4540102260927</v>
      </c>
      <c r="P523" s="32" t="n">
        <v>0.7989895071126063</v>
      </c>
      <c r="Q523" s="33" t="n">
        <v>0.2</v>
      </c>
      <c r="R523" s="31" t="n">
        <v>379.7613781509751</v>
      </c>
      <c r="S523" s="31">
        <f>R523*IF(A523=4, 2.0, 3.0)</f>
        <v/>
      </c>
      <c r="T523" s="30">
        <f>8.0*U523</f>
        <v/>
      </c>
      <c r="U523" s="34">
        <f>MIN(1, S523/M523)</f>
        <v/>
      </c>
      <c r="V523" s="34">
        <f>N523/(N523+O523)</f>
        <v/>
      </c>
      <c r="W523" s="34">
        <f>U523*V523</f>
        <v/>
      </c>
      <c r="X523" s="32">
        <f>T523/N523</f>
        <v/>
      </c>
      <c r="Y523" s="35">
        <f>IF(X523=MAXIFS(X$2:X$721, A$2:A$721, A523, B$2:B$721, B523), "OPTIMAL", "")</f>
        <v/>
      </c>
    </row>
    <row r="524" ht="20" customHeight="1">
      <c r="A524" s="21" t="n">
        <v>-18</v>
      </c>
      <c r="B524" s="21" t="n">
        <v>35</v>
      </c>
      <c r="C524" s="22" t="n">
        <v>100</v>
      </c>
      <c r="D524" s="22" t="n">
        <v>2</v>
      </c>
      <c r="E524" s="23" t="n">
        <v>0</v>
      </c>
      <c r="F524" s="22" t="n">
        <v>0</v>
      </c>
      <c r="G524" s="23" t="inlineStr">
        <is>
          <t>Non</t>
        </is>
      </c>
      <c r="H524" s="23" t="inlineStr">
        <is>
          <t>ON</t>
        </is>
      </c>
      <c r="I524" s="24" t="n">
        <v>744.7528686370244</v>
      </c>
      <c r="J524" s="24" t="n">
        <v>6550.668683077564</v>
      </c>
      <c r="K524" s="24" t="n">
        <v>4222.222222222223</v>
      </c>
      <c r="L524" s="24" t="n">
        <v>150</v>
      </c>
      <c r="M524" s="24">
        <f>I524+J524+K524+L524</f>
        <v/>
      </c>
      <c r="N524" s="24">
        <f>M524*Dashboard!$B$18/(Dashboard!$B$16/3.6)</f>
        <v/>
      </c>
      <c r="O524" s="24" t="n">
        <v>504.4540102260927</v>
      </c>
      <c r="P524" s="25" t="n">
        <v>0.4774965220669776</v>
      </c>
      <c r="Q524" s="26" t="n">
        <v>0.2</v>
      </c>
      <c r="R524" s="24" t="n">
        <v>635.4504008443663</v>
      </c>
      <c r="S524" s="24">
        <f>R524*IF(A524=4, 2.0, 3.0)</f>
        <v/>
      </c>
      <c r="T524" s="22">
        <f>8.0*U524</f>
        <v/>
      </c>
      <c r="U524" s="27">
        <f>MIN(1, S524/M524)</f>
        <v/>
      </c>
      <c r="V524" s="27">
        <f>N524/(N524+O524)</f>
        <v/>
      </c>
      <c r="W524" s="27">
        <f>U524*V524</f>
        <v/>
      </c>
      <c r="X524" s="25">
        <f>T524/N524</f>
        <v/>
      </c>
      <c r="Y524" s="28">
        <f>IF(X524=MAXIFS(X$2:X$721, A$2:A$721, A524, B$2:B$721, B524), "OPTIMAL", "")</f>
        <v/>
      </c>
    </row>
    <row r="525" ht="20" customHeight="1">
      <c r="A525" s="29" t="n">
        <v>-18</v>
      </c>
      <c r="B525" s="29" t="n">
        <v>35</v>
      </c>
      <c r="C525" s="30" t="n">
        <v>100</v>
      </c>
      <c r="D525" s="30" t="n">
        <v>2</v>
      </c>
      <c r="E525" s="6" t="n">
        <v>0</v>
      </c>
      <c r="F525" s="30" t="n">
        <v>0</v>
      </c>
      <c r="G525" s="6" t="inlineStr">
        <is>
          <t>Non</t>
        </is>
      </c>
      <c r="H525" s="6" t="inlineStr">
        <is>
          <t>OFF</t>
        </is>
      </c>
      <c r="I525" s="31" t="n">
        <v>744.7528686370244</v>
      </c>
      <c r="J525" s="31" t="n">
        <v>6550.668683077564</v>
      </c>
      <c r="K525" s="31" t="n">
        <v>4222.222222222223</v>
      </c>
      <c r="L525" s="31" t="n">
        <v>150</v>
      </c>
      <c r="M525" s="31">
        <f>I525+J525+K525+L525</f>
        <v/>
      </c>
      <c r="N525" s="31">
        <f>M525*Dashboard!$B$18/(Dashboard!$B$16/3.6)</f>
        <v/>
      </c>
      <c r="O525" s="31" t="n">
        <v>504.4540102260927</v>
      </c>
      <c r="P525" s="32" t="n">
        <v>0.7958064082507683</v>
      </c>
      <c r="Q525" s="33" t="n">
        <v>0.2</v>
      </c>
      <c r="R525" s="31" t="n">
        <v>381.2803631679712</v>
      </c>
      <c r="S525" s="31">
        <f>R525*IF(A525=4, 2.0, 3.0)</f>
        <v/>
      </c>
      <c r="T525" s="30">
        <f>8.0*U525</f>
        <v/>
      </c>
      <c r="U525" s="34">
        <f>MIN(1, S525/M525)</f>
        <v/>
      </c>
      <c r="V525" s="34">
        <f>N525/(N525+O525)</f>
        <v/>
      </c>
      <c r="W525" s="34">
        <f>U525*V525</f>
        <v/>
      </c>
      <c r="X525" s="32">
        <f>T525/N525</f>
        <v/>
      </c>
      <c r="Y525" s="35">
        <f>IF(X525=MAXIFS(X$2:X$721, A$2:A$721, A525, B$2:B$721, B525), "OPTIMAL", "")</f>
        <v/>
      </c>
    </row>
    <row r="526" ht="20" customHeight="1">
      <c r="A526" s="36" t="n">
        <v>-18</v>
      </c>
      <c r="B526" s="36" t="n">
        <v>35</v>
      </c>
      <c r="C526" s="37" t="n">
        <v>100</v>
      </c>
      <c r="D526" s="37" t="n">
        <v>2</v>
      </c>
      <c r="E526" s="38" t="n">
        <v>4</v>
      </c>
      <c r="F526" s="37" t="n">
        <v>1.5</v>
      </c>
      <c r="G526" s="38" t="inlineStr">
        <is>
          <t>Oui</t>
        </is>
      </c>
      <c r="H526" s="38" t="inlineStr">
        <is>
          <t>ON</t>
        </is>
      </c>
      <c r="I526" s="39" t="n">
        <v>744.7528686370244</v>
      </c>
      <c r="J526" s="39" t="n">
        <v>6550.668683077564</v>
      </c>
      <c r="K526" s="39" t="n">
        <v>4222.222222222223</v>
      </c>
      <c r="L526" s="39" t="n">
        <v>150</v>
      </c>
      <c r="M526" s="39">
        <f>I526+J526+K526+L526</f>
        <v/>
      </c>
      <c r="N526" s="39">
        <f>M526*Dashboard!$B$18/(Dashboard!$B$16/3.6)</f>
        <v/>
      </c>
      <c r="O526" s="39" t="n">
        <v>792.1563368385895</v>
      </c>
      <c r="P526" s="40" t="n">
        <v>0.07376163664698646</v>
      </c>
      <c r="Q526" s="41" t="n">
        <v>6.718986469044035</v>
      </c>
      <c r="R526" s="39" t="n">
        <v>4248.837763004442</v>
      </c>
      <c r="S526" s="39">
        <f>R526*IF(A526=4, 2.0, 3.0)</f>
        <v/>
      </c>
      <c r="T526" s="37">
        <f>8.0*U526</f>
        <v/>
      </c>
      <c r="U526" s="42">
        <f>MIN(1, S526/M526)</f>
        <v/>
      </c>
      <c r="V526" s="42">
        <f>N526/(N526+O526)</f>
        <v/>
      </c>
      <c r="W526" s="42">
        <f>U526*V526</f>
        <v/>
      </c>
      <c r="X526" s="40">
        <f>T526/N526</f>
        <v/>
      </c>
      <c r="Y526" s="15">
        <f>IF(X526=MAXIFS(X$2:X$721, A$2:A$721, A526, B$2:B$721, B526), "OPTIMAL", "")</f>
        <v/>
      </c>
    </row>
    <row r="527" ht="20" customHeight="1">
      <c r="A527" s="29" t="n">
        <v>-18</v>
      </c>
      <c r="B527" s="29" t="n">
        <v>35</v>
      </c>
      <c r="C527" s="30" t="n">
        <v>100</v>
      </c>
      <c r="D527" s="30" t="n">
        <v>2</v>
      </c>
      <c r="E527" s="6" t="n">
        <v>4</v>
      </c>
      <c r="F527" s="30" t="n">
        <v>1.5</v>
      </c>
      <c r="G527" s="6" t="inlineStr">
        <is>
          <t>Oui</t>
        </is>
      </c>
      <c r="H527" s="6" t="inlineStr">
        <is>
          <t>OFF</t>
        </is>
      </c>
      <c r="I527" s="31" t="n">
        <v>744.7528686370244</v>
      </c>
      <c r="J527" s="31" t="n">
        <v>6550.668683077564</v>
      </c>
      <c r="K527" s="31" t="n">
        <v>4222.222222222223</v>
      </c>
      <c r="L527" s="31" t="n">
        <v>150</v>
      </c>
      <c r="M527" s="31">
        <f>I527+J527+K527+L527</f>
        <v/>
      </c>
      <c r="N527" s="31">
        <f>M527*Dashboard!$B$18/(Dashboard!$B$16/3.6)</f>
        <v/>
      </c>
      <c r="O527" s="31" t="n">
        <v>792.1563368385895</v>
      </c>
      <c r="P527" s="32" t="n">
        <v>0.3073240714228834</v>
      </c>
      <c r="Q527" s="33" t="n">
        <v>6.718986469044035</v>
      </c>
      <c r="R527" s="31" t="n">
        <v>1019.77442182029</v>
      </c>
      <c r="S527" s="31">
        <f>R527*IF(A527=4, 2.0, 3.0)</f>
        <v/>
      </c>
      <c r="T527" s="30">
        <f>8.0*U527</f>
        <v/>
      </c>
      <c r="U527" s="34">
        <f>MIN(1, S527/M527)</f>
        <v/>
      </c>
      <c r="V527" s="34">
        <f>N527/(N527+O527)</f>
        <v/>
      </c>
      <c r="W527" s="34">
        <f>U527*V527</f>
        <v/>
      </c>
      <c r="X527" s="32">
        <f>T527/N527</f>
        <v/>
      </c>
      <c r="Y527" s="35">
        <f>IF(X527=MAXIFS(X$2:X$721, A$2:A$721, A527, B$2:B$721, B527), "OPTIMAL", "")</f>
        <v/>
      </c>
    </row>
    <row r="528" ht="20" customHeight="1">
      <c r="A528" s="36" t="n">
        <v>-18</v>
      </c>
      <c r="B528" s="36" t="n">
        <v>35</v>
      </c>
      <c r="C528" s="37" t="n">
        <v>100</v>
      </c>
      <c r="D528" s="37" t="n">
        <v>2</v>
      </c>
      <c r="E528" s="38" t="n">
        <v>4</v>
      </c>
      <c r="F528" s="37" t="n">
        <v>1.5</v>
      </c>
      <c r="G528" s="38" t="inlineStr">
        <is>
          <t>Non</t>
        </is>
      </c>
      <c r="H528" s="38" t="inlineStr">
        <is>
          <t>ON</t>
        </is>
      </c>
      <c r="I528" s="39" t="n">
        <v>744.7528686370244</v>
      </c>
      <c r="J528" s="39" t="n">
        <v>6550.668683077564</v>
      </c>
      <c r="K528" s="39" t="n">
        <v>4222.222222222223</v>
      </c>
      <c r="L528" s="39" t="n">
        <v>150</v>
      </c>
      <c r="M528" s="39">
        <f>I528+J528+K528+L528</f>
        <v/>
      </c>
      <c r="N528" s="39">
        <f>M528*Dashboard!$B$18/(Dashboard!$B$16/3.6)</f>
        <v/>
      </c>
      <c r="O528" s="39" t="n">
        <v>792.1563368385895</v>
      </c>
      <c r="P528" s="40" t="n">
        <v>0.07057853778514854</v>
      </c>
      <c r="Q528" s="41" t="n">
        <v>6.718986469044035</v>
      </c>
      <c r="R528" s="39" t="n">
        <v>4440.460755942095</v>
      </c>
      <c r="S528" s="39">
        <f>R528*IF(A528=4, 2.0, 3.0)</f>
        <v/>
      </c>
      <c r="T528" s="37">
        <f>8.0*U528</f>
        <v/>
      </c>
      <c r="U528" s="42">
        <f>MIN(1, S528/M528)</f>
        <v/>
      </c>
      <c r="V528" s="42">
        <f>N528/(N528+O528)</f>
        <v/>
      </c>
      <c r="W528" s="42">
        <f>U528*V528</f>
        <v/>
      </c>
      <c r="X528" s="40">
        <f>T528/N528</f>
        <v/>
      </c>
      <c r="Y528" s="15">
        <f>IF(X528=MAXIFS(X$2:X$721, A$2:A$721, A528, B$2:B$721, B528), "OPTIMAL", "")</f>
        <v/>
      </c>
    </row>
    <row r="529" ht="20" customHeight="1">
      <c r="A529" s="29" t="n">
        <v>-18</v>
      </c>
      <c r="B529" s="29" t="n">
        <v>35</v>
      </c>
      <c r="C529" s="30" t="n">
        <v>100</v>
      </c>
      <c r="D529" s="30" t="n">
        <v>2</v>
      </c>
      <c r="E529" s="6" t="n">
        <v>4</v>
      </c>
      <c r="F529" s="30" t="n">
        <v>1.5</v>
      </c>
      <c r="G529" s="6" t="inlineStr">
        <is>
          <t>Non</t>
        </is>
      </c>
      <c r="H529" s="6" t="inlineStr">
        <is>
          <t>OFF</t>
        </is>
      </c>
      <c r="I529" s="31" t="n">
        <v>744.7528686370244</v>
      </c>
      <c r="J529" s="31" t="n">
        <v>6550.668683077564</v>
      </c>
      <c r="K529" s="31" t="n">
        <v>4222.222222222223</v>
      </c>
      <c r="L529" s="31" t="n">
        <v>150</v>
      </c>
      <c r="M529" s="31">
        <f>I529+J529+K529+L529</f>
        <v/>
      </c>
      <c r="N529" s="31">
        <f>M529*Dashboard!$B$18/(Dashboard!$B$16/3.6)</f>
        <v/>
      </c>
      <c r="O529" s="31" t="n">
        <v>792.1563368385895</v>
      </c>
      <c r="P529" s="32" t="n">
        <v>0.3041409725610454</v>
      </c>
      <c r="Q529" s="33" t="n">
        <v>6.718986469044035</v>
      </c>
      <c r="R529" s="31" t="n">
        <v>1030.447244932855</v>
      </c>
      <c r="S529" s="31">
        <f>R529*IF(A529=4, 2.0, 3.0)</f>
        <v/>
      </c>
      <c r="T529" s="30">
        <f>8.0*U529</f>
        <v/>
      </c>
      <c r="U529" s="34">
        <f>MIN(1, S529/M529)</f>
        <v/>
      </c>
      <c r="V529" s="34">
        <f>N529/(N529+O529)</f>
        <v/>
      </c>
      <c r="W529" s="34">
        <f>U529*V529</f>
        <v/>
      </c>
      <c r="X529" s="32">
        <f>T529/N529</f>
        <v/>
      </c>
      <c r="Y529" s="35">
        <f>IF(X529=MAXIFS(X$2:X$721, A$2:A$721, A529, B$2:B$721, B529), "OPTIMAL", "")</f>
        <v/>
      </c>
    </row>
    <row r="530" ht="20" customHeight="1">
      <c r="A530" s="36" t="n">
        <v>-18</v>
      </c>
      <c r="B530" s="36" t="n">
        <v>35</v>
      </c>
      <c r="C530" s="37" t="n">
        <v>100</v>
      </c>
      <c r="D530" s="37" t="n">
        <v>2</v>
      </c>
      <c r="E530" s="38" t="n">
        <v>4</v>
      </c>
      <c r="F530" s="37" t="n">
        <v>2</v>
      </c>
      <c r="G530" s="38" t="inlineStr">
        <is>
          <t>Oui</t>
        </is>
      </c>
      <c r="H530" s="38" t="inlineStr">
        <is>
          <t>ON</t>
        </is>
      </c>
      <c r="I530" s="39" t="n">
        <v>744.7528686370244</v>
      </c>
      <c r="J530" s="39" t="n">
        <v>6550.668683077564</v>
      </c>
      <c r="K530" s="39" t="n">
        <v>4222.222222222223</v>
      </c>
      <c r="L530" s="39" t="n">
        <v>150</v>
      </c>
      <c r="M530" s="39">
        <f>I530+J530+K530+L530</f>
        <v/>
      </c>
      <c r="N530" s="39">
        <f>M530*Dashboard!$B$18/(Dashboard!$B$16/3.6)</f>
        <v/>
      </c>
      <c r="O530" s="39" t="n">
        <v>892.3076668364585</v>
      </c>
      <c r="P530" s="40" t="n">
        <v>0.07106618988155999</v>
      </c>
      <c r="Q530" s="41" t="n">
        <v>8.891981958725379</v>
      </c>
      <c r="R530" s="39" t="n">
        <v>4458.855933989934</v>
      </c>
      <c r="S530" s="39">
        <f>R530*IF(A530=4, 2.0, 3.0)</f>
        <v/>
      </c>
      <c r="T530" s="37">
        <f>8.0*U530</f>
        <v/>
      </c>
      <c r="U530" s="42">
        <f>MIN(1, S530/M530)</f>
        <v/>
      </c>
      <c r="V530" s="42">
        <f>N530/(N530+O530)</f>
        <v/>
      </c>
      <c r="W530" s="42">
        <f>U530*V530</f>
        <v/>
      </c>
      <c r="X530" s="40">
        <f>T530/N530</f>
        <v/>
      </c>
      <c r="Y530" s="15">
        <f>IF(X530=MAXIFS(X$2:X$721, A$2:A$721, A530, B$2:B$721, B530), "OPTIMAL", "")</f>
        <v/>
      </c>
    </row>
    <row r="531" ht="20" customHeight="1">
      <c r="A531" s="29" t="n">
        <v>-18</v>
      </c>
      <c r="B531" s="29" t="n">
        <v>35</v>
      </c>
      <c r="C531" s="30" t="n">
        <v>100</v>
      </c>
      <c r="D531" s="30" t="n">
        <v>2</v>
      </c>
      <c r="E531" s="6" t="n">
        <v>4</v>
      </c>
      <c r="F531" s="30" t="n">
        <v>2</v>
      </c>
      <c r="G531" s="6" t="inlineStr">
        <is>
          <t>Oui</t>
        </is>
      </c>
      <c r="H531" s="6" t="inlineStr">
        <is>
          <t>OFF</t>
        </is>
      </c>
      <c r="I531" s="31" t="n">
        <v>744.7528686370244</v>
      </c>
      <c r="J531" s="31" t="n">
        <v>6550.668683077564</v>
      </c>
      <c r="K531" s="31" t="n">
        <v>4222.222222222223</v>
      </c>
      <c r="L531" s="31" t="n">
        <v>150</v>
      </c>
      <c r="M531" s="31">
        <f>I531+J531+K531+L531</f>
        <v/>
      </c>
      <c r="N531" s="31">
        <f>M531*Dashboard!$B$18/(Dashboard!$B$16/3.6)</f>
        <v/>
      </c>
      <c r="O531" s="31" t="n">
        <v>892.3076668364585</v>
      </c>
      <c r="P531" s="32" t="n">
        <v>0.3057228026390766</v>
      </c>
      <c r="Q531" s="33" t="n">
        <v>8.891981958725379</v>
      </c>
      <c r="R531" s="31" t="n">
        <v>1036.474544012136</v>
      </c>
      <c r="S531" s="31">
        <f>R531*IF(A531=4, 2.0, 3.0)</f>
        <v/>
      </c>
      <c r="T531" s="30">
        <f>8.0*U531</f>
        <v/>
      </c>
      <c r="U531" s="34">
        <f>MIN(1, S531/M531)</f>
        <v/>
      </c>
      <c r="V531" s="34">
        <f>N531/(N531+O531)</f>
        <v/>
      </c>
      <c r="W531" s="34">
        <f>U531*V531</f>
        <v/>
      </c>
      <c r="X531" s="32">
        <f>T531/N531</f>
        <v/>
      </c>
      <c r="Y531" s="35">
        <f>IF(X531=MAXIFS(X$2:X$721, A$2:A$721, A531, B$2:B$721, B531), "OPTIMAL", "")</f>
        <v/>
      </c>
    </row>
    <row r="532" ht="20" customHeight="1">
      <c r="A532" s="36" t="n">
        <v>-18</v>
      </c>
      <c r="B532" s="36" t="n">
        <v>35</v>
      </c>
      <c r="C532" s="37" t="n">
        <v>100</v>
      </c>
      <c r="D532" s="37" t="n">
        <v>2</v>
      </c>
      <c r="E532" s="38" t="n">
        <v>4</v>
      </c>
      <c r="F532" s="37" t="n">
        <v>2</v>
      </c>
      <c r="G532" s="38" t="inlineStr">
        <is>
          <t>Non</t>
        </is>
      </c>
      <c r="H532" s="38" t="inlineStr">
        <is>
          <t>ON</t>
        </is>
      </c>
      <c r="I532" s="39" t="n">
        <v>744.7528686370244</v>
      </c>
      <c r="J532" s="39" t="n">
        <v>6550.668683077564</v>
      </c>
      <c r="K532" s="39" t="n">
        <v>4222.222222222223</v>
      </c>
      <c r="L532" s="39" t="n">
        <v>150</v>
      </c>
      <c r="M532" s="39">
        <f>I532+J532+K532+L532</f>
        <v/>
      </c>
      <c r="N532" s="39">
        <f>M532*Dashboard!$B$18/(Dashboard!$B$16/3.6)</f>
        <v/>
      </c>
      <c r="O532" s="39" t="n">
        <v>892.3076668364585</v>
      </c>
      <c r="P532" s="40" t="n">
        <v>0.06788309101972209</v>
      </c>
      <c r="Q532" s="41" t="n">
        <v>8.891981958725379</v>
      </c>
      <c r="R532" s="39" t="n">
        <v>4667.935677345448</v>
      </c>
      <c r="S532" s="39">
        <f>R532*IF(A532=4, 2.0, 3.0)</f>
        <v/>
      </c>
      <c r="T532" s="37">
        <f>8.0*U532</f>
        <v/>
      </c>
      <c r="U532" s="42">
        <f>MIN(1, S532/M532)</f>
        <v/>
      </c>
      <c r="V532" s="42">
        <f>N532/(N532+O532)</f>
        <v/>
      </c>
      <c r="W532" s="42">
        <f>U532*V532</f>
        <v/>
      </c>
      <c r="X532" s="40">
        <f>T532/N532</f>
        <v/>
      </c>
      <c r="Y532" s="15">
        <f>IF(X532=MAXIFS(X$2:X$721, A$2:A$721, A532, B$2:B$721, B532), "OPTIMAL", "")</f>
        <v/>
      </c>
    </row>
    <row r="533" ht="20" customHeight="1">
      <c r="A533" s="29" t="n">
        <v>-18</v>
      </c>
      <c r="B533" s="29" t="n">
        <v>35</v>
      </c>
      <c r="C533" s="30" t="n">
        <v>100</v>
      </c>
      <c r="D533" s="30" t="n">
        <v>2</v>
      </c>
      <c r="E533" s="6" t="n">
        <v>4</v>
      </c>
      <c r="F533" s="30" t="n">
        <v>2</v>
      </c>
      <c r="G533" s="6" t="inlineStr">
        <is>
          <t>Non</t>
        </is>
      </c>
      <c r="H533" s="6" t="inlineStr">
        <is>
          <t>OFF</t>
        </is>
      </c>
      <c r="I533" s="31" t="n">
        <v>744.7528686370244</v>
      </c>
      <c r="J533" s="31" t="n">
        <v>6550.668683077564</v>
      </c>
      <c r="K533" s="31" t="n">
        <v>4222.222222222223</v>
      </c>
      <c r="L533" s="31" t="n">
        <v>150</v>
      </c>
      <c r="M533" s="31">
        <f>I533+J533+K533+L533</f>
        <v/>
      </c>
      <c r="N533" s="31">
        <f>M533*Dashboard!$B$18/(Dashboard!$B$16/3.6)</f>
        <v/>
      </c>
      <c r="O533" s="31" t="n">
        <v>892.3076668364585</v>
      </c>
      <c r="P533" s="32" t="n">
        <v>0.3025397037772387</v>
      </c>
      <c r="Q533" s="33" t="n">
        <v>8.891981958725379</v>
      </c>
      <c r="R533" s="31" t="n">
        <v>1047.379562097955</v>
      </c>
      <c r="S533" s="31">
        <f>R533*IF(A533=4, 2.0, 3.0)</f>
        <v/>
      </c>
      <c r="T533" s="30">
        <f>8.0*U533</f>
        <v/>
      </c>
      <c r="U533" s="34">
        <f>MIN(1, S533/M533)</f>
        <v/>
      </c>
      <c r="V533" s="34">
        <f>N533/(N533+O533)</f>
        <v/>
      </c>
      <c r="W533" s="34">
        <f>U533*V533</f>
        <v/>
      </c>
      <c r="X533" s="32">
        <f>T533/N533</f>
        <v/>
      </c>
      <c r="Y533" s="35">
        <f>IF(X533=MAXIFS(X$2:X$721, A$2:A$721, A533, B$2:B$721, B533), "OPTIMAL", "")</f>
        <v/>
      </c>
    </row>
    <row r="534" ht="20" customHeight="1">
      <c r="A534" s="36" t="n">
        <v>-18</v>
      </c>
      <c r="B534" s="36" t="n">
        <v>35</v>
      </c>
      <c r="C534" s="37" t="n">
        <v>100</v>
      </c>
      <c r="D534" s="37" t="n">
        <v>2</v>
      </c>
      <c r="E534" s="38" t="n">
        <v>8</v>
      </c>
      <c r="F534" s="37" t="n">
        <v>1.5</v>
      </c>
      <c r="G534" s="38" t="inlineStr">
        <is>
          <t>Oui</t>
        </is>
      </c>
      <c r="H534" s="38" t="inlineStr">
        <is>
          <t>ON</t>
        </is>
      </c>
      <c r="I534" s="39" t="n">
        <v>744.7528686370244</v>
      </c>
      <c r="J534" s="39" t="n">
        <v>6550.668683077564</v>
      </c>
      <c r="K534" s="39" t="n">
        <v>4222.222222222223</v>
      </c>
      <c r="L534" s="39" t="n">
        <v>150</v>
      </c>
      <c r="M534" s="39">
        <f>I534+J534+K534+L534</f>
        <v/>
      </c>
      <c r="N534" s="39">
        <f>M534*Dashboard!$B$18/(Dashboard!$B$16/3.6)</f>
        <v/>
      </c>
      <c r="O534" s="39" t="n">
        <v>1099.419653737174</v>
      </c>
      <c r="P534" s="40" t="n">
        <v>0.05573050288457804</v>
      </c>
      <c r="Q534" s="41" t="n">
        <v>13.23797293808807</v>
      </c>
      <c r="R534" s="39" t="n">
        <v>5814.685757647308</v>
      </c>
      <c r="S534" s="39">
        <f>R534*IF(A534=4, 2.0, 3.0)</f>
        <v/>
      </c>
      <c r="T534" s="37">
        <f>8.0*U534</f>
        <v/>
      </c>
      <c r="U534" s="42">
        <f>MIN(1, S534/M534)</f>
        <v/>
      </c>
      <c r="V534" s="42">
        <f>N534/(N534+O534)</f>
        <v/>
      </c>
      <c r="W534" s="42">
        <f>U534*V534</f>
        <v/>
      </c>
      <c r="X534" s="40">
        <f>T534/N534</f>
        <v/>
      </c>
      <c r="Y534" s="15">
        <f>IF(X534=MAXIFS(X$2:X$721, A$2:A$721, A534, B$2:B$721, B534), "OPTIMAL", "")</f>
        <v/>
      </c>
    </row>
    <row r="535" ht="20" customHeight="1">
      <c r="A535" s="29" t="n">
        <v>-18</v>
      </c>
      <c r="B535" s="29" t="n">
        <v>35</v>
      </c>
      <c r="C535" s="30" t="n">
        <v>100</v>
      </c>
      <c r="D535" s="30" t="n">
        <v>2</v>
      </c>
      <c r="E535" s="6" t="n">
        <v>8</v>
      </c>
      <c r="F535" s="30" t="n">
        <v>1.5</v>
      </c>
      <c r="G535" s="6" t="inlineStr">
        <is>
          <t>Oui</t>
        </is>
      </c>
      <c r="H535" s="6" t="inlineStr">
        <is>
          <t>OFF</t>
        </is>
      </c>
      <c r="I535" s="31" t="n">
        <v>744.7528686370244</v>
      </c>
      <c r="J535" s="31" t="n">
        <v>6550.668683077564</v>
      </c>
      <c r="K535" s="31" t="n">
        <v>4222.222222222223</v>
      </c>
      <c r="L535" s="31" t="n">
        <v>150</v>
      </c>
      <c r="M535" s="31">
        <f>I535+J535+K535+L535</f>
        <v/>
      </c>
      <c r="N535" s="31">
        <f>M535*Dashboard!$B$18/(Dashboard!$B$16/3.6)</f>
        <v/>
      </c>
      <c r="O535" s="31" t="n">
        <v>1099.419653737174</v>
      </c>
      <c r="P535" s="32" t="n">
        <v>0.2401827722650424</v>
      </c>
      <c r="Q535" s="33" t="n">
        <v>13.23797293808807</v>
      </c>
      <c r="R535" s="31" t="n">
        <v>1349.203185280425</v>
      </c>
      <c r="S535" s="31">
        <f>R535*IF(A535=4, 2.0, 3.0)</f>
        <v/>
      </c>
      <c r="T535" s="30">
        <f>8.0*U535</f>
        <v/>
      </c>
      <c r="U535" s="34">
        <f>MIN(1, S535/M535)</f>
        <v/>
      </c>
      <c r="V535" s="34">
        <f>N535/(N535+O535)</f>
        <v/>
      </c>
      <c r="W535" s="34">
        <f>U535*V535</f>
        <v/>
      </c>
      <c r="X535" s="32">
        <f>T535/N535</f>
        <v/>
      </c>
      <c r="Y535" s="35">
        <f>IF(X535=MAXIFS(X$2:X$721, A$2:A$721, A535, B$2:B$721, B535), "OPTIMAL", "")</f>
        <v/>
      </c>
    </row>
    <row r="536" ht="20" customHeight="1">
      <c r="A536" s="36" t="n">
        <v>-18</v>
      </c>
      <c r="B536" s="36" t="n">
        <v>35</v>
      </c>
      <c r="C536" s="37" t="n">
        <v>100</v>
      </c>
      <c r="D536" s="37" t="n">
        <v>2</v>
      </c>
      <c r="E536" s="38" t="n">
        <v>8</v>
      </c>
      <c r="F536" s="37" t="n">
        <v>1.5</v>
      </c>
      <c r="G536" s="38" t="inlineStr">
        <is>
          <t>Non</t>
        </is>
      </c>
      <c r="H536" s="38" t="inlineStr">
        <is>
          <t>ON</t>
        </is>
      </c>
      <c r="I536" s="39" t="n">
        <v>744.7528686370244</v>
      </c>
      <c r="J536" s="39" t="n">
        <v>6550.668683077564</v>
      </c>
      <c r="K536" s="39" t="n">
        <v>4222.222222222223</v>
      </c>
      <c r="L536" s="39" t="n">
        <v>150</v>
      </c>
      <c r="M536" s="39">
        <f>I536+J536+K536+L536</f>
        <v/>
      </c>
      <c r="N536" s="39">
        <f>M536*Dashboard!$B$18/(Dashboard!$B$16/3.6)</f>
        <v/>
      </c>
      <c r="O536" s="39" t="n">
        <v>1099.419653737174</v>
      </c>
      <c r="P536" s="40" t="n">
        <v>0.05254740402274013</v>
      </c>
      <c r="Q536" s="41" t="n">
        <v>13.23797293808807</v>
      </c>
      <c r="R536" s="39" t="n">
        <v>6166.914758514838</v>
      </c>
      <c r="S536" s="39">
        <f>R536*IF(A536=4, 2.0, 3.0)</f>
        <v/>
      </c>
      <c r="T536" s="37">
        <f>8.0*U536</f>
        <v/>
      </c>
      <c r="U536" s="42">
        <f>MIN(1, S536/M536)</f>
        <v/>
      </c>
      <c r="V536" s="42">
        <f>N536/(N536+O536)</f>
        <v/>
      </c>
      <c r="W536" s="42">
        <f>U536*V536</f>
        <v/>
      </c>
      <c r="X536" s="40">
        <f>T536/N536</f>
        <v/>
      </c>
      <c r="Y536" s="15">
        <f>IF(X536=MAXIFS(X$2:X$721, A$2:A$721, A536, B$2:B$721, B536), "OPTIMAL", "")</f>
        <v/>
      </c>
    </row>
    <row r="537" ht="20" customHeight="1">
      <c r="A537" s="29" t="n">
        <v>-18</v>
      </c>
      <c r="B537" s="29" t="n">
        <v>35</v>
      </c>
      <c r="C537" s="30" t="n">
        <v>100</v>
      </c>
      <c r="D537" s="30" t="n">
        <v>2</v>
      </c>
      <c r="E537" s="6" t="n">
        <v>8</v>
      </c>
      <c r="F537" s="30" t="n">
        <v>1.5</v>
      </c>
      <c r="G537" s="6" t="inlineStr">
        <is>
          <t>Non</t>
        </is>
      </c>
      <c r="H537" s="6" t="inlineStr">
        <is>
          <t>OFF</t>
        </is>
      </c>
      <c r="I537" s="31" t="n">
        <v>744.7528686370244</v>
      </c>
      <c r="J537" s="31" t="n">
        <v>6550.668683077564</v>
      </c>
      <c r="K537" s="31" t="n">
        <v>4222.222222222223</v>
      </c>
      <c r="L537" s="31" t="n">
        <v>150</v>
      </c>
      <c r="M537" s="31">
        <f>I537+J537+K537+L537</f>
        <v/>
      </c>
      <c r="N537" s="31">
        <f>M537*Dashboard!$B$18/(Dashboard!$B$16/3.6)</f>
        <v/>
      </c>
      <c r="O537" s="31" t="n">
        <v>1099.419653737174</v>
      </c>
      <c r="P537" s="32" t="n">
        <v>0.2369996734032044</v>
      </c>
      <c r="Q537" s="33" t="n">
        <v>13.23797293808807</v>
      </c>
      <c r="R537" s="31" t="n">
        <v>1367.324084190475</v>
      </c>
      <c r="S537" s="31">
        <f>R537*IF(A537=4, 2.0, 3.0)</f>
        <v/>
      </c>
      <c r="T537" s="30">
        <f>8.0*U537</f>
        <v/>
      </c>
      <c r="U537" s="34">
        <f>MIN(1, S537/M537)</f>
        <v/>
      </c>
      <c r="V537" s="34">
        <f>N537/(N537+O537)</f>
        <v/>
      </c>
      <c r="W537" s="34">
        <f>U537*V537</f>
        <v/>
      </c>
      <c r="X537" s="32">
        <f>T537/N537</f>
        <v/>
      </c>
      <c r="Y537" s="35">
        <f>IF(X537=MAXIFS(X$2:X$721, A$2:A$721, A537, B$2:B$721, B537), "OPTIMAL", "")</f>
        <v/>
      </c>
    </row>
    <row r="538" ht="20" customHeight="1">
      <c r="A538" s="36" t="n">
        <v>-18</v>
      </c>
      <c r="B538" s="36" t="n">
        <v>35</v>
      </c>
      <c r="C538" s="37" t="n">
        <v>100</v>
      </c>
      <c r="D538" s="37" t="n">
        <v>2</v>
      </c>
      <c r="E538" s="38" t="n">
        <v>8</v>
      </c>
      <c r="F538" s="37" t="n">
        <v>2</v>
      </c>
      <c r="G538" s="38" t="inlineStr">
        <is>
          <t>Oui</t>
        </is>
      </c>
      <c r="H538" s="38" t="inlineStr">
        <is>
          <t>ON</t>
        </is>
      </c>
      <c r="I538" s="39" t="n">
        <v>744.7528686370244</v>
      </c>
      <c r="J538" s="39" t="n">
        <v>6550.668683077564</v>
      </c>
      <c r="K538" s="39" t="n">
        <v>4222.222222222223</v>
      </c>
      <c r="L538" s="39" t="n">
        <v>150</v>
      </c>
      <c r="M538" s="39">
        <f>I538+J538+K538+L538</f>
        <v/>
      </c>
      <c r="N538" s="39">
        <f>M538*Dashboard!$B$18/(Dashboard!$B$16/3.6)</f>
        <v/>
      </c>
      <c r="O538" s="39" t="n">
        <v>1316.137081512672</v>
      </c>
      <c r="P538" s="40" t="n">
        <v>0.05449488140602117</v>
      </c>
      <c r="Q538" s="41" t="n">
        <v>17.58396391745076</v>
      </c>
      <c r="R538" s="39" t="n">
        <v>6084.422490822702</v>
      </c>
      <c r="S538" s="39">
        <f>R538*IF(A538=4, 2.0, 3.0)</f>
        <v/>
      </c>
      <c r="T538" s="37">
        <f>8.0*U538</f>
        <v/>
      </c>
      <c r="U538" s="42">
        <f>MIN(1, S538/M538)</f>
        <v/>
      </c>
      <c r="V538" s="42">
        <f>N538/(N538+O538)</f>
        <v/>
      </c>
      <c r="W538" s="42">
        <f>U538*V538</f>
        <v/>
      </c>
      <c r="X538" s="40">
        <f>T538/N538</f>
        <v/>
      </c>
      <c r="Y538" s="15">
        <f>IF(X538=MAXIFS(X$2:X$721, A$2:A$721, A538, B$2:B$721, B538), "OPTIMAL", "")</f>
        <v/>
      </c>
    </row>
    <row r="539" ht="20" customHeight="1">
      <c r="A539" s="29" t="n">
        <v>-18</v>
      </c>
      <c r="B539" s="29" t="n">
        <v>35</v>
      </c>
      <c r="C539" s="30" t="n">
        <v>100</v>
      </c>
      <c r="D539" s="30" t="n">
        <v>2</v>
      </c>
      <c r="E539" s="6" t="n">
        <v>8</v>
      </c>
      <c r="F539" s="30" t="n">
        <v>2</v>
      </c>
      <c r="G539" s="6" t="inlineStr">
        <is>
          <t>Oui</t>
        </is>
      </c>
      <c r="H539" s="6" t="inlineStr">
        <is>
          <t>OFF</t>
        </is>
      </c>
      <c r="I539" s="31" t="n">
        <v>744.7528686370244</v>
      </c>
      <c r="J539" s="31" t="n">
        <v>6550.668683077564</v>
      </c>
      <c r="K539" s="31" t="n">
        <v>4222.222222222223</v>
      </c>
      <c r="L539" s="31" t="n">
        <v>150</v>
      </c>
      <c r="M539" s="31">
        <f>I539+J539+K539+L539</f>
        <v/>
      </c>
      <c r="N539" s="31">
        <f>M539*Dashboard!$B$18/(Dashboard!$B$16/3.6)</f>
        <v/>
      </c>
      <c r="O539" s="31" t="n">
        <v>1316.137081512672</v>
      </c>
      <c r="P539" s="32" t="n">
        <v>0.2403161193409352</v>
      </c>
      <c r="Q539" s="33" t="n">
        <v>17.58396391745076</v>
      </c>
      <c r="R539" s="31" t="n">
        <v>1379.723852777077</v>
      </c>
      <c r="S539" s="31">
        <f>R539*IF(A539=4, 2.0, 3.0)</f>
        <v/>
      </c>
      <c r="T539" s="30">
        <f>8.0*U539</f>
        <v/>
      </c>
      <c r="U539" s="34">
        <f>MIN(1, S539/M539)</f>
        <v/>
      </c>
      <c r="V539" s="34">
        <f>N539/(N539+O539)</f>
        <v/>
      </c>
      <c r="W539" s="34">
        <f>U539*V539</f>
        <v/>
      </c>
      <c r="X539" s="32">
        <f>T539/N539</f>
        <v/>
      </c>
      <c r="Y539" s="35">
        <f>IF(X539=MAXIFS(X$2:X$721, A$2:A$721, A539, B$2:B$721, B539), "OPTIMAL", "")</f>
        <v/>
      </c>
    </row>
    <row r="540" ht="20" customHeight="1">
      <c r="A540" s="36" t="n">
        <v>-18</v>
      </c>
      <c r="B540" s="36" t="n">
        <v>35</v>
      </c>
      <c r="C540" s="37" t="n">
        <v>100</v>
      </c>
      <c r="D540" s="37" t="n">
        <v>2</v>
      </c>
      <c r="E540" s="38" t="n">
        <v>8</v>
      </c>
      <c r="F540" s="37" t="n">
        <v>2</v>
      </c>
      <c r="G540" s="38" t="inlineStr">
        <is>
          <t>Non</t>
        </is>
      </c>
      <c r="H540" s="38" t="inlineStr">
        <is>
          <t>ON</t>
        </is>
      </c>
      <c r="I540" s="39" t="n">
        <v>744.7528686370244</v>
      </c>
      <c r="J540" s="39" t="n">
        <v>6550.668683077564</v>
      </c>
      <c r="K540" s="39" t="n">
        <v>4222.222222222223</v>
      </c>
      <c r="L540" s="39" t="n">
        <v>150</v>
      </c>
      <c r="M540" s="39">
        <f>I540+J540+K540+L540</f>
        <v/>
      </c>
      <c r="N540" s="39">
        <f>M540*Dashboard!$B$18/(Dashboard!$B$16/3.6)</f>
        <v/>
      </c>
      <c r="O540" s="39" t="n">
        <v>1316.137081512672</v>
      </c>
      <c r="P540" s="40" t="n">
        <v>0.05131178254418326</v>
      </c>
      <c r="Q540" s="41" t="n">
        <v>17.58396391745076</v>
      </c>
      <c r="R540" s="39" t="n">
        <v>6461.866371062139</v>
      </c>
      <c r="S540" s="39">
        <f>R540*IF(A540=4, 2.0, 3.0)</f>
        <v/>
      </c>
      <c r="T540" s="37">
        <f>8.0*U540</f>
        <v/>
      </c>
      <c r="U540" s="42">
        <f>MIN(1, S540/M540)</f>
        <v/>
      </c>
      <c r="V540" s="42">
        <f>N540/(N540+O540)</f>
        <v/>
      </c>
      <c r="W540" s="42">
        <f>U540*V540</f>
        <v/>
      </c>
      <c r="X540" s="40">
        <f>T540/N540</f>
        <v/>
      </c>
      <c r="Y540" s="15">
        <f>IF(X540=MAXIFS(X$2:X$721, A$2:A$721, A540, B$2:B$721, B540), "OPTIMAL", "")</f>
        <v/>
      </c>
    </row>
    <row r="541" ht="20" customHeight="1">
      <c r="A541" s="29" t="n">
        <v>-18</v>
      </c>
      <c r="B541" s="29" t="n">
        <v>35</v>
      </c>
      <c r="C541" s="30" t="n">
        <v>100</v>
      </c>
      <c r="D541" s="30" t="n">
        <v>2</v>
      </c>
      <c r="E541" s="6" t="n">
        <v>8</v>
      </c>
      <c r="F541" s="30" t="n">
        <v>2</v>
      </c>
      <c r="G541" s="6" t="inlineStr">
        <is>
          <t>Non</t>
        </is>
      </c>
      <c r="H541" s="6" t="inlineStr">
        <is>
          <t>OFF</t>
        </is>
      </c>
      <c r="I541" s="31" t="n">
        <v>744.7528686370244</v>
      </c>
      <c r="J541" s="31" t="n">
        <v>6550.668683077564</v>
      </c>
      <c r="K541" s="31" t="n">
        <v>4222.222222222223</v>
      </c>
      <c r="L541" s="31" t="n">
        <v>150</v>
      </c>
      <c r="M541" s="31">
        <f>I541+J541+K541+L541</f>
        <v/>
      </c>
      <c r="N541" s="31">
        <f>M541*Dashboard!$B$18/(Dashboard!$B$16/3.6)</f>
        <v/>
      </c>
      <c r="O541" s="31" t="n">
        <v>1316.137081512672</v>
      </c>
      <c r="P541" s="32" t="n">
        <v>0.2371330204790973</v>
      </c>
      <c r="Q541" s="33" t="n">
        <v>17.58396391745076</v>
      </c>
      <c r="R541" s="31" t="n">
        <v>1398.244248698962</v>
      </c>
      <c r="S541" s="31">
        <f>R541*IF(A541=4, 2.0, 3.0)</f>
        <v/>
      </c>
      <c r="T541" s="30">
        <f>8.0*U541</f>
        <v/>
      </c>
      <c r="U541" s="34">
        <f>MIN(1, S541/M541)</f>
        <v/>
      </c>
      <c r="V541" s="34">
        <f>N541/(N541+O541)</f>
        <v/>
      </c>
      <c r="W541" s="34">
        <f>U541*V541</f>
        <v/>
      </c>
      <c r="X541" s="32">
        <f>T541/N541</f>
        <v/>
      </c>
      <c r="Y541" s="35">
        <f>IF(X541=MAXIFS(X$2:X$721, A$2:A$721, A541, B$2:B$721, B541), "OPTIMAL", "")</f>
        <v/>
      </c>
    </row>
    <row r="542" ht="20" customHeight="1">
      <c r="A542" s="21" t="n">
        <v>-18</v>
      </c>
      <c r="B542" s="21" t="n">
        <v>35</v>
      </c>
      <c r="C542" s="22" t="n">
        <v>100</v>
      </c>
      <c r="D542" s="22" t="n">
        <v>3</v>
      </c>
      <c r="E542" s="23" t="n">
        <v>0</v>
      </c>
      <c r="F542" s="22" t="n">
        <v>0</v>
      </c>
      <c r="G542" s="23" t="inlineStr">
        <is>
          <t>Oui</t>
        </is>
      </c>
      <c r="H542" s="23" t="inlineStr">
        <is>
          <t>ON</t>
        </is>
      </c>
      <c r="I542" s="24" t="n">
        <v>744.7528686370244</v>
      </c>
      <c r="J542" s="24" t="n">
        <v>6550.668683077564</v>
      </c>
      <c r="K542" s="24" t="n">
        <v>4222.222222222223</v>
      </c>
      <c r="L542" s="24" t="n">
        <v>150</v>
      </c>
      <c r="M542" s="24">
        <f>I542+J542+K542+L542</f>
        <v/>
      </c>
      <c r="N542" s="24">
        <f>M542*Dashboard!$B$18/(Dashboard!$B$16/3.6)</f>
        <v/>
      </c>
      <c r="O542" s="24" t="n">
        <v>781.1694586899299</v>
      </c>
      <c r="P542" s="25" t="n">
        <v>0.4806959660709754</v>
      </c>
      <c r="Q542" s="26" t="n">
        <v>0.2</v>
      </c>
      <c r="R542" s="24" t="n">
        <v>658.3671482039675</v>
      </c>
      <c r="S542" s="24">
        <f>R542*IF(A542=4, 2.0, 3.0)</f>
        <v/>
      </c>
      <c r="T542" s="22">
        <f>8.0*U542</f>
        <v/>
      </c>
      <c r="U542" s="27">
        <f>MIN(1, S542/M542)</f>
        <v/>
      </c>
      <c r="V542" s="27">
        <f>N542/(N542+O542)</f>
        <v/>
      </c>
      <c r="W542" s="27">
        <f>U542*V542</f>
        <v/>
      </c>
      <c r="X542" s="25">
        <f>T542/N542</f>
        <v/>
      </c>
      <c r="Y542" s="28">
        <f>IF(X542=MAXIFS(X$2:X$721, A$2:A$721, A542, B$2:B$721, B542), "OPTIMAL", "")</f>
        <v/>
      </c>
    </row>
    <row r="543" ht="20" customHeight="1">
      <c r="A543" s="29" t="n">
        <v>-18</v>
      </c>
      <c r="B543" s="29" t="n">
        <v>35</v>
      </c>
      <c r="C543" s="30" t="n">
        <v>100</v>
      </c>
      <c r="D543" s="30" t="n">
        <v>3</v>
      </c>
      <c r="E543" s="6" t="n">
        <v>0</v>
      </c>
      <c r="F543" s="30" t="n">
        <v>0</v>
      </c>
      <c r="G543" s="6" t="inlineStr">
        <is>
          <t>Oui</t>
        </is>
      </c>
      <c r="H543" s="6" t="inlineStr">
        <is>
          <t>OFF</t>
        </is>
      </c>
      <c r="I543" s="31" t="n">
        <v>744.7528686370244</v>
      </c>
      <c r="J543" s="31" t="n">
        <v>6550.668683077564</v>
      </c>
      <c r="K543" s="31" t="n">
        <v>4222.222222222223</v>
      </c>
      <c r="L543" s="31" t="n">
        <v>150</v>
      </c>
      <c r="M543" s="31">
        <f>I543+J543+K543+L543</f>
        <v/>
      </c>
      <c r="N543" s="31">
        <f>M543*Dashboard!$B$18/(Dashboard!$B$16/3.6)</f>
        <v/>
      </c>
      <c r="O543" s="31" t="n">
        <v>781.1694586899299</v>
      </c>
      <c r="P543" s="32" t="n">
        <v>0.7990058522547661</v>
      </c>
      <c r="Q543" s="33" t="n">
        <v>0.2</v>
      </c>
      <c r="R543" s="31" t="n">
        <v>396.0852494912517</v>
      </c>
      <c r="S543" s="31">
        <f>R543*IF(A543=4, 2.0, 3.0)</f>
        <v/>
      </c>
      <c r="T543" s="30">
        <f>8.0*U543</f>
        <v/>
      </c>
      <c r="U543" s="34">
        <f>MIN(1, S543/M543)</f>
        <v/>
      </c>
      <c r="V543" s="34">
        <f>N543/(N543+O543)</f>
        <v/>
      </c>
      <c r="W543" s="34">
        <f>U543*V543</f>
        <v/>
      </c>
      <c r="X543" s="32">
        <f>T543/N543</f>
        <v/>
      </c>
      <c r="Y543" s="35">
        <f>IF(X543=MAXIFS(X$2:X$721, A$2:A$721, A543, B$2:B$721, B543), "OPTIMAL", "")</f>
        <v/>
      </c>
    </row>
    <row r="544" ht="20" customHeight="1">
      <c r="A544" s="21" t="n">
        <v>-18</v>
      </c>
      <c r="B544" s="21" t="n">
        <v>35</v>
      </c>
      <c r="C544" s="22" t="n">
        <v>100</v>
      </c>
      <c r="D544" s="22" t="n">
        <v>3</v>
      </c>
      <c r="E544" s="23" t="n">
        <v>0</v>
      </c>
      <c r="F544" s="22" t="n">
        <v>0</v>
      </c>
      <c r="G544" s="23" t="inlineStr">
        <is>
          <t>Non</t>
        </is>
      </c>
      <c r="H544" s="23" t="inlineStr">
        <is>
          <t>ON</t>
        </is>
      </c>
      <c r="I544" s="24" t="n">
        <v>744.7528686370244</v>
      </c>
      <c r="J544" s="24" t="n">
        <v>6550.668683077564</v>
      </c>
      <c r="K544" s="24" t="n">
        <v>4222.222222222223</v>
      </c>
      <c r="L544" s="24" t="n">
        <v>150</v>
      </c>
      <c r="M544" s="24">
        <f>I544+J544+K544+L544</f>
        <v/>
      </c>
      <c r="N544" s="24">
        <f>M544*Dashboard!$B$18/(Dashboard!$B$16/3.6)</f>
        <v/>
      </c>
      <c r="O544" s="24" t="n">
        <v>781.1694586899299</v>
      </c>
      <c r="P544" s="25" t="n">
        <v>0.4775128672091374</v>
      </c>
      <c r="Q544" s="26" t="n">
        <v>0.2</v>
      </c>
      <c r="R544" s="24" t="n">
        <v>662.7558209791489</v>
      </c>
      <c r="S544" s="24">
        <f>R544*IF(A544=4, 2.0, 3.0)</f>
        <v/>
      </c>
      <c r="T544" s="22">
        <f>8.0*U544</f>
        <v/>
      </c>
      <c r="U544" s="27">
        <f>MIN(1, S544/M544)</f>
        <v/>
      </c>
      <c r="V544" s="27">
        <f>N544/(N544+O544)</f>
        <v/>
      </c>
      <c r="W544" s="27">
        <f>U544*V544</f>
        <v/>
      </c>
      <c r="X544" s="25">
        <f>T544/N544</f>
        <v/>
      </c>
      <c r="Y544" s="28">
        <f>IF(X544=MAXIFS(X$2:X$721, A$2:A$721, A544, B$2:B$721, B544), "OPTIMAL", "")</f>
        <v/>
      </c>
    </row>
    <row r="545" ht="20" customHeight="1">
      <c r="A545" s="29" t="n">
        <v>-18</v>
      </c>
      <c r="B545" s="29" t="n">
        <v>35</v>
      </c>
      <c r="C545" s="30" t="n">
        <v>100</v>
      </c>
      <c r="D545" s="30" t="n">
        <v>3</v>
      </c>
      <c r="E545" s="6" t="n">
        <v>0</v>
      </c>
      <c r="F545" s="30" t="n">
        <v>0</v>
      </c>
      <c r="G545" s="6" t="inlineStr">
        <is>
          <t>Non</t>
        </is>
      </c>
      <c r="H545" s="6" t="inlineStr">
        <is>
          <t>OFF</t>
        </is>
      </c>
      <c r="I545" s="31" t="n">
        <v>744.7528686370244</v>
      </c>
      <c r="J545" s="31" t="n">
        <v>6550.668683077564</v>
      </c>
      <c r="K545" s="31" t="n">
        <v>4222.222222222223</v>
      </c>
      <c r="L545" s="31" t="n">
        <v>150</v>
      </c>
      <c r="M545" s="31">
        <f>I545+J545+K545+L545</f>
        <v/>
      </c>
      <c r="N545" s="31">
        <f>M545*Dashboard!$B$18/(Dashboard!$B$16/3.6)</f>
        <v/>
      </c>
      <c r="O545" s="31" t="n">
        <v>781.1694586899299</v>
      </c>
      <c r="P545" s="32" t="n">
        <v>0.7958227533929282</v>
      </c>
      <c r="Q545" s="33" t="n">
        <v>0.2</v>
      </c>
      <c r="R545" s="31" t="n">
        <v>397.6694948542689</v>
      </c>
      <c r="S545" s="31">
        <f>R545*IF(A545=4, 2.0, 3.0)</f>
        <v/>
      </c>
      <c r="T545" s="30">
        <f>8.0*U545</f>
        <v/>
      </c>
      <c r="U545" s="34">
        <f>MIN(1, S545/M545)</f>
        <v/>
      </c>
      <c r="V545" s="34">
        <f>N545/(N545+O545)</f>
        <v/>
      </c>
      <c r="W545" s="34">
        <f>U545*V545</f>
        <v/>
      </c>
      <c r="X545" s="32">
        <f>T545/N545</f>
        <v/>
      </c>
      <c r="Y545" s="35">
        <f>IF(X545=MAXIFS(X$2:X$721, A$2:A$721, A545, B$2:B$721, B545), "OPTIMAL", "")</f>
        <v/>
      </c>
    </row>
    <row r="546" ht="20" customHeight="1">
      <c r="A546" s="36" t="n">
        <v>-18</v>
      </c>
      <c r="B546" s="36" t="n">
        <v>35</v>
      </c>
      <c r="C546" s="37" t="n">
        <v>100</v>
      </c>
      <c r="D546" s="37" t="n">
        <v>3</v>
      </c>
      <c r="E546" s="38" t="n">
        <v>4</v>
      </c>
      <c r="F546" s="37" t="n">
        <v>1.5</v>
      </c>
      <c r="G546" s="38" t="inlineStr">
        <is>
          <t>Oui</t>
        </is>
      </c>
      <c r="H546" s="38" t="inlineStr">
        <is>
          <t>ON</t>
        </is>
      </c>
      <c r="I546" s="39" t="n">
        <v>744.7528686370244</v>
      </c>
      <c r="J546" s="39" t="n">
        <v>6550.668683077564</v>
      </c>
      <c r="K546" s="39" t="n">
        <v>4222.222222222223</v>
      </c>
      <c r="L546" s="39" t="n">
        <v>150</v>
      </c>
      <c r="M546" s="39">
        <f>I546+J546+K546+L546</f>
        <v/>
      </c>
      <c r="N546" s="39">
        <f>M546*Dashboard!$B$18/(Dashboard!$B$16/3.6)</f>
        <v/>
      </c>
      <c r="O546" s="39" t="n">
        <v>1086.152564219479</v>
      </c>
      <c r="P546" s="40" t="n">
        <v>0.0735384347268611</v>
      </c>
      <c r="Q546" s="41" t="n">
        <v>6.857688308810928</v>
      </c>
      <c r="R546" s="39" t="n">
        <v>4448.12491313616</v>
      </c>
      <c r="S546" s="39">
        <f>R546*IF(A546=4, 2.0, 3.0)</f>
        <v/>
      </c>
      <c r="T546" s="37">
        <f>8.0*U546</f>
        <v/>
      </c>
      <c r="U546" s="42">
        <f>MIN(1, S546/M546)</f>
        <v/>
      </c>
      <c r="V546" s="42">
        <f>N546/(N546+O546)</f>
        <v/>
      </c>
      <c r="W546" s="42">
        <f>U546*V546</f>
        <v/>
      </c>
      <c r="X546" s="40">
        <f>T546/N546</f>
        <v/>
      </c>
      <c r="Y546" s="15">
        <f>IF(X546=MAXIFS(X$2:X$721, A$2:A$721, A546, B$2:B$721, B546), "OPTIMAL", "")</f>
        <v/>
      </c>
    </row>
    <row r="547" ht="20" customHeight="1">
      <c r="A547" s="29" t="n">
        <v>-18</v>
      </c>
      <c r="B547" s="29" t="n">
        <v>35</v>
      </c>
      <c r="C547" s="30" t="n">
        <v>100</v>
      </c>
      <c r="D547" s="30" t="n">
        <v>3</v>
      </c>
      <c r="E547" s="6" t="n">
        <v>4</v>
      </c>
      <c r="F547" s="30" t="n">
        <v>1.5</v>
      </c>
      <c r="G547" s="6" t="inlineStr">
        <is>
          <t>Oui</t>
        </is>
      </c>
      <c r="H547" s="6" t="inlineStr">
        <is>
          <t>OFF</t>
        </is>
      </c>
      <c r="I547" s="31" t="n">
        <v>744.7528686370244</v>
      </c>
      <c r="J547" s="31" t="n">
        <v>6550.668683077564</v>
      </c>
      <c r="K547" s="31" t="n">
        <v>4222.222222222223</v>
      </c>
      <c r="L547" s="31" t="n">
        <v>150</v>
      </c>
      <c r="M547" s="31">
        <f>I547+J547+K547+L547</f>
        <v/>
      </c>
      <c r="N547" s="31">
        <f>M547*Dashboard!$B$18/(Dashboard!$B$16/3.6)</f>
        <v/>
      </c>
      <c r="O547" s="31" t="n">
        <v>1086.152564219479</v>
      </c>
      <c r="P547" s="32" t="n">
        <v>0.307100869502758</v>
      </c>
      <c r="Q547" s="33" t="n">
        <v>6.857688308810928</v>
      </c>
      <c r="R547" s="31" t="n">
        <v>1065.148868224388</v>
      </c>
      <c r="S547" s="31">
        <f>R547*IF(A547=4, 2.0, 3.0)</f>
        <v/>
      </c>
      <c r="T547" s="30">
        <f>8.0*U547</f>
        <v/>
      </c>
      <c r="U547" s="34">
        <f>MIN(1, S547/M547)</f>
        <v/>
      </c>
      <c r="V547" s="34">
        <f>N547/(N547+O547)</f>
        <v/>
      </c>
      <c r="W547" s="34">
        <f>U547*V547</f>
        <v/>
      </c>
      <c r="X547" s="32">
        <f>T547/N547</f>
        <v/>
      </c>
      <c r="Y547" s="35">
        <f>IF(X547=MAXIFS(X$2:X$721, A$2:A$721, A547, B$2:B$721, B547), "OPTIMAL", "")</f>
        <v/>
      </c>
    </row>
    <row r="548" ht="20" customHeight="1">
      <c r="A548" s="36" t="n">
        <v>-18</v>
      </c>
      <c r="B548" s="36" t="n">
        <v>35</v>
      </c>
      <c r="C548" s="37" t="n">
        <v>100</v>
      </c>
      <c r="D548" s="37" t="n">
        <v>3</v>
      </c>
      <c r="E548" s="38" t="n">
        <v>4</v>
      </c>
      <c r="F548" s="37" t="n">
        <v>1.5</v>
      </c>
      <c r="G548" s="38" t="inlineStr">
        <is>
          <t>Non</t>
        </is>
      </c>
      <c r="H548" s="38" t="inlineStr">
        <is>
          <t>ON</t>
        </is>
      </c>
      <c r="I548" s="39" t="n">
        <v>744.7528686370244</v>
      </c>
      <c r="J548" s="39" t="n">
        <v>6550.668683077564</v>
      </c>
      <c r="K548" s="39" t="n">
        <v>4222.222222222223</v>
      </c>
      <c r="L548" s="39" t="n">
        <v>150</v>
      </c>
      <c r="M548" s="39">
        <f>I548+J548+K548+L548</f>
        <v/>
      </c>
      <c r="N548" s="39">
        <f>M548*Dashboard!$B$18/(Dashboard!$B$16/3.6)</f>
        <v/>
      </c>
      <c r="O548" s="39" t="n">
        <v>1086.152564219479</v>
      </c>
      <c r="P548" s="40" t="n">
        <v>0.07035533586502318</v>
      </c>
      <c r="Q548" s="41" t="n">
        <v>6.857688308810928</v>
      </c>
      <c r="R548" s="39" t="n">
        <v>4649.372212637087</v>
      </c>
      <c r="S548" s="39">
        <f>R548*IF(A548=4, 2.0, 3.0)</f>
        <v/>
      </c>
      <c r="T548" s="37">
        <f>8.0*U548</f>
        <v/>
      </c>
      <c r="U548" s="42">
        <f>MIN(1, S548/M548)</f>
        <v/>
      </c>
      <c r="V548" s="42">
        <f>N548/(N548+O548)</f>
        <v/>
      </c>
      <c r="W548" s="42">
        <f>U548*V548</f>
        <v/>
      </c>
      <c r="X548" s="40">
        <f>T548/N548</f>
        <v/>
      </c>
      <c r="Y548" s="15">
        <f>IF(X548=MAXIFS(X$2:X$721, A$2:A$721, A548, B$2:B$721, B548), "OPTIMAL", "")</f>
        <v/>
      </c>
    </row>
    <row r="549" ht="20" customHeight="1">
      <c r="A549" s="29" t="n">
        <v>-18</v>
      </c>
      <c r="B549" s="29" t="n">
        <v>35</v>
      </c>
      <c r="C549" s="30" t="n">
        <v>100</v>
      </c>
      <c r="D549" s="30" t="n">
        <v>3</v>
      </c>
      <c r="E549" s="6" t="n">
        <v>4</v>
      </c>
      <c r="F549" s="30" t="n">
        <v>1.5</v>
      </c>
      <c r="G549" s="6" t="inlineStr">
        <is>
          <t>Non</t>
        </is>
      </c>
      <c r="H549" s="6" t="inlineStr">
        <is>
          <t>OFF</t>
        </is>
      </c>
      <c r="I549" s="31" t="n">
        <v>744.7528686370244</v>
      </c>
      <c r="J549" s="31" t="n">
        <v>6550.668683077564</v>
      </c>
      <c r="K549" s="31" t="n">
        <v>4222.222222222223</v>
      </c>
      <c r="L549" s="31" t="n">
        <v>150</v>
      </c>
      <c r="M549" s="31">
        <f>I549+J549+K549+L549</f>
        <v/>
      </c>
      <c r="N549" s="31">
        <f>M549*Dashboard!$B$18/(Dashboard!$B$16/3.6)</f>
        <v/>
      </c>
      <c r="O549" s="31" t="n">
        <v>1086.152564219479</v>
      </c>
      <c r="P549" s="32" t="n">
        <v>0.3039177706409201</v>
      </c>
      <c r="Q549" s="33" t="n">
        <v>6.857688308810928</v>
      </c>
      <c r="R549" s="31" t="n">
        <v>1076.304761290407</v>
      </c>
      <c r="S549" s="31">
        <f>R549*IF(A549=4, 2.0, 3.0)</f>
        <v/>
      </c>
      <c r="T549" s="30">
        <f>8.0*U549</f>
        <v/>
      </c>
      <c r="U549" s="34">
        <f>MIN(1, S549/M549)</f>
        <v/>
      </c>
      <c r="V549" s="34">
        <f>N549/(N549+O549)</f>
        <v/>
      </c>
      <c r="W549" s="34">
        <f>U549*V549</f>
        <v/>
      </c>
      <c r="X549" s="32">
        <f>T549/N549</f>
        <v/>
      </c>
      <c r="Y549" s="35">
        <f>IF(X549=MAXIFS(X$2:X$721, A$2:A$721, A549, B$2:B$721, B549), "OPTIMAL", "")</f>
        <v/>
      </c>
    </row>
    <row r="550" ht="20" customHeight="1">
      <c r="A550" s="36" t="n">
        <v>-18</v>
      </c>
      <c r="B550" s="36" t="n">
        <v>35</v>
      </c>
      <c r="C550" s="37" t="n">
        <v>100</v>
      </c>
      <c r="D550" s="37" t="n">
        <v>3</v>
      </c>
      <c r="E550" s="38" t="n">
        <v>4</v>
      </c>
      <c r="F550" s="37" t="n">
        <v>2</v>
      </c>
      <c r="G550" s="38" t="inlineStr">
        <is>
          <t>Oui</t>
        </is>
      </c>
      <c r="H550" s="38" t="inlineStr">
        <is>
          <t>ON</t>
        </is>
      </c>
      <c r="I550" s="39" t="n">
        <v>744.7528686370244</v>
      </c>
      <c r="J550" s="39" t="n">
        <v>6550.668683077564</v>
      </c>
      <c r="K550" s="39" t="n">
        <v>4222.222222222223</v>
      </c>
      <c r="L550" s="39" t="n">
        <v>150</v>
      </c>
      <c r="M550" s="39">
        <f>I550+J550+K550+L550</f>
        <v/>
      </c>
      <c r="N550" s="39">
        <f>M550*Dashboard!$B$18/(Dashboard!$B$16/3.6)</f>
        <v/>
      </c>
      <c r="O550" s="39" t="n">
        <v>1192.419675600776</v>
      </c>
      <c r="P550" s="40" t="n">
        <v>0.07090019831070833</v>
      </c>
      <c r="Q550" s="41" t="n">
        <v>9.076917745081236</v>
      </c>
      <c r="R550" s="39" t="n">
        <v>4665.901082138951</v>
      </c>
      <c r="S550" s="39">
        <f>R550*IF(A550=4, 2.0, 3.0)</f>
        <v/>
      </c>
      <c r="T550" s="37">
        <f>8.0*U550</f>
        <v/>
      </c>
      <c r="U550" s="42">
        <f>MIN(1, S550/M550)</f>
        <v/>
      </c>
      <c r="V550" s="42">
        <f>N550/(N550+O550)</f>
        <v/>
      </c>
      <c r="W550" s="42">
        <f>U550*V550</f>
        <v/>
      </c>
      <c r="X550" s="40">
        <f>T550/N550</f>
        <v/>
      </c>
      <c r="Y550" s="15">
        <f>IF(X550=MAXIFS(X$2:X$721, A$2:A$721, A550, B$2:B$721, B550), "OPTIMAL", "")</f>
        <v/>
      </c>
    </row>
    <row r="551" ht="20" customHeight="1">
      <c r="A551" s="29" t="n">
        <v>-18</v>
      </c>
      <c r="B551" s="29" t="n">
        <v>35</v>
      </c>
      <c r="C551" s="30" t="n">
        <v>100</v>
      </c>
      <c r="D551" s="30" t="n">
        <v>3</v>
      </c>
      <c r="E551" s="6" t="n">
        <v>4</v>
      </c>
      <c r="F551" s="30" t="n">
        <v>2</v>
      </c>
      <c r="G551" s="6" t="inlineStr">
        <is>
          <t>Oui</t>
        </is>
      </c>
      <c r="H551" s="6" t="inlineStr">
        <is>
          <t>OFF</t>
        </is>
      </c>
      <c r="I551" s="31" t="n">
        <v>744.7528686370244</v>
      </c>
      <c r="J551" s="31" t="n">
        <v>6550.668683077564</v>
      </c>
      <c r="K551" s="31" t="n">
        <v>4222.222222222223</v>
      </c>
      <c r="L551" s="31" t="n">
        <v>150</v>
      </c>
      <c r="M551" s="31">
        <f>I551+J551+K551+L551</f>
        <v/>
      </c>
      <c r="N551" s="31">
        <f>M551*Dashboard!$B$18/(Dashboard!$B$16/3.6)</f>
        <v/>
      </c>
      <c r="O551" s="31" t="n">
        <v>1192.419675600776</v>
      </c>
      <c r="P551" s="32" t="n">
        <v>0.305556811068225</v>
      </c>
      <c r="Q551" s="33" t="n">
        <v>9.076917745081236</v>
      </c>
      <c r="R551" s="31" t="n">
        <v>1082.65729984967</v>
      </c>
      <c r="S551" s="31">
        <f>R551*IF(A551=4, 2.0, 3.0)</f>
        <v/>
      </c>
      <c r="T551" s="30">
        <f>8.0*U551</f>
        <v/>
      </c>
      <c r="U551" s="34">
        <f>MIN(1, S551/M551)</f>
        <v/>
      </c>
      <c r="V551" s="34">
        <f>N551/(N551+O551)</f>
        <v/>
      </c>
      <c r="W551" s="34">
        <f>U551*V551</f>
        <v/>
      </c>
      <c r="X551" s="32">
        <f>T551/N551</f>
        <v/>
      </c>
      <c r="Y551" s="35">
        <f>IF(X551=MAXIFS(X$2:X$721, A$2:A$721, A551, B$2:B$721, B551), "OPTIMAL", "")</f>
        <v/>
      </c>
    </row>
    <row r="552" ht="20" customHeight="1">
      <c r="A552" s="36" t="n">
        <v>-18</v>
      </c>
      <c r="B552" s="36" t="n">
        <v>35</v>
      </c>
      <c r="C552" s="37" t="n">
        <v>100</v>
      </c>
      <c r="D552" s="37" t="n">
        <v>3</v>
      </c>
      <c r="E552" s="38" t="n">
        <v>4</v>
      </c>
      <c r="F552" s="37" t="n">
        <v>2</v>
      </c>
      <c r="G552" s="38" t="inlineStr">
        <is>
          <t>Non</t>
        </is>
      </c>
      <c r="H552" s="38" t="inlineStr">
        <is>
          <t>ON</t>
        </is>
      </c>
      <c r="I552" s="39" t="n">
        <v>744.7528686370244</v>
      </c>
      <c r="J552" s="39" t="n">
        <v>6550.668683077564</v>
      </c>
      <c r="K552" s="39" t="n">
        <v>4222.222222222223</v>
      </c>
      <c r="L552" s="39" t="n">
        <v>150</v>
      </c>
      <c r="M552" s="39">
        <f>I552+J552+K552+L552</f>
        <v/>
      </c>
      <c r="N552" s="39">
        <f>M552*Dashboard!$B$18/(Dashboard!$B$16/3.6)</f>
        <v/>
      </c>
      <c r="O552" s="39" t="n">
        <v>1192.419675600776</v>
      </c>
      <c r="P552" s="40" t="n">
        <v>0.06771709944887042</v>
      </c>
      <c r="Q552" s="41" t="n">
        <v>9.076917745081236</v>
      </c>
      <c r="R552" s="39" t="n">
        <v>4885.225662560751</v>
      </c>
      <c r="S552" s="39">
        <f>R552*IF(A552=4, 2.0, 3.0)</f>
        <v/>
      </c>
      <c r="T552" s="37">
        <f>8.0*U552</f>
        <v/>
      </c>
      <c r="U552" s="42">
        <f>MIN(1, S552/M552)</f>
        <v/>
      </c>
      <c r="V552" s="42">
        <f>N552/(N552+O552)</f>
        <v/>
      </c>
      <c r="W552" s="42">
        <f>U552*V552</f>
        <v/>
      </c>
      <c r="X552" s="40">
        <f>T552/N552</f>
        <v/>
      </c>
      <c r="Y552" s="15">
        <f>IF(X552=MAXIFS(X$2:X$721, A$2:A$721, A552, B$2:B$721, B552), "OPTIMAL", "")</f>
        <v/>
      </c>
    </row>
    <row r="553" ht="20" customHeight="1">
      <c r="A553" s="29" t="n">
        <v>-18</v>
      </c>
      <c r="B553" s="29" t="n">
        <v>35</v>
      </c>
      <c r="C553" s="30" t="n">
        <v>100</v>
      </c>
      <c r="D553" s="30" t="n">
        <v>3</v>
      </c>
      <c r="E553" s="6" t="n">
        <v>4</v>
      </c>
      <c r="F553" s="30" t="n">
        <v>2</v>
      </c>
      <c r="G553" s="6" t="inlineStr">
        <is>
          <t>Non</t>
        </is>
      </c>
      <c r="H553" s="6" t="inlineStr">
        <is>
          <t>OFF</t>
        </is>
      </c>
      <c r="I553" s="31" t="n">
        <v>744.7528686370244</v>
      </c>
      <c r="J553" s="31" t="n">
        <v>6550.668683077564</v>
      </c>
      <c r="K553" s="31" t="n">
        <v>4222.222222222223</v>
      </c>
      <c r="L553" s="31" t="n">
        <v>150</v>
      </c>
      <c r="M553" s="31">
        <f>I553+J553+K553+L553</f>
        <v/>
      </c>
      <c r="N553" s="31">
        <f>M553*Dashboard!$B$18/(Dashboard!$B$16/3.6)</f>
        <v/>
      </c>
      <c r="O553" s="31" t="n">
        <v>1192.419675600776</v>
      </c>
      <c r="P553" s="32" t="n">
        <v>0.302373712206387</v>
      </c>
      <c r="Q553" s="33" t="n">
        <v>9.076917745081236</v>
      </c>
      <c r="R553" s="31" t="n">
        <v>1094.054471891398</v>
      </c>
      <c r="S553" s="31">
        <f>R553*IF(A553=4, 2.0, 3.0)</f>
        <v/>
      </c>
      <c r="T553" s="30">
        <f>8.0*U553</f>
        <v/>
      </c>
      <c r="U553" s="34">
        <f>MIN(1, S553/M553)</f>
        <v/>
      </c>
      <c r="V553" s="34">
        <f>N553/(N553+O553)</f>
        <v/>
      </c>
      <c r="W553" s="34">
        <f>U553*V553</f>
        <v/>
      </c>
      <c r="X553" s="32">
        <f>T553/N553</f>
        <v/>
      </c>
      <c r="Y553" s="35">
        <f>IF(X553=MAXIFS(X$2:X$721, A$2:A$721, A553, B$2:B$721, B553), "OPTIMAL", "")</f>
        <v/>
      </c>
    </row>
    <row r="554" ht="20" customHeight="1">
      <c r="A554" s="36" t="n">
        <v>-18</v>
      </c>
      <c r="B554" s="36" t="n">
        <v>35</v>
      </c>
      <c r="C554" s="37" t="n">
        <v>100</v>
      </c>
      <c r="D554" s="37" t="n">
        <v>3</v>
      </c>
      <c r="E554" s="38" t="n">
        <v>8</v>
      </c>
      <c r="F554" s="37" t="n">
        <v>1.5</v>
      </c>
      <c r="G554" s="38" t="inlineStr">
        <is>
          <t>Oui</t>
        </is>
      </c>
      <c r="H554" s="38" t="inlineStr">
        <is>
          <t>ON</t>
        </is>
      </c>
      <c r="I554" s="39" t="n">
        <v>744.7528686370244</v>
      </c>
      <c r="J554" s="39" t="n">
        <v>6550.668683077564</v>
      </c>
      <c r="K554" s="39" t="n">
        <v>4222.222222222223</v>
      </c>
      <c r="L554" s="39" t="n">
        <v>150</v>
      </c>
      <c r="M554" s="39">
        <f>I554+J554+K554+L554</f>
        <v/>
      </c>
      <c r="N554" s="39">
        <f>M554*Dashboard!$B$18/(Dashboard!$B$16/3.6)</f>
        <v/>
      </c>
      <c r="O554" s="39" t="n">
        <v>1412.343455734163</v>
      </c>
      <c r="P554" s="40" t="n">
        <v>0.05562346576923688</v>
      </c>
      <c r="Q554" s="41" t="n">
        <v>13.51537661762185</v>
      </c>
      <c r="R554" s="39" t="n">
        <v>6085.224871455466</v>
      </c>
      <c r="S554" s="39">
        <f>R554*IF(A554=4, 2.0, 3.0)</f>
        <v/>
      </c>
      <c r="T554" s="37">
        <f>8.0*U554</f>
        <v/>
      </c>
      <c r="U554" s="42">
        <f>MIN(1, S554/M554)</f>
        <v/>
      </c>
      <c r="V554" s="42">
        <f>N554/(N554+O554)</f>
        <v/>
      </c>
      <c r="W554" s="42">
        <f>U554*V554</f>
        <v/>
      </c>
      <c r="X554" s="40">
        <f>T554/N554</f>
        <v/>
      </c>
      <c r="Y554" s="15">
        <f>IF(X554=MAXIFS(X$2:X$721, A$2:A$721, A554, B$2:B$721, B554), "OPTIMAL", "")</f>
        <v/>
      </c>
    </row>
    <row r="555" ht="20" customHeight="1">
      <c r="A555" s="29" t="n">
        <v>-18</v>
      </c>
      <c r="B555" s="29" t="n">
        <v>35</v>
      </c>
      <c r="C555" s="30" t="n">
        <v>100</v>
      </c>
      <c r="D555" s="30" t="n">
        <v>3</v>
      </c>
      <c r="E555" s="6" t="n">
        <v>8</v>
      </c>
      <c r="F555" s="30" t="n">
        <v>1.5</v>
      </c>
      <c r="G555" s="6" t="inlineStr">
        <is>
          <t>Oui</t>
        </is>
      </c>
      <c r="H555" s="6" t="inlineStr">
        <is>
          <t>OFF</t>
        </is>
      </c>
      <c r="I555" s="31" t="n">
        <v>744.7528686370244</v>
      </c>
      <c r="J555" s="31" t="n">
        <v>6550.668683077564</v>
      </c>
      <c r="K555" s="31" t="n">
        <v>4222.222222222223</v>
      </c>
      <c r="L555" s="31" t="n">
        <v>150</v>
      </c>
      <c r="M555" s="31">
        <f>I555+J555+K555+L555</f>
        <v/>
      </c>
      <c r="N555" s="31">
        <f>M555*Dashboard!$B$18/(Dashboard!$B$16/3.6)</f>
        <v/>
      </c>
      <c r="O555" s="31" t="n">
        <v>1412.343455734163</v>
      </c>
      <c r="P555" s="32" t="n">
        <v>0.2400757351497012</v>
      </c>
      <c r="Q555" s="33" t="n">
        <v>13.51537661762185</v>
      </c>
      <c r="R555" s="31" t="n">
        <v>1409.893828397315</v>
      </c>
      <c r="S555" s="31">
        <f>R555*IF(A555=4, 2.0, 3.0)</f>
        <v/>
      </c>
      <c r="T555" s="30">
        <f>8.0*U555</f>
        <v/>
      </c>
      <c r="U555" s="34">
        <f>MIN(1, S555/M555)</f>
        <v/>
      </c>
      <c r="V555" s="34">
        <f>N555/(N555+O555)</f>
        <v/>
      </c>
      <c r="W555" s="34">
        <f>U555*V555</f>
        <v/>
      </c>
      <c r="X555" s="32">
        <f>T555/N555</f>
        <v/>
      </c>
      <c r="Y555" s="35">
        <f>IF(X555=MAXIFS(X$2:X$721, A$2:A$721, A555, B$2:B$721, B555), "OPTIMAL", "")</f>
        <v/>
      </c>
    </row>
    <row r="556" ht="20" customHeight="1">
      <c r="A556" s="36" t="n">
        <v>-18</v>
      </c>
      <c r="B556" s="36" t="n">
        <v>35</v>
      </c>
      <c r="C556" s="37" t="n">
        <v>100</v>
      </c>
      <c r="D556" s="37" t="n">
        <v>3</v>
      </c>
      <c r="E556" s="38" t="n">
        <v>8</v>
      </c>
      <c r="F556" s="37" t="n">
        <v>1.5</v>
      </c>
      <c r="G556" s="38" t="inlineStr">
        <is>
          <t>Non</t>
        </is>
      </c>
      <c r="H556" s="38" t="inlineStr">
        <is>
          <t>ON</t>
        </is>
      </c>
      <c r="I556" s="39" t="n">
        <v>744.7528686370244</v>
      </c>
      <c r="J556" s="39" t="n">
        <v>6550.668683077564</v>
      </c>
      <c r="K556" s="39" t="n">
        <v>4222.222222222223</v>
      </c>
      <c r="L556" s="39" t="n">
        <v>150</v>
      </c>
      <c r="M556" s="39">
        <f>I556+J556+K556+L556</f>
        <v/>
      </c>
      <c r="N556" s="39">
        <f>M556*Dashboard!$B$18/(Dashboard!$B$16/3.6)</f>
        <v/>
      </c>
      <c r="O556" s="39" t="n">
        <v>1412.343455734163</v>
      </c>
      <c r="P556" s="40" t="n">
        <v>0.05244036690739898</v>
      </c>
      <c r="Q556" s="41" t="n">
        <v>13.51537661762185</v>
      </c>
      <c r="R556" s="39" t="n">
        <v>6454.594376374484</v>
      </c>
      <c r="S556" s="39">
        <f>R556*IF(A556=4, 2.0, 3.0)</f>
        <v/>
      </c>
      <c r="T556" s="37">
        <f>8.0*U556</f>
        <v/>
      </c>
      <c r="U556" s="42">
        <f>MIN(1, S556/M556)</f>
        <v/>
      </c>
      <c r="V556" s="42">
        <f>N556/(N556+O556)</f>
        <v/>
      </c>
      <c r="W556" s="42">
        <f>U556*V556</f>
        <v/>
      </c>
      <c r="X556" s="40">
        <f>T556/N556</f>
        <v/>
      </c>
      <c r="Y556" s="15">
        <f>IF(X556=MAXIFS(X$2:X$721, A$2:A$721, A556, B$2:B$721, B556), "OPTIMAL", "")</f>
        <v/>
      </c>
    </row>
    <row r="557" ht="20" customHeight="1">
      <c r="A557" s="29" t="n">
        <v>-18</v>
      </c>
      <c r="B557" s="29" t="n">
        <v>35</v>
      </c>
      <c r="C557" s="30" t="n">
        <v>100</v>
      </c>
      <c r="D557" s="30" t="n">
        <v>3</v>
      </c>
      <c r="E557" s="6" t="n">
        <v>8</v>
      </c>
      <c r="F557" s="30" t="n">
        <v>1.5</v>
      </c>
      <c r="G557" s="6" t="inlineStr">
        <is>
          <t>Non</t>
        </is>
      </c>
      <c r="H557" s="6" t="inlineStr">
        <is>
          <t>OFF</t>
        </is>
      </c>
      <c r="I557" s="31" t="n">
        <v>744.7528686370244</v>
      </c>
      <c r="J557" s="31" t="n">
        <v>6550.668683077564</v>
      </c>
      <c r="K557" s="31" t="n">
        <v>4222.222222222223</v>
      </c>
      <c r="L557" s="31" t="n">
        <v>150</v>
      </c>
      <c r="M557" s="31">
        <f>I557+J557+K557+L557</f>
        <v/>
      </c>
      <c r="N557" s="31">
        <f>M557*Dashboard!$B$18/(Dashboard!$B$16/3.6)</f>
        <v/>
      </c>
      <c r="O557" s="31" t="n">
        <v>1412.343455734163</v>
      </c>
      <c r="P557" s="32" t="n">
        <v>0.2368926362878633</v>
      </c>
      <c r="Q557" s="33" t="n">
        <v>13.51537661762185</v>
      </c>
      <c r="R557" s="31" t="n">
        <v>1428.838408147908</v>
      </c>
      <c r="S557" s="31">
        <f>R557*IF(A557=4, 2.0, 3.0)</f>
        <v/>
      </c>
      <c r="T557" s="30">
        <f>8.0*U557</f>
        <v/>
      </c>
      <c r="U557" s="34">
        <f>MIN(1, S557/M557)</f>
        <v/>
      </c>
      <c r="V557" s="34">
        <f>N557/(N557+O557)</f>
        <v/>
      </c>
      <c r="W557" s="34">
        <f>U557*V557</f>
        <v/>
      </c>
      <c r="X557" s="32">
        <f>T557/N557</f>
        <v/>
      </c>
      <c r="Y557" s="35">
        <f>IF(X557=MAXIFS(X$2:X$721, A$2:A$721, A557, B$2:B$721, B557), "OPTIMAL", "")</f>
        <v/>
      </c>
    </row>
    <row r="558" ht="20" customHeight="1">
      <c r="A558" s="36" t="n">
        <v>-18</v>
      </c>
      <c r="B558" s="36" t="n">
        <v>35</v>
      </c>
      <c r="C558" s="37" t="n">
        <v>100</v>
      </c>
      <c r="D558" s="37" t="n">
        <v>3</v>
      </c>
      <c r="E558" s="38" t="n">
        <v>8</v>
      </c>
      <c r="F558" s="37" t="n">
        <v>2</v>
      </c>
      <c r="G558" s="38" t="inlineStr">
        <is>
          <t>Oui</t>
        </is>
      </c>
      <c r="H558" s="38" t="inlineStr">
        <is>
          <t>ON</t>
        </is>
      </c>
      <c r="I558" s="39" t="n">
        <v>744.7528686370244</v>
      </c>
      <c r="J558" s="39" t="n">
        <v>6550.668683077564</v>
      </c>
      <c r="K558" s="39" t="n">
        <v>4222.222222222223</v>
      </c>
      <c r="L558" s="39" t="n">
        <v>150</v>
      </c>
      <c r="M558" s="39">
        <f>I558+J558+K558+L558</f>
        <v/>
      </c>
      <c r="N558" s="39">
        <f>M558*Dashboard!$B$18/(Dashboard!$B$16/3.6)</f>
        <v/>
      </c>
      <c r="O558" s="39" t="n">
        <v>1642.704473709595</v>
      </c>
      <c r="P558" s="40" t="n">
        <v>0.05441799410512958</v>
      </c>
      <c r="Q558" s="41" t="n">
        <v>17.95383549016247</v>
      </c>
      <c r="R558" s="39" t="n">
        <v>6367.621572785005</v>
      </c>
      <c r="S558" s="39">
        <f>R558*IF(A558=4, 2.0, 3.0)</f>
        <v/>
      </c>
      <c r="T558" s="37">
        <f>8.0*U558</f>
        <v/>
      </c>
      <c r="U558" s="42">
        <f>MIN(1, S558/M558)</f>
        <v/>
      </c>
      <c r="V558" s="42">
        <f>N558/(N558+O558)</f>
        <v/>
      </c>
      <c r="W558" s="42">
        <f>U558*V558</f>
        <v/>
      </c>
      <c r="X558" s="40">
        <f>T558/N558</f>
        <v/>
      </c>
      <c r="Y558" s="15">
        <f>IF(X558=MAXIFS(X$2:X$721, A$2:A$721, A558, B$2:B$721, B558), "OPTIMAL", "")</f>
        <v/>
      </c>
    </row>
    <row r="559" ht="20" customHeight="1">
      <c r="A559" s="29" t="n">
        <v>-18</v>
      </c>
      <c r="B559" s="29" t="n">
        <v>35</v>
      </c>
      <c r="C559" s="30" t="n">
        <v>100</v>
      </c>
      <c r="D559" s="30" t="n">
        <v>3</v>
      </c>
      <c r="E559" s="6" t="n">
        <v>8</v>
      </c>
      <c r="F559" s="30" t="n">
        <v>2</v>
      </c>
      <c r="G559" s="6" t="inlineStr">
        <is>
          <t>Oui</t>
        </is>
      </c>
      <c r="H559" s="6" t="inlineStr">
        <is>
          <t>OFF</t>
        </is>
      </c>
      <c r="I559" s="31" t="n">
        <v>744.7528686370244</v>
      </c>
      <c r="J559" s="31" t="n">
        <v>6550.668683077564</v>
      </c>
      <c r="K559" s="31" t="n">
        <v>4222.222222222223</v>
      </c>
      <c r="L559" s="31" t="n">
        <v>150</v>
      </c>
      <c r="M559" s="31">
        <f>I559+J559+K559+L559</f>
        <v/>
      </c>
      <c r="N559" s="31">
        <f>M559*Dashboard!$B$18/(Dashboard!$B$16/3.6)</f>
        <v/>
      </c>
      <c r="O559" s="31" t="n">
        <v>1642.704473709595</v>
      </c>
      <c r="P559" s="32" t="n">
        <v>0.2402392320400437</v>
      </c>
      <c r="Q559" s="33" t="n">
        <v>17.95383549016247</v>
      </c>
      <c r="R559" s="31" t="n">
        <v>1442.367219829244</v>
      </c>
      <c r="S559" s="31">
        <f>R559*IF(A559=4, 2.0, 3.0)</f>
        <v/>
      </c>
      <c r="T559" s="30">
        <f>8.0*U559</f>
        <v/>
      </c>
      <c r="U559" s="34">
        <f>MIN(1, S559/M559)</f>
        <v/>
      </c>
      <c r="V559" s="34">
        <f>N559/(N559+O559)</f>
        <v/>
      </c>
      <c r="W559" s="34">
        <f>U559*V559</f>
        <v/>
      </c>
      <c r="X559" s="32">
        <f>T559/N559</f>
        <v/>
      </c>
      <c r="Y559" s="35">
        <f>IF(X559=MAXIFS(X$2:X$721, A$2:A$721, A559, B$2:B$721, B559), "OPTIMAL", "")</f>
        <v/>
      </c>
    </row>
    <row r="560" ht="20" customHeight="1">
      <c r="A560" s="36" t="n">
        <v>-18</v>
      </c>
      <c r="B560" s="36" t="n">
        <v>35</v>
      </c>
      <c r="C560" s="37" t="n">
        <v>100</v>
      </c>
      <c r="D560" s="37" t="n">
        <v>3</v>
      </c>
      <c r="E560" s="38" t="n">
        <v>8</v>
      </c>
      <c r="F560" s="37" t="n">
        <v>2</v>
      </c>
      <c r="G560" s="38" t="inlineStr">
        <is>
          <t>Non</t>
        </is>
      </c>
      <c r="H560" s="38" t="inlineStr">
        <is>
          <t>ON</t>
        </is>
      </c>
      <c r="I560" s="39" t="n">
        <v>744.7528686370244</v>
      </c>
      <c r="J560" s="39" t="n">
        <v>6550.668683077564</v>
      </c>
      <c r="K560" s="39" t="n">
        <v>4222.222222222223</v>
      </c>
      <c r="L560" s="39" t="n">
        <v>150</v>
      </c>
      <c r="M560" s="39">
        <f>I560+J560+K560+L560</f>
        <v/>
      </c>
      <c r="N560" s="39">
        <f>M560*Dashboard!$B$18/(Dashboard!$B$16/3.6)</f>
        <v/>
      </c>
      <c r="O560" s="39" t="n">
        <v>1642.704473709595</v>
      </c>
      <c r="P560" s="40" t="n">
        <v>0.05123489524329167</v>
      </c>
      <c r="Q560" s="41" t="n">
        <v>17.95383549016247</v>
      </c>
      <c r="R560" s="39" t="n">
        <v>6763.226343414458</v>
      </c>
      <c r="S560" s="39">
        <f>R560*IF(A560=4, 2.0, 3.0)</f>
        <v/>
      </c>
      <c r="T560" s="37">
        <f>8.0*U560</f>
        <v/>
      </c>
      <c r="U560" s="42">
        <f>MIN(1, S560/M560)</f>
        <v/>
      </c>
      <c r="V560" s="42">
        <f>N560/(N560+O560)</f>
        <v/>
      </c>
      <c r="W560" s="42">
        <f>U560*V560</f>
        <v/>
      </c>
      <c r="X560" s="40">
        <f>T560/N560</f>
        <v/>
      </c>
      <c r="Y560" s="15">
        <f>IF(X560=MAXIFS(X$2:X$721, A$2:A$721, A560, B$2:B$721, B560), "OPTIMAL", "")</f>
        <v/>
      </c>
    </row>
    <row r="561" ht="20" customHeight="1">
      <c r="A561" s="29" t="n">
        <v>-18</v>
      </c>
      <c r="B561" s="29" t="n">
        <v>35</v>
      </c>
      <c r="C561" s="30" t="n">
        <v>100</v>
      </c>
      <c r="D561" s="30" t="n">
        <v>3</v>
      </c>
      <c r="E561" s="6" t="n">
        <v>8</v>
      </c>
      <c r="F561" s="30" t="n">
        <v>2</v>
      </c>
      <c r="G561" s="6" t="inlineStr">
        <is>
          <t>Non</t>
        </is>
      </c>
      <c r="H561" s="6" t="inlineStr">
        <is>
          <t>OFF</t>
        </is>
      </c>
      <c r="I561" s="31" t="n">
        <v>744.7528686370244</v>
      </c>
      <c r="J561" s="31" t="n">
        <v>6550.668683077564</v>
      </c>
      <c r="K561" s="31" t="n">
        <v>4222.222222222223</v>
      </c>
      <c r="L561" s="31" t="n">
        <v>150</v>
      </c>
      <c r="M561" s="31">
        <f>I561+J561+K561+L561</f>
        <v/>
      </c>
      <c r="N561" s="31">
        <f>M561*Dashboard!$B$18/(Dashboard!$B$16/3.6)</f>
        <v/>
      </c>
      <c r="O561" s="31" t="n">
        <v>1642.704473709595</v>
      </c>
      <c r="P561" s="32" t="n">
        <v>0.2370561331782058</v>
      </c>
      <c r="Q561" s="33" t="n">
        <v>17.95383549016247</v>
      </c>
      <c r="R561" s="31" t="n">
        <v>1461.734773809968</v>
      </c>
      <c r="S561" s="31">
        <f>R561*IF(A561=4, 2.0, 3.0)</f>
        <v/>
      </c>
      <c r="T561" s="30">
        <f>8.0*U561</f>
        <v/>
      </c>
      <c r="U561" s="34">
        <f>MIN(1, S561/M561)</f>
        <v/>
      </c>
      <c r="V561" s="34">
        <f>N561/(N561+O561)</f>
        <v/>
      </c>
      <c r="W561" s="34">
        <f>U561*V561</f>
        <v/>
      </c>
      <c r="X561" s="32">
        <f>T561/N561</f>
        <v/>
      </c>
      <c r="Y561" s="35">
        <f>IF(X561=MAXIFS(X$2:X$721, A$2:A$721, A561, B$2:B$721, B561), "OPTIMAL", "")</f>
        <v/>
      </c>
    </row>
    <row r="562" ht="20" customHeight="1">
      <c r="A562" s="21" t="n">
        <v>-18</v>
      </c>
      <c r="B562" s="21" t="n">
        <v>35</v>
      </c>
      <c r="C562" s="22" t="n">
        <v>120</v>
      </c>
      <c r="D562" s="22" t="n">
        <v>2</v>
      </c>
      <c r="E562" s="23" t="n">
        <v>0</v>
      </c>
      <c r="F562" s="22" t="n">
        <v>0</v>
      </c>
      <c r="G562" s="23" t="inlineStr">
        <is>
          <t>Oui</t>
        </is>
      </c>
      <c r="H562" s="23" t="inlineStr">
        <is>
          <t>ON</t>
        </is>
      </c>
      <c r="I562" s="24" t="n">
        <v>744.7528686370244</v>
      </c>
      <c r="J562" s="24" t="n">
        <v>6550.668683077564</v>
      </c>
      <c r="K562" s="24" t="n">
        <v>4222.222222222223</v>
      </c>
      <c r="L562" s="24" t="n">
        <v>150</v>
      </c>
      <c r="M562" s="24">
        <f>I562+J562+K562+L562</f>
        <v/>
      </c>
      <c r="N562" s="24">
        <f>M562*Dashboard!$B$18/(Dashboard!$B$16/3.6)</f>
        <v/>
      </c>
      <c r="O562" s="24" t="n">
        <v>416.0102182417322</v>
      </c>
      <c r="P562" s="25" t="n">
        <v>0.4668808197339223</v>
      </c>
      <c r="Q562" s="26" t="n">
        <v>0.2</v>
      </c>
      <c r="R562" s="24" t="n">
        <v>445.1150980458002</v>
      </c>
      <c r="S562" s="24">
        <f>R562*IF(A562=4, 2.0, 3.0)</f>
        <v/>
      </c>
      <c r="T562" s="22">
        <f>8.0*U562</f>
        <v/>
      </c>
      <c r="U562" s="27">
        <f>MIN(1, S562/M562)</f>
        <v/>
      </c>
      <c r="V562" s="27">
        <f>N562/(N562+O562)</f>
        <v/>
      </c>
      <c r="W562" s="27">
        <f>U562*V562</f>
        <v/>
      </c>
      <c r="X562" s="25">
        <f>T562/N562</f>
        <v/>
      </c>
      <c r="Y562" s="28">
        <f>IF(X562=MAXIFS(X$2:X$721, A$2:A$721, A562, B$2:B$721, B562), "OPTIMAL", "")</f>
        <v/>
      </c>
    </row>
    <row r="563" ht="20" customHeight="1">
      <c r="A563" s="29" t="n">
        <v>-18</v>
      </c>
      <c r="B563" s="29" t="n">
        <v>35</v>
      </c>
      <c r="C563" s="30" t="n">
        <v>120</v>
      </c>
      <c r="D563" s="30" t="n">
        <v>2</v>
      </c>
      <c r="E563" s="6" t="n">
        <v>0</v>
      </c>
      <c r="F563" s="30" t="n">
        <v>0</v>
      </c>
      <c r="G563" s="6" t="inlineStr">
        <is>
          <t>Oui</t>
        </is>
      </c>
      <c r="H563" s="6" t="inlineStr">
        <is>
          <t>OFF</t>
        </is>
      </c>
      <c r="I563" s="31" t="n">
        <v>744.7528686370244</v>
      </c>
      <c r="J563" s="31" t="n">
        <v>6550.668683077564</v>
      </c>
      <c r="K563" s="31" t="n">
        <v>4222.222222222223</v>
      </c>
      <c r="L563" s="31" t="n">
        <v>150</v>
      </c>
      <c r="M563" s="31">
        <f>I563+J563+K563+L563</f>
        <v/>
      </c>
      <c r="N563" s="31">
        <f>M563*Dashboard!$B$18/(Dashboard!$B$16/3.6)</f>
        <v/>
      </c>
      <c r="O563" s="31" t="n">
        <v>416.0102182417322</v>
      </c>
      <c r="P563" s="32" t="n">
        <v>0.7321390582204146</v>
      </c>
      <c r="Q563" s="33" t="n">
        <v>0.2</v>
      </c>
      <c r="R563" s="31" t="n">
        <v>283.8473094943178</v>
      </c>
      <c r="S563" s="31">
        <f>R563*IF(A563=4, 2.0, 3.0)</f>
        <v/>
      </c>
      <c r="T563" s="30">
        <f>8.0*U563</f>
        <v/>
      </c>
      <c r="U563" s="34">
        <f>MIN(1, S563/M563)</f>
        <v/>
      </c>
      <c r="V563" s="34">
        <f>N563/(N563+O563)</f>
        <v/>
      </c>
      <c r="W563" s="34">
        <f>U563*V563</f>
        <v/>
      </c>
      <c r="X563" s="32">
        <f>T563/N563</f>
        <v/>
      </c>
      <c r="Y563" s="35">
        <f>IF(X563=MAXIFS(X$2:X$721, A$2:A$721, A563, B$2:B$721, B563), "OPTIMAL", "")</f>
        <v/>
      </c>
    </row>
    <row r="564" ht="20" customHeight="1">
      <c r="A564" s="21" t="n">
        <v>-18</v>
      </c>
      <c r="B564" s="21" t="n">
        <v>35</v>
      </c>
      <c r="C564" s="22" t="n">
        <v>120</v>
      </c>
      <c r="D564" s="22" t="n">
        <v>2</v>
      </c>
      <c r="E564" s="23" t="n">
        <v>0</v>
      </c>
      <c r="F564" s="22" t="n">
        <v>0</v>
      </c>
      <c r="G564" s="23" t="inlineStr">
        <is>
          <t>Non</t>
        </is>
      </c>
      <c r="H564" s="23" t="inlineStr">
        <is>
          <t>ON</t>
        </is>
      </c>
      <c r="I564" s="24" t="n">
        <v>744.7528686370244</v>
      </c>
      <c r="J564" s="24" t="n">
        <v>6550.668683077564</v>
      </c>
      <c r="K564" s="24" t="n">
        <v>4222.222222222223</v>
      </c>
      <c r="L564" s="24" t="n">
        <v>150</v>
      </c>
      <c r="M564" s="24">
        <f>I564+J564+K564+L564</f>
        <v/>
      </c>
      <c r="N564" s="24">
        <f>M564*Dashboard!$B$18/(Dashboard!$B$16/3.6)</f>
        <v/>
      </c>
      <c r="O564" s="24" t="n">
        <v>416.0102182417322</v>
      </c>
      <c r="P564" s="25" t="n">
        <v>0.4642282373490574</v>
      </c>
      <c r="Q564" s="26" t="n">
        <v>0.2</v>
      </c>
      <c r="R564" s="24" t="n">
        <v>447.6584686840364</v>
      </c>
      <c r="S564" s="24">
        <f>R564*IF(A564=4, 2.0, 3.0)</f>
        <v/>
      </c>
      <c r="T564" s="22">
        <f>8.0*U564</f>
        <v/>
      </c>
      <c r="U564" s="27">
        <f>MIN(1, S564/M564)</f>
        <v/>
      </c>
      <c r="V564" s="27">
        <f>N564/(N564+O564)</f>
        <v/>
      </c>
      <c r="W564" s="27">
        <f>U564*V564</f>
        <v/>
      </c>
      <c r="X564" s="25">
        <f>T564/N564</f>
        <v/>
      </c>
      <c r="Y564" s="28">
        <f>IF(X564=MAXIFS(X$2:X$721, A$2:A$721, A564, B$2:B$721, B564), "OPTIMAL", "")</f>
        <v/>
      </c>
    </row>
    <row r="565" ht="20" customHeight="1">
      <c r="A565" s="29" t="n">
        <v>-18</v>
      </c>
      <c r="B565" s="29" t="n">
        <v>35</v>
      </c>
      <c r="C565" s="30" t="n">
        <v>120</v>
      </c>
      <c r="D565" s="30" t="n">
        <v>2</v>
      </c>
      <c r="E565" s="6" t="n">
        <v>0</v>
      </c>
      <c r="F565" s="30" t="n">
        <v>0</v>
      </c>
      <c r="G565" s="6" t="inlineStr">
        <is>
          <t>Non</t>
        </is>
      </c>
      <c r="H565" s="6" t="inlineStr">
        <is>
          <t>OFF</t>
        </is>
      </c>
      <c r="I565" s="31" t="n">
        <v>744.7528686370244</v>
      </c>
      <c r="J565" s="31" t="n">
        <v>6550.668683077564</v>
      </c>
      <c r="K565" s="31" t="n">
        <v>4222.222222222223</v>
      </c>
      <c r="L565" s="31" t="n">
        <v>150</v>
      </c>
      <c r="M565" s="31">
        <f>I565+J565+K565+L565</f>
        <v/>
      </c>
      <c r="N565" s="31">
        <f>M565*Dashboard!$B$18/(Dashboard!$B$16/3.6)</f>
        <v/>
      </c>
      <c r="O565" s="31" t="n">
        <v>416.0102182417322</v>
      </c>
      <c r="P565" s="32" t="n">
        <v>0.7294864758355497</v>
      </c>
      <c r="Q565" s="33" t="n">
        <v>0.2</v>
      </c>
      <c r="R565" s="31" t="n">
        <v>284.8794442878978</v>
      </c>
      <c r="S565" s="31">
        <f>R565*IF(A565=4, 2.0, 3.0)</f>
        <v/>
      </c>
      <c r="T565" s="30">
        <f>8.0*U565</f>
        <v/>
      </c>
      <c r="U565" s="34">
        <f>MIN(1, S565/M565)</f>
        <v/>
      </c>
      <c r="V565" s="34">
        <f>N565/(N565+O565)</f>
        <v/>
      </c>
      <c r="W565" s="34">
        <f>U565*V565</f>
        <v/>
      </c>
      <c r="X565" s="32">
        <f>T565/N565</f>
        <v/>
      </c>
      <c r="Y565" s="35">
        <f>IF(X565=MAXIFS(X$2:X$721, A$2:A$721, A565, B$2:B$721, B565), "OPTIMAL", "")</f>
        <v/>
      </c>
    </row>
    <row r="566" ht="20" customHeight="1">
      <c r="A566" s="21" t="n">
        <v>-18</v>
      </c>
      <c r="B566" s="21" t="n">
        <v>35</v>
      </c>
      <c r="C566" s="22" t="n">
        <v>120</v>
      </c>
      <c r="D566" s="22" t="n">
        <v>2</v>
      </c>
      <c r="E566" s="23" t="n">
        <v>4</v>
      </c>
      <c r="F566" s="22" t="n">
        <v>1.5</v>
      </c>
      <c r="G566" s="23" t="inlineStr">
        <is>
          <t>Oui</t>
        </is>
      </c>
      <c r="H566" s="23" t="inlineStr">
        <is>
          <t>ON</t>
        </is>
      </c>
      <c r="I566" s="24" t="n">
        <v>744.7528686370244</v>
      </c>
      <c r="J566" s="24" t="n">
        <v>6550.668683077564</v>
      </c>
      <c r="K566" s="24" t="n">
        <v>4222.222222222223</v>
      </c>
      <c r="L566" s="24" t="n">
        <v>150</v>
      </c>
      <c r="M566" s="24">
        <f>I566+J566+K566+L566</f>
        <v/>
      </c>
      <c r="N566" s="24">
        <f>M566*Dashboard!$B$18/(Dashboard!$B$16/3.6)</f>
        <v/>
      </c>
      <c r="O566" s="24" t="n">
        <v>639.5684192409963</v>
      </c>
      <c r="P566" s="25" t="n">
        <v>0.06805759746267123</v>
      </c>
      <c r="Q566" s="26" t="n">
        <v>5.595023284726097</v>
      </c>
      <c r="R566" s="24" t="n">
        <v>3136.141891470379</v>
      </c>
      <c r="S566" s="24">
        <f>R566*IF(A566=4, 2.0, 3.0)</f>
        <v/>
      </c>
      <c r="T566" s="22">
        <f>8.0*U566</f>
        <v/>
      </c>
      <c r="U566" s="27">
        <f>MIN(1, S566/M566)</f>
        <v/>
      </c>
      <c r="V566" s="27">
        <f>N566/(N566+O566)</f>
        <v/>
      </c>
      <c r="W566" s="27">
        <f>U566*V566</f>
        <v/>
      </c>
      <c r="X566" s="25">
        <f>T566/N566</f>
        <v/>
      </c>
      <c r="Y566" s="28">
        <f>IF(X566=MAXIFS(X$2:X$721, A$2:A$721, A566, B$2:B$721, B566), "OPTIMAL", "")</f>
        <v/>
      </c>
    </row>
    <row r="567" ht="20" customHeight="1">
      <c r="A567" s="29" t="n">
        <v>-18</v>
      </c>
      <c r="B567" s="29" t="n">
        <v>35</v>
      </c>
      <c r="C567" s="30" t="n">
        <v>120</v>
      </c>
      <c r="D567" s="30" t="n">
        <v>2</v>
      </c>
      <c r="E567" s="6" t="n">
        <v>4</v>
      </c>
      <c r="F567" s="30" t="n">
        <v>1.5</v>
      </c>
      <c r="G567" s="6" t="inlineStr">
        <is>
          <t>Oui</t>
        </is>
      </c>
      <c r="H567" s="6" t="inlineStr">
        <is>
          <t>OFF</t>
        </is>
      </c>
      <c r="I567" s="31" t="n">
        <v>744.7528686370244</v>
      </c>
      <c r="J567" s="31" t="n">
        <v>6550.668683077564</v>
      </c>
      <c r="K567" s="31" t="n">
        <v>4222.222222222223</v>
      </c>
      <c r="L567" s="31" t="n">
        <v>150</v>
      </c>
      <c r="M567" s="31">
        <f>I567+J567+K567+L567</f>
        <v/>
      </c>
      <c r="N567" s="31">
        <f>M567*Dashboard!$B$18/(Dashboard!$B$16/3.6)</f>
        <v/>
      </c>
      <c r="O567" s="31" t="n">
        <v>639.5684192409963</v>
      </c>
      <c r="P567" s="32" t="n">
        <v>0.2717308104184109</v>
      </c>
      <c r="Q567" s="33" t="n">
        <v>5.595023284726097</v>
      </c>
      <c r="R567" s="31" t="n">
        <v>785.4769288284216</v>
      </c>
      <c r="S567" s="31">
        <f>R567*IF(A567=4, 2.0, 3.0)</f>
        <v/>
      </c>
      <c r="T567" s="30">
        <f>8.0*U567</f>
        <v/>
      </c>
      <c r="U567" s="34">
        <f>MIN(1, S567/M567)</f>
        <v/>
      </c>
      <c r="V567" s="34">
        <f>N567/(N567+O567)</f>
        <v/>
      </c>
      <c r="W567" s="34">
        <f>U567*V567</f>
        <v/>
      </c>
      <c r="X567" s="32">
        <f>T567/N567</f>
        <v/>
      </c>
      <c r="Y567" s="35">
        <f>IF(X567=MAXIFS(X$2:X$721, A$2:A$721, A567, B$2:B$721, B567), "OPTIMAL", "")</f>
        <v/>
      </c>
    </row>
    <row r="568" ht="20" customHeight="1">
      <c r="A568" s="21" t="n">
        <v>-18</v>
      </c>
      <c r="B568" s="21" t="n">
        <v>35</v>
      </c>
      <c r="C568" s="22" t="n">
        <v>120</v>
      </c>
      <c r="D568" s="22" t="n">
        <v>2</v>
      </c>
      <c r="E568" s="23" t="n">
        <v>4</v>
      </c>
      <c r="F568" s="22" t="n">
        <v>1.5</v>
      </c>
      <c r="G568" s="23" t="inlineStr">
        <is>
          <t>Non</t>
        </is>
      </c>
      <c r="H568" s="23" t="inlineStr">
        <is>
          <t>ON</t>
        </is>
      </c>
      <c r="I568" s="24" t="n">
        <v>744.7528686370244</v>
      </c>
      <c r="J568" s="24" t="n">
        <v>6550.668683077564</v>
      </c>
      <c r="K568" s="24" t="n">
        <v>4222.222222222223</v>
      </c>
      <c r="L568" s="24" t="n">
        <v>150</v>
      </c>
      <c r="M568" s="24">
        <f>I568+J568+K568+L568</f>
        <v/>
      </c>
      <c r="N568" s="24">
        <f>M568*Dashboard!$B$18/(Dashboard!$B$16/3.6)</f>
        <v/>
      </c>
      <c r="O568" s="24" t="n">
        <v>639.5684192409963</v>
      </c>
      <c r="P568" s="25" t="n">
        <v>0.0654050150778063</v>
      </c>
      <c r="Q568" s="26" t="n">
        <v>5.595023284726097</v>
      </c>
      <c r="R568" s="24" t="n">
        <v>3263.332057665664</v>
      </c>
      <c r="S568" s="24">
        <f>R568*IF(A568=4, 2.0, 3.0)</f>
        <v/>
      </c>
      <c r="T568" s="22">
        <f>8.0*U568</f>
        <v/>
      </c>
      <c r="U568" s="27">
        <f>MIN(1, S568/M568)</f>
        <v/>
      </c>
      <c r="V568" s="27">
        <f>N568/(N568+O568)</f>
        <v/>
      </c>
      <c r="W568" s="27">
        <f>U568*V568</f>
        <v/>
      </c>
      <c r="X568" s="25">
        <f>T568/N568</f>
        <v/>
      </c>
      <c r="Y568" s="28">
        <f>IF(X568=MAXIFS(X$2:X$721, A$2:A$721, A568, B$2:B$721, B568), "OPTIMAL", "")</f>
        <v/>
      </c>
    </row>
    <row r="569" ht="20" customHeight="1">
      <c r="A569" s="29" t="n">
        <v>-18</v>
      </c>
      <c r="B569" s="29" t="n">
        <v>35</v>
      </c>
      <c r="C569" s="30" t="n">
        <v>120</v>
      </c>
      <c r="D569" s="30" t="n">
        <v>2</v>
      </c>
      <c r="E569" s="6" t="n">
        <v>4</v>
      </c>
      <c r="F569" s="30" t="n">
        <v>1.5</v>
      </c>
      <c r="G569" s="6" t="inlineStr">
        <is>
          <t>Non</t>
        </is>
      </c>
      <c r="H569" s="6" t="inlineStr">
        <is>
          <t>OFF</t>
        </is>
      </c>
      <c r="I569" s="31" t="n">
        <v>744.7528686370244</v>
      </c>
      <c r="J569" s="31" t="n">
        <v>6550.668683077564</v>
      </c>
      <c r="K569" s="31" t="n">
        <v>4222.222222222223</v>
      </c>
      <c r="L569" s="31" t="n">
        <v>150</v>
      </c>
      <c r="M569" s="31">
        <f>I569+J569+K569+L569</f>
        <v/>
      </c>
      <c r="N569" s="31">
        <f>M569*Dashboard!$B$18/(Dashboard!$B$16/3.6)</f>
        <v/>
      </c>
      <c r="O569" s="31" t="n">
        <v>639.5684192409963</v>
      </c>
      <c r="P569" s="32" t="n">
        <v>0.2690782280335459</v>
      </c>
      <c r="Q569" s="33" t="n">
        <v>5.595023284726097</v>
      </c>
      <c r="R569" s="31" t="n">
        <v>793.2201872865838</v>
      </c>
      <c r="S569" s="31">
        <f>R569*IF(A569=4, 2.0, 3.0)</f>
        <v/>
      </c>
      <c r="T569" s="30">
        <f>8.0*U569</f>
        <v/>
      </c>
      <c r="U569" s="34">
        <f>MIN(1, S569/M569)</f>
        <v/>
      </c>
      <c r="V569" s="34">
        <f>N569/(N569+O569)</f>
        <v/>
      </c>
      <c r="W569" s="34">
        <f>U569*V569</f>
        <v/>
      </c>
      <c r="X569" s="32">
        <f>T569/N569</f>
        <v/>
      </c>
      <c r="Y569" s="35">
        <f>IF(X569=MAXIFS(X$2:X$721, A$2:A$721, A569, B$2:B$721, B569), "OPTIMAL", "")</f>
        <v/>
      </c>
    </row>
    <row r="570" ht="20" customHeight="1">
      <c r="A570" s="21" t="n">
        <v>-18</v>
      </c>
      <c r="B570" s="21" t="n">
        <v>35</v>
      </c>
      <c r="C570" s="22" t="n">
        <v>120</v>
      </c>
      <c r="D570" s="22" t="n">
        <v>2</v>
      </c>
      <c r="E570" s="23" t="n">
        <v>4</v>
      </c>
      <c r="F570" s="22" t="n">
        <v>2</v>
      </c>
      <c r="G570" s="23" t="inlineStr">
        <is>
          <t>Oui</t>
        </is>
      </c>
      <c r="H570" s="23" t="inlineStr">
        <is>
          <t>ON</t>
        </is>
      </c>
      <c r="I570" s="24" t="n">
        <v>744.7528686370244</v>
      </c>
      <c r="J570" s="24" t="n">
        <v>6550.668683077564</v>
      </c>
      <c r="K570" s="24" t="n">
        <v>4222.222222222223</v>
      </c>
      <c r="L570" s="24" t="n">
        <v>150</v>
      </c>
      <c r="M570" s="24">
        <f>I570+J570+K570+L570</f>
        <v/>
      </c>
      <c r="N570" s="24">
        <f>M570*Dashboard!$B$18/(Dashboard!$B$16/3.6)</f>
        <v/>
      </c>
      <c r="O570" s="24" t="n">
        <v>716.8005078310596</v>
      </c>
      <c r="P570" s="25" t="n">
        <v>0.06474901627983365</v>
      </c>
      <c r="Q570" s="26" t="n">
        <v>7.393364379634797</v>
      </c>
      <c r="R570" s="24" t="n">
        <v>3326.393412010816</v>
      </c>
      <c r="S570" s="24">
        <f>R570*IF(A570=4, 2.0, 3.0)</f>
        <v/>
      </c>
      <c r="T570" s="22">
        <f>8.0*U570</f>
        <v/>
      </c>
      <c r="U570" s="27">
        <f>MIN(1, S570/M570)</f>
        <v/>
      </c>
      <c r="V570" s="27">
        <f>N570/(N570+O570)</f>
        <v/>
      </c>
      <c r="W570" s="27">
        <f>U570*V570</f>
        <v/>
      </c>
      <c r="X570" s="25">
        <f>T570/N570</f>
        <v/>
      </c>
      <c r="Y570" s="28">
        <f>IF(X570=MAXIFS(X$2:X$721, A$2:A$721, A570, B$2:B$721, B570), "OPTIMAL", "")</f>
        <v/>
      </c>
    </row>
    <row r="571" ht="20" customHeight="1">
      <c r="A571" s="29" t="n">
        <v>-18</v>
      </c>
      <c r="B571" s="29" t="n">
        <v>35</v>
      </c>
      <c r="C571" s="30" t="n">
        <v>120</v>
      </c>
      <c r="D571" s="30" t="n">
        <v>2</v>
      </c>
      <c r="E571" s="6" t="n">
        <v>4</v>
      </c>
      <c r="F571" s="30" t="n">
        <v>2</v>
      </c>
      <c r="G571" s="6" t="inlineStr">
        <is>
          <t>Oui</t>
        </is>
      </c>
      <c r="H571" s="6" t="inlineStr">
        <is>
          <t>OFF</t>
        </is>
      </c>
      <c r="I571" s="31" t="n">
        <v>744.7528686370244</v>
      </c>
      <c r="J571" s="31" t="n">
        <v>6550.668683077564</v>
      </c>
      <c r="K571" s="31" t="n">
        <v>4222.222222222223</v>
      </c>
      <c r="L571" s="31" t="n">
        <v>150</v>
      </c>
      <c r="M571" s="31">
        <f>I571+J571+K571+L571</f>
        <v/>
      </c>
      <c r="N571" s="31">
        <f>M571*Dashboard!$B$18/(Dashboard!$B$16/3.6)</f>
        <v/>
      </c>
      <c r="O571" s="31" t="n">
        <v>716.8005078310596</v>
      </c>
      <c r="P571" s="32" t="n">
        <v>0.269253725510994</v>
      </c>
      <c r="Q571" s="33" t="n">
        <v>7.393364379634797</v>
      </c>
      <c r="R571" s="31" t="n">
        <v>799.9172556616135</v>
      </c>
      <c r="S571" s="31">
        <f>R571*IF(A571=4, 2.0, 3.0)</f>
        <v/>
      </c>
      <c r="T571" s="30">
        <f>8.0*U571</f>
        <v/>
      </c>
      <c r="U571" s="34">
        <f>MIN(1, S571/M571)</f>
        <v/>
      </c>
      <c r="V571" s="34">
        <f>N571/(N571+O571)</f>
        <v/>
      </c>
      <c r="W571" s="34">
        <f>U571*V571</f>
        <v/>
      </c>
      <c r="X571" s="32">
        <f>T571/N571</f>
        <v/>
      </c>
      <c r="Y571" s="35">
        <f>IF(X571=MAXIFS(X$2:X$721, A$2:A$721, A571, B$2:B$721, B571), "OPTIMAL", "")</f>
        <v/>
      </c>
    </row>
    <row r="572" ht="20" customHeight="1">
      <c r="A572" s="21" t="n">
        <v>-18</v>
      </c>
      <c r="B572" s="21" t="n">
        <v>35</v>
      </c>
      <c r="C572" s="22" t="n">
        <v>120</v>
      </c>
      <c r="D572" s="22" t="n">
        <v>2</v>
      </c>
      <c r="E572" s="23" t="n">
        <v>4</v>
      </c>
      <c r="F572" s="22" t="n">
        <v>2</v>
      </c>
      <c r="G572" s="23" t="inlineStr">
        <is>
          <t>Non</t>
        </is>
      </c>
      <c r="H572" s="23" t="inlineStr">
        <is>
          <t>ON</t>
        </is>
      </c>
      <c r="I572" s="24" t="n">
        <v>744.7528686370244</v>
      </c>
      <c r="J572" s="24" t="n">
        <v>6550.668683077564</v>
      </c>
      <c r="K572" s="24" t="n">
        <v>4222.222222222223</v>
      </c>
      <c r="L572" s="24" t="n">
        <v>150</v>
      </c>
      <c r="M572" s="24">
        <f>I572+J572+K572+L572</f>
        <v/>
      </c>
      <c r="N572" s="24">
        <f>M572*Dashboard!$B$18/(Dashboard!$B$16/3.6)</f>
        <v/>
      </c>
      <c r="O572" s="24" t="n">
        <v>716.8005078310596</v>
      </c>
      <c r="P572" s="25" t="n">
        <v>0.06209643389496873</v>
      </c>
      <c r="Q572" s="26" t="n">
        <v>7.393364379634797</v>
      </c>
      <c r="R572" s="24" t="n">
        <v>3468.487442478892</v>
      </c>
      <c r="S572" s="24">
        <f>R572*IF(A572=4, 2.0, 3.0)</f>
        <v/>
      </c>
      <c r="T572" s="22">
        <f>8.0*U572</f>
        <v/>
      </c>
      <c r="U572" s="27">
        <f>MIN(1, S572/M572)</f>
        <v/>
      </c>
      <c r="V572" s="27">
        <f>N572/(N572+O572)</f>
        <v/>
      </c>
      <c r="W572" s="27">
        <f>U572*V572</f>
        <v/>
      </c>
      <c r="X572" s="25">
        <f>T572/N572</f>
        <v/>
      </c>
      <c r="Y572" s="28">
        <f>IF(X572=MAXIFS(X$2:X$721, A$2:A$721, A572, B$2:B$721, B572), "OPTIMAL", "")</f>
        <v/>
      </c>
    </row>
    <row r="573" ht="20" customHeight="1">
      <c r="A573" s="29" t="n">
        <v>-18</v>
      </c>
      <c r="B573" s="29" t="n">
        <v>35</v>
      </c>
      <c r="C573" s="30" t="n">
        <v>120</v>
      </c>
      <c r="D573" s="30" t="n">
        <v>2</v>
      </c>
      <c r="E573" s="6" t="n">
        <v>4</v>
      </c>
      <c r="F573" s="30" t="n">
        <v>2</v>
      </c>
      <c r="G573" s="6" t="inlineStr">
        <is>
          <t>Non</t>
        </is>
      </c>
      <c r="H573" s="6" t="inlineStr">
        <is>
          <t>OFF</t>
        </is>
      </c>
      <c r="I573" s="31" t="n">
        <v>744.7528686370244</v>
      </c>
      <c r="J573" s="31" t="n">
        <v>6550.668683077564</v>
      </c>
      <c r="K573" s="31" t="n">
        <v>4222.222222222223</v>
      </c>
      <c r="L573" s="31" t="n">
        <v>150</v>
      </c>
      <c r="M573" s="31">
        <f>I573+J573+K573+L573</f>
        <v/>
      </c>
      <c r="N573" s="31">
        <f>M573*Dashboard!$B$18/(Dashboard!$B$16/3.6)</f>
        <v/>
      </c>
      <c r="O573" s="31" t="n">
        <v>716.8005078310596</v>
      </c>
      <c r="P573" s="32" t="n">
        <v>0.2666011431261291</v>
      </c>
      <c r="Q573" s="33" t="n">
        <v>7.393364379634797</v>
      </c>
      <c r="R573" s="31" t="n">
        <v>807.8761353454626</v>
      </c>
      <c r="S573" s="31">
        <f>R573*IF(A573=4, 2.0, 3.0)</f>
        <v/>
      </c>
      <c r="T573" s="30">
        <f>8.0*U573</f>
        <v/>
      </c>
      <c r="U573" s="34">
        <f>MIN(1, S573/M573)</f>
        <v/>
      </c>
      <c r="V573" s="34">
        <f>N573/(N573+O573)</f>
        <v/>
      </c>
      <c r="W573" s="34">
        <f>U573*V573</f>
        <v/>
      </c>
      <c r="X573" s="32">
        <f>T573/N573</f>
        <v/>
      </c>
      <c r="Y573" s="35">
        <f>IF(X573=MAXIFS(X$2:X$721, A$2:A$721, A573, B$2:B$721, B573), "OPTIMAL", "")</f>
        <v/>
      </c>
    </row>
    <row r="574" ht="20" customHeight="1">
      <c r="A574" s="36" t="n">
        <v>-18</v>
      </c>
      <c r="B574" s="36" t="n">
        <v>35</v>
      </c>
      <c r="C574" s="37" t="n">
        <v>120</v>
      </c>
      <c r="D574" s="37" t="n">
        <v>2</v>
      </c>
      <c r="E574" s="38" t="n">
        <v>8</v>
      </c>
      <c r="F574" s="37" t="n">
        <v>1.5</v>
      </c>
      <c r="G574" s="38" t="inlineStr">
        <is>
          <t>Oui</t>
        </is>
      </c>
      <c r="H574" s="38" t="inlineStr">
        <is>
          <t>ON</t>
        </is>
      </c>
      <c r="I574" s="39" t="n">
        <v>744.7528686370244</v>
      </c>
      <c r="J574" s="39" t="n">
        <v>6550.668683077564</v>
      </c>
      <c r="K574" s="39" t="n">
        <v>4222.222222222223</v>
      </c>
      <c r="L574" s="39" t="n">
        <v>150</v>
      </c>
      <c r="M574" s="39">
        <f>I574+J574+K574+L574</f>
        <v/>
      </c>
      <c r="N574" s="39">
        <f>M574*Dashboard!$B$18/(Dashboard!$B$16/3.6)</f>
        <v/>
      </c>
      <c r="O574" s="39" t="n">
        <v>875.5600204710817</v>
      </c>
      <c r="P574" s="40" t="n">
        <v>0.05155761606859751</v>
      </c>
      <c r="Q574" s="41" t="n">
        <v>10.9900465694522</v>
      </c>
      <c r="R574" s="39" t="n">
        <v>4254.920705614638</v>
      </c>
      <c r="S574" s="39">
        <f>R574*IF(A574=4, 2.0, 3.0)</f>
        <v/>
      </c>
      <c r="T574" s="37">
        <f>8.0*U574</f>
        <v/>
      </c>
      <c r="U574" s="42">
        <f>MIN(1, S574/M574)</f>
        <v/>
      </c>
      <c r="V574" s="42">
        <f>N574/(N574+O574)</f>
        <v/>
      </c>
      <c r="W574" s="42">
        <f>U574*V574</f>
        <v/>
      </c>
      <c r="X574" s="40">
        <f>T574/N574</f>
        <v/>
      </c>
      <c r="Y574" s="15">
        <f>IF(X574=MAXIFS(X$2:X$721, A$2:A$721, A574, B$2:B$721, B574), "OPTIMAL", "")</f>
        <v/>
      </c>
    </row>
    <row r="575" ht="20" customHeight="1">
      <c r="A575" s="29" t="n">
        <v>-18</v>
      </c>
      <c r="B575" s="29" t="n">
        <v>35</v>
      </c>
      <c r="C575" s="30" t="n">
        <v>120</v>
      </c>
      <c r="D575" s="30" t="n">
        <v>2</v>
      </c>
      <c r="E575" s="6" t="n">
        <v>8</v>
      </c>
      <c r="F575" s="30" t="n">
        <v>1.5</v>
      </c>
      <c r="G575" s="6" t="inlineStr">
        <is>
          <t>Oui</t>
        </is>
      </c>
      <c r="H575" s="6" t="inlineStr">
        <is>
          <t>OFF</t>
        </is>
      </c>
      <c r="I575" s="31" t="n">
        <v>744.7528686370244</v>
      </c>
      <c r="J575" s="31" t="n">
        <v>6550.668683077564</v>
      </c>
      <c r="K575" s="31" t="n">
        <v>4222.222222222223</v>
      </c>
      <c r="L575" s="31" t="n">
        <v>150</v>
      </c>
      <c r="M575" s="31">
        <f>I575+J575+K575+L575</f>
        <v/>
      </c>
      <c r="N575" s="31">
        <f>M575*Dashboard!$B$18/(Dashboard!$B$16/3.6)</f>
        <v/>
      </c>
      <c r="O575" s="31" t="n">
        <v>875.5600204710817</v>
      </c>
      <c r="P575" s="32" t="n">
        <v>0.216853233443705</v>
      </c>
      <c r="Q575" s="33" t="n">
        <v>10.9900465694522</v>
      </c>
      <c r="R575" s="31" t="n">
        <v>1011.622306288344</v>
      </c>
      <c r="S575" s="31">
        <f>R575*IF(A575=4, 2.0, 3.0)</f>
        <v/>
      </c>
      <c r="T575" s="30">
        <f>8.0*U575</f>
        <v/>
      </c>
      <c r="U575" s="34">
        <f>MIN(1, S575/M575)</f>
        <v/>
      </c>
      <c r="V575" s="34">
        <f>N575/(N575+O575)</f>
        <v/>
      </c>
      <c r="W575" s="34">
        <f>U575*V575</f>
        <v/>
      </c>
      <c r="X575" s="32">
        <f>T575/N575</f>
        <v/>
      </c>
      <c r="Y575" s="35">
        <f>IF(X575=MAXIFS(X$2:X$721, A$2:A$721, A575, B$2:B$721, B575), "OPTIMAL", "")</f>
        <v/>
      </c>
    </row>
    <row r="576" ht="20" customHeight="1">
      <c r="A576" s="36" t="n">
        <v>-18</v>
      </c>
      <c r="B576" s="36" t="n">
        <v>35</v>
      </c>
      <c r="C576" s="37" t="n">
        <v>120</v>
      </c>
      <c r="D576" s="37" t="n">
        <v>2</v>
      </c>
      <c r="E576" s="38" t="n">
        <v>8</v>
      </c>
      <c r="F576" s="37" t="n">
        <v>1.5</v>
      </c>
      <c r="G576" s="38" t="inlineStr">
        <is>
          <t>Non</t>
        </is>
      </c>
      <c r="H576" s="38" t="inlineStr">
        <is>
          <t>ON</t>
        </is>
      </c>
      <c r="I576" s="39" t="n">
        <v>744.7528686370244</v>
      </c>
      <c r="J576" s="39" t="n">
        <v>6550.668683077564</v>
      </c>
      <c r="K576" s="39" t="n">
        <v>4222.222222222223</v>
      </c>
      <c r="L576" s="39" t="n">
        <v>150</v>
      </c>
      <c r="M576" s="39">
        <f>I576+J576+K576+L576</f>
        <v/>
      </c>
      <c r="N576" s="39">
        <f>M576*Dashboard!$B$18/(Dashboard!$B$16/3.6)</f>
        <v/>
      </c>
      <c r="O576" s="39" t="n">
        <v>875.5600204710817</v>
      </c>
      <c r="P576" s="40" t="n">
        <v>0.04890503368373258</v>
      </c>
      <c r="Q576" s="41" t="n">
        <v>10.9900465694522</v>
      </c>
      <c r="R576" s="39" t="n">
        <v>4485.705286721362</v>
      </c>
      <c r="S576" s="39">
        <f>R576*IF(A576=4, 2.0, 3.0)</f>
        <v/>
      </c>
      <c r="T576" s="37">
        <f>8.0*U576</f>
        <v/>
      </c>
      <c r="U576" s="42">
        <f>MIN(1, S576/M576)</f>
        <v/>
      </c>
      <c r="V576" s="42">
        <f>N576/(N576+O576)</f>
        <v/>
      </c>
      <c r="W576" s="42">
        <f>U576*V576</f>
        <v/>
      </c>
      <c r="X576" s="40">
        <f>T576/N576</f>
        <v/>
      </c>
      <c r="Y576" s="15">
        <f>IF(X576=MAXIFS(X$2:X$721, A$2:A$721, A576, B$2:B$721, B576), "OPTIMAL", "")</f>
        <v/>
      </c>
    </row>
    <row r="577" ht="20" customHeight="1">
      <c r="A577" s="29" t="n">
        <v>-18</v>
      </c>
      <c r="B577" s="29" t="n">
        <v>35</v>
      </c>
      <c r="C577" s="30" t="n">
        <v>120</v>
      </c>
      <c r="D577" s="30" t="n">
        <v>2</v>
      </c>
      <c r="E577" s="6" t="n">
        <v>8</v>
      </c>
      <c r="F577" s="30" t="n">
        <v>1.5</v>
      </c>
      <c r="G577" s="6" t="inlineStr">
        <is>
          <t>Non</t>
        </is>
      </c>
      <c r="H577" s="6" t="inlineStr">
        <is>
          <t>OFF</t>
        </is>
      </c>
      <c r="I577" s="31" t="n">
        <v>744.7528686370244</v>
      </c>
      <c r="J577" s="31" t="n">
        <v>6550.668683077564</v>
      </c>
      <c r="K577" s="31" t="n">
        <v>4222.222222222223</v>
      </c>
      <c r="L577" s="31" t="n">
        <v>150</v>
      </c>
      <c r="M577" s="31">
        <f>I577+J577+K577+L577</f>
        <v/>
      </c>
      <c r="N577" s="31">
        <f>M577*Dashboard!$B$18/(Dashboard!$B$16/3.6)</f>
        <v/>
      </c>
      <c r="O577" s="31" t="n">
        <v>875.5600204710817</v>
      </c>
      <c r="P577" s="32" t="n">
        <v>0.2142006510588401</v>
      </c>
      <c r="Q577" s="33" t="n">
        <v>10.9900465694522</v>
      </c>
      <c r="R577" s="31" t="n">
        <v>1024.149866295899</v>
      </c>
      <c r="S577" s="31">
        <f>R577*IF(A577=4, 2.0, 3.0)</f>
        <v/>
      </c>
      <c r="T577" s="30">
        <f>8.0*U577</f>
        <v/>
      </c>
      <c r="U577" s="34">
        <f>MIN(1, S577/M577)</f>
        <v/>
      </c>
      <c r="V577" s="34">
        <f>N577/(N577+O577)</f>
        <v/>
      </c>
      <c r="W577" s="34">
        <f>U577*V577</f>
        <v/>
      </c>
      <c r="X577" s="32">
        <f>T577/N577</f>
        <v/>
      </c>
      <c r="Y577" s="35">
        <f>IF(X577=MAXIFS(X$2:X$721, A$2:A$721, A577, B$2:B$721, B577), "OPTIMAL", "")</f>
        <v/>
      </c>
    </row>
    <row r="578" ht="20" customHeight="1">
      <c r="A578" s="36" t="n">
        <v>-18</v>
      </c>
      <c r="B578" s="36" t="n">
        <v>35</v>
      </c>
      <c r="C578" s="37" t="n">
        <v>120</v>
      </c>
      <c r="D578" s="37" t="n">
        <v>2</v>
      </c>
      <c r="E578" s="38" t="n">
        <v>8</v>
      </c>
      <c r="F578" s="37" t="n">
        <v>2</v>
      </c>
      <c r="G578" s="38" t="inlineStr">
        <is>
          <t>Oui</t>
        </is>
      </c>
      <c r="H578" s="38" t="inlineStr">
        <is>
          <t>ON</t>
        </is>
      </c>
      <c r="I578" s="39" t="n">
        <v>744.7528686370244</v>
      </c>
      <c r="J578" s="39" t="n">
        <v>6550.668683077564</v>
      </c>
      <c r="K578" s="39" t="n">
        <v>4222.222222222223</v>
      </c>
      <c r="L578" s="39" t="n">
        <v>150</v>
      </c>
      <c r="M578" s="39">
        <f>I578+J578+K578+L578</f>
        <v/>
      </c>
      <c r="N578" s="39">
        <f>M578*Dashboard!$B$18/(Dashboard!$B$16/3.6)</f>
        <v/>
      </c>
      <c r="O578" s="39" t="n">
        <v>1040.317093132586</v>
      </c>
      <c r="P578" s="40" t="n">
        <v>0.04997260972227939</v>
      </c>
      <c r="Q578" s="41" t="n">
        <v>14.58672875926959</v>
      </c>
      <c r="R578" s="39" t="n">
        <v>4472.795746263367</v>
      </c>
      <c r="S578" s="39">
        <f>R578*IF(A578=4, 2.0, 3.0)</f>
        <v/>
      </c>
      <c r="T578" s="37">
        <f>8.0*U578</f>
        <v/>
      </c>
      <c r="U578" s="42">
        <f>MIN(1, S578/M578)</f>
        <v/>
      </c>
      <c r="V578" s="42">
        <f>N578/(N578+O578)</f>
        <v/>
      </c>
      <c r="W578" s="42">
        <f>U578*V578</f>
        <v/>
      </c>
      <c r="X578" s="40">
        <f>T578/N578</f>
        <v/>
      </c>
      <c r="Y578" s="15">
        <f>IF(X578=MAXIFS(X$2:X$721, A$2:A$721, A578, B$2:B$721, B578), "OPTIMAL", "")</f>
        <v/>
      </c>
    </row>
    <row r="579" ht="20" customHeight="1">
      <c r="A579" s="29" t="n">
        <v>-18</v>
      </c>
      <c r="B579" s="29" t="n">
        <v>35</v>
      </c>
      <c r="C579" s="30" t="n">
        <v>120</v>
      </c>
      <c r="D579" s="30" t="n">
        <v>2</v>
      </c>
      <c r="E579" s="6" t="n">
        <v>8</v>
      </c>
      <c r="F579" s="30" t="n">
        <v>2</v>
      </c>
      <c r="G579" s="6" t="inlineStr">
        <is>
          <t>Oui</t>
        </is>
      </c>
      <c r="H579" s="6" t="inlineStr">
        <is>
          <t>OFF</t>
        </is>
      </c>
      <c r="I579" s="31" t="n">
        <v>744.7528686370244</v>
      </c>
      <c r="J579" s="31" t="n">
        <v>6550.668683077564</v>
      </c>
      <c r="K579" s="31" t="n">
        <v>4222.222222222223</v>
      </c>
      <c r="L579" s="31" t="n">
        <v>150</v>
      </c>
      <c r="M579" s="31">
        <f>I579+J579+K579+L579</f>
        <v/>
      </c>
      <c r="N579" s="31">
        <f>M579*Dashboard!$B$18/(Dashboard!$B$16/3.6)</f>
        <v/>
      </c>
      <c r="O579" s="31" t="n">
        <v>1040.317093132586</v>
      </c>
      <c r="P579" s="32" t="n">
        <v>0.2163666659525478</v>
      </c>
      <c r="Q579" s="33" t="n">
        <v>14.58672875926959</v>
      </c>
      <c r="R579" s="31" t="n">
        <v>1033.048576181837</v>
      </c>
      <c r="S579" s="31">
        <f>R579*IF(A579=4, 2.0, 3.0)</f>
        <v/>
      </c>
      <c r="T579" s="30">
        <f>8.0*U579</f>
        <v/>
      </c>
      <c r="U579" s="34">
        <f>MIN(1, S579/M579)</f>
        <v/>
      </c>
      <c r="V579" s="34">
        <f>N579/(N579+O579)</f>
        <v/>
      </c>
      <c r="W579" s="34">
        <f>U579*V579</f>
        <v/>
      </c>
      <c r="X579" s="32">
        <f>T579/N579</f>
        <v/>
      </c>
      <c r="Y579" s="35">
        <f>IF(X579=MAXIFS(X$2:X$721, A$2:A$721, A579, B$2:B$721, B579), "OPTIMAL", "")</f>
        <v/>
      </c>
    </row>
    <row r="580" ht="20" customHeight="1">
      <c r="A580" s="36" t="n">
        <v>-18</v>
      </c>
      <c r="B580" s="36" t="n">
        <v>35</v>
      </c>
      <c r="C580" s="37" t="n">
        <v>120</v>
      </c>
      <c r="D580" s="37" t="n">
        <v>2</v>
      </c>
      <c r="E580" s="38" t="n">
        <v>8</v>
      </c>
      <c r="F580" s="37" t="n">
        <v>2</v>
      </c>
      <c r="G580" s="38" t="inlineStr">
        <is>
          <t>Non</t>
        </is>
      </c>
      <c r="H580" s="38" t="inlineStr">
        <is>
          <t>ON</t>
        </is>
      </c>
      <c r="I580" s="39" t="n">
        <v>744.7528686370244</v>
      </c>
      <c r="J580" s="39" t="n">
        <v>6550.668683077564</v>
      </c>
      <c r="K580" s="39" t="n">
        <v>4222.222222222223</v>
      </c>
      <c r="L580" s="39" t="n">
        <v>150</v>
      </c>
      <c r="M580" s="39">
        <f>I580+J580+K580+L580</f>
        <v/>
      </c>
      <c r="N580" s="39">
        <f>M580*Dashboard!$B$18/(Dashboard!$B$16/3.6)</f>
        <v/>
      </c>
      <c r="O580" s="39" t="n">
        <v>1040.317093132586</v>
      </c>
      <c r="P580" s="40" t="n">
        <v>0.04732002733741447</v>
      </c>
      <c r="Q580" s="41" t="n">
        <v>14.58672875926959</v>
      </c>
      <c r="R580" s="39" t="n">
        <v>4723.523817974689</v>
      </c>
      <c r="S580" s="39">
        <f>R580*IF(A580=4, 2.0, 3.0)</f>
        <v/>
      </c>
      <c r="T580" s="37">
        <f>8.0*U580</f>
        <v/>
      </c>
      <c r="U580" s="42">
        <f>MIN(1, S580/M580)</f>
        <v/>
      </c>
      <c r="V580" s="42">
        <f>N580/(N580+O580)</f>
        <v/>
      </c>
      <c r="W580" s="42">
        <f>U580*V580</f>
        <v/>
      </c>
      <c r="X580" s="40">
        <f>T580/N580</f>
        <v/>
      </c>
      <c r="Y580" s="15">
        <f>IF(X580=MAXIFS(X$2:X$721, A$2:A$721, A580, B$2:B$721, B580), "OPTIMAL", "")</f>
        <v/>
      </c>
    </row>
    <row r="581" ht="20" customHeight="1">
      <c r="A581" s="29" t="n">
        <v>-18</v>
      </c>
      <c r="B581" s="29" t="n">
        <v>35</v>
      </c>
      <c r="C581" s="30" t="n">
        <v>120</v>
      </c>
      <c r="D581" s="30" t="n">
        <v>2</v>
      </c>
      <c r="E581" s="6" t="n">
        <v>8</v>
      </c>
      <c r="F581" s="30" t="n">
        <v>2</v>
      </c>
      <c r="G581" s="6" t="inlineStr">
        <is>
          <t>Non</t>
        </is>
      </c>
      <c r="H581" s="6" t="inlineStr">
        <is>
          <t>OFF</t>
        </is>
      </c>
      <c r="I581" s="31" t="n">
        <v>744.7528686370244</v>
      </c>
      <c r="J581" s="31" t="n">
        <v>6550.668683077564</v>
      </c>
      <c r="K581" s="31" t="n">
        <v>4222.222222222223</v>
      </c>
      <c r="L581" s="31" t="n">
        <v>150</v>
      </c>
      <c r="M581" s="31">
        <f>I581+J581+K581+L581</f>
        <v/>
      </c>
      <c r="N581" s="31">
        <f>M581*Dashboard!$B$18/(Dashboard!$B$16/3.6)</f>
        <v/>
      </c>
      <c r="O581" s="31" t="n">
        <v>1040.317093132586</v>
      </c>
      <c r="P581" s="32" t="n">
        <v>0.2137140835676829</v>
      </c>
      <c r="Q581" s="33" t="n">
        <v>14.58672875926959</v>
      </c>
      <c r="R581" s="31" t="n">
        <v>1045.870597127508</v>
      </c>
      <c r="S581" s="31">
        <f>R581*IF(A581=4, 2.0, 3.0)</f>
        <v/>
      </c>
      <c r="T581" s="30">
        <f>8.0*U581</f>
        <v/>
      </c>
      <c r="U581" s="34">
        <f>MIN(1, S581/M581)</f>
        <v/>
      </c>
      <c r="V581" s="34">
        <f>N581/(N581+O581)</f>
        <v/>
      </c>
      <c r="W581" s="34">
        <f>U581*V581</f>
        <v/>
      </c>
      <c r="X581" s="32">
        <f>T581/N581</f>
        <v/>
      </c>
      <c r="Y581" s="35">
        <f>IF(X581=MAXIFS(X$2:X$721, A$2:A$721, A581, B$2:B$721, B581), "OPTIMAL", "")</f>
        <v/>
      </c>
    </row>
    <row r="582" ht="20" customHeight="1">
      <c r="A582" s="21" t="n">
        <v>-18</v>
      </c>
      <c r="B582" s="21" t="n">
        <v>35</v>
      </c>
      <c r="C582" s="22" t="n">
        <v>120</v>
      </c>
      <c r="D582" s="22" t="n">
        <v>3</v>
      </c>
      <c r="E582" s="23" t="n">
        <v>0</v>
      </c>
      <c r="F582" s="22" t="n">
        <v>0</v>
      </c>
      <c r="G582" s="23" t="inlineStr">
        <is>
          <t>Oui</t>
        </is>
      </c>
      <c r="H582" s="23" t="inlineStr">
        <is>
          <t>ON</t>
        </is>
      </c>
      <c r="I582" s="24" t="n">
        <v>744.7528686370244</v>
      </c>
      <c r="J582" s="24" t="n">
        <v>6550.668683077564</v>
      </c>
      <c r="K582" s="24" t="n">
        <v>4222.222222222223</v>
      </c>
      <c r="L582" s="24" t="n">
        <v>150</v>
      </c>
      <c r="M582" s="24">
        <f>I582+J582+K582+L582</f>
        <v/>
      </c>
      <c r="N582" s="24">
        <f>M582*Dashboard!$B$18/(Dashboard!$B$16/3.6)</f>
        <v/>
      </c>
      <c r="O582" s="24" t="n">
        <v>640.6272194990639</v>
      </c>
      <c r="P582" s="25" t="n">
        <v>0.4668943220842715</v>
      </c>
      <c r="Q582" s="26" t="n">
        <v>0.2</v>
      </c>
      <c r="R582" s="24" t="n">
        <v>460.8568441722438</v>
      </c>
      <c r="S582" s="24">
        <f>R582*IF(A582=4, 2.0, 3.0)</f>
        <v/>
      </c>
      <c r="T582" s="22">
        <f>8.0*U582</f>
        <v/>
      </c>
      <c r="U582" s="27">
        <f>MIN(1, S582/M582)</f>
        <v/>
      </c>
      <c r="V582" s="27">
        <f>N582/(N582+O582)</f>
        <v/>
      </c>
      <c r="W582" s="27">
        <f>U582*V582</f>
        <v/>
      </c>
      <c r="X582" s="25">
        <f>T582/N582</f>
        <v/>
      </c>
      <c r="Y582" s="28">
        <f>IF(X582=MAXIFS(X$2:X$721, A$2:A$721, A582, B$2:B$721, B582), "OPTIMAL", "")</f>
        <v/>
      </c>
    </row>
    <row r="583" ht="20" customHeight="1">
      <c r="A583" s="29" t="n">
        <v>-18</v>
      </c>
      <c r="B583" s="29" t="n">
        <v>35</v>
      </c>
      <c r="C583" s="30" t="n">
        <v>120</v>
      </c>
      <c r="D583" s="30" t="n">
        <v>3</v>
      </c>
      <c r="E583" s="6" t="n">
        <v>0</v>
      </c>
      <c r="F583" s="30" t="n">
        <v>0</v>
      </c>
      <c r="G583" s="6" t="inlineStr">
        <is>
          <t>Oui</t>
        </is>
      </c>
      <c r="H583" s="6" t="inlineStr">
        <is>
          <t>OFF</t>
        </is>
      </c>
      <c r="I583" s="31" t="n">
        <v>744.7528686370244</v>
      </c>
      <c r="J583" s="31" t="n">
        <v>6550.668683077564</v>
      </c>
      <c r="K583" s="31" t="n">
        <v>4222.222222222223</v>
      </c>
      <c r="L583" s="31" t="n">
        <v>150</v>
      </c>
      <c r="M583" s="31">
        <f>I583+J583+K583+L583</f>
        <v/>
      </c>
      <c r="N583" s="31">
        <f>M583*Dashboard!$B$18/(Dashboard!$B$16/3.6)</f>
        <v/>
      </c>
      <c r="O583" s="31" t="n">
        <v>640.6272194990639</v>
      </c>
      <c r="P583" s="32" t="n">
        <v>0.7321525605707637</v>
      </c>
      <c r="Q583" s="33" t="n">
        <v>0.2</v>
      </c>
      <c r="R583" s="31" t="n">
        <v>293.8888087340095</v>
      </c>
      <c r="S583" s="31">
        <f>R583*IF(A583=4, 2.0, 3.0)</f>
        <v/>
      </c>
      <c r="T583" s="30">
        <f>8.0*U583</f>
        <v/>
      </c>
      <c r="U583" s="34">
        <f>MIN(1, S583/M583)</f>
        <v/>
      </c>
      <c r="V583" s="34">
        <f>N583/(N583+O583)</f>
        <v/>
      </c>
      <c r="W583" s="34">
        <f>U583*V583</f>
        <v/>
      </c>
      <c r="X583" s="32">
        <f>T583/N583</f>
        <v/>
      </c>
      <c r="Y583" s="35">
        <f>IF(X583=MAXIFS(X$2:X$721, A$2:A$721, A583, B$2:B$721, B583), "OPTIMAL", "")</f>
        <v/>
      </c>
    </row>
    <row r="584" ht="20" customHeight="1">
      <c r="A584" s="21" t="n">
        <v>-18</v>
      </c>
      <c r="B584" s="21" t="n">
        <v>35</v>
      </c>
      <c r="C584" s="22" t="n">
        <v>120</v>
      </c>
      <c r="D584" s="22" t="n">
        <v>3</v>
      </c>
      <c r="E584" s="23" t="n">
        <v>0</v>
      </c>
      <c r="F584" s="22" t="n">
        <v>0</v>
      </c>
      <c r="G584" s="23" t="inlineStr">
        <is>
          <t>Non</t>
        </is>
      </c>
      <c r="H584" s="23" t="inlineStr">
        <is>
          <t>ON</t>
        </is>
      </c>
      <c r="I584" s="24" t="n">
        <v>744.7528686370244</v>
      </c>
      <c r="J584" s="24" t="n">
        <v>6550.668683077564</v>
      </c>
      <c r="K584" s="24" t="n">
        <v>4222.222222222223</v>
      </c>
      <c r="L584" s="24" t="n">
        <v>150</v>
      </c>
      <c r="M584" s="24">
        <f>I584+J584+K584+L584</f>
        <v/>
      </c>
      <c r="N584" s="24">
        <f>M584*Dashboard!$B$18/(Dashboard!$B$16/3.6)</f>
        <v/>
      </c>
      <c r="O584" s="24" t="n">
        <v>640.6272194990639</v>
      </c>
      <c r="P584" s="25" t="n">
        <v>0.4642417396994065</v>
      </c>
      <c r="Q584" s="26" t="n">
        <v>0.2</v>
      </c>
      <c r="R584" s="24" t="n">
        <v>463.4900859561197</v>
      </c>
      <c r="S584" s="24">
        <f>R584*IF(A584=4, 2.0, 3.0)</f>
        <v/>
      </c>
      <c r="T584" s="22">
        <f>8.0*U584</f>
        <v/>
      </c>
      <c r="U584" s="27">
        <f>MIN(1, S584/M584)</f>
        <v/>
      </c>
      <c r="V584" s="27">
        <f>N584/(N584+O584)</f>
        <v/>
      </c>
      <c r="W584" s="27">
        <f>U584*V584</f>
        <v/>
      </c>
      <c r="X584" s="25">
        <f>T584/N584</f>
        <v/>
      </c>
      <c r="Y584" s="28">
        <f>IF(X584=MAXIFS(X$2:X$721, A$2:A$721, A584, B$2:B$721, B584), "OPTIMAL", "")</f>
        <v/>
      </c>
    </row>
    <row r="585" ht="20" customHeight="1">
      <c r="A585" s="29" t="n">
        <v>-18</v>
      </c>
      <c r="B585" s="29" t="n">
        <v>35</v>
      </c>
      <c r="C585" s="30" t="n">
        <v>120</v>
      </c>
      <c r="D585" s="30" t="n">
        <v>3</v>
      </c>
      <c r="E585" s="6" t="n">
        <v>0</v>
      </c>
      <c r="F585" s="30" t="n">
        <v>0</v>
      </c>
      <c r="G585" s="6" t="inlineStr">
        <is>
          <t>Non</t>
        </is>
      </c>
      <c r="H585" s="6" t="inlineStr">
        <is>
          <t>OFF</t>
        </is>
      </c>
      <c r="I585" s="31" t="n">
        <v>744.7528686370244</v>
      </c>
      <c r="J585" s="31" t="n">
        <v>6550.668683077564</v>
      </c>
      <c r="K585" s="31" t="n">
        <v>4222.222222222223</v>
      </c>
      <c r="L585" s="31" t="n">
        <v>150</v>
      </c>
      <c r="M585" s="31">
        <f>I585+J585+K585+L585</f>
        <v/>
      </c>
      <c r="N585" s="31">
        <f>M585*Dashboard!$B$18/(Dashboard!$B$16/3.6)</f>
        <v/>
      </c>
      <c r="O585" s="31" t="n">
        <v>640.6272194990639</v>
      </c>
      <c r="P585" s="32" t="n">
        <v>0.7294999781858988</v>
      </c>
      <c r="Q585" s="33" t="n">
        <v>0.2</v>
      </c>
      <c r="R585" s="31" t="n">
        <v>294.9574369731705</v>
      </c>
      <c r="S585" s="31">
        <f>R585*IF(A585=4, 2.0, 3.0)</f>
        <v/>
      </c>
      <c r="T585" s="30">
        <f>8.0*U585</f>
        <v/>
      </c>
      <c r="U585" s="34">
        <f>MIN(1, S585/M585)</f>
        <v/>
      </c>
      <c r="V585" s="34">
        <f>N585/(N585+O585)</f>
        <v/>
      </c>
      <c r="W585" s="34">
        <f>U585*V585</f>
        <v/>
      </c>
      <c r="X585" s="32">
        <f>T585/N585</f>
        <v/>
      </c>
      <c r="Y585" s="35">
        <f>IF(X585=MAXIFS(X$2:X$721, A$2:A$721, A585, B$2:B$721, B585), "OPTIMAL", "")</f>
        <v/>
      </c>
    </row>
    <row r="586" ht="20" customHeight="1">
      <c r="A586" s="21" t="n">
        <v>-18</v>
      </c>
      <c r="B586" s="21" t="n">
        <v>35</v>
      </c>
      <c r="C586" s="22" t="n">
        <v>120</v>
      </c>
      <c r="D586" s="22" t="n">
        <v>3</v>
      </c>
      <c r="E586" s="23" t="n">
        <v>4</v>
      </c>
      <c r="F586" s="22" t="n">
        <v>1.5</v>
      </c>
      <c r="G586" s="23" t="inlineStr">
        <is>
          <t>Oui</t>
        </is>
      </c>
      <c r="H586" s="23" t="inlineStr">
        <is>
          <t>ON</t>
        </is>
      </c>
      <c r="I586" s="24" t="n">
        <v>744.7528686370244</v>
      </c>
      <c r="J586" s="24" t="n">
        <v>6550.668683077564</v>
      </c>
      <c r="K586" s="24" t="n">
        <v>4222.222222222223</v>
      </c>
      <c r="L586" s="24" t="n">
        <v>150</v>
      </c>
      <c r="M586" s="24">
        <f>I586+J586+K586+L586</f>
        <v/>
      </c>
      <c r="N586" s="24">
        <f>M586*Dashboard!$B$18/(Dashboard!$B$16/3.6)</f>
        <v/>
      </c>
      <c r="O586" s="24" t="n">
        <v>875.328548773601</v>
      </c>
      <c r="P586" s="25" t="n">
        <v>0.06783449726767998</v>
      </c>
      <c r="Q586" s="26" t="n">
        <v>5.689672816037082</v>
      </c>
      <c r="R586" s="24" t="n">
        <v>3259.373825185909</v>
      </c>
      <c r="S586" s="24">
        <f>R586*IF(A586=4, 2.0, 3.0)</f>
        <v/>
      </c>
      <c r="T586" s="22">
        <f>8.0*U586</f>
        <v/>
      </c>
      <c r="U586" s="27">
        <f>MIN(1, S586/M586)</f>
        <v/>
      </c>
      <c r="V586" s="27">
        <f>N586/(N586+O586)</f>
        <v/>
      </c>
      <c r="W586" s="27">
        <f>U586*V586</f>
        <v/>
      </c>
      <c r="X586" s="25">
        <f>T586/N586</f>
        <v/>
      </c>
      <c r="Y586" s="28">
        <f>IF(X586=MAXIFS(X$2:X$721, A$2:A$721, A586, B$2:B$721, B586), "OPTIMAL", "")</f>
        <v/>
      </c>
    </row>
    <row r="587" ht="20" customHeight="1">
      <c r="A587" s="29" t="n">
        <v>-18</v>
      </c>
      <c r="B587" s="29" t="n">
        <v>35</v>
      </c>
      <c r="C587" s="30" t="n">
        <v>120</v>
      </c>
      <c r="D587" s="30" t="n">
        <v>3</v>
      </c>
      <c r="E587" s="6" t="n">
        <v>4</v>
      </c>
      <c r="F587" s="30" t="n">
        <v>1.5</v>
      </c>
      <c r="G587" s="6" t="inlineStr">
        <is>
          <t>Oui</t>
        </is>
      </c>
      <c r="H587" s="6" t="inlineStr">
        <is>
          <t>OFF</t>
        </is>
      </c>
      <c r="I587" s="31" t="n">
        <v>744.7528686370244</v>
      </c>
      <c r="J587" s="31" t="n">
        <v>6550.668683077564</v>
      </c>
      <c r="K587" s="31" t="n">
        <v>4222.222222222223</v>
      </c>
      <c r="L587" s="31" t="n">
        <v>150</v>
      </c>
      <c r="M587" s="31">
        <f>I587+J587+K587+L587</f>
        <v/>
      </c>
      <c r="N587" s="31">
        <f>M587*Dashboard!$B$18/(Dashboard!$B$16/3.6)</f>
        <v/>
      </c>
      <c r="O587" s="31" t="n">
        <v>875.328548773601</v>
      </c>
      <c r="P587" s="32" t="n">
        <v>0.2715077102234196</v>
      </c>
      <c r="Q587" s="33" t="n">
        <v>5.689672816037082</v>
      </c>
      <c r="R587" s="31" t="n">
        <v>814.3340926008436</v>
      </c>
      <c r="S587" s="31">
        <f>R587*IF(A587=4, 2.0, 3.0)</f>
        <v/>
      </c>
      <c r="T587" s="30">
        <f>8.0*U587</f>
        <v/>
      </c>
      <c r="U587" s="34">
        <f>MIN(1, S587/M587)</f>
        <v/>
      </c>
      <c r="V587" s="34">
        <f>N587/(N587+O587)</f>
        <v/>
      </c>
      <c r="W587" s="34">
        <f>U587*V587</f>
        <v/>
      </c>
      <c r="X587" s="32">
        <f>T587/N587</f>
        <v/>
      </c>
      <c r="Y587" s="35">
        <f>IF(X587=MAXIFS(X$2:X$721, A$2:A$721, A587, B$2:B$721, B587), "OPTIMAL", "")</f>
        <v/>
      </c>
    </row>
    <row r="588" ht="20" customHeight="1">
      <c r="A588" s="21" t="n">
        <v>-18</v>
      </c>
      <c r="B588" s="21" t="n">
        <v>35</v>
      </c>
      <c r="C588" s="22" t="n">
        <v>120</v>
      </c>
      <c r="D588" s="22" t="n">
        <v>3</v>
      </c>
      <c r="E588" s="23" t="n">
        <v>4</v>
      </c>
      <c r="F588" s="22" t="n">
        <v>1.5</v>
      </c>
      <c r="G588" s="23" t="inlineStr">
        <is>
          <t>Non</t>
        </is>
      </c>
      <c r="H588" s="23" t="inlineStr">
        <is>
          <t>ON</t>
        </is>
      </c>
      <c r="I588" s="24" t="n">
        <v>744.7528686370244</v>
      </c>
      <c r="J588" s="24" t="n">
        <v>6550.668683077564</v>
      </c>
      <c r="K588" s="24" t="n">
        <v>4222.222222222223</v>
      </c>
      <c r="L588" s="24" t="n">
        <v>150</v>
      </c>
      <c r="M588" s="24">
        <f>I588+J588+K588+L588</f>
        <v/>
      </c>
      <c r="N588" s="24">
        <f>M588*Dashboard!$B$18/(Dashboard!$B$16/3.6)</f>
        <v/>
      </c>
      <c r="O588" s="24" t="n">
        <v>875.328548773601</v>
      </c>
      <c r="P588" s="25" t="n">
        <v>0.06518191488281506</v>
      </c>
      <c r="Q588" s="26" t="n">
        <v>5.689672816037082</v>
      </c>
      <c r="R588" s="24" t="n">
        <v>3392.014260955882</v>
      </c>
      <c r="S588" s="24">
        <f>R588*IF(A588=4, 2.0, 3.0)</f>
        <v/>
      </c>
      <c r="T588" s="22">
        <f>8.0*U588</f>
        <v/>
      </c>
      <c r="U588" s="27">
        <f>MIN(1, S588/M588)</f>
        <v/>
      </c>
      <c r="V588" s="27">
        <f>N588/(N588+O588)</f>
        <v/>
      </c>
      <c r="W588" s="27">
        <f>U588*V588</f>
        <v/>
      </c>
      <c r="X588" s="25">
        <f>T588/N588</f>
        <v/>
      </c>
      <c r="Y588" s="28">
        <f>IF(X588=MAXIFS(X$2:X$721, A$2:A$721, A588, B$2:B$721, B588), "OPTIMAL", "")</f>
        <v/>
      </c>
    </row>
    <row r="589" ht="20" customHeight="1">
      <c r="A589" s="29" t="n">
        <v>-18</v>
      </c>
      <c r="B589" s="29" t="n">
        <v>35</v>
      </c>
      <c r="C589" s="30" t="n">
        <v>120</v>
      </c>
      <c r="D589" s="30" t="n">
        <v>3</v>
      </c>
      <c r="E589" s="6" t="n">
        <v>4</v>
      </c>
      <c r="F589" s="30" t="n">
        <v>1.5</v>
      </c>
      <c r="G589" s="6" t="inlineStr">
        <is>
          <t>Non</t>
        </is>
      </c>
      <c r="H589" s="6" t="inlineStr">
        <is>
          <t>OFF</t>
        </is>
      </c>
      <c r="I589" s="31" t="n">
        <v>744.7528686370244</v>
      </c>
      <c r="J589" s="31" t="n">
        <v>6550.668683077564</v>
      </c>
      <c r="K589" s="31" t="n">
        <v>4222.222222222223</v>
      </c>
      <c r="L589" s="31" t="n">
        <v>150</v>
      </c>
      <c r="M589" s="31">
        <f>I589+J589+K589+L589</f>
        <v/>
      </c>
      <c r="N589" s="31">
        <f>M589*Dashboard!$B$18/(Dashboard!$B$16/3.6)</f>
        <v/>
      </c>
      <c r="O589" s="31" t="n">
        <v>875.328548773601</v>
      </c>
      <c r="P589" s="32" t="n">
        <v>0.2688551278385546</v>
      </c>
      <c r="Q589" s="33" t="n">
        <v>5.689672816037082</v>
      </c>
      <c r="R589" s="31" t="n">
        <v>822.3684875063598</v>
      </c>
      <c r="S589" s="31">
        <f>R589*IF(A589=4, 2.0, 3.0)</f>
        <v/>
      </c>
      <c r="T589" s="30">
        <f>8.0*U589</f>
        <v/>
      </c>
      <c r="U589" s="34">
        <f>MIN(1, S589/M589)</f>
        <v/>
      </c>
      <c r="V589" s="34">
        <f>N589/(N589+O589)</f>
        <v/>
      </c>
      <c r="W589" s="34">
        <f>U589*V589</f>
        <v/>
      </c>
      <c r="X589" s="32">
        <f>T589/N589</f>
        <v/>
      </c>
      <c r="Y589" s="35">
        <f>IF(X589=MAXIFS(X$2:X$721, A$2:A$721, A589, B$2:B$721, B589), "OPTIMAL", "")</f>
        <v/>
      </c>
    </row>
    <row r="590" ht="20" customHeight="1">
      <c r="A590" s="21" t="n">
        <v>-18</v>
      </c>
      <c r="B590" s="21" t="n">
        <v>35</v>
      </c>
      <c r="C590" s="22" t="n">
        <v>120</v>
      </c>
      <c r="D590" s="22" t="n">
        <v>3</v>
      </c>
      <c r="E590" s="23" t="n">
        <v>4</v>
      </c>
      <c r="F590" s="22" t="n">
        <v>2</v>
      </c>
      <c r="G590" s="23" t="inlineStr">
        <is>
          <t>Oui</t>
        </is>
      </c>
      <c r="H590" s="23" t="inlineStr">
        <is>
          <t>ON</t>
        </is>
      </c>
      <c r="I590" s="24" t="n">
        <v>744.7528686370244</v>
      </c>
      <c r="J590" s="24" t="n">
        <v>6550.668683077564</v>
      </c>
      <c r="K590" s="24" t="n">
        <v>4222.222222222223</v>
      </c>
      <c r="L590" s="24" t="n">
        <v>150</v>
      </c>
      <c r="M590" s="24">
        <f>I590+J590+K590+L590</f>
        <v/>
      </c>
      <c r="N590" s="24">
        <f>M590*Dashboard!$B$18/(Dashboard!$B$16/3.6)</f>
        <v/>
      </c>
      <c r="O590" s="24" t="n">
        <v>956.4620408624461</v>
      </c>
      <c r="P590" s="25" t="n">
        <v>0.06458187918791126</v>
      </c>
      <c r="Q590" s="26" t="n">
        <v>7.519563754716109</v>
      </c>
      <c r="R590" s="24" t="n">
        <v>3455.252823852702</v>
      </c>
      <c r="S590" s="24">
        <f>R590*IF(A590=4, 2.0, 3.0)</f>
        <v/>
      </c>
      <c r="T590" s="22">
        <f>8.0*U590</f>
        <v/>
      </c>
      <c r="U590" s="27">
        <f>MIN(1, S590/M590)</f>
        <v/>
      </c>
      <c r="V590" s="27">
        <f>N590/(N590+O590)</f>
        <v/>
      </c>
      <c r="W590" s="27">
        <f>U590*V590</f>
        <v/>
      </c>
      <c r="X590" s="25">
        <f>T590/N590</f>
        <v/>
      </c>
      <c r="Y590" s="28">
        <f>IF(X590=MAXIFS(X$2:X$721, A$2:A$721, A590, B$2:B$721, B590), "OPTIMAL", "")</f>
        <v/>
      </c>
    </row>
    <row r="591" ht="20" customHeight="1">
      <c r="A591" s="29" t="n">
        <v>-18</v>
      </c>
      <c r="B591" s="29" t="n">
        <v>35</v>
      </c>
      <c r="C591" s="30" t="n">
        <v>120</v>
      </c>
      <c r="D591" s="30" t="n">
        <v>3</v>
      </c>
      <c r="E591" s="6" t="n">
        <v>4</v>
      </c>
      <c r="F591" s="30" t="n">
        <v>2</v>
      </c>
      <c r="G591" s="6" t="inlineStr">
        <is>
          <t>Oui</t>
        </is>
      </c>
      <c r="H591" s="6" t="inlineStr">
        <is>
          <t>OFF</t>
        </is>
      </c>
      <c r="I591" s="31" t="n">
        <v>744.7528686370244</v>
      </c>
      <c r="J591" s="31" t="n">
        <v>6550.668683077564</v>
      </c>
      <c r="K591" s="31" t="n">
        <v>4222.222222222223</v>
      </c>
      <c r="L591" s="31" t="n">
        <v>150</v>
      </c>
      <c r="M591" s="31">
        <f>I591+J591+K591+L591</f>
        <v/>
      </c>
      <c r="N591" s="31">
        <f>M591*Dashboard!$B$18/(Dashboard!$B$16/3.6)</f>
        <v/>
      </c>
      <c r="O591" s="31" t="n">
        <v>956.4620408624461</v>
      </c>
      <c r="P591" s="32" t="n">
        <v>0.2690865884190716</v>
      </c>
      <c r="Q591" s="33" t="n">
        <v>7.519563754716109</v>
      </c>
      <c r="R591" s="31" t="n">
        <v>829.2747763638777</v>
      </c>
      <c r="S591" s="31">
        <f>R591*IF(A591=4, 2.0, 3.0)</f>
        <v/>
      </c>
      <c r="T591" s="30">
        <f>8.0*U591</f>
        <v/>
      </c>
      <c r="U591" s="34">
        <f>MIN(1, S591/M591)</f>
        <v/>
      </c>
      <c r="V591" s="34">
        <f>N591/(N591+O591)</f>
        <v/>
      </c>
      <c r="W591" s="34">
        <f>U591*V591</f>
        <v/>
      </c>
      <c r="X591" s="32">
        <f>T591/N591</f>
        <v/>
      </c>
      <c r="Y591" s="35">
        <f>IF(X591=MAXIFS(X$2:X$721, A$2:A$721, A591, B$2:B$721, B591), "OPTIMAL", "")</f>
        <v/>
      </c>
    </row>
    <row r="592" ht="20" customHeight="1">
      <c r="A592" s="21" t="n">
        <v>-18</v>
      </c>
      <c r="B592" s="21" t="n">
        <v>35</v>
      </c>
      <c r="C592" s="22" t="n">
        <v>120</v>
      </c>
      <c r="D592" s="22" t="n">
        <v>3</v>
      </c>
      <c r="E592" s="23" t="n">
        <v>4</v>
      </c>
      <c r="F592" s="22" t="n">
        <v>2</v>
      </c>
      <c r="G592" s="23" t="inlineStr">
        <is>
          <t>Non</t>
        </is>
      </c>
      <c r="H592" s="23" t="inlineStr">
        <is>
          <t>ON</t>
        </is>
      </c>
      <c r="I592" s="24" t="n">
        <v>744.7528686370244</v>
      </c>
      <c r="J592" s="24" t="n">
        <v>6550.668683077564</v>
      </c>
      <c r="K592" s="24" t="n">
        <v>4222.222222222223</v>
      </c>
      <c r="L592" s="24" t="n">
        <v>150</v>
      </c>
      <c r="M592" s="24">
        <f>I592+J592+K592+L592</f>
        <v/>
      </c>
      <c r="N592" s="24">
        <f>M592*Dashboard!$B$18/(Dashboard!$B$16/3.6)</f>
        <v/>
      </c>
      <c r="O592" s="24" t="n">
        <v>956.4620408624461</v>
      </c>
      <c r="P592" s="25" t="n">
        <v>0.06192929680304634</v>
      </c>
      <c r="Q592" s="26" t="n">
        <v>7.519563754716109</v>
      </c>
      <c r="R592" s="24" t="n">
        <v>3603.249704956567</v>
      </c>
      <c r="S592" s="24">
        <f>R592*IF(A592=4, 2.0, 3.0)</f>
        <v/>
      </c>
      <c r="T592" s="22">
        <f>8.0*U592</f>
        <v/>
      </c>
      <c r="U592" s="27">
        <f>MIN(1, S592/M592)</f>
        <v/>
      </c>
      <c r="V592" s="27">
        <f>N592/(N592+O592)</f>
        <v/>
      </c>
      <c r="W592" s="27">
        <f>U592*V592</f>
        <v/>
      </c>
      <c r="X592" s="25">
        <f>T592/N592</f>
        <v/>
      </c>
      <c r="Y592" s="28">
        <f>IF(X592=MAXIFS(X$2:X$721, A$2:A$721, A592, B$2:B$721, B592), "OPTIMAL", "")</f>
        <v/>
      </c>
    </row>
    <row r="593" ht="20" customHeight="1">
      <c r="A593" s="29" t="n">
        <v>-18</v>
      </c>
      <c r="B593" s="29" t="n">
        <v>35</v>
      </c>
      <c r="C593" s="30" t="n">
        <v>120</v>
      </c>
      <c r="D593" s="30" t="n">
        <v>3</v>
      </c>
      <c r="E593" s="6" t="n">
        <v>4</v>
      </c>
      <c r="F593" s="30" t="n">
        <v>2</v>
      </c>
      <c r="G593" s="6" t="inlineStr">
        <is>
          <t>Non</t>
        </is>
      </c>
      <c r="H593" s="6" t="inlineStr">
        <is>
          <t>OFF</t>
        </is>
      </c>
      <c r="I593" s="31" t="n">
        <v>744.7528686370244</v>
      </c>
      <c r="J593" s="31" t="n">
        <v>6550.668683077564</v>
      </c>
      <c r="K593" s="31" t="n">
        <v>4222.222222222223</v>
      </c>
      <c r="L593" s="31" t="n">
        <v>150</v>
      </c>
      <c r="M593" s="31">
        <f>I593+J593+K593+L593</f>
        <v/>
      </c>
      <c r="N593" s="31">
        <f>M593*Dashboard!$B$18/(Dashboard!$B$16/3.6)</f>
        <v/>
      </c>
      <c r="O593" s="31" t="n">
        <v>956.4620408624461</v>
      </c>
      <c r="P593" s="32" t="n">
        <v>0.2664340060342067</v>
      </c>
      <c r="Q593" s="33" t="n">
        <v>7.519563754716109</v>
      </c>
      <c r="R593" s="31" t="n">
        <v>837.5309284096987</v>
      </c>
      <c r="S593" s="31">
        <f>R593*IF(A593=4, 2.0, 3.0)</f>
        <v/>
      </c>
      <c r="T593" s="30">
        <f>8.0*U593</f>
        <v/>
      </c>
      <c r="U593" s="34">
        <f>MIN(1, S593/M593)</f>
        <v/>
      </c>
      <c r="V593" s="34">
        <f>N593/(N593+O593)</f>
        <v/>
      </c>
      <c r="W593" s="34">
        <f>U593*V593</f>
        <v/>
      </c>
      <c r="X593" s="32">
        <f>T593/N593</f>
        <v/>
      </c>
      <c r="Y593" s="35">
        <f>IF(X593=MAXIFS(X$2:X$721, A$2:A$721, A593, B$2:B$721, B593), "OPTIMAL", "")</f>
        <v/>
      </c>
    </row>
    <row r="594" ht="20" customHeight="1">
      <c r="A594" s="36" t="n">
        <v>-18</v>
      </c>
      <c r="B594" s="36" t="n">
        <v>35</v>
      </c>
      <c r="C594" s="37" t="n">
        <v>120</v>
      </c>
      <c r="D594" s="37" t="n">
        <v>3</v>
      </c>
      <c r="E594" s="38" t="n">
        <v>8</v>
      </c>
      <c r="F594" s="37" t="n">
        <v>1.5</v>
      </c>
      <c r="G594" s="38" t="inlineStr">
        <is>
          <t>Oui</t>
        </is>
      </c>
      <c r="H594" s="38" t="inlineStr">
        <is>
          <t>ON</t>
        </is>
      </c>
      <c r="I594" s="39" t="n">
        <v>744.7528686370244</v>
      </c>
      <c r="J594" s="39" t="n">
        <v>6550.668683077564</v>
      </c>
      <c r="K594" s="39" t="n">
        <v>4222.222222222223</v>
      </c>
      <c r="L594" s="39" t="n">
        <v>150</v>
      </c>
      <c r="M594" s="39">
        <f>I594+J594+K594+L594</f>
        <v/>
      </c>
      <c r="N594" s="39">
        <f>M594*Dashboard!$B$18/(Dashboard!$B$16/3.6)</f>
        <v/>
      </c>
      <c r="O594" s="39" t="n">
        <v>1123.324988534767</v>
      </c>
      <c r="P594" s="40" t="n">
        <v>0.05144850932496671</v>
      </c>
      <c r="Q594" s="41" t="n">
        <v>11.17934563207417</v>
      </c>
      <c r="R594" s="39" t="n">
        <v>4419.180442632178</v>
      </c>
      <c r="S594" s="39">
        <f>R594*IF(A594=4, 2.0, 3.0)</f>
        <v/>
      </c>
      <c r="T594" s="37">
        <f>8.0*U594</f>
        <v/>
      </c>
      <c r="U594" s="42">
        <f>MIN(1, S594/M594)</f>
        <v/>
      </c>
      <c r="V594" s="42">
        <f>N594/(N594+O594)</f>
        <v/>
      </c>
      <c r="W594" s="42">
        <f>U594*V594</f>
        <v/>
      </c>
      <c r="X594" s="40">
        <f>T594/N594</f>
        <v/>
      </c>
      <c r="Y594" s="15">
        <f>IF(X594=MAXIFS(X$2:X$721, A$2:A$721, A594, B$2:B$721, B594), "OPTIMAL", "")</f>
        <v/>
      </c>
    </row>
    <row r="595" ht="20" customHeight="1">
      <c r="A595" s="29" t="n">
        <v>-18</v>
      </c>
      <c r="B595" s="29" t="n">
        <v>35</v>
      </c>
      <c r="C595" s="30" t="n">
        <v>120</v>
      </c>
      <c r="D595" s="30" t="n">
        <v>3</v>
      </c>
      <c r="E595" s="6" t="n">
        <v>8</v>
      </c>
      <c r="F595" s="30" t="n">
        <v>1.5</v>
      </c>
      <c r="G595" s="6" t="inlineStr">
        <is>
          <t>Oui</t>
        </is>
      </c>
      <c r="H595" s="6" t="inlineStr">
        <is>
          <t>OFF</t>
        </is>
      </c>
      <c r="I595" s="31" t="n">
        <v>744.7528686370244</v>
      </c>
      <c r="J595" s="31" t="n">
        <v>6550.668683077564</v>
      </c>
      <c r="K595" s="31" t="n">
        <v>4222.222222222223</v>
      </c>
      <c r="L595" s="31" t="n">
        <v>150</v>
      </c>
      <c r="M595" s="31">
        <f>I595+J595+K595+L595</f>
        <v/>
      </c>
      <c r="N595" s="31">
        <f>M595*Dashboard!$B$18/(Dashboard!$B$16/3.6)</f>
        <v/>
      </c>
      <c r="O595" s="31" t="n">
        <v>1123.324988534767</v>
      </c>
      <c r="P595" s="32" t="n">
        <v>0.2167441267000743</v>
      </c>
      <c r="Q595" s="33" t="n">
        <v>11.17934563207417</v>
      </c>
      <c r="R595" s="31" t="n">
        <v>1048.979963946558</v>
      </c>
      <c r="S595" s="31">
        <f>R595*IF(A595=4, 2.0, 3.0)</f>
        <v/>
      </c>
      <c r="T595" s="30">
        <f>8.0*U595</f>
        <v/>
      </c>
      <c r="U595" s="34">
        <f>MIN(1, S595/M595)</f>
        <v/>
      </c>
      <c r="V595" s="34">
        <f>N595/(N595+O595)</f>
        <v/>
      </c>
      <c r="W595" s="34">
        <f>U595*V595</f>
        <v/>
      </c>
      <c r="X595" s="32">
        <f>T595/N595</f>
        <v/>
      </c>
      <c r="Y595" s="35">
        <f>IF(X595=MAXIFS(X$2:X$721, A$2:A$721, A595, B$2:B$721, B595), "OPTIMAL", "")</f>
        <v/>
      </c>
    </row>
    <row r="596" ht="20" customHeight="1">
      <c r="A596" s="36" t="n">
        <v>-18</v>
      </c>
      <c r="B596" s="36" t="n">
        <v>35</v>
      </c>
      <c r="C596" s="37" t="n">
        <v>120</v>
      </c>
      <c r="D596" s="37" t="n">
        <v>3</v>
      </c>
      <c r="E596" s="38" t="n">
        <v>8</v>
      </c>
      <c r="F596" s="37" t="n">
        <v>1.5</v>
      </c>
      <c r="G596" s="38" t="inlineStr">
        <is>
          <t>Non</t>
        </is>
      </c>
      <c r="H596" s="38" t="inlineStr">
        <is>
          <t>ON</t>
        </is>
      </c>
      <c r="I596" s="39" t="n">
        <v>744.7528686370244</v>
      </c>
      <c r="J596" s="39" t="n">
        <v>6550.668683077564</v>
      </c>
      <c r="K596" s="39" t="n">
        <v>4222.222222222223</v>
      </c>
      <c r="L596" s="39" t="n">
        <v>150</v>
      </c>
      <c r="M596" s="39">
        <f>I596+J596+K596+L596</f>
        <v/>
      </c>
      <c r="N596" s="39">
        <f>M596*Dashboard!$B$18/(Dashboard!$B$16/3.6)</f>
        <v/>
      </c>
      <c r="O596" s="39" t="n">
        <v>1123.324988534767</v>
      </c>
      <c r="P596" s="40" t="n">
        <v>0.04879592694010178</v>
      </c>
      <c r="Q596" s="41" t="n">
        <v>11.17934563207417</v>
      </c>
      <c r="R596" s="39" t="n">
        <v>4659.41033337808</v>
      </c>
      <c r="S596" s="39">
        <f>R596*IF(A596=4, 2.0, 3.0)</f>
        <v/>
      </c>
      <c r="T596" s="37">
        <f>8.0*U596</f>
        <v/>
      </c>
      <c r="U596" s="42">
        <f>MIN(1, S596/M596)</f>
        <v/>
      </c>
      <c r="V596" s="42">
        <f>N596/(N596+O596)</f>
        <v/>
      </c>
      <c r="W596" s="42">
        <f>U596*V596</f>
        <v/>
      </c>
      <c r="X596" s="40">
        <f>T596/N596</f>
        <v/>
      </c>
      <c r="Y596" s="15">
        <f>IF(X596=MAXIFS(X$2:X$721, A$2:A$721, A596, B$2:B$721, B596), "OPTIMAL", "")</f>
        <v/>
      </c>
    </row>
    <row r="597" ht="20" customHeight="1">
      <c r="A597" s="29" t="n">
        <v>-18</v>
      </c>
      <c r="B597" s="29" t="n">
        <v>35</v>
      </c>
      <c r="C597" s="30" t="n">
        <v>120</v>
      </c>
      <c r="D597" s="30" t="n">
        <v>3</v>
      </c>
      <c r="E597" s="6" t="n">
        <v>8</v>
      </c>
      <c r="F597" s="30" t="n">
        <v>1.5</v>
      </c>
      <c r="G597" s="6" t="inlineStr">
        <is>
          <t>Non</t>
        </is>
      </c>
      <c r="H597" s="6" t="inlineStr">
        <is>
          <t>OFF</t>
        </is>
      </c>
      <c r="I597" s="31" t="n">
        <v>744.7528686370244</v>
      </c>
      <c r="J597" s="31" t="n">
        <v>6550.668683077564</v>
      </c>
      <c r="K597" s="31" t="n">
        <v>4222.222222222223</v>
      </c>
      <c r="L597" s="31" t="n">
        <v>150</v>
      </c>
      <c r="M597" s="31">
        <f>I597+J597+K597+L597</f>
        <v/>
      </c>
      <c r="N597" s="31">
        <f>M597*Dashboard!$B$18/(Dashboard!$B$16/3.6)</f>
        <v/>
      </c>
      <c r="O597" s="31" t="n">
        <v>1123.324988534767</v>
      </c>
      <c r="P597" s="32" t="n">
        <v>0.2140915443152093</v>
      </c>
      <c r="Q597" s="33" t="n">
        <v>11.17934563207417</v>
      </c>
      <c r="R597" s="31" t="n">
        <v>1061.97676764257</v>
      </c>
      <c r="S597" s="31">
        <f>R597*IF(A597=4, 2.0, 3.0)</f>
        <v/>
      </c>
      <c r="T597" s="30">
        <f>8.0*U597</f>
        <v/>
      </c>
      <c r="U597" s="34">
        <f>MIN(1, S597/M597)</f>
        <v/>
      </c>
      <c r="V597" s="34">
        <f>N597/(N597+O597)</f>
        <v/>
      </c>
      <c r="W597" s="34">
        <f>U597*V597</f>
        <v/>
      </c>
      <c r="X597" s="32">
        <f>T597/N597</f>
        <v/>
      </c>
      <c r="Y597" s="35">
        <f>IF(X597=MAXIFS(X$2:X$721, A$2:A$721, A597, B$2:B$721, B597), "OPTIMAL", "")</f>
        <v/>
      </c>
    </row>
    <row r="598" ht="20" customHeight="1">
      <c r="A598" s="36" t="n">
        <v>-18</v>
      </c>
      <c r="B598" s="36" t="n">
        <v>35</v>
      </c>
      <c r="C598" s="37" t="n">
        <v>120</v>
      </c>
      <c r="D598" s="37" t="n">
        <v>3</v>
      </c>
      <c r="E598" s="38" t="n">
        <v>8</v>
      </c>
      <c r="F598" s="37" t="n">
        <v>2</v>
      </c>
      <c r="G598" s="38" t="inlineStr">
        <is>
          <t>Oui</t>
        </is>
      </c>
      <c r="H598" s="38" t="inlineStr">
        <is>
          <t>ON</t>
        </is>
      </c>
      <c r="I598" s="39" t="n">
        <v>744.7528686370244</v>
      </c>
      <c r="J598" s="39" t="n">
        <v>6550.668683077564</v>
      </c>
      <c r="K598" s="39" t="n">
        <v>4222.222222222223</v>
      </c>
      <c r="L598" s="39" t="n">
        <v>150</v>
      </c>
      <c r="M598" s="39">
        <f>I598+J598+K598+L598</f>
        <v/>
      </c>
      <c r="N598" s="39">
        <f>M598*Dashboard!$B$18/(Dashboard!$B$16/3.6)</f>
        <v/>
      </c>
      <c r="O598" s="39" t="n">
        <v>1296.610729538814</v>
      </c>
      <c r="P598" s="40" t="n">
        <v>0.04989331996011</v>
      </c>
      <c r="Q598" s="41" t="n">
        <v>14.83912750943222</v>
      </c>
      <c r="R598" s="39" t="n">
        <v>4644.628916326091</v>
      </c>
      <c r="S598" s="39">
        <f>R598*IF(A598=4, 2.0, 3.0)</f>
        <v/>
      </c>
      <c r="T598" s="37">
        <f>8.0*U598</f>
        <v/>
      </c>
      <c r="U598" s="42">
        <f>MIN(1, S598/M598)</f>
        <v/>
      </c>
      <c r="V598" s="42">
        <f>N598/(N598+O598)</f>
        <v/>
      </c>
      <c r="W598" s="42">
        <f>U598*V598</f>
        <v/>
      </c>
      <c r="X598" s="40">
        <f>T598/N598</f>
        <v/>
      </c>
      <c r="Y598" s="15">
        <f>IF(X598=MAXIFS(X$2:X$721, A$2:A$721, A598, B$2:B$721, B598), "OPTIMAL", "")</f>
        <v/>
      </c>
    </row>
    <row r="599" ht="20" customHeight="1">
      <c r="A599" s="29" t="n">
        <v>-18</v>
      </c>
      <c r="B599" s="29" t="n">
        <v>35</v>
      </c>
      <c r="C599" s="30" t="n">
        <v>120</v>
      </c>
      <c r="D599" s="30" t="n">
        <v>3</v>
      </c>
      <c r="E599" s="6" t="n">
        <v>8</v>
      </c>
      <c r="F599" s="30" t="n">
        <v>2</v>
      </c>
      <c r="G599" s="6" t="inlineStr">
        <is>
          <t>Oui</t>
        </is>
      </c>
      <c r="H599" s="6" t="inlineStr">
        <is>
          <t>OFF</t>
        </is>
      </c>
      <c r="I599" s="31" t="n">
        <v>744.7528686370244</v>
      </c>
      <c r="J599" s="31" t="n">
        <v>6550.668683077564</v>
      </c>
      <c r="K599" s="31" t="n">
        <v>4222.222222222223</v>
      </c>
      <c r="L599" s="31" t="n">
        <v>150</v>
      </c>
      <c r="M599" s="31">
        <f>I599+J599+K599+L599</f>
        <v/>
      </c>
      <c r="N599" s="31">
        <f>M599*Dashboard!$B$18/(Dashboard!$B$16/3.6)</f>
        <v/>
      </c>
      <c r="O599" s="31" t="n">
        <v>1296.610729538814</v>
      </c>
      <c r="P599" s="32" t="n">
        <v>0.2162873761903785</v>
      </c>
      <c r="Q599" s="33" t="n">
        <v>14.83912750943222</v>
      </c>
      <c r="R599" s="31" t="n">
        <v>1071.426177061116</v>
      </c>
      <c r="S599" s="31">
        <f>R599*IF(A599=4, 2.0, 3.0)</f>
        <v/>
      </c>
      <c r="T599" s="30">
        <f>8.0*U599</f>
        <v/>
      </c>
      <c r="U599" s="34">
        <f>MIN(1, S599/M599)</f>
        <v/>
      </c>
      <c r="V599" s="34">
        <f>N599/(N599+O599)</f>
        <v/>
      </c>
      <c r="W599" s="34">
        <f>U599*V599</f>
        <v/>
      </c>
      <c r="X599" s="32">
        <f>T599/N599</f>
        <v/>
      </c>
      <c r="Y599" s="35">
        <f>IF(X599=MAXIFS(X$2:X$721, A$2:A$721, A599, B$2:B$721, B599), "OPTIMAL", "")</f>
        <v/>
      </c>
    </row>
    <row r="600" ht="20" customHeight="1">
      <c r="A600" s="36" t="n">
        <v>-18</v>
      </c>
      <c r="B600" s="36" t="n">
        <v>35</v>
      </c>
      <c r="C600" s="37" t="n">
        <v>120</v>
      </c>
      <c r="D600" s="37" t="n">
        <v>3</v>
      </c>
      <c r="E600" s="38" t="n">
        <v>8</v>
      </c>
      <c r="F600" s="37" t="n">
        <v>2</v>
      </c>
      <c r="G600" s="38" t="inlineStr">
        <is>
          <t>Non</t>
        </is>
      </c>
      <c r="H600" s="38" t="inlineStr">
        <is>
          <t>ON</t>
        </is>
      </c>
      <c r="I600" s="39" t="n">
        <v>744.7528686370244</v>
      </c>
      <c r="J600" s="39" t="n">
        <v>6550.668683077564</v>
      </c>
      <c r="K600" s="39" t="n">
        <v>4222.222222222223</v>
      </c>
      <c r="L600" s="39" t="n">
        <v>150</v>
      </c>
      <c r="M600" s="39">
        <f>I600+J600+K600+L600</f>
        <v/>
      </c>
      <c r="N600" s="39">
        <f>M600*Dashboard!$B$18/(Dashboard!$B$16/3.6)</f>
        <v/>
      </c>
      <c r="O600" s="39" t="n">
        <v>1296.610729538814</v>
      </c>
      <c r="P600" s="40" t="n">
        <v>0.04724073757524508</v>
      </c>
      <c r="Q600" s="41" t="n">
        <v>14.83912750943222</v>
      </c>
      <c r="R600" s="39" t="n">
        <v>4905.426301804189</v>
      </c>
      <c r="S600" s="39">
        <f>R600*IF(A600=4, 2.0, 3.0)</f>
        <v/>
      </c>
      <c r="T600" s="37">
        <f>8.0*U600</f>
        <v/>
      </c>
      <c r="U600" s="42">
        <f>MIN(1, S600/M600)</f>
        <v/>
      </c>
      <c r="V600" s="42">
        <f>N600/(N600+O600)</f>
        <v/>
      </c>
      <c r="W600" s="42">
        <f>U600*V600</f>
        <v/>
      </c>
      <c r="X600" s="40">
        <f>T600/N600</f>
        <v/>
      </c>
      <c r="Y600" s="15">
        <f>IF(X600=MAXIFS(X$2:X$721, A$2:A$721, A600, B$2:B$721, B600), "OPTIMAL", "")</f>
        <v/>
      </c>
    </row>
    <row r="601" ht="20" customHeight="1">
      <c r="A601" s="29" t="n">
        <v>-18</v>
      </c>
      <c r="B601" s="29" t="n">
        <v>35</v>
      </c>
      <c r="C601" s="30" t="n">
        <v>120</v>
      </c>
      <c r="D601" s="30" t="n">
        <v>3</v>
      </c>
      <c r="E601" s="6" t="n">
        <v>8</v>
      </c>
      <c r="F601" s="30" t="n">
        <v>2</v>
      </c>
      <c r="G601" s="6" t="inlineStr">
        <is>
          <t>Non</t>
        </is>
      </c>
      <c r="H601" s="6" t="inlineStr">
        <is>
          <t>OFF</t>
        </is>
      </c>
      <c r="I601" s="31" t="n">
        <v>744.7528686370244</v>
      </c>
      <c r="J601" s="31" t="n">
        <v>6550.668683077564</v>
      </c>
      <c r="K601" s="31" t="n">
        <v>4222.222222222223</v>
      </c>
      <c r="L601" s="31" t="n">
        <v>150</v>
      </c>
      <c r="M601" s="31">
        <f>I601+J601+K601+L601</f>
        <v/>
      </c>
      <c r="N601" s="31">
        <f>M601*Dashboard!$B$18/(Dashboard!$B$16/3.6)</f>
        <v/>
      </c>
      <c r="O601" s="31" t="n">
        <v>1296.610729538814</v>
      </c>
      <c r="P601" s="32" t="n">
        <v>0.2136347938055135</v>
      </c>
      <c r="Q601" s="33" t="n">
        <v>14.83912750943222</v>
      </c>
      <c r="R601" s="31" t="n">
        <v>1084.729469812871</v>
      </c>
      <c r="S601" s="31">
        <f>R601*IF(A601=4, 2.0, 3.0)</f>
        <v/>
      </c>
      <c r="T601" s="30">
        <f>8.0*U601</f>
        <v/>
      </c>
      <c r="U601" s="34">
        <f>MIN(1, S601/M601)</f>
        <v/>
      </c>
      <c r="V601" s="34">
        <f>N601/(N601+O601)</f>
        <v/>
      </c>
      <c r="W601" s="34">
        <f>U601*V601</f>
        <v/>
      </c>
      <c r="X601" s="32">
        <f>T601/N601</f>
        <v/>
      </c>
      <c r="Y601" s="35">
        <f>IF(X601=MAXIFS(X$2:X$721, A$2:A$721, A601, B$2:B$721, B601), "OPTIMAL", "")</f>
        <v/>
      </c>
    </row>
    <row r="602" ht="20" customHeight="1">
      <c r="A602" s="21" t="n">
        <v>-18</v>
      </c>
      <c r="B602" s="21" t="n">
        <v>45</v>
      </c>
      <c r="C602" s="22" t="n">
        <v>80</v>
      </c>
      <c r="D602" s="22" t="n">
        <v>2</v>
      </c>
      <c r="E602" s="23" t="n">
        <v>0</v>
      </c>
      <c r="F602" s="22" t="n">
        <v>0</v>
      </c>
      <c r="G602" s="23" t="inlineStr">
        <is>
          <t>Oui</t>
        </is>
      </c>
      <c r="H602" s="23" t="inlineStr">
        <is>
          <t>ON</t>
        </is>
      </c>
      <c r="I602" s="24" t="n">
        <v>885.2722778138215</v>
      </c>
      <c r="J602" s="24" t="n">
        <v>10520.73059103506</v>
      </c>
      <c r="K602" s="24" t="n">
        <v>5101.851851851852</v>
      </c>
      <c r="L602" s="24" t="n">
        <v>150</v>
      </c>
      <c r="M602" s="24">
        <f>I602+J602+K602+L602</f>
        <v/>
      </c>
      <c r="N602" s="24">
        <f>M602*Dashboard!$B$18/(Dashboard!$B$16/3.6)</f>
        <v/>
      </c>
      <c r="O602" s="24" t="n">
        <v>914.6212688100578</v>
      </c>
      <c r="P602" s="25" t="n">
        <v>0.5013778930875155</v>
      </c>
      <c r="Q602" s="26" t="n">
        <v>0.2</v>
      </c>
      <c r="R602" s="24" t="n">
        <v>1378.598749257427</v>
      </c>
      <c r="S602" s="24">
        <f>R602*IF(A602=4, 2.0, 3.0)</f>
        <v/>
      </c>
      <c r="T602" s="22">
        <f>8.0*U602</f>
        <v/>
      </c>
      <c r="U602" s="27">
        <f>MIN(1, S602/M602)</f>
        <v/>
      </c>
      <c r="V602" s="27">
        <f>N602/(N602+O602)</f>
        <v/>
      </c>
      <c r="W602" s="27">
        <f>U602*V602</f>
        <v/>
      </c>
      <c r="X602" s="25">
        <f>T602/N602</f>
        <v/>
      </c>
      <c r="Y602" s="28">
        <f>IF(X602=MAXIFS(X$2:X$721, A$2:A$721, A602, B$2:B$721, B602), "OPTIMAL", "")</f>
        <v/>
      </c>
    </row>
    <row r="603" ht="20" customHeight="1">
      <c r="A603" s="29" t="n">
        <v>-18</v>
      </c>
      <c r="B603" s="29" t="n">
        <v>45</v>
      </c>
      <c r="C603" s="30" t="n">
        <v>80</v>
      </c>
      <c r="D603" s="30" t="n">
        <v>2</v>
      </c>
      <c r="E603" s="6" t="n">
        <v>0</v>
      </c>
      <c r="F603" s="30" t="n">
        <v>0</v>
      </c>
      <c r="G603" s="6" t="inlineStr">
        <is>
          <t>Oui</t>
        </is>
      </c>
      <c r="H603" s="6" t="inlineStr">
        <is>
          <t>OFF</t>
        </is>
      </c>
      <c r="I603" s="31" t="n">
        <v>885.2722778138215</v>
      </c>
      <c r="J603" s="31" t="n">
        <v>10520.73059103506</v>
      </c>
      <c r="K603" s="31" t="n">
        <v>5101.851851851852</v>
      </c>
      <c r="L603" s="31" t="n">
        <v>150</v>
      </c>
      <c r="M603" s="31">
        <f>I603+J603+K603+L603</f>
        <v/>
      </c>
      <c r="N603" s="31">
        <f>M603*Dashboard!$B$18/(Dashboard!$B$16/3.6)</f>
        <v/>
      </c>
      <c r="O603" s="31" t="n">
        <v>914.6212688100578</v>
      </c>
      <c r="P603" s="32" t="n">
        <v>0.8992652508172538</v>
      </c>
      <c r="Q603" s="33" t="n">
        <v>0.2</v>
      </c>
      <c r="R603" s="31" t="n">
        <v>768.6263154142896</v>
      </c>
      <c r="S603" s="31">
        <f>R603*IF(A603=4, 2.0, 3.0)</f>
        <v/>
      </c>
      <c r="T603" s="30">
        <f>8.0*U603</f>
        <v/>
      </c>
      <c r="U603" s="34">
        <f>MIN(1, S603/M603)</f>
        <v/>
      </c>
      <c r="V603" s="34">
        <f>N603/(N603+O603)</f>
        <v/>
      </c>
      <c r="W603" s="34">
        <f>U603*V603</f>
        <v/>
      </c>
      <c r="X603" s="32">
        <f>T603/N603</f>
        <v/>
      </c>
      <c r="Y603" s="35">
        <f>IF(X603=MAXIFS(X$2:X$721, A$2:A$721, A603, B$2:B$721, B603), "OPTIMAL", "")</f>
        <v/>
      </c>
    </row>
    <row r="604" ht="20" customHeight="1">
      <c r="A604" s="21" t="n">
        <v>-18</v>
      </c>
      <c r="B604" s="21" t="n">
        <v>45</v>
      </c>
      <c r="C604" s="22" t="n">
        <v>80</v>
      </c>
      <c r="D604" s="22" t="n">
        <v>2</v>
      </c>
      <c r="E604" s="23" t="n">
        <v>0</v>
      </c>
      <c r="F604" s="22" t="n">
        <v>0</v>
      </c>
      <c r="G604" s="23" t="inlineStr">
        <is>
          <t>Non</t>
        </is>
      </c>
      <c r="H604" s="23" t="inlineStr">
        <is>
          <t>ON</t>
        </is>
      </c>
      <c r="I604" s="24" t="n">
        <v>885.2722778138215</v>
      </c>
      <c r="J604" s="24" t="n">
        <v>10520.73059103506</v>
      </c>
      <c r="K604" s="24" t="n">
        <v>5101.851851851852</v>
      </c>
      <c r="L604" s="24" t="n">
        <v>150</v>
      </c>
      <c r="M604" s="24">
        <f>I604+J604+K604+L604</f>
        <v/>
      </c>
      <c r="N604" s="24">
        <f>M604*Dashboard!$B$18/(Dashboard!$B$16/3.6)</f>
        <v/>
      </c>
      <c r="O604" s="24" t="n">
        <v>914.6212688100578</v>
      </c>
      <c r="P604" s="25" t="n">
        <v>0.4973990195102181</v>
      </c>
      <c r="Q604" s="26" t="n">
        <v>0.2</v>
      </c>
      <c r="R604" s="24" t="n">
        <v>1389.626656273643</v>
      </c>
      <c r="S604" s="24">
        <f>R604*IF(A604=4, 2.0, 3.0)</f>
        <v/>
      </c>
      <c r="T604" s="22">
        <f>8.0*U604</f>
        <v/>
      </c>
      <c r="U604" s="27">
        <f>MIN(1, S604/M604)</f>
        <v/>
      </c>
      <c r="V604" s="27">
        <f>N604/(N604+O604)</f>
        <v/>
      </c>
      <c r="W604" s="27">
        <f>U604*V604</f>
        <v/>
      </c>
      <c r="X604" s="25">
        <f>T604/N604</f>
        <v/>
      </c>
      <c r="Y604" s="28">
        <f>IF(X604=MAXIFS(X$2:X$721, A$2:A$721, A604, B$2:B$721, B604), "OPTIMAL", "")</f>
        <v/>
      </c>
    </row>
    <row r="605" ht="20" customHeight="1">
      <c r="A605" s="29" t="n">
        <v>-18</v>
      </c>
      <c r="B605" s="29" t="n">
        <v>45</v>
      </c>
      <c r="C605" s="30" t="n">
        <v>80</v>
      </c>
      <c r="D605" s="30" t="n">
        <v>2</v>
      </c>
      <c r="E605" s="6" t="n">
        <v>0</v>
      </c>
      <c r="F605" s="30" t="n">
        <v>0</v>
      </c>
      <c r="G605" s="6" t="inlineStr">
        <is>
          <t>Non</t>
        </is>
      </c>
      <c r="H605" s="6" t="inlineStr">
        <is>
          <t>OFF</t>
        </is>
      </c>
      <c r="I605" s="31" t="n">
        <v>885.2722778138215</v>
      </c>
      <c r="J605" s="31" t="n">
        <v>10520.73059103506</v>
      </c>
      <c r="K605" s="31" t="n">
        <v>5101.851851851852</v>
      </c>
      <c r="L605" s="31" t="n">
        <v>150</v>
      </c>
      <c r="M605" s="31">
        <f>I605+J605+K605+L605</f>
        <v/>
      </c>
      <c r="N605" s="31">
        <f>M605*Dashboard!$B$18/(Dashboard!$B$16/3.6)</f>
        <v/>
      </c>
      <c r="O605" s="31" t="n">
        <v>914.6212688100578</v>
      </c>
      <c r="P605" s="32" t="n">
        <v>0.8952863772399564</v>
      </c>
      <c r="Q605" s="33" t="n">
        <v>0.2</v>
      </c>
      <c r="R605" s="31" t="n">
        <v>772.0422804227661</v>
      </c>
      <c r="S605" s="31">
        <f>R605*IF(A605=4, 2.0, 3.0)</f>
        <v/>
      </c>
      <c r="T605" s="30">
        <f>8.0*U605</f>
        <v/>
      </c>
      <c r="U605" s="34">
        <f>MIN(1, S605/M605)</f>
        <v/>
      </c>
      <c r="V605" s="34">
        <f>N605/(N605+O605)</f>
        <v/>
      </c>
      <c r="W605" s="34">
        <f>U605*V605</f>
        <v/>
      </c>
      <c r="X605" s="32">
        <f>T605/N605</f>
        <v/>
      </c>
      <c r="Y605" s="35">
        <f>IF(X605=MAXIFS(X$2:X$721, A$2:A$721, A605, B$2:B$721, B605), "OPTIMAL", "")</f>
        <v/>
      </c>
    </row>
    <row r="606" ht="20" customHeight="1">
      <c r="A606" s="36" t="n">
        <v>-18</v>
      </c>
      <c r="B606" s="36" t="n">
        <v>45</v>
      </c>
      <c r="C606" s="37" t="n">
        <v>80</v>
      </c>
      <c r="D606" s="37" t="n">
        <v>2</v>
      </c>
      <c r="E606" s="38" t="n">
        <v>4</v>
      </c>
      <c r="F606" s="37" t="n">
        <v>1.5</v>
      </c>
      <c r="G606" s="38" t="inlineStr">
        <is>
          <t>Oui</t>
        </is>
      </c>
      <c r="H606" s="38" t="inlineStr">
        <is>
          <t>ON</t>
        </is>
      </c>
      <c r="I606" s="39" t="n">
        <v>885.2722778138215</v>
      </c>
      <c r="J606" s="39" t="n">
        <v>10520.73059103506</v>
      </c>
      <c r="K606" s="39" t="n">
        <v>5101.851851851852</v>
      </c>
      <c r="L606" s="39" t="n">
        <v>150</v>
      </c>
      <c r="M606" s="39">
        <f>I606+J606+K606+L606</f>
        <v/>
      </c>
      <c r="N606" s="39">
        <f>M606*Dashboard!$B$18/(Dashboard!$B$16/3.6)</f>
        <v/>
      </c>
      <c r="O606" s="39" t="n">
        <v>1482.595830060832</v>
      </c>
      <c r="P606" s="40" t="n">
        <v>0.08231647342522849</v>
      </c>
      <c r="Q606" s="41" t="n">
        <v>8.434509224055622</v>
      </c>
      <c r="R606" s="39" t="n">
        <v>8748.608496985444</v>
      </c>
      <c r="S606" s="39">
        <f>R606*IF(A606=4, 2.0, 3.0)</f>
        <v/>
      </c>
      <c r="T606" s="37">
        <f>8.0*U606</f>
        <v/>
      </c>
      <c r="U606" s="42">
        <f>MIN(1, S606/M606)</f>
        <v/>
      </c>
      <c r="V606" s="42">
        <f>N606/(N606+O606)</f>
        <v/>
      </c>
      <c r="W606" s="42">
        <f>U606*V606</f>
        <v/>
      </c>
      <c r="X606" s="40">
        <f>T606/N606</f>
        <v/>
      </c>
      <c r="Y606" s="15">
        <f>IF(X606=MAXIFS(X$2:X$721, A$2:A$721, A606, B$2:B$721, B606), "OPTIMAL", "")</f>
        <v/>
      </c>
    </row>
    <row r="607" ht="20" customHeight="1">
      <c r="A607" s="29" t="n">
        <v>-18</v>
      </c>
      <c r="B607" s="29" t="n">
        <v>45</v>
      </c>
      <c r="C607" s="30" t="n">
        <v>80</v>
      </c>
      <c r="D607" s="30" t="n">
        <v>2</v>
      </c>
      <c r="E607" s="6" t="n">
        <v>4</v>
      </c>
      <c r="F607" s="30" t="n">
        <v>1.5</v>
      </c>
      <c r="G607" s="6" t="inlineStr">
        <is>
          <t>Oui</t>
        </is>
      </c>
      <c r="H607" s="6" t="inlineStr">
        <is>
          <t>OFF</t>
        </is>
      </c>
      <c r="I607" s="31" t="n">
        <v>885.2722778138215</v>
      </c>
      <c r="J607" s="31" t="n">
        <v>10520.73059103506</v>
      </c>
      <c r="K607" s="31" t="n">
        <v>5101.851851851852</v>
      </c>
      <c r="L607" s="31" t="n">
        <v>150</v>
      </c>
      <c r="M607" s="31">
        <f>I607+J607+K607+L607</f>
        <v/>
      </c>
      <c r="N607" s="31">
        <f>M607*Dashboard!$B$18/(Dashboard!$B$16/3.6)</f>
        <v/>
      </c>
      <c r="O607" s="31" t="n">
        <v>1482.595830060832</v>
      </c>
      <c r="P607" s="32" t="n">
        <v>0.3560493820000729</v>
      </c>
      <c r="Q607" s="33" t="n">
        <v>8.434509224055622</v>
      </c>
      <c r="R607" s="31" t="n">
        <v>2022.625611100437</v>
      </c>
      <c r="S607" s="31">
        <f>R607*IF(A607=4, 2.0, 3.0)</f>
        <v/>
      </c>
      <c r="T607" s="30">
        <f>8.0*U607</f>
        <v/>
      </c>
      <c r="U607" s="34">
        <f>MIN(1, S607/M607)</f>
        <v/>
      </c>
      <c r="V607" s="34">
        <f>N607/(N607+O607)</f>
        <v/>
      </c>
      <c r="W607" s="34">
        <f>U607*V607</f>
        <v/>
      </c>
      <c r="X607" s="32">
        <f>T607/N607</f>
        <v/>
      </c>
      <c r="Y607" s="35">
        <f>IF(X607=MAXIFS(X$2:X$721, A$2:A$721, A607, B$2:B$721, B607), "OPTIMAL", "")</f>
        <v/>
      </c>
    </row>
    <row r="608" ht="20" customHeight="1">
      <c r="A608" s="36" t="n">
        <v>-18</v>
      </c>
      <c r="B608" s="36" t="n">
        <v>45</v>
      </c>
      <c r="C608" s="37" t="n">
        <v>80</v>
      </c>
      <c r="D608" s="37" t="n">
        <v>2</v>
      </c>
      <c r="E608" s="38" t="n">
        <v>4</v>
      </c>
      <c r="F608" s="37" t="n">
        <v>1.5</v>
      </c>
      <c r="G608" s="38" t="inlineStr">
        <is>
          <t>Non</t>
        </is>
      </c>
      <c r="H608" s="38" t="inlineStr">
        <is>
          <t>ON</t>
        </is>
      </c>
      <c r="I608" s="39" t="n">
        <v>885.2722778138215</v>
      </c>
      <c r="J608" s="39" t="n">
        <v>10520.73059103506</v>
      </c>
      <c r="K608" s="39" t="n">
        <v>5101.851851851852</v>
      </c>
      <c r="L608" s="39" t="n">
        <v>150</v>
      </c>
      <c r="M608" s="39">
        <f>I608+J608+K608+L608</f>
        <v/>
      </c>
      <c r="N608" s="39">
        <f>M608*Dashboard!$B$18/(Dashboard!$B$16/3.6)</f>
        <v/>
      </c>
      <c r="O608" s="39" t="n">
        <v>1482.595830060832</v>
      </c>
      <c r="P608" s="40" t="n">
        <v>0.07833759984793112</v>
      </c>
      <c r="Q608" s="41" t="n">
        <v>8.434509224055622</v>
      </c>
      <c r="R608" s="39" t="n">
        <v>9192.962258836036</v>
      </c>
      <c r="S608" s="39">
        <f>R608*IF(A608=4, 2.0, 3.0)</f>
        <v/>
      </c>
      <c r="T608" s="37">
        <f>8.0*U608</f>
        <v/>
      </c>
      <c r="U608" s="42">
        <f>MIN(1, S608/M608)</f>
        <v/>
      </c>
      <c r="V608" s="42">
        <f>N608/(N608+O608)</f>
        <v/>
      </c>
      <c r="W608" s="42">
        <f>U608*V608</f>
        <v/>
      </c>
      <c r="X608" s="40">
        <f>T608/N608</f>
        <v/>
      </c>
      <c r="Y608" s="15">
        <f>IF(X608=MAXIFS(X$2:X$721, A$2:A$721, A608, B$2:B$721, B608), "OPTIMAL", "")</f>
        <v/>
      </c>
    </row>
    <row r="609" ht="20" customHeight="1">
      <c r="A609" s="29" t="n">
        <v>-18</v>
      </c>
      <c r="B609" s="29" t="n">
        <v>45</v>
      </c>
      <c r="C609" s="30" t="n">
        <v>80</v>
      </c>
      <c r="D609" s="30" t="n">
        <v>2</v>
      </c>
      <c r="E609" s="6" t="n">
        <v>4</v>
      </c>
      <c r="F609" s="30" t="n">
        <v>1.5</v>
      </c>
      <c r="G609" s="6" t="inlineStr">
        <is>
          <t>Non</t>
        </is>
      </c>
      <c r="H609" s="6" t="inlineStr">
        <is>
          <t>OFF</t>
        </is>
      </c>
      <c r="I609" s="31" t="n">
        <v>885.2722778138215</v>
      </c>
      <c r="J609" s="31" t="n">
        <v>10520.73059103506</v>
      </c>
      <c r="K609" s="31" t="n">
        <v>5101.851851851852</v>
      </c>
      <c r="L609" s="31" t="n">
        <v>150</v>
      </c>
      <c r="M609" s="31">
        <f>I609+J609+K609+L609</f>
        <v/>
      </c>
      <c r="N609" s="31">
        <f>M609*Dashboard!$B$18/(Dashboard!$B$16/3.6)</f>
        <v/>
      </c>
      <c r="O609" s="31" t="n">
        <v>1482.595830060832</v>
      </c>
      <c r="P609" s="32" t="n">
        <v>0.3520705084227755</v>
      </c>
      <c r="Q609" s="33" t="n">
        <v>8.434509224055622</v>
      </c>
      <c r="R609" s="31" t="n">
        <v>2045.484019880046</v>
      </c>
      <c r="S609" s="31">
        <f>R609*IF(A609=4, 2.0, 3.0)</f>
        <v/>
      </c>
      <c r="T609" s="30">
        <f>8.0*U609</f>
        <v/>
      </c>
      <c r="U609" s="34">
        <f>MIN(1, S609/M609)</f>
        <v/>
      </c>
      <c r="V609" s="34">
        <f>N609/(N609+O609)</f>
        <v/>
      </c>
      <c r="W609" s="34">
        <f>U609*V609</f>
        <v/>
      </c>
      <c r="X609" s="32">
        <f>T609/N609</f>
        <v/>
      </c>
      <c r="Y609" s="35">
        <f>IF(X609=MAXIFS(X$2:X$721, A$2:A$721, A609, B$2:B$721, B609), "OPTIMAL", "")</f>
        <v/>
      </c>
    </row>
    <row r="610" ht="20" customHeight="1">
      <c r="A610" s="36" t="n">
        <v>-18</v>
      </c>
      <c r="B610" s="36" t="n">
        <v>45</v>
      </c>
      <c r="C610" s="37" t="n">
        <v>80</v>
      </c>
      <c r="D610" s="37" t="n">
        <v>2</v>
      </c>
      <c r="E610" s="38" t="n">
        <v>4</v>
      </c>
      <c r="F610" s="37" t="n">
        <v>2</v>
      </c>
      <c r="G610" s="38" t="inlineStr">
        <is>
          <t>Oui</t>
        </is>
      </c>
      <c r="H610" s="38" t="inlineStr">
        <is>
          <t>ON</t>
        </is>
      </c>
      <c r="I610" s="39" t="n">
        <v>885.2722778138215</v>
      </c>
      <c r="J610" s="39" t="n">
        <v>10520.73059103506</v>
      </c>
      <c r="K610" s="39" t="n">
        <v>5101.851851851852</v>
      </c>
      <c r="L610" s="39" t="n">
        <v>150</v>
      </c>
      <c r="M610" s="39">
        <f>I610+J610+K610+L610</f>
        <v/>
      </c>
      <c r="N610" s="39">
        <f>M610*Dashboard!$B$18/(Dashboard!$B$16/3.6)</f>
        <v/>
      </c>
      <c r="O610" s="39" t="n">
        <v>1682.64535612656</v>
      </c>
      <c r="P610" s="40" t="n">
        <v>0.08027381372050572</v>
      </c>
      <c r="Q610" s="41" t="n">
        <v>11.17934563207416</v>
      </c>
      <c r="R610" s="39" t="n">
        <v>9098.275045580614</v>
      </c>
      <c r="S610" s="39">
        <f>R610*IF(A610=4, 2.0, 3.0)</f>
        <v/>
      </c>
      <c r="T610" s="37">
        <f>8.0*U610</f>
        <v/>
      </c>
      <c r="U610" s="42">
        <f>MIN(1, S610/M610)</f>
        <v/>
      </c>
      <c r="V610" s="42">
        <f>N610/(N610+O610)</f>
        <v/>
      </c>
      <c r="W610" s="42">
        <f>U610*V610</f>
        <v/>
      </c>
      <c r="X610" s="40">
        <f>T610/N610</f>
        <v/>
      </c>
      <c r="Y610" s="15">
        <f>IF(X610=MAXIFS(X$2:X$721, A$2:A$721, A610, B$2:B$721, B610), "OPTIMAL", "")</f>
        <v/>
      </c>
    </row>
    <row r="611" ht="20" customHeight="1">
      <c r="A611" s="29" t="n">
        <v>-18</v>
      </c>
      <c r="B611" s="29" t="n">
        <v>45</v>
      </c>
      <c r="C611" s="30" t="n">
        <v>80</v>
      </c>
      <c r="D611" s="30" t="n">
        <v>2</v>
      </c>
      <c r="E611" s="6" t="n">
        <v>4</v>
      </c>
      <c r="F611" s="30" t="n">
        <v>2</v>
      </c>
      <c r="G611" s="6" t="inlineStr">
        <is>
          <t>Oui</t>
        </is>
      </c>
      <c r="H611" s="6" t="inlineStr">
        <is>
          <t>OFF</t>
        </is>
      </c>
      <c r="I611" s="31" t="n">
        <v>885.2722778138215</v>
      </c>
      <c r="J611" s="31" t="n">
        <v>10520.73059103506</v>
      </c>
      <c r="K611" s="31" t="n">
        <v>5101.851851851852</v>
      </c>
      <c r="L611" s="31" t="n">
        <v>150</v>
      </c>
      <c r="M611" s="31">
        <f>I611+J611+K611+L611</f>
        <v/>
      </c>
      <c r="N611" s="31">
        <f>M611*Dashboard!$B$18/(Dashboard!$B$16/3.6)</f>
        <v/>
      </c>
      <c r="O611" s="31" t="n">
        <v>1682.64535612656</v>
      </c>
      <c r="P611" s="32" t="n">
        <v>0.355510990994127</v>
      </c>
      <c r="Q611" s="33" t="n">
        <v>11.17934563207416</v>
      </c>
      <c r="R611" s="31" t="n">
        <v>2054.375967799345</v>
      </c>
      <c r="S611" s="31">
        <f>R611*IF(A611=4, 2.0, 3.0)</f>
        <v/>
      </c>
      <c r="T611" s="30">
        <f>8.0*U611</f>
        <v/>
      </c>
      <c r="U611" s="34">
        <f>MIN(1, S611/M611)</f>
        <v/>
      </c>
      <c r="V611" s="34">
        <f>N611/(N611+O611)</f>
        <v/>
      </c>
      <c r="W611" s="34">
        <f>U611*V611</f>
        <v/>
      </c>
      <c r="X611" s="32">
        <f>T611/N611</f>
        <v/>
      </c>
      <c r="Y611" s="35">
        <f>IF(X611=MAXIFS(X$2:X$721, A$2:A$721, A611, B$2:B$721, B611), "OPTIMAL", "")</f>
        <v/>
      </c>
    </row>
    <row r="612" ht="20" customHeight="1">
      <c r="A612" s="36" t="n">
        <v>-18</v>
      </c>
      <c r="B612" s="36" t="n">
        <v>45</v>
      </c>
      <c r="C612" s="37" t="n">
        <v>80</v>
      </c>
      <c r="D612" s="37" t="n">
        <v>2</v>
      </c>
      <c r="E612" s="38" t="n">
        <v>4</v>
      </c>
      <c r="F612" s="37" t="n">
        <v>2</v>
      </c>
      <c r="G612" s="38" t="inlineStr">
        <is>
          <t>Non</t>
        </is>
      </c>
      <c r="H612" s="38" t="inlineStr">
        <is>
          <t>ON</t>
        </is>
      </c>
      <c r="I612" s="39" t="n">
        <v>885.2722778138215</v>
      </c>
      <c r="J612" s="39" t="n">
        <v>10520.73059103506</v>
      </c>
      <c r="K612" s="39" t="n">
        <v>5101.851851851852</v>
      </c>
      <c r="L612" s="39" t="n">
        <v>150</v>
      </c>
      <c r="M612" s="39">
        <f>I612+J612+K612+L612</f>
        <v/>
      </c>
      <c r="N612" s="39">
        <f>M612*Dashboard!$B$18/(Dashboard!$B$16/3.6)</f>
        <v/>
      </c>
      <c r="O612" s="39" t="n">
        <v>1682.64535612656</v>
      </c>
      <c r="P612" s="40" t="n">
        <v>0.07629494014320834</v>
      </c>
      <c r="Q612" s="41" t="n">
        <v>11.17934563207416</v>
      </c>
      <c r="R612" s="39" t="n">
        <v>9572.761113855842</v>
      </c>
      <c r="S612" s="39">
        <f>R612*IF(A612=4, 2.0, 3.0)</f>
        <v/>
      </c>
      <c r="T612" s="37">
        <f>8.0*U612</f>
        <v/>
      </c>
      <c r="U612" s="42">
        <f>MIN(1, S612/M612)</f>
        <v/>
      </c>
      <c r="V612" s="42">
        <f>N612/(N612+O612)</f>
        <v/>
      </c>
      <c r="W612" s="42">
        <f>U612*V612</f>
        <v/>
      </c>
      <c r="X612" s="40">
        <f>T612/N612</f>
        <v/>
      </c>
      <c r="Y612" s="15">
        <f>IF(X612=MAXIFS(X$2:X$721, A$2:A$721, A612, B$2:B$721, B612), "OPTIMAL", "")</f>
        <v/>
      </c>
    </row>
    <row r="613" ht="20" customHeight="1">
      <c r="A613" s="29" t="n">
        <v>-18</v>
      </c>
      <c r="B613" s="29" t="n">
        <v>45</v>
      </c>
      <c r="C613" s="30" t="n">
        <v>80</v>
      </c>
      <c r="D613" s="30" t="n">
        <v>2</v>
      </c>
      <c r="E613" s="6" t="n">
        <v>4</v>
      </c>
      <c r="F613" s="30" t="n">
        <v>2</v>
      </c>
      <c r="G613" s="6" t="inlineStr">
        <is>
          <t>Non</t>
        </is>
      </c>
      <c r="H613" s="6" t="inlineStr">
        <is>
          <t>OFF</t>
        </is>
      </c>
      <c r="I613" s="31" t="n">
        <v>885.2722778138215</v>
      </c>
      <c r="J613" s="31" t="n">
        <v>10520.73059103506</v>
      </c>
      <c r="K613" s="31" t="n">
        <v>5101.851851851852</v>
      </c>
      <c r="L613" s="31" t="n">
        <v>150</v>
      </c>
      <c r="M613" s="31">
        <f>I613+J613+K613+L613</f>
        <v/>
      </c>
      <c r="N613" s="31">
        <f>M613*Dashboard!$B$18/(Dashboard!$B$16/3.6)</f>
        <v/>
      </c>
      <c r="O613" s="31" t="n">
        <v>1682.64535612656</v>
      </c>
      <c r="P613" s="32" t="n">
        <v>0.3515321174168297</v>
      </c>
      <c r="Q613" s="33" t="n">
        <v>11.17934563207416</v>
      </c>
      <c r="R613" s="31" t="n">
        <v>2077.628757092617</v>
      </c>
      <c r="S613" s="31">
        <f>R613*IF(A613=4, 2.0, 3.0)</f>
        <v/>
      </c>
      <c r="T613" s="30">
        <f>8.0*U613</f>
        <v/>
      </c>
      <c r="U613" s="34">
        <f>MIN(1, S613/M613)</f>
        <v/>
      </c>
      <c r="V613" s="34">
        <f>N613/(N613+O613)</f>
        <v/>
      </c>
      <c r="W613" s="34">
        <f>U613*V613</f>
        <v/>
      </c>
      <c r="X613" s="32">
        <f>T613/N613</f>
        <v/>
      </c>
      <c r="Y613" s="35">
        <f>IF(X613=MAXIFS(X$2:X$721, A$2:A$721, A613, B$2:B$721, B613), "OPTIMAL", "")</f>
        <v/>
      </c>
    </row>
    <row r="614" ht="20" customHeight="1">
      <c r="A614" s="36" t="n">
        <v>-18</v>
      </c>
      <c r="B614" s="36" t="n">
        <v>45</v>
      </c>
      <c r="C614" s="37" t="n">
        <v>80</v>
      </c>
      <c r="D614" s="37" t="n">
        <v>2</v>
      </c>
      <c r="E614" s="38" t="n">
        <v>8</v>
      </c>
      <c r="F614" s="37" t="n">
        <v>1.5</v>
      </c>
      <c r="G614" s="38" t="inlineStr">
        <is>
          <t>Oui</t>
        </is>
      </c>
      <c r="H614" s="38" t="inlineStr">
        <is>
          <t>ON</t>
        </is>
      </c>
      <c r="I614" s="39" t="n">
        <v>885.2722778138215</v>
      </c>
      <c r="J614" s="39" t="n">
        <v>10520.73059103506</v>
      </c>
      <c r="K614" s="39" t="n">
        <v>5101.851851851852</v>
      </c>
      <c r="L614" s="39" t="n">
        <v>150</v>
      </c>
      <c r="M614" s="39">
        <f>I614+J614+K614+L614</f>
        <v/>
      </c>
      <c r="N614" s="39">
        <f>M614*Dashboard!$B$18/(Dashboard!$B$16/3.6)</f>
        <v/>
      </c>
      <c r="O614" s="39" t="n">
        <v>2100.238180701424</v>
      </c>
      <c r="P614" s="40" t="n">
        <v>0.06145178783543291</v>
      </c>
      <c r="Q614" s="41" t="n">
        <v>16.66901844811125</v>
      </c>
      <c r="R614" s="39" t="n">
        <v>12231.41554857018</v>
      </c>
      <c r="S614" s="39">
        <f>R614*IF(A614=4, 2.0, 3.0)</f>
        <v/>
      </c>
      <c r="T614" s="37">
        <f>8.0*U614</f>
        <v/>
      </c>
      <c r="U614" s="42">
        <f>MIN(1, S614/M614)</f>
        <v/>
      </c>
      <c r="V614" s="42">
        <f>N614/(N614+O614)</f>
        <v/>
      </c>
      <c r="W614" s="42">
        <f>U614*V614</f>
        <v/>
      </c>
      <c r="X614" s="40">
        <f>T614/N614</f>
        <v/>
      </c>
      <c r="Y614" s="15">
        <f>IF(X614=MAXIFS(X$2:X$721, A$2:A$721, A614, B$2:B$721, B614), "OPTIMAL", "")</f>
        <v/>
      </c>
    </row>
    <row r="615" ht="20" customHeight="1">
      <c r="A615" s="29" t="n">
        <v>-18</v>
      </c>
      <c r="B615" s="29" t="n">
        <v>45</v>
      </c>
      <c r="C615" s="30" t="n">
        <v>80</v>
      </c>
      <c r="D615" s="30" t="n">
        <v>2</v>
      </c>
      <c r="E615" s="6" t="n">
        <v>8</v>
      </c>
      <c r="F615" s="30" t="n">
        <v>1.5</v>
      </c>
      <c r="G615" s="6" t="inlineStr">
        <is>
          <t>Oui</t>
        </is>
      </c>
      <c r="H615" s="6" t="inlineStr">
        <is>
          <t>OFF</t>
        </is>
      </c>
      <c r="I615" s="31" t="n">
        <v>885.2722778138215</v>
      </c>
      <c r="J615" s="31" t="n">
        <v>10520.73059103506</v>
      </c>
      <c r="K615" s="31" t="n">
        <v>5101.851851851852</v>
      </c>
      <c r="L615" s="31" t="n">
        <v>150</v>
      </c>
      <c r="M615" s="31">
        <f>I615+J615+K615+L615</f>
        <v/>
      </c>
      <c r="N615" s="31">
        <f>M615*Dashboard!$B$18/(Dashboard!$B$16/3.6)</f>
        <v/>
      </c>
      <c r="O615" s="31" t="n">
        <v>2100.238180701424</v>
      </c>
      <c r="P615" s="32" t="n">
        <v>0.2700829218988253</v>
      </c>
      <c r="Q615" s="33" t="n">
        <v>16.66901844811125</v>
      </c>
      <c r="R615" s="31" t="n">
        <v>2783.005855880512</v>
      </c>
      <c r="S615" s="31">
        <f>R615*IF(A615=4, 2.0, 3.0)</f>
        <v/>
      </c>
      <c r="T615" s="30">
        <f>8.0*U615</f>
        <v/>
      </c>
      <c r="U615" s="34">
        <f>MIN(1, S615/M615)</f>
        <v/>
      </c>
      <c r="V615" s="34">
        <f>N615/(N615+O615)</f>
        <v/>
      </c>
      <c r="W615" s="34">
        <f>U615*V615</f>
        <v/>
      </c>
      <c r="X615" s="32">
        <f>T615/N615</f>
        <v/>
      </c>
      <c r="Y615" s="35">
        <f>IF(X615=MAXIFS(X$2:X$721, A$2:A$721, A615, B$2:B$721, B615), "OPTIMAL", "")</f>
        <v/>
      </c>
    </row>
    <row r="616" ht="20" customHeight="1">
      <c r="A616" s="36" t="n">
        <v>-18</v>
      </c>
      <c r="B616" s="36" t="n">
        <v>45</v>
      </c>
      <c r="C616" s="37" t="n">
        <v>80</v>
      </c>
      <c r="D616" s="37" t="n">
        <v>2</v>
      </c>
      <c r="E616" s="38" t="n">
        <v>8</v>
      </c>
      <c r="F616" s="37" t="n">
        <v>1.5</v>
      </c>
      <c r="G616" s="38" t="inlineStr">
        <is>
          <t>Non</t>
        </is>
      </c>
      <c r="H616" s="38" t="inlineStr">
        <is>
          <t>ON</t>
        </is>
      </c>
      <c r="I616" s="39" t="n">
        <v>885.2722778138215</v>
      </c>
      <c r="J616" s="39" t="n">
        <v>10520.73059103506</v>
      </c>
      <c r="K616" s="39" t="n">
        <v>5101.851851851852</v>
      </c>
      <c r="L616" s="39" t="n">
        <v>150</v>
      </c>
      <c r="M616" s="39">
        <f>I616+J616+K616+L616</f>
        <v/>
      </c>
      <c r="N616" s="39">
        <f>M616*Dashboard!$B$18/(Dashboard!$B$16/3.6)</f>
        <v/>
      </c>
      <c r="O616" s="39" t="n">
        <v>2100.238180701424</v>
      </c>
      <c r="P616" s="40" t="n">
        <v>0.05747291425813553</v>
      </c>
      <c r="Q616" s="41" t="n">
        <v>16.66901844811125</v>
      </c>
      <c r="R616" s="39" t="n">
        <v>13078.20149578289</v>
      </c>
      <c r="S616" s="39">
        <f>R616*IF(A616=4, 2.0, 3.0)</f>
        <v/>
      </c>
      <c r="T616" s="37">
        <f>8.0*U616</f>
        <v/>
      </c>
      <c r="U616" s="42">
        <f>MIN(1, S616/M616)</f>
        <v/>
      </c>
      <c r="V616" s="42">
        <f>N616/(N616+O616)</f>
        <v/>
      </c>
      <c r="W616" s="42">
        <f>U616*V616</f>
        <v/>
      </c>
      <c r="X616" s="40">
        <f>T616/N616</f>
        <v/>
      </c>
      <c r="Y616" s="15">
        <f>IF(X616=MAXIFS(X$2:X$721, A$2:A$721, A616, B$2:B$721, B616), "OPTIMAL", "")</f>
        <v/>
      </c>
    </row>
    <row r="617" ht="20" customHeight="1">
      <c r="A617" s="29" t="n">
        <v>-18</v>
      </c>
      <c r="B617" s="29" t="n">
        <v>45</v>
      </c>
      <c r="C617" s="30" t="n">
        <v>80</v>
      </c>
      <c r="D617" s="30" t="n">
        <v>2</v>
      </c>
      <c r="E617" s="6" t="n">
        <v>8</v>
      </c>
      <c r="F617" s="30" t="n">
        <v>1.5</v>
      </c>
      <c r="G617" s="6" t="inlineStr">
        <is>
          <t>Non</t>
        </is>
      </c>
      <c r="H617" s="6" t="inlineStr">
        <is>
          <t>OFF</t>
        </is>
      </c>
      <c r="I617" s="31" t="n">
        <v>885.2722778138215</v>
      </c>
      <c r="J617" s="31" t="n">
        <v>10520.73059103506</v>
      </c>
      <c r="K617" s="31" t="n">
        <v>5101.851851851852</v>
      </c>
      <c r="L617" s="31" t="n">
        <v>150</v>
      </c>
      <c r="M617" s="31">
        <f>I617+J617+K617+L617</f>
        <v/>
      </c>
      <c r="N617" s="31">
        <f>M617*Dashboard!$B$18/(Dashboard!$B$16/3.6)</f>
        <v/>
      </c>
      <c r="O617" s="31" t="n">
        <v>2100.238180701424</v>
      </c>
      <c r="P617" s="32" t="n">
        <v>0.2661040483215279</v>
      </c>
      <c r="Q617" s="33" t="n">
        <v>16.66901844811125</v>
      </c>
      <c r="R617" s="31" t="n">
        <v>2824.618257252352</v>
      </c>
      <c r="S617" s="31">
        <f>R617*IF(A617=4, 2.0, 3.0)</f>
        <v/>
      </c>
      <c r="T617" s="30">
        <f>8.0*U617</f>
        <v/>
      </c>
      <c r="U617" s="34">
        <f>MIN(1, S617/M617)</f>
        <v/>
      </c>
      <c r="V617" s="34">
        <f>N617/(N617+O617)</f>
        <v/>
      </c>
      <c r="W617" s="34">
        <f>U617*V617</f>
        <v/>
      </c>
      <c r="X617" s="32">
        <f>T617/N617</f>
        <v/>
      </c>
      <c r="Y617" s="35">
        <f>IF(X617=MAXIFS(X$2:X$721, A$2:A$721, A617, B$2:B$721, B617), "OPTIMAL", "")</f>
        <v/>
      </c>
    </row>
    <row r="618" ht="20" customHeight="1">
      <c r="A618" s="36" t="n">
        <v>-18</v>
      </c>
      <c r="B618" s="36" t="n">
        <v>45</v>
      </c>
      <c r="C618" s="37" t="n">
        <v>80</v>
      </c>
      <c r="D618" s="37" t="n">
        <v>2</v>
      </c>
      <c r="E618" s="38" t="n">
        <v>8</v>
      </c>
      <c r="F618" s="37" t="n">
        <v>2</v>
      </c>
      <c r="G618" s="38" t="inlineStr">
        <is>
          <t>Oui</t>
        </is>
      </c>
      <c r="H618" s="38" t="inlineStr">
        <is>
          <t>ON</t>
        </is>
      </c>
      <c r="I618" s="39" t="n">
        <v>885.2722778138215</v>
      </c>
      <c r="J618" s="39" t="n">
        <v>10520.73059103506</v>
      </c>
      <c r="K618" s="39" t="n">
        <v>5101.851851851852</v>
      </c>
      <c r="L618" s="39" t="n">
        <v>150</v>
      </c>
      <c r="M618" s="39">
        <f>I618+J618+K618+L618</f>
        <v/>
      </c>
      <c r="N618" s="39">
        <f>M618*Dashboard!$B$18/(Dashboard!$B$16/3.6)</f>
        <v/>
      </c>
      <c r="O618" s="39" t="n">
        <v>2542.906826414197</v>
      </c>
      <c r="P618" s="40" t="n">
        <v>0.06058998977604487</v>
      </c>
      <c r="Q618" s="41" t="n">
        <v>22.15869126414833</v>
      </c>
      <c r="R618" s="39" t="n">
        <v>12777.85080626921</v>
      </c>
      <c r="S618" s="39">
        <f>R618*IF(A618=4, 2.0, 3.0)</f>
        <v/>
      </c>
      <c r="T618" s="37">
        <f>8.0*U618</f>
        <v/>
      </c>
      <c r="U618" s="42">
        <f>MIN(1, S618/M618)</f>
        <v/>
      </c>
      <c r="V618" s="42">
        <f>N618/(N618+O618)</f>
        <v/>
      </c>
      <c r="W618" s="42">
        <f>U618*V618</f>
        <v/>
      </c>
      <c r="X618" s="40">
        <f>T618/N618</f>
        <v/>
      </c>
      <c r="Y618" s="15">
        <f>IF(X618=MAXIFS(X$2:X$721, A$2:A$721, A618, B$2:B$721, B618), "OPTIMAL", "")</f>
        <v/>
      </c>
    </row>
    <row r="619" ht="20" customHeight="1">
      <c r="A619" s="29" t="n">
        <v>-18</v>
      </c>
      <c r="B619" s="29" t="n">
        <v>45</v>
      </c>
      <c r="C619" s="30" t="n">
        <v>80</v>
      </c>
      <c r="D619" s="30" t="n">
        <v>2</v>
      </c>
      <c r="E619" s="6" t="n">
        <v>8</v>
      </c>
      <c r="F619" s="30" t="n">
        <v>2</v>
      </c>
      <c r="G619" s="6" t="inlineStr">
        <is>
          <t>Oui</t>
        </is>
      </c>
      <c r="H619" s="6" t="inlineStr">
        <is>
          <t>OFF</t>
        </is>
      </c>
      <c r="I619" s="31" t="n">
        <v>885.2722778138215</v>
      </c>
      <c r="J619" s="31" t="n">
        <v>10520.73059103506</v>
      </c>
      <c r="K619" s="31" t="n">
        <v>5101.851851851852</v>
      </c>
      <c r="L619" s="31" t="n">
        <v>150</v>
      </c>
      <c r="M619" s="31">
        <f>I619+J619+K619+L619</f>
        <v/>
      </c>
      <c r="N619" s="31">
        <f>M619*Dashboard!$B$18/(Dashboard!$B$16/3.6)</f>
        <v/>
      </c>
      <c r="O619" s="31" t="n">
        <v>2542.906826414197</v>
      </c>
      <c r="P619" s="32" t="n">
        <v>0.2709744149858122</v>
      </c>
      <c r="Q619" s="33" t="n">
        <v>22.15869126414833</v>
      </c>
      <c r="R619" s="31" t="n">
        <v>2857.132654949045</v>
      </c>
      <c r="S619" s="31">
        <f>R619*IF(A619=4, 2.0, 3.0)</f>
        <v/>
      </c>
      <c r="T619" s="30">
        <f>8.0*U619</f>
        <v/>
      </c>
      <c r="U619" s="34">
        <f>MIN(1, S619/M619)</f>
        <v/>
      </c>
      <c r="V619" s="34">
        <f>N619/(N619+O619)</f>
        <v/>
      </c>
      <c r="W619" s="34">
        <f>U619*V619</f>
        <v/>
      </c>
      <c r="X619" s="32">
        <f>T619/N619</f>
        <v/>
      </c>
      <c r="Y619" s="35">
        <f>IF(X619=MAXIFS(X$2:X$721, A$2:A$721, A619, B$2:B$721, B619), "OPTIMAL", "")</f>
        <v/>
      </c>
    </row>
    <row r="620" ht="20" customHeight="1">
      <c r="A620" s="36" t="n">
        <v>-18</v>
      </c>
      <c r="B620" s="36" t="n">
        <v>45</v>
      </c>
      <c r="C620" s="37" t="n">
        <v>80</v>
      </c>
      <c r="D620" s="37" t="n">
        <v>2</v>
      </c>
      <c r="E620" s="38" t="n">
        <v>8</v>
      </c>
      <c r="F620" s="37" t="n">
        <v>2</v>
      </c>
      <c r="G620" s="38" t="inlineStr">
        <is>
          <t>Non</t>
        </is>
      </c>
      <c r="H620" s="38" t="inlineStr">
        <is>
          <t>ON</t>
        </is>
      </c>
      <c r="I620" s="39" t="n">
        <v>885.2722778138215</v>
      </c>
      <c r="J620" s="39" t="n">
        <v>10520.73059103506</v>
      </c>
      <c r="K620" s="39" t="n">
        <v>5101.851851851852</v>
      </c>
      <c r="L620" s="39" t="n">
        <v>150</v>
      </c>
      <c r="M620" s="39">
        <f>I620+J620+K620+L620</f>
        <v/>
      </c>
      <c r="N620" s="39">
        <f>M620*Dashboard!$B$18/(Dashboard!$B$16/3.6)</f>
        <v/>
      </c>
      <c r="O620" s="39" t="n">
        <v>2542.906826414197</v>
      </c>
      <c r="P620" s="40" t="n">
        <v>0.05661111619874749</v>
      </c>
      <c r="Q620" s="41" t="n">
        <v>22.15869126414833</v>
      </c>
      <c r="R620" s="39" t="n">
        <v>13675.93330952212</v>
      </c>
      <c r="S620" s="39">
        <f>R620*IF(A620=4, 2.0, 3.0)</f>
        <v/>
      </c>
      <c r="T620" s="37">
        <f>8.0*U620</f>
        <v/>
      </c>
      <c r="U620" s="42">
        <f>MIN(1, S620/M620)</f>
        <v/>
      </c>
      <c r="V620" s="42">
        <f>N620/(N620+O620)</f>
        <v/>
      </c>
      <c r="W620" s="42">
        <f>U620*V620</f>
        <v/>
      </c>
      <c r="X620" s="40">
        <f>T620/N620</f>
        <v/>
      </c>
      <c r="Y620" s="15">
        <f>IF(X620=MAXIFS(X$2:X$721, A$2:A$721, A620, B$2:B$721, B620), "OPTIMAL", "")</f>
        <v/>
      </c>
    </row>
    <row r="621" ht="20" customHeight="1">
      <c r="A621" s="29" t="n">
        <v>-18</v>
      </c>
      <c r="B621" s="29" t="n">
        <v>45</v>
      </c>
      <c r="C621" s="30" t="n">
        <v>80</v>
      </c>
      <c r="D621" s="30" t="n">
        <v>2</v>
      </c>
      <c r="E621" s="6" t="n">
        <v>8</v>
      </c>
      <c r="F621" s="30" t="n">
        <v>2</v>
      </c>
      <c r="G621" s="6" t="inlineStr">
        <is>
          <t>Non</t>
        </is>
      </c>
      <c r="H621" s="6" t="inlineStr">
        <is>
          <t>OFF</t>
        </is>
      </c>
      <c r="I621" s="31" t="n">
        <v>885.2722778138215</v>
      </c>
      <c r="J621" s="31" t="n">
        <v>10520.73059103506</v>
      </c>
      <c r="K621" s="31" t="n">
        <v>5101.851851851852</v>
      </c>
      <c r="L621" s="31" t="n">
        <v>150</v>
      </c>
      <c r="M621" s="31">
        <f>I621+J621+K621+L621</f>
        <v/>
      </c>
      <c r="N621" s="31">
        <f>M621*Dashboard!$B$18/(Dashboard!$B$16/3.6)</f>
        <v/>
      </c>
      <c r="O621" s="31" t="n">
        <v>2542.906826414197</v>
      </c>
      <c r="P621" s="32" t="n">
        <v>0.2669955414085148</v>
      </c>
      <c r="Q621" s="33" t="n">
        <v>22.15869126414833</v>
      </c>
      <c r="R621" s="31" t="n">
        <v>2899.710780290159</v>
      </c>
      <c r="S621" s="31">
        <f>R621*IF(A621=4, 2.0, 3.0)</f>
        <v/>
      </c>
      <c r="T621" s="30">
        <f>8.0*U621</f>
        <v/>
      </c>
      <c r="U621" s="34">
        <f>MIN(1, S621/M621)</f>
        <v/>
      </c>
      <c r="V621" s="34">
        <f>N621/(N621+O621)</f>
        <v/>
      </c>
      <c r="W621" s="34">
        <f>U621*V621</f>
        <v/>
      </c>
      <c r="X621" s="32">
        <f>T621/N621</f>
        <v/>
      </c>
      <c r="Y621" s="35">
        <f>IF(X621=MAXIFS(X$2:X$721, A$2:A$721, A621, B$2:B$721, B621), "OPTIMAL", "")</f>
        <v/>
      </c>
    </row>
    <row r="622" ht="20" customHeight="1">
      <c r="A622" s="21" t="n">
        <v>-18</v>
      </c>
      <c r="B622" s="21" t="n">
        <v>45</v>
      </c>
      <c r="C622" s="22" t="n">
        <v>80</v>
      </c>
      <c r="D622" s="22" t="n">
        <v>3</v>
      </c>
      <c r="E622" s="23" t="n">
        <v>0</v>
      </c>
      <c r="F622" s="22" t="n">
        <v>0</v>
      </c>
      <c r="G622" s="23" t="inlineStr">
        <is>
          <t>Oui</t>
        </is>
      </c>
      <c r="H622" s="23" t="inlineStr">
        <is>
          <t>ON</t>
        </is>
      </c>
      <c r="I622" s="24" t="n">
        <v>885.2722778138215</v>
      </c>
      <c r="J622" s="24" t="n">
        <v>10520.73059103506</v>
      </c>
      <c r="K622" s="24" t="n">
        <v>5101.851851851852</v>
      </c>
      <c r="L622" s="24" t="n">
        <v>150</v>
      </c>
      <c r="M622" s="24">
        <f>I622+J622+K622+L622</f>
        <v/>
      </c>
      <c r="N622" s="24">
        <f>M622*Dashboard!$B$18/(Dashboard!$B$16/3.6)</f>
        <v/>
      </c>
      <c r="O622" s="24" t="n">
        <v>1428.540057825094</v>
      </c>
      <c r="P622" s="25" t="n">
        <v>0.5013985973965238</v>
      </c>
      <c r="Q622" s="26" t="n">
        <v>0.2</v>
      </c>
      <c r="R622" s="24" t="n">
        <v>1454.064566740725</v>
      </c>
      <c r="S622" s="24">
        <f>R622*IF(A622=4, 2.0, 3.0)</f>
        <v/>
      </c>
      <c r="T622" s="22">
        <f>8.0*U622</f>
        <v/>
      </c>
      <c r="U622" s="27">
        <f>MIN(1, S622/M622)</f>
        <v/>
      </c>
      <c r="V622" s="27">
        <f>N622/(N622+O622)</f>
        <v/>
      </c>
      <c r="W622" s="27">
        <f>U622*V622</f>
        <v/>
      </c>
      <c r="X622" s="25">
        <f>T622/N622</f>
        <v/>
      </c>
      <c r="Y622" s="28">
        <f>IF(X622=MAXIFS(X$2:X$721, A$2:A$721, A622, B$2:B$721, B622), "OPTIMAL", "")</f>
        <v/>
      </c>
    </row>
    <row r="623" ht="20" customHeight="1">
      <c r="A623" s="29" t="n">
        <v>-18</v>
      </c>
      <c r="B623" s="29" t="n">
        <v>45</v>
      </c>
      <c r="C623" s="30" t="n">
        <v>80</v>
      </c>
      <c r="D623" s="30" t="n">
        <v>3</v>
      </c>
      <c r="E623" s="6" t="n">
        <v>0</v>
      </c>
      <c r="F623" s="30" t="n">
        <v>0</v>
      </c>
      <c r="G623" s="6" t="inlineStr">
        <is>
          <t>Oui</t>
        </is>
      </c>
      <c r="H623" s="6" t="inlineStr">
        <is>
          <t>OFF</t>
        </is>
      </c>
      <c r="I623" s="31" t="n">
        <v>885.2722778138215</v>
      </c>
      <c r="J623" s="31" t="n">
        <v>10520.73059103506</v>
      </c>
      <c r="K623" s="31" t="n">
        <v>5101.851851851852</v>
      </c>
      <c r="L623" s="31" t="n">
        <v>150</v>
      </c>
      <c r="M623" s="31">
        <f>I623+J623+K623+L623</f>
        <v/>
      </c>
      <c r="N623" s="31">
        <f>M623*Dashboard!$B$18/(Dashboard!$B$16/3.6)</f>
        <v/>
      </c>
      <c r="O623" s="31" t="n">
        <v>1428.540057825094</v>
      </c>
      <c r="P623" s="32" t="n">
        <v>0.8992859551262622</v>
      </c>
      <c r="Q623" s="33" t="n">
        <v>0.2</v>
      </c>
      <c r="R623" s="31" t="n">
        <v>810.7164691406982</v>
      </c>
      <c r="S623" s="31">
        <f>R623*IF(A623=4, 2.0, 3.0)</f>
        <v/>
      </c>
      <c r="T623" s="30">
        <f>8.0*U623</f>
        <v/>
      </c>
      <c r="U623" s="34">
        <f>MIN(1, S623/M623)</f>
        <v/>
      </c>
      <c r="V623" s="34">
        <f>N623/(N623+O623)</f>
        <v/>
      </c>
      <c r="W623" s="34">
        <f>U623*V623</f>
        <v/>
      </c>
      <c r="X623" s="32">
        <f>T623/N623</f>
        <v/>
      </c>
      <c r="Y623" s="35">
        <f>IF(X623=MAXIFS(X$2:X$721, A$2:A$721, A623, B$2:B$721, B623), "OPTIMAL", "")</f>
        <v/>
      </c>
    </row>
    <row r="624" ht="20" customHeight="1">
      <c r="A624" s="21" t="n">
        <v>-18</v>
      </c>
      <c r="B624" s="21" t="n">
        <v>45</v>
      </c>
      <c r="C624" s="22" t="n">
        <v>80</v>
      </c>
      <c r="D624" s="22" t="n">
        <v>3</v>
      </c>
      <c r="E624" s="23" t="n">
        <v>0</v>
      </c>
      <c r="F624" s="22" t="n">
        <v>0</v>
      </c>
      <c r="G624" s="23" t="inlineStr">
        <is>
          <t>Non</t>
        </is>
      </c>
      <c r="H624" s="23" t="inlineStr">
        <is>
          <t>ON</t>
        </is>
      </c>
      <c r="I624" s="24" t="n">
        <v>885.2722778138215</v>
      </c>
      <c r="J624" s="24" t="n">
        <v>10520.73059103506</v>
      </c>
      <c r="K624" s="24" t="n">
        <v>5101.851851851852</v>
      </c>
      <c r="L624" s="24" t="n">
        <v>150</v>
      </c>
      <c r="M624" s="24">
        <f>I624+J624+K624+L624</f>
        <v/>
      </c>
      <c r="N624" s="24">
        <f>M624*Dashboard!$B$18/(Dashboard!$B$16/3.6)</f>
        <v/>
      </c>
      <c r="O624" s="24" t="n">
        <v>1428.540057825094</v>
      </c>
      <c r="P624" s="25" t="n">
        <v>0.4974197238192265</v>
      </c>
      <c r="Q624" s="26" t="n">
        <v>0.2</v>
      </c>
      <c r="R624" s="24" t="n">
        <v>1465.695667815421</v>
      </c>
      <c r="S624" s="24">
        <f>R624*IF(A624=4, 2.0, 3.0)</f>
        <v/>
      </c>
      <c r="T624" s="22">
        <f>8.0*U624</f>
        <v/>
      </c>
      <c r="U624" s="27">
        <f>MIN(1, S624/M624)</f>
        <v/>
      </c>
      <c r="V624" s="27">
        <f>N624/(N624+O624)</f>
        <v/>
      </c>
      <c r="W624" s="27">
        <f>U624*V624</f>
        <v/>
      </c>
      <c r="X624" s="25">
        <f>T624/N624</f>
        <v/>
      </c>
      <c r="Y624" s="28">
        <f>IF(X624=MAXIFS(X$2:X$721, A$2:A$721, A624, B$2:B$721, B624), "OPTIMAL", "")</f>
        <v/>
      </c>
    </row>
    <row r="625" ht="20" customHeight="1">
      <c r="A625" s="29" t="n">
        <v>-18</v>
      </c>
      <c r="B625" s="29" t="n">
        <v>45</v>
      </c>
      <c r="C625" s="30" t="n">
        <v>80</v>
      </c>
      <c r="D625" s="30" t="n">
        <v>3</v>
      </c>
      <c r="E625" s="6" t="n">
        <v>0</v>
      </c>
      <c r="F625" s="30" t="n">
        <v>0</v>
      </c>
      <c r="G625" s="6" t="inlineStr">
        <is>
          <t>Non</t>
        </is>
      </c>
      <c r="H625" s="6" t="inlineStr">
        <is>
          <t>OFF</t>
        </is>
      </c>
      <c r="I625" s="31" t="n">
        <v>885.2722778138215</v>
      </c>
      <c r="J625" s="31" t="n">
        <v>10520.73059103506</v>
      </c>
      <c r="K625" s="31" t="n">
        <v>5101.851851851852</v>
      </c>
      <c r="L625" s="31" t="n">
        <v>150</v>
      </c>
      <c r="M625" s="31">
        <f>I625+J625+K625+L625</f>
        <v/>
      </c>
      <c r="N625" s="31">
        <f>M625*Dashboard!$B$18/(Dashboard!$B$16/3.6)</f>
        <v/>
      </c>
      <c r="O625" s="31" t="n">
        <v>1428.540057825094</v>
      </c>
      <c r="P625" s="32" t="n">
        <v>0.8953070815489648</v>
      </c>
      <c r="Q625" s="33" t="n">
        <v>0.2</v>
      </c>
      <c r="R625" s="31" t="n">
        <v>814.319409857042</v>
      </c>
      <c r="S625" s="31">
        <f>R625*IF(A625=4, 2.0, 3.0)</f>
        <v/>
      </c>
      <c r="T625" s="30">
        <f>8.0*U625</f>
        <v/>
      </c>
      <c r="U625" s="34">
        <f>MIN(1, S625/M625)</f>
        <v/>
      </c>
      <c r="V625" s="34">
        <f>N625/(N625+O625)</f>
        <v/>
      </c>
      <c r="W625" s="34">
        <f>U625*V625</f>
        <v/>
      </c>
      <c r="X625" s="32">
        <f>T625/N625</f>
        <v/>
      </c>
      <c r="Y625" s="35">
        <f>IF(X625=MAXIFS(X$2:X$721, A$2:A$721, A625, B$2:B$721, B625), "OPTIMAL", "")</f>
        <v/>
      </c>
    </row>
    <row r="626" ht="20" customHeight="1">
      <c r="A626" s="36" t="n">
        <v>-18</v>
      </c>
      <c r="B626" s="36" t="n">
        <v>45</v>
      </c>
      <c r="C626" s="37" t="n">
        <v>80</v>
      </c>
      <c r="D626" s="37" t="n">
        <v>3</v>
      </c>
      <c r="E626" s="38" t="n">
        <v>4</v>
      </c>
      <c r="F626" s="37" t="n">
        <v>1.5</v>
      </c>
      <c r="G626" s="38" t="inlineStr">
        <is>
          <t>Oui</t>
        </is>
      </c>
      <c r="H626" s="38" t="inlineStr">
        <is>
          <t>ON</t>
        </is>
      </c>
      <c r="I626" s="39" t="n">
        <v>885.2722778138215</v>
      </c>
      <c r="J626" s="39" t="n">
        <v>10520.73059103506</v>
      </c>
      <c r="K626" s="39" t="n">
        <v>5101.851851851852</v>
      </c>
      <c r="L626" s="39" t="n">
        <v>150</v>
      </c>
      <c r="M626" s="39">
        <f>I626+J626+K626+L626</f>
        <v/>
      </c>
      <c r="N626" s="39">
        <f>M626*Dashboard!$B$18/(Dashboard!$B$16/3.6)</f>
        <v/>
      </c>
      <c r="O626" s="39" t="n">
        <v>2039.525462212087</v>
      </c>
      <c r="P626" s="40" t="n">
        <v>0.08209463084427607</v>
      </c>
      <c r="Q626" s="41" t="n">
        <v>8.657063527408475</v>
      </c>
      <c r="R626" s="39" t="n">
        <v>9263.321180415564</v>
      </c>
      <c r="S626" s="39">
        <f>R626*IF(A626=4, 2.0, 3.0)</f>
        <v/>
      </c>
      <c r="T626" s="37">
        <f>8.0*U626</f>
        <v/>
      </c>
      <c r="U626" s="42">
        <f>MIN(1, S626/M626)</f>
        <v/>
      </c>
      <c r="V626" s="42">
        <f>N626/(N626+O626)</f>
        <v/>
      </c>
      <c r="W626" s="42">
        <f>U626*V626</f>
        <v/>
      </c>
      <c r="X626" s="40">
        <f>T626/N626</f>
        <v/>
      </c>
      <c r="Y626" s="15">
        <f>IF(X626=MAXIFS(X$2:X$721, A$2:A$721, A626, B$2:B$721, B626), "OPTIMAL", "")</f>
        <v/>
      </c>
    </row>
    <row r="627" ht="20" customHeight="1">
      <c r="A627" s="29" t="n">
        <v>-18</v>
      </c>
      <c r="B627" s="29" t="n">
        <v>45</v>
      </c>
      <c r="C627" s="30" t="n">
        <v>80</v>
      </c>
      <c r="D627" s="30" t="n">
        <v>3</v>
      </c>
      <c r="E627" s="6" t="n">
        <v>4</v>
      </c>
      <c r="F627" s="30" t="n">
        <v>1.5</v>
      </c>
      <c r="G627" s="6" t="inlineStr">
        <is>
          <t>Oui</t>
        </is>
      </c>
      <c r="H627" s="6" t="inlineStr">
        <is>
          <t>OFF</t>
        </is>
      </c>
      <c r="I627" s="31" t="n">
        <v>885.2722778138215</v>
      </c>
      <c r="J627" s="31" t="n">
        <v>10520.73059103506</v>
      </c>
      <c r="K627" s="31" t="n">
        <v>5101.851851851852</v>
      </c>
      <c r="L627" s="31" t="n">
        <v>150</v>
      </c>
      <c r="M627" s="31">
        <f>I627+J627+K627+L627</f>
        <v/>
      </c>
      <c r="N627" s="31">
        <f>M627*Dashboard!$B$18/(Dashboard!$B$16/3.6)</f>
        <v/>
      </c>
      <c r="O627" s="31" t="n">
        <v>2039.525462212087</v>
      </c>
      <c r="P627" s="32" t="n">
        <v>0.3558275394191204</v>
      </c>
      <c r="Q627" s="33" t="n">
        <v>8.657063527408475</v>
      </c>
      <c r="R627" s="31" t="n">
        <v>2137.184024428311</v>
      </c>
      <c r="S627" s="31">
        <f>R627*IF(A627=4, 2.0, 3.0)</f>
        <v/>
      </c>
      <c r="T627" s="30">
        <f>8.0*U627</f>
        <v/>
      </c>
      <c r="U627" s="34">
        <f>MIN(1, S627/M627)</f>
        <v/>
      </c>
      <c r="V627" s="34">
        <f>N627/(N627+O627)</f>
        <v/>
      </c>
      <c r="W627" s="34">
        <f>U627*V627</f>
        <v/>
      </c>
      <c r="X627" s="32">
        <f>T627/N627</f>
        <v/>
      </c>
      <c r="Y627" s="35">
        <f>IF(X627=MAXIFS(X$2:X$721, A$2:A$721, A627, B$2:B$721, B627), "OPTIMAL", "")</f>
        <v/>
      </c>
    </row>
    <row r="628" ht="20" customHeight="1">
      <c r="A628" s="36" t="n">
        <v>-18</v>
      </c>
      <c r="B628" s="36" t="n">
        <v>45</v>
      </c>
      <c r="C628" s="37" t="n">
        <v>80</v>
      </c>
      <c r="D628" s="37" t="n">
        <v>3</v>
      </c>
      <c r="E628" s="38" t="n">
        <v>4</v>
      </c>
      <c r="F628" s="37" t="n">
        <v>1.5</v>
      </c>
      <c r="G628" s="38" t="inlineStr">
        <is>
          <t>Non</t>
        </is>
      </c>
      <c r="H628" s="38" t="inlineStr">
        <is>
          <t>ON</t>
        </is>
      </c>
      <c r="I628" s="39" t="n">
        <v>885.2722778138215</v>
      </c>
      <c r="J628" s="39" t="n">
        <v>10520.73059103506</v>
      </c>
      <c r="K628" s="39" t="n">
        <v>5101.851851851852</v>
      </c>
      <c r="L628" s="39" t="n">
        <v>150</v>
      </c>
      <c r="M628" s="39">
        <f>I628+J628+K628+L628</f>
        <v/>
      </c>
      <c r="N628" s="39">
        <f>M628*Dashboard!$B$18/(Dashboard!$B$16/3.6)</f>
        <v/>
      </c>
      <c r="O628" s="39" t="n">
        <v>2039.525462212087</v>
      </c>
      <c r="P628" s="40" t="n">
        <v>0.07811575726697868</v>
      </c>
      <c r="Q628" s="41" t="n">
        <v>8.657063527408475</v>
      </c>
      <c r="R628" s="39" t="n">
        <v>9735.154075241193</v>
      </c>
      <c r="S628" s="39">
        <f>R628*IF(A628=4, 2.0, 3.0)</f>
        <v/>
      </c>
      <c r="T628" s="37">
        <f>8.0*U628</f>
        <v/>
      </c>
      <c r="U628" s="42">
        <f>MIN(1, S628/M628)</f>
        <v/>
      </c>
      <c r="V628" s="42">
        <f>N628/(N628+O628)</f>
        <v/>
      </c>
      <c r="W628" s="42">
        <f>U628*V628</f>
        <v/>
      </c>
      <c r="X628" s="40">
        <f>T628/N628</f>
        <v/>
      </c>
      <c r="Y628" s="15">
        <f>IF(X628=MAXIFS(X$2:X$721, A$2:A$721, A628, B$2:B$721, B628), "OPTIMAL", "")</f>
        <v/>
      </c>
    </row>
    <row r="629" ht="20" customHeight="1">
      <c r="A629" s="29" t="n">
        <v>-18</v>
      </c>
      <c r="B629" s="29" t="n">
        <v>45</v>
      </c>
      <c r="C629" s="30" t="n">
        <v>80</v>
      </c>
      <c r="D629" s="30" t="n">
        <v>3</v>
      </c>
      <c r="E629" s="6" t="n">
        <v>4</v>
      </c>
      <c r="F629" s="30" t="n">
        <v>1.5</v>
      </c>
      <c r="G629" s="6" t="inlineStr">
        <is>
          <t>Non</t>
        </is>
      </c>
      <c r="H629" s="6" t="inlineStr">
        <is>
          <t>OFF</t>
        </is>
      </c>
      <c r="I629" s="31" t="n">
        <v>885.2722778138215</v>
      </c>
      <c r="J629" s="31" t="n">
        <v>10520.73059103506</v>
      </c>
      <c r="K629" s="31" t="n">
        <v>5101.851851851852</v>
      </c>
      <c r="L629" s="31" t="n">
        <v>150</v>
      </c>
      <c r="M629" s="31">
        <f>I629+J629+K629+L629</f>
        <v/>
      </c>
      <c r="N629" s="31">
        <f>M629*Dashboard!$B$18/(Dashboard!$B$16/3.6)</f>
        <v/>
      </c>
      <c r="O629" s="31" t="n">
        <v>2039.525462212087</v>
      </c>
      <c r="P629" s="32" t="n">
        <v>0.3518486658418231</v>
      </c>
      <c r="Q629" s="33" t="n">
        <v>8.657063527408475</v>
      </c>
      <c r="R629" s="31" t="n">
        <v>2161.352327082733</v>
      </c>
      <c r="S629" s="31">
        <f>R629*IF(A629=4, 2.0, 3.0)</f>
        <v/>
      </c>
      <c r="T629" s="30">
        <f>8.0*U629</f>
        <v/>
      </c>
      <c r="U629" s="34">
        <f>MIN(1, S629/M629)</f>
        <v/>
      </c>
      <c r="V629" s="34">
        <f>N629/(N629+O629)</f>
        <v/>
      </c>
      <c r="W629" s="34">
        <f>U629*V629</f>
        <v/>
      </c>
      <c r="X629" s="32">
        <f>T629/N629</f>
        <v/>
      </c>
      <c r="Y629" s="35">
        <f>IF(X629=MAXIFS(X$2:X$721, A$2:A$721, A629, B$2:B$721, B629), "OPTIMAL", "")</f>
        <v/>
      </c>
    </row>
    <row r="630" ht="20" customHeight="1">
      <c r="A630" s="36" t="n">
        <v>-18</v>
      </c>
      <c r="B630" s="36" t="n">
        <v>45</v>
      </c>
      <c r="C630" s="37" t="n">
        <v>80</v>
      </c>
      <c r="D630" s="37" t="n">
        <v>3</v>
      </c>
      <c r="E630" s="38" t="n">
        <v>4</v>
      </c>
      <c r="F630" s="37" t="n">
        <v>2</v>
      </c>
      <c r="G630" s="38" t="inlineStr">
        <is>
          <t>Oui</t>
        </is>
      </c>
      <c r="H630" s="38" t="inlineStr">
        <is>
          <t>ON</t>
        </is>
      </c>
      <c r="I630" s="39" t="n">
        <v>885.2722778138215</v>
      </c>
      <c r="J630" s="39" t="n">
        <v>10520.73059103506</v>
      </c>
      <c r="K630" s="39" t="n">
        <v>5101.851851851852</v>
      </c>
      <c r="L630" s="39" t="n">
        <v>150</v>
      </c>
      <c r="M630" s="39">
        <f>I630+J630+K630+L630</f>
        <v/>
      </c>
      <c r="N630" s="39">
        <f>M630*Dashboard!$B$18/(Dashboard!$B$16/3.6)</f>
        <v/>
      </c>
      <c r="O630" s="39" t="n">
        <v>2255.05405399114</v>
      </c>
      <c r="P630" s="40" t="n">
        <v>0.08011046001180847</v>
      </c>
      <c r="Q630" s="41" t="n">
        <v>11.4760847032113</v>
      </c>
      <c r="R630" s="39" t="n">
        <v>9631.033446442523</v>
      </c>
      <c r="S630" s="39">
        <f>R630*IF(A630=4, 2.0, 3.0)</f>
        <v/>
      </c>
      <c r="T630" s="37">
        <f>8.0*U630</f>
        <v/>
      </c>
      <c r="U630" s="42">
        <f>MIN(1, S630/M630)</f>
        <v/>
      </c>
      <c r="V630" s="42">
        <f>N630/(N630+O630)</f>
        <v/>
      </c>
      <c r="W630" s="42">
        <f>U630*V630</f>
        <v/>
      </c>
      <c r="X630" s="40">
        <f>T630/N630</f>
        <v/>
      </c>
      <c r="Y630" s="15">
        <f>IF(X630=MAXIFS(X$2:X$721, A$2:A$721, A630, B$2:B$721, B630), "OPTIMAL", "")</f>
        <v/>
      </c>
    </row>
    <row r="631" ht="20" customHeight="1">
      <c r="A631" s="29" t="n">
        <v>-18</v>
      </c>
      <c r="B631" s="29" t="n">
        <v>45</v>
      </c>
      <c r="C631" s="30" t="n">
        <v>80</v>
      </c>
      <c r="D631" s="30" t="n">
        <v>3</v>
      </c>
      <c r="E631" s="6" t="n">
        <v>4</v>
      </c>
      <c r="F631" s="30" t="n">
        <v>2</v>
      </c>
      <c r="G631" s="6" t="inlineStr">
        <is>
          <t>Oui</t>
        </is>
      </c>
      <c r="H631" s="6" t="inlineStr">
        <is>
          <t>OFF</t>
        </is>
      </c>
      <c r="I631" s="31" t="n">
        <v>885.2722778138215</v>
      </c>
      <c r="J631" s="31" t="n">
        <v>10520.73059103506</v>
      </c>
      <c r="K631" s="31" t="n">
        <v>5101.851851851852</v>
      </c>
      <c r="L631" s="31" t="n">
        <v>150</v>
      </c>
      <c r="M631" s="31">
        <f>I631+J631+K631+L631</f>
        <v/>
      </c>
      <c r="N631" s="31">
        <f>M631*Dashboard!$B$18/(Dashboard!$B$16/3.6)</f>
        <v/>
      </c>
      <c r="O631" s="31" t="n">
        <v>2255.05405399114</v>
      </c>
      <c r="P631" s="32" t="n">
        <v>0.3553476372854298</v>
      </c>
      <c r="Q631" s="33" t="n">
        <v>11.4760847032113</v>
      </c>
      <c r="R631" s="31" t="n">
        <v>2171.24426569322</v>
      </c>
      <c r="S631" s="31">
        <f>R631*IF(A631=4, 2.0, 3.0)</f>
        <v/>
      </c>
      <c r="T631" s="30">
        <f>8.0*U631</f>
        <v/>
      </c>
      <c r="U631" s="34">
        <f>MIN(1, S631/M631)</f>
        <v/>
      </c>
      <c r="V631" s="34">
        <f>N631/(N631+O631)</f>
        <v/>
      </c>
      <c r="W631" s="34">
        <f>U631*V631</f>
        <v/>
      </c>
      <c r="X631" s="32">
        <f>T631/N631</f>
        <v/>
      </c>
      <c r="Y631" s="35">
        <f>IF(X631=MAXIFS(X$2:X$721, A$2:A$721, A631, B$2:B$721, B631), "OPTIMAL", "")</f>
        <v/>
      </c>
    </row>
    <row r="632" ht="20" customHeight="1">
      <c r="A632" s="36" t="n">
        <v>-18</v>
      </c>
      <c r="B632" s="36" t="n">
        <v>45</v>
      </c>
      <c r="C632" s="37" t="n">
        <v>80</v>
      </c>
      <c r="D632" s="37" t="n">
        <v>3</v>
      </c>
      <c r="E632" s="38" t="n">
        <v>4</v>
      </c>
      <c r="F632" s="37" t="n">
        <v>2</v>
      </c>
      <c r="G632" s="38" t="inlineStr">
        <is>
          <t>Non</t>
        </is>
      </c>
      <c r="H632" s="38" t="inlineStr">
        <is>
          <t>ON</t>
        </is>
      </c>
      <c r="I632" s="39" t="n">
        <v>885.2722778138215</v>
      </c>
      <c r="J632" s="39" t="n">
        <v>10520.73059103506</v>
      </c>
      <c r="K632" s="39" t="n">
        <v>5101.851851851852</v>
      </c>
      <c r="L632" s="39" t="n">
        <v>150</v>
      </c>
      <c r="M632" s="39">
        <f>I632+J632+K632+L632</f>
        <v/>
      </c>
      <c r="N632" s="39">
        <f>M632*Dashboard!$B$18/(Dashboard!$B$16/3.6)</f>
        <v/>
      </c>
      <c r="O632" s="39" t="n">
        <v>2255.05405399114</v>
      </c>
      <c r="P632" s="40" t="n">
        <v>0.07613158643451108</v>
      </c>
      <c r="Q632" s="41" t="n">
        <v>11.4760847032113</v>
      </c>
      <c r="R632" s="39" t="n">
        <v>10134.38121964414</v>
      </c>
      <c r="S632" s="39">
        <f>R632*IF(A632=4, 2.0, 3.0)</f>
        <v/>
      </c>
      <c r="T632" s="37">
        <f>8.0*U632</f>
        <v/>
      </c>
      <c r="U632" s="42">
        <f>MIN(1, S632/M632)</f>
        <v/>
      </c>
      <c r="V632" s="42">
        <f>N632/(N632+O632)</f>
        <v/>
      </c>
      <c r="W632" s="42">
        <f>U632*V632</f>
        <v/>
      </c>
      <c r="X632" s="40">
        <f>T632/N632</f>
        <v/>
      </c>
      <c r="Y632" s="15">
        <f>IF(X632=MAXIFS(X$2:X$721, A$2:A$721, A632, B$2:B$721, B632), "OPTIMAL", "")</f>
        <v/>
      </c>
    </row>
    <row r="633" ht="20" customHeight="1">
      <c r="A633" s="29" t="n">
        <v>-18</v>
      </c>
      <c r="B633" s="29" t="n">
        <v>45</v>
      </c>
      <c r="C633" s="30" t="n">
        <v>80</v>
      </c>
      <c r="D633" s="30" t="n">
        <v>3</v>
      </c>
      <c r="E633" s="6" t="n">
        <v>4</v>
      </c>
      <c r="F633" s="30" t="n">
        <v>2</v>
      </c>
      <c r="G633" s="6" t="inlineStr">
        <is>
          <t>Non</t>
        </is>
      </c>
      <c r="H633" s="6" t="inlineStr">
        <is>
          <t>OFF</t>
        </is>
      </c>
      <c r="I633" s="31" t="n">
        <v>885.2722778138215</v>
      </c>
      <c r="J633" s="31" t="n">
        <v>10520.73059103506</v>
      </c>
      <c r="K633" s="31" t="n">
        <v>5101.851851851852</v>
      </c>
      <c r="L633" s="31" t="n">
        <v>150</v>
      </c>
      <c r="M633" s="31">
        <f>I633+J633+K633+L633</f>
        <v/>
      </c>
      <c r="N633" s="31">
        <f>M633*Dashboard!$B$18/(Dashboard!$B$16/3.6)</f>
        <v/>
      </c>
      <c r="O633" s="31" t="n">
        <v>2255.05405399114</v>
      </c>
      <c r="P633" s="32" t="n">
        <v>0.3513687637081325</v>
      </c>
      <c r="Q633" s="33" t="n">
        <v>11.4760847032113</v>
      </c>
      <c r="R633" s="31" t="n">
        <v>2195.831273221872</v>
      </c>
      <c r="S633" s="31">
        <f>R633*IF(A633=4, 2.0, 3.0)</f>
        <v/>
      </c>
      <c r="T633" s="30">
        <f>8.0*U633</f>
        <v/>
      </c>
      <c r="U633" s="34">
        <f>MIN(1, S633/M633)</f>
        <v/>
      </c>
      <c r="V633" s="34">
        <f>N633/(N633+O633)</f>
        <v/>
      </c>
      <c r="W633" s="34">
        <f>U633*V633</f>
        <v/>
      </c>
      <c r="X633" s="32">
        <f>T633/N633</f>
        <v/>
      </c>
      <c r="Y633" s="35">
        <f>IF(X633=MAXIFS(X$2:X$721, A$2:A$721, A633, B$2:B$721, B633), "OPTIMAL", "")</f>
        <v/>
      </c>
    </row>
    <row r="634" ht="20" customHeight="1">
      <c r="A634" s="36" t="n">
        <v>-18</v>
      </c>
      <c r="B634" s="36" t="n">
        <v>45</v>
      </c>
      <c r="C634" s="37" t="n">
        <v>80</v>
      </c>
      <c r="D634" s="37" t="n">
        <v>3</v>
      </c>
      <c r="E634" s="38" t="n">
        <v>8</v>
      </c>
      <c r="F634" s="37" t="n">
        <v>1.5</v>
      </c>
      <c r="G634" s="38" t="inlineStr">
        <is>
          <t>Oui</t>
        </is>
      </c>
      <c r="H634" s="38" t="inlineStr">
        <is>
          <t>ON</t>
        </is>
      </c>
      <c r="I634" s="39" t="n">
        <v>885.2722778138215</v>
      </c>
      <c r="J634" s="39" t="n">
        <v>10520.73059103506</v>
      </c>
      <c r="K634" s="39" t="n">
        <v>5101.851851851852</v>
      </c>
      <c r="L634" s="39" t="n">
        <v>150</v>
      </c>
      <c r="M634" s="39">
        <f>I634+J634+K634+L634</f>
        <v/>
      </c>
      <c r="N634" s="39">
        <f>M634*Dashboard!$B$18/(Dashboard!$B$16/3.6)</f>
        <v/>
      </c>
      <c r="O634" s="39" t="n">
        <v>2705.513856427143</v>
      </c>
      <c r="P634" s="40" t="n">
        <v>0.06134832938702932</v>
      </c>
      <c r="Q634" s="41" t="n">
        <v>17.11412705481695</v>
      </c>
      <c r="R634" s="39" t="n">
        <v>12953.88063641941</v>
      </c>
      <c r="S634" s="39">
        <f>R634*IF(A634=4, 2.0, 3.0)</f>
        <v/>
      </c>
      <c r="T634" s="37">
        <f>8.0*U634</f>
        <v/>
      </c>
      <c r="U634" s="42">
        <f>MIN(1, S634/M634)</f>
        <v/>
      </c>
      <c r="V634" s="42">
        <f>N634/(N634+O634)</f>
        <v/>
      </c>
      <c r="W634" s="42">
        <f>U634*V634</f>
        <v/>
      </c>
      <c r="X634" s="40">
        <f>T634/N634</f>
        <v/>
      </c>
      <c r="Y634" s="15">
        <f>IF(X634=MAXIFS(X$2:X$721, A$2:A$721, A634, B$2:B$721, B634), "OPTIMAL", "")</f>
        <v/>
      </c>
    </row>
    <row r="635" ht="20" customHeight="1">
      <c r="A635" s="29" t="n">
        <v>-18</v>
      </c>
      <c r="B635" s="29" t="n">
        <v>45</v>
      </c>
      <c r="C635" s="30" t="n">
        <v>80</v>
      </c>
      <c r="D635" s="30" t="n">
        <v>3</v>
      </c>
      <c r="E635" s="6" t="n">
        <v>8</v>
      </c>
      <c r="F635" s="30" t="n">
        <v>1.5</v>
      </c>
      <c r="G635" s="6" t="inlineStr">
        <is>
          <t>Oui</t>
        </is>
      </c>
      <c r="H635" s="6" t="inlineStr">
        <is>
          <t>OFF</t>
        </is>
      </c>
      <c r="I635" s="31" t="n">
        <v>885.2722778138215</v>
      </c>
      <c r="J635" s="31" t="n">
        <v>10520.73059103506</v>
      </c>
      <c r="K635" s="31" t="n">
        <v>5101.851851851852</v>
      </c>
      <c r="L635" s="31" t="n">
        <v>150</v>
      </c>
      <c r="M635" s="31">
        <f>I635+J635+K635+L635</f>
        <v/>
      </c>
      <c r="N635" s="31">
        <f>M635*Dashboard!$B$18/(Dashboard!$B$16/3.6)</f>
        <v/>
      </c>
      <c r="O635" s="31" t="n">
        <v>2705.513856427143</v>
      </c>
      <c r="P635" s="32" t="n">
        <v>0.2699794634504217</v>
      </c>
      <c r="Q635" s="33" t="n">
        <v>17.11412705481695</v>
      </c>
      <c r="R635" s="31" t="n">
        <v>2943.553283523195</v>
      </c>
      <c r="S635" s="31">
        <f>R635*IF(A635=4, 2.0, 3.0)</f>
        <v/>
      </c>
      <c r="T635" s="30">
        <f>8.0*U635</f>
        <v/>
      </c>
      <c r="U635" s="34">
        <f>MIN(1, S635/M635)</f>
        <v/>
      </c>
      <c r="V635" s="34">
        <f>N635/(N635+O635)</f>
        <v/>
      </c>
      <c r="W635" s="34">
        <f>U635*V635</f>
        <v/>
      </c>
      <c r="X635" s="32">
        <f>T635/N635</f>
        <v/>
      </c>
      <c r="Y635" s="35">
        <f>IF(X635=MAXIFS(X$2:X$721, A$2:A$721, A635, B$2:B$721, B635), "OPTIMAL", "")</f>
        <v/>
      </c>
    </row>
    <row r="636" ht="20" customHeight="1">
      <c r="A636" s="36" t="n">
        <v>-18</v>
      </c>
      <c r="B636" s="36" t="n">
        <v>45</v>
      </c>
      <c r="C636" s="37" t="n">
        <v>80</v>
      </c>
      <c r="D636" s="37" t="n">
        <v>3</v>
      </c>
      <c r="E636" s="38" t="n">
        <v>8</v>
      </c>
      <c r="F636" s="37" t="n">
        <v>1.5</v>
      </c>
      <c r="G636" s="38" t="inlineStr">
        <is>
          <t>Non</t>
        </is>
      </c>
      <c r="H636" s="38" t="inlineStr">
        <is>
          <t>ON</t>
        </is>
      </c>
      <c r="I636" s="39" t="n">
        <v>885.2722778138215</v>
      </c>
      <c r="J636" s="39" t="n">
        <v>10520.73059103506</v>
      </c>
      <c r="K636" s="39" t="n">
        <v>5101.851851851852</v>
      </c>
      <c r="L636" s="39" t="n">
        <v>150</v>
      </c>
      <c r="M636" s="39">
        <f>I636+J636+K636+L636</f>
        <v/>
      </c>
      <c r="N636" s="39">
        <f>M636*Dashboard!$B$18/(Dashboard!$B$16/3.6)</f>
        <v/>
      </c>
      <c r="O636" s="39" t="n">
        <v>2705.513856427143</v>
      </c>
      <c r="P636" s="40" t="n">
        <v>0.05736945580973193</v>
      </c>
      <c r="Q636" s="41" t="n">
        <v>17.11412705481695</v>
      </c>
      <c r="R636" s="39" t="n">
        <v>13852.30040805981</v>
      </c>
      <c r="S636" s="39">
        <f>R636*IF(A636=4, 2.0, 3.0)</f>
        <v/>
      </c>
      <c r="T636" s="37">
        <f>8.0*U636</f>
        <v/>
      </c>
      <c r="U636" s="42">
        <f>MIN(1, S636/M636)</f>
        <v/>
      </c>
      <c r="V636" s="42">
        <f>N636/(N636+O636)</f>
        <v/>
      </c>
      <c r="W636" s="42">
        <f>U636*V636</f>
        <v/>
      </c>
      <c r="X636" s="40">
        <f>T636/N636</f>
        <v/>
      </c>
      <c r="Y636" s="15">
        <f>IF(X636=MAXIFS(X$2:X$721, A$2:A$721, A636, B$2:B$721, B636), "OPTIMAL", "")</f>
        <v/>
      </c>
    </row>
    <row r="637" ht="20" customHeight="1">
      <c r="A637" s="29" t="n">
        <v>-18</v>
      </c>
      <c r="B637" s="29" t="n">
        <v>45</v>
      </c>
      <c r="C637" s="30" t="n">
        <v>80</v>
      </c>
      <c r="D637" s="30" t="n">
        <v>3</v>
      </c>
      <c r="E637" s="6" t="n">
        <v>8</v>
      </c>
      <c r="F637" s="30" t="n">
        <v>1.5</v>
      </c>
      <c r="G637" s="6" t="inlineStr">
        <is>
          <t>Non</t>
        </is>
      </c>
      <c r="H637" s="6" t="inlineStr">
        <is>
          <t>OFF</t>
        </is>
      </c>
      <c r="I637" s="31" t="n">
        <v>885.2722778138215</v>
      </c>
      <c r="J637" s="31" t="n">
        <v>10520.73059103506</v>
      </c>
      <c r="K637" s="31" t="n">
        <v>5101.851851851852</v>
      </c>
      <c r="L637" s="31" t="n">
        <v>150</v>
      </c>
      <c r="M637" s="31">
        <f>I637+J637+K637+L637</f>
        <v/>
      </c>
      <c r="N637" s="31">
        <f>M637*Dashboard!$B$18/(Dashboard!$B$16/3.6)</f>
        <v/>
      </c>
      <c r="O637" s="31" t="n">
        <v>2705.513856427143</v>
      </c>
      <c r="P637" s="32" t="n">
        <v>0.2660005898731243</v>
      </c>
      <c r="Q637" s="33" t="n">
        <v>17.11412705481695</v>
      </c>
      <c r="R637" s="31" t="n">
        <v>2987.583360256347</v>
      </c>
      <c r="S637" s="31">
        <f>R637*IF(A637=4, 2.0, 3.0)</f>
        <v/>
      </c>
      <c r="T637" s="30">
        <f>8.0*U637</f>
        <v/>
      </c>
      <c r="U637" s="34">
        <f>MIN(1, S637/M637)</f>
        <v/>
      </c>
      <c r="V637" s="34">
        <f>N637/(N637+O637)</f>
        <v/>
      </c>
      <c r="W637" s="34">
        <f>U637*V637</f>
        <v/>
      </c>
      <c r="X637" s="32">
        <f>T637/N637</f>
        <v/>
      </c>
      <c r="Y637" s="35">
        <f>IF(X637=MAXIFS(X$2:X$721, A$2:A$721, A637, B$2:B$721, B637), "OPTIMAL", "")</f>
        <v/>
      </c>
    </row>
    <row r="638" ht="20" customHeight="1">
      <c r="A638" s="36" t="n">
        <v>-18</v>
      </c>
      <c r="B638" s="36" t="n">
        <v>45</v>
      </c>
      <c r="C638" s="37" t="n">
        <v>80</v>
      </c>
      <c r="D638" s="37" t="n">
        <v>3</v>
      </c>
      <c r="E638" s="38" t="n">
        <v>8</v>
      </c>
      <c r="F638" s="37" t="n">
        <v>2</v>
      </c>
      <c r="G638" s="38" t="inlineStr">
        <is>
          <t>Oui</t>
        </is>
      </c>
      <c r="H638" s="38" t="inlineStr">
        <is>
          <t>ON</t>
        </is>
      </c>
      <c r="I638" s="39" t="n">
        <v>885.2722778138215</v>
      </c>
      <c r="J638" s="39" t="n">
        <v>10520.73059103506</v>
      </c>
      <c r="K638" s="39" t="n">
        <v>5101.851851851852</v>
      </c>
      <c r="L638" s="39" t="n">
        <v>150</v>
      </c>
      <c r="M638" s="39">
        <f>I638+J638+K638+L638</f>
        <v/>
      </c>
      <c r="N638" s="39">
        <f>M638*Dashboard!$B$18/(Dashboard!$B$16/3.6)</f>
        <v/>
      </c>
      <c r="O638" s="39" t="n">
        <v>3183.844623752641</v>
      </c>
      <c r="P638" s="40" t="n">
        <v>0.060517018169736</v>
      </c>
      <c r="Q638" s="41" t="n">
        <v>22.7521694064226</v>
      </c>
      <c r="R638" s="39" t="n">
        <v>13538.07357842089</v>
      </c>
      <c r="S638" s="39">
        <f>R638*IF(A638=4, 2.0, 3.0)</f>
        <v/>
      </c>
      <c r="T638" s="37">
        <f>8.0*U638</f>
        <v/>
      </c>
      <c r="U638" s="42">
        <f>MIN(1, S638/M638)</f>
        <v/>
      </c>
      <c r="V638" s="42">
        <f>N638/(N638+O638)</f>
        <v/>
      </c>
      <c r="W638" s="42">
        <f>U638*V638</f>
        <v/>
      </c>
      <c r="X638" s="40">
        <f>T638/N638</f>
        <v/>
      </c>
      <c r="Y638" s="15">
        <f>IF(X638=MAXIFS(X$2:X$721, A$2:A$721, A638, B$2:B$721, B638), "OPTIMAL", "")</f>
        <v/>
      </c>
    </row>
    <row r="639" ht="20" customHeight="1">
      <c r="A639" s="29" t="n">
        <v>-18</v>
      </c>
      <c r="B639" s="29" t="n">
        <v>45</v>
      </c>
      <c r="C639" s="30" t="n">
        <v>80</v>
      </c>
      <c r="D639" s="30" t="n">
        <v>3</v>
      </c>
      <c r="E639" s="6" t="n">
        <v>8</v>
      </c>
      <c r="F639" s="30" t="n">
        <v>2</v>
      </c>
      <c r="G639" s="6" t="inlineStr">
        <is>
          <t>Oui</t>
        </is>
      </c>
      <c r="H639" s="6" t="inlineStr">
        <is>
          <t>OFF</t>
        </is>
      </c>
      <c r="I639" s="31" t="n">
        <v>885.2722778138215</v>
      </c>
      <c r="J639" s="31" t="n">
        <v>10520.73059103506</v>
      </c>
      <c r="K639" s="31" t="n">
        <v>5101.851851851852</v>
      </c>
      <c r="L639" s="31" t="n">
        <v>150</v>
      </c>
      <c r="M639" s="31">
        <f>I639+J639+K639+L639</f>
        <v/>
      </c>
      <c r="N639" s="31">
        <f>M639*Dashboard!$B$18/(Dashboard!$B$16/3.6)</f>
        <v/>
      </c>
      <c r="O639" s="31" t="n">
        <v>3183.844623752641</v>
      </c>
      <c r="P639" s="32" t="n">
        <v>0.2709014433795033</v>
      </c>
      <c r="Q639" s="33" t="n">
        <v>22.7521694064226</v>
      </c>
      <c r="R639" s="31" t="n">
        <v>3024.287484436888</v>
      </c>
      <c r="S639" s="31">
        <f>R639*IF(A639=4, 2.0, 3.0)</f>
        <v/>
      </c>
      <c r="T639" s="30">
        <f>8.0*U639</f>
        <v/>
      </c>
      <c r="U639" s="34">
        <f>MIN(1, S639/M639)</f>
        <v/>
      </c>
      <c r="V639" s="34">
        <f>N639/(N639+O639)</f>
        <v/>
      </c>
      <c r="W639" s="34">
        <f>U639*V639</f>
        <v/>
      </c>
      <c r="X639" s="32">
        <f>T639/N639</f>
        <v/>
      </c>
      <c r="Y639" s="35">
        <f>IF(X639=MAXIFS(X$2:X$721, A$2:A$721, A639, B$2:B$721, B639), "OPTIMAL", "")</f>
        <v/>
      </c>
    </row>
    <row r="640" ht="20" customHeight="1">
      <c r="A640" s="36" t="n">
        <v>-18</v>
      </c>
      <c r="B640" s="36" t="n">
        <v>45</v>
      </c>
      <c r="C640" s="37" t="n">
        <v>80</v>
      </c>
      <c r="D640" s="37" t="n">
        <v>3</v>
      </c>
      <c r="E640" s="38" t="n">
        <v>8</v>
      </c>
      <c r="F640" s="37" t="n">
        <v>2</v>
      </c>
      <c r="G640" s="38" t="inlineStr">
        <is>
          <t>Non</t>
        </is>
      </c>
      <c r="H640" s="38" t="inlineStr">
        <is>
          <t>ON</t>
        </is>
      </c>
      <c r="I640" s="39" t="n">
        <v>885.2722778138215</v>
      </c>
      <c r="J640" s="39" t="n">
        <v>10520.73059103506</v>
      </c>
      <c r="K640" s="39" t="n">
        <v>5101.851851851852</v>
      </c>
      <c r="L640" s="39" t="n">
        <v>150</v>
      </c>
      <c r="M640" s="39">
        <f>I640+J640+K640+L640</f>
        <v/>
      </c>
      <c r="N640" s="39">
        <f>M640*Dashboard!$B$18/(Dashboard!$B$16/3.6)</f>
        <v/>
      </c>
      <c r="O640" s="39" t="n">
        <v>3183.844623752641</v>
      </c>
      <c r="P640" s="40" t="n">
        <v>0.05653814459243862</v>
      </c>
      <c r="Q640" s="41" t="n">
        <v>22.7521694064226</v>
      </c>
      <c r="R640" s="39" t="n">
        <v>14490.8159019794</v>
      </c>
      <c r="S640" s="39">
        <f>R640*IF(A640=4, 2.0, 3.0)</f>
        <v/>
      </c>
      <c r="T640" s="37">
        <f>8.0*U640</f>
        <v/>
      </c>
      <c r="U640" s="42">
        <f>MIN(1, S640/M640)</f>
        <v/>
      </c>
      <c r="V640" s="42">
        <f>N640/(N640+O640)</f>
        <v/>
      </c>
      <c r="W640" s="42">
        <f>U640*V640</f>
        <v/>
      </c>
      <c r="X640" s="40">
        <f>T640/N640</f>
        <v/>
      </c>
      <c r="Y640" s="15">
        <f>IF(X640=MAXIFS(X$2:X$721, A$2:A$721, A640, B$2:B$721, B640), "OPTIMAL", "")</f>
        <v/>
      </c>
    </row>
    <row r="641" ht="20" customHeight="1">
      <c r="A641" s="29" t="n">
        <v>-18</v>
      </c>
      <c r="B641" s="29" t="n">
        <v>45</v>
      </c>
      <c r="C641" s="30" t="n">
        <v>80</v>
      </c>
      <c r="D641" s="30" t="n">
        <v>3</v>
      </c>
      <c r="E641" s="6" t="n">
        <v>8</v>
      </c>
      <c r="F641" s="30" t="n">
        <v>2</v>
      </c>
      <c r="G641" s="6" t="inlineStr">
        <is>
          <t>Non</t>
        </is>
      </c>
      <c r="H641" s="6" t="inlineStr">
        <is>
          <t>OFF</t>
        </is>
      </c>
      <c r="I641" s="31" t="n">
        <v>885.2722778138215</v>
      </c>
      <c r="J641" s="31" t="n">
        <v>10520.73059103506</v>
      </c>
      <c r="K641" s="31" t="n">
        <v>5101.851851851852</v>
      </c>
      <c r="L641" s="31" t="n">
        <v>150</v>
      </c>
      <c r="M641" s="31">
        <f>I641+J641+K641+L641</f>
        <v/>
      </c>
      <c r="N641" s="31">
        <f>M641*Dashboard!$B$18/(Dashboard!$B$16/3.6)</f>
        <v/>
      </c>
      <c r="O641" s="31" t="n">
        <v>3183.844623752641</v>
      </c>
      <c r="P641" s="32" t="n">
        <v>0.266922569802206</v>
      </c>
      <c r="Q641" s="33" t="n">
        <v>22.7521694064226</v>
      </c>
      <c r="R641" s="31" t="n">
        <v>3069.368938473891</v>
      </c>
      <c r="S641" s="31">
        <f>R641*IF(A641=4, 2.0, 3.0)</f>
        <v/>
      </c>
      <c r="T641" s="30">
        <f>8.0*U641</f>
        <v/>
      </c>
      <c r="U641" s="34">
        <f>MIN(1, S641/M641)</f>
        <v/>
      </c>
      <c r="V641" s="34">
        <f>N641/(N641+O641)</f>
        <v/>
      </c>
      <c r="W641" s="34">
        <f>U641*V641</f>
        <v/>
      </c>
      <c r="X641" s="32">
        <f>T641/N641</f>
        <v/>
      </c>
      <c r="Y641" s="35">
        <f>IF(X641=MAXIFS(X$2:X$721, A$2:A$721, A641, B$2:B$721, B641), "OPTIMAL", "")</f>
        <v/>
      </c>
    </row>
    <row r="642" ht="20" customHeight="1">
      <c r="A642" s="21" t="n">
        <v>-18</v>
      </c>
      <c r="B642" s="21" t="n">
        <v>45</v>
      </c>
      <c r="C642" s="22" t="n">
        <v>100</v>
      </c>
      <c r="D642" s="22" t="n">
        <v>2</v>
      </c>
      <c r="E642" s="23" t="n">
        <v>0</v>
      </c>
      <c r="F642" s="22" t="n">
        <v>0</v>
      </c>
      <c r="G642" s="23" t="inlineStr">
        <is>
          <t>Oui</t>
        </is>
      </c>
      <c r="H642" s="23" t="inlineStr">
        <is>
          <t>ON</t>
        </is>
      </c>
      <c r="I642" s="24" t="n">
        <v>885.2722778138215</v>
      </c>
      <c r="J642" s="24" t="n">
        <v>10520.73059103506</v>
      </c>
      <c r="K642" s="24" t="n">
        <v>5101.851851851852</v>
      </c>
      <c r="L642" s="24" t="n">
        <v>150</v>
      </c>
      <c r="M642" s="24">
        <f>I642+J642+K642+L642</f>
        <v/>
      </c>
      <c r="N642" s="24">
        <f>M642*Dashboard!$B$18/(Dashboard!$B$16/3.6)</f>
        <v/>
      </c>
      <c r="O642" s="24" t="n">
        <v>720.2072482185333</v>
      </c>
      <c r="P642" s="25" t="n">
        <v>0.4806796209288155</v>
      </c>
      <c r="Q642" s="26" t="n">
        <v>0.2</v>
      </c>
      <c r="R642" s="24" t="n">
        <v>901.2225908675189</v>
      </c>
      <c r="S642" s="24">
        <f>R642*IF(A642=4, 2.0, 3.0)</f>
        <v/>
      </c>
      <c r="T642" s="22">
        <f>8.0*U642</f>
        <v/>
      </c>
      <c r="U642" s="27">
        <f>MIN(1, S642/M642)</f>
        <v/>
      </c>
      <c r="V642" s="27">
        <f>N642/(N642+O642)</f>
        <v/>
      </c>
      <c r="W642" s="27">
        <f>U642*V642</f>
        <v/>
      </c>
      <c r="X642" s="25">
        <f>T642/N642</f>
        <v/>
      </c>
      <c r="Y642" s="28">
        <f>IF(X642=MAXIFS(X$2:X$721, A$2:A$721, A642, B$2:B$721, B642), "OPTIMAL", "")</f>
        <v/>
      </c>
    </row>
    <row r="643" ht="20" customHeight="1">
      <c r="A643" s="29" t="n">
        <v>-18</v>
      </c>
      <c r="B643" s="29" t="n">
        <v>45</v>
      </c>
      <c r="C643" s="30" t="n">
        <v>100</v>
      </c>
      <c r="D643" s="30" t="n">
        <v>2</v>
      </c>
      <c r="E643" s="6" t="n">
        <v>0</v>
      </c>
      <c r="F643" s="30" t="n">
        <v>0</v>
      </c>
      <c r="G643" s="6" t="inlineStr">
        <is>
          <t>Oui</t>
        </is>
      </c>
      <c r="H643" s="6" t="inlineStr">
        <is>
          <t>OFF</t>
        </is>
      </c>
      <c r="I643" s="31" t="n">
        <v>885.2722778138215</v>
      </c>
      <c r="J643" s="31" t="n">
        <v>10520.73059103506</v>
      </c>
      <c r="K643" s="31" t="n">
        <v>5101.851851851852</v>
      </c>
      <c r="L643" s="31" t="n">
        <v>150</v>
      </c>
      <c r="M643" s="31">
        <f>I643+J643+K643+L643</f>
        <v/>
      </c>
      <c r="N643" s="31">
        <f>M643*Dashboard!$B$18/(Dashboard!$B$16/3.6)</f>
        <v/>
      </c>
      <c r="O643" s="31" t="n">
        <v>720.2072482185333</v>
      </c>
      <c r="P643" s="32" t="n">
        <v>0.7989895071126063</v>
      </c>
      <c r="Q643" s="33" t="n">
        <v>0.2</v>
      </c>
      <c r="R643" s="31" t="n">
        <v>542.1840080430876</v>
      </c>
      <c r="S643" s="31">
        <f>R643*IF(A643=4, 2.0, 3.0)</f>
        <v/>
      </c>
      <c r="T643" s="30">
        <f>8.0*U643</f>
        <v/>
      </c>
      <c r="U643" s="34">
        <f>MIN(1, S643/M643)</f>
        <v/>
      </c>
      <c r="V643" s="34">
        <f>N643/(N643+O643)</f>
        <v/>
      </c>
      <c r="W643" s="34">
        <f>U643*V643</f>
        <v/>
      </c>
      <c r="X643" s="32">
        <f>T643/N643</f>
        <v/>
      </c>
      <c r="Y643" s="35">
        <f>IF(X643=MAXIFS(X$2:X$721, A$2:A$721, A643, B$2:B$721, B643), "OPTIMAL", "")</f>
        <v/>
      </c>
    </row>
    <row r="644" ht="20" customHeight="1">
      <c r="A644" s="21" t="n">
        <v>-18</v>
      </c>
      <c r="B644" s="21" t="n">
        <v>45</v>
      </c>
      <c r="C644" s="22" t="n">
        <v>100</v>
      </c>
      <c r="D644" s="22" t="n">
        <v>2</v>
      </c>
      <c r="E644" s="23" t="n">
        <v>0</v>
      </c>
      <c r="F644" s="22" t="n">
        <v>0</v>
      </c>
      <c r="G644" s="23" t="inlineStr">
        <is>
          <t>Non</t>
        </is>
      </c>
      <c r="H644" s="23" t="inlineStr">
        <is>
          <t>ON</t>
        </is>
      </c>
      <c r="I644" s="24" t="n">
        <v>885.2722778138215</v>
      </c>
      <c r="J644" s="24" t="n">
        <v>10520.73059103506</v>
      </c>
      <c r="K644" s="24" t="n">
        <v>5101.851851851852</v>
      </c>
      <c r="L644" s="24" t="n">
        <v>150</v>
      </c>
      <c r="M644" s="24">
        <f>I644+J644+K644+L644</f>
        <v/>
      </c>
      <c r="N644" s="24">
        <f>M644*Dashboard!$B$18/(Dashboard!$B$16/3.6)</f>
        <v/>
      </c>
      <c r="O644" s="24" t="n">
        <v>720.2072482185333</v>
      </c>
      <c r="P644" s="25" t="n">
        <v>0.4774965220669776</v>
      </c>
      <c r="Q644" s="26" t="n">
        <v>0.2</v>
      </c>
      <c r="R644" s="24" t="n">
        <v>907.2303426953963</v>
      </c>
      <c r="S644" s="24">
        <f>R644*IF(A644=4, 2.0, 3.0)</f>
        <v/>
      </c>
      <c r="T644" s="22">
        <f>8.0*U644</f>
        <v/>
      </c>
      <c r="U644" s="27">
        <f>MIN(1, S644/M644)</f>
        <v/>
      </c>
      <c r="V644" s="27">
        <f>N644/(N644+O644)</f>
        <v/>
      </c>
      <c r="W644" s="27">
        <f>U644*V644</f>
        <v/>
      </c>
      <c r="X644" s="25">
        <f>T644/N644</f>
        <v/>
      </c>
      <c r="Y644" s="28">
        <f>IF(X644=MAXIFS(X$2:X$721, A$2:A$721, A644, B$2:B$721, B644), "OPTIMAL", "")</f>
        <v/>
      </c>
    </row>
    <row r="645" ht="20" customHeight="1">
      <c r="A645" s="29" t="n">
        <v>-18</v>
      </c>
      <c r="B645" s="29" t="n">
        <v>45</v>
      </c>
      <c r="C645" s="30" t="n">
        <v>100</v>
      </c>
      <c r="D645" s="30" t="n">
        <v>2</v>
      </c>
      <c r="E645" s="6" t="n">
        <v>0</v>
      </c>
      <c r="F645" s="30" t="n">
        <v>0</v>
      </c>
      <c r="G645" s="6" t="inlineStr">
        <is>
          <t>Non</t>
        </is>
      </c>
      <c r="H645" s="6" t="inlineStr">
        <is>
          <t>OFF</t>
        </is>
      </c>
      <c r="I645" s="31" t="n">
        <v>885.2722778138215</v>
      </c>
      <c r="J645" s="31" t="n">
        <v>10520.73059103506</v>
      </c>
      <c r="K645" s="31" t="n">
        <v>5101.851851851852</v>
      </c>
      <c r="L645" s="31" t="n">
        <v>150</v>
      </c>
      <c r="M645" s="31">
        <f>I645+J645+K645+L645</f>
        <v/>
      </c>
      <c r="N645" s="31">
        <f>M645*Dashboard!$B$18/(Dashboard!$B$16/3.6)</f>
        <v/>
      </c>
      <c r="O645" s="31" t="n">
        <v>720.2072482185333</v>
      </c>
      <c r="P645" s="32" t="n">
        <v>0.7958064082507683</v>
      </c>
      <c r="Q645" s="33" t="n">
        <v>0.2</v>
      </c>
      <c r="R645" s="31" t="n">
        <v>544.3526577058897</v>
      </c>
      <c r="S645" s="31">
        <f>R645*IF(A645=4, 2.0, 3.0)</f>
        <v/>
      </c>
      <c r="T645" s="30">
        <f>8.0*U645</f>
        <v/>
      </c>
      <c r="U645" s="34">
        <f>MIN(1, S645/M645)</f>
        <v/>
      </c>
      <c r="V645" s="34">
        <f>N645/(N645+O645)</f>
        <v/>
      </c>
      <c r="W645" s="34">
        <f>U645*V645</f>
        <v/>
      </c>
      <c r="X645" s="32">
        <f>T645/N645</f>
        <v/>
      </c>
      <c r="Y645" s="35">
        <f>IF(X645=MAXIFS(X$2:X$721, A$2:A$721, A645, B$2:B$721, B645), "OPTIMAL", "")</f>
        <v/>
      </c>
    </row>
    <row r="646" ht="20" customHeight="1">
      <c r="A646" s="36" t="n">
        <v>-18</v>
      </c>
      <c r="B646" s="36" t="n">
        <v>45</v>
      </c>
      <c r="C646" s="37" t="n">
        <v>100</v>
      </c>
      <c r="D646" s="37" t="n">
        <v>2</v>
      </c>
      <c r="E646" s="38" t="n">
        <v>4</v>
      </c>
      <c r="F646" s="37" t="n">
        <v>1.5</v>
      </c>
      <c r="G646" s="38" t="inlineStr">
        <is>
          <t>Oui</t>
        </is>
      </c>
      <c r="H646" s="38" t="inlineStr">
        <is>
          <t>ON</t>
        </is>
      </c>
      <c r="I646" s="39" t="n">
        <v>885.2722778138215</v>
      </c>
      <c r="J646" s="39" t="n">
        <v>10520.73059103506</v>
      </c>
      <c r="K646" s="39" t="n">
        <v>5101.851851851852</v>
      </c>
      <c r="L646" s="39" t="n">
        <v>150</v>
      </c>
      <c r="M646" s="39">
        <f>I646+J646+K646+L646</f>
        <v/>
      </c>
      <c r="N646" s="39">
        <f>M646*Dashboard!$B$18/(Dashboard!$B$16/3.6)</f>
        <v/>
      </c>
      <c r="O646" s="39" t="n">
        <v>1130.958866315073</v>
      </c>
      <c r="P646" s="40" t="n">
        <v>0.07376163664698646</v>
      </c>
      <c r="Q646" s="41" t="n">
        <v>6.718986469044035</v>
      </c>
      <c r="R646" s="39" t="n">
        <v>6066.051000464697</v>
      </c>
      <c r="S646" s="39">
        <f>R646*IF(A646=4, 2.0, 3.0)</f>
        <v/>
      </c>
      <c r="T646" s="37">
        <f>8.0*U646</f>
        <v/>
      </c>
      <c r="U646" s="42">
        <f>MIN(1, S646/M646)</f>
        <v/>
      </c>
      <c r="V646" s="42">
        <f>N646/(N646+O646)</f>
        <v/>
      </c>
      <c r="W646" s="42">
        <f>U646*V646</f>
        <v/>
      </c>
      <c r="X646" s="40">
        <f>T646/N646</f>
        <v/>
      </c>
      <c r="Y646" s="15">
        <f>IF(X646=MAXIFS(X$2:X$721, A$2:A$721, A646, B$2:B$721, B646), "OPTIMAL", "")</f>
        <v/>
      </c>
    </row>
    <row r="647" ht="20" customHeight="1">
      <c r="A647" s="29" t="n">
        <v>-18</v>
      </c>
      <c r="B647" s="29" t="n">
        <v>45</v>
      </c>
      <c r="C647" s="30" t="n">
        <v>100</v>
      </c>
      <c r="D647" s="30" t="n">
        <v>2</v>
      </c>
      <c r="E647" s="6" t="n">
        <v>4</v>
      </c>
      <c r="F647" s="30" t="n">
        <v>1.5</v>
      </c>
      <c r="G647" s="6" t="inlineStr">
        <is>
          <t>Oui</t>
        </is>
      </c>
      <c r="H647" s="6" t="inlineStr">
        <is>
          <t>OFF</t>
        </is>
      </c>
      <c r="I647" s="31" t="n">
        <v>885.2722778138215</v>
      </c>
      <c r="J647" s="31" t="n">
        <v>10520.73059103506</v>
      </c>
      <c r="K647" s="31" t="n">
        <v>5101.851851851852</v>
      </c>
      <c r="L647" s="31" t="n">
        <v>150</v>
      </c>
      <c r="M647" s="31">
        <f>I647+J647+K647+L647</f>
        <v/>
      </c>
      <c r="N647" s="31">
        <f>M647*Dashboard!$B$18/(Dashboard!$B$16/3.6)</f>
        <v/>
      </c>
      <c r="O647" s="31" t="n">
        <v>1130.958866315073</v>
      </c>
      <c r="P647" s="32" t="n">
        <v>0.3073240714228834</v>
      </c>
      <c r="Q647" s="33" t="n">
        <v>6.718986469044035</v>
      </c>
      <c r="R647" s="31" t="n">
        <v>1455.92842014213</v>
      </c>
      <c r="S647" s="31">
        <f>R647*IF(A647=4, 2.0, 3.0)</f>
        <v/>
      </c>
      <c r="T647" s="30">
        <f>8.0*U647</f>
        <v/>
      </c>
      <c r="U647" s="34">
        <f>MIN(1, S647/M647)</f>
        <v/>
      </c>
      <c r="V647" s="34">
        <f>N647/(N647+O647)</f>
        <v/>
      </c>
      <c r="W647" s="34">
        <f>U647*V647</f>
        <v/>
      </c>
      <c r="X647" s="32">
        <f>T647/N647</f>
        <v/>
      </c>
      <c r="Y647" s="35">
        <f>IF(X647=MAXIFS(X$2:X$721, A$2:A$721, A647, B$2:B$721, B647), "OPTIMAL", "")</f>
        <v/>
      </c>
    </row>
    <row r="648" ht="20" customHeight="1">
      <c r="A648" s="36" t="n">
        <v>-18</v>
      </c>
      <c r="B648" s="36" t="n">
        <v>45</v>
      </c>
      <c r="C648" s="37" t="n">
        <v>100</v>
      </c>
      <c r="D648" s="37" t="n">
        <v>2</v>
      </c>
      <c r="E648" s="38" t="n">
        <v>4</v>
      </c>
      <c r="F648" s="37" t="n">
        <v>1.5</v>
      </c>
      <c r="G648" s="38" t="inlineStr">
        <is>
          <t>Non</t>
        </is>
      </c>
      <c r="H648" s="38" t="inlineStr">
        <is>
          <t>ON</t>
        </is>
      </c>
      <c r="I648" s="39" t="n">
        <v>885.2722778138215</v>
      </c>
      <c r="J648" s="39" t="n">
        <v>10520.73059103506</v>
      </c>
      <c r="K648" s="39" t="n">
        <v>5101.851851851852</v>
      </c>
      <c r="L648" s="39" t="n">
        <v>150</v>
      </c>
      <c r="M648" s="39">
        <f>I648+J648+K648+L648</f>
        <v/>
      </c>
      <c r="N648" s="39">
        <f>M648*Dashboard!$B$18/(Dashboard!$B$16/3.6)</f>
        <v/>
      </c>
      <c r="O648" s="39" t="n">
        <v>1130.958866315073</v>
      </c>
      <c r="P648" s="40" t="n">
        <v>0.07057853778514854</v>
      </c>
      <c r="Q648" s="41" t="n">
        <v>6.718986469044035</v>
      </c>
      <c r="R648" s="39" t="n">
        <v>6339.630485693037</v>
      </c>
      <c r="S648" s="39">
        <f>R648*IF(A648=4, 2.0, 3.0)</f>
        <v/>
      </c>
      <c r="T648" s="37">
        <f>8.0*U648</f>
        <v/>
      </c>
      <c r="U648" s="42">
        <f>MIN(1, S648/M648)</f>
        <v/>
      </c>
      <c r="V648" s="42">
        <f>N648/(N648+O648)</f>
        <v/>
      </c>
      <c r="W648" s="42">
        <f>U648*V648</f>
        <v/>
      </c>
      <c r="X648" s="40">
        <f>T648/N648</f>
        <v/>
      </c>
      <c r="Y648" s="15">
        <f>IF(X648=MAXIFS(X$2:X$721, A$2:A$721, A648, B$2:B$721, B648), "OPTIMAL", "")</f>
        <v/>
      </c>
    </row>
    <row r="649" ht="20" customHeight="1">
      <c r="A649" s="29" t="n">
        <v>-18</v>
      </c>
      <c r="B649" s="29" t="n">
        <v>45</v>
      </c>
      <c r="C649" s="30" t="n">
        <v>100</v>
      </c>
      <c r="D649" s="30" t="n">
        <v>2</v>
      </c>
      <c r="E649" s="6" t="n">
        <v>4</v>
      </c>
      <c r="F649" s="30" t="n">
        <v>1.5</v>
      </c>
      <c r="G649" s="6" t="inlineStr">
        <is>
          <t>Non</t>
        </is>
      </c>
      <c r="H649" s="6" t="inlineStr">
        <is>
          <t>OFF</t>
        </is>
      </c>
      <c r="I649" s="31" t="n">
        <v>885.2722778138215</v>
      </c>
      <c r="J649" s="31" t="n">
        <v>10520.73059103506</v>
      </c>
      <c r="K649" s="31" t="n">
        <v>5101.851851851852</v>
      </c>
      <c r="L649" s="31" t="n">
        <v>150</v>
      </c>
      <c r="M649" s="31">
        <f>I649+J649+K649+L649</f>
        <v/>
      </c>
      <c r="N649" s="31">
        <f>M649*Dashboard!$B$18/(Dashboard!$B$16/3.6)</f>
        <v/>
      </c>
      <c r="O649" s="31" t="n">
        <v>1130.958866315073</v>
      </c>
      <c r="P649" s="32" t="n">
        <v>0.3041409725610454</v>
      </c>
      <c r="Q649" s="33" t="n">
        <v>6.718986469044035</v>
      </c>
      <c r="R649" s="31" t="n">
        <v>1471.165972840301</v>
      </c>
      <c r="S649" s="31">
        <f>R649*IF(A649=4, 2.0, 3.0)</f>
        <v/>
      </c>
      <c r="T649" s="30">
        <f>8.0*U649</f>
        <v/>
      </c>
      <c r="U649" s="34">
        <f>MIN(1, S649/M649)</f>
        <v/>
      </c>
      <c r="V649" s="34">
        <f>N649/(N649+O649)</f>
        <v/>
      </c>
      <c r="W649" s="34">
        <f>U649*V649</f>
        <v/>
      </c>
      <c r="X649" s="32">
        <f>T649/N649</f>
        <v/>
      </c>
      <c r="Y649" s="35">
        <f>IF(X649=MAXIFS(X$2:X$721, A$2:A$721, A649, B$2:B$721, B649), "OPTIMAL", "")</f>
        <v/>
      </c>
    </row>
    <row r="650" ht="20" customHeight="1">
      <c r="A650" s="36" t="n">
        <v>-18</v>
      </c>
      <c r="B650" s="36" t="n">
        <v>45</v>
      </c>
      <c r="C650" s="37" t="n">
        <v>100</v>
      </c>
      <c r="D650" s="37" t="n">
        <v>2</v>
      </c>
      <c r="E650" s="38" t="n">
        <v>4</v>
      </c>
      <c r="F650" s="37" t="n">
        <v>2</v>
      </c>
      <c r="G650" s="38" t="inlineStr">
        <is>
          <t>Oui</t>
        </is>
      </c>
      <c r="H650" s="38" t="inlineStr">
        <is>
          <t>ON</t>
        </is>
      </c>
      <c r="I650" s="39" t="n">
        <v>885.2722778138215</v>
      </c>
      <c r="J650" s="39" t="n">
        <v>10520.73059103506</v>
      </c>
      <c r="K650" s="39" t="n">
        <v>5101.851851851852</v>
      </c>
      <c r="L650" s="39" t="n">
        <v>150</v>
      </c>
      <c r="M650" s="39">
        <f>I650+J650+K650+L650</f>
        <v/>
      </c>
      <c r="N650" s="39">
        <f>M650*Dashboard!$B$18/(Dashboard!$B$16/3.6)</f>
        <v/>
      </c>
      <c r="O650" s="39" t="n">
        <v>1273.944574270618</v>
      </c>
      <c r="P650" s="40" t="n">
        <v>0.07106618988155999</v>
      </c>
      <c r="Q650" s="41" t="n">
        <v>8.891981958725379</v>
      </c>
      <c r="R650" s="39" t="n">
        <v>6365.89321786239</v>
      </c>
      <c r="S650" s="39">
        <f>R650*IF(A650=4, 2.0, 3.0)</f>
        <v/>
      </c>
      <c r="T650" s="37">
        <f>8.0*U650</f>
        <v/>
      </c>
      <c r="U650" s="42">
        <f>MIN(1, S650/M650)</f>
        <v/>
      </c>
      <c r="V650" s="42">
        <f>N650/(N650+O650)</f>
        <v/>
      </c>
      <c r="W650" s="42">
        <f>U650*V650</f>
        <v/>
      </c>
      <c r="X650" s="40">
        <f>T650/N650</f>
        <v/>
      </c>
      <c r="Y650" s="15">
        <f>IF(X650=MAXIFS(X$2:X$721, A$2:A$721, A650, B$2:B$721, B650), "OPTIMAL", "")</f>
        <v/>
      </c>
    </row>
    <row r="651" ht="20" customHeight="1">
      <c r="A651" s="29" t="n">
        <v>-18</v>
      </c>
      <c r="B651" s="29" t="n">
        <v>45</v>
      </c>
      <c r="C651" s="30" t="n">
        <v>100</v>
      </c>
      <c r="D651" s="30" t="n">
        <v>2</v>
      </c>
      <c r="E651" s="6" t="n">
        <v>4</v>
      </c>
      <c r="F651" s="30" t="n">
        <v>2</v>
      </c>
      <c r="G651" s="6" t="inlineStr">
        <is>
          <t>Oui</t>
        </is>
      </c>
      <c r="H651" s="6" t="inlineStr">
        <is>
          <t>OFF</t>
        </is>
      </c>
      <c r="I651" s="31" t="n">
        <v>885.2722778138215</v>
      </c>
      <c r="J651" s="31" t="n">
        <v>10520.73059103506</v>
      </c>
      <c r="K651" s="31" t="n">
        <v>5101.851851851852</v>
      </c>
      <c r="L651" s="31" t="n">
        <v>150</v>
      </c>
      <c r="M651" s="31">
        <f>I651+J651+K651+L651</f>
        <v/>
      </c>
      <c r="N651" s="31">
        <f>M651*Dashboard!$B$18/(Dashboard!$B$16/3.6)</f>
        <v/>
      </c>
      <c r="O651" s="31" t="n">
        <v>1273.944574270618</v>
      </c>
      <c r="P651" s="32" t="n">
        <v>0.3057228026390766</v>
      </c>
      <c r="Q651" s="33" t="n">
        <v>8.891981958725379</v>
      </c>
      <c r="R651" s="31" t="n">
        <v>1479.771126919923</v>
      </c>
      <c r="S651" s="31">
        <f>R651*IF(A651=4, 2.0, 3.0)</f>
        <v/>
      </c>
      <c r="T651" s="30">
        <f>8.0*U651</f>
        <v/>
      </c>
      <c r="U651" s="34">
        <f>MIN(1, S651/M651)</f>
        <v/>
      </c>
      <c r="V651" s="34">
        <f>N651/(N651+O651)</f>
        <v/>
      </c>
      <c r="W651" s="34">
        <f>U651*V651</f>
        <v/>
      </c>
      <c r="X651" s="32">
        <f>T651/N651</f>
        <v/>
      </c>
      <c r="Y651" s="35">
        <f>IF(X651=MAXIFS(X$2:X$721, A$2:A$721, A651, B$2:B$721, B651), "OPTIMAL", "")</f>
        <v/>
      </c>
    </row>
    <row r="652" ht="20" customHeight="1">
      <c r="A652" s="36" t="n">
        <v>-18</v>
      </c>
      <c r="B652" s="36" t="n">
        <v>45</v>
      </c>
      <c r="C652" s="37" t="n">
        <v>100</v>
      </c>
      <c r="D652" s="37" t="n">
        <v>2</v>
      </c>
      <c r="E652" s="38" t="n">
        <v>4</v>
      </c>
      <c r="F652" s="37" t="n">
        <v>2</v>
      </c>
      <c r="G652" s="38" t="inlineStr">
        <is>
          <t>Non</t>
        </is>
      </c>
      <c r="H652" s="38" t="inlineStr">
        <is>
          <t>ON</t>
        </is>
      </c>
      <c r="I652" s="39" t="n">
        <v>885.2722778138215</v>
      </c>
      <c r="J652" s="39" t="n">
        <v>10520.73059103506</v>
      </c>
      <c r="K652" s="39" t="n">
        <v>5101.851851851852</v>
      </c>
      <c r="L652" s="39" t="n">
        <v>150</v>
      </c>
      <c r="M652" s="39">
        <f>I652+J652+K652+L652</f>
        <v/>
      </c>
      <c r="N652" s="39">
        <f>M652*Dashboard!$B$18/(Dashboard!$B$16/3.6)</f>
        <v/>
      </c>
      <c r="O652" s="39" t="n">
        <v>1273.944574270618</v>
      </c>
      <c r="P652" s="40" t="n">
        <v>0.06788309101972209</v>
      </c>
      <c r="Q652" s="41" t="n">
        <v>8.891981958725379</v>
      </c>
      <c r="R652" s="39" t="n">
        <v>6664.395645373716</v>
      </c>
      <c r="S652" s="39">
        <f>R652*IF(A652=4, 2.0, 3.0)</f>
        <v/>
      </c>
      <c r="T652" s="37">
        <f>8.0*U652</f>
        <v/>
      </c>
      <c r="U652" s="42">
        <f>MIN(1, S652/M652)</f>
        <v/>
      </c>
      <c r="V652" s="42">
        <f>N652/(N652+O652)</f>
        <v/>
      </c>
      <c r="W652" s="42">
        <f>U652*V652</f>
        <v/>
      </c>
      <c r="X652" s="40">
        <f>T652/N652</f>
        <v/>
      </c>
      <c r="Y652" s="15">
        <f>IF(X652=MAXIFS(X$2:X$721, A$2:A$721, A652, B$2:B$721, B652), "OPTIMAL", "")</f>
        <v/>
      </c>
    </row>
    <row r="653" ht="20" customHeight="1">
      <c r="A653" s="29" t="n">
        <v>-18</v>
      </c>
      <c r="B653" s="29" t="n">
        <v>45</v>
      </c>
      <c r="C653" s="30" t="n">
        <v>100</v>
      </c>
      <c r="D653" s="30" t="n">
        <v>2</v>
      </c>
      <c r="E653" s="6" t="n">
        <v>4</v>
      </c>
      <c r="F653" s="30" t="n">
        <v>2</v>
      </c>
      <c r="G653" s="6" t="inlineStr">
        <is>
          <t>Non</t>
        </is>
      </c>
      <c r="H653" s="6" t="inlineStr">
        <is>
          <t>OFF</t>
        </is>
      </c>
      <c r="I653" s="31" t="n">
        <v>885.2722778138215</v>
      </c>
      <c r="J653" s="31" t="n">
        <v>10520.73059103506</v>
      </c>
      <c r="K653" s="31" t="n">
        <v>5101.851851851852</v>
      </c>
      <c r="L653" s="31" t="n">
        <v>150</v>
      </c>
      <c r="M653" s="31">
        <f>I653+J653+K653+L653</f>
        <v/>
      </c>
      <c r="N653" s="31">
        <f>M653*Dashboard!$B$18/(Dashboard!$B$16/3.6)</f>
        <v/>
      </c>
      <c r="O653" s="31" t="n">
        <v>1273.944574270618</v>
      </c>
      <c r="P653" s="32" t="n">
        <v>0.3025397037772387</v>
      </c>
      <c r="Q653" s="33" t="n">
        <v>8.891981958725379</v>
      </c>
      <c r="R653" s="31" t="n">
        <v>1495.3401835795</v>
      </c>
      <c r="S653" s="31">
        <f>R653*IF(A653=4, 2.0, 3.0)</f>
        <v/>
      </c>
      <c r="T653" s="30">
        <f>8.0*U653</f>
        <v/>
      </c>
      <c r="U653" s="34">
        <f>MIN(1, S653/M653)</f>
        <v/>
      </c>
      <c r="V653" s="34">
        <f>N653/(N653+O653)</f>
        <v/>
      </c>
      <c r="W653" s="34">
        <f>U653*V653</f>
        <v/>
      </c>
      <c r="X653" s="32">
        <f>T653/N653</f>
        <v/>
      </c>
      <c r="Y653" s="35">
        <f>IF(X653=MAXIFS(X$2:X$721, A$2:A$721, A653, B$2:B$721, B653), "OPTIMAL", "")</f>
        <v/>
      </c>
    </row>
    <row r="654" ht="20" customHeight="1">
      <c r="A654" s="36" t="n">
        <v>-18</v>
      </c>
      <c r="B654" s="36" t="n">
        <v>45</v>
      </c>
      <c r="C654" s="37" t="n">
        <v>100</v>
      </c>
      <c r="D654" s="37" t="n">
        <v>2</v>
      </c>
      <c r="E654" s="38" t="n">
        <v>8</v>
      </c>
      <c r="F654" s="37" t="n">
        <v>1.5</v>
      </c>
      <c r="G654" s="38" t="inlineStr">
        <is>
          <t>Oui</t>
        </is>
      </c>
      <c r="H654" s="38" t="inlineStr">
        <is>
          <t>ON</t>
        </is>
      </c>
      <c r="I654" s="39" t="n">
        <v>885.2722778138215</v>
      </c>
      <c r="J654" s="39" t="n">
        <v>10520.73059103506</v>
      </c>
      <c r="K654" s="39" t="n">
        <v>5101.851851851852</v>
      </c>
      <c r="L654" s="39" t="n">
        <v>150</v>
      </c>
      <c r="M654" s="39">
        <f>I654+J654+K654+L654</f>
        <v/>
      </c>
      <c r="N654" s="39">
        <f>M654*Dashboard!$B$18/(Dashboard!$B$16/3.6)</f>
        <v/>
      </c>
      <c r="O654" s="39" t="n">
        <v>1569.637642687268</v>
      </c>
      <c r="P654" s="40" t="n">
        <v>0.05573050288457804</v>
      </c>
      <c r="Q654" s="41" t="n">
        <v>13.23797293808807</v>
      </c>
      <c r="R654" s="39" t="n">
        <v>8301.606774607129</v>
      </c>
      <c r="S654" s="39">
        <f>R654*IF(A654=4, 2.0, 3.0)</f>
        <v/>
      </c>
      <c r="T654" s="37">
        <f>8.0*U654</f>
        <v/>
      </c>
      <c r="U654" s="42">
        <f>MIN(1, S654/M654)</f>
        <v/>
      </c>
      <c r="V654" s="42">
        <f>N654/(N654+O654)</f>
        <v/>
      </c>
      <c r="W654" s="42">
        <f>U654*V654</f>
        <v/>
      </c>
      <c r="X654" s="40">
        <f>T654/N654</f>
        <v/>
      </c>
      <c r="Y654" s="15">
        <f>IF(X654=MAXIFS(X$2:X$721, A$2:A$721, A654, B$2:B$721, B654), "OPTIMAL", "")</f>
        <v/>
      </c>
    </row>
    <row r="655" ht="20" customHeight="1">
      <c r="A655" s="29" t="n">
        <v>-18</v>
      </c>
      <c r="B655" s="29" t="n">
        <v>45</v>
      </c>
      <c r="C655" s="30" t="n">
        <v>100</v>
      </c>
      <c r="D655" s="30" t="n">
        <v>2</v>
      </c>
      <c r="E655" s="6" t="n">
        <v>8</v>
      </c>
      <c r="F655" s="30" t="n">
        <v>1.5</v>
      </c>
      <c r="G655" s="6" t="inlineStr">
        <is>
          <t>Oui</t>
        </is>
      </c>
      <c r="H655" s="6" t="inlineStr">
        <is>
          <t>OFF</t>
        </is>
      </c>
      <c r="I655" s="31" t="n">
        <v>885.2722778138215</v>
      </c>
      <c r="J655" s="31" t="n">
        <v>10520.73059103506</v>
      </c>
      <c r="K655" s="31" t="n">
        <v>5101.851851851852</v>
      </c>
      <c r="L655" s="31" t="n">
        <v>150</v>
      </c>
      <c r="M655" s="31">
        <f>I655+J655+K655+L655</f>
        <v/>
      </c>
      <c r="N655" s="31">
        <f>M655*Dashboard!$B$18/(Dashboard!$B$16/3.6)</f>
        <v/>
      </c>
      <c r="O655" s="31" t="n">
        <v>1569.637642687268</v>
      </c>
      <c r="P655" s="32" t="n">
        <v>0.2401827722650424</v>
      </c>
      <c r="Q655" s="33" t="n">
        <v>13.23797293808807</v>
      </c>
      <c r="R655" s="31" t="n">
        <v>1926.252728019712</v>
      </c>
      <c r="S655" s="31">
        <f>R655*IF(A655=4, 2.0, 3.0)</f>
        <v/>
      </c>
      <c r="T655" s="30">
        <f>8.0*U655</f>
        <v/>
      </c>
      <c r="U655" s="34">
        <f>MIN(1, S655/M655)</f>
        <v/>
      </c>
      <c r="V655" s="34">
        <f>N655/(N655+O655)</f>
        <v/>
      </c>
      <c r="W655" s="34">
        <f>U655*V655</f>
        <v/>
      </c>
      <c r="X655" s="32">
        <f>T655/N655</f>
        <v/>
      </c>
      <c r="Y655" s="35">
        <f>IF(X655=MAXIFS(X$2:X$721, A$2:A$721, A655, B$2:B$721, B655), "OPTIMAL", "")</f>
        <v/>
      </c>
    </row>
    <row r="656" ht="20" customHeight="1">
      <c r="A656" s="36" t="n">
        <v>-18</v>
      </c>
      <c r="B656" s="36" t="n">
        <v>45</v>
      </c>
      <c r="C656" s="37" t="n">
        <v>100</v>
      </c>
      <c r="D656" s="37" t="n">
        <v>2</v>
      </c>
      <c r="E656" s="38" t="n">
        <v>8</v>
      </c>
      <c r="F656" s="37" t="n">
        <v>1.5</v>
      </c>
      <c r="G656" s="38" t="inlineStr">
        <is>
          <t>Non</t>
        </is>
      </c>
      <c r="H656" s="38" t="inlineStr">
        <is>
          <t>ON</t>
        </is>
      </c>
      <c r="I656" s="39" t="n">
        <v>885.2722778138215</v>
      </c>
      <c r="J656" s="39" t="n">
        <v>10520.73059103506</v>
      </c>
      <c r="K656" s="39" t="n">
        <v>5101.851851851852</v>
      </c>
      <c r="L656" s="39" t="n">
        <v>150</v>
      </c>
      <c r="M656" s="39">
        <f>I656+J656+K656+L656</f>
        <v/>
      </c>
      <c r="N656" s="39">
        <f>M656*Dashboard!$B$18/(Dashboard!$B$16/3.6)</f>
        <v/>
      </c>
      <c r="O656" s="39" t="n">
        <v>1569.637642687268</v>
      </c>
      <c r="P656" s="40" t="n">
        <v>0.05254740402274013</v>
      </c>
      <c r="Q656" s="41" t="n">
        <v>13.23797293808807</v>
      </c>
      <c r="R656" s="39" t="n">
        <v>8804.482902688402</v>
      </c>
      <c r="S656" s="39">
        <f>R656*IF(A656=4, 2.0, 3.0)</f>
        <v/>
      </c>
      <c r="T656" s="37">
        <f>8.0*U656</f>
        <v/>
      </c>
      <c r="U656" s="42">
        <f>MIN(1, S656/M656)</f>
        <v/>
      </c>
      <c r="V656" s="42">
        <f>N656/(N656+O656)</f>
        <v/>
      </c>
      <c r="W656" s="42">
        <f>U656*V656</f>
        <v/>
      </c>
      <c r="X656" s="40">
        <f>T656/N656</f>
        <v/>
      </c>
      <c r="Y656" s="15">
        <f>IF(X656=MAXIFS(X$2:X$721, A$2:A$721, A656, B$2:B$721, B656), "OPTIMAL", "")</f>
        <v/>
      </c>
    </row>
    <row r="657" ht="20" customHeight="1">
      <c r="A657" s="29" t="n">
        <v>-18</v>
      </c>
      <c r="B657" s="29" t="n">
        <v>45</v>
      </c>
      <c r="C657" s="30" t="n">
        <v>100</v>
      </c>
      <c r="D657" s="30" t="n">
        <v>2</v>
      </c>
      <c r="E657" s="6" t="n">
        <v>8</v>
      </c>
      <c r="F657" s="30" t="n">
        <v>1.5</v>
      </c>
      <c r="G657" s="6" t="inlineStr">
        <is>
          <t>Non</t>
        </is>
      </c>
      <c r="H657" s="6" t="inlineStr">
        <is>
          <t>OFF</t>
        </is>
      </c>
      <c r="I657" s="31" t="n">
        <v>885.2722778138215</v>
      </c>
      <c r="J657" s="31" t="n">
        <v>10520.73059103506</v>
      </c>
      <c r="K657" s="31" t="n">
        <v>5101.851851851852</v>
      </c>
      <c r="L657" s="31" t="n">
        <v>150</v>
      </c>
      <c r="M657" s="31">
        <f>I657+J657+K657+L657</f>
        <v/>
      </c>
      <c r="N657" s="31">
        <f>M657*Dashboard!$B$18/(Dashboard!$B$16/3.6)</f>
        <v/>
      </c>
      <c r="O657" s="31" t="n">
        <v>1569.637642687268</v>
      </c>
      <c r="P657" s="32" t="n">
        <v>0.2369996734032044</v>
      </c>
      <c r="Q657" s="33" t="n">
        <v>13.23797293808807</v>
      </c>
      <c r="R657" s="31" t="n">
        <v>1952.123872811293</v>
      </c>
      <c r="S657" s="31">
        <f>R657*IF(A657=4, 2.0, 3.0)</f>
        <v/>
      </c>
      <c r="T657" s="30">
        <f>8.0*U657</f>
        <v/>
      </c>
      <c r="U657" s="34">
        <f>MIN(1, S657/M657)</f>
        <v/>
      </c>
      <c r="V657" s="34">
        <f>N657/(N657+O657)</f>
        <v/>
      </c>
      <c r="W657" s="34">
        <f>U657*V657</f>
        <v/>
      </c>
      <c r="X657" s="32">
        <f>T657/N657</f>
        <v/>
      </c>
      <c r="Y657" s="35">
        <f>IF(X657=MAXIFS(X$2:X$721, A$2:A$721, A657, B$2:B$721, B657), "OPTIMAL", "")</f>
        <v/>
      </c>
    </row>
    <row r="658" ht="20" customHeight="1">
      <c r="A658" s="36" t="n">
        <v>-18</v>
      </c>
      <c r="B658" s="36" t="n">
        <v>45</v>
      </c>
      <c r="C658" s="37" t="n">
        <v>100</v>
      </c>
      <c r="D658" s="37" t="n">
        <v>2</v>
      </c>
      <c r="E658" s="38" t="n">
        <v>8</v>
      </c>
      <c r="F658" s="37" t="n">
        <v>2</v>
      </c>
      <c r="G658" s="38" t="inlineStr">
        <is>
          <t>Oui</t>
        </is>
      </c>
      <c r="H658" s="38" t="inlineStr">
        <is>
          <t>ON</t>
        </is>
      </c>
      <c r="I658" s="39" t="n">
        <v>885.2722778138215</v>
      </c>
      <c r="J658" s="39" t="n">
        <v>10520.73059103506</v>
      </c>
      <c r="K658" s="39" t="n">
        <v>5101.851851851852</v>
      </c>
      <c r="L658" s="39" t="n">
        <v>150</v>
      </c>
      <c r="M658" s="39">
        <f>I658+J658+K658+L658</f>
        <v/>
      </c>
      <c r="N658" s="39">
        <f>M658*Dashboard!$B$18/(Dashboard!$B$16/3.6)</f>
        <v/>
      </c>
      <c r="O658" s="39" t="n">
        <v>1879.044365867514</v>
      </c>
      <c r="P658" s="40" t="n">
        <v>0.05449488140602117</v>
      </c>
      <c r="Q658" s="41" t="n">
        <v>17.58396391745076</v>
      </c>
      <c r="R658" s="39" t="n">
        <v>8686.708976999451</v>
      </c>
      <c r="S658" s="39">
        <f>R658*IF(A658=4, 2.0, 3.0)</f>
        <v/>
      </c>
      <c r="T658" s="37">
        <f>8.0*U658</f>
        <v/>
      </c>
      <c r="U658" s="42">
        <f>MIN(1, S658/M658)</f>
        <v/>
      </c>
      <c r="V658" s="42">
        <f>N658/(N658+O658)</f>
        <v/>
      </c>
      <c r="W658" s="42">
        <f>U658*V658</f>
        <v/>
      </c>
      <c r="X658" s="40">
        <f>T658/N658</f>
        <v/>
      </c>
      <c r="Y658" s="15">
        <f>IF(X658=MAXIFS(X$2:X$721, A$2:A$721, A658, B$2:B$721, B658), "OPTIMAL", "")</f>
        <v/>
      </c>
    </row>
    <row r="659" ht="20" customHeight="1">
      <c r="A659" s="29" t="n">
        <v>-18</v>
      </c>
      <c r="B659" s="29" t="n">
        <v>45</v>
      </c>
      <c r="C659" s="30" t="n">
        <v>100</v>
      </c>
      <c r="D659" s="30" t="n">
        <v>2</v>
      </c>
      <c r="E659" s="6" t="n">
        <v>8</v>
      </c>
      <c r="F659" s="30" t="n">
        <v>2</v>
      </c>
      <c r="G659" s="6" t="inlineStr">
        <is>
          <t>Oui</t>
        </is>
      </c>
      <c r="H659" s="6" t="inlineStr">
        <is>
          <t>OFF</t>
        </is>
      </c>
      <c r="I659" s="31" t="n">
        <v>885.2722778138215</v>
      </c>
      <c r="J659" s="31" t="n">
        <v>10520.73059103506</v>
      </c>
      <c r="K659" s="31" t="n">
        <v>5101.851851851852</v>
      </c>
      <c r="L659" s="31" t="n">
        <v>150</v>
      </c>
      <c r="M659" s="31">
        <f>I659+J659+K659+L659</f>
        <v/>
      </c>
      <c r="N659" s="31">
        <f>M659*Dashboard!$B$18/(Dashboard!$B$16/3.6)</f>
        <v/>
      </c>
      <c r="O659" s="31" t="n">
        <v>1879.044365867514</v>
      </c>
      <c r="P659" s="32" t="n">
        <v>0.2403161193409352</v>
      </c>
      <c r="Q659" s="33" t="n">
        <v>17.58396391745076</v>
      </c>
      <c r="R659" s="31" t="n">
        <v>1969.826979598573</v>
      </c>
      <c r="S659" s="31">
        <f>R659*IF(A659=4, 2.0, 3.0)</f>
        <v/>
      </c>
      <c r="T659" s="30">
        <f>8.0*U659</f>
        <v/>
      </c>
      <c r="U659" s="34">
        <f>MIN(1, S659/M659)</f>
        <v/>
      </c>
      <c r="V659" s="34">
        <f>N659/(N659+O659)</f>
        <v/>
      </c>
      <c r="W659" s="34">
        <f>U659*V659</f>
        <v/>
      </c>
      <c r="X659" s="32">
        <f>T659/N659</f>
        <v/>
      </c>
      <c r="Y659" s="35">
        <f>IF(X659=MAXIFS(X$2:X$721, A$2:A$721, A659, B$2:B$721, B659), "OPTIMAL", "")</f>
        <v/>
      </c>
    </row>
    <row r="660" ht="20" customHeight="1">
      <c r="A660" s="36" t="n">
        <v>-18</v>
      </c>
      <c r="B660" s="36" t="n">
        <v>45</v>
      </c>
      <c r="C660" s="37" t="n">
        <v>100</v>
      </c>
      <c r="D660" s="37" t="n">
        <v>2</v>
      </c>
      <c r="E660" s="38" t="n">
        <v>8</v>
      </c>
      <c r="F660" s="37" t="n">
        <v>2</v>
      </c>
      <c r="G660" s="38" t="inlineStr">
        <is>
          <t>Non</t>
        </is>
      </c>
      <c r="H660" s="38" t="inlineStr">
        <is>
          <t>ON</t>
        </is>
      </c>
      <c r="I660" s="39" t="n">
        <v>885.2722778138215</v>
      </c>
      <c r="J660" s="39" t="n">
        <v>10520.73059103506</v>
      </c>
      <c r="K660" s="39" t="n">
        <v>5101.851851851852</v>
      </c>
      <c r="L660" s="39" t="n">
        <v>150</v>
      </c>
      <c r="M660" s="39">
        <f>I660+J660+K660+L660</f>
        <v/>
      </c>
      <c r="N660" s="39">
        <f>M660*Dashboard!$B$18/(Dashboard!$B$16/3.6)</f>
        <v/>
      </c>
      <c r="O660" s="39" t="n">
        <v>1879.044365867514</v>
      </c>
      <c r="P660" s="40" t="n">
        <v>0.05131178254418326</v>
      </c>
      <c r="Q660" s="41" t="n">
        <v>17.58396391745076</v>
      </c>
      <c r="R660" s="39" t="n">
        <v>9225.584301277941</v>
      </c>
      <c r="S660" s="39">
        <f>R660*IF(A660=4, 2.0, 3.0)</f>
        <v/>
      </c>
      <c r="T660" s="37">
        <f>8.0*U660</f>
        <v/>
      </c>
      <c r="U660" s="42">
        <f>MIN(1, S660/M660)</f>
        <v/>
      </c>
      <c r="V660" s="42">
        <f>N660/(N660+O660)</f>
        <v/>
      </c>
      <c r="W660" s="42">
        <f>U660*V660</f>
        <v/>
      </c>
      <c r="X660" s="40">
        <f>T660/N660</f>
        <v/>
      </c>
      <c r="Y660" s="15">
        <f>IF(X660=MAXIFS(X$2:X$721, A$2:A$721, A660, B$2:B$721, B660), "OPTIMAL", "")</f>
        <v/>
      </c>
    </row>
    <row r="661" ht="20" customHeight="1">
      <c r="A661" s="29" t="n">
        <v>-18</v>
      </c>
      <c r="B661" s="29" t="n">
        <v>45</v>
      </c>
      <c r="C661" s="30" t="n">
        <v>100</v>
      </c>
      <c r="D661" s="30" t="n">
        <v>2</v>
      </c>
      <c r="E661" s="6" t="n">
        <v>8</v>
      </c>
      <c r="F661" s="30" t="n">
        <v>2</v>
      </c>
      <c r="G661" s="6" t="inlineStr">
        <is>
          <t>Non</t>
        </is>
      </c>
      <c r="H661" s="6" t="inlineStr">
        <is>
          <t>OFF</t>
        </is>
      </c>
      <c r="I661" s="31" t="n">
        <v>885.2722778138215</v>
      </c>
      <c r="J661" s="31" t="n">
        <v>10520.73059103506</v>
      </c>
      <c r="K661" s="31" t="n">
        <v>5101.851851851852</v>
      </c>
      <c r="L661" s="31" t="n">
        <v>150</v>
      </c>
      <c r="M661" s="31">
        <f>I661+J661+K661+L661</f>
        <v/>
      </c>
      <c r="N661" s="31">
        <f>M661*Dashboard!$B$18/(Dashboard!$B$16/3.6)</f>
        <v/>
      </c>
      <c r="O661" s="31" t="n">
        <v>1879.044365867514</v>
      </c>
      <c r="P661" s="32" t="n">
        <v>0.2371330204790973</v>
      </c>
      <c r="Q661" s="33" t="n">
        <v>17.58396391745076</v>
      </c>
      <c r="R661" s="31" t="n">
        <v>1996.268484894249</v>
      </c>
      <c r="S661" s="31">
        <f>R661*IF(A661=4, 2.0, 3.0)</f>
        <v/>
      </c>
      <c r="T661" s="30">
        <f>8.0*U661</f>
        <v/>
      </c>
      <c r="U661" s="34">
        <f>MIN(1, S661/M661)</f>
        <v/>
      </c>
      <c r="V661" s="34">
        <f>N661/(N661+O661)</f>
        <v/>
      </c>
      <c r="W661" s="34">
        <f>U661*V661</f>
        <v/>
      </c>
      <c r="X661" s="32">
        <f>T661/N661</f>
        <v/>
      </c>
      <c r="Y661" s="35">
        <f>IF(X661=MAXIFS(X$2:X$721, A$2:A$721, A661, B$2:B$721, B661), "OPTIMAL", "")</f>
        <v/>
      </c>
    </row>
    <row r="662" ht="20" customHeight="1">
      <c r="A662" s="21" t="n">
        <v>-18</v>
      </c>
      <c r="B662" s="21" t="n">
        <v>45</v>
      </c>
      <c r="C662" s="22" t="n">
        <v>100</v>
      </c>
      <c r="D662" s="22" t="n">
        <v>3</v>
      </c>
      <c r="E662" s="23" t="n">
        <v>0</v>
      </c>
      <c r="F662" s="22" t="n">
        <v>0</v>
      </c>
      <c r="G662" s="23" t="inlineStr">
        <is>
          <t>Oui</t>
        </is>
      </c>
      <c r="H662" s="23" t="inlineStr">
        <is>
          <t>ON</t>
        </is>
      </c>
      <c r="I662" s="24" t="n">
        <v>885.2722778138215</v>
      </c>
      <c r="J662" s="24" t="n">
        <v>10520.73059103506</v>
      </c>
      <c r="K662" s="24" t="n">
        <v>5101.851851851852</v>
      </c>
      <c r="L662" s="24" t="n">
        <v>150</v>
      </c>
      <c r="M662" s="24">
        <f>I662+J662+K662+L662</f>
        <v/>
      </c>
      <c r="N662" s="24">
        <f>M662*Dashboard!$B$18/(Dashboard!$B$16/3.6)</f>
        <v/>
      </c>
      <c r="O662" s="24" t="n">
        <v>1115.27293832649</v>
      </c>
      <c r="P662" s="25" t="n">
        <v>0.4806959660709754</v>
      </c>
      <c r="Q662" s="26" t="n">
        <v>0.2</v>
      </c>
      <c r="R662" s="24" t="n">
        <v>939.9485037554708</v>
      </c>
      <c r="S662" s="24">
        <f>R662*IF(A662=4, 2.0, 3.0)</f>
        <v/>
      </c>
      <c r="T662" s="22">
        <f>8.0*U662</f>
        <v/>
      </c>
      <c r="U662" s="27">
        <f>MIN(1, S662/M662)</f>
        <v/>
      </c>
      <c r="V662" s="27">
        <f>N662/(N662+O662)</f>
        <v/>
      </c>
      <c r="W662" s="27">
        <f>U662*V662</f>
        <v/>
      </c>
      <c r="X662" s="25">
        <f>T662/N662</f>
        <v/>
      </c>
      <c r="Y662" s="28">
        <f>IF(X662=MAXIFS(X$2:X$721, A$2:A$721, A662, B$2:B$721, B662), "OPTIMAL", "")</f>
        <v/>
      </c>
    </row>
    <row r="663" ht="20" customHeight="1">
      <c r="A663" s="29" t="n">
        <v>-18</v>
      </c>
      <c r="B663" s="29" t="n">
        <v>45</v>
      </c>
      <c r="C663" s="30" t="n">
        <v>100</v>
      </c>
      <c r="D663" s="30" t="n">
        <v>3</v>
      </c>
      <c r="E663" s="6" t="n">
        <v>0</v>
      </c>
      <c r="F663" s="30" t="n">
        <v>0</v>
      </c>
      <c r="G663" s="6" t="inlineStr">
        <is>
          <t>Oui</t>
        </is>
      </c>
      <c r="H663" s="6" t="inlineStr">
        <is>
          <t>OFF</t>
        </is>
      </c>
      <c r="I663" s="31" t="n">
        <v>885.2722778138215</v>
      </c>
      <c r="J663" s="31" t="n">
        <v>10520.73059103506</v>
      </c>
      <c r="K663" s="31" t="n">
        <v>5101.851851851852</v>
      </c>
      <c r="L663" s="31" t="n">
        <v>150</v>
      </c>
      <c r="M663" s="31">
        <f>I663+J663+K663+L663</f>
        <v/>
      </c>
      <c r="N663" s="31">
        <f>M663*Dashboard!$B$18/(Dashboard!$B$16/3.6)</f>
        <v/>
      </c>
      <c r="O663" s="31" t="n">
        <v>1115.27293832649</v>
      </c>
      <c r="P663" s="32" t="n">
        <v>0.7990058522547661</v>
      </c>
      <c r="Q663" s="33" t="n">
        <v>0.2</v>
      </c>
      <c r="R663" s="31" t="n">
        <v>565.4895427795143</v>
      </c>
      <c r="S663" s="31">
        <f>R663*IF(A663=4, 2.0, 3.0)</f>
        <v/>
      </c>
      <c r="T663" s="30">
        <f>8.0*U663</f>
        <v/>
      </c>
      <c r="U663" s="34">
        <f>MIN(1, S663/M663)</f>
        <v/>
      </c>
      <c r="V663" s="34">
        <f>N663/(N663+O663)</f>
        <v/>
      </c>
      <c r="W663" s="34">
        <f>U663*V663</f>
        <v/>
      </c>
      <c r="X663" s="32">
        <f>T663/N663</f>
        <v/>
      </c>
      <c r="Y663" s="35">
        <f>IF(X663=MAXIFS(X$2:X$721, A$2:A$721, A663, B$2:B$721, B663), "OPTIMAL", "")</f>
        <v/>
      </c>
    </row>
    <row r="664" ht="20" customHeight="1">
      <c r="A664" s="21" t="n">
        <v>-18</v>
      </c>
      <c r="B664" s="21" t="n">
        <v>45</v>
      </c>
      <c r="C664" s="22" t="n">
        <v>100</v>
      </c>
      <c r="D664" s="22" t="n">
        <v>3</v>
      </c>
      <c r="E664" s="23" t="n">
        <v>0</v>
      </c>
      <c r="F664" s="22" t="n">
        <v>0</v>
      </c>
      <c r="G664" s="23" t="inlineStr">
        <is>
          <t>Non</t>
        </is>
      </c>
      <c r="H664" s="23" t="inlineStr">
        <is>
          <t>ON</t>
        </is>
      </c>
      <c r="I664" s="24" t="n">
        <v>885.2722778138215</v>
      </c>
      <c r="J664" s="24" t="n">
        <v>10520.73059103506</v>
      </c>
      <c r="K664" s="24" t="n">
        <v>5101.851851851852</v>
      </c>
      <c r="L664" s="24" t="n">
        <v>150</v>
      </c>
      <c r="M664" s="24">
        <f>I664+J664+K664+L664</f>
        <v/>
      </c>
      <c r="N664" s="24">
        <f>M664*Dashboard!$B$18/(Dashboard!$B$16/3.6)</f>
        <v/>
      </c>
      <c r="O664" s="24" t="n">
        <v>1115.27293832649</v>
      </c>
      <c r="P664" s="25" t="n">
        <v>0.4775128672091374</v>
      </c>
      <c r="Q664" s="26" t="n">
        <v>0.2</v>
      </c>
      <c r="R664" s="24" t="n">
        <v>946.2141967198866</v>
      </c>
      <c r="S664" s="24">
        <f>R664*IF(A664=4, 2.0, 3.0)</f>
        <v/>
      </c>
      <c r="T664" s="22">
        <f>8.0*U664</f>
        <v/>
      </c>
      <c r="U664" s="27">
        <f>MIN(1, S664/M664)</f>
        <v/>
      </c>
      <c r="V664" s="27">
        <f>N664/(N664+O664)</f>
        <v/>
      </c>
      <c r="W664" s="27">
        <f>U664*V664</f>
        <v/>
      </c>
      <c r="X664" s="25">
        <f>T664/N664</f>
        <v/>
      </c>
      <c r="Y664" s="28">
        <f>IF(X664=MAXIFS(X$2:X$721, A$2:A$721, A664, B$2:B$721, B664), "OPTIMAL", "")</f>
        <v/>
      </c>
    </row>
    <row r="665" ht="20" customHeight="1">
      <c r="A665" s="29" t="n">
        <v>-18</v>
      </c>
      <c r="B665" s="29" t="n">
        <v>45</v>
      </c>
      <c r="C665" s="30" t="n">
        <v>100</v>
      </c>
      <c r="D665" s="30" t="n">
        <v>3</v>
      </c>
      <c r="E665" s="6" t="n">
        <v>0</v>
      </c>
      <c r="F665" s="30" t="n">
        <v>0</v>
      </c>
      <c r="G665" s="6" t="inlineStr">
        <is>
          <t>Non</t>
        </is>
      </c>
      <c r="H665" s="6" t="inlineStr">
        <is>
          <t>OFF</t>
        </is>
      </c>
      <c r="I665" s="31" t="n">
        <v>885.2722778138215</v>
      </c>
      <c r="J665" s="31" t="n">
        <v>10520.73059103506</v>
      </c>
      <c r="K665" s="31" t="n">
        <v>5101.851851851852</v>
      </c>
      <c r="L665" s="31" t="n">
        <v>150</v>
      </c>
      <c r="M665" s="31">
        <f>I665+J665+K665+L665</f>
        <v/>
      </c>
      <c r="N665" s="31">
        <f>M665*Dashboard!$B$18/(Dashboard!$B$16/3.6)</f>
        <v/>
      </c>
      <c r="O665" s="31" t="n">
        <v>1115.27293832649</v>
      </c>
      <c r="P665" s="32" t="n">
        <v>0.7958227533929282</v>
      </c>
      <c r="Q665" s="33" t="n">
        <v>0.2</v>
      </c>
      <c r="R665" s="31" t="n">
        <v>567.7513644129477</v>
      </c>
      <c r="S665" s="31">
        <f>R665*IF(A665=4, 2.0, 3.0)</f>
        <v/>
      </c>
      <c r="T665" s="30">
        <f>8.0*U665</f>
        <v/>
      </c>
      <c r="U665" s="34">
        <f>MIN(1, S665/M665)</f>
        <v/>
      </c>
      <c r="V665" s="34">
        <f>N665/(N665+O665)</f>
        <v/>
      </c>
      <c r="W665" s="34">
        <f>U665*V665</f>
        <v/>
      </c>
      <c r="X665" s="32">
        <f>T665/N665</f>
        <v/>
      </c>
      <c r="Y665" s="35">
        <f>IF(X665=MAXIFS(X$2:X$721, A$2:A$721, A665, B$2:B$721, B665), "OPTIMAL", "")</f>
        <v/>
      </c>
    </row>
    <row r="666" ht="20" customHeight="1">
      <c r="A666" s="36" t="n">
        <v>-18</v>
      </c>
      <c r="B666" s="36" t="n">
        <v>45</v>
      </c>
      <c r="C666" s="37" t="n">
        <v>100</v>
      </c>
      <c r="D666" s="37" t="n">
        <v>3</v>
      </c>
      <c r="E666" s="38" t="n">
        <v>4</v>
      </c>
      <c r="F666" s="37" t="n">
        <v>1.5</v>
      </c>
      <c r="G666" s="38" t="inlineStr">
        <is>
          <t>Oui</t>
        </is>
      </c>
      <c r="H666" s="38" t="inlineStr">
        <is>
          <t>ON</t>
        </is>
      </c>
      <c r="I666" s="39" t="n">
        <v>885.2722778138215</v>
      </c>
      <c r="J666" s="39" t="n">
        <v>10520.73059103506</v>
      </c>
      <c r="K666" s="39" t="n">
        <v>5101.851851851852</v>
      </c>
      <c r="L666" s="39" t="n">
        <v>150</v>
      </c>
      <c r="M666" s="39">
        <f>I666+J666+K666+L666</f>
        <v/>
      </c>
      <c r="N666" s="39">
        <f>M666*Dashboard!$B$18/(Dashboard!$B$16/3.6)</f>
        <v/>
      </c>
      <c r="O666" s="39" t="n">
        <v>1550.696264802045</v>
      </c>
      <c r="P666" s="40" t="n">
        <v>0.0735384347268611</v>
      </c>
      <c r="Q666" s="41" t="n">
        <v>6.857688308810928</v>
      </c>
      <c r="R666" s="39" t="n">
        <v>6350.572576450088</v>
      </c>
      <c r="S666" s="39">
        <f>R666*IF(A666=4, 2.0, 3.0)</f>
        <v/>
      </c>
      <c r="T666" s="37">
        <f>8.0*U666</f>
        <v/>
      </c>
      <c r="U666" s="42">
        <f>MIN(1, S666/M666)</f>
        <v/>
      </c>
      <c r="V666" s="42">
        <f>N666/(N666+O666)</f>
        <v/>
      </c>
      <c r="W666" s="42">
        <f>U666*V666</f>
        <v/>
      </c>
      <c r="X666" s="40">
        <f>T666/N666</f>
        <v/>
      </c>
      <c r="Y666" s="15">
        <f>IF(X666=MAXIFS(X$2:X$721, A$2:A$721, A666, B$2:B$721, B666), "OPTIMAL", "")</f>
        <v/>
      </c>
    </row>
    <row r="667" ht="20" customHeight="1">
      <c r="A667" s="29" t="n">
        <v>-18</v>
      </c>
      <c r="B667" s="29" t="n">
        <v>45</v>
      </c>
      <c r="C667" s="30" t="n">
        <v>100</v>
      </c>
      <c r="D667" s="30" t="n">
        <v>3</v>
      </c>
      <c r="E667" s="6" t="n">
        <v>4</v>
      </c>
      <c r="F667" s="30" t="n">
        <v>1.5</v>
      </c>
      <c r="G667" s="6" t="inlineStr">
        <is>
          <t>Oui</t>
        </is>
      </c>
      <c r="H667" s="6" t="inlineStr">
        <is>
          <t>OFF</t>
        </is>
      </c>
      <c r="I667" s="31" t="n">
        <v>885.2722778138215</v>
      </c>
      <c r="J667" s="31" t="n">
        <v>10520.73059103506</v>
      </c>
      <c r="K667" s="31" t="n">
        <v>5101.851851851852</v>
      </c>
      <c r="L667" s="31" t="n">
        <v>150</v>
      </c>
      <c r="M667" s="31">
        <f>I667+J667+K667+L667</f>
        <v/>
      </c>
      <c r="N667" s="31">
        <f>M667*Dashboard!$B$18/(Dashboard!$B$16/3.6)</f>
        <v/>
      </c>
      <c r="O667" s="31" t="n">
        <v>1550.696264802045</v>
      </c>
      <c r="P667" s="32" t="n">
        <v>0.307100869502758</v>
      </c>
      <c r="Q667" s="33" t="n">
        <v>6.857688308810928</v>
      </c>
      <c r="R667" s="31" t="n">
        <v>1520.709360568173</v>
      </c>
      <c r="S667" s="31">
        <f>R667*IF(A667=4, 2.0, 3.0)</f>
        <v/>
      </c>
      <c r="T667" s="30">
        <f>8.0*U667</f>
        <v/>
      </c>
      <c r="U667" s="34">
        <f>MIN(1, S667/M667)</f>
        <v/>
      </c>
      <c r="V667" s="34">
        <f>N667/(N667+O667)</f>
        <v/>
      </c>
      <c r="W667" s="34">
        <f>U667*V667</f>
        <v/>
      </c>
      <c r="X667" s="32">
        <f>T667/N667</f>
        <v/>
      </c>
      <c r="Y667" s="35">
        <f>IF(X667=MAXIFS(X$2:X$721, A$2:A$721, A667, B$2:B$721, B667), "OPTIMAL", "")</f>
        <v/>
      </c>
    </row>
    <row r="668" ht="20" customHeight="1">
      <c r="A668" s="36" t="n">
        <v>-18</v>
      </c>
      <c r="B668" s="36" t="n">
        <v>45</v>
      </c>
      <c r="C668" s="37" t="n">
        <v>100</v>
      </c>
      <c r="D668" s="37" t="n">
        <v>3</v>
      </c>
      <c r="E668" s="38" t="n">
        <v>4</v>
      </c>
      <c r="F668" s="37" t="n">
        <v>1.5</v>
      </c>
      <c r="G668" s="38" t="inlineStr">
        <is>
          <t>Non</t>
        </is>
      </c>
      <c r="H668" s="38" t="inlineStr">
        <is>
          <t>ON</t>
        </is>
      </c>
      <c r="I668" s="39" t="n">
        <v>885.2722778138215</v>
      </c>
      <c r="J668" s="39" t="n">
        <v>10520.73059103506</v>
      </c>
      <c r="K668" s="39" t="n">
        <v>5101.851851851852</v>
      </c>
      <c r="L668" s="39" t="n">
        <v>150</v>
      </c>
      <c r="M668" s="39">
        <f>I668+J668+K668+L668</f>
        <v/>
      </c>
      <c r="N668" s="39">
        <f>M668*Dashboard!$B$18/(Dashboard!$B$16/3.6)</f>
        <v/>
      </c>
      <c r="O668" s="39" t="n">
        <v>1550.696264802045</v>
      </c>
      <c r="P668" s="40" t="n">
        <v>0.07035533586502318</v>
      </c>
      <c r="Q668" s="41" t="n">
        <v>6.857688308810928</v>
      </c>
      <c r="R668" s="39" t="n">
        <v>6637.89265092033</v>
      </c>
      <c r="S668" s="39">
        <f>R668*IF(A668=4, 2.0, 3.0)</f>
        <v/>
      </c>
      <c r="T668" s="37">
        <f>8.0*U668</f>
        <v/>
      </c>
      <c r="U668" s="42">
        <f>MIN(1, S668/M668)</f>
        <v/>
      </c>
      <c r="V668" s="42">
        <f>N668/(N668+O668)</f>
        <v/>
      </c>
      <c r="W668" s="42">
        <f>U668*V668</f>
        <v/>
      </c>
      <c r="X668" s="40">
        <f>T668/N668</f>
        <v/>
      </c>
      <c r="Y668" s="15">
        <f>IF(X668=MAXIFS(X$2:X$721, A$2:A$721, A668, B$2:B$721, B668), "OPTIMAL", "")</f>
        <v/>
      </c>
    </row>
    <row r="669" ht="20" customHeight="1">
      <c r="A669" s="29" t="n">
        <v>-18</v>
      </c>
      <c r="B669" s="29" t="n">
        <v>45</v>
      </c>
      <c r="C669" s="30" t="n">
        <v>100</v>
      </c>
      <c r="D669" s="30" t="n">
        <v>3</v>
      </c>
      <c r="E669" s="6" t="n">
        <v>4</v>
      </c>
      <c r="F669" s="30" t="n">
        <v>1.5</v>
      </c>
      <c r="G669" s="6" t="inlineStr">
        <is>
          <t>Non</t>
        </is>
      </c>
      <c r="H669" s="6" t="inlineStr">
        <is>
          <t>OFF</t>
        </is>
      </c>
      <c r="I669" s="31" t="n">
        <v>885.2722778138215</v>
      </c>
      <c r="J669" s="31" t="n">
        <v>10520.73059103506</v>
      </c>
      <c r="K669" s="31" t="n">
        <v>5101.851851851852</v>
      </c>
      <c r="L669" s="31" t="n">
        <v>150</v>
      </c>
      <c r="M669" s="31">
        <f>I669+J669+K669+L669</f>
        <v/>
      </c>
      <c r="N669" s="31">
        <f>M669*Dashboard!$B$18/(Dashboard!$B$16/3.6)</f>
        <v/>
      </c>
      <c r="O669" s="31" t="n">
        <v>1550.696264802045</v>
      </c>
      <c r="P669" s="32" t="n">
        <v>0.3039177706409201</v>
      </c>
      <c r="Q669" s="33" t="n">
        <v>6.857688308810928</v>
      </c>
      <c r="R669" s="31" t="n">
        <v>1536.63659057056</v>
      </c>
      <c r="S669" s="31">
        <f>R669*IF(A669=4, 2.0, 3.0)</f>
        <v/>
      </c>
      <c r="T669" s="30">
        <f>8.0*U669</f>
        <v/>
      </c>
      <c r="U669" s="34">
        <f>MIN(1, S669/M669)</f>
        <v/>
      </c>
      <c r="V669" s="34">
        <f>N669/(N669+O669)</f>
        <v/>
      </c>
      <c r="W669" s="34">
        <f>U669*V669</f>
        <v/>
      </c>
      <c r="X669" s="32">
        <f>T669/N669</f>
        <v/>
      </c>
      <c r="Y669" s="35">
        <f>IF(X669=MAXIFS(X$2:X$721, A$2:A$721, A669, B$2:B$721, B669), "OPTIMAL", "")</f>
        <v/>
      </c>
    </row>
    <row r="670" ht="20" customHeight="1">
      <c r="A670" s="36" t="n">
        <v>-18</v>
      </c>
      <c r="B670" s="36" t="n">
        <v>45</v>
      </c>
      <c r="C670" s="37" t="n">
        <v>100</v>
      </c>
      <c r="D670" s="37" t="n">
        <v>3</v>
      </c>
      <c r="E670" s="38" t="n">
        <v>4</v>
      </c>
      <c r="F670" s="37" t="n">
        <v>2</v>
      </c>
      <c r="G670" s="38" t="inlineStr">
        <is>
          <t>Oui</t>
        </is>
      </c>
      <c r="H670" s="38" t="inlineStr">
        <is>
          <t>ON</t>
        </is>
      </c>
      <c r="I670" s="39" t="n">
        <v>885.2722778138215</v>
      </c>
      <c r="J670" s="39" t="n">
        <v>10520.73059103506</v>
      </c>
      <c r="K670" s="39" t="n">
        <v>5101.851851851852</v>
      </c>
      <c r="L670" s="39" t="n">
        <v>150</v>
      </c>
      <c r="M670" s="39">
        <f>I670+J670+K670+L670</f>
        <v/>
      </c>
      <c r="N670" s="39">
        <f>M670*Dashboard!$B$18/(Dashboard!$B$16/3.6)</f>
        <v/>
      </c>
      <c r="O670" s="39" t="n">
        <v>1702.413452717261</v>
      </c>
      <c r="P670" s="40" t="n">
        <v>0.07090019831070833</v>
      </c>
      <c r="Q670" s="41" t="n">
        <v>9.076917745081236</v>
      </c>
      <c r="R670" s="39" t="n">
        <v>6661.490860824075</v>
      </c>
      <c r="S670" s="39">
        <f>R670*IF(A670=4, 2.0, 3.0)</f>
        <v/>
      </c>
      <c r="T670" s="37">
        <f>8.0*U670</f>
        <v/>
      </c>
      <c r="U670" s="42">
        <f>MIN(1, S670/M670)</f>
        <v/>
      </c>
      <c r="V670" s="42">
        <f>N670/(N670+O670)</f>
        <v/>
      </c>
      <c r="W670" s="42">
        <f>U670*V670</f>
        <v/>
      </c>
      <c r="X670" s="40">
        <f>T670/N670</f>
        <v/>
      </c>
      <c r="Y670" s="15">
        <f>IF(X670=MAXIFS(X$2:X$721, A$2:A$721, A670, B$2:B$721, B670), "OPTIMAL", "")</f>
        <v/>
      </c>
    </row>
    <row r="671" ht="20" customHeight="1">
      <c r="A671" s="29" t="n">
        <v>-18</v>
      </c>
      <c r="B671" s="29" t="n">
        <v>45</v>
      </c>
      <c r="C671" s="30" t="n">
        <v>100</v>
      </c>
      <c r="D671" s="30" t="n">
        <v>3</v>
      </c>
      <c r="E671" s="6" t="n">
        <v>4</v>
      </c>
      <c r="F671" s="30" t="n">
        <v>2</v>
      </c>
      <c r="G671" s="6" t="inlineStr">
        <is>
          <t>Oui</t>
        </is>
      </c>
      <c r="H671" s="6" t="inlineStr">
        <is>
          <t>OFF</t>
        </is>
      </c>
      <c r="I671" s="31" t="n">
        <v>885.2722778138215</v>
      </c>
      <c r="J671" s="31" t="n">
        <v>10520.73059103506</v>
      </c>
      <c r="K671" s="31" t="n">
        <v>5101.851851851852</v>
      </c>
      <c r="L671" s="31" t="n">
        <v>150</v>
      </c>
      <c r="M671" s="31">
        <f>I671+J671+K671+L671</f>
        <v/>
      </c>
      <c r="N671" s="31">
        <f>M671*Dashboard!$B$18/(Dashboard!$B$16/3.6)</f>
        <v/>
      </c>
      <c r="O671" s="31" t="n">
        <v>1702.413452717261</v>
      </c>
      <c r="P671" s="32" t="n">
        <v>0.305556811068225</v>
      </c>
      <c r="Q671" s="33" t="n">
        <v>9.076917745081236</v>
      </c>
      <c r="R671" s="31" t="n">
        <v>1545.706087932507</v>
      </c>
      <c r="S671" s="31">
        <f>R671*IF(A671=4, 2.0, 3.0)</f>
        <v/>
      </c>
      <c r="T671" s="30">
        <f>8.0*U671</f>
        <v/>
      </c>
      <c r="U671" s="34">
        <f>MIN(1, S671/M671)</f>
        <v/>
      </c>
      <c r="V671" s="34">
        <f>N671/(N671+O671)</f>
        <v/>
      </c>
      <c r="W671" s="34">
        <f>U671*V671</f>
        <v/>
      </c>
      <c r="X671" s="32">
        <f>T671/N671</f>
        <v/>
      </c>
      <c r="Y671" s="35">
        <f>IF(X671=MAXIFS(X$2:X$721, A$2:A$721, A671, B$2:B$721, B671), "OPTIMAL", "")</f>
        <v/>
      </c>
    </row>
    <row r="672" ht="20" customHeight="1">
      <c r="A672" s="36" t="n">
        <v>-18</v>
      </c>
      <c r="B672" s="36" t="n">
        <v>45</v>
      </c>
      <c r="C672" s="37" t="n">
        <v>100</v>
      </c>
      <c r="D672" s="37" t="n">
        <v>3</v>
      </c>
      <c r="E672" s="38" t="n">
        <v>4</v>
      </c>
      <c r="F672" s="37" t="n">
        <v>2</v>
      </c>
      <c r="G672" s="38" t="inlineStr">
        <is>
          <t>Non</t>
        </is>
      </c>
      <c r="H672" s="38" t="inlineStr">
        <is>
          <t>ON</t>
        </is>
      </c>
      <c r="I672" s="39" t="n">
        <v>885.2722778138215</v>
      </c>
      <c r="J672" s="39" t="n">
        <v>10520.73059103506</v>
      </c>
      <c r="K672" s="39" t="n">
        <v>5101.851851851852</v>
      </c>
      <c r="L672" s="39" t="n">
        <v>150</v>
      </c>
      <c r="M672" s="39">
        <f>I672+J672+K672+L672</f>
        <v/>
      </c>
      <c r="N672" s="39">
        <f>M672*Dashboard!$B$18/(Dashboard!$B$16/3.6)</f>
        <v/>
      </c>
      <c r="O672" s="39" t="n">
        <v>1702.413452717261</v>
      </c>
      <c r="P672" s="40" t="n">
        <v>0.06771709944887042</v>
      </c>
      <c r="Q672" s="41" t="n">
        <v>9.076917745081236</v>
      </c>
      <c r="R672" s="39" t="n">
        <v>6974.61980683339</v>
      </c>
      <c r="S672" s="39">
        <f>R672*IF(A672=4, 2.0, 3.0)</f>
        <v/>
      </c>
      <c r="T672" s="37">
        <f>8.0*U672</f>
        <v/>
      </c>
      <c r="U672" s="42">
        <f>MIN(1, S672/M672)</f>
        <v/>
      </c>
      <c r="V672" s="42">
        <f>N672/(N672+O672)</f>
        <v/>
      </c>
      <c r="W672" s="42">
        <f>U672*V672</f>
        <v/>
      </c>
      <c r="X672" s="40">
        <f>T672/N672</f>
        <v/>
      </c>
      <c r="Y672" s="15">
        <f>IF(X672=MAXIFS(X$2:X$721, A$2:A$721, A672, B$2:B$721, B672), "OPTIMAL", "")</f>
        <v/>
      </c>
    </row>
    <row r="673" ht="20" customHeight="1">
      <c r="A673" s="29" t="n">
        <v>-18</v>
      </c>
      <c r="B673" s="29" t="n">
        <v>45</v>
      </c>
      <c r="C673" s="30" t="n">
        <v>100</v>
      </c>
      <c r="D673" s="30" t="n">
        <v>3</v>
      </c>
      <c r="E673" s="6" t="n">
        <v>4</v>
      </c>
      <c r="F673" s="30" t="n">
        <v>2</v>
      </c>
      <c r="G673" s="6" t="inlineStr">
        <is>
          <t>Non</t>
        </is>
      </c>
      <c r="H673" s="6" t="inlineStr">
        <is>
          <t>OFF</t>
        </is>
      </c>
      <c r="I673" s="31" t="n">
        <v>885.2722778138215</v>
      </c>
      <c r="J673" s="31" t="n">
        <v>10520.73059103506</v>
      </c>
      <c r="K673" s="31" t="n">
        <v>5101.851851851852</v>
      </c>
      <c r="L673" s="31" t="n">
        <v>150</v>
      </c>
      <c r="M673" s="31">
        <f>I673+J673+K673+L673</f>
        <v/>
      </c>
      <c r="N673" s="31">
        <f>M673*Dashboard!$B$18/(Dashboard!$B$16/3.6)</f>
        <v/>
      </c>
      <c r="O673" s="31" t="n">
        <v>1702.413452717261</v>
      </c>
      <c r="P673" s="32" t="n">
        <v>0.302373712206387</v>
      </c>
      <c r="Q673" s="33" t="n">
        <v>9.076917745081236</v>
      </c>
      <c r="R673" s="31" t="n">
        <v>1561.977791095233</v>
      </c>
      <c r="S673" s="31">
        <f>R673*IF(A673=4, 2.0, 3.0)</f>
        <v/>
      </c>
      <c r="T673" s="30">
        <f>8.0*U673</f>
        <v/>
      </c>
      <c r="U673" s="34">
        <f>MIN(1, S673/M673)</f>
        <v/>
      </c>
      <c r="V673" s="34">
        <f>N673/(N673+O673)</f>
        <v/>
      </c>
      <c r="W673" s="34">
        <f>U673*V673</f>
        <v/>
      </c>
      <c r="X673" s="32">
        <f>T673/N673</f>
        <v/>
      </c>
      <c r="Y673" s="35">
        <f>IF(X673=MAXIFS(X$2:X$721, A$2:A$721, A673, B$2:B$721, B673), "OPTIMAL", "")</f>
        <v/>
      </c>
    </row>
    <row r="674" ht="20" customHeight="1">
      <c r="A674" s="36" t="n">
        <v>-18</v>
      </c>
      <c r="B674" s="36" t="n">
        <v>45</v>
      </c>
      <c r="C674" s="37" t="n">
        <v>100</v>
      </c>
      <c r="D674" s="37" t="n">
        <v>3</v>
      </c>
      <c r="E674" s="38" t="n">
        <v>8</v>
      </c>
      <c r="F674" s="37" t="n">
        <v>1.5</v>
      </c>
      <c r="G674" s="38" t="inlineStr">
        <is>
          <t>Oui</t>
        </is>
      </c>
      <c r="H674" s="38" t="inlineStr">
        <is>
          <t>ON</t>
        </is>
      </c>
      <c r="I674" s="39" t="n">
        <v>885.2722778138215</v>
      </c>
      <c r="J674" s="39" t="n">
        <v>10520.73059103506</v>
      </c>
      <c r="K674" s="39" t="n">
        <v>5101.851851851852</v>
      </c>
      <c r="L674" s="39" t="n">
        <v>150</v>
      </c>
      <c r="M674" s="39">
        <f>I674+J674+K674+L674</f>
        <v/>
      </c>
      <c r="N674" s="39">
        <f>M674*Dashboard!$B$18/(Dashboard!$B$16/3.6)</f>
        <v/>
      </c>
      <c r="O674" s="39" t="n">
        <v>2016.397874085415</v>
      </c>
      <c r="P674" s="40" t="n">
        <v>0.05562346576923688</v>
      </c>
      <c r="Q674" s="41" t="n">
        <v>13.51537661762185</v>
      </c>
      <c r="R674" s="39" t="n">
        <v>8687.854533057749</v>
      </c>
      <c r="S674" s="39">
        <f>R674*IF(A674=4, 2.0, 3.0)</f>
        <v/>
      </c>
      <c r="T674" s="37">
        <f>8.0*U674</f>
        <v/>
      </c>
      <c r="U674" s="42">
        <f>MIN(1, S674/M674)</f>
        <v/>
      </c>
      <c r="V674" s="42">
        <f>N674/(N674+O674)</f>
        <v/>
      </c>
      <c r="W674" s="42">
        <f>U674*V674</f>
        <v/>
      </c>
      <c r="X674" s="40">
        <f>T674/N674</f>
        <v/>
      </c>
      <c r="Y674" s="15">
        <f>IF(X674=MAXIFS(X$2:X$721, A$2:A$721, A674, B$2:B$721, B674), "OPTIMAL", "")</f>
        <v/>
      </c>
    </row>
    <row r="675" ht="20" customHeight="1">
      <c r="A675" s="29" t="n">
        <v>-18</v>
      </c>
      <c r="B675" s="29" t="n">
        <v>45</v>
      </c>
      <c r="C675" s="30" t="n">
        <v>100</v>
      </c>
      <c r="D675" s="30" t="n">
        <v>3</v>
      </c>
      <c r="E675" s="6" t="n">
        <v>8</v>
      </c>
      <c r="F675" s="30" t="n">
        <v>1.5</v>
      </c>
      <c r="G675" s="6" t="inlineStr">
        <is>
          <t>Oui</t>
        </is>
      </c>
      <c r="H675" s="6" t="inlineStr">
        <is>
          <t>OFF</t>
        </is>
      </c>
      <c r="I675" s="31" t="n">
        <v>885.2722778138215</v>
      </c>
      <c r="J675" s="31" t="n">
        <v>10520.73059103506</v>
      </c>
      <c r="K675" s="31" t="n">
        <v>5101.851851851852</v>
      </c>
      <c r="L675" s="31" t="n">
        <v>150</v>
      </c>
      <c r="M675" s="31">
        <f>I675+J675+K675+L675</f>
        <v/>
      </c>
      <c r="N675" s="31">
        <f>M675*Dashboard!$B$18/(Dashboard!$B$16/3.6)</f>
        <v/>
      </c>
      <c r="O675" s="31" t="n">
        <v>2016.397874085415</v>
      </c>
      <c r="P675" s="32" t="n">
        <v>0.2400757351497012</v>
      </c>
      <c r="Q675" s="33" t="n">
        <v>13.51537661762185</v>
      </c>
      <c r="R675" s="31" t="n">
        <v>2012.900549596624</v>
      </c>
      <c r="S675" s="31">
        <f>R675*IF(A675=4, 2.0, 3.0)</f>
        <v/>
      </c>
      <c r="T675" s="30">
        <f>8.0*U675</f>
        <v/>
      </c>
      <c r="U675" s="34">
        <f>MIN(1, S675/M675)</f>
        <v/>
      </c>
      <c r="V675" s="34">
        <f>N675/(N675+O675)</f>
        <v/>
      </c>
      <c r="W675" s="34">
        <f>U675*V675</f>
        <v/>
      </c>
      <c r="X675" s="32">
        <f>T675/N675</f>
        <v/>
      </c>
      <c r="Y675" s="35">
        <f>IF(X675=MAXIFS(X$2:X$721, A$2:A$721, A675, B$2:B$721, B675), "OPTIMAL", "")</f>
        <v/>
      </c>
    </row>
    <row r="676" ht="20" customHeight="1">
      <c r="A676" s="36" t="n">
        <v>-18</v>
      </c>
      <c r="B676" s="36" t="n">
        <v>45</v>
      </c>
      <c r="C676" s="37" t="n">
        <v>100</v>
      </c>
      <c r="D676" s="37" t="n">
        <v>3</v>
      </c>
      <c r="E676" s="38" t="n">
        <v>8</v>
      </c>
      <c r="F676" s="37" t="n">
        <v>1.5</v>
      </c>
      <c r="G676" s="38" t="inlineStr">
        <is>
          <t>Non</t>
        </is>
      </c>
      <c r="H676" s="38" t="inlineStr">
        <is>
          <t>ON</t>
        </is>
      </c>
      <c r="I676" s="39" t="n">
        <v>885.2722778138215</v>
      </c>
      <c r="J676" s="39" t="n">
        <v>10520.73059103506</v>
      </c>
      <c r="K676" s="39" t="n">
        <v>5101.851851851852</v>
      </c>
      <c r="L676" s="39" t="n">
        <v>150</v>
      </c>
      <c r="M676" s="39">
        <f>I676+J676+K676+L676</f>
        <v/>
      </c>
      <c r="N676" s="39">
        <f>M676*Dashboard!$B$18/(Dashboard!$B$16/3.6)</f>
        <v/>
      </c>
      <c r="O676" s="39" t="n">
        <v>2016.397874085415</v>
      </c>
      <c r="P676" s="40" t="n">
        <v>0.05244036690739898</v>
      </c>
      <c r="Q676" s="41" t="n">
        <v>13.51537661762185</v>
      </c>
      <c r="R676" s="39" t="n">
        <v>9215.202099576922</v>
      </c>
      <c r="S676" s="39">
        <f>R676*IF(A676=4, 2.0, 3.0)</f>
        <v/>
      </c>
      <c r="T676" s="37">
        <f>8.0*U676</f>
        <v/>
      </c>
      <c r="U676" s="42">
        <f>MIN(1, S676/M676)</f>
        <v/>
      </c>
      <c r="V676" s="42">
        <f>N676/(N676+O676)</f>
        <v/>
      </c>
      <c r="W676" s="42">
        <f>U676*V676</f>
        <v/>
      </c>
      <c r="X676" s="40">
        <f>T676/N676</f>
        <v/>
      </c>
      <c r="Y676" s="15">
        <f>IF(X676=MAXIFS(X$2:X$721, A$2:A$721, A676, B$2:B$721, B676), "OPTIMAL", "")</f>
        <v/>
      </c>
    </row>
    <row r="677" ht="20" customHeight="1">
      <c r="A677" s="29" t="n">
        <v>-18</v>
      </c>
      <c r="B677" s="29" t="n">
        <v>45</v>
      </c>
      <c r="C677" s="30" t="n">
        <v>100</v>
      </c>
      <c r="D677" s="30" t="n">
        <v>3</v>
      </c>
      <c r="E677" s="6" t="n">
        <v>8</v>
      </c>
      <c r="F677" s="30" t="n">
        <v>1.5</v>
      </c>
      <c r="G677" s="6" t="inlineStr">
        <is>
          <t>Non</t>
        </is>
      </c>
      <c r="H677" s="6" t="inlineStr">
        <is>
          <t>OFF</t>
        </is>
      </c>
      <c r="I677" s="31" t="n">
        <v>885.2722778138215</v>
      </c>
      <c r="J677" s="31" t="n">
        <v>10520.73059103506</v>
      </c>
      <c r="K677" s="31" t="n">
        <v>5101.851851851852</v>
      </c>
      <c r="L677" s="31" t="n">
        <v>150</v>
      </c>
      <c r="M677" s="31">
        <f>I677+J677+K677+L677</f>
        <v/>
      </c>
      <c r="N677" s="31">
        <f>M677*Dashboard!$B$18/(Dashboard!$B$16/3.6)</f>
        <v/>
      </c>
      <c r="O677" s="31" t="n">
        <v>2016.397874085415</v>
      </c>
      <c r="P677" s="32" t="n">
        <v>0.2368926362878633</v>
      </c>
      <c r="Q677" s="33" t="n">
        <v>13.51537661762185</v>
      </c>
      <c r="R677" s="31" t="n">
        <v>2039.947660679588</v>
      </c>
      <c r="S677" s="31">
        <f>R677*IF(A677=4, 2.0, 3.0)</f>
        <v/>
      </c>
      <c r="T677" s="30">
        <f>8.0*U677</f>
        <v/>
      </c>
      <c r="U677" s="34">
        <f>MIN(1, S677/M677)</f>
        <v/>
      </c>
      <c r="V677" s="34">
        <f>N677/(N677+O677)</f>
        <v/>
      </c>
      <c r="W677" s="34">
        <f>U677*V677</f>
        <v/>
      </c>
      <c r="X677" s="32">
        <f>T677/N677</f>
        <v/>
      </c>
      <c r="Y677" s="35">
        <f>IF(X677=MAXIFS(X$2:X$721, A$2:A$721, A677, B$2:B$721, B677), "OPTIMAL", "")</f>
        <v/>
      </c>
    </row>
    <row r="678" ht="20" customHeight="1">
      <c r="A678" s="36" t="n">
        <v>-18</v>
      </c>
      <c r="B678" s="36" t="n">
        <v>45</v>
      </c>
      <c r="C678" s="37" t="n">
        <v>100</v>
      </c>
      <c r="D678" s="37" t="n">
        <v>3</v>
      </c>
      <c r="E678" s="38" t="n">
        <v>8</v>
      </c>
      <c r="F678" s="37" t="n">
        <v>2</v>
      </c>
      <c r="G678" s="38" t="inlineStr">
        <is>
          <t>Oui</t>
        </is>
      </c>
      <c r="H678" s="38" t="inlineStr">
        <is>
          <t>ON</t>
        </is>
      </c>
      <c r="I678" s="39" t="n">
        <v>885.2722778138215</v>
      </c>
      <c r="J678" s="39" t="n">
        <v>10520.73059103506</v>
      </c>
      <c r="K678" s="39" t="n">
        <v>5101.851851851852</v>
      </c>
      <c r="L678" s="39" t="n">
        <v>150</v>
      </c>
      <c r="M678" s="39">
        <f>I678+J678+K678+L678</f>
        <v/>
      </c>
      <c r="N678" s="39">
        <f>M678*Dashboard!$B$18/(Dashboard!$B$16/3.6)</f>
        <v/>
      </c>
      <c r="O678" s="39" t="n">
        <v>2345.283503874635</v>
      </c>
      <c r="P678" s="40" t="n">
        <v>0.05441799410512958</v>
      </c>
      <c r="Q678" s="41" t="n">
        <v>17.95383549016247</v>
      </c>
      <c r="R678" s="39" t="n">
        <v>9091.031328261304</v>
      </c>
      <c r="S678" s="39">
        <f>R678*IF(A678=4, 2.0, 3.0)</f>
        <v/>
      </c>
      <c r="T678" s="37">
        <f>8.0*U678</f>
        <v/>
      </c>
      <c r="U678" s="42">
        <f>MIN(1, S678/M678)</f>
        <v/>
      </c>
      <c r="V678" s="42">
        <f>N678/(N678+O678)</f>
        <v/>
      </c>
      <c r="W678" s="42">
        <f>U678*V678</f>
        <v/>
      </c>
      <c r="X678" s="40">
        <f>T678/N678</f>
        <v/>
      </c>
      <c r="Y678" s="15">
        <f>IF(X678=MAXIFS(X$2:X$721, A$2:A$721, A678, B$2:B$721, B678), "OPTIMAL", "")</f>
        <v/>
      </c>
    </row>
    <row r="679" ht="20" customHeight="1">
      <c r="A679" s="29" t="n">
        <v>-18</v>
      </c>
      <c r="B679" s="29" t="n">
        <v>45</v>
      </c>
      <c r="C679" s="30" t="n">
        <v>100</v>
      </c>
      <c r="D679" s="30" t="n">
        <v>3</v>
      </c>
      <c r="E679" s="6" t="n">
        <v>8</v>
      </c>
      <c r="F679" s="30" t="n">
        <v>2</v>
      </c>
      <c r="G679" s="6" t="inlineStr">
        <is>
          <t>Oui</t>
        </is>
      </c>
      <c r="H679" s="6" t="inlineStr">
        <is>
          <t>OFF</t>
        </is>
      </c>
      <c r="I679" s="31" t="n">
        <v>885.2722778138215</v>
      </c>
      <c r="J679" s="31" t="n">
        <v>10520.73059103506</v>
      </c>
      <c r="K679" s="31" t="n">
        <v>5101.851851851852</v>
      </c>
      <c r="L679" s="31" t="n">
        <v>150</v>
      </c>
      <c r="M679" s="31">
        <f>I679+J679+K679+L679</f>
        <v/>
      </c>
      <c r="N679" s="31">
        <f>M679*Dashboard!$B$18/(Dashboard!$B$16/3.6)</f>
        <v/>
      </c>
      <c r="O679" s="31" t="n">
        <v>2345.283503874635</v>
      </c>
      <c r="P679" s="32" t="n">
        <v>0.2402392320400437</v>
      </c>
      <c r="Q679" s="33" t="n">
        <v>17.95383549016247</v>
      </c>
      <c r="R679" s="31" t="n">
        <v>2059.262698393956</v>
      </c>
      <c r="S679" s="31">
        <f>R679*IF(A679=4, 2.0, 3.0)</f>
        <v/>
      </c>
      <c r="T679" s="30">
        <f>8.0*U679</f>
        <v/>
      </c>
      <c r="U679" s="34">
        <f>MIN(1, S679/M679)</f>
        <v/>
      </c>
      <c r="V679" s="34">
        <f>N679/(N679+O679)</f>
        <v/>
      </c>
      <c r="W679" s="34">
        <f>U679*V679</f>
        <v/>
      </c>
      <c r="X679" s="32">
        <f>T679/N679</f>
        <v/>
      </c>
      <c r="Y679" s="35">
        <f>IF(X679=MAXIFS(X$2:X$721, A$2:A$721, A679, B$2:B$721, B679), "OPTIMAL", "")</f>
        <v/>
      </c>
    </row>
    <row r="680" ht="20" customHeight="1">
      <c r="A680" s="36" t="n">
        <v>-18</v>
      </c>
      <c r="B680" s="36" t="n">
        <v>45</v>
      </c>
      <c r="C680" s="37" t="n">
        <v>100</v>
      </c>
      <c r="D680" s="37" t="n">
        <v>3</v>
      </c>
      <c r="E680" s="38" t="n">
        <v>8</v>
      </c>
      <c r="F680" s="37" t="n">
        <v>2</v>
      </c>
      <c r="G680" s="38" t="inlineStr">
        <is>
          <t>Non</t>
        </is>
      </c>
      <c r="H680" s="38" t="inlineStr">
        <is>
          <t>ON</t>
        </is>
      </c>
      <c r="I680" s="39" t="n">
        <v>885.2722778138215</v>
      </c>
      <c r="J680" s="39" t="n">
        <v>10520.73059103506</v>
      </c>
      <c r="K680" s="39" t="n">
        <v>5101.851851851852</v>
      </c>
      <c r="L680" s="39" t="n">
        <v>150</v>
      </c>
      <c r="M680" s="39">
        <f>I680+J680+K680+L680</f>
        <v/>
      </c>
      <c r="N680" s="39">
        <f>M680*Dashboard!$B$18/(Dashboard!$B$16/3.6)</f>
        <v/>
      </c>
      <c r="O680" s="39" t="n">
        <v>2345.283503874635</v>
      </c>
      <c r="P680" s="40" t="n">
        <v>0.05123489524329167</v>
      </c>
      <c r="Q680" s="41" t="n">
        <v>17.95383549016247</v>
      </c>
      <c r="R680" s="39" t="n">
        <v>9655.83489302921</v>
      </c>
      <c r="S680" s="39">
        <f>R680*IF(A680=4, 2.0, 3.0)</f>
        <v/>
      </c>
      <c r="T680" s="37">
        <f>8.0*U680</f>
        <v/>
      </c>
      <c r="U680" s="42">
        <f>MIN(1, S680/M680)</f>
        <v/>
      </c>
      <c r="V680" s="42">
        <f>N680/(N680+O680)</f>
        <v/>
      </c>
      <c r="W680" s="42">
        <f>U680*V680</f>
        <v/>
      </c>
      <c r="X680" s="40">
        <f>T680/N680</f>
        <v/>
      </c>
      <c r="Y680" s="15">
        <f>IF(X680=MAXIFS(X$2:X$721, A$2:A$721, A680, B$2:B$721, B680), "OPTIMAL", "")</f>
        <v/>
      </c>
    </row>
    <row r="681" ht="20" customHeight="1">
      <c r="A681" s="29" t="n">
        <v>-18</v>
      </c>
      <c r="B681" s="29" t="n">
        <v>45</v>
      </c>
      <c r="C681" s="30" t="n">
        <v>100</v>
      </c>
      <c r="D681" s="30" t="n">
        <v>3</v>
      </c>
      <c r="E681" s="6" t="n">
        <v>8</v>
      </c>
      <c r="F681" s="30" t="n">
        <v>2</v>
      </c>
      <c r="G681" s="6" t="inlineStr">
        <is>
          <t>Non</t>
        </is>
      </c>
      <c r="H681" s="6" t="inlineStr">
        <is>
          <t>OFF</t>
        </is>
      </c>
      <c r="I681" s="31" t="n">
        <v>885.2722778138215</v>
      </c>
      <c r="J681" s="31" t="n">
        <v>10520.73059103506</v>
      </c>
      <c r="K681" s="31" t="n">
        <v>5101.851851851852</v>
      </c>
      <c r="L681" s="31" t="n">
        <v>150</v>
      </c>
      <c r="M681" s="31">
        <f>I681+J681+K681+L681</f>
        <v/>
      </c>
      <c r="N681" s="31">
        <f>M681*Dashboard!$B$18/(Dashboard!$B$16/3.6)</f>
        <v/>
      </c>
      <c r="O681" s="31" t="n">
        <v>2345.283503874635</v>
      </c>
      <c r="P681" s="32" t="n">
        <v>0.2370561331782058</v>
      </c>
      <c r="Q681" s="33" t="n">
        <v>17.95383549016247</v>
      </c>
      <c r="R681" s="31" t="n">
        <v>2086.913688324495</v>
      </c>
      <c r="S681" s="31">
        <f>R681*IF(A681=4, 2.0, 3.0)</f>
        <v/>
      </c>
      <c r="T681" s="30">
        <f>8.0*U681</f>
        <v/>
      </c>
      <c r="U681" s="34">
        <f>MIN(1, S681/M681)</f>
        <v/>
      </c>
      <c r="V681" s="34">
        <f>N681/(N681+O681)</f>
        <v/>
      </c>
      <c r="W681" s="34">
        <f>U681*V681</f>
        <v/>
      </c>
      <c r="X681" s="32">
        <f>T681/N681</f>
        <v/>
      </c>
      <c r="Y681" s="35">
        <f>IF(X681=MAXIFS(X$2:X$721, A$2:A$721, A681, B$2:B$721, B681), "OPTIMAL", "")</f>
        <v/>
      </c>
    </row>
    <row r="682" ht="20" customHeight="1">
      <c r="A682" s="21" t="n">
        <v>-18</v>
      </c>
      <c r="B682" s="21" t="n">
        <v>45</v>
      </c>
      <c r="C682" s="22" t="n">
        <v>120</v>
      </c>
      <c r="D682" s="22" t="n">
        <v>2</v>
      </c>
      <c r="E682" s="23" t="n">
        <v>0</v>
      </c>
      <c r="F682" s="22" t="n">
        <v>0</v>
      </c>
      <c r="G682" s="23" t="inlineStr">
        <is>
          <t>Oui</t>
        </is>
      </c>
      <c r="H682" s="23" t="inlineStr">
        <is>
          <t>ON</t>
        </is>
      </c>
      <c r="I682" s="24" t="n">
        <v>885.2722778138215</v>
      </c>
      <c r="J682" s="24" t="n">
        <v>10520.73059103506</v>
      </c>
      <c r="K682" s="24" t="n">
        <v>5101.851851851852</v>
      </c>
      <c r="L682" s="24" t="n">
        <v>150</v>
      </c>
      <c r="M682" s="24">
        <f>I682+J682+K682+L682</f>
        <v/>
      </c>
      <c r="N682" s="24">
        <f>M682*Dashboard!$B$18/(Dashboard!$B$16/3.6)</f>
        <v/>
      </c>
      <c r="O682" s="24" t="n">
        <v>593.9363518517471</v>
      </c>
      <c r="P682" s="25" t="n">
        <v>0.4668808197339223</v>
      </c>
      <c r="Q682" s="26" t="n">
        <v>0.2</v>
      </c>
      <c r="R682" s="24" t="n">
        <v>635.4892882314663</v>
      </c>
      <c r="S682" s="24">
        <f>R682*IF(A682=4, 2.0, 3.0)</f>
        <v/>
      </c>
      <c r="T682" s="22">
        <f>8.0*U682</f>
        <v/>
      </c>
      <c r="U682" s="27">
        <f>MIN(1, S682/M682)</f>
        <v/>
      </c>
      <c r="V682" s="27">
        <f>N682/(N682+O682)</f>
        <v/>
      </c>
      <c r="W682" s="27">
        <f>U682*V682</f>
        <v/>
      </c>
      <c r="X682" s="25">
        <f>T682/N682</f>
        <v/>
      </c>
      <c r="Y682" s="28">
        <f>IF(X682=MAXIFS(X$2:X$721, A$2:A$721, A682, B$2:B$721, B682), "OPTIMAL", "")</f>
        <v/>
      </c>
    </row>
    <row r="683" ht="20" customHeight="1">
      <c r="A683" s="29" t="n">
        <v>-18</v>
      </c>
      <c r="B683" s="29" t="n">
        <v>45</v>
      </c>
      <c r="C683" s="30" t="n">
        <v>120</v>
      </c>
      <c r="D683" s="30" t="n">
        <v>2</v>
      </c>
      <c r="E683" s="6" t="n">
        <v>0</v>
      </c>
      <c r="F683" s="30" t="n">
        <v>0</v>
      </c>
      <c r="G683" s="6" t="inlineStr">
        <is>
          <t>Oui</t>
        </is>
      </c>
      <c r="H683" s="6" t="inlineStr">
        <is>
          <t>OFF</t>
        </is>
      </c>
      <c r="I683" s="31" t="n">
        <v>885.2722778138215</v>
      </c>
      <c r="J683" s="31" t="n">
        <v>10520.73059103506</v>
      </c>
      <c r="K683" s="31" t="n">
        <v>5101.851851851852</v>
      </c>
      <c r="L683" s="31" t="n">
        <v>150</v>
      </c>
      <c r="M683" s="31">
        <f>I683+J683+K683+L683</f>
        <v/>
      </c>
      <c r="N683" s="31">
        <f>M683*Dashboard!$B$18/(Dashboard!$B$16/3.6)</f>
        <v/>
      </c>
      <c r="O683" s="31" t="n">
        <v>593.9363518517471</v>
      </c>
      <c r="P683" s="32" t="n">
        <v>0.7321390582204146</v>
      </c>
      <c r="Q683" s="33" t="n">
        <v>0.2</v>
      </c>
      <c r="R683" s="31" t="n">
        <v>405.2478234705944</v>
      </c>
      <c r="S683" s="31">
        <f>R683*IF(A683=4, 2.0, 3.0)</f>
        <v/>
      </c>
      <c r="T683" s="30">
        <f>8.0*U683</f>
        <v/>
      </c>
      <c r="U683" s="34">
        <f>MIN(1, S683/M683)</f>
        <v/>
      </c>
      <c r="V683" s="34">
        <f>N683/(N683+O683)</f>
        <v/>
      </c>
      <c r="W683" s="34">
        <f>U683*V683</f>
        <v/>
      </c>
      <c r="X683" s="32">
        <f>T683/N683</f>
        <v/>
      </c>
      <c r="Y683" s="35">
        <f>IF(X683=MAXIFS(X$2:X$721, A$2:A$721, A683, B$2:B$721, B683), "OPTIMAL", "")</f>
        <v/>
      </c>
    </row>
    <row r="684" ht="20" customHeight="1">
      <c r="A684" s="21" t="n">
        <v>-18</v>
      </c>
      <c r="B684" s="21" t="n">
        <v>45</v>
      </c>
      <c r="C684" s="22" t="n">
        <v>120</v>
      </c>
      <c r="D684" s="22" t="n">
        <v>2</v>
      </c>
      <c r="E684" s="23" t="n">
        <v>0</v>
      </c>
      <c r="F684" s="22" t="n">
        <v>0</v>
      </c>
      <c r="G684" s="23" t="inlineStr">
        <is>
          <t>Non</t>
        </is>
      </c>
      <c r="H684" s="23" t="inlineStr">
        <is>
          <t>ON</t>
        </is>
      </c>
      <c r="I684" s="24" t="n">
        <v>885.2722778138215</v>
      </c>
      <c r="J684" s="24" t="n">
        <v>10520.73059103506</v>
      </c>
      <c r="K684" s="24" t="n">
        <v>5101.851851851852</v>
      </c>
      <c r="L684" s="24" t="n">
        <v>150</v>
      </c>
      <c r="M684" s="24">
        <f>I684+J684+K684+L684</f>
        <v/>
      </c>
      <c r="N684" s="24">
        <f>M684*Dashboard!$B$18/(Dashboard!$B$16/3.6)</f>
        <v/>
      </c>
      <c r="O684" s="24" t="n">
        <v>593.9363518517471</v>
      </c>
      <c r="P684" s="25" t="n">
        <v>0.4642282373490574</v>
      </c>
      <c r="Q684" s="26" t="n">
        <v>0.2</v>
      </c>
      <c r="R684" s="24" t="n">
        <v>639.1204497078968</v>
      </c>
      <c r="S684" s="24">
        <f>R684*IF(A684=4, 2.0, 3.0)</f>
        <v/>
      </c>
      <c r="T684" s="22">
        <f>8.0*U684</f>
        <v/>
      </c>
      <c r="U684" s="27">
        <f>MIN(1, S684/M684)</f>
        <v/>
      </c>
      <c r="V684" s="27">
        <f>N684/(N684+O684)</f>
        <v/>
      </c>
      <c r="W684" s="27">
        <f>U684*V684</f>
        <v/>
      </c>
      <c r="X684" s="25">
        <f>T684/N684</f>
        <v/>
      </c>
      <c r="Y684" s="28">
        <f>IF(X684=MAXIFS(X$2:X$721, A$2:A$721, A684, B$2:B$721, B684), "OPTIMAL", "")</f>
        <v/>
      </c>
    </row>
    <row r="685" ht="20" customHeight="1">
      <c r="A685" s="29" t="n">
        <v>-18</v>
      </c>
      <c r="B685" s="29" t="n">
        <v>45</v>
      </c>
      <c r="C685" s="30" t="n">
        <v>120</v>
      </c>
      <c r="D685" s="30" t="n">
        <v>2</v>
      </c>
      <c r="E685" s="6" t="n">
        <v>0</v>
      </c>
      <c r="F685" s="30" t="n">
        <v>0</v>
      </c>
      <c r="G685" s="6" t="inlineStr">
        <is>
          <t>Non</t>
        </is>
      </c>
      <c r="H685" s="6" t="inlineStr">
        <is>
          <t>OFF</t>
        </is>
      </c>
      <c r="I685" s="31" t="n">
        <v>885.2722778138215</v>
      </c>
      <c r="J685" s="31" t="n">
        <v>10520.73059103506</v>
      </c>
      <c r="K685" s="31" t="n">
        <v>5101.851851851852</v>
      </c>
      <c r="L685" s="31" t="n">
        <v>150</v>
      </c>
      <c r="M685" s="31">
        <f>I685+J685+K685+L685</f>
        <v/>
      </c>
      <c r="N685" s="31">
        <f>M685*Dashboard!$B$18/(Dashboard!$B$16/3.6)</f>
        <v/>
      </c>
      <c r="O685" s="31" t="n">
        <v>593.9363518517471</v>
      </c>
      <c r="P685" s="32" t="n">
        <v>0.7294864758355497</v>
      </c>
      <c r="Q685" s="33" t="n">
        <v>0.2</v>
      </c>
      <c r="R685" s="31" t="n">
        <v>406.7213987508101</v>
      </c>
      <c r="S685" s="31">
        <f>R685*IF(A685=4, 2.0, 3.0)</f>
        <v/>
      </c>
      <c r="T685" s="30">
        <f>8.0*U685</f>
        <v/>
      </c>
      <c r="U685" s="34">
        <f>MIN(1, S685/M685)</f>
        <v/>
      </c>
      <c r="V685" s="34">
        <f>N685/(N685+O685)</f>
        <v/>
      </c>
      <c r="W685" s="34">
        <f>U685*V685</f>
        <v/>
      </c>
      <c r="X685" s="32">
        <f>T685/N685</f>
        <v/>
      </c>
      <c r="Y685" s="35">
        <f>IF(X685=MAXIFS(X$2:X$721, A$2:A$721, A685, B$2:B$721, B685), "OPTIMAL", "")</f>
        <v/>
      </c>
    </row>
    <row r="686" ht="20" customHeight="1">
      <c r="A686" s="21" t="n">
        <v>-18</v>
      </c>
      <c r="B686" s="21" t="n">
        <v>45</v>
      </c>
      <c r="C686" s="22" t="n">
        <v>120</v>
      </c>
      <c r="D686" s="22" t="n">
        <v>2</v>
      </c>
      <c r="E686" s="23" t="n">
        <v>4</v>
      </c>
      <c r="F686" s="22" t="n">
        <v>1.5</v>
      </c>
      <c r="G686" s="23" t="inlineStr">
        <is>
          <t>Oui</t>
        </is>
      </c>
      <c r="H686" s="23" t="inlineStr">
        <is>
          <t>ON</t>
        </is>
      </c>
      <c r="I686" s="24" t="n">
        <v>885.2722778138215</v>
      </c>
      <c r="J686" s="24" t="n">
        <v>10520.73059103506</v>
      </c>
      <c r="K686" s="24" t="n">
        <v>5101.851851851852</v>
      </c>
      <c r="L686" s="24" t="n">
        <v>150</v>
      </c>
      <c r="M686" s="24">
        <f>I686+J686+K686+L686</f>
        <v/>
      </c>
      <c r="N686" s="24">
        <f>M686*Dashboard!$B$18/(Dashboard!$B$16/3.6)</f>
        <v/>
      </c>
      <c r="O686" s="24" t="n">
        <v>913.1096233382855</v>
      </c>
      <c r="P686" s="25" t="n">
        <v>0.06805759746267123</v>
      </c>
      <c r="Q686" s="26" t="n">
        <v>5.595023284726097</v>
      </c>
      <c r="R686" s="24" t="n">
        <v>4477.458947479527</v>
      </c>
      <c r="S686" s="24">
        <f>R686*IF(A686=4, 2.0, 3.0)</f>
        <v/>
      </c>
      <c r="T686" s="22">
        <f>8.0*U686</f>
        <v/>
      </c>
      <c r="U686" s="27">
        <f>MIN(1, S686/M686)</f>
        <v/>
      </c>
      <c r="V686" s="27">
        <f>N686/(N686+O686)</f>
        <v/>
      </c>
      <c r="W686" s="27">
        <f>U686*V686</f>
        <v/>
      </c>
      <c r="X686" s="25">
        <f>T686/N686</f>
        <v/>
      </c>
      <c r="Y686" s="28">
        <f>IF(X686=MAXIFS(X$2:X$721, A$2:A$721, A686, B$2:B$721, B686), "OPTIMAL", "")</f>
        <v/>
      </c>
    </row>
    <row r="687" ht="20" customHeight="1">
      <c r="A687" s="29" t="n">
        <v>-18</v>
      </c>
      <c r="B687" s="29" t="n">
        <v>45</v>
      </c>
      <c r="C687" s="30" t="n">
        <v>120</v>
      </c>
      <c r="D687" s="30" t="n">
        <v>2</v>
      </c>
      <c r="E687" s="6" t="n">
        <v>4</v>
      </c>
      <c r="F687" s="30" t="n">
        <v>1.5</v>
      </c>
      <c r="G687" s="6" t="inlineStr">
        <is>
          <t>Oui</t>
        </is>
      </c>
      <c r="H687" s="6" t="inlineStr">
        <is>
          <t>OFF</t>
        </is>
      </c>
      <c r="I687" s="31" t="n">
        <v>885.2722778138215</v>
      </c>
      <c r="J687" s="31" t="n">
        <v>10520.73059103506</v>
      </c>
      <c r="K687" s="31" t="n">
        <v>5101.851851851852</v>
      </c>
      <c r="L687" s="31" t="n">
        <v>150</v>
      </c>
      <c r="M687" s="31">
        <f>I687+J687+K687+L687</f>
        <v/>
      </c>
      <c r="N687" s="31">
        <f>M687*Dashboard!$B$18/(Dashboard!$B$16/3.6)</f>
        <v/>
      </c>
      <c r="O687" s="31" t="n">
        <v>913.1096233382855</v>
      </c>
      <c r="P687" s="32" t="n">
        <v>0.2717308104184109</v>
      </c>
      <c r="Q687" s="33" t="n">
        <v>5.595023284726097</v>
      </c>
      <c r="R687" s="31" t="n">
        <v>1121.422698566945</v>
      </c>
      <c r="S687" s="31">
        <f>R687*IF(A687=4, 2.0, 3.0)</f>
        <v/>
      </c>
      <c r="T687" s="30">
        <f>8.0*U687</f>
        <v/>
      </c>
      <c r="U687" s="34">
        <f>MIN(1, S687/M687)</f>
        <v/>
      </c>
      <c r="V687" s="34">
        <f>N687/(N687+O687)</f>
        <v/>
      </c>
      <c r="W687" s="34">
        <f>U687*V687</f>
        <v/>
      </c>
      <c r="X687" s="32">
        <f>T687/N687</f>
        <v/>
      </c>
      <c r="Y687" s="35">
        <f>IF(X687=MAXIFS(X$2:X$721, A$2:A$721, A687, B$2:B$721, B687), "OPTIMAL", "")</f>
        <v/>
      </c>
    </row>
    <row r="688" ht="20" customHeight="1">
      <c r="A688" s="21" t="n">
        <v>-18</v>
      </c>
      <c r="B688" s="21" t="n">
        <v>45</v>
      </c>
      <c r="C688" s="22" t="n">
        <v>120</v>
      </c>
      <c r="D688" s="22" t="n">
        <v>2</v>
      </c>
      <c r="E688" s="23" t="n">
        <v>4</v>
      </c>
      <c r="F688" s="22" t="n">
        <v>1.5</v>
      </c>
      <c r="G688" s="23" t="inlineStr">
        <is>
          <t>Non</t>
        </is>
      </c>
      <c r="H688" s="23" t="inlineStr">
        <is>
          <t>ON</t>
        </is>
      </c>
      <c r="I688" s="24" t="n">
        <v>885.2722778138215</v>
      </c>
      <c r="J688" s="24" t="n">
        <v>10520.73059103506</v>
      </c>
      <c r="K688" s="24" t="n">
        <v>5101.851851851852</v>
      </c>
      <c r="L688" s="24" t="n">
        <v>150</v>
      </c>
      <c r="M688" s="24">
        <f>I688+J688+K688+L688</f>
        <v/>
      </c>
      <c r="N688" s="24">
        <f>M688*Dashboard!$B$18/(Dashboard!$B$16/3.6)</f>
        <v/>
      </c>
      <c r="O688" s="24" t="n">
        <v>913.1096233382855</v>
      </c>
      <c r="P688" s="25" t="n">
        <v>0.0654050150778063</v>
      </c>
      <c r="Q688" s="26" t="n">
        <v>5.595023284726097</v>
      </c>
      <c r="R688" s="24" t="n">
        <v>4659.047908492857</v>
      </c>
      <c r="S688" s="24">
        <f>R688*IF(A688=4, 2.0, 3.0)</f>
        <v/>
      </c>
      <c r="T688" s="22">
        <f>8.0*U688</f>
        <v/>
      </c>
      <c r="U688" s="27">
        <f>MIN(1, S688/M688)</f>
        <v/>
      </c>
      <c r="V688" s="27">
        <f>N688/(N688+O688)</f>
        <v/>
      </c>
      <c r="W688" s="27">
        <f>U688*V688</f>
        <v/>
      </c>
      <c r="X688" s="25">
        <f>T688/N688</f>
        <v/>
      </c>
      <c r="Y688" s="28">
        <f>IF(X688=MAXIFS(X$2:X$721, A$2:A$721, A688, B$2:B$721, B688), "OPTIMAL", "")</f>
        <v/>
      </c>
    </row>
    <row r="689" ht="20" customHeight="1">
      <c r="A689" s="29" t="n">
        <v>-18</v>
      </c>
      <c r="B689" s="29" t="n">
        <v>45</v>
      </c>
      <c r="C689" s="30" t="n">
        <v>120</v>
      </c>
      <c r="D689" s="30" t="n">
        <v>2</v>
      </c>
      <c r="E689" s="6" t="n">
        <v>4</v>
      </c>
      <c r="F689" s="30" t="n">
        <v>1.5</v>
      </c>
      <c r="G689" s="6" t="inlineStr">
        <is>
          <t>Non</t>
        </is>
      </c>
      <c r="H689" s="6" t="inlineStr">
        <is>
          <t>OFF</t>
        </is>
      </c>
      <c r="I689" s="31" t="n">
        <v>885.2722778138215</v>
      </c>
      <c r="J689" s="31" t="n">
        <v>10520.73059103506</v>
      </c>
      <c r="K689" s="31" t="n">
        <v>5101.851851851852</v>
      </c>
      <c r="L689" s="31" t="n">
        <v>150</v>
      </c>
      <c r="M689" s="31">
        <f>I689+J689+K689+L689</f>
        <v/>
      </c>
      <c r="N689" s="31">
        <f>M689*Dashboard!$B$18/(Dashboard!$B$16/3.6)</f>
        <v/>
      </c>
      <c r="O689" s="31" t="n">
        <v>913.1096233382855</v>
      </c>
      <c r="P689" s="32" t="n">
        <v>0.2690782280335459</v>
      </c>
      <c r="Q689" s="33" t="n">
        <v>5.595023284726097</v>
      </c>
      <c r="R689" s="31" t="n">
        <v>1132.477721925563</v>
      </c>
      <c r="S689" s="31">
        <f>R689*IF(A689=4, 2.0, 3.0)</f>
        <v/>
      </c>
      <c r="T689" s="30">
        <f>8.0*U689</f>
        <v/>
      </c>
      <c r="U689" s="34">
        <f>MIN(1, S689/M689)</f>
        <v/>
      </c>
      <c r="V689" s="34">
        <f>N689/(N689+O689)</f>
        <v/>
      </c>
      <c r="W689" s="34">
        <f>U689*V689</f>
        <v/>
      </c>
      <c r="X689" s="32">
        <f>T689/N689</f>
        <v/>
      </c>
      <c r="Y689" s="35">
        <f>IF(X689=MAXIFS(X$2:X$721, A$2:A$721, A689, B$2:B$721, B689), "OPTIMAL", "")</f>
        <v/>
      </c>
    </row>
    <row r="690" ht="20" customHeight="1">
      <c r="A690" s="21" t="n">
        <v>-18</v>
      </c>
      <c r="B690" s="21" t="n">
        <v>45</v>
      </c>
      <c r="C690" s="22" t="n">
        <v>120</v>
      </c>
      <c r="D690" s="22" t="n">
        <v>2</v>
      </c>
      <c r="E690" s="23" t="n">
        <v>4</v>
      </c>
      <c r="F690" s="22" t="n">
        <v>2</v>
      </c>
      <c r="G690" s="23" t="inlineStr">
        <is>
          <t>Oui</t>
        </is>
      </c>
      <c r="H690" s="23" t="inlineStr">
        <is>
          <t>ON</t>
        </is>
      </c>
      <c r="I690" s="24" t="n">
        <v>885.2722778138215</v>
      </c>
      <c r="J690" s="24" t="n">
        <v>10520.73059103506</v>
      </c>
      <c r="K690" s="24" t="n">
        <v>5101.851851851852</v>
      </c>
      <c r="L690" s="24" t="n">
        <v>150</v>
      </c>
      <c r="M690" s="24">
        <f>I690+J690+K690+L690</f>
        <v/>
      </c>
      <c r="N690" s="24">
        <f>M690*Dashboard!$B$18/(Dashboard!$B$16/3.6)</f>
        <v/>
      </c>
      <c r="O690" s="24" t="n">
        <v>1023.373609489748</v>
      </c>
      <c r="P690" s="25" t="n">
        <v>0.06474901627983365</v>
      </c>
      <c r="Q690" s="26" t="n">
        <v>7.393364379634797</v>
      </c>
      <c r="R690" s="24" t="n">
        <v>4749.080386302877</v>
      </c>
      <c r="S690" s="24">
        <f>R690*IF(A690=4, 2.0, 3.0)</f>
        <v/>
      </c>
      <c r="T690" s="22">
        <f>8.0*U690</f>
        <v/>
      </c>
      <c r="U690" s="27">
        <f>MIN(1, S690/M690)</f>
        <v/>
      </c>
      <c r="V690" s="27">
        <f>N690/(N690+O690)</f>
        <v/>
      </c>
      <c r="W690" s="27">
        <f>U690*V690</f>
        <v/>
      </c>
      <c r="X690" s="25">
        <f>T690/N690</f>
        <v/>
      </c>
      <c r="Y690" s="28">
        <f>IF(X690=MAXIFS(X$2:X$721, A$2:A$721, A690, B$2:B$721, B690), "OPTIMAL", "")</f>
        <v/>
      </c>
    </row>
    <row r="691" ht="20" customHeight="1">
      <c r="A691" s="29" t="n">
        <v>-18</v>
      </c>
      <c r="B691" s="29" t="n">
        <v>45</v>
      </c>
      <c r="C691" s="30" t="n">
        <v>120</v>
      </c>
      <c r="D691" s="30" t="n">
        <v>2</v>
      </c>
      <c r="E691" s="6" t="n">
        <v>4</v>
      </c>
      <c r="F691" s="30" t="n">
        <v>2</v>
      </c>
      <c r="G691" s="6" t="inlineStr">
        <is>
          <t>Oui</t>
        </is>
      </c>
      <c r="H691" s="6" t="inlineStr">
        <is>
          <t>OFF</t>
        </is>
      </c>
      <c r="I691" s="31" t="n">
        <v>885.2722778138215</v>
      </c>
      <c r="J691" s="31" t="n">
        <v>10520.73059103506</v>
      </c>
      <c r="K691" s="31" t="n">
        <v>5101.851851851852</v>
      </c>
      <c r="L691" s="31" t="n">
        <v>150</v>
      </c>
      <c r="M691" s="31">
        <f>I691+J691+K691+L691</f>
        <v/>
      </c>
      <c r="N691" s="31">
        <f>M691*Dashboard!$B$18/(Dashboard!$B$16/3.6)</f>
        <v/>
      </c>
      <c r="O691" s="31" t="n">
        <v>1023.373609489748</v>
      </c>
      <c r="P691" s="32" t="n">
        <v>0.269253725510994</v>
      </c>
      <c r="Q691" s="33" t="n">
        <v>7.393364379634797</v>
      </c>
      <c r="R691" s="31" t="n">
        <v>1142.039103315612</v>
      </c>
      <c r="S691" s="31">
        <f>R691*IF(A691=4, 2.0, 3.0)</f>
        <v/>
      </c>
      <c r="T691" s="30">
        <f>8.0*U691</f>
        <v/>
      </c>
      <c r="U691" s="34">
        <f>MIN(1, S691/M691)</f>
        <v/>
      </c>
      <c r="V691" s="34">
        <f>N691/(N691+O691)</f>
        <v/>
      </c>
      <c r="W691" s="34">
        <f>U691*V691</f>
        <v/>
      </c>
      <c r="X691" s="32">
        <f>T691/N691</f>
        <v/>
      </c>
      <c r="Y691" s="35">
        <f>IF(X691=MAXIFS(X$2:X$721, A$2:A$721, A691, B$2:B$721, B691), "OPTIMAL", "")</f>
        <v/>
      </c>
    </row>
    <row r="692" ht="20" customHeight="1">
      <c r="A692" s="21" t="n">
        <v>-18</v>
      </c>
      <c r="B692" s="21" t="n">
        <v>45</v>
      </c>
      <c r="C692" s="22" t="n">
        <v>120</v>
      </c>
      <c r="D692" s="22" t="n">
        <v>2</v>
      </c>
      <c r="E692" s="23" t="n">
        <v>4</v>
      </c>
      <c r="F692" s="22" t="n">
        <v>2</v>
      </c>
      <c r="G692" s="23" t="inlineStr">
        <is>
          <t>Non</t>
        </is>
      </c>
      <c r="H692" s="23" t="inlineStr">
        <is>
          <t>ON</t>
        </is>
      </c>
      <c r="I692" s="24" t="n">
        <v>885.2722778138215</v>
      </c>
      <c r="J692" s="24" t="n">
        <v>10520.73059103506</v>
      </c>
      <c r="K692" s="24" t="n">
        <v>5101.851851851852</v>
      </c>
      <c r="L692" s="24" t="n">
        <v>150</v>
      </c>
      <c r="M692" s="24">
        <f>I692+J692+K692+L692</f>
        <v/>
      </c>
      <c r="N692" s="24">
        <f>M692*Dashboard!$B$18/(Dashboard!$B$16/3.6)</f>
        <v/>
      </c>
      <c r="O692" s="24" t="n">
        <v>1023.373609489748</v>
      </c>
      <c r="P692" s="25" t="n">
        <v>0.06209643389496873</v>
      </c>
      <c r="Q692" s="26" t="n">
        <v>7.393364379634797</v>
      </c>
      <c r="R692" s="24" t="n">
        <v>4951.947542866519</v>
      </c>
      <c r="S692" s="24">
        <f>R692*IF(A692=4, 2.0, 3.0)</f>
        <v/>
      </c>
      <c r="T692" s="22">
        <f>8.0*U692</f>
        <v/>
      </c>
      <c r="U692" s="27">
        <f>MIN(1, S692/M692)</f>
        <v/>
      </c>
      <c r="V692" s="27">
        <f>N692/(N692+O692)</f>
        <v/>
      </c>
      <c r="W692" s="27">
        <f>U692*V692</f>
        <v/>
      </c>
      <c r="X692" s="25">
        <f>T692/N692</f>
        <v/>
      </c>
      <c r="Y692" s="28">
        <f>IF(X692=MAXIFS(X$2:X$721, A$2:A$721, A692, B$2:B$721, B692), "OPTIMAL", "")</f>
        <v/>
      </c>
    </row>
    <row r="693" ht="20" customHeight="1">
      <c r="A693" s="29" t="n">
        <v>-18</v>
      </c>
      <c r="B693" s="29" t="n">
        <v>45</v>
      </c>
      <c r="C693" s="30" t="n">
        <v>120</v>
      </c>
      <c r="D693" s="30" t="n">
        <v>2</v>
      </c>
      <c r="E693" s="6" t="n">
        <v>4</v>
      </c>
      <c r="F693" s="30" t="n">
        <v>2</v>
      </c>
      <c r="G693" s="6" t="inlineStr">
        <is>
          <t>Non</t>
        </is>
      </c>
      <c r="H693" s="6" t="inlineStr">
        <is>
          <t>OFF</t>
        </is>
      </c>
      <c r="I693" s="31" t="n">
        <v>885.2722778138215</v>
      </c>
      <c r="J693" s="31" t="n">
        <v>10520.73059103506</v>
      </c>
      <c r="K693" s="31" t="n">
        <v>5101.851851851852</v>
      </c>
      <c r="L693" s="31" t="n">
        <v>150</v>
      </c>
      <c r="M693" s="31">
        <f>I693+J693+K693+L693</f>
        <v/>
      </c>
      <c r="N693" s="31">
        <f>M693*Dashboard!$B$18/(Dashboard!$B$16/3.6)</f>
        <v/>
      </c>
      <c r="O693" s="31" t="n">
        <v>1023.373609489748</v>
      </c>
      <c r="P693" s="32" t="n">
        <v>0.2666011431261291</v>
      </c>
      <c r="Q693" s="33" t="n">
        <v>7.393364379634797</v>
      </c>
      <c r="R693" s="31" t="n">
        <v>1153.401968353474</v>
      </c>
      <c r="S693" s="31">
        <f>R693*IF(A693=4, 2.0, 3.0)</f>
        <v/>
      </c>
      <c r="T693" s="30">
        <f>8.0*U693</f>
        <v/>
      </c>
      <c r="U693" s="34">
        <f>MIN(1, S693/M693)</f>
        <v/>
      </c>
      <c r="V693" s="34">
        <f>N693/(N693+O693)</f>
        <v/>
      </c>
      <c r="W693" s="34">
        <f>U693*V693</f>
        <v/>
      </c>
      <c r="X693" s="32">
        <f>T693/N693</f>
        <v/>
      </c>
      <c r="Y693" s="35">
        <f>IF(X693=MAXIFS(X$2:X$721, A$2:A$721, A693, B$2:B$721, B693), "OPTIMAL", "")</f>
        <v/>
      </c>
    </row>
    <row r="694" ht="20" customHeight="1">
      <c r="A694" s="36" t="n">
        <v>-18</v>
      </c>
      <c r="B694" s="36" t="n">
        <v>45</v>
      </c>
      <c r="C694" s="37" t="n">
        <v>120</v>
      </c>
      <c r="D694" s="37" t="n">
        <v>2</v>
      </c>
      <c r="E694" s="38" t="n">
        <v>8</v>
      </c>
      <c r="F694" s="37" t="n">
        <v>1.5</v>
      </c>
      <c r="G694" s="38" t="inlineStr">
        <is>
          <t>Oui</t>
        </is>
      </c>
      <c r="H694" s="38" t="inlineStr">
        <is>
          <t>ON</t>
        </is>
      </c>
      <c r="I694" s="39" t="n">
        <v>885.2722778138215</v>
      </c>
      <c r="J694" s="39" t="n">
        <v>10520.73059103506</v>
      </c>
      <c r="K694" s="39" t="n">
        <v>5101.851851851852</v>
      </c>
      <c r="L694" s="39" t="n">
        <v>150</v>
      </c>
      <c r="M694" s="39">
        <f>I694+J694+K694+L694</f>
        <v/>
      </c>
      <c r="N694" s="39">
        <f>M694*Dashboard!$B$18/(Dashboard!$B$16/3.6)</f>
        <v/>
      </c>
      <c r="O694" s="39" t="n">
        <v>1250.034017394404</v>
      </c>
      <c r="P694" s="40" t="n">
        <v>0.05155761606859751</v>
      </c>
      <c r="Q694" s="41" t="n">
        <v>10.9900465694522</v>
      </c>
      <c r="R694" s="39" t="n">
        <v>6074.735596621237</v>
      </c>
      <c r="S694" s="39">
        <f>R694*IF(A694=4, 2.0, 3.0)</f>
        <v/>
      </c>
      <c r="T694" s="37">
        <f>8.0*U694</f>
        <v/>
      </c>
      <c r="U694" s="42">
        <f>MIN(1, S694/M694)</f>
        <v/>
      </c>
      <c r="V694" s="42">
        <f>N694/(N694+O694)</f>
        <v/>
      </c>
      <c r="W694" s="42">
        <f>U694*V694</f>
        <v/>
      </c>
      <c r="X694" s="40">
        <f>T694/N694</f>
        <v/>
      </c>
      <c r="Y694" s="15">
        <f>IF(X694=MAXIFS(X$2:X$721, A$2:A$721, A694, B$2:B$721, B694), "OPTIMAL", "")</f>
        <v/>
      </c>
    </row>
    <row r="695" ht="20" customHeight="1">
      <c r="A695" s="29" t="n">
        <v>-18</v>
      </c>
      <c r="B695" s="29" t="n">
        <v>45</v>
      </c>
      <c r="C695" s="30" t="n">
        <v>120</v>
      </c>
      <c r="D695" s="30" t="n">
        <v>2</v>
      </c>
      <c r="E695" s="6" t="n">
        <v>8</v>
      </c>
      <c r="F695" s="30" t="n">
        <v>1.5</v>
      </c>
      <c r="G695" s="6" t="inlineStr">
        <is>
          <t>Oui</t>
        </is>
      </c>
      <c r="H695" s="6" t="inlineStr">
        <is>
          <t>OFF</t>
        </is>
      </c>
      <c r="I695" s="31" t="n">
        <v>885.2722778138215</v>
      </c>
      <c r="J695" s="31" t="n">
        <v>10520.73059103506</v>
      </c>
      <c r="K695" s="31" t="n">
        <v>5101.851851851852</v>
      </c>
      <c r="L695" s="31" t="n">
        <v>150</v>
      </c>
      <c r="M695" s="31">
        <f>I695+J695+K695+L695</f>
        <v/>
      </c>
      <c r="N695" s="31">
        <f>M695*Dashboard!$B$18/(Dashboard!$B$16/3.6)</f>
        <v/>
      </c>
      <c r="O695" s="31" t="n">
        <v>1250.034017394404</v>
      </c>
      <c r="P695" s="32" t="n">
        <v>0.216853233443705</v>
      </c>
      <c r="Q695" s="33" t="n">
        <v>10.9900465694522</v>
      </c>
      <c r="R695" s="31" t="n">
        <v>1444.289672951299</v>
      </c>
      <c r="S695" s="31">
        <f>R695*IF(A695=4, 2.0, 3.0)</f>
        <v/>
      </c>
      <c r="T695" s="30">
        <f>8.0*U695</f>
        <v/>
      </c>
      <c r="U695" s="34">
        <f>MIN(1, S695/M695)</f>
        <v/>
      </c>
      <c r="V695" s="34">
        <f>N695/(N695+O695)</f>
        <v/>
      </c>
      <c r="W695" s="34">
        <f>U695*V695</f>
        <v/>
      </c>
      <c r="X695" s="32">
        <f>T695/N695</f>
        <v/>
      </c>
      <c r="Y695" s="35">
        <f>IF(X695=MAXIFS(X$2:X$721, A$2:A$721, A695, B$2:B$721, B695), "OPTIMAL", "")</f>
        <v/>
      </c>
    </row>
    <row r="696" ht="20" customHeight="1">
      <c r="A696" s="36" t="n">
        <v>-18</v>
      </c>
      <c r="B696" s="36" t="n">
        <v>45</v>
      </c>
      <c r="C696" s="37" t="n">
        <v>120</v>
      </c>
      <c r="D696" s="37" t="n">
        <v>2</v>
      </c>
      <c r="E696" s="38" t="n">
        <v>8</v>
      </c>
      <c r="F696" s="37" t="n">
        <v>1.5</v>
      </c>
      <c r="G696" s="38" t="inlineStr">
        <is>
          <t>Non</t>
        </is>
      </c>
      <c r="H696" s="38" t="inlineStr">
        <is>
          <t>ON</t>
        </is>
      </c>
      <c r="I696" s="39" t="n">
        <v>885.2722778138215</v>
      </c>
      <c r="J696" s="39" t="n">
        <v>10520.73059103506</v>
      </c>
      <c r="K696" s="39" t="n">
        <v>5101.851851851852</v>
      </c>
      <c r="L696" s="39" t="n">
        <v>150</v>
      </c>
      <c r="M696" s="39">
        <f>I696+J696+K696+L696</f>
        <v/>
      </c>
      <c r="N696" s="39">
        <f>M696*Dashboard!$B$18/(Dashboard!$B$16/3.6)</f>
        <v/>
      </c>
      <c r="O696" s="39" t="n">
        <v>1250.034017394404</v>
      </c>
      <c r="P696" s="40" t="n">
        <v>0.04890503368373258</v>
      </c>
      <c r="Q696" s="41" t="n">
        <v>10.9900465694522</v>
      </c>
      <c r="R696" s="39" t="n">
        <v>6404.225946030185</v>
      </c>
      <c r="S696" s="39">
        <f>R696*IF(A696=4, 2.0, 3.0)</f>
        <v/>
      </c>
      <c r="T696" s="37">
        <f>8.0*U696</f>
        <v/>
      </c>
      <c r="U696" s="42">
        <f>MIN(1, S696/M696)</f>
        <v/>
      </c>
      <c r="V696" s="42">
        <f>N696/(N696+O696)</f>
        <v/>
      </c>
      <c r="W696" s="42">
        <f>U696*V696</f>
        <v/>
      </c>
      <c r="X696" s="40">
        <f>T696/N696</f>
        <v/>
      </c>
      <c r="Y696" s="15">
        <f>IF(X696=MAXIFS(X$2:X$721, A$2:A$721, A696, B$2:B$721, B696), "OPTIMAL", "")</f>
        <v/>
      </c>
    </row>
    <row r="697" ht="20" customHeight="1">
      <c r="A697" s="29" t="n">
        <v>-18</v>
      </c>
      <c r="B697" s="29" t="n">
        <v>45</v>
      </c>
      <c r="C697" s="30" t="n">
        <v>120</v>
      </c>
      <c r="D697" s="30" t="n">
        <v>2</v>
      </c>
      <c r="E697" s="6" t="n">
        <v>8</v>
      </c>
      <c r="F697" s="30" t="n">
        <v>1.5</v>
      </c>
      <c r="G697" s="6" t="inlineStr">
        <is>
          <t>Non</t>
        </is>
      </c>
      <c r="H697" s="6" t="inlineStr">
        <is>
          <t>OFF</t>
        </is>
      </c>
      <c r="I697" s="31" t="n">
        <v>885.2722778138215</v>
      </c>
      <c r="J697" s="31" t="n">
        <v>10520.73059103506</v>
      </c>
      <c r="K697" s="31" t="n">
        <v>5101.851851851852</v>
      </c>
      <c r="L697" s="31" t="n">
        <v>150</v>
      </c>
      <c r="M697" s="31">
        <f>I697+J697+K697+L697</f>
        <v/>
      </c>
      <c r="N697" s="31">
        <f>M697*Dashboard!$B$18/(Dashboard!$B$16/3.6)</f>
        <v/>
      </c>
      <c r="O697" s="31" t="n">
        <v>1250.034017394404</v>
      </c>
      <c r="P697" s="32" t="n">
        <v>0.2142006510588401</v>
      </c>
      <c r="Q697" s="33" t="n">
        <v>10.9900465694522</v>
      </c>
      <c r="R697" s="31" t="n">
        <v>1462.175227108931</v>
      </c>
      <c r="S697" s="31">
        <f>R697*IF(A697=4, 2.0, 3.0)</f>
        <v/>
      </c>
      <c r="T697" s="30">
        <f>8.0*U697</f>
        <v/>
      </c>
      <c r="U697" s="34">
        <f>MIN(1, S697/M697)</f>
        <v/>
      </c>
      <c r="V697" s="34">
        <f>N697/(N697+O697)</f>
        <v/>
      </c>
      <c r="W697" s="34">
        <f>U697*V697</f>
        <v/>
      </c>
      <c r="X697" s="32">
        <f>T697/N697</f>
        <v/>
      </c>
      <c r="Y697" s="35">
        <f>IF(X697=MAXIFS(X$2:X$721, A$2:A$721, A697, B$2:B$721, B697), "OPTIMAL", "")</f>
        <v/>
      </c>
    </row>
    <row r="698" ht="20" customHeight="1">
      <c r="A698" s="36" t="n">
        <v>-18</v>
      </c>
      <c r="B698" s="36" t="n">
        <v>45</v>
      </c>
      <c r="C698" s="37" t="n">
        <v>120</v>
      </c>
      <c r="D698" s="37" t="n">
        <v>2</v>
      </c>
      <c r="E698" s="38" t="n">
        <v>8</v>
      </c>
      <c r="F698" s="37" t="n">
        <v>2</v>
      </c>
      <c r="G698" s="38" t="inlineStr">
        <is>
          <t>Oui</t>
        </is>
      </c>
      <c r="H698" s="38" t="inlineStr">
        <is>
          <t>ON</t>
        </is>
      </c>
      <c r="I698" s="39" t="n">
        <v>885.2722778138215</v>
      </c>
      <c r="J698" s="39" t="n">
        <v>10520.73059103506</v>
      </c>
      <c r="K698" s="39" t="n">
        <v>5101.851851851852</v>
      </c>
      <c r="L698" s="39" t="n">
        <v>150</v>
      </c>
      <c r="M698" s="39">
        <f>I698+J698+K698+L698</f>
        <v/>
      </c>
      <c r="N698" s="39">
        <f>M698*Dashboard!$B$18/(Dashboard!$B$16/3.6)</f>
        <v/>
      </c>
      <c r="O698" s="39" t="n">
        <v>1485.25712102857</v>
      </c>
      <c r="P698" s="40" t="n">
        <v>0.04997260972227939</v>
      </c>
      <c r="Q698" s="41" t="n">
        <v>14.58672875926959</v>
      </c>
      <c r="R698" s="39" t="n">
        <v>6385.795039702665</v>
      </c>
      <c r="S698" s="39">
        <f>R698*IF(A698=4, 2.0, 3.0)</f>
        <v/>
      </c>
      <c r="T698" s="37">
        <f>8.0*U698</f>
        <v/>
      </c>
      <c r="U698" s="42">
        <f>MIN(1, S698/M698)</f>
        <v/>
      </c>
      <c r="V698" s="42">
        <f>N698/(N698+O698)</f>
        <v/>
      </c>
      <c r="W698" s="42">
        <f>U698*V698</f>
        <v/>
      </c>
      <c r="X698" s="40">
        <f>T698/N698</f>
        <v/>
      </c>
      <c r="Y698" s="15">
        <f>IF(X698=MAXIFS(X$2:X$721, A$2:A$721, A698, B$2:B$721, B698), "OPTIMAL", "")</f>
        <v/>
      </c>
    </row>
    <row r="699" ht="20" customHeight="1">
      <c r="A699" s="29" t="n">
        <v>-18</v>
      </c>
      <c r="B699" s="29" t="n">
        <v>45</v>
      </c>
      <c r="C699" s="30" t="n">
        <v>120</v>
      </c>
      <c r="D699" s="30" t="n">
        <v>2</v>
      </c>
      <c r="E699" s="6" t="n">
        <v>8</v>
      </c>
      <c r="F699" s="30" t="n">
        <v>2</v>
      </c>
      <c r="G699" s="6" t="inlineStr">
        <is>
          <t>Oui</t>
        </is>
      </c>
      <c r="H699" s="6" t="inlineStr">
        <is>
          <t>OFF</t>
        </is>
      </c>
      <c r="I699" s="31" t="n">
        <v>885.2722778138215</v>
      </c>
      <c r="J699" s="31" t="n">
        <v>10520.73059103506</v>
      </c>
      <c r="K699" s="31" t="n">
        <v>5101.851851851852</v>
      </c>
      <c r="L699" s="31" t="n">
        <v>150</v>
      </c>
      <c r="M699" s="31">
        <f>I699+J699+K699+L699</f>
        <v/>
      </c>
      <c r="N699" s="31">
        <f>M699*Dashboard!$B$18/(Dashboard!$B$16/3.6)</f>
        <v/>
      </c>
      <c r="O699" s="31" t="n">
        <v>1485.25712102857</v>
      </c>
      <c r="P699" s="32" t="n">
        <v>0.2163666659525478</v>
      </c>
      <c r="Q699" s="33" t="n">
        <v>14.58672875926959</v>
      </c>
      <c r="R699" s="31" t="n">
        <v>1474.87988448052</v>
      </c>
      <c r="S699" s="31">
        <f>R699*IF(A699=4, 2.0, 3.0)</f>
        <v/>
      </c>
      <c r="T699" s="30">
        <f>8.0*U699</f>
        <v/>
      </c>
      <c r="U699" s="34">
        <f>MIN(1, S699/M699)</f>
        <v/>
      </c>
      <c r="V699" s="34">
        <f>N699/(N699+O699)</f>
        <v/>
      </c>
      <c r="W699" s="34">
        <f>U699*V699</f>
        <v/>
      </c>
      <c r="X699" s="32">
        <f>T699/N699</f>
        <v/>
      </c>
      <c r="Y699" s="35">
        <f>IF(X699=MAXIFS(X$2:X$721, A$2:A$721, A699, B$2:B$721, B699), "OPTIMAL", "")</f>
        <v/>
      </c>
    </row>
    <row r="700" ht="20" customHeight="1">
      <c r="A700" s="36" t="n">
        <v>-18</v>
      </c>
      <c r="B700" s="36" t="n">
        <v>45</v>
      </c>
      <c r="C700" s="37" t="n">
        <v>120</v>
      </c>
      <c r="D700" s="37" t="n">
        <v>2</v>
      </c>
      <c r="E700" s="38" t="n">
        <v>8</v>
      </c>
      <c r="F700" s="37" t="n">
        <v>2</v>
      </c>
      <c r="G700" s="38" t="inlineStr">
        <is>
          <t>Non</t>
        </is>
      </c>
      <c r="H700" s="38" t="inlineStr">
        <is>
          <t>ON</t>
        </is>
      </c>
      <c r="I700" s="39" t="n">
        <v>885.2722778138215</v>
      </c>
      <c r="J700" s="39" t="n">
        <v>10520.73059103506</v>
      </c>
      <c r="K700" s="39" t="n">
        <v>5101.851851851852</v>
      </c>
      <c r="L700" s="39" t="n">
        <v>150</v>
      </c>
      <c r="M700" s="39">
        <f>I700+J700+K700+L700</f>
        <v/>
      </c>
      <c r="N700" s="39">
        <f>M700*Dashboard!$B$18/(Dashboard!$B$16/3.6)</f>
        <v/>
      </c>
      <c r="O700" s="39" t="n">
        <v>1485.25712102857</v>
      </c>
      <c r="P700" s="40" t="n">
        <v>0.04732002733741447</v>
      </c>
      <c r="Q700" s="41" t="n">
        <v>14.58672875926959</v>
      </c>
      <c r="R700" s="39" t="n">
        <v>6743.758641771004</v>
      </c>
      <c r="S700" s="39">
        <f>R700*IF(A700=4, 2.0, 3.0)</f>
        <v/>
      </c>
      <c r="T700" s="37">
        <f>8.0*U700</f>
        <v/>
      </c>
      <c r="U700" s="42">
        <f>MIN(1, S700/M700)</f>
        <v/>
      </c>
      <c r="V700" s="42">
        <f>N700/(N700+O700)</f>
        <v/>
      </c>
      <c r="W700" s="42">
        <f>U700*V700</f>
        <v/>
      </c>
      <c r="X700" s="40">
        <f>T700/N700</f>
        <v/>
      </c>
      <c r="Y700" s="15">
        <f>IF(X700=MAXIFS(X$2:X$721, A$2:A$721, A700, B$2:B$721, B700), "OPTIMAL", "")</f>
        <v/>
      </c>
    </row>
    <row r="701" ht="20" customHeight="1">
      <c r="A701" s="29" t="n">
        <v>-18</v>
      </c>
      <c r="B701" s="29" t="n">
        <v>45</v>
      </c>
      <c r="C701" s="30" t="n">
        <v>120</v>
      </c>
      <c r="D701" s="30" t="n">
        <v>2</v>
      </c>
      <c r="E701" s="6" t="n">
        <v>8</v>
      </c>
      <c r="F701" s="30" t="n">
        <v>2</v>
      </c>
      <c r="G701" s="6" t="inlineStr">
        <is>
          <t>Non</t>
        </is>
      </c>
      <c r="H701" s="6" t="inlineStr">
        <is>
          <t>OFF</t>
        </is>
      </c>
      <c r="I701" s="31" t="n">
        <v>885.2722778138215</v>
      </c>
      <c r="J701" s="31" t="n">
        <v>10520.73059103506</v>
      </c>
      <c r="K701" s="31" t="n">
        <v>5101.851851851852</v>
      </c>
      <c r="L701" s="31" t="n">
        <v>150</v>
      </c>
      <c r="M701" s="31">
        <f>I701+J701+K701+L701</f>
        <v/>
      </c>
      <c r="N701" s="31">
        <f>M701*Dashboard!$B$18/(Dashboard!$B$16/3.6)</f>
        <v/>
      </c>
      <c r="O701" s="31" t="n">
        <v>1485.25712102857</v>
      </c>
      <c r="P701" s="32" t="n">
        <v>0.2137140835676829</v>
      </c>
      <c r="Q701" s="33" t="n">
        <v>14.58672875926959</v>
      </c>
      <c r="R701" s="31" t="n">
        <v>1493.185839502551</v>
      </c>
      <c r="S701" s="31">
        <f>R701*IF(A701=4, 2.0, 3.0)</f>
        <v/>
      </c>
      <c r="T701" s="30">
        <f>8.0*U701</f>
        <v/>
      </c>
      <c r="U701" s="34">
        <f>MIN(1, S701/M701)</f>
        <v/>
      </c>
      <c r="V701" s="34">
        <f>N701/(N701+O701)</f>
        <v/>
      </c>
      <c r="W701" s="34">
        <f>U701*V701</f>
        <v/>
      </c>
      <c r="X701" s="32">
        <f>T701/N701</f>
        <v/>
      </c>
      <c r="Y701" s="35">
        <f>IF(X701=MAXIFS(X$2:X$721, A$2:A$721, A701, B$2:B$721, B701), "OPTIMAL", "")</f>
        <v/>
      </c>
    </row>
    <row r="702" ht="20" customHeight="1">
      <c r="A702" s="21" t="n">
        <v>-18</v>
      </c>
      <c r="B702" s="21" t="n">
        <v>45</v>
      </c>
      <c r="C702" s="22" t="n">
        <v>120</v>
      </c>
      <c r="D702" s="22" t="n">
        <v>3</v>
      </c>
      <c r="E702" s="23" t="n">
        <v>0</v>
      </c>
      <c r="F702" s="22" t="n">
        <v>0</v>
      </c>
      <c r="G702" s="23" t="inlineStr">
        <is>
          <t>Oui</t>
        </is>
      </c>
      <c r="H702" s="23" t="inlineStr">
        <is>
          <t>ON</t>
        </is>
      </c>
      <c r="I702" s="24" t="n">
        <v>885.2722778138215</v>
      </c>
      <c r="J702" s="24" t="n">
        <v>10520.73059103506</v>
      </c>
      <c r="K702" s="24" t="n">
        <v>5101.851851851852</v>
      </c>
      <c r="L702" s="24" t="n">
        <v>150</v>
      </c>
      <c r="M702" s="24">
        <f>I702+J702+K702+L702</f>
        <v/>
      </c>
      <c r="N702" s="24">
        <f>M702*Dashboard!$B$18/(Dashboard!$B$16/3.6)</f>
        <v/>
      </c>
      <c r="O702" s="24" t="n">
        <v>914.6212688100585</v>
      </c>
      <c r="P702" s="25" t="n">
        <v>0.4668943220842715</v>
      </c>
      <c r="Q702" s="26" t="n">
        <v>0.2</v>
      </c>
      <c r="R702" s="24" t="n">
        <v>657.9637248105299</v>
      </c>
      <c r="S702" s="24">
        <f>R702*IF(A702=4, 2.0, 3.0)</f>
        <v/>
      </c>
      <c r="T702" s="22">
        <f>8.0*U702</f>
        <v/>
      </c>
      <c r="U702" s="27">
        <f>MIN(1, S702/M702)</f>
        <v/>
      </c>
      <c r="V702" s="27">
        <f>N702/(N702+O702)</f>
        <v/>
      </c>
      <c r="W702" s="27">
        <f>U702*V702</f>
        <v/>
      </c>
      <c r="X702" s="25">
        <f>T702/N702</f>
        <v/>
      </c>
      <c r="Y702" s="28">
        <f>IF(X702=MAXIFS(X$2:X$721, A$2:A$721, A702, B$2:B$721, B702), "OPTIMAL", "")</f>
        <v/>
      </c>
    </row>
    <row r="703" ht="20" customHeight="1">
      <c r="A703" s="29" t="n">
        <v>-18</v>
      </c>
      <c r="B703" s="29" t="n">
        <v>45</v>
      </c>
      <c r="C703" s="30" t="n">
        <v>120</v>
      </c>
      <c r="D703" s="30" t="n">
        <v>3</v>
      </c>
      <c r="E703" s="6" t="n">
        <v>0</v>
      </c>
      <c r="F703" s="30" t="n">
        <v>0</v>
      </c>
      <c r="G703" s="6" t="inlineStr">
        <is>
          <t>Oui</t>
        </is>
      </c>
      <c r="H703" s="6" t="inlineStr">
        <is>
          <t>OFF</t>
        </is>
      </c>
      <c r="I703" s="31" t="n">
        <v>885.2722778138215</v>
      </c>
      <c r="J703" s="31" t="n">
        <v>10520.73059103506</v>
      </c>
      <c r="K703" s="31" t="n">
        <v>5101.851851851852</v>
      </c>
      <c r="L703" s="31" t="n">
        <v>150</v>
      </c>
      <c r="M703" s="31">
        <f>I703+J703+K703+L703</f>
        <v/>
      </c>
      <c r="N703" s="31">
        <f>M703*Dashboard!$B$18/(Dashboard!$B$16/3.6)</f>
        <v/>
      </c>
      <c r="O703" s="31" t="n">
        <v>914.6212688100585</v>
      </c>
      <c r="P703" s="32" t="n">
        <v>0.7321525605707637</v>
      </c>
      <c r="Q703" s="33" t="n">
        <v>0.2</v>
      </c>
      <c r="R703" s="31" t="n">
        <v>419.5840372558025</v>
      </c>
      <c r="S703" s="31">
        <f>R703*IF(A703=4, 2.0, 3.0)</f>
        <v/>
      </c>
      <c r="T703" s="30">
        <f>8.0*U703</f>
        <v/>
      </c>
      <c r="U703" s="34">
        <f>MIN(1, S703/M703)</f>
        <v/>
      </c>
      <c r="V703" s="34">
        <f>N703/(N703+O703)</f>
        <v/>
      </c>
      <c r="W703" s="34">
        <f>U703*V703</f>
        <v/>
      </c>
      <c r="X703" s="32">
        <f>T703/N703</f>
        <v/>
      </c>
      <c r="Y703" s="35">
        <f>IF(X703=MAXIFS(X$2:X$721, A$2:A$721, A703, B$2:B$721, B703), "OPTIMAL", "")</f>
        <v/>
      </c>
    </row>
    <row r="704" ht="20" customHeight="1">
      <c r="A704" s="21" t="n">
        <v>-18</v>
      </c>
      <c r="B704" s="21" t="n">
        <v>45</v>
      </c>
      <c r="C704" s="22" t="n">
        <v>120</v>
      </c>
      <c r="D704" s="22" t="n">
        <v>3</v>
      </c>
      <c r="E704" s="23" t="n">
        <v>0</v>
      </c>
      <c r="F704" s="22" t="n">
        <v>0</v>
      </c>
      <c r="G704" s="23" t="inlineStr">
        <is>
          <t>Non</t>
        </is>
      </c>
      <c r="H704" s="23" t="inlineStr">
        <is>
          <t>ON</t>
        </is>
      </c>
      <c r="I704" s="24" t="n">
        <v>885.2722778138215</v>
      </c>
      <c r="J704" s="24" t="n">
        <v>10520.73059103506</v>
      </c>
      <c r="K704" s="24" t="n">
        <v>5101.851851851852</v>
      </c>
      <c r="L704" s="24" t="n">
        <v>150</v>
      </c>
      <c r="M704" s="24">
        <f>I704+J704+K704+L704</f>
        <v/>
      </c>
      <c r="N704" s="24">
        <f>M704*Dashboard!$B$18/(Dashboard!$B$16/3.6)</f>
        <v/>
      </c>
      <c r="O704" s="24" t="n">
        <v>914.6212688100585</v>
      </c>
      <c r="P704" s="25" t="n">
        <v>0.4642417396994065</v>
      </c>
      <c r="Q704" s="26" t="n">
        <v>0.2</v>
      </c>
      <c r="R704" s="24" t="n">
        <v>661.7231950112116</v>
      </c>
      <c r="S704" s="24">
        <f>R704*IF(A704=4, 2.0, 3.0)</f>
        <v/>
      </c>
      <c r="T704" s="22">
        <f>8.0*U704</f>
        <v/>
      </c>
      <c r="U704" s="27">
        <f>MIN(1, S704/M704)</f>
        <v/>
      </c>
      <c r="V704" s="27">
        <f>N704/(N704+O704)</f>
        <v/>
      </c>
      <c r="W704" s="27">
        <f>U704*V704</f>
        <v/>
      </c>
      <c r="X704" s="25">
        <f>T704/N704</f>
        <v/>
      </c>
      <c r="Y704" s="28">
        <f>IF(X704=MAXIFS(X$2:X$721, A$2:A$721, A704, B$2:B$721, B704), "OPTIMAL", "")</f>
        <v/>
      </c>
    </row>
    <row r="705" ht="20" customHeight="1">
      <c r="A705" s="29" t="n">
        <v>-18</v>
      </c>
      <c r="B705" s="29" t="n">
        <v>45</v>
      </c>
      <c r="C705" s="30" t="n">
        <v>120</v>
      </c>
      <c r="D705" s="30" t="n">
        <v>3</v>
      </c>
      <c r="E705" s="6" t="n">
        <v>0</v>
      </c>
      <c r="F705" s="30" t="n">
        <v>0</v>
      </c>
      <c r="G705" s="6" t="inlineStr">
        <is>
          <t>Non</t>
        </is>
      </c>
      <c r="H705" s="6" t="inlineStr">
        <is>
          <t>OFF</t>
        </is>
      </c>
      <c r="I705" s="31" t="n">
        <v>885.2722778138215</v>
      </c>
      <c r="J705" s="31" t="n">
        <v>10520.73059103506</v>
      </c>
      <c r="K705" s="31" t="n">
        <v>5101.851851851852</v>
      </c>
      <c r="L705" s="31" t="n">
        <v>150</v>
      </c>
      <c r="M705" s="31">
        <f>I705+J705+K705+L705</f>
        <v/>
      </c>
      <c r="N705" s="31">
        <f>M705*Dashboard!$B$18/(Dashboard!$B$16/3.6)</f>
        <v/>
      </c>
      <c r="O705" s="31" t="n">
        <v>914.6212688100585</v>
      </c>
      <c r="P705" s="32" t="n">
        <v>0.7294999781858988</v>
      </c>
      <c r="Q705" s="33" t="n">
        <v>0.2</v>
      </c>
      <c r="R705" s="31" t="n">
        <v>421.1097141022405</v>
      </c>
      <c r="S705" s="31">
        <f>R705*IF(A705=4, 2.0, 3.0)</f>
        <v/>
      </c>
      <c r="T705" s="30">
        <f>8.0*U705</f>
        <v/>
      </c>
      <c r="U705" s="34">
        <f>MIN(1, S705/M705)</f>
        <v/>
      </c>
      <c r="V705" s="34">
        <f>N705/(N705+O705)</f>
        <v/>
      </c>
      <c r="W705" s="34">
        <f>U705*V705</f>
        <v/>
      </c>
      <c r="X705" s="32">
        <f>T705/N705</f>
        <v/>
      </c>
      <c r="Y705" s="35">
        <f>IF(X705=MAXIFS(X$2:X$721, A$2:A$721, A705, B$2:B$721, B705), "OPTIMAL", "")</f>
        <v/>
      </c>
    </row>
    <row r="706" ht="20" customHeight="1">
      <c r="A706" s="21" t="n">
        <v>-18</v>
      </c>
      <c r="B706" s="21" t="n">
        <v>45</v>
      </c>
      <c r="C706" s="22" t="n">
        <v>120</v>
      </c>
      <c r="D706" s="22" t="n">
        <v>3</v>
      </c>
      <c r="E706" s="23" t="n">
        <v>4</v>
      </c>
      <c r="F706" s="22" t="n">
        <v>1.5</v>
      </c>
      <c r="G706" s="23" t="inlineStr">
        <is>
          <t>Oui</t>
        </is>
      </c>
      <c r="H706" s="23" t="inlineStr">
        <is>
          <t>ON</t>
        </is>
      </c>
      <c r="I706" s="24" t="n">
        <v>885.2722778138215</v>
      </c>
      <c r="J706" s="24" t="n">
        <v>10520.73059103506</v>
      </c>
      <c r="K706" s="24" t="n">
        <v>5101.851851851852</v>
      </c>
      <c r="L706" s="24" t="n">
        <v>150</v>
      </c>
      <c r="M706" s="24">
        <f>I706+J706+K706+L706</f>
        <v/>
      </c>
      <c r="N706" s="24">
        <f>M706*Dashboard!$B$18/(Dashboard!$B$16/3.6)</f>
        <v/>
      </c>
      <c r="O706" s="24" t="n">
        <v>1249.703546051321</v>
      </c>
      <c r="P706" s="25" t="n">
        <v>0.06783449726767998</v>
      </c>
      <c r="Q706" s="26" t="n">
        <v>5.689672816037082</v>
      </c>
      <c r="R706" s="24" t="n">
        <v>4653.396753651654</v>
      </c>
      <c r="S706" s="24">
        <f>R706*IF(A706=4, 2.0, 3.0)</f>
        <v/>
      </c>
      <c r="T706" s="22">
        <f>8.0*U706</f>
        <v/>
      </c>
      <c r="U706" s="27">
        <f>MIN(1, S706/M706)</f>
        <v/>
      </c>
      <c r="V706" s="27">
        <f>N706/(N706+O706)</f>
        <v/>
      </c>
      <c r="W706" s="27">
        <f>U706*V706</f>
        <v/>
      </c>
      <c r="X706" s="25">
        <f>T706/N706</f>
        <v/>
      </c>
      <c r="Y706" s="28">
        <f>IF(X706=MAXIFS(X$2:X$721, A$2:A$721, A706, B$2:B$721, B706), "OPTIMAL", "")</f>
        <v/>
      </c>
    </row>
    <row r="707" ht="20" customHeight="1">
      <c r="A707" s="29" t="n">
        <v>-18</v>
      </c>
      <c r="B707" s="29" t="n">
        <v>45</v>
      </c>
      <c r="C707" s="30" t="n">
        <v>120</v>
      </c>
      <c r="D707" s="30" t="n">
        <v>3</v>
      </c>
      <c r="E707" s="6" t="n">
        <v>4</v>
      </c>
      <c r="F707" s="30" t="n">
        <v>1.5</v>
      </c>
      <c r="G707" s="6" t="inlineStr">
        <is>
          <t>Oui</t>
        </is>
      </c>
      <c r="H707" s="6" t="inlineStr">
        <is>
          <t>OFF</t>
        </is>
      </c>
      <c r="I707" s="31" t="n">
        <v>885.2722778138215</v>
      </c>
      <c r="J707" s="31" t="n">
        <v>10520.73059103506</v>
      </c>
      <c r="K707" s="31" t="n">
        <v>5101.851851851852</v>
      </c>
      <c r="L707" s="31" t="n">
        <v>150</v>
      </c>
      <c r="M707" s="31">
        <f>I707+J707+K707+L707</f>
        <v/>
      </c>
      <c r="N707" s="31">
        <f>M707*Dashboard!$B$18/(Dashboard!$B$16/3.6)</f>
        <v/>
      </c>
      <c r="O707" s="31" t="n">
        <v>1249.703546051321</v>
      </c>
      <c r="P707" s="32" t="n">
        <v>0.2715077102234196</v>
      </c>
      <c r="Q707" s="33" t="n">
        <v>5.689672816037082</v>
      </c>
      <c r="R707" s="31" t="n">
        <v>1162.621971623795</v>
      </c>
      <c r="S707" s="31">
        <f>R707*IF(A707=4, 2.0, 3.0)</f>
        <v/>
      </c>
      <c r="T707" s="30">
        <f>8.0*U707</f>
        <v/>
      </c>
      <c r="U707" s="34">
        <f>MIN(1, S707/M707)</f>
        <v/>
      </c>
      <c r="V707" s="34">
        <f>N707/(N707+O707)</f>
        <v/>
      </c>
      <c r="W707" s="34">
        <f>U707*V707</f>
        <v/>
      </c>
      <c r="X707" s="32">
        <f>T707/N707</f>
        <v/>
      </c>
      <c r="Y707" s="35">
        <f>IF(X707=MAXIFS(X$2:X$721, A$2:A$721, A707, B$2:B$721, B707), "OPTIMAL", "")</f>
        <v/>
      </c>
    </row>
    <row r="708" ht="20" customHeight="1">
      <c r="A708" s="21" t="n">
        <v>-18</v>
      </c>
      <c r="B708" s="21" t="n">
        <v>45</v>
      </c>
      <c r="C708" s="22" t="n">
        <v>120</v>
      </c>
      <c r="D708" s="22" t="n">
        <v>3</v>
      </c>
      <c r="E708" s="23" t="n">
        <v>4</v>
      </c>
      <c r="F708" s="22" t="n">
        <v>1.5</v>
      </c>
      <c r="G708" s="23" t="inlineStr">
        <is>
          <t>Non</t>
        </is>
      </c>
      <c r="H708" s="23" t="inlineStr">
        <is>
          <t>ON</t>
        </is>
      </c>
      <c r="I708" s="24" t="n">
        <v>885.2722778138215</v>
      </c>
      <c r="J708" s="24" t="n">
        <v>10520.73059103506</v>
      </c>
      <c r="K708" s="24" t="n">
        <v>5101.851851851852</v>
      </c>
      <c r="L708" s="24" t="n">
        <v>150</v>
      </c>
      <c r="M708" s="24">
        <f>I708+J708+K708+L708</f>
        <v/>
      </c>
      <c r="N708" s="24">
        <f>M708*Dashboard!$B$18/(Dashboard!$B$16/3.6)</f>
        <v/>
      </c>
      <c r="O708" s="24" t="n">
        <v>1249.703546051321</v>
      </c>
      <c r="P708" s="25" t="n">
        <v>0.06518191488281506</v>
      </c>
      <c r="Q708" s="26" t="n">
        <v>5.689672816037082</v>
      </c>
      <c r="R708" s="24" t="n">
        <v>4842.767045713728</v>
      </c>
      <c r="S708" s="24">
        <f>R708*IF(A708=4, 2.0, 3.0)</f>
        <v/>
      </c>
      <c r="T708" s="22">
        <f>8.0*U708</f>
        <v/>
      </c>
      <c r="U708" s="27">
        <f>MIN(1, S708/M708)</f>
        <v/>
      </c>
      <c r="V708" s="27">
        <f>N708/(N708+O708)</f>
        <v/>
      </c>
      <c r="W708" s="27">
        <f>U708*V708</f>
        <v/>
      </c>
      <c r="X708" s="25">
        <f>T708/N708</f>
        <v/>
      </c>
      <c r="Y708" s="28">
        <f>IF(X708=MAXIFS(X$2:X$721, A$2:A$721, A708, B$2:B$721, B708), "OPTIMAL", "")</f>
        <v/>
      </c>
    </row>
    <row r="709" ht="20" customHeight="1">
      <c r="A709" s="29" t="n">
        <v>-18</v>
      </c>
      <c r="B709" s="29" t="n">
        <v>45</v>
      </c>
      <c r="C709" s="30" t="n">
        <v>120</v>
      </c>
      <c r="D709" s="30" t="n">
        <v>3</v>
      </c>
      <c r="E709" s="6" t="n">
        <v>4</v>
      </c>
      <c r="F709" s="30" t="n">
        <v>1.5</v>
      </c>
      <c r="G709" s="6" t="inlineStr">
        <is>
          <t>Non</t>
        </is>
      </c>
      <c r="H709" s="6" t="inlineStr">
        <is>
          <t>OFF</t>
        </is>
      </c>
      <c r="I709" s="31" t="n">
        <v>885.2722778138215</v>
      </c>
      <c r="J709" s="31" t="n">
        <v>10520.73059103506</v>
      </c>
      <c r="K709" s="31" t="n">
        <v>5101.851851851852</v>
      </c>
      <c r="L709" s="31" t="n">
        <v>150</v>
      </c>
      <c r="M709" s="31">
        <f>I709+J709+K709+L709</f>
        <v/>
      </c>
      <c r="N709" s="31">
        <f>M709*Dashboard!$B$18/(Dashboard!$B$16/3.6)</f>
        <v/>
      </c>
      <c r="O709" s="31" t="n">
        <v>1249.703546051321</v>
      </c>
      <c r="P709" s="32" t="n">
        <v>0.2688551278385546</v>
      </c>
      <c r="Q709" s="33" t="n">
        <v>5.689672816037082</v>
      </c>
      <c r="R709" s="31" t="n">
        <v>1174.092649482832</v>
      </c>
      <c r="S709" s="31">
        <f>R709*IF(A709=4, 2.0, 3.0)</f>
        <v/>
      </c>
      <c r="T709" s="30">
        <f>8.0*U709</f>
        <v/>
      </c>
      <c r="U709" s="34">
        <f>MIN(1, S709/M709)</f>
        <v/>
      </c>
      <c r="V709" s="34">
        <f>N709/(N709+O709)</f>
        <v/>
      </c>
      <c r="W709" s="34">
        <f>U709*V709</f>
        <v/>
      </c>
      <c r="X709" s="32">
        <f>T709/N709</f>
        <v/>
      </c>
      <c r="Y709" s="35">
        <f>IF(X709=MAXIFS(X$2:X$721, A$2:A$721, A709, B$2:B$721, B709), "OPTIMAL", "")</f>
        <v/>
      </c>
    </row>
    <row r="710" ht="20" customHeight="1">
      <c r="A710" s="21" t="n">
        <v>-18</v>
      </c>
      <c r="B710" s="21" t="n">
        <v>45</v>
      </c>
      <c r="C710" s="22" t="n">
        <v>120</v>
      </c>
      <c r="D710" s="22" t="n">
        <v>3</v>
      </c>
      <c r="E710" s="23" t="n">
        <v>4</v>
      </c>
      <c r="F710" s="22" t="n">
        <v>2</v>
      </c>
      <c r="G710" s="23" t="inlineStr">
        <is>
          <t>Oui</t>
        </is>
      </c>
      <c r="H710" s="23" t="inlineStr">
        <is>
          <t>ON</t>
        </is>
      </c>
      <c r="I710" s="24" t="n">
        <v>885.2722778138215</v>
      </c>
      <c r="J710" s="24" t="n">
        <v>10520.73059103506</v>
      </c>
      <c r="K710" s="24" t="n">
        <v>5101.851851851852</v>
      </c>
      <c r="L710" s="24" t="n">
        <v>150</v>
      </c>
      <c r="M710" s="24">
        <f>I710+J710+K710+L710</f>
        <v/>
      </c>
      <c r="N710" s="24">
        <f>M710*Dashboard!$B$18/(Dashboard!$B$16/3.6)</f>
        <v/>
      </c>
      <c r="O710" s="24" t="n">
        <v>1365.537552504116</v>
      </c>
      <c r="P710" s="25" t="n">
        <v>0.06458187918791126</v>
      </c>
      <c r="Q710" s="26" t="n">
        <v>7.519563754716109</v>
      </c>
      <c r="R710" s="24" t="n">
        <v>4933.052523560957</v>
      </c>
      <c r="S710" s="24">
        <f>R710*IF(A710=4, 2.0, 3.0)</f>
        <v/>
      </c>
      <c r="T710" s="22">
        <f>8.0*U710</f>
        <v/>
      </c>
      <c r="U710" s="27">
        <f>MIN(1, S710/M710)</f>
        <v/>
      </c>
      <c r="V710" s="27">
        <f>N710/(N710+O710)</f>
        <v/>
      </c>
      <c r="W710" s="27">
        <f>U710*V710</f>
        <v/>
      </c>
      <c r="X710" s="25">
        <f>T710/N710</f>
        <v/>
      </c>
      <c r="Y710" s="28">
        <f>IF(X710=MAXIFS(X$2:X$721, A$2:A$721, A710, B$2:B$721, B710), "OPTIMAL", "")</f>
        <v/>
      </c>
    </row>
    <row r="711" ht="20" customHeight="1">
      <c r="A711" s="29" t="n">
        <v>-18</v>
      </c>
      <c r="B711" s="29" t="n">
        <v>45</v>
      </c>
      <c r="C711" s="30" t="n">
        <v>120</v>
      </c>
      <c r="D711" s="30" t="n">
        <v>3</v>
      </c>
      <c r="E711" s="6" t="n">
        <v>4</v>
      </c>
      <c r="F711" s="30" t="n">
        <v>2</v>
      </c>
      <c r="G711" s="6" t="inlineStr">
        <is>
          <t>Oui</t>
        </is>
      </c>
      <c r="H711" s="6" t="inlineStr">
        <is>
          <t>OFF</t>
        </is>
      </c>
      <c r="I711" s="31" t="n">
        <v>885.2722778138215</v>
      </c>
      <c r="J711" s="31" t="n">
        <v>10520.73059103506</v>
      </c>
      <c r="K711" s="31" t="n">
        <v>5101.851851851852</v>
      </c>
      <c r="L711" s="31" t="n">
        <v>150</v>
      </c>
      <c r="M711" s="31">
        <f>I711+J711+K711+L711</f>
        <v/>
      </c>
      <c r="N711" s="31">
        <f>M711*Dashboard!$B$18/(Dashboard!$B$16/3.6)</f>
        <v/>
      </c>
      <c r="O711" s="31" t="n">
        <v>1365.537552504116</v>
      </c>
      <c r="P711" s="32" t="n">
        <v>0.2690865884190716</v>
      </c>
      <c r="Q711" s="33" t="n">
        <v>7.519563754716109</v>
      </c>
      <c r="R711" s="31" t="n">
        <v>1183.952734233166</v>
      </c>
      <c r="S711" s="31">
        <f>R711*IF(A711=4, 2.0, 3.0)</f>
        <v/>
      </c>
      <c r="T711" s="30">
        <f>8.0*U711</f>
        <v/>
      </c>
      <c r="U711" s="34">
        <f>MIN(1, S711/M711)</f>
        <v/>
      </c>
      <c r="V711" s="34">
        <f>N711/(N711+O711)</f>
        <v/>
      </c>
      <c r="W711" s="34">
        <f>U711*V711</f>
        <v/>
      </c>
      <c r="X711" s="32">
        <f>T711/N711</f>
        <v/>
      </c>
      <c r="Y711" s="35">
        <f>IF(X711=MAXIFS(X$2:X$721, A$2:A$721, A711, B$2:B$721, B711), "OPTIMAL", "")</f>
        <v/>
      </c>
    </row>
    <row r="712" ht="20" customHeight="1">
      <c r="A712" s="21" t="n">
        <v>-18</v>
      </c>
      <c r="B712" s="21" t="n">
        <v>45</v>
      </c>
      <c r="C712" s="22" t="n">
        <v>120</v>
      </c>
      <c r="D712" s="22" t="n">
        <v>3</v>
      </c>
      <c r="E712" s="23" t="n">
        <v>4</v>
      </c>
      <c r="F712" s="22" t="n">
        <v>2</v>
      </c>
      <c r="G712" s="23" t="inlineStr">
        <is>
          <t>Non</t>
        </is>
      </c>
      <c r="H712" s="23" t="inlineStr">
        <is>
          <t>ON</t>
        </is>
      </c>
      <c r="I712" s="24" t="n">
        <v>885.2722778138215</v>
      </c>
      <c r="J712" s="24" t="n">
        <v>10520.73059103506</v>
      </c>
      <c r="K712" s="24" t="n">
        <v>5101.851851851852</v>
      </c>
      <c r="L712" s="24" t="n">
        <v>150</v>
      </c>
      <c r="M712" s="24">
        <f>I712+J712+K712+L712</f>
        <v/>
      </c>
      <c r="N712" s="24">
        <f>M712*Dashboard!$B$18/(Dashboard!$B$16/3.6)</f>
        <v/>
      </c>
      <c r="O712" s="24" t="n">
        <v>1365.537552504116</v>
      </c>
      <c r="P712" s="25" t="n">
        <v>0.06192929680304634</v>
      </c>
      <c r="Q712" s="26" t="n">
        <v>7.519563754716109</v>
      </c>
      <c r="R712" s="24" t="n">
        <v>5144.347159591242</v>
      </c>
      <c r="S712" s="24">
        <f>R712*IF(A712=4, 2.0, 3.0)</f>
        <v/>
      </c>
      <c r="T712" s="22">
        <f>8.0*U712</f>
        <v/>
      </c>
      <c r="U712" s="27">
        <f>MIN(1, S712/M712)</f>
        <v/>
      </c>
      <c r="V712" s="27">
        <f>N712/(N712+O712)</f>
        <v/>
      </c>
      <c r="W712" s="27">
        <f>U712*V712</f>
        <v/>
      </c>
      <c r="X712" s="25">
        <f>T712/N712</f>
        <v/>
      </c>
      <c r="Y712" s="28">
        <f>IF(X712=MAXIFS(X$2:X$721, A$2:A$721, A712, B$2:B$721, B712), "OPTIMAL", "")</f>
        <v/>
      </c>
    </row>
    <row r="713" ht="20" customHeight="1">
      <c r="A713" s="29" t="n">
        <v>-18</v>
      </c>
      <c r="B713" s="29" t="n">
        <v>45</v>
      </c>
      <c r="C713" s="30" t="n">
        <v>120</v>
      </c>
      <c r="D713" s="30" t="n">
        <v>3</v>
      </c>
      <c r="E713" s="6" t="n">
        <v>4</v>
      </c>
      <c r="F713" s="30" t="n">
        <v>2</v>
      </c>
      <c r="G713" s="6" t="inlineStr">
        <is>
          <t>Non</t>
        </is>
      </c>
      <c r="H713" s="6" t="inlineStr">
        <is>
          <t>OFF</t>
        </is>
      </c>
      <c r="I713" s="31" t="n">
        <v>885.2722778138215</v>
      </c>
      <c r="J713" s="31" t="n">
        <v>10520.73059103506</v>
      </c>
      <c r="K713" s="31" t="n">
        <v>5101.851851851852</v>
      </c>
      <c r="L713" s="31" t="n">
        <v>150</v>
      </c>
      <c r="M713" s="31">
        <f>I713+J713+K713+L713</f>
        <v/>
      </c>
      <c r="N713" s="31">
        <f>M713*Dashboard!$B$18/(Dashboard!$B$16/3.6)</f>
        <v/>
      </c>
      <c r="O713" s="31" t="n">
        <v>1365.537552504116</v>
      </c>
      <c r="P713" s="32" t="n">
        <v>0.2664340060342067</v>
      </c>
      <c r="Q713" s="33" t="n">
        <v>7.519563754716109</v>
      </c>
      <c r="R713" s="31" t="n">
        <v>1195.740013995556</v>
      </c>
      <c r="S713" s="31">
        <f>R713*IF(A713=4, 2.0, 3.0)</f>
        <v/>
      </c>
      <c r="T713" s="30">
        <f>8.0*U713</f>
        <v/>
      </c>
      <c r="U713" s="34">
        <f>MIN(1, S713/M713)</f>
        <v/>
      </c>
      <c r="V713" s="34">
        <f>N713/(N713+O713)</f>
        <v/>
      </c>
      <c r="W713" s="34">
        <f>U713*V713</f>
        <v/>
      </c>
      <c r="X713" s="32">
        <f>T713/N713</f>
        <v/>
      </c>
      <c r="Y713" s="35">
        <f>IF(X713=MAXIFS(X$2:X$721, A$2:A$721, A713, B$2:B$721, B713), "OPTIMAL", "")</f>
        <v/>
      </c>
    </row>
    <row r="714" ht="20" customHeight="1">
      <c r="A714" s="36" t="n">
        <v>-18</v>
      </c>
      <c r="B714" s="36" t="n">
        <v>45</v>
      </c>
      <c r="C714" s="37" t="n">
        <v>120</v>
      </c>
      <c r="D714" s="37" t="n">
        <v>3</v>
      </c>
      <c r="E714" s="38" t="n">
        <v>8</v>
      </c>
      <c r="F714" s="37" t="n">
        <v>1.5</v>
      </c>
      <c r="G714" s="38" t="inlineStr">
        <is>
          <t>Oui</t>
        </is>
      </c>
      <c r="H714" s="38" t="inlineStr">
        <is>
          <t>ON</t>
        </is>
      </c>
      <c r="I714" s="39" t="n">
        <v>885.2722778138215</v>
      </c>
      <c r="J714" s="39" t="n">
        <v>10520.73059103506</v>
      </c>
      <c r="K714" s="39" t="n">
        <v>5101.851851851852</v>
      </c>
      <c r="L714" s="39" t="n">
        <v>150</v>
      </c>
      <c r="M714" s="39">
        <f>I714+J714+K714+L714</f>
        <v/>
      </c>
      <c r="N714" s="39">
        <f>M714*Dashboard!$B$18/(Dashboard!$B$16/3.6)</f>
        <v/>
      </c>
      <c r="O714" s="39" t="n">
        <v>1603.76720661838</v>
      </c>
      <c r="P714" s="40" t="n">
        <v>0.05144850932496671</v>
      </c>
      <c r="Q714" s="41" t="n">
        <v>11.17934563207417</v>
      </c>
      <c r="R714" s="39" t="n">
        <v>6309.248655874111</v>
      </c>
      <c r="S714" s="39">
        <f>R714*IF(A714=4, 2.0, 3.0)</f>
        <v/>
      </c>
      <c r="T714" s="37">
        <f>8.0*U714</f>
        <v/>
      </c>
      <c r="U714" s="42">
        <f>MIN(1, S714/M714)</f>
        <v/>
      </c>
      <c r="V714" s="42">
        <f>N714/(N714+O714)</f>
        <v/>
      </c>
      <c r="W714" s="42">
        <f>U714*V714</f>
        <v/>
      </c>
      <c r="X714" s="40">
        <f>T714/N714</f>
        <v/>
      </c>
      <c r="Y714" s="15">
        <f>IF(X714=MAXIFS(X$2:X$721, A$2:A$721, A714, B$2:B$721, B714), "OPTIMAL", "")</f>
        <v/>
      </c>
    </row>
    <row r="715" ht="20" customHeight="1">
      <c r="A715" s="29" t="n">
        <v>-18</v>
      </c>
      <c r="B715" s="29" t="n">
        <v>45</v>
      </c>
      <c r="C715" s="30" t="n">
        <v>120</v>
      </c>
      <c r="D715" s="30" t="n">
        <v>3</v>
      </c>
      <c r="E715" s="6" t="n">
        <v>8</v>
      </c>
      <c r="F715" s="30" t="n">
        <v>1.5</v>
      </c>
      <c r="G715" s="6" t="inlineStr">
        <is>
          <t>Oui</t>
        </is>
      </c>
      <c r="H715" s="6" t="inlineStr">
        <is>
          <t>OFF</t>
        </is>
      </c>
      <c r="I715" s="31" t="n">
        <v>885.2722778138215</v>
      </c>
      <c r="J715" s="31" t="n">
        <v>10520.73059103506</v>
      </c>
      <c r="K715" s="31" t="n">
        <v>5101.851851851852</v>
      </c>
      <c r="L715" s="31" t="n">
        <v>150</v>
      </c>
      <c r="M715" s="31">
        <f>I715+J715+K715+L715</f>
        <v/>
      </c>
      <c r="N715" s="31">
        <f>M715*Dashboard!$B$18/(Dashboard!$B$16/3.6)</f>
        <v/>
      </c>
      <c r="O715" s="31" t="n">
        <v>1603.76720661838</v>
      </c>
      <c r="P715" s="32" t="n">
        <v>0.2167441267000743</v>
      </c>
      <c r="Q715" s="33" t="n">
        <v>11.17934563207417</v>
      </c>
      <c r="R715" s="31" t="n">
        <v>1497.625071771607</v>
      </c>
      <c r="S715" s="31">
        <f>R715*IF(A715=4, 2.0, 3.0)</f>
        <v/>
      </c>
      <c r="T715" s="30">
        <f>8.0*U715</f>
        <v/>
      </c>
      <c r="U715" s="34">
        <f>MIN(1, S715/M715)</f>
        <v/>
      </c>
      <c r="V715" s="34">
        <f>N715/(N715+O715)</f>
        <v/>
      </c>
      <c r="W715" s="34">
        <f>U715*V715</f>
        <v/>
      </c>
      <c r="X715" s="32">
        <f>T715/N715</f>
        <v/>
      </c>
      <c r="Y715" s="35">
        <f>IF(X715=MAXIFS(X$2:X$721, A$2:A$721, A715, B$2:B$721, B715), "OPTIMAL", "")</f>
        <v/>
      </c>
    </row>
    <row r="716" ht="20" customHeight="1">
      <c r="A716" s="36" t="n">
        <v>-18</v>
      </c>
      <c r="B716" s="36" t="n">
        <v>45</v>
      </c>
      <c r="C716" s="37" t="n">
        <v>120</v>
      </c>
      <c r="D716" s="37" t="n">
        <v>3</v>
      </c>
      <c r="E716" s="38" t="n">
        <v>8</v>
      </c>
      <c r="F716" s="37" t="n">
        <v>1.5</v>
      </c>
      <c r="G716" s="38" t="inlineStr">
        <is>
          <t>Non</t>
        </is>
      </c>
      <c r="H716" s="38" t="inlineStr">
        <is>
          <t>ON</t>
        </is>
      </c>
      <c r="I716" s="39" t="n">
        <v>885.2722778138215</v>
      </c>
      <c r="J716" s="39" t="n">
        <v>10520.73059103506</v>
      </c>
      <c r="K716" s="39" t="n">
        <v>5101.851851851852</v>
      </c>
      <c r="L716" s="39" t="n">
        <v>150</v>
      </c>
      <c r="M716" s="39">
        <f>I716+J716+K716+L716</f>
        <v/>
      </c>
      <c r="N716" s="39">
        <f>M716*Dashboard!$B$18/(Dashboard!$B$16/3.6)</f>
        <v/>
      </c>
      <c r="O716" s="39" t="n">
        <v>1603.76720661838</v>
      </c>
      <c r="P716" s="40" t="n">
        <v>0.04879592694010178</v>
      </c>
      <c r="Q716" s="41" t="n">
        <v>11.17934563207417</v>
      </c>
      <c r="R716" s="39" t="n">
        <v>6652.224041234615</v>
      </c>
      <c r="S716" s="39">
        <f>R716*IF(A716=4, 2.0, 3.0)</f>
        <v/>
      </c>
      <c r="T716" s="37">
        <f>8.0*U716</f>
        <v/>
      </c>
      <c r="U716" s="42">
        <f>MIN(1, S716/M716)</f>
        <v/>
      </c>
      <c r="V716" s="42">
        <f>N716/(N716+O716)</f>
        <v/>
      </c>
      <c r="W716" s="42">
        <f>U716*V716</f>
        <v/>
      </c>
      <c r="X716" s="40">
        <f>T716/N716</f>
        <v/>
      </c>
      <c r="Y716" s="15">
        <f>IF(X716=MAXIFS(X$2:X$721, A$2:A$721, A716, B$2:B$721, B716), "OPTIMAL", "")</f>
        <v/>
      </c>
    </row>
    <row r="717" ht="20" customHeight="1">
      <c r="A717" s="29" t="n">
        <v>-18</v>
      </c>
      <c r="B717" s="29" t="n">
        <v>45</v>
      </c>
      <c r="C717" s="30" t="n">
        <v>120</v>
      </c>
      <c r="D717" s="30" t="n">
        <v>3</v>
      </c>
      <c r="E717" s="6" t="n">
        <v>8</v>
      </c>
      <c r="F717" s="30" t="n">
        <v>1.5</v>
      </c>
      <c r="G717" s="6" t="inlineStr">
        <is>
          <t>Non</t>
        </is>
      </c>
      <c r="H717" s="6" t="inlineStr">
        <is>
          <t>OFF</t>
        </is>
      </c>
      <c r="I717" s="31" t="n">
        <v>885.2722778138215</v>
      </c>
      <c r="J717" s="31" t="n">
        <v>10520.73059103506</v>
      </c>
      <c r="K717" s="31" t="n">
        <v>5101.851851851852</v>
      </c>
      <c r="L717" s="31" t="n">
        <v>150</v>
      </c>
      <c r="M717" s="31">
        <f>I717+J717+K717+L717</f>
        <v/>
      </c>
      <c r="N717" s="31">
        <f>M717*Dashboard!$B$18/(Dashboard!$B$16/3.6)</f>
        <v/>
      </c>
      <c r="O717" s="31" t="n">
        <v>1603.76720661838</v>
      </c>
      <c r="P717" s="32" t="n">
        <v>0.2140915443152093</v>
      </c>
      <c r="Q717" s="33" t="n">
        <v>11.17934563207417</v>
      </c>
      <c r="R717" s="31" t="n">
        <v>1516.180563522671</v>
      </c>
      <c r="S717" s="31">
        <f>R717*IF(A717=4, 2.0, 3.0)</f>
        <v/>
      </c>
      <c r="T717" s="30">
        <f>8.0*U717</f>
        <v/>
      </c>
      <c r="U717" s="34">
        <f>MIN(1, S717/M717)</f>
        <v/>
      </c>
      <c r="V717" s="34">
        <f>N717/(N717+O717)</f>
        <v/>
      </c>
      <c r="W717" s="34">
        <f>U717*V717</f>
        <v/>
      </c>
      <c r="X717" s="32">
        <f>T717/N717</f>
        <v/>
      </c>
      <c r="Y717" s="35">
        <f>IF(X717=MAXIFS(X$2:X$721, A$2:A$721, A717, B$2:B$721, B717), "OPTIMAL", "")</f>
        <v/>
      </c>
    </row>
    <row r="718" ht="20" customHeight="1">
      <c r="A718" s="36" t="n">
        <v>-18</v>
      </c>
      <c r="B718" s="36" t="n">
        <v>45</v>
      </c>
      <c r="C718" s="37" t="n">
        <v>120</v>
      </c>
      <c r="D718" s="37" t="n">
        <v>3</v>
      </c>
      <c r="E718" s="38" t="n">
        <v>8</v>
      </c>
      <c r="F718" s="37" t="n">
        <v>2</v>
      </c>
      <c r="G718" s="38" t="inlineStr">
        <is>
          <t>Oui</t>
        </is>
      </c>
      <c r="H718" s="38" t="inlineStr">
        <is>
          <t>ON</t>
        </is>
      </c>
      <c r="I718" s="39" t="n">
        <v>885.2722778138215</v>
      </c>
      <c r="J718" s="39" t="n">
        <v>10520.73059103506</v>
      </c>
      <c r="K718" s="39" t="n">
        <v>5101.851851851852</v>
      </c>
      <c r="L718" s="39" t="n">
        <v>150</v>
      </c>
      <c r="M718" s="39">
        <f>I718+J718+K718+L718</f>
        <v/>
      </c>
      <c r="N718" s="39">
        <f>M718*Dashboard!$B$18/(Dashboard!$B$16/3.6)</f>
        <v/>
      </c>
      <c r="O718" s="39" t="n">
        <v>1851.166660590603</v>
      </c>
      <c r="P718" s="40" t="n">
        <v>0.04989331996011</v>
      </c>
      <c r="Q718" s="41" t="n">
        <v>14.83912750943222</v>
      </c>
      <c r="R718" s="39" t="n">
        <v>6631.120663158559</v>
      </c>
      <c r="S718" s="39">
        <f>R718*IF(A718=4, 2.0, 3.0)</f>
        <v/>
      </c>
      <c r="T718" s="37">
        <f>8.0*U718</f>
        <v/>
      </c>
      <c r="U718" s="42">
        <f>MIN(1, S718/M718)</f>
        <v/>
      </c>
      <c r="V718" s="42">
        <f>N718/(N718+O718)</f>
        <v/>
      </c>
      <c r="W718" s="42">
        <f>U718*V718</f>
        <v/>
      </c>
      <c r="X718" s="40">
        <f>T718/N718</f>
        <v/>
      </c>
      <c r="Y718" s="15">
        <f>IF(X718=MAXIFS(X$2:X$721, A$2:A$721, A718, B$2:B$721, B718), "OPTIMAL", "")</f>
        <v/>
      </c>
    </row>
    <row r="719" ht="20" customHeight="1">
      <c r="A719" s="29" t="n">
        <v>-18</v>
      </c>
      <c r="B719" s="29" t="n">
        <v>45</v>
      </c>
      <c r="C719" s="30" t="n">
        <v>120</v>
      </c>
      <c r="D719" s="30" t="n">
        <v>3</v>
      </c>
      <c r="E719" s="6" t="n">
        <v>8</v>
      </c>
      <c r="F719" s="30" t="n">
        <v>2</v>
      </c>
      <c r="G719" s="6" t="inlineStr">
        <is>
          <t>Oui</t>
        </is>
      </c>
      <c r="H719" s="6" t="inlineStr">
        <is>
          <t>OFF</t>
        </is>
      </c>
      <c r="I719" s="31" t="n">
        <v>885.2722778138215</v>
      </c>
      <c r="J719" s="31" t="n">
        <v>10520.73059103506</v>
      </c>
      <c r="K719" s="31" t="n">
        <v>5101.851851851852</v>
      </c>
      <c r="L719" s="31" t="n">
        <v>150</v>
      </c>
      <c r="M719" s="31">
        <f>I719+J719+K719+L719</f>
        <v/>
      </c>
      <c r="N719" s="31">
        <f>M719*Dashboard!$B$18/(Dashboard!$B$16/3.6)</f>
        <v/>
      </c>
      <c r="O719" s="31" t="n">
        <v>1851.166660590603</v>
      </c>
      <c r="P719" s="32" t="n">
        <v>0.2162873761903785</v>
      </c>
      <c r="Q719" s="33" t="n">
        <v>14.83912750943222</v>
      </c>
      <c r="R719" s="31" t="n">
        <v>1529.671452715069</v>
      </c>
      <c r="S719" s="31">
        <f>R719*IF(A719=4, 2.0, 3.0)</f>
        <v/>
      </c>
      <c r="T719" s="30">
        <f>8.0*U719</f>
        <v/>
      </c>
      <c r="U719" s="34">
        <f>MIN(1, S719/M719)</f>
        <v/>
      </c>
      <c r="V719" s="34">
        <f>N719/(N719+O719)</f>
        <v/>
      </c>
      <c r="W719" s="34">
        <f>U719*V719</f>
        <v/>
      </c>
      <c r="X719" s="32">
        <f>T719/N719</f>
        <v/>
      </c>
      <c r="Y719" s="35">
        <f>IF(X719=MAXIFS(X$2:X$721, A$2:A$721, A719, B$2:B$721, B719), "OPTIMAL", "")</f>
        <v/>
      </c>
    </row>
    <row r="720" ht="20" customHeight="1">
      <c r="A720" s="36" t="n">
        <v>-18</v>
      </c>
      <c r="B720" s="36" t="n">
        <v>45</v>
      </c>
      <c r="C720" s="37" t="n">
        <v>120</v>
      </c>
      <c r="D720" s="37" t="n">
        <v>3</v>
      </c>
      <c r="E720" s="38" t="n">
        <v>8</v>
      </c>
      <c r="F720" s="37" t="n">
        <v>2</v>
      </c>
      <c r="G720" s="38" t="inlineStr">
        <is>
          <t>Non</t>
        </is>
      </c>
      <c r="H720" s="38" t="inlineStr">
        <is>
          <t>ON</t>
        </is>
      </c>
      <c r="I720" s="39" t="n">
        <v>885.2722778138215</v>
      </c>
      <c r="J720" s="39" t="n">
        <v>10520.73059103506</v>
      </c>
      <c r="K720" s="39" t="n">
        <v>5101.851851851852</v>
      </c>
      <c r="L720" s="39" t="n">
        <v>150</v>
      </c>
      <c r="M720" s="39">
        <f>I720+J720+K720+L720</f>
        <v/>
      </c>
      <c r="N720" s="39">
        <f>M720*Dashboard!$B$18/(Dashboard!$B$16/3.6)</f>
        <v/>
      </c>
      <c r="O720" s="39" t="n">
        <v>1851.166660590603</v>
      </c>
      <c r="P720" s="40" t="n">
        <v>0.04724073757524508</v>
      </c>
      <c r="Q720" s="41" t="n">
        <v>14.83912750943222</v>
      </c>
      <c r="R720" s="39" t="n">
        <v>7003.460189716363</v>
      </c>
      <c r="S720" s="39">
        <f>R720*IF(A720=4, 2.0, 3.0)</f>
        <v/>
      </c>
      <c r="T720" s="37">
        <f>8.0*U720</f>
        <v/>
      </c>
      <c r="U720" s="42">
        <f>MIN(1, S720/M720)</f>
        <v/>
      </c>
      <c r="V720" s="42">
        <f>N720/(N720+O720)</f>
        <v/>
      </c>
      <c r="W720" s="42">
        <f>U720*V720</f>
        <v/>
      </c>
      <c r="X720" s="40">
        <f>T720/N720</f>
        <v/>
      </c>
      <c r="Y720" s="15">
        <f>IF(X720=MAXIFS(X$2:X$721, A$2:A$721, A720, B$2:B$721, B720), "OPTIMAL", "")</f>
        <v/>
      </c>
    </row>
    <row r="721" ht="20" customHeight="1">
      <c r="A721" s="29" t="n">
        <v>-18</v>
      </c>
      <c r="B721" s="29" t="n">
        <v>45</v>
      </c>
      <c r="C721" s="30" t="n">
        <v>120</v>
      </c>
      <c r="D721" s="30" t="n">
        <v>3</v>
      </c>
      <c r="E721" s="6" t="n">
        <v>8</v>
      </c>
      <c r="F721" s="30" t="n">
        <v>2</v>
      </c>
      <c r="G721" s="6" t="inlineStr">
        <is>
          <t>Non</t>
        </is>
      </c>
      <c r="H721" s="6" t="inlineStr">
        <is>
          <t>OFF</t>
        </is>
      </c>
      <c r="I721" s="31" t="n">
        <v>885.2722778138215</v>
      </c>
      <c r="J721" s="31" t="n">
        <v>10520.73059103506</v>
      </c>
      <c r="K721" s="31" t="n">
        <v>5101.851851851852</v>
      </c>
      <c r="L721" s="31" t="n">
        <v>150</v>
      </c>
      <c r="M721" s="31">
        <f>I721+J721+K721+L721</f>
        <v/>
      </c>
      <c r="N721" s="31">
        <f>M721*Dashboard!$B$18/(Dashboard!$B$16/3.6)</f>
        <v/>
      </c>
      <c r="O721" s="31" t="n">
        <v>1851.166660590603</v>
      </c>
      <c r="P721" s="32" t="n">
        <v>0.2136347938055135</v>
      </c>
      <c r="Q721" s="33" t="n">
        <v>14.83912750943222</v>
      </c>
      <c r="R721" s="31" t="n">
        <v>1548.664517832526</v>
      </c>
      <c r="S721" s="31">
        <f>R721*IF(A721=4, 2.0, 3.0)</f>
        <v/>
      </c>
      <c r="T721" s="30">
        <f>8.0*U721</f>
        <v/>
      </c>
      <c r="U721" s="34">
        <f>MIN(1, S721/M721)</f>
        <v/>
      </c>
      <c r="V721" s="34">
        <f>N721/(N721+O721)</f>
        <v/>
      </c>
      <c r="W721" s="34">
        <f>U721*V721</f>
        <v/>
      </c>
      <c r="X721" s="32">
        <f>T721/N721</f>
        <v/>
      </c>
      <c r="Y721" s="35">
        <f>IF(X721=MAXIFS(X$2:X$721, A$2:A$721, A721, B$2:B$721, B721), "OPTIMAL", 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2026-06-30T19:29:01Z</dcterms:created>
  <dcterms:modified xmlns:dcterms="http://purl.org/dc/terms/" xmlns:xsi="http://www.w3.org/2001/XMLSchema-instance" xsi:type="dcterms:W3CDTF">2026-06-30T19:29:02Z</dcterms:modified>
</cp:coreProperties>
</file>