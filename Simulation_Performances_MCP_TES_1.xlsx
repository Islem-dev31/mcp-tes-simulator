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Optimisation" sheetId="1" state="visible" r:id="rId1"/>
    <sheet xmlns:r="http://schemas.openxmlformats.org/officeDocument/2006/relationships" name="Données de Sim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"/>
    <numFmt numFmtId="165" formatCode="#,##0.0"/>
    <numFmt numFmtId="166" formatCode="0.00000"/>
    <numFmt numFmtId="167" formatCode="0 &quot;°C&quot;"/>
    <numFmt numFmtId="168" formatCode="0.0 &quot;mm&quot;"/>
    <numFmt numFmtId="169" formatCode="#,##0 &quot;W&quot;"/>
    <numFmt numFmtId="170" formatCode="#,##0.0 &quot;kg&quot;"/>
    <numFmt numFmtId="171" formatCode="0.0 &quot;h&quot;"/>
    <numFmt numFmtId="172" formatCode="0.0%"/>
    <numFmt numFmtId="173" formatCode="0.0000"/>
    <numFmt numFmtId="174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Courier New"/>
      <b val="1"/>
      <color rgb="001B365D"/>
      <sz val="10"/>
    </font>
    <font>
      <name val="Segoe UI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7" fillId="0" borderId="0" pivotButton="0" quotePrefix="0" xfId="0"/>
    <xf numFmtId="167" fontId="5" fillId="3" borderId="1" applyAlignment="1" pivotButton="0" quotePrefix="0" xfId="0">
      <alignment horizontal="center" vertical="center" wrapText="1"/>
    </xf>
    <xf numFmtId="168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9" fontId="5" fillId="3" borderId="1" applyAlignment="1" pivotButton="0" quotePrefix="0" xfId="0">
      <alignment horizontal="center" vertical="center" wrapText="1"/>
    </xf>
    <xf numFmtId="170" fontId="5" fillId="3" borderId="1" applyAlignment="1" pivotButton="0" quotePrefix="0" xfId="0">
      <alignment horizontal="center" vertical="center" wrapText="1"/>
    </xf>
    <xf numFmtId="171" fontId="5" fillId="3" borderId="1" applyAlignment="1" pivotButton="0" quotePrefix="0" xfId="0">
      <alignment horizontal="center" vertical="center" wrapText="1"/>
    </xf>
    <xf numFmtId="172" fontId="5" fillId="3" borderId="1" applyAlignment="1" pivotButton="0" quotePrefix="0" xfId="0">
      <alignment horizontal="center" vertical="center" wrapText="1"/>
    </xf>
    <xf numFmtId="173" fontId="5" fillId="3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7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72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7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72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74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72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38" customWidth="1" min="4" max="4"/>
    <col width="3" customWidth="1" min="5" max="5"/>
    <col width="35" customWidth="1" min="6" max="6"/>
    <col width="25" customWidth="1" min="7" max="7"/>
    <col width="65" customWidth="1" min="8" max="8"/>
    <col width="21" customWidth="1" min="9" max="9"/>
    <col width="21" customWidth="1" min="10" max="10"/>
    <col width="21" customWidth="1" min="11" max="11"/>
    <col width="20" customWidth="1" min="12" max="12"/>
    <col width="21" customWidth="1" min="13" max="13"/>
    <col width="24" customWidth="1" min="14" max="14"/>
  </cols>
  <sheetData>
    <row r="1" ht="25" customHeight="1">
      <c r="A1" s="1" t="inlineStr">
        <is>
          <t>SIMULATION DE STOCKAGE D'ÉNERGIE THERMIQUE (TES) - CHAMBRE FROIDE 100 m³</t>
        </is>
      </c>
    </row>
    <row r="2" ht="25" customHeight="1"/>
    <row r="3"/>
    <row r="4">
      <c r="A4" s="2" t="inlineStr">
        <is>
          <t>1. PARAMÈTRES FIXES DE CONCEPTION</t>
        </is>
      </c>
      <c r="F4" s="2" t="inlineStr">
        <is>
          <t>2. LOIS PHYSIQUES DE RÉFÉRENCE UTILISÉES</t>
        </is>
      </c>
    </row>
    <row r="5" ht="24" customHeight="1">
      <c r="A5" s="3" t="inlineStr">
        <is>
          <t>Paramètre de Conception</t>
        </is>
      </c>
      <c r="B5" s="3" t="inlineStr">
        <is>
          <t>Valeur</t>
        </is>
      </c>
      <c r="C5" s="3" t="inlineStr">
        <is>
          <t>Unité</t>
        </is>
      </c>
      <c r="D5" s="3" t="inlineStr">
        <is>
          <t>Description physique</t>
        </is>
      </c>
      <c r="F5" s="3" t="inlineStr">
        <is>
          <t>Phénomène Physique</t>
        </is>
      </c>
      <c r="G5" s="3" t="inlineStr">
        <is>
          <t>Formule mathématique clé</t>
        </is>
      </c>
      <c r="H5" s="3" t="inlineStr">
        <is>
          <t>Pertinence et application technique</t>
        </is>
      </c>
    </row>
    <row r="6" ht="60" customHeight="1">
      <c r="A6" s="4" t="inlineStr">
        <is>
          <t>Volume de la chambre froide</t>
        </is>
      </c>
      <c r="B6" s="5" t="n">
        <v>100</v>
      </c>
      <c r="C6" s="6" t="inlineStr">
        <is>
          <t>m³</t>
        </is>
      </c>
      <c r="D6" s="4" t="inlineStr">
        <is>
          <t>Volume géométrique type</t>
        </is>
      </c>
      <c r="F6" s="7" t="inlineStr">
        <is>
          <t>Loi de Fourier (Conduction)</t>
        </is>
      </c>
      <c r="G6" s="8" t="inlineStr">
        <is>
          <t>q_cond = U * A * Delta_T</t>
        </is>
      </c>
      <c r="H6" s="4" t="inlineStr">
        <is>
          <t>Utilisée pour modéliser le transfert thermique à travers les parois isolantes en Polyuréthane de la chambre froide, ainsi que la conduction radiale à travers l'épaisseur de l'Aluminium.</t>
        </is>
      </c>
    </row>
    <row r="7" ht="60" customHeight="1">
      <c r="A7" s="4" t="inlineStr">
        <is>
          <t>Longueur de la chambre</t>
        </is>
      </c>
      <c r="B7" s="5" t="n">
        <v>5</v>
      </c>
      <c r="C7" s="6" t="inlineStr">
        <is>
          <t>m</t>
        </is>
      </c>
      <c r="D7" s="4" t="inlineStr">
        <is>
          <t>Dimensions : 5.0m x 5.0m x 4.0m</t>
        </is>
      </c>
      <c r="F7" s="7" t="inlineStr">
        <is>
          <t>Loi de refroidissement de Newton (Convection)</t>
        </is>
      </c>
      <c r="G7" s="8" t="inlineStr">
        <is>
          <t>q_conv = h * A_eff * (T_air - T_pcm)</t>
        </is>
      </c>
      <c r="H7" s="4" t="inlineStr">
        <is>
          <t>Modélise le transfert convectif entre l'air de la chambre froide et la surface externe des cylindres MCP. Calcule l'impact de la ventilation forcée (ON, h=40) par rapport à la convection naturelle (OFF, h=8).</t>
        </is>
      </c>
    </row>
    <row r="8" ht="60" customHeight="1">
      <c r="A8" s="4" t="inlineStr">
        <is>
          <t>Largeur de la chambre</t>
        </is>
      </c>
      <c r="B8" s="5" t="n">
        <v>5</v>
      </c>
      <c r="C8" s="6" t="inlineStr">
        <is>
          <t>m</t>
        </is>
      </c>
      <c r="D8" s="4" t="inlineStr">
        <is>
          <t>Surface au sol = 25 m²</t>
        </is>
      </c>
      <c r="F8" s="7" t="inlineStr">
        <is>
          <t>Équation de la chaleur latente</t>
        </is>
      </c>
      <c r="G8" s="8" t="inlineStr">
        <is>
          <t>Q = m_pcm * L_f</t>
        </is>
      </c>
      <c r="H8" s="4" t="inlineStr">
        <is>
          <t>Détermine la masse de MCP requise pour absorber le besoin frigorifique total cumulé sur la période d'autonomie cible (8 heures). m_pcm = Q_besoin / L_f.</t>
        </is>
      </c>
    </row>
    <row r="9" ht="60" customHeight="1">
      <c r="A9" s="4" t="inlineStr">
        <is>
          <t>Hauteur de la chambre</t>
        </is>
      </c>
      <c r="B9" s="5" t="n">
        <v>4</v>
      </c>
      <c r="C9" s="6" t="inlineStr">
        <is>
          <t>m</t>
        </is>
      </c>
      <c r="D9" s="4" t="inlineStr">
        <is>
          <t>Hauteur sous plafond</t>
        </is>
      </c>
      <c r="F9" s="7" t="inlineStr">
        <is>
          <t>Équivalent Théorème de Sebbar (Infiltration d'air)</t>
        </is>
      </c>
      <c r="G9" s="8" t="inlineStr">
        <is>
          <t>q_inf = m_dot_air * Delta_h * D_open</t>
        </is>
      </c>
      <c r="H9" s="4" t="inlineStr">
        <is>
          <t>Modélise l'ouverture de porte comme un échange thermique massique dynamique. Le débit massique d'air entrant (m_dot_air) est gouverné par la différence de densité entre l'air intérieur froid et l'air extérieur chaud (tirage thermique gravitaire).</t>
        </is>
      </c>
    </row>
    <row r="10" ht="60" customHeight="1">
      <c r="A10" s="4" t="inlineStr">
        <is>
          <t>Surface de l'enveloppe extérieure</t>
        </is>
      </c>
      <c r="B10" s="9" t="n">
        <v>130</v>
      </c>
      <c r="C10" s="6" t="inlineStr">
        <is>
          <t>m²</t>
        </is>
      </c>
      <c r="D10" s="4" t="inlineStr">
        <is>
          <t>Calculé d'après les dimensions</t>
        </is>
      </c>
      <c r="F10" s="7" t="inlineStr">
        <is>
          <t>Théorie des ailettes (Efficacité d'échange)</t>
        </is>
      </c>
      <c r="G10" s="8" t="inlineStr">
        <is>
          <t>eta_fin = tanh(m*L) / (m*L)</t>
        </is>
      </c>
      <c r="H10" s="4" t="inlineStr">
        <is>
          <t>Permet de calculer l'augmentation réelle de la capacité d'échange thermique externe et interne apportée par les ailettes en aluminium en tenant compte de leur résistance de conduction.</t>
        </is>
      </c>
    </row>
    <row r="11" ht="20" customHeight="1">
      <c r="A11" s="4" t="inlineStr">
        <is>
          <t>Épaisseur isolant PU (+4°C)</t>
        </is>
      </c>
      <c r="B11" s="5" t="n">
        <v>100</v>
      </c>
      <c r="C11" s="6" t="inlineStr">
        <is>
          <t>mm</t>
        </is>
      </c>
      <c r="D11" s="4" t="inlineStr">
        <is>
          <t>Standard algérien pour froid positif</t>
        </is>
      </c>
    </row>
    <row r="12" ht="20" customHeight="1">
      <c r="A12" s="4" t="inlineStr">
        <is>
          <t>Épaisseur isolant PU (-18°C)</t>
        </is>
      </c>
      <c r="B12" s="9" t="n">
        <v>200</v>
      </c>
      <c r="C12" s="6" t="inlineStr">
        <is>
          <t>mm</t>
        </is>
      </c>
      <c r="D12" s="4" t="inlineStr">
        <is>
          <t>Standard algérien pour froid négatif</t>
        </is>
      </c>
    </row>
    <row r="13" ht="20" customHeight="1">
      <c r="A13" s="4" t="inlineStr">
        <is>
          <t>Conductivité thermique PU</t>
        </is>
      </c>
      <c r="B13" s="5" t="n">
        <v>0.022</v>
      </c>
      <c r="C13" s="6" t="inlineStr">
        <is>
          <t>W/m.K</t>
        </is>
      </c>
      <c r="D13" s="4" t="inlineStr">
        <is>
          <t>Conductivité du polyuréthane standard</t>
        </is>
      </c>
    </row>
    <row r="14" ht="20" customHeight="1">
      <c r="A14" s="4" t="inlineStr">
        <is>
          <t>Conductivité de l'Aluminium</t>
        </is>
      </c>
      <c r="B14" s="9" t="n">
        <v>205</v>
      </c>
      <c r="C14" s="6" t="inlineStr">
        <is>
          <t>W/m.K</t>
        </is>
      </c>
      <c r="D14" s="4" t="inlineStr">
        <is>
          <t>Matériau enveloppe MCP</t>
        </is>
      </c>
    </row>
    <row r="15" ht="20" customHeight="1">
      <c r="A15" s="4" t="inlineStr">
        <is>
          <t>Conductivité de la Paraffine (MCP)</t>
        </is>
      </c>
      <c r="B15" s="5" t="n">
        <v>0.2</v>
      </c>
      <c r="C15" s="6" t="inlineStr">
        <is>
          <t>W/m.K</t>
        </is>
      </c>
      <c r="D15" s="4" t="inlineStr">
        <is>
          <t>Matériau à changement de phase</t>
        </is>
      </c>
    </row>
    <row r="16" ht="20" customHeight="1">
      <c r="A16" s="4" t="inlineStr">
        <is>
          <t>Chaleur latente Paraffine (L_f)</t>
        </is>
      </c>
      <c r="B16" s="9" t="n">
        <v>180</v>
      </c>
      <c r="C16" s="6" t="inlineStr">
        <is>
          <t>kJ/kg</t>
        </is>
      </c>
      <c r="D16" s="4" t="inlineStr">
        <is>
          <t>Énergie de changement de phase (180 kJ/kg)</t>
        </is>
      </c>
    </row>
    <row r="17" ht="20" customHeight="1">
      <c r="A17" s="4" t="inlineStr">
        <is>
          <t>Masse volumique Paraffine (MCP)</t>
        </is>
      </c>
      <c r="B17" s="9" t="n">
        <v>850</v>
      </c>
      <c r="C17" s="6" t="inlineStr">
        <is>
          <t>kg/m³</t>
        </is>
      </c>
      <c r="D17" s="4" t="inlineStr">
        <is>
          <t>Phase liquide/solide moyenne</t>
        </is>
      </c>
    </row>
    <row r="18" ht="20" customHeight="1">
      <c r="A18" s="4" t="inlineStr">
        <is>
          <t>Autonomie cible requise</t>
        </is>
      </c>
      <c r="B18" s="5" t="n">
        <v>8</v>
      </c>
      <c r="C18" s="6" t="inlineStr">
        <is>
          <t>heures</t>
        </is>
      </c>
      <c r="D18" s="4" t="inlineStr">
        <is>
          <t>Heures de décharge sans compresseur</t>
        </is>
      </c>
    </row>
    <row r="19" ht="20" customHeight="1">
      <c r="A19" s="4" t="inlineStr">
        <is>
          <t>Volume du stock stocké</t>
        </is>
      </c>
      <c r="B19" s="9" t="n">
        <v>20000</v>
      </c>
      <c r="C19" s="6" t="inlineStr">
        <is>
          <t>L</t>
        </is>
      </c>
      <c r="D19" s="4" t="inlineStr">
        <is>
          <t>Equivalent à 20 tonnes d'eau/produit</t>
        </is>
      </c>
    </row>
    <row r="20" ht="20" customHeight="1">
      <c r="A20" s="4" t="inlineStr">
        <is>
          <t>Renouvellement stock par jour</t>
        </is>
      </c>
      <c r="B20" s="5" t="n">
        <v>10</v>
      </c>
      <c r="C20" s="6" t="inlineStr">
        <is>
          <t>%</t>
        </is>
      </c>
      <c r="D20" s="4" t="inlineStr">
        <is>
          <t>Turnover quotidien de marchandises</t>
        </is>
      </c>
    </row>
    <row r="21" ht="20" customHeight="1">
      <c r="A21" s="4" t="inlineStr">
        <is>
          <t>Dimensions porte (L x H)</t>
        </is>
      </c>
      <c r="B21" s="10" t="inlineStr">
        <is>
          <t>1.2 x 2.0</t>
        </is>
      </c>
      <c r="C21" s="6" t="inlineStr">
        <is>
          <t>m</t>
        </is>
      </c>
      <c r="D21" s="4" t="inlineStr">
        <is>
          <t>Porte pivotante de service</t>
        </is>
      </c>
    </row>
    <row r="22" ht="20" customHeight="1">
      <c r="A22" s="4" t="inlineStr">
        <is>
          <t>Ouvertures de porte par heure</t>
        </is>
      </c>
      <c r="B22" s="5" t="n">
        <v>4</v>
      </c>
      <c r="C22" s="6" t="inlineStr">
        <is>
          <t>fois/h</t>
        </is>
      </c>
      <c r="D22" s="4" t="inlineStr">
        <is>
          <t>Fréquence d'accès industrielle moyenne</t>
        </is>
      </c>
    </row>
    <row r="23" ht="20" customHeight="1">
      <c r="A23" s="4" t="inlineStr">
        <is>
          <t>Durée d'ouverture moyenne</t>
        </is>
      </c>
      <c r="B23" s="5" t="n">
        <v>30</v>
      </c>
      <c r="C23" s="6" t="inlineStr">
        <is>
          <t>s</t>
        </is>
      </c>
      <c r="D23" s="4" t="inlineStr">
        <is>
          <t>Infiltration massique d'air extérieur</t>
        </is>
      </c>
    </row>
    <row r="24" ht="20" customHeight="1">
      <c r="A24" s="4" t="inlineStr">
        <is>
          <t>Résistance de contact Époxy</t>
        </is>
      </c>
      <c r="B24" s="11" t="n">
        <v>0.0005</v>
      </c>
      <c r="C24" s="6" t="inlineStr">
        <is>
          <t>m².K/W</t>
        </is>
      </c>
      <c r="D24" s="4" t="inlineStr">
        <is>
          <t>Résistance thermique peinture</t>
        </is>
      </c>
    </row>
    <row r="25"/>
    <row r="26"/>
    <row r="27">
      <c r="A27" s="2" t="inlineStr">
        <is>
          <t>3. SYNTHÈSE DES CONFIGURATIONS OPTIMALES PAR SCÉNARIO</t>
        </is>
      </c>
    </row>
    <row r="28">
      <c r="A28" s="12" t="inlineStr">
        <is>
          <t>*Note : L'optimum est identifié comme la configuration qui maximise le temps d'autonomie tout en optimisant l'efficacité totale et en limitant l'utilisation superflue de matière (Al/MCP).</t>
        </is>
      </c>
    </row>
    <row r="29"/>
    <row r="30" ht="24" customHeight="1">
      <c r="A30" s="3" t="inlineStr">
        <is>
          <t>T. Cible (°C)</t>
        </is>
      </c>
      <c r="B30" s="3" t="inlineStr">
        <is>
          <t>T. Ext (°C)</t>
        </is>
      </c>
      <c r="C30" s="3" t="inlineStr">
        <is>
          <t>Dia. Cyl (mm)</t>
        </is>
      </c>
      <c r="D30" s="3" t="inlineStr">
        <is>
          <t>Ép. Al (mm)</t>
        </is>
      </c>
      <c r="E30" s="3" t="inlineStr">
        <is>
          <t>N. Ailettes</t>
        </is>
      </c>
      <c r="F30" s="3" t="inlineStr">
        <is>
          <t>Ép. Ail (mm)</t>
        </is>
      </c>
      <c r="G30" s="3" t="inlineStr">
        <is>
          <t>Peinture</t>
        </is>
      </c>
      <c r="H30" s="3" t="inlineStr">
        <is>
          <t>Ventilation</t>
        </is>
      </c>
      <c r="I30" s="3" t="inlineStr">
        <is>
          <t>Charge (W)</t>
        </is>
      </c>
      <c r="J30" s="3" t="inlineStr">
        <is>
          <t>Masse MCP (kg)</t>
        </is>
      </c>
      <c r="K30" s="3" t="inlineStr">
        <is>
          <t>Masse Al (kg)</t>
        </is>
      </c>
      <c r="L30" s="3" t="inlineStr">
        <is>
          <t>Autonomie (h)</t>
        </is>
      </c>
      <c r="M30" s="3" t="inlineStr">
        <is>
          <t>Eff. Totale (%)</t>
        </is>
      </c>
      <c r="N30" s="3" t="inlineStr">
        <is>
          <t>Score (h/kg)</t>
        </is>
      </c>
    </row>
    <row r="31" ht="22" customHeight="1">
      <c r="A31" s="13" t="n">
        <v>4</v>
      </c>
      <c r="B31" s="13" t="n">
        <v>25</v>
      </c>
      <c r="C31" s="14" t="n">
        <v>85</v>
      </c>
      <c r="D31" s="14" t="n">
        <v>2</v>
      </c>
      <c r="E31" s="15" t="n">
        <v>4</v>
      </c>
      <c r="F31" s="14" t="n">
        <v>1.5</v>
      </c>
      <c r="G31" s="15" t="inlineStr">
        <is>
          <t>Non</t>
        </is>
      </c>
      <c r="H31" s="15" t="inlineStr">
        <is>
          <t>ON</t>
        </is>
      </c>
      <c r="I31" s="16" t="n">
        <v>3671.094534419641</v>
      </c>
      <c r="J31" s="17" t="n">
        <v>587.3751255071425</v>
      </c>
      <c r="K31" s="17" t="n">
        <v>303.2390041217173</v>
      </c>
      <c r="L31" s="18" t="n">
        <v>7.983023133600813</v>
      </c>
      <c r="M31" s="19" t="n">
        <v>0.6581173960516479</v>
      </c>
      <c r="N31" s="20" t="n">
        <v>0.01359101328424188</v>
      </c>
    </row>
    <row r="32" ht="22" customHeight="1">
      <c r="A32" s="13" t="n">
        <v>4</v>
      </c>
      <c r="B32" s="13" t="n">
        <v>30</v>
      </c>
      <c r="C32" s="14" t="n">
        <v>85</v>
      </c>
      <c r="D32" s="14" t="n">
        <v>2</v>
      </c>
      <c r="E32" s="15" t="n">
        <v>4</v>
      </c>
      <c r="F32" s="14" t="n">
        <v>1.5</v>
      </c>
      <c r="G32" s="15" t="inlineStr">
        <is>
          <t>Non</t>
        </is>
      </c>
      <c r="H32" s="15" t="inlineStr">
        <is>
          <t>ON</t>
        </is>
      </c>
      <c r="I32" s="16" t="n">
        <v>5081.537843848069</v>
      </c>
      <c r="J32" s="17" t="n">
        <v>813.0460550156911</v>
      </c>
      <c r="K32" s="17" t="n">
        <v>419.7441555176159</v>
      </c>
      <c r="L32" s="18" t="n">
        <v>7.983023133600814</v>
      </c>
      <c r="M32" s="19" t="n">
        <v>0.6581173960516479</v>
      </c>
      <c r="N32" s="20" t="n">
        <v>0.00981866043670398</v>
      </c>
    </row>
    <row r="33" ht="22" customHeight="1">
      <c r="A33" s="13" t="n">
        <v>4</v>
      </c>
      <c r="B33" s="13" t="n">
        <v>35</v>
      </c>
      <c r="C33" s="14" t="n">
        <v>85</v>
      </c>
      <c r="D33" s="14" t="n">
        <v>2</v>
      </c>
      <c r="E33" s="15" t="n">
        <v>4</v>
      </c>
      <c r="F33" s="14" t="n">
        <v>1.5</v>
      </c>
      <c r="G33" s="15" t="inlineStr">
        <is>
          <t>Non</t>
        </is>
      </c>
      <c r="H33" s="15" t="inlineStr">
        <is>
          <t>ON</t>
        </is>
      </c>
      <c r="I33" s="16" t="n">
        <v>6742.890423683844</v>
      </c>
      <c r="J33" s="17" t="n">
        <v>1078.862467789415</v>
      </c>
      <c r="K33" s="17" t="n">
        <v>556.9748634389224</v>
      </c>
      <c r="L33" s="18" t="n">
        <v>7.983023133600815</v>
      </c>
      <c r="M33" s="19" t="n">
        <v>0.6581173960516481</v>
      </c>
      <c r="N33" s="20" t="n">
        <v>0.0073994817429862</v>
      </c>
    </row>
    <row r="34" ht="22" customHeight="1">
      <c r="A34" s="13" t="n">
        <v>4</v>
      </c>
      <c r="B34" s="13" t="n">
        <v>40</v>
      </c>
      <c r="C34" s="14" t="n">
        <v>85</v>
      </c>
      <c r="D34" s="14" t="n">
        <v>2</v>
      </c>
      <c r="E34" s="15" t="n">
        <v>4</v>
      </c>
      <c r="F34" s="14" t="n">
        <v>1.5</v>
      </c>
      <c r="G34" s="15" t="inlineStr">
        <is>
          <t>Non</t>
        </is>
      </c>
      <c r="H34" s="15" t="inlineStr">
        <is>
          <t>ON</t>
        </is>
      </c>
      <c r="I34" s="16" t="n">
        <v>8721.782079457595</v>
      </c>
      <c r="J34" s="17" t="n">
        <v>1395.485132713215</v>
      </c>
      <c r="K34" s="17" t="n">
        <v>720.4348695312126</v>
      </c>
      <c r="L34" s="18" t="n">
        <v>7.983023133600813</v>
      </c>
      <c r="M34" s="19" t="n">
        <v>0.6581173960516479</v>
      </c>
      <c r="N34" s="20" t="n">
        <v>0.005720607799009348</v>
      </c>
    </row>
    <row r="35" ht="22" customHeight="1">
      <c r="A35" s="13" t="n">
        <v>4</v>
      </c>
      <c r="B35" s="13" t="n">
        <v>45</v>
      </c>
      <c r="C35" s="14" t="n">
        <v>85</v>
      </c>
      <c r="D35" s="14" t="n">
        <v>2</v>
      </c>
      <c r="E35" s="15" t="n">
        <v>4</v>
      </c>
      <c r="F35" s="14" t="n">
        <v>1.5</v>
      </c>
      <c r="G35" s="15" t="inlineStr">
        <is>
          <t>Non</t>
        </is>
      </c>
      <c r="H35" s="15" t="inlineStr">
        <is>
          <t>ON</t>
        </is>
      </c>
      <c r="I35" s="16" t="n">
        <v>11107.24611588331</v>
      </c>
      <c r="J35" s="17" t="n">
        <v>1777.159378541329</v>
      </c>
      <c r="K35" s="17" t="n">
        <v>917.4784847232853</v>
      </c>
      <c r="L35" s="18" t="n">
        <v>7.983023133600814</v>
      </c>
      <c r="M35" s="19" t="n">
        <v>0.658117396051648</v>
      </c>
      <c r="N35" s="20" t="n">
        <v>0.004492013057463187</v>
      </c>
    </row>
    <row r="36" ht="22" customHeight="1">
      <c r="A36" s="13" t="n">
        <v>-18</v>
      </c>
      <c r="B36" s="13" t="n">
        <v>25</v>
      </c>
      <c r="C36" s="14" t="n">
        <v>105</v>
      </c>
      <c r="D36" s="14" t="n">
        <v>2</v>
      </c>
      <c r="E36" s="15" t="n">
        <v>4</v>
      </c>
      <c r="F36" s="14" t="n">
        <v>1.5</v>
      </c>
      <c r="G36" s="15" t="inlineStr">
        <is>
          <t>Oui</t>
        </is>
      </c>
      <c r="H36" s="15" t="inlineStr">
        <is>
          <t>ON</t>
        </is>
      </c>
      <c r="I36" s="16" t="n">
        <v>8109.509937636571</v>
      </c>
      <c r="J36" s="17" t="n">
        <v>1297.521590021851</v>
      </c>
      <c r="K36" s="17" t="n">
        <v>519.641669642749</v>
      </c>
      <c r="L36" s="18" t="n">
        <v>8</v>
      </c>
      <c r="M36" s="19" t="n">
        <v>0.7140368831039094</v>
      </c>
      <c r="N36" s="20" t="n">
        <v>0.006165600681731448</v>
      </c>
    </row>
    <row r="37" ht="22" customHeight="1">
      <c r="A37" s="13" t="n">
        <v>-18</v>
      </c>
      <c r="B37" s="13" t="n">
        <v>30</v>
      </c>
      <c r="C37" s="14" t="n">
        <v>105</v>
      </c>
      <c r="D37" s="14" t="n">
        <v>2</v>
      </c>
      <c r="E37" s="15" t="n">
        <v>4</v>
      </c>
      <c r="F37" s="14" t="n">
        <v>1.5</v>
      </c>
      <c r="G37" s="15" t="inlineStr">
        <is>
          <t>Oui</t>
        </is>
      </c>
      <c r="H37" s="15" t="inlineStr">
        <is>
          <t>ON</t>
        </is>
      </c>
      <c r="I37" s="16" t="n">
        <v>9751.457053441934</v>
      </c>
      <c r="J37" s="17" t="n">
        <v>1560.23312855071</v>
      </c>
      <c r="K37" s="17" t="n">
        <v>624.8544565168789</v>
      </c>
      <c r="L37" s="18" t="n">
        <v>8</v>
      </c>
      <c r="M37" s="19" t="n">
        <v>0.7140368831039096</v>
      </c>
      <c r="N37" s="20" t="n">
        <v>0.005127438876670404</v>
      </c>
    </row>
    <row r="38" ht="22" customHeight="1">
      <c r="A38" s="13" t="n">
        <v>-18</v>
      </c>
      <c r="B38" s="13" t="n">
        <v>35</v>
      </c>
      <c r="C38" s="14" t="n">
        <v>105</v>
      </c>
      <c r="D38" s="14" t="n">
        <v>2</v>
      </c>
      <c r="E38" s="15" t="n">
        <v>4</v>
      </c>
      <c r="F38" s="14" t="n">
        <v>1.5</v>
      </c>
      <c r="G38" s="15" t="inlineStr">
        <is>
          <t>Oui</t>
        </is>
      </c>
      <c r="H38" s="15" t="inlineStr">
        <is>
          <t>ON</t>
        </is>
      </c>
      <c r="I38" s="16" t="n">
        <v>11667.64377393681</v>
      </c>
      <c r="J38" s="17" t="n">
        <v>1866.82300382989</v>
      </c>
      <c r="K38" s="17" t="n">
        <v>747.6399854135136</v>
      </c>
      <c r="L38" s="18" t="n">
        <v>8</v>
      </c>
      <c r="M38" s="19" t="n">
        <v>0.7140368831039096</v>
      </c>
      <c r="N38" s="20" t="n">
        <v>0.004285355378408966</v>
      </c>
    </row>
    <row r="39" ht="22" customHeight="1">
      <c r="A39" s="13" t="n">
        <v>-18</v>
      </c>
      <c r="B39" s="13" t="n">
        <v>40</v>
      </c>
      <c r="C39" s="14" t="n">
        <v>105</v>
      </c>
      <c r="D39" s="14" t="n">
        <v>2</v>
      </c>
      <c r="E39" s="15" t="n">
        <v>4</v>
      </c>
      <c r="F39" s="14" t="n">
        <v>1.5</v>
      </c>
      <c r="G39" s="15" t="inlineStr">
        <is>
          <t>Oui</t>
        </is>
      </c>
      <c r="H39" s="15" t="inlineStr">
        <is>
          <t>ON</t>
        </is>
      </c>
      <c r="I39" s="16" t="n">
        <v>13935.84115925486</v>
      </c>
      <c r="J39" s="17" t="n">
        <v>2229.734585480778</v>
      </c>
      <c r="K39" s="17" t="n">
        <v>892.9816750408764</v>
      </c>
      <c r="L39" s="18" t="n">
        <v>8</v>
      </c>
      <c r="M39" s="19" t="n">
        <v>0.7140368831039096</v>
      </c>
      <c r="N39" s="20" t="n">
        <v>0.003587870974461757</v>
      </c>
    </row>
    <row r="40" ht="22" customHeight="1">
      <c r="A40" s="13" t="n">
        <v>-18</v>
      </c>
      <c r="B40" s="13" t="n">
        <v>45</v>
      </c>
      <c r="C40" s="14" t="n">
        <v>105</v>
      </c>
      <c r="D40" s="14" t="n">
        <v>2</v>
      </c>
      <c r="E40" s="15" t="n">
        <v>4</v>
      </c>
      <c r="F40" s="14" t="n">
        <v>1.5</v>
      </c>
      <c r="G40" s="15" t="inlineStr">
        <is>
          <t>Oui</t>
        </is>
      </c>
      <c r="H40" s="15" t="inlineStr">
        <is>
          <t>ON</t>
        </is>
      </c>
      <c r="I40" s="16" t="n">
        <v>16657.85472070074</v>
      </c>
      <c r="J40" s="17" t="n">
        <v>2665.256755312118</v>
      </c>
      <c r="K40" s="17" t="n">
        <v>1067.403025127066</v>
      </c>
      <c r="L40" s="18" t="n">
        <v>8</v>
      </c>
      <c r="M40" s="19" t="n">
        <v>0.7140368831039096</v>
      </c>
      <c r="N40" s="20" t="n">
        <v>0.003001586989341728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0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5" customWidth="1" min="3" max="3"/>
    <col width="26" customWidth="1" min="4" max="4"/>
    <col width="20" customWidth="1" min="5" max="5"/>
    <col width="26" customWidth="1" min="6" max="6"/>
    <col width="17" customWidth="1" min="7" max="7"/>
    <col width="14" customWidth="1" min="8" max="8"/>
    <col width="21" customWidth="1" min="9" max="9"/>
    <col width="25" customWidth="1" min="10" max="10"/>
    <col width="30" customWidth="1" min="11" max="11"/>
    <col width="23" customWidth="1" min="12" max="12"/>
    <col width="30" customWidth="1" min="13" max="13"/>
    <col width="81" customWidth="1" min="14" max="14"/>
    <col width="23" customWidth="1" min="15" max="15"/>
    <col width="30" customWidth="1" min="16" max="16"/>
    <col width="26" customWidth="1" min="17" max="17"/>
    <col width="21" customWidth="1" min="18" max="18"/>
    <col width="31" customWidth="1" min="19" max="19"/>
    <col width="42" customWidth="1" min="20" max="20"/>
    <col width="27" customWidth="1" min="21" max="21"/>
    <col width="31" customWidth="1" min="22" max="22"/>
    <col width="24" customWidth="1" min="23" max="23"/>
    <col width="30" customWidth="1" min="24" max="24"/>
    <col width="85" customWidth="1" min="25" max="25"/>
  </cols>
  <sheetData>
    <row r="1" ht="30" customHeight="1">
      <c r="A1" s="3" t="inlineStr">
        <is>
          <t>Temp. Cible (°C)</t>
        </is>
      </c>
      <c r="B1" s="3" t="inlineStr">
        <is>
          <t>Temp. Extérieure (°C)</t>
        </is>
      </c>
      <c r="C1" s="3" t="inlineStr">
        <is>
          <t>Diamètre Cylindre (mm)</t>
        </is>
      </c>
      <c r="D1" s="3" t="inlineStr">
        <is>
          <t>Épaisseur Paroi Al (mm)</t>
        </is>
      </c>
      <c r="E1" s="3" t="inlineStr">
        <is>
          <t>Nombre d'Ailettes</t>
        </is>
      </c>
      <c r="F1" s="3" t="inlineStr">
        <is>
          <t>Épaisseur Ailettes (mm)</t>
        </is>
      </c>
      <c r="G1" s="3" t="inlineStr">
        <is>
          <t>Peinture Époxy</t>
        </is>
      </c>
      <c r="H1" s="3" t="inlineStr">
        <is>
          <t>Ventilation</t>
        </is>
      </c>
      <c r="I1" s="3" t="inlineStr">
        <is>
          <t>Pertes Parois (W)</t>
        </is>
      </c>
      <c r="J1" s="3" t="inlineStr">
        <is>
          <t>Infiltration Porte (W)</t>
        </is>
      </c>
      <c r="K1" s="3" t="inlineStr">
        <is>
          <t>Refroidissement Produit (W)</t>
        </is>
      </c>
      <c r="L1" s="3" t="inlineStr">
        <is>
          <t>Charges Internes (W)</t>
        </is>
      </c>
      <c r="M1" s="3" t="inlineStr">
        <is>
          <t>Charge Thermique Totale (W)</t>
        </is>
      </c>
      <c r="N1" s="3" t="inlineStr">
        <is>
          <t>Masse MCP Requise (kg)</t>
        </is>
      </c>
      <c r="O1" s="3" t="inlineStr">
        <is>
          <t>Masse Aluminium (kg)</t>
        </is>
      </c>
      <c r="P1" s="3" t="inlineStr">
        <is>
          <t>Résistance Linéaire (K.m/W)</t>
        </is>
      </c>
      <c r="Q1" s="3" t="inlineStr">
        <is>
          <t>Lambda Eff. MCP (W/m.K)</t>
        </is>
      </c>
      <c r="R1" s="3" t="inlineStr">
        <is>
          <t>UA Batterie (W/K)</t>
        </is>
      </c>
      <c r="S1" s="3" t="inlineStr">
        <is>
          <t>Puissance Batterie Max (W)</t>
        </is>
      </c>
      <c r="T1" s="3" t="inlineStr">
        <is>
          <t>Temps d'Autonomie (h)</t>
        </is>
      </c>
      <c r="U1" s="3" t="inlineStr">
        <is>
          <t>Efficacité Thermique (%)</t>
        </is>
      </c>
      <c r="V1" s="3" t="inlineStr">
        <is>
          <t>Efficacité Gravimétrique (%)</t>
        </is>
      </c>
      <c r="W1" s="3" t="inlineStr">
        <is>
          <t>Efficacité Totale (%)</t>
        </is>
      </c>
      <c r="X1" s="3" t="inlineStr">
        <is>
          <t>Score d'Optimisation (h/kg)</t>
        </is>
      </c>
      <c r="Y1" s="3" t="inlineStr">
        <is>
          <t>Statut Optimalité</t>
        </is>
      </c>
    </row>
    <row r="2" ht="20" customHeight="1">
      <c r="A2" s="21" t="n">
        <v>4</v>
      </c>
      <c r="B2" s="21" t="n">
        <v>25</v>
      </c>
      <c r="C2" s="22" t="n">
        <v>80</v>
      </c>
      <c r="D2" s="22" t="n">
        <v>2</v>
      </c>
      <c r="E2" s="23" t="n">
        <v>0</v>
      </c>
      <c r="F2" s="22" t="n">
        <v>0</v>
      </c>
      <c r="G2" s="23" t="inlineStr">
        <is>
          <t>Oui</t>
        </is>
      </c>
      <c r="H2" s="23" t="inlineStr">
        <is>
          <t>ON</t>
        </is>
      </c>
      <c r="I2" s="24" t="n">
        <v>580.1183283215253</v>
      </c>
      <c r="J2" s="24" t="n">
        <v>1533.568798690708</v>
      </c>
      <c r="K2" s="24" t="n">
        <v>1407.407407407407</v>
      </c>
      <c r="L2" s="24" t="n">
        <v>150</v>
      </c>
      <c r="M2" s="24">
        <f>I2+J2+K2+L2</f>
        <v/>
      </c>
      <c r="N2" s="24">
        <f>M2*'Dashboard &amp; Optimisation'!$B$18/('Dashboard &amp; Optimisation'!$B$16/3.6)</f>
        <v/>
      </c>
      <c r="O2" s="24" t="n">
        <v>201.5662399084313</v>
      </c>
      <c r="P2" s="25" t="n">
        <v>0.5013778930875155</v>
      </c>
      <c r="Q2" s="26" t="n">
        <v>0.2</v>
      </c>
      <c r="R2" s="24" t="n">
        <v>303.8186140060055</v>
      </c>
      <c r="S2" s="24">
        <f>R2*IF(A2=4, 2.0, 3.0)</f>
        <v/>
      </c>
      <c r="T2" s="22">
        <f>'Dashboard &amp; Optimisation'!$B$18*U2</f>
        <v/>
      </c>
      <c r="U2" s="27">
        <f>MIN(1, S2/M2)</f>
        <v/>
      </c>
      <c r="V2" s="27">
        <f>N2/(N2+O2)</f>
        <v/>
      </c>
      <c r="W2" s="27">
        <f>U2*V2</f>
        <v/>
      </c>
      <c r="X2" s="25">
        <f>T2/N2</f>
        <v/>
      </c>
      <c r="Y2" s="28">
        <f>IF(W2=MAXIFS(W$2:W$3601, A$2:A$3601, A2, B$2:B$3601, B2), "OPTIMAL", "")</f>
        <v/>
      </c>
    </row>
    <row r="3" ht="20" customHeight="1">
      <c r="A3" s="29" t="n">
        <v>4</v>
      </c>
      <c r="B3" s="29" t="n">
        <v>25</v>
      </c>
      <c r="C3" s="30" t="n">
        <v>80</v>
      </c>
      <c r="D3" s="30" t="n">
        <v>2</v>
      </c>
      <c r="E3" s="6" t="n">
        <v>0</v>
      </c>
      <c r="F3" s="30" t="n">
        <v>0</v>
      </c>
      <c r="G3" s="6" t="inlineStr">
        <is>
          <t>Oui</t>
        </is>
      </c>
      <c r="H3" s="6" t="inlineStr">
        <is>
          <t>OFF</t>
        </is>
      </c>
      <c r="I3" s="31" t="n">
        <v>580.1183283215253</v>
      </c>
      <c r="J3" s="31" t="n">
        <v>1533.568798690708</v>
      </c>
      <c r="K3" s="31" t="n">
        <v>1407.407407407407</v>
      </c>
      <c r="L3" s="31" t="n">
        <v>150</v>
      </c>
      <c r="M3" s="31">
        <f>I3+J3+K3+L3</f>
        <v/>
      </c>
      <c r="N3" s="31">
        <f>M3*'Dashboard &amp; Optimisation'!$B$18/('Dashboard &amp; Optimisation'!$B$16/3.6)</f>
        <v/>
      </c>
      <c r="O3" s="31" t="n">
        <v>201.5662399084313</v>
      </c>
      <c r="P3" s="32" t="n">
        <v>0.8992652508172538</v>
      </c>
      <c r="Q3" s="33" t="n">
        <v>0.2</v>
      </c>
      <c r="R3" s="31" t="n">
        <v>169.3915520839533</v>
      </c>
      <c r="S3" s="31">
        <f>R3*IF(A3=4, 2.0, 3.0)</f>
        <v/>
      </c>
      <c r="T3" s="30">
        <f>'Dashboard &amp; Optimisation'!$B$18*U3</f>
        <v/>
      </c>
      <c r="U3" s="34">
        <f>MIN(1, S3/M3)</f>
        <v/>
      </c>
      <c r="V3" s="34">
        <f>N3/(N3+O3)</f>
        <v/>
      </c>
      <c r="W3" s="34">
        <f>U3*V3</f>
        <v/>
      </c>
      <c r="X3" s="32">
        <f>T3/N3</f>
        <v/>
      </c>
      <c r="Y3" s="35">
        <f>IF(W3=MAXIFS(W$2:W$3601, A$2:A$3601, A3, B$2:B$3601, B3), "OPTIMAL", "")</f>
        <v/>
      </c>
    </row>
    <row r="4" ht="20" customHeight="1">
      <c r="A4" s="21" t="n">
        <v>4</v>
      </c>
      <c r="B4" s="21" t="n">
        <v>25</v>
      </c>
      <c r="C4" s="22" t="n">
        <v>80</v>
      </c>
      <c r="D4" s="22" t="n">
        <v>2</v>
      </c>
      <c r="E4" s="23" t="n">
        <v>0</v>
      </c>
      <c r="F4" s="22" t="n">
        <v>0</v>
      </c>
      <c r="G4" s="23" t="inlineStr">
        <is>
          <t>Non</t>
        </is>
      </c>
      <c r="H4" s="23" t="inlineStr">
        <is>
          <t>ON</t>
        </is>
      </c>
      <c r="I4" s="24" t="n">
        <v>580.1183283215253</v>
      </c>
      <c r="J4" s="24" t="n">
        <v>1533.568798690708</v>
      </c>
      <c r="K4" s="24" t="n">
        <v>1407.407407407407</v>
      </c>
      <c r="L4" s="24" t="n">
        <v>150</v>
      </c>
      <c r="M4" s="24">
        <f>I4+J4+K4+L4</f>
        <v/>
      </c>
      <c r="N4" s="24">
        <f>M4*'Dashboard &amp; Optimisation'!$B$18/('Dashboard &amp; Optimisation'!$B$16/3.6)</f>
        <v/>
      </c>
      <c r="O4" s="24" t="n">
        <v>201.5662399084313</v>
      </c>
      <c r="P4" s="25" t="n">
        <v>0.4973990195102181</v>
      </c>
      <c r="Q4" s="26" t="n">
        <v>0.2</v>
      </c>
      <c r="R4" s="24" t="n">
        <v>306.248968325461</v>
      </c>
      <c r="S4" s="24">
        <f>R4*IF(A4=4, 2.0, 3.0)</f>
        <v/>
      </c>
      <c r="T4" s="22">
        <f>'Dashboard &amp; Optimisation'!$B$18*U4</f>
        <v/>
      </c>
      <c r="U4" s="27">
        <f>MIN(1, S4/M4)</f>
        <v/>
      </c>
      <c r="V4" s="27">
        <f>N4/(N4+O4)</f>
        <v/>
      </c>
      <c r="W4" s="27">
        <f>U4*V4</f>
        <v/>
      </c>
      <c r="X4" s="25">
        <f>T4/N4</f>
        <v/>
      </c>
      <c r="Y4" s="28">
        <f>IF(W4=MAXIFS(W$2:W$3601, A$2:A$3601, A4, B$2:B$3601, B4), "OPTIMAL", "")</f>
        <v/>
      </c>
    </row>
    <row r="5" ht="20" customHeight="1">
      <c r="A5" s="29" t="n">
        <v>4</v>
      </c>
      <c r="B5" s="29" t="n">
        <v>25</v>
      </c>
      <c r="C5" s="30" t="n">
        <v>80</v>
      </c>
      <c r="D5" s="30" t="n">
        <v>2</v>
      </c>
      <c r="E5" s="6" t="n">
        <v>0</v>
      </c>
      <c r="F5" s="30" t="n">
        <v>0</v>
      </c>
      <c r="G5" s="6" t="inlineStr">
        <is>
          <t>Non</t>
        </is>
      </c>
      <c r="H5" s="6" t="inlineStr">
        <is>
          <t>OFF</t>
        </is>
      </c>
      <c r="I5" s="31" t="n">
        <v>580.1183283215253</v>
      </c>
      <c r="J5" s="31" t="n">
        <v>1533.568798690708</v>
      </c>
      <c r="K5" s="31" t="n">
        <v>1407.407407407407</v>
      </c>
      <c r="L5" s="31" t="n">
        <v>150</v>
      </c>
      <c r="M5" s="31">
        <f>I5+J5+K5+L5</f>
        <v/>
      </c>
      <c r="N5" s="31">
        <f>M5*'Dashboard &amp; Optimisation'!$B$18/('Dashboard &amp; Optimisation'!$B$16/3.6)</f>
        <v/>
      </c>
      <c r="O5" s="31" t="n">
        <v>201.5662399084313</v>
      </c>
      <c r="P5" s="32" t="n">
        <v>0.8952863772399564</v>
      </c>
      <c r="Q5" s="33" t="n">
        <v>0.2</v>
      </c>
      <c r="R5" s="31" t="n">
        <v>170.1443699397125</v>
      </c>
      <c r="S5" s="31">
        <f>R5*IF(A5=4, 2.0, 3.0)</f>
        <v/>
      </c>
      <c r="T5" s="30">
        <f>'Dashboard &amp; Optimisation'!$B$18*U5</f>
        <v/>
      </c>
      <c r="U5" s="34">
        <f>MIN(1, S5/M5)</f>
        <v/>
      </c>
      <c r="V5" s="34">
        <f>N5/(N5+O5)</f>
        <v/>
      </c>
      <c r="W5" s="34">
        <f>U5*V5</f>
        <v/>
      </c>
      <c r="X5" s="32">
        <f>T5/N5</f>
        <v/>
      </c>
      <c r="Y5" s="35">
        <f>IF(W5=MAXIFS(W$2:W$3601, A$2:A$3601, A5, B$2:B$3601, B5), "OPTIMAL", "")</f>
        <v/>
      </c>
    </row>
    <row r="6" ht="20" customHeight="1">
      <c r="A6" s="21" t="n">
        <v>4</v>
      </c>
      <c r="B6" s="21" t="n">
        <v>25</v>
      </c>
      <c r="C6" s="22" t="n">
        <v>80</v>
      </c>
      <c r="D6" s="22" t="n">
        <v>2</v>
      </c>
      <c r="E6" s="23" t="n">
        <v>4</v>
      </c>
      <c r="F6" s="22" t="n">
        <v>1.5</v>
      </c>
      <c r="G6" s="23" t="inlineStr">
        <is>
          <t>Oui</t>
        </is>
      </c>
      <c r="H6" s="23" t="inlineStr">
        <is>
          <t>ON</t>
        </is>
      </c>
      <c r="I6" s="24" t="n">
        <v>580.1183283215253</v>
      </c>
      <c r="J6" s="24" t="n">
        <v>1533.568798690708</v>
      </c>
      <c r="K6" s="24" t="n">
        <v>1407.407407407407</v>
      </c>
      <c r="L6" s="24" t="n">
        <v>150</v>
      </c>
      <c r="M6" s="24">
        <f>I6+J6+K6+L6</f>
        <v/>
      </c>
      <c r="N6" s="24">
        <f>M6*'Dashboard &amp; Optimisation'!$B$18/('Dashboard &amp; Optimisation'!$B$16/3.6)</f>
        <v/>
      </c>
      <c r="O6" s="24" t="n">
        <v>326.7377186166691</v>
      </c>
      <c r="P6" s="25" t="n">
        <v>0.08231647342522849</v>
      </c>
      <c r="Q6" s="26" t="n">
        <v>8.434509224055622</v>
      </c>
      <c r="R6" s="24" t="n">
        <v>1928.037515968289</v>
      </c>
      <c r="S6" s="24">
        <f>R6*IF(A6=4, 2.0, 3.0)</f>
        <v/>
      </c>
      <c r="T6" s="22">
        <f>'Dashboard &amp; Optimisation'!$B$18*U6</f>
        <v/>
      </c>
      <c r="U6" s="27">
        <f>MIN(1, S6/M6)</f>
        <v/>
      </c>
      <c r="V6" s="27">
        <f>N6/(N6+O6)</f>
        <v/>
      </c>
      <c r="W6" s="27">
        <f>U6*V6</f>
        <v/>
      </c>
      <c r="X6" s="25">
        <f>T6/N6</f>
        <v/>
      </c>
      <c r="Y6" s="28">
        <f>IF(W6=MAXIFS(W$2:W$3601, A$2:A$3601, A6, B$2:B$3601, B6), "OPTIMAL", "")</f>
        <v/>
      </c>
    </row>
    <row r="7" ht="20" customHeight="1">
      <c r="A7" s="29" t="n">
        <v>4</v>
      </c>
      <c r="B7" s="29" t="n">
        <v>25</v>
      </c>
      <c r="C7" s="30" t="n">
        <v>80</v>
      </c>
      <c r="D7" s="30" t="n">
        <v>2</v>
      </c>
      <c r="E7" s="6" t="n">
        <v>4</v>
      </c>
      <c r="F7" s="30" t="n">
        <v>1.5</v>
      </c>
      <c r="G7" s="6" t="inlineStr">
        <is>
          <t>Oui</t>
        </is>
      </c>
      <c r="H7" s="6" t="inlineStr">
        <is>
          <t>OFF</t>
        </is>
      </c>
      <c r="I7" s="31" t="n">
        <v>580.1183283215253</v>
      </c>
      <c r="J7" s="31" t="n">
        <v>1533.568798690708</v>
      </c>
      <c r="K7" s="31" t="n">
        <v>1407.407407407407</v>
      </c>
      <c r="L7" s="31" t="n">
        <v>150</v>
      </c>
      <c r="M7" s="31">
        <f>I7+J7+K7+L7</f>
        <v/>
      </c>
      <c r="N7" s="31">
        <f>M7*'Dashboard &amp; Optimisation'!$B$18/('Dashboard &amp; Optimisation'!$B$16/3.6)</f>
        <v/>
      </c>
      <c r="O7" s="31" t="n">
        <v>326.7377186166691</v>
      </c>
      <c r="P7" s="32" t="n">
        <v>0.3560493820000729</v>
      </c>
      <c r="Q7" s="33" t="n">
        <v>8.434509224055622</v>
      </c>
      <c r="R7" s="31" t="n">
        <v>445.7506654119533</v>
      </c>
      <c r="S7" s="31">
        <f>R7*IF(A7=4, 2.0, 3.0)</f>
        <v/>
      </c>
      <c r="T7" s="30">
        <f>'Dashboard &amp; Optimisation'!$B$18*U7</f>
        <v/>
      </c>
      <c r="U7" s="34">
        <f>MIN(1, S7/M7)</f>
        <v/>
      </c>
      <c r="V7" s="34">
        <f>N7/(N7+O7)</f>
        <v/>
      </c>
      <c r="W7" s="34">
        <f>U7*V7</f>
        <v/>
      </c>
      <c r="X7" s="32">
        <f>T7/N7</f>
        <v/>
      </c>
      <c r="Y7" s="35">
        <f>IF(W7=MAXIFS(W$2:W$3601, A$2:A$3601, A7, B$2:B$3601, B7), "OPTIMAL", "")</f>
        <v/>
      </c>
    </row>
    <row r="8" ht="20" customHeight="1">
      <c r="A8" s="21" t="n">
        <v>4</v>
      </c>
      <c r="B8" s="21" t="n">
        <v>25</v>
      </c>
      <c r="C8" s="22" t="n">
        <v>80</v>
      </c>
      <c r="D8" s="22" t="n">
        <v>2</v>
      </c>
      <c r="E8" s="23" t="n">
        <v>4</v>
      </c>
      <c r="F8" s="22" t="n">
        <v>1.5</v>
      </c>
      <c r="G8" s="23" t="inlineStr">
        <is>
          <t>Non</t>
        </is>
      </c>
      <c r="H8" s="23" t="inlineStr">
        <is>
          <t>ON</t>
        </is>
      </c>
      <c r="I8" s="24" t="n">
        <v>580.1183283215253</v>
      </c>
      <c r="J8" s="24" t="n">
        <v>1533.568798690708</v>
      </c>
      <c r="K8" s="24" t="n">
        <v>1407.407407407407</v>
      </c>
      <c r="L8" s="24" t="n">
        <v>150</v>
      </c>
      <c r="M8" s="24">
        <f>I8+J8+K8+L8</f>
        <v/>
      </c>
      <c r="N8" s="24">
        <f>M8*'Dashboard &amp; Optimisation'!$B$18/('Dashboard &amp; Optimisation'!$B$16/3.6)</f>
        <v/>
      </c>
      <c r="O8" s="24" t="n">
        <v>326.7377186166691</v>
      </c>
      <c r="P8" s="25" t="n">
        <v>0.07833759984793112</v>
      </c>
      <c r="Q8" s="26" t="n">
        <v>8.434509224055622</v>
      </c>
      <c r="R8" s="24" t="n">
        <v>2025.965171949785</v>
      </c>
      <c r="S8" s="24">
        <f>R8*IF(A8=4, 2.0, 3.0)</f>
        <v/>
      </c>
      <c r="T8" s="22">
        <f>'Dashboard &amp; Optimisation'!$B$18*U8</f>
        <v/>
      </c>
      <c r="U8" s="27">
        <f>MIN(1, S8/M8)</f>
        <v/>
      </c>
      <c r="V8" s="27">
        <f>N8/(N8+O8)</f>
        <v/>
      </c>
      <c r="W8" s="27">
        <f>U8*V8</f>
        <v/>
      </c>
      <c r="X8" s="25">
        <f>T8/N8</f>
        <v/>
      </c>
      <c r="Y8" s="28">
        <f>IF(W8=MAXIFS(W$2:W$3601, A$2:A$3601, A8, B$2:B$3601, B8), "OPTIMAL", "")</f>
        <v/>
      </c>
    </row>
    <row r="9" ht="20" customHeight="1">
      <c r="A9" s="29" t="n">
        <v>4</v>
      </c>
      <c r="B9" s="29" t="n">
        <v>25</v>
      </c>
      <c r="C9" s="30" t="n">
        <v>80</v>
      </c>
      <c r="D9" s="30" t="n">
        <v>2</v>
      </c>
      <c r="E9" s="6" t="n">
        <v>4</v>
      </c>
      <c r="F9" s="30" t="n">
        <v>1.5</v>
      </c>
      <c r="G9" s="6" t="inlineStr">
        <is>
          <t>Non</t>
        </is>
      </c>
      <c r="H9" s="6" t="inlineStr">
        <is>
          <t>OFF</t>
        </is>
      </c>
      <c r="I9" s="31" t="n">
        <v>580.1183283215253</v>
      </c>
      <c r="J9" s="31" t="n">
        <v>1533.568798690708</v>
      </c>
      <c r="K9" s="31" t="n">
        <v>1407.407407407407</v>
      </c>
      <c r="L9" s="31" t="n">
        <v>150</v>
      </c>
      <c r="M9" s="31">
        <f>I9+J9+K9+L9</f>
        <v/>
      </c>
      <c r="N9" s="31">
        <f>M9*'Dashboard &amp; Optimisation'!$B$18/('Dashboard &amp; Optimisation'!$B$16/3.6)</f>
        <v/>
      </c>
      <c r="O9" s="31" t="n">
        <v>326.7377186166691</v>
      </c>
      <c r="P9" s="32" t="n">
        <v>0.3520705084227755</v>
      </c>
      <c r="Q9" s="33" t="n">
        <v>8.434509224055622</v>
      </c>
      <c r="R9" s="31" t="n">
        <v>450.7882516403931</v>
      </c>
      <c r="S9" s="31">
        <f>R9*IF(A9=4, 2.0, 3.0)</f>
        <v/>
      </c>
      <c r="T9" s="30">
        <f>'Dashboard &amp; Optimisation'!$B$18*U9</f>
        <v/>
      </c>
      <c r="U9" s="34">
        <f>MIN(1, S9/M9)</f>
        <v/>
      </c>
      <c r="V9" s="34">
        <f>N9/(N9+O9)</f>
        <v/>
      </c>
      <c r="W9" s="34">
        <f>U9*V9</f>
        <v/>
      </c>
      <c r="X9" s="32">
        <f>T9/N9</f>
        <v/>
      </c>
      <c r="Y9" s="35">
        <f>IF(W9=MAXIFS(W$2:W$3601, A$2:A$3601, A9, B$2:B$3601, B9), "OPTIMAL", "")</f>
        <v/>
      </c>
    </row>
    <row r="10" ht="20" customHeight="1">
      <c r="A10" s="21" t="n">
        <v>4</v>
      </c>
      <c r="B10" s="21" t="n">
        <v>25</v>
      </c>
      <c r="C10" s="22" t="n">
        <v>80</v>
      </c>
      <c r="D10" s="22" t="n">
        <v>2</v>
      </c>
      <c r="E10" s="23" t="n">
        <v>4</v>
      </c>
      <c r="F10" s="22" t="n">
        <v>2</v>
      </c>
      <c r="G10" s="23" t="inlineStr">
        <is>
          <t>Oui</t>
        </is>
      </c>
      <c r="H10" s="23" t="inlineStr">
        <is>
          <t>ON</t>
        </is>
      </c>
      <c r="I10" s="24" t="n">
        <v>580.1183283215253</v>
      </c>
      <c r="J10" s="24" t="n">
        <v>1533.568798690708</v>
      </c>
      <c r="K10" s="24" t="n">
        <v>1407.407407407407</v>
      </c>
      <c r="L10" s="24" t="n">
        <v>150</v>
      </c>
      <c r="M10" s="24">
        <f>I10+J10+K10+L10</f>
        <v/>
      </c>
      <c r="N10" s="24">
        <f>M10*'Dashboard &amp; Optimisation'!$B$18/('Dashboard &amp; Optimisation'!$B$16/3.6)</f>
        <v/>
      </c>
      <c r="O10" s="24" t="n">
        <v>370.8250716442166</v>
      </c>
      <c r="P10" s="25" t="n">
        <v>0.08027381372050572</v>
      </c>
      <c r="Q10" s="26" t="n">
        <v>11.17934563207416</v>
      </c>
      <c r="R10" s="24" t="n">
        <v>2005.097796354929</v>
      </c>
      <c r="S10" s="24">
        <f>R10*IF(A10=4, 2.0, 3.0)</f>
        <v/>
      </c>
      <c r="T10" s="22">
        <f>'Dashboard &amp; Optimisation'!$B$18*U10</f>
        <v/>
      </c>
      <c r="U10" s="27">
        <f>MIN(1, S10/M10)</f>
        <v/>
      </c>
      <c r="V10" s="27">
        <f>N10/(N10+O10)</f>
        <v/>
      </c>
      <c r="W10" s="27">
        <f>U10*V10</f>
        <v/>
      </c>
      <c r="X10" s="25">
        <f>T10/N10</f>
        <v/>
      </c>
      <c r="Y10" s="28">
        <f>IF(W10=MAXIFS(W$2:W$3601, A$2:A$3601, A10, B$2:B$3601, B10), "OPTIMAL", "")</f>
        <v/>
      </c>
    </row>
    <row r="11" ht="20" customHeight="1">
      <c r="A11" s="29" t="n">
        <v>4</v>
      </c>
      <c r="B11" s="29" t="n">
        <v>25</v>
      </c>
      <c r="C11" s="30" t="n">
        <v>80</v>
      </c>
      <c r="D11" s="30" t="n">
        <v>2</v>
      </c>
      <c r="E11" s="6" t="n">
        <v>4</v>
      </c>
      <c r="F11" s="30" t="n">
        <v>2</v>
      </c>
      <c r="G11" s="6" t="inlineStr">
        <is>
          <t>Oui</t>
        </is>
      </c>
      <c r="H11" s="6" t="inlineStr">
        <is>
          <t>OFF</t>
        </is>
      </c>
      <c r="I11" s="31" t="n">
        <v>580.1183283215253</v>
      </c>
      <c r="J11" s="31" t="n">
        <v>1533.568798690708</v>
      </c>
      <c r="K11" s="31" t="n">
        <v>1407.407407407407</v>
      </c>
      <c r="L11" s="31" t="n">
        <v>150</v>
      </c>
      <c r="M11" s="31">
        <f>I11+J11+K11+L11</f>
        <v/>
      </c>
      <c r="N11" s="31">
        <f>M11*'Dashboard &amp; Optimisation'!$B$18/('Dashboard &amp; Optimisation'!$B$16/3.6)</f>
        <v/>
      </c>
      <c r="O11" s="31" t="n">
        <v>370.8250716442166</v>
      </c>
      <c r="P11" s="32" t="n">
        <v>0.355510990994127</v>
      </c>
      <c r="Q11" s="33" t="n">
        <v>11.17934563207416</v>
      </c>
      <c r="R11" s="31" t="n">
        <v>452.7478786124254</v>
      </c>
      <c r="S11" s="31">
        <f>R11*IF(A11=4, 2.0, 3.0)</f>
        <v/>
      </c>
      <c r="T11" s="30">
        <f>'Dashboard &amp; Optimisation'!$B$18*U11</f>
        <v/>
      </c>
      <c r="U11" s="34">
        <f>MIN(1, S11/M11)</f>
        <v/>
      </c>
      <c r="V11" s="34">
        <f>N11/(N11+O11)</f>
        <v/>
      </c>
      <c r="W11" s="34">
        <f>U11*V11</f>
        <v/>
      </c>
      <c r="X11" s="32">
        <f>T11/N11</f>
        <v/>
      </c>
      <c r="Y11" s="35">
        <f>IF(W11=MAXIFS(W$2:W$3601, A$2:A$3601, A11, B$2:B$3601, B11), "OPTIMAL", "")</f>
        <v/>
      </c>
    </row>
    <row r="12" ht="20" customHeight="1">
      <c r="A12" s="21" t="n">
        <v>4</v>
      </c>
      <c r="B12" s="21" t="n">
        <v>25</v>
      </c>
      <c r="C12" s="22" t="n">
        <v>80</v>
      </c>
      <c r="D12" s="22" t="n">
        <v>2</v>
      </c>
      <c r="E12" s="23" t="n">
        <v>4</v>
      </c>
      <c r="F12" s="22" t="n">
        <v>2</v>
      </c>
      <c r="G12" s="23" t="inlineStr">
        <is>
          <t>Non</t>
        </is>
      </c>
      <c r="H12" s="23" t="inlineStr">
        <is>
          <t>ON</t>
        </is>
      </c>
      <c r="I12" s="24" t="n">
        <v>580.1183283215253</v>
      </c>
      <c r="J12" s="24" t="n">
        <v>1533.568798690708</v>
      </c>
      <c r="K12" s="24" t="n">
        <v>1407.407407407407</v>
      </c>
      <c r="L12" s="24" t="n">
        <v>150</v>
      </c>
      <c r="M12" s="24">
        <f>I12+J12+K12+L12</f>
        <v/>
      </c>
      <c r="N12" s="24">
        <f>M12*'Dashboard &amp; Optimisation'!$B$18/('Dashboard &amp; Optimisation'!$B$16/3.6)</f>
        <v/>
      </c>
      <c r="O12" s="24" t="n">
        <v>370.8250716442166</v>
      </c>
      <c r="P12" s="25" t="n">
        <v>0.07629494014320834</v>
      </c>
      <c r="Q12" s="26" t="n">
        <v>11.17934563207416</v>
      </c>
      <c r="R12" s="24" t="n">
        <v>2109.666076070973</v>
      </c>
      <c r="S12" s="24">
        <f>R12*IF(A12=4, 2.0, 3.0)</f>
        <v/>
      </c>
      <c r="T12" s="22">
        <f>'Dashboard &amp; Optimisation'!$B$18*U12</f>
        <v/>
      </c>
      <c r="U12" s="27">
        <f>MIN(1, S12/M12)</f>
        <v/>
      </c>
      <c r="V12" s="27">
        <f>N12/(N12+O12)</f>
        <v/>
      </c>
      <c r="W12" s="27">
        <f>U12*V12</f>
        <v/>
      </c>
      <c r="X12" s="25">
        <f>T12/N12</f>
        <v/>
      </c>
      <c r="Y12" s="28">
        <f>IF(W12=MAXIFS(W$2:W$3601, A$2:A$3601, A12, B$2:B$3601, B12), "OPTIMAL", "")</f>
        <v/>
      </c>
    </row>
    <row r="13" ht="20" customHeight="1">
      <c r="A13" s="29" t="n">
        <v>4</v>
      </c>
      <c r="B13" s="29" t="n">
        <v>25</v>
      </c>
      <c r="C13" s="30" t="n">
        <v>80</v>
      </c>
      <c r="D13" s="30" t="n">
        <v>2</v>
      </c>
      <c r="E13" s="6" t="n">
        <v>4</v>
      </c>
      <c r="F13" s="30" t="n">
        <v>2</v>
      </c>
      <c r="G13" s="6" t="inlineStr">
        <is>
          <t>Non</t>
        </is>
      </c>
      <c r="H13" s="6" t="inlineStr">
        <is>
          <t>OFF</t>
        </is>
      </c>
      <c r="I13" s="31" t="n">
        <v>580.1183283215253</v>
      </c>
      <c r="J13" s="31" t="n">
        <v>1533.568798690708</v>
      </c>
      <c r="K13" s="31" t="n">
        <v>1407.407407407407</v>
      </c>
      <c r="L13" s="31" t="n">
        <v>150</v>
      </c>
      <c r="M13" s="31">
        <f>I13+J13+K13+L13</f>
        <v/>
      </c>
      <c r="N13" s="31">
        <f>M13*'Dashboard &amp; Optimisation'!$B$18/('Dashboard &amp; Optimisation'!$B$16/3.6)</f>
        <v/>
      </c>
      <c r="O13" s="31" t="n">
        <v>370.8250716442166</v>
      </c>
      <c r="P13" s="32" t="n">
        <v>0.3515321174168297</v>
      </c>
      <c r="Q13" s="33" t="n">
        <v>11.17934563207416</v>
      </c>
      <c r="R13" s="31" t="n">
        <v>457.8723792828787</v>
      </c>
      <c r="S13" s="31">
        <f>R13*IF(A13=4, 2.0, 3.0)</f>
        <v/>
      </c>
      <c r="T13" s="30">
        <f>'Dashboard &amp; Optimisation'!$B$18*U13</f>
        <v/>
      </c>
      <c r="U13" s="34">
        <f>MIN(1, S13/M13)</f>
        <v/>
      </c>
      <c r="V13" s="34">
        <f>N13/(N13+O13)</f>
        <v/>
      </c>
      <c r="W13" s="34">
        <f>U13*V13</f>
        <v/>
      </c>
      <c r="X13" s="32">
        <f>T13/N13</f>
        <v/>
      </c>
      <c r="Y13" s="35">
        <f>IF(W13=MAXIFS(W$2:W$3601, A$2:A$3601, A13, B$2:B$3601, B13), "OPTIMAL", "")</f>
        <v/>
      </c>
    </row>
    <row r="14" ht="20" customHeight="1">
      <c r="A14" s="21" t="n">
        <v>4</v>
      </c>
      <c r="B14" s="21" t="n">
        <v>25</v>
      </c>
      <c r="C14" s="22" t="n">
        <v>80</v>
      </c>
      <c r="D14" s="22" t="n">
        <v>2</v>
      </c>
      <c r="E14" s="23" t="n">
        <v>8</v>
      </c>
      <c r="F14" s="22" t="n">
        <v>1.5</v>
      </c>
      <c r="G14" s="23" t="inlineStr">
        <is>
          <t>Oui</t>
        </is>
      </c>
      <c r="H14" s="23" t="inlineStr">
        <is>
          <t>ON</t>
        </is>
      </c>
      <c r="I14" s="24" t="n">
        <v>580.1183283215253</v>
      </c>
      <c r="J14" s="24" t="n">
        <v>1533.568798690708</v>
      </c>
      <c r="K14" s="24" t="n">
        <v>1407.407407407407</v>
      </c>
      <c r="L14" s="24" t="n">
        <v>150</v>
      </c>
      <c r="M14" s="24">
        <f>I14+J14+K14+L14</f>
        <v/>
      </c>
      <c r="N14" s="24">
        <f>M14*'Dashboard &amp; Optimisation'!$B$18/('Dashboard &amp; Optimisation'!$B$16/3.6)</f>
        <v/>
      </c>
      <c r="O14" s="24" t="n">
        <v>462.8550936136457</v>
      </c>
      <c r="P14" s="25" t="n">
        <v>0.06145178783543291</v>
      </c>
      <c r="Q14" s="26" t="n">
        <v>16.66901844811125</v>
      </c>
      <c r="R14" s="24" t="n">
        <v>2695.586167693657</v>
      </c>
      <c r="S14" s="24">
        <f>R14*IF(A14=4, 2.0, 3.0)</f>
        <v/>
      </c>
      <c r="T14" s="22">
        <f>'Dashboard &amp; Optimisation'!$B$18*U14</f>
        <v/>
      </c>
      <c r="U14" s="27">
        <f>MIN(1, S14/M14)</f>
        <v/>
      </c>
      <c r="V14" s="27">
        <f>N14/(N14+O14)</f>
        <v/>
      </c>
      <c r="W14" s="27">
        <f>U14*V14</f>
        <v/>
      </c>
      <c r="X14" s="25">
        <f>T14/N14</f>
        <v/>
      </c>
      <c r="Y14" s="28">
        <f>IF(W14=MAXIFS(W$2:W$3601, A$2:A$3601, A14, B$2:B$3601, B14), "OPTIMAL", "")</f>
        <v/>
      </c>
    </row>
    <row r="15" ht="20" customHeight="1">
      <c r="A15" s="29" t="n">
        <v>4</v>
      </c>
      <c r="B15" s="29" t="n">
        <v>25</v>
      </c>
      <c r="C15" s="30" t="n">
        <v>80</v>
      </c>
      <c r="D15" s="30" t="n">
        <v>2</v>
      </c>
      <c r="E15" s="6" t="n">
        <v>8</v>
      </c>
      <c r="F15" s="30" t="n">
        <v>1.5</v>
      </c>
      <c r="G15" s="6" t="inlineStr">
        <is>
          <t>Oui</t>
        </is>
      </c>
      <c r="H15" s="6" t="inlineStr">
        <is>
          <t>OFF</t>
        </is>
      </c>
      <c r="I15" s="31" t="n">
        <v>580.1183283215253</v>
      </c>
      <c r="J15" s="31" t="n">
        <v>1533.568798690708</v>
      </c>
      <c r="K15" s="31" t="n">
        <v>1407.407407407407</v>
      </c>
      <c r="L15" s="31" t="n">
        <v>150</v>
      </c>
      <c r="M15" s="31">
        <f>I15+J15+K15+L15</f>
        <v/>
      </c>
      <c r="N15" s="31">
        <f>M15*'Dashboard &amp; Optimisation'!$B$18/('Dashboard &amp; Optimisation'!$B$16/3.6)</f>
        <v/>
      </c>
      <c r="O15" s="31" t="n">
        <v>462.8550936136457</v>
      </c>
      <c r="P15" s="32" t="n">
        <v>0.2700829218988253</v>
      </c>
      <c r="Q15" s="33" t="n">
        <v>16.66901844811125</v>
      </c>
      <c r="R15" s="31" t="n">
        <v>613.3249303756098</v>
      </c>
      <c r="S15" s="31">
        <f>R15*IF(A15=4, 2.0, 3.0)</f>
        <v/>
      </c>
      <c r="T15" s="30">
        <f>'Dashboard &amp; Optimisation'!$B$18*U15</f>
        <v/>
      </c>
      <c r="U15" s="34">
        <f>MIN(1, S15/M15)</f>
        <v/>
      </c>
      <c r="V15" s="34">
        <f>N15/(N15+O15)</f>
        <v/>
      </c>
      <c r="W15" s="34">
        <f>U15*V15</f>
        <v/>
      </c>
      <c r="X15" s="32">
        <f>T15/N15</f>
        <v/>
      </c>
      <c r="Y15" s="35">
        <f>IF(W15=MAXIFS(W$2:W$3601, A$2:A$3601, A15, B$2:B$3601, B15), "OPTIMAL", "")</f>
        <v/>
      </c>
    </row>
    <row r="16" ht="20" customHeight="1">
      <c r="A16" s="21" t="n">
        <v>4</v>
      </c>
      <c r="B16" s="21" t="n">
        <v>25</v>
      </c>
      <c r="C16" s="22" t="n">
        <v>80</v>
      </c>
      <c r="D16" s="22" t="n">
        <v>2</v>
      </c>
      <c r="E16" s="23" t="n">
        <v>8</v>
      </c>
      <c r="F16" s="22" t="n">
        <v>1.5</v>
      </c>
      <c r="G16" s="23" t="inlineStr">
        <is>
          <t>Non</t>
        </is>
      </c>
      <c r="H16" s="23" t="inlineStr">
        <is>
          <t>ON</t>
        </is>
      </c>
      <c r="I16" s="24" t="n">
        <v>580.1183283215253</v>
      </c>
      <c r="J16" s="24" t="n">
        <v>1533.568798690708</v>
      </c>
      <c r="K16" s="24" t="n">
        <v>1407.407407407407</v>
      </c>
      <c r="L16" s="24" t="n">
        <v>150</v>
      </c>
      <c r="M16" s="24">
        <f>I16+J16+K16+L16</f>
        <v/>
      </c>
      <c r="N16" s="24">
        <f>M16*'Dashboard &amp; Optimisation'!$B$18/('Dashboard &amp; Optimisation'!$B$16/3.6)</f>
        <v/>
      </c>
      <c r="O16" s="24" t="n">
        <v>462.8550936136457</v>
      </c>
      <c r="P16" s="25" t="n">
        <v>0.05747291425813553</v>
      </c>
      <c r="Q16" s="26" t="n">
        <v>16.66901844811125</v>
      </c>
      <c r="R16" s="24" t="n">
        <v>2882.202710745436</v>
      </c>
      <c r="S16" s="24">
        <f>R16*IF(A16=4, 2.0, 3.0)</f>
        <v/>
      </c>
      <c r="T16" s="22">
        <f>'Dashboard &amp; Optimisation'!$B$18*U16</f>
        <v/>
      </c>
      <c r="U16" s="27">
        <f>MIN(1, S16/M16)</f>
        <v/>
      </c>
      <c r="V16" s="27">
        <f>N16/(N16+O16)</f>
        <v/>
      </c>
      <c r="W16" s="27">
        <f>U16*V16</f>
        <v/>
      </c>
      <c r="X16" s="25">
        <f>T16/N16</f>
        <v/>
      </c>
      <c r="Y16" s="28">
        <f>IF(W16=MAXIFS(W$2:W$3601, A$2:A$3601, A16, B$2:B$3601, B16), "OPTIMAL", "")</f>
        <v/>
      </c>
    </row>
    <row r="17" ht="20" customHeight="1">
      <c r="A17" s="29" t="n">
        <v>4</v>
      </c>
      <c r="B17" s="29" t="n">
        <v>25</v>
      </c>
      <c r="C17" s="30" t="n">
        <v>80</v>
      </c>
      <c r="D17" s="30" t="n">
        <v>2</v>
      </c>
      <c r="E17" s="6" t="n">
        <v>8</v>
      </c>
      <c r="F17" s="30" t="n">
        <v>1.5</v>
      </c>
      <c r="G17" s="6" t="inlineStr">
        <is>
          <t>Non</t>
        </is>
      </c>
      <c r="H17" s="6" t="inlineStr">
        <is>
          <t>OFF</t>
        </is>
      </c>
      <c r="I17" s="31" t="n">
        <v>580.1183283215253</v>
      </c>
      <c r="J17" s="31" t="n">
        <v>1533.568798690708</v>
      </c>
      <c r="K17" s="31" t="n">
        <v>1407.407407407407</v>
      </c>
      <c r="L17" s="31" t="n">
        <v>150</v>
      </c>
      <c r="M17" s="31">
        <f>I17+J17+K17+L17</f>
        <v/>
      </c>
      <c r="N17" s="31">
        <f>M17*'Dashboard &amp; Optimisation'!$B$18/('Dashboard &amp; Optimisation'!$B$16/3.6)</f>
        <v/>
      </c>
      <c r="O17" s="31" t="n">
        <v>462.8550936136457</v>
      </c>
      <c r="P17" s="32" t="n">
        <v>0.2661040483215279</v>
      </c>
      <c r="Q17" s="33" t="n">
        <v>16.66901844811125</v>
      </c>
      <c r="R17" s="31" t="n">
        <v>622.4955625969606</v>
      </c>
      <c r="S17" s="31">
        <f>R17*IF(A17=4, 2.0, 3.0)</f>
        <v/>
      </c>
      <c r="T17" s="30">
        <f>'Dashboard &amp; Optimisation'!$B$18*U17</f>
        <v/>
      </c>
      <c r="U17" s="34">
        <f>MIN(1, S17/M17)</f>
        <v/>
      </c>
      <c r="V17" s="34">
        <f>N17/(N17+O17)</f>
        <v/>
      </c>
      <c r="W17" s="34">
        <f>U17*V17</f>
        <v/>
      </c>
      <c r="X17" s="32">
        <f>T17/N17</f>
        <v/>
      </c>
      <c r="Y17" s="35">
        <f>IF(W17=MAXIFS(W$2:W$3601, A$2:A$3601, A17, B$2:B$3601, B17), "OPTIMAL", "")</f>
        <v/>
      </c>
    </row>
    <row r="18" ht="20" customHeight="1">
      <c r="A18" s="21" t="n">
        <v>4</v>
      </c>
      <c r="B18" s="21" t="n">
        <v>25</v>
      </c>
      <c r="C18" s="22" t="n">
        <v>80</v>
      </c>
      <c r="D18" s="22" t="n">
        <v>2</v>
      </c>
      <c r="E18" s="23" t="n">
        <v>8</v>
      </c>
      <c r="F18" s="22" t="n">
        <v>2</v>
      </c>
      <c r="G18" s="23" t="inlineStr">
        <is>
          <t>Oui</t>
        </is>
      </c>
      <c r="H18" s="23" t="inlineStr">
        <is>
          <t>ON</t>
        </is>
      </c>
      <c r="I18" s="24" t="n">
        <v>580.1183283215253</v>
      </c>
      <c r="J18" s="24" t="n">
        <v>1533.568798690708</v>
      </c>
      <c r="K18" s="24" t="n">
        <v>1407.407407407407</v>
      </c>
      <c r="L18" s="24" t="n">
        <v>150</v>
      </c>
      <c r="M18" s="24">
        <f>I18+J18+K18+L18</f>
        <v/>
      </c>
      <c r="N18" s="24">
        <f>M18*'Dashboard &amp; Optimisation'!$B$18/('Dashboard &amp; Optimisation'!$B$16/3.6)</f>
        <v/>
      </c>
      <c r="O18" s="24" t="n">
        <v>560.4113800072122</v>
      </c>
      <c r="P18" s="25" t="n">
        <v>0.06058998977604487</v>
      </c>
      <c r="Q18" s="26" t="n">
        <v>22.15869126414833</v>
      </c>
      <c r="R18" s="24" t="n">
        <v>2816.010767474817</v>
      </c>
      <c r="S18" s="24">
        <f>R18*IF(A18=4, 2.0, 3.0)</f>
        <v/>
      </c>
      <c r="T18" s="22">
        <f>'Dashboard &amp; Optimisation'!$B$18*U18</f>
        <v/>
      </c>
      <c r="U18" s="27">
        <f>MIN(1, S18/M18)</f>
        <v/>
      </c>
      <c r="V18" s="27">
        <f>N18/(N18+O18)</f>
        <v/>
      </c>
      <c r="W18" s="27">
        <f>U18*V18</f>
        <v/>
      </c>
      <c r="X18" s="25">
        <f>T18/N18</f>
        <v/>
      </c>
      <c r="Y18" s="28">
        <f>IF(W18=MAXIFS(W$2:W$3601, A$2:A$3601, A18, B$2:B$3601, B18), "OPTIMAL", "")</f>
        <v/>
      </c>
    </row>
    <row r="19" ht="20" customHeight="1">
      <c r="A19" s="29" t="n">
        <v>4</v>
      </c>
      <c r="B19" s="29" t="n">
        <v>25</v>
      </c>
      <c r="C19" s="30" t="n">
        <v>80</v>
      </c>
      <c r="D19" s="30" t="n">
        <v>2</v>
      </c>
      <c r="E19" s="6" t="n">
        <v>8</v>
      </c>
      <c r="F19" s="30" t="n">
        <v>2</v>
      </c>
      <c r="G19" s="6" t="inlineStr">
        <is>
          <t>Oui</t>
        </is>
      </c>
      <c r="H19" s="6" t="inlineStr">
        <is>
          <t>OFF</t>
        </is>
      </c>
      <c r="I19" s="31" t="n">
        <v>580.1183283215253</v>
      </c>
      <c r="J19" s="31" t="n">
        <v>1533.568798690708</v>
      </c>
      <c r="K19" s="31" t="n">
        <v>1407.407407407407</v>
      </c>
      <c r="L19" s="31" t="n">
        <v>150</v>
      </c>
      <c r="M19" s="31">
        <f>I19+J19+K19+L19</f>
        <v/>
      </c>
      <c r="N19" s="31">
        <f>M19*'Dashboard &amp; Optimisation'!$B$18/('Dashboard &amp; Optimisation'!$B$16/3.6)</f>
        <v/>
      </c>
      <c r="O19" s="31" t="n">
        <v>560.4113800072122</v>
      </c>
      <c r="P19" s="32" t="n">
        <v>0.2709744149858122</v>
      </c>
      <c r="Q19" s="33" t="n">
        <v>22.15869126414833</v>
      </c>
      <c r="R19" s="31" t="n">
        <v>629.6611568271675</v>
      </c>
      <c r="S19" s="31">
        <f>R19*IF(A19=4, 2.0, 3.0)</f>
        <v/>
      </c>
      <c r="T19" s="30">
        <f>'Dashboard &amp; Optimisation'!$B$18*U19</f>
        <v/>
      </c>
      <c r="U19" s="34">
        <f>MIN(1, S19/M19)</f>
        <v/>
      </c>
      <c r="V19" s="34">
        <f>N19/(N19+O19)</f>
        <v/>
      </c>
      <c r="W19" s="34">
        <f>U19*V19</f>
        <v/>
      </c>
      <c r="X19" s="32">
        <f>T19/N19</f>
        <v/>
      </c>
      <c r="Y19" s="35">
        <f>IF(W19=MAXIFS(W$2:W$3601, A$2:A$3601, A19, B$2:B$3601, B19), "OPTIMAL", "")</f>
        <v/>
      </c>
    </row>
    <row r="20" ht="20" customHeight="1">
      <c r="A20" s="21" t="n">
        <v>4</v>
      </c>
      <c r="B20" s="21" t="n">
        <v>25</v>
      </c>
      <c r="C20" s="22" t="n">
        <v>80</v>
      </c>
      <c r="D20" s="22" t="n">
        <v>2</v>
      </c>
      <c r="E20" s="23" t="n">
        <v>8</v>
      </c>
      <c r="F20" s="22" t="n">
        <v>2</v>
      </c>
      <c r="G20" s="23" t="inlineStr">
        <is>
          <t>Non</t>
        </is>
      </c>
      <c r="H20" s="23" t="inlineStr">
        <is>
          <t>ON</t>
        </is>
      </c>
      <c r="I20" s="24" t="n">
        <v>580.1183283215253</v>
      </c>
      <c r="J20" s="24" t="n">
        <v>1533.568798690708</v>
      </c>
      <c r="K20" s="24" t="n">
        <v>1407.407407407407</v>
      </c>
      <c r="L20" s="24" t="n">
        <v>150</v>
      </c>
      <c r="M20" s="24">
        <f>I20+J20+K20+L20</f>
        <v/>
      </c>
      <c r="N20" s="24">
        <f>M20*'Dashboard &amp; Optimisation'!$B$18/('Dashboard &amp; Optimisation'!$B$16/3.6)</f>
        <v/>
      </c>
      <c r="O20" s="24" t="n">
        <v>560.4113800072122</v>
      </c>
      <c r="P20" s="25" t="n">
        <v>0.05661111619874749</v>
      </c>
      <c r="Q20" s="26" t="n">
        <v>22.15869126414833</v>
      </c>
      <c r="R20" s="24" t="n">
        <v>3013.932157979716</v>
      </c>
      <c r="S20" s="24">
        <f>R20*IF(A20=4, 2.0, 3.0)</f>
        <v/>
      </c>
      <c r="T20" s="22">
        <f>'Dashboard &amp; Optimisation'!$B$18*U20</f>
        <v/>
      </c>
      <c r="U20" s="27">
        <f>MIN(1, S20/M20)</f>
        <v/>
      </c>
      <c r="V20" s="27">
        <f>N20/(N20+O20)</f>
        <v/>
      </c>
      <c r="W20" s="27">
        <f>U20*V20</f>
        <v/>
      </c>
      <c r="X20" s="25">
        <f>T20/N20</f>
        <v/>
      </c>
      <c r="Y20" s="28">
        <f>IF(W20=MAXIFS(W$2:W$3601, A$2:A$3601, A20, B$2:B$3601, B20), "OPTIMAL", "")</f>
        <v/>
      </c>
    </row>
    <row r="21" ht="20" customHeight="1">
      <c r="A21" s="29" t="n">
        <v>4</v>
      </c>
      <c r="B21" s="29" t="n">
        <v>25</v>
      </c>
      <c r="C21" s="30" t="n">
        <v>80</v>
      </c>
      <c r="D21" s="30" t="n">
        <v>2</v>
      </c>
      <c r="E21" s="6" t="n">
        <v>8</v>
      </c>
      <c r="F21" s="30" t="n">
        <v>2</v>
      </c>
      <c r="G21" s="6" t="inlineStr">
        <is>
          <t>Non</t>
        </is>
      </c>
      <c r="H21" s="6" t="inlineStr">
        <is>
          <t>OFF</t>
        </is>
      </c>
      <c r="I21" s="31" t="n">
        <v>580.1183283215253</v>
      </c>
      <c r="J21" s="31" t="n">
        <v>1533.568798690708</v>
      </c>
      <c r="K21" s="31" t="n">
        <v>1407.407407407407</v>
      </c>
      <c r="L21" s="31" t="n">
        <v>150</v>
      </c>
      <c r="M21" s="31">
        <f>I21+J21+K21+L21</f>
        <v/>
      </c>
      <c r="N21" s="31">
        <f>M21*'Dashboard &amp; Optimisation'!$B$18/('Dashboard &amp; Optimisation'!$B$16/3.6)</f>
        <v/>
      </c>
      <c r="O21" s="31" t="n">
        <v>560.4113800072122</v>
      </c>
      <c r="P21" s="32" t="n">
        <v>0.2669955414085148</v>
      </c>
      <c r="Q21" s="33" t="n">
        <v>22.15869126414833</v>
      </c>
      <c r="R21" s="31" t="n">
        <v>639.0446174135629</v>
      </c>
      <c r="S21" s="31">
        <f>R21*IF(A21=4, 2.0, 3.0)</f>
        <v/>
      </c>
      <c r="T21" s="30">
        <f>'Dashboard &amp; Optimisation'!$B$18*U21</f>
        <v/>
      </c>
      <c r="U21" s="34">
        <f>MIN(1, S21/M21)</f>
        <v/>
      </c>
      <c r="V21" s="34">
        <f>N21/(N21+O21)</f>
        <v/>
      </c>
      <c r="W21" s="34">
        <f>U21*V21</f>
        <v/>
      </c>
      <c r="X21" s="32">
        <f>T21/N21</f>
        <v/>
      </c>
      <c r="Y21" s="35">
        <f>IF(W21=MAXIFS(W$2:W$3601, A$2:A$3601, A21, B$2:B$3601, B21), "OPTIMAL", "")</f>
        <v/>
      </c>
    </row>
    <row r="22" ht="20" customHeight="1">
      <c r="A22" s="21" t="n">
        <v>4</v>
      </c>
      <c r="B22" s="21" t="n">
        <v>25</v>
      </c>
      <c r="C22" s="22" t="n">
        <v>80</v>
      </c>
      <c r="D22" s="22" t="n">
        <v>3</v>
      </c>
      <c r="E22" s="23" t="n">
        <v>0</v>
      </c>
      <c r="F22" s="22" t="n">
        <v>0</v>
      </c>
      <c r="G22" s="23" t="inlineStr">
        <is>
          <t>Oui</t>
        </is>
      </c>
      <c r="H22" s="23" t="inlineStr">
        <is>
          <t>ON</t>
        </is>
      </c>
      <c r="I22" s="24" t="n">
        <v>580.1183283215253</v>
      </c>
      <c r="J22" s="24" t="n">
        <v>1533.568798690708</v>
      </c>
      <c r="K22" s="24" t="n">
        <v>1407.407407407407</v>
      </c>
      <c r="L22" s="24" t="n">
        <v>150</v>
      </c>
      <c r="M22" s="24">
        <f>I22+J22+K22+L22</f>
        <v/>
      </c>
      <c r="N22" s="24">
        <f>M22*'Dashboard &amp; Optimisation'!$B$18/('Dashboard &amp; Optimisation'!$B$16/3.6)</f>
        <v/>
      </c>
      <c r="O22" s="24" t="n">
        <v>314.824789050664</v>
      </c>
      <c r="P22" s="25" t="n">
        <v>0.5013985973965238</v>
      </c>
      <c r="Q22" s="26" t="n">
        <v>0.2</v>
      </c>
      <c r="R22" s="24" t="n">
        <v>320.4499362707005</v>
      </c>
      <c r="S22" s="24">
        <f>R22*IF(A22=4, 2.0, 3.0)</f>
        <v/>
      </c>
      <c r="T22" s="22">
        <f>'Dashboard &amp; Optimisation'!$B$18*U22</f>
        <v/>
      </c>
      <c r="U22" s="27">
        <f>MIN(1, S22/M22)</f>
        <v/>
      </c>
      <c r="V22" s="27">
        <f>N22/(N22+O22)</f>
        <v/>
      </c>
      <c r="W22" s="27">
        <f>U22*V22</f>
        <v/>
      </c>
      <c r="X22" s="25">
        <f>T22/N22</f>
        <v/>
      </c>
      <c r="Y22" s="28">
        <f>IF(W22=MAXIFS(W$2:W$3601, A$2:A$3601, A22, B$2:B$3601, B22), "OPTIMAL", "")</f>
        <v/>
      </c>
    </row>
    <row r="23" ht="20" customHeight="1">
      <c r="A23" s="29" t="n">
        <v>4</v>
      </c>
      <c r="B23" s="29" t="n">
        <v>25</v>
      </c>
      <c r="C23" s="30" t="n">
        <v>80</v>
      </c>
      <c r="D23" s="30" t="n">
        <v>3</v>
      </c>
      <c r="E23" s="6" t="n">
        <v>0</v>
      </c>
      <c r="F23" s="30" t="n">
        <v>0</v>
      </c>
      <c r="G23" s="6" t="inlineStr">
        <is>
          <t>Oui</t>
        </is>
      </c>
      <c r="H23" s="6" t="inlineStr">
        <is>
          <t>OFF</t>
        </is>
      </c>
      <c r="I23" s="31" t="n">
        <v>580.1183283215253</v>
      </c>
      <c r="J23" s="31" t="n">
        <v>1533.568798690708</v>
      </c>
      <c r="K23" s="31" t="n">
        <v>1407.407407407407</v>
      </c>
      <c r="L23" s="31" t="n">
        <v>150</v>
      </c>
      <c r="M23" s="31">
        <f>I23+J23+K23+L23</f>
        <v/>
      </c>
      <c r="N23" s="31">
        <f>M23*'Dashboard &amp; Optimisation'!$B$18/('Dashboard &amp; Optimisation'!$B$16/3.6)</f>
        <v/>
      </c>
      <c r="O23" s="31" t="n">
        <v>314.824789050664</v>
      </c>
      <c r="P23" s="32" t="n">
        <v>0.8992859551262622</v>
      </c>
      <c r="Q23" s="33" t="n">
        <v>0.2</v>
      </c>
      <c r="R23" s="31" t="n">
        <v>178.6674724163525</v>
      </c>
      <c r="S23" s="31">
        <f>R23*IF(A23=4, 2.0, 3.0)</f>
        <v/>
      </c>
      <c r="T23" s="30">
        <f>'Dashboard &amp; Optimisation'!$B$18*U23</f>
        <v/>
      </c>
      <c r="U23" s="34">
        <f>MIN(1, S23/M23)</f>
        <v/>
      </c>
      <c r="V23" s="34">
        <f>N23/(N23+O23)</f>
        <v/>
      </c>
      <c r="W23" s="34">
        <f>U23*V23</f>
        <v/>
      </c>
      <c r="X23" s="32">
        <f>T23/N23</f>
        <v/>
      </c>
      <c r="Y23" s="35">
        <f>IF(W23=MAXIFS(W$2:W$3601, A$2:A$3601, A23, B$2:B$3601, B23), "OPTIMAL", "")</f>
        <v/>
      </c>
    </row>
    <row r="24" ht="20" customHeight="1">
      <c r="A24" s="21" t="n">
        <v>4</v>
      </c>
      <c r="B24" s="21" t="n">
        <v>25</v>
      </c>
      <c r="C24" s="22" t="n">
        <v>80</v>
      </c>
      <c r="D24" s="22" t="n">
        <v>3</v>
      </c>
      <c r="E24" s="23" t="n">
        <v>0</v>
      </c>
      <c r="F24" s="22" t="n">
        <v>0</v>
      </c>
      <c r="G24" s="23" t="inlineStr">
        <is>
          <t>Non</t>
        </is>
      </c>
      <c r="H24" s="23" t="inlineStr">
        <is>
          <t>ON</t>
        </is>
      </c>
      <c r="I24" s="24" t="n">
        <v>580.1183283215253</v>
      </c>
      <c r="J24" s="24" t="n">
        <v>1533.568798690708</v>
      </c>
      <c r="K24" s="24" t="n">
        <v>1407.407407407407</v>
      </c>
      <c r="L24" s="24" t="n">
        <v>150</v>
      </c>
      <c r="M24" s="24">
        <f>I24+J24+K24+L24</f>
        <v/>
      </c>
      <c r="N24" s="24">
        <f>M24*'Dashboard &amp; Optimisation'!$B$18/('Dashboard &amp; Optimisation'!$B$16/3.6)</f>
        <v/>
      </c>
      <c r="O24" s="24" t="n">
        <v>314.824789050664</v>
      </c>
      <c r="P24" s="25" t="n">
        <v>0.4974197238192265</v>
      </c>
      <c r="Q24" s="26" t="n">
        <v>0.2</v>
      </c>
      <c r="R24" s="24" t="n">
        <v>323.0132238188586</v>
      </c>
      <c r="S24" s="24">
        <f>R24*IF(A24=4, 2.0, 3.0)</f>
        <v/>
      </c>
      <c r="T24" s="22">
        <f>'Dashboard &amp; Optimisation'!$B$18*U24</f>
        <v/>
      </c>
      <c r="U24" s="27">
        <f>MIN(1, S24/M24)</f>
        <v/>
      </c>
      <c r="V24" s="27">
        <f>N24/(N24+O24)</f>
        <v/>
      </c>
      <c r="W24" s="27">
        <f>U24*V24</f>
        <v/>
      </c>
      <c r="X24" s="25">
        <f>T24/N24</f>
        <v/>
      </c>
      <c r="Y24" s="28">
        <f>IF(W24=MAXIFS(W$2:W$3601, A$2:A$3601, A24, B$2:B$3601, B24), "OPTIMAL", "")</f>
        <v/>
      </c>
    </row>
    <row r="25" ht="20" customHeight="1">
      <c r="A25" s="29" t="n">
        <v>4</v>
      </c>
      <c r="B25" s="29" t="n">
        <v>25</v>
      </c>
      <c r="C25" s="30" t="n">
        <v>80</v>
      </c>
      <c r="D25" s="30" t="n">
        <v>3</v>
      </c>
      <c r="E25" s="6" t="n">
        <v>0</v>
      </c>
      <c r="F25" s="30" t="n">
        <v>0</v>
      </c>
      <c r="G25" s="6" t="inlineStr">
        <is>
          <t>Non</t>
        </is>
      </c>
      <c r="H25" s="6" t="inlineStr">
        <is>
          <t>OFF</t>
        </is>
      </c>
      <c r="I25" s="31" t="n">
        <v>580.1183283215253</v>
      </c>
      <c r="J25" s="31" t="n">
        <v>1533.568798690708</v>
      </c>
      <c r="K25" s="31" t="n">
        <v>1407.407407407407</v>
      </c>
      <c r="L25" s="31" t="n">
        <v>150</v>
      </c>
      <c r="M25" s="31">
        <f>I25+J25+K25+L25</f>
        <v/>
      </c>
      <c r="N25" s="31">
        <f>M25*'Dashboard &amp; Optimisation'!$B$18/('Dashboard &amp; Optimisation'!$B$16/3.6)</f>
        <v/>
      </c>
      <c r="O25" s="31" t="n">
        <v>314.824789050664</v>
      </c>
      <c r="P25" s="32" t="n">
        <v>0.8953070815489648</v>
      </c>
      <c r="Q25" s="33" t="n">
        <v>0.2</v>
      </c>
      <c r="R25" s="31" t="n">
        <v>179.4614963884293</v>
      </c>
      <c r="S25" s="31">
        <f>R25*IF(A25=4, 2.0, 3.0)</f>
        <v/>
      </c>
      <c r="T25" s="30">
        <f>'Dashboard &amp; Optimisation'!$B$18*U25</f>
        <v/>
      </c>
      <c r="U25" s="34">
        <f>MIN(1, S25/M25)</f>
        <v/>
      </c>
      <c r="V25" s="34">
        <f>N25/(N25+O25)</f>
        <v/>
      </c>
      <c r="W25" s="34">
        <f>U25*V25</f>
        <v/>
      </c>
      <c r="X25" s="32">
        <f>T25/N25</f>
        <v/>
      </c>
      <c r="Y25" s="35">
        <f>IF(W25=MAXIFS(W$2:W$3601, A$2:A$3601, A25, B$2:B$3601, B25), "OPTIMAL", "")</f>
        <v/>
      </c>
    </row>
    <row r="26" ht="20" customHeight="1">
      <c r="A26" s="21" t="n">
        <v>4</v>
      </c>
      <c r="B26" s="21" t="n">
        <v>25</v>
      </c>
      <c r="C26" s="22" t="n">
        <v>80</v>
      </c>
      <c r="D26" s="22" t="n">
        <v>3</v>
      </c>
      <c r="E26" s="23" t="n">
        <v>4</v>
      </c>
      <c r="F26" s="22" t="n">
        <v>1.5</v>
      </c>
      <c r="G26" s="23" t="inlineStr">
        <is>
          <t>Oui</t>
        </is>
      </c>
      <c r="H26" s="23" t="inlineStr">
        <is>
          <t>ON</t>
        </is>
      </c>
      <c r="I26" s="24" t="n">
        <v>580.1183283215253</v>
      </c>
      <c r="J26" s="24" t="n">
        <v>1533.568798690708</v>
      </c>
      <c r="K26" s="24" t="n">
        <v>1407.407407407407</v>
      </c>
      <c r="L26" s="24" t="n">
        <v>150</v>
      </c>
      <c r="M26" s="24">
        <f>I26+J26+K26+L26</f>
        <v/>
      </c>
      <c r="N26" s="24">
        <f>M26*'Dashboard &amp; Optimisation'!$B$18/('Dashboard &amp; Optimisation'!$B$16/3.6)</f>
        <v/>
      </c>
      <c r="O26" s="24" t="n">
        <v>449.4750916414237</v>
      </c>
      <c r="P26" s="25" t="n">
        <v>0.08209463084427607</v>
      </c>
      <c r="Q26" s="26" t="n">
        <v>8.657063527408475</v>
      </c>
      <c r="R26" s="24" t="n">
        <v>2041.471025301794</v>
      </c>
      <c r="S26" s="24">
        <f>R26*IF(A26=4, 2.0, 3.0)</f>
        <v/>
      </c>
      <c r="T26" s="22">
        <f>'Dashboard &amp; Optimisation'!$B$18*U26</f>
        <v/>
      </c>
      <c r="U26" s="27">
        <f>MIN(1, S26/M26)</f>
        <v/>
      </c>
      <c r="V26" s="27">
        <f>N26/(N26+O26)</f>
        <v/>
      </c>
      <c r="W26" s="27">
        <f>U26*V26</f>
        <v/>
      </c>
      <c r="X26" s="25">
        <f>T26/N26</f>
        <v/>
      </c>
      <c r="Y26" s="28">
        <f>IF(W26=MAXIFS(W$2:W$3601, A$2:A$3601, A26, B$2:B$3601, B26), "OPTIMAL", "")</f>
        <v/>
      </c>
    </row>
    <row r="27" ht="20" customHeight="1">
      <c r="A27" s="29" t="n">
        <v>4</v>
      </c>
      <c r="B27" s="29" t="n">
        <v>25</v>
      </c>
      <c r="C27" s="30" t="n">
        <v>80</v>
      </c>
      <c r="D27" s="30" t="n">
        <v>3</v>
      </c>
      <c r="E27" s="6" t="n">
        <v>4</v>
      </c>
      <c r="F27" s="30" t="n">
        <v>1.5</v>
      </c>
      <c r="G27" s="6" t="inlineStr">
        <is>
          <t>Oui</t>
        </is>
      </c>
      <c r="H27" s="6" t="inlineStr">
        <is>
          <t>OFF</t>
        </is>
      </c>
      <c r="I27" s="31" t="n">
        <v>580.1183283215253</v>
      </c>
      <c r="J27" s="31" t="n">
        <v>1533.568798690708</v>
      </c>
      <c r="K27" s="31" t="n">
        <v>1407.407407407407</v>
      </c>
      <c r="L27" s="31" t="n">
        <v>150</v>
      </c>
      <c r="M27" s="31">
        <f>I27+J27+K27+L27</f>
        <v/>
      </c>
      <c r="N27" s="31">
        <f>M27*'Dashboard &amp; Optimisation'!$B$18/('Dashboard &amp; Optimisation'!$B$16/3.6)</f>
        <v/>
      </c>
      <c r="O27" s="31" t="n">
        <v>449.4750916414237</v>
      </c>
      <c r="P27" s="32" t="n">
        <v>0.3558275394191204</v>
      </c>
      <c r="Q27" s="33" t="n">
        <v>8.657063527408475</v>
      </c>
      <c r="R27" s="31" t="n">
        <v>470.9972996329325</v>
      </c>
      <c r="S27" s="31">
        <f>R27*IF(A27=4, 2.0, 3.0)</f>
        <v/>
      </c>
      <c r="T27" s="30">
        <f>'Dashboard &amp; Optimisation'!$B$18*U27</f>
        <v/>
      </c>
      <c r="U27" s="34">
        <f>MIN(1, S27/M27)</f>
        <v/>
      </c>
      <c r="V27" s="34">
        <f>N27/(N27+O27)</f>
        <v/>
      </c>
      <c r="W27" s="34">
        <f>U27*V27</f>
        <v/>
      </c>
      <c r="X27" s="32">
        <f>T27/N27</f>
        <v/>
      </c>
      <c r="Y27" s="35">
        <f>IF(W27=MAXIFS(W$2:W$3601, A$2:A$3601, A27, B$2:B$3601, B27), "OPTIMAL", "")</f>
        <v/>
      </c>
    </row>
    <row r="28" ht="20" customHeight="1">
      <c r="A28" s="21" t="n">
        <v>4</v>
      </c>
      <c r="B28" s="21" t="n">
        <v>25</v>
      </c>
      <c r="C28" s="22" t="n">
        <v>80</v>
      </c>
      <c r="D28" s="22" t="n">
        <v>3</v>
      </c>
      <c r="E28" s="23" t="n">
        <v>4</v>
      </c>
      <c r="F28" s="22" t="n">
        <v>1.5</v>
      </c>
      <c r="G28" s="23" t="inlineStr">
        <is>
          <t>Non</t>
        </is>
      </c>
      <c r="H28" s="23" t="inlineStr">
        <is>
          <t>ON</t>
        </is>
      </c>
      <c r="I28" s="24" t="n">
        <v>580.1183283215253</v>
      </c>
      <c r="J28" s="24" t="n">
        <v>1533.568798690708</v>
      </c>
      <c r="K28" s="24" t="n">
        <v>1407.407407407407</v>
      </c>
      <c r="L28" s="24" t="n">
        <v>150</v>
      </c>
      <c r="M28" s="24">
        <f>I28+J28+K28+L28</f>
        <v/>
      </c>
      <c r="N28" s="24">
        <f>M28*'Dashboard &amp; Optimisation'!$B$18/('Dashboard &amp; Optimisation'!$B$16/3.6)</f>
        <v/>
      </c>
      <c r="O28" s="24" t="n">
        <v>449.4750916414237</v>
      </c>
      <c r="P28" s="25" t="n">
        <v>0.07811575726697868</v>
      </c>
      <c r="Q28" s="26" t="n">
        <v>8.657063527408475</v>
      </c>
      <c r="R28" s="24" t="n">
        <v>2145.454592837728</v>
      </c>
      <c r="S28" s="24">
        <f>R28*IF(A28=4, 2.0, 3.0)</f>
        <v/>
      </c>
      <c r="T28" s="22">
        <f>'Dashboard &amp; Optimisation'!$B$18*U28</f>
        <v/>
      </c>
      <c r="U28" s="27">
        <f>MIN(1, S28/M28)</f>
        <v/>
      </c>
      <c r="V28" s="27">
        <f>N28/(N28+O28)</f>
        <v/>
      </c>
      <c r="W28" s="27">
        <f>U28*V28</f>
        <v/>
      </c>
      <c r="X28" s="25">
        <f>T28/N28</f>
        <v/>
      </c>
      <c r="Y28" s="28">
        <f>IF(W28=MAXIFS(W$2:W$3601, A$2:A$3601, A28, B$2:B$3601, B28), "OPTIMAL", "")</f>
        <v/>
      </c>
    </row>
    <row r="29" ht="20" customHeight="1">
      <c r="A29" s="29" t="n">
        <v>4</v>
      </c>
      <c r="B29" s="29" t="n">
        <v>25</v>
      </c>
      <c r="C29" s="30" t="n">
        <v>80</v>
      </c>
      <c r="D29" s="30" t="n">
        <v>3</v>
      </c>
      <c r="E29" s="6" t="n">
        <v>4</v>
      </c>
      <c r="F29" s="30" t="n">
        <v>1.5</v>
      </c>
      <c r="G29" s="6" t="inlineStr">
        <is>
          <t>Non</t>
        </is>
      </c>
      <c r="H29" s="6" t="inlineStr">
        <is>
          <t>OFF</t>
        </is>
      </c>
      <c r="I29" s="31" t="n">
        <v>580.1183283215253</v>
      </c>
      <c r="J29" s="31" t="n">
        <v>1533.568798690708</v>
      </c>
      <c r="K29" s="31" t="n">
        <v>1407.407407407407</v>
      </c>
      <c r="L29" s="31" t="n">
        <v>150</v>
      </c>
      <c r="M29" s="31">
        <f>I29+J29+K29+L29</f>
        <v/>
      </c>
      <c r="N29" s="31">
        <f>M29*'Dashboard &amp; Optimisation'!$B$18/('Dashboard &amp; Optimisation'!$B$16/3.6)</f>
        <v/>
      </c>
      <c r="O29" s="31" t="n">
        <v>449.4750916414237</v>
      </c>
      <c r="P29" s="32" t="n">
        <v>0.3518486658418231</v>
      </c>
      <c r="Q29" s="33" t="n">
        <v>8.657063527408475</v>
      </c>
      <c r="R29" s="31" t="n">
        <v>476.3235631445594</v>
      </c>
      <c r="S29" s="31">
        <f>R29*IF(A29=4, 2.0, 3.0)</f>
        <v/>
      </c>
      <c r="T29" s="30">
        <f>'Dashboard &amp; Optimisation'!$B$18*U29</f>
        <v/>
      </c>
      <c r="U29" s="34">
        <f>MIN(1, S29/M29)</f>
        <v/>
      </c>
      <c r="V29" s="34">
        <f>N29/(N29+O29)</f>
        <v/>
      </c>
      <c r="W29" s="34">
        <f>U29*V29</f>
        <v/>
      </c>
      <c r="X29" s="32">
        <f>T29/N29</f>
        <v/>
      </c>
      <c r="Y29" s="35">
        <f>IF(W29=MAXIFS(W$2:W$3601, A$2:A$3601, A29, B$2:B$3601, B29), "OPTIMAL", "")</f>
        <v/>
      </c>
    </row>
    <row r="30" ht="20" customHeight="1">
      <c r="A30" s="21" t="n">
        <v>4</v>
      </c>
      <c r="B30" s="21" t="n">
        <v>25</v>
      </c>
      <c r="C30" s="22" t="n">
        <v>80</v>
      </c>
      <c r="D30" s="22" t="n">
        <v>3</v>
      </c>
      <c r="E30" s="23" t="n">
        <v>4</v>
      </c>
      <c r="F30" s="22" t="n">
        <v>2</v>
      </c>
      <c r="G30" s="23" t="inlineStr">
        <is>
          <t>Oui</t>
        </is>
      </c>
      <c r="H30" s="23" t="inlineStr">
        <is>
          <t>ON</t>
        </is>
      </c>
      <c r="I30" s="24" t="n">
        <v>580.1183283215253</v>
      </c>
      <c r="J30" s="24" t="n">
        <v>1533.568798690708</v>
      </c>
      <c r="K30" s="24" t="n">
        <v>1407.407407407407</v>
      </c>
      <c r="L30" s="24" t="n">
        <v>150</v>
      </c>
      <c r="M30" s="24">
        <f>I30+J30+K30+L30</f>
        <v/>
      </c>
      <c r="N30" s="24">
        <f>M30*'Dashboard &amp; Optimisation'!$B$18/('Dashboard &amp; Optimisation'!$B$16/3.6)</f>
        <v/>
      </c>
      <c r="O30" s="24" t="n">
        <v>496.9737550982482</v>
      </c>
      <c r="P30" s="25" t="n">
        <v>0.08011046001180847</v>
      </c>
      <c r="Q30" s="26" t="n">
        <v>11.4760847032113</v>
      </c>
      <c r="R30" s="24" t="n">
        <v>2122.508260449074</v>
      </c>
      <c r="S30" s="24">
        <f>R30*IF(A30=4, 2.0, 3.0)</f>
        <v/>
      </c>
      <c r="T30" s="22">
        <f>'Dashboard &amp; Optimisation'!$B$18*U30</f>
        <v/>
      </c>
      <c r="U30" s="27">
        <f>MIN(1, S30/M30)</f>
        <v/>
      </c>
      <c r="V30" s="27">
        <f>N30/(N30+O30)</f>
        <v/>
      </c>
      <c r="W30" s="27">
        <f>U30*V30</f>
        <v/>
      </c>
      <c r="X30" s="25">
        <f>T30/N30</f>
        <v/>
      </c>
      <c r="Y30" s="28">
        <f>IF(W30=MAXIFS(W$2:W$3601, A$2:A$3601, A30, B$2:B$3601, B30), "OPTIMAL", "")</f>
        <v/>
      </c>
    </row>
    <row r="31" ht="20" customHeight="1">
      <c r="A31" s="29" t="n">
        <v>4</v>
      </c>
      <c r="B31" s="29" t="n">
        <v>25</v>
      </c>
      <c r="C31" s="30" t="n">
        <v>80</v>
      </c>
      <c r="D31" s="30" t="n">
        <v>3</v>
      </c>
      <c r="E31" s="6" t="n">
        <v>4</v>
      </c>
      <c r="F31" s="30" t="n">
        <v>2</v>
      </c>
      <c r="G31" s="6" t="inlineStr">
        <is>
          <t>Oui</t>
        </is>
      </c>
      <c r="H31" s="6" t="inlineStr">
        <is>
          <t>OFF</t>
        </is>
      </c>
      <c r="I31" s="31" t="n">
        <v>580.1183283215253</v>
      </c>
      <c r="J31" s="31" t="n">
        <v>1533.568798690708</v>
      </c>
      <c r="K31" s="31" t="n">
        <v>1407.407407407407</v>
      </c>
      <c r="L31" s="31" t="n">
        <v>150</v>
      </c>
      <c r="M31" s="31">
        <f>I31+J31+K31+L31</f>
        <v/>
      </c>
      <c r="N31" s="31">
        <f>M31*'Dashboard &amp; Optimisation'!$B$18/('Dashboard &amp; Optimisation'!$B$16/3.6)</f>
        <v/>
      </c>
      <c r="O31" s="31" t="n">
        <v>496.9737550982482</v>
      </c>
      <c r="P31" s="32" t="n">
        <v>0.3553476372854298</v>
      </c>
      <c r="Q31" s="33" t="n">
        <v>11.4760847032113</v>
      </c>
      <c r="R31" s="31" t="n">
        <v>478.5035702569184</v>
      </c>
      <c r="S31" s="31">
        <f>R31*IF(A31=4, 2.0, 3.0)</f>
        <v/>
      </c>
      <c r="T31" s="30">
        <f>'Dashboard &amp; Optimisation'!$B$18*U31</f>
        <v/>
      </c>
      <c r="U31" s="34">
        <f>MIN(1, S31/M31)</f>
        <v/>
      </c>
      <c r="V31" s="34">
        <f>N31/(N31+O31)</f>
        <v/>
      </c>
      <c r="W31" s="34">
        <f>U31*V31</f>
        <v/>
      </c>
      <c r="X31" s="32">
        <f>T31/N31</f>
        <v/>
      </c>
      <c r="Y31" s="35">
        <f>IF(W31=MAXIFS(W$2:W$3601, A$2:A$3601, A31, B$2:B$3601, B31), "OPTIMAL", "")</f>
        <v/>
      </c>
    </row>
    <row r="32" ht="20" customHeight="1">
      <c r="A32" s="21" t="n">
        <v>4</v>
      </c>
      <c r="B32" s="21" t="n">
        <v>25</v>
      </c>
      <c r="C32" s="22" t="n">
        <v>80</v>
      </c>
      <c r="D32" s="22" t="n">
        <v>3</v>
      </c>
      <c r="E32" s="23" t="n">
        <v>4</v>
      </c>
      <c r="F32" s="22" t="n">
        <v>2</v>
      </c>
      <c r="G32" s="23" t="inlineStr">
        <is>
          <t>Non</t>
        </is>
      </c>
      <c r="H32" s="23" t="inlineStr">
        <is>
          <t>ON</t>
        </is>
      </c>
      <c r="I32" s="24" t="n">
        <v>580.1183283215253</v>
      </c>
      <c r="J32" s="24" t="n">
        <v>1533.568798690708</v>
      </c>
      <c r="K32" s="24" t="n">
        <v>1407.407407407407</v>
      </c>
      <c r="L32" s="24" t="n">
        <v>150</v>
      </c>
      <c r="M32" s="24">
        <f>I32+J32+K32+L32</f>
        <v/>
      </c>
      <c r="N32" s="24">
        <f>M32*'Dashboard &amp; Optimisation'!$B$18/('Dashboard &amp; Optimisation'!$B$16/3.6)</f>
        <v/>
      </c>
      <c r="O32" s="24" t="n">
        <v>496.9737550982482</v>
      </c>
      <c r="P32" s="25" t="n">
        <v>0.07613158643451108</v>
      </c>
      <c r="Q32" s="26" t="n">
        <v>11.4760847032113</v>
      </c>
      <c r="R32" s="24" t="n">
        <v>2233.437145956547</v>
      </c>
      <c r="S32" s="24">
        <f>R32*IF(A32=4, 2.0, 3.0)</f>
        <v/>
      </c>
      <c r="T32" s="22">
        <f>'Dashboard &amp; Optimisation'!$B$18*U32</f>
        <v/>
      </c>
      <c r="U32" s="27">
        <f>MIN(1, S32/M32)</f>
        <v/>
      </c>
      <c r="V32" s="27">
        <f>N32/(N32+O32)</f>
        <v/>
      </c>
      <c r="W32" s="27">
        <f>U32*V32</f>
        <v/>
      </c>
      <c r="X32" s="25">
        <f>T32/N32</f>
        <v/>
      </c>
      <c r="Y32" s="28">
        <f>IF(W32=MAXIFS(W$2:W$3601, A$2:A$3601, A32, B$2:B$3601, B32), "OPTIMAL", "")</f>
        <v/>
      </c>
    </row>
    <row r="33" ht="20" customHeight="1">
      <c r="A33" s="29" t="n">
        <v>4</v>
      </c>
      <c r="B33" s="29" t="n">
        <v>25</v>
      </c>
      <c r="C33" s="30" t="n">
        <v>80</v>
      </c>
      <c r="D33" s="30" t="n">
        <v>3</v>
      </c>
      <c r="E33" s="6" t="n">
        <v>4</v>
      </c>
      <c r="F33" s="30" t="n">
        <v>2</v>
      </c>
      <c r="G33" s="6" t="inlineStr">
        <is>
          <t>Non</t>
        </is>
      </c>
      <c r="H33" s="6" t="inlineStr">
        <is>
          <t>OFF</t>
        </is>
      </c>
      <c r="I33" s="31" t="n">
        <v>580.1183283215253</v>
      </c>
      <c r="J33" s="31" t="n">
        <v>1533.568798690708</v>
      </c>
      <c r="K33" s="31" t="n">
        <v>1407.407407407407</v>
      </c>
      <c r="L33" s="31" t="n">
        <v>150</v>
      </c>
      <c r="M33" s="31">
        <f>I33+J33+K33+L33</f>
        <v/>
      </c>
      <c r="N33" s="31">
        <f>M33*'Dashboard &amp; Optimisation'!$B$18/('Dashboard &amp; Optimisation'!$B$16/3.6)</f>
        <v/>
      </c>
      <c r="O33" s="31" t="n">
        <v>496.9737550982482</v>
      </c>
      <c r="P33" s="32" t="n">
        <v>0.3513687637081325</v>
      </c>
      <c r="Q33" s="33" t="n">
        <v>11.4760847032113</v>
      </c>
      <c r="R33" s="31" t="n">
        <v>483.9221088664551</v>
      </c>
      <c r="S33" s="31">
        <f>R33*IF(A33=4, 2.0, 3.0)</f>
        <v/>
      </c>
      <c r="T33" s="30">
        <f>'Dashboard &amp; Optimisation'!$B$18*U33</f>
        <v/>
      </c>
      <c r="U33" s="34">
        <f>MIN(1, S33/M33)</f>
        <v/>
      </c>
      <c r="V33" s="34">
        <f>N33/(N33+O33)</f>
        <v/>
      </c>
      <c r="W33" s="34">
        <f>U33*V33</f>
        <v/>
      </c>
      <c r="X33" s="32">
        <f>T33/N33</f>
        <v/>
      </c>
      <c r="Y33" s="35">
        <f>IF(W33=MAXIFS(W$2:W$3601, A$2:A$3601, A33, B$2:B$3601, B33), "OPTIMAL", "")</f>
        <v/>
      </c>
    </row>
    <row r="34" ht="20" customHeight="1">
      <c r="A34" s="21" t="n">
        <v>4</v>
      </c>
      <c r="B34" s="21" t="n">
        <v>25</v>
      </c>
      <c r="C34" s="22" t="n">
        <v>80</v>
      </c>
      <c r="D34" s="22" t="n">
        <v>3</v>
      </c>
      <c r="E34" s="23" t="n">
        <v>8</v>
      </c>
      <c r="F34" s="22" t="n">
        <v>1.5</v>
      </c>
      <c r="G34" s="23" t="inlineStr">
        <is>
          <t>Oui</t>
        </is>
      </c>
      <c r="H34" s="23" t="inlineStr">
        <is>
          <t>ON</t>
        </is>
      </c>
      <c r="I34" s="24" t="n">
        <v>580.1183283215253</v>
      </c>
      <c r="J34" s="24" t="n">
        <v>1533.568798690708</v>
      </c>
      <c r="K34" s="24" t="n">
        <v>1407.407407407407</v>
      </c>
      <c r="L34" s="24" t="n">
        <v>150</v>
      </c>
      <c r="M34" s="24">
        <f>I34+J34+K34+L34</f>
        <v/>
      </c>
      <c r="N34" s="24">
        <f>M34*'Dashboard &amp; Optimisation'!$B$18/('Dashboard &amp; Optimisation'!$B$16/3.6)</f>
        <v/>
      </c>
      <c r="O34" s="24" t="n">
        <v>596.2470736873179</v>
      </c>
      <c r="P34" s="25" t="n">
        <v>0.06134832938702932</v>
      </c>
      <c r="Q34" s="26" t="n">
        <v>17.11412705481695</v>
      </c>
      <c r="R34" s="24" t="n">
        <v>2854.804607269577</v>
      </c>
      <c r="S34" s="24">
        <f>R34*IF(A34=4, 2.0, 3.0)</f>
        <v/>
      </c>
      <c r="T34" s="22">
        <f>'Dashboard &amp; Optimisation'!$B$18*U34</f>
        <v/>
      </c>
      <c r="U34" s="27">
        <f>MIN(1, S34/M34)</f>
        <v/>
      </c>
      <c r="V34" s="27">
        <f>N34/(N34+O34)</f>
        <v/>
      </c>
      <c r="W34" s="27">
        <f>U34*V34</f>
        <v/>
      </c>
      <c r="X34" s="25">
        <f>T34/N34</f>
        <v/>
      </c>
      <c r="Y34" s="28">
        <f>IF(W34=MAXIFS(W$2:W$3601, A$2:A$3601, A34, B$2:B$3601, B34), "OPTIMAL", "")</f>
        <v/>
      </c>
    </row>
    <row r="35" ht="20" customHeight="1">
      <c r="A35" s="29" t="n">
        <v>4</v>
      </c>
      <c r="B35" s="29" t="n">
        <v>25</v>
      </c>
      <c r="C35" s="30" t="n">
        <v>80</v>
      </c>
      <c r="D35" s="30" t="n">
        <v>3</v>
      </c>
      <c r="E35" s="6" t="n">
        <v>8</v>
      </c>
      <c r="F35" s="30" t="n">
        <v>1.5</v>
      </c>
      <c r="G35" s="6" t="inlineStr">
        <is>
          <t>Oui</t>
        </is>
      </c>
      <c r="H35" s="6" t="inlineStr">
        <is>
          <t>OFF</t>
        </is>
      </c>
      <c r="I35" s="31" t="n">
        <v>580.1183283215253</v>
      </c>
      <c r="J35" s="31" t="n">
        <v>1533.568798690708</v>
      </c>
      <c r="K35" s="31" t="n">
        <v>1407.407407407407</v>
      </c>
      <c r="L35" s="31" t="n">
        <v>150</v>
      </c>
      <c r="M35" s="31">
        <f>I35+J35+K35+L35</f>
        <v/>
      </c>
      <c r="N35" s="31">
        <f>M35*'Dashboard &amp; Optimisation'!$B$18/('Dashboard &amp; Optimisation'!$B$16/3.6)</f>
        <v/>
      </c>
      <c r="O35" s="31" t="n">
        <v>596.2470736873179</v>
      </c>
      <c r="P35" s="32" t="n">
        <v>0.2699794634504217</v>
      </c>
      <c r="Q35" s="33" t="n">
        <v>17.11412705481695</v>
      </c>
      <c r="R35" s="31" t="n">
        <v>648.7067243710729</v>
      </c>
      <c r="S35" s="31">
        <f>R35*IF(A35=4, 2.0, 3.0)</f>
        <v/>
      </c>
      <c r="T35" s="30">
        <f>'Dashboard &amp; Optimisation'!$B$18*U35</f>
        <v/>
      </c>
      <c r="U35" s="34">
        <f>MIN(1, S35/M35)</f>
        <v/>
      </c>
      <c r="V35" s="34">
        <f>N35/(N35+O35)</f>
        <v/>
      </c>
      <c r="W35" s="34">
        <f>U35*V35</f>
        <v/>
      </c>
      <c r="X35" s="32">
        <f>T35/N35</f>
        <v/>
      </c>
      <c r="Y35" s="35">
        <f>IF(W35=MAXIFS(W$2:W$3601, A$2:A$3601, A35, B$2:B$3601, B35), "OPTIMAL", "")</f>
        <v/>
      </c>
    </row>
    <row r="36" ht="20" customHeight="1">
      <c r="A36" s="21" t="n">
        <v>4</v>
      </c>
      <c r="B36" s="21" t="n">
        <v>25</v>
      </c>
      <c r="C36" s="22" t="n">
        <v>80</v>
      </c>
      <c r="D36" s="22" t="n">
        <v>3</v>
      </c>
      <c r="E36" s="23" t="n">
        <v>8</v>
      </c>
      <c r="F36" s="22" t="n">
        <v>1.5</v>
      </c>
      <c r="G36" s="23" t="inlineStr">
        <is>
          <t>Non</t>
        </is>
      </c>
      <c r="H36" s="23" t="inlineStr">
        <is>
          <t>ON</t>
        </is>
      </c>
      <c r="I36" s="24" t="n">
        <v>580.1183283215253</v>
      </c>
      <c r="J36" s="24" t="n">
        <v>1533.568798690708</v>
      </c>
      <c r="K36" s="24" t="n">
        <v>1407.407407407407</v>
      </c>
      <c r="L36" s="24" t="n">
        <v>150</v>
      </c>
      <c r="M36" s="24">
        <f>I36+J36+K36+L36</f>
        <v/>
      </c>
      <c r="N36" s="24">
        <f>M36*'Dashboard &amp; Optimisation'!$B$18/('Dashboard &amp; Optimisation'!$B$16/3.6)</f>
        <v/>
      </c>
      <c r="O36" s="24" t="n">
        <v>596.2470736873179</v>
      </c>
      <c r="P36" s="25" t="n">
        <v>0.05736945580973193</v>
      </c>
      <c r="Q36" s="26" t="n">
        <v>17.11412705481695</v>
      </c>
      <c r="R36" s="24" t="n">
        <v>3052.800325720942</v>
      </c>
      <c r="S36" s="24">
        <f>R36*IF(A36=4, 2.0, 3.0)</f>
        <v/>
      </c>
      <c r="T36" s="22">
        <f>'Dashboard &amp; Optimisation'!$B$18*U36</f>
        <v/>
      </c>
      <c r="U36" s="27">
        <f>MIN(1, S36/M36)</f>
        <v/>
      </c>
      <c r="V36" s="27">
        <f>N36/(N36+O36)</f>
        <v/>
      </c>
      <c r="W36" s="27">
        <f>U36*V36</f>
        <v/>
      </c>
      <c r="X36" s="25">
        <f>T36/N36</f>
        <v/>
      </c>
      <c r="Y36" s="28">
        <f>IF(W36=MAXIFS(W$2:W$3601, A$2:A$3601, A36, B$2:B$3601, B36), "OPTIMAL", "")</f>
        <v/>
      </c>
    </row>
    <row r="37" ht="20" customHeight="1">
      <c r="A37" s="29" t="n">
        <v>4</v>
      </c>
      <c r="B37" s="29" t="n">
        <v>25</v>
      </c>
      <c r="C37" s="30" t="n">
        <v>80</v>
      </c>
      <c r="D37" s="30" t="n">
        <v>3</v>
      </c>
      <c r="E37" s="6" t="n">
        <v>8</v>
      </c>
      <c r="F37" s="30" t="n">
        <v>1.5</v>
      </c>
      <c r="G37" s="6" t="inlineStr">
        <is>
          <t>Non</t>
        </is>
      </c>
      <c r="H37" s="6" t="inlineStr">
        <is>
          <t>OFF</t>
        </is>
      </c>
      <c r="I37" s="31" t="n">
        <v>580.1183283215253</v>
      </c>
      <c r="J37" s="31" t="n">
        <v>1533.568798690708</v>
      </c>
      <c r="K37" s="31" t="n">
        <v>1407.407407407407</v>
      </c>
      <c r="L37" s="31" t="n">
        <v>150</v>
      </c>
      <c r="M37" s="31">
        <f>I37+J37+K37+L37</f>
        <v/>
      </c>
      <c r="N37" s="31">
        <f>M37*'Dashboard &amp; Optimisation'!$B$18/('Dashboard &amp; Optimisation'!$B$16/3.6)</f>
        <v/>
      </c>
      <c r="O37" s="31" t="n">
        <v>596.2470736873179</v>
      </c>
      <c r="P37" s="32" t="n">
        <v>0.2660005898731243</v>
      </c>
      <c r="Q37" s="33" t="n">
        <v>17.11412705481695</v>
      </c>
      <c r="R37" s="31" t="n">
        <v>658.4101691876664</v>
      </c>
      <c r="S37" s="31">
        <f>R37*IF(A37=4, 2.0, 3.0)</f>
        <v/>
      </c>
      <c r="T37" s="30">
        <f>'Dashboard &amp; Optimisation'!$B$18*U37</f>
        <v/>
      </c>
      <c r="U37" s="34">
        <f>MIN(1, S37/M37)</f>
        <v/>
      </c>
      <c r="V37" s="34">
        <f>N37/(N37+O37)</f>
        <v/>
      </c>
      <c r="W37" s="34">
        <f>U37*V37</f>
        <v/>
      </c>
      <c r="X37" s="32">
        <f>T37/N37</f>
        <v/>
      </c>
      <c r="Y37" s="35">
        <f>IF(W37=MAXIFS(W$2:W$3601, A$2:A$3601, A37, B$2:B$3601, B37), "OPTIMAL", "")</f>
        <v/>
      </c>
    </row>
    <row r="38" ht="20" customHeight="1">
      <c r="A38" s="21" t="n">
        <v>4</v>
      </c>
      <c r="B38" s="21" t="n">
        <v>25</v>
      </c>
      <c r="C38" s="22" t="n">
        <v>80</v>
      </c>
      <c r="D38" s="22" t="n">
        <v>3</v>
      </c>
      <c r="E38" s="23" t="n">
        <v>8</v>
      </c>
      <c r="F38" s="22" t="n">
        <v>2</v>
      </c>
      <c r="G38" s="23" t="inlineStr">
        <is>
          <t>Oui</t>
        </is>
      </c>
      <c r="H38" s="23" t="inlineStr">
        <is>
          <t>ON</t>
        </is>
      </c>
      <c r="I38" s="24" t="n">
        <v>580.1183283215253</v>
      </c>
      <c r="J38" s="24" t="n">
        <v>1533.568798690708</v>
      </c>
      <c r="K38" s="24" t="n">
        <v>1407.407407407407</v>
      </c>
      <c r="L38" s="24" t="n">
        <v>150</v>
      </c>
      <c r="M38" s="24">
        <f>I38+J38+K38+L38</f>
        <v/>
      </c>
      <c r="N38" s="24">
        <f>M38*'Dashboard &amp; Optimisation'!$B$18/('Dashboard &amp; Optimisation'!$B$16/3.6)</f>
        <v/>
      </c>
      <c r="O38" s="24" t="n">
        <v>701.6626566069606</v>
      </c>
      <c r="P38" s="25" t="n">
        <v>0.060517018169736</v>
      </c>
      <c r="Q38" s="26" t="n">
        <v>22.7521694064226</v>
      </c>
      <c r="R38" s="24" t="n">
        <v>2983.550328275477</v>
      </c>
      <c r="S38" s="24">
        <f>R38*IF(A38=4, 2.0, 3.0)</f>
        <v/>
      </c>
      <c r="T38" s="22">
        <f>'Dashboard &amp; Optimisation'!$B$18*U38</f>
        <v/>
      </c>
      <c r="U38" s="27">
        <f>MIN(1, S38/M38)</f>
        <v/>
      </c>
      <c r="V38" s="27">
        <f>N38/(N38+O38)</f>
        <v/>
      </c>
      <c r="W38" s="27">
        <f>U38*V38</f>
        <v/>
      </c>
      <c r="X38" s="25">
        <f>T38/N38</f>
        <v/>
      </c>
      <c r="Y38" s="28">
        <f>IF(W38=MAXIFS(W$2:W$3601, A$2:A$3601, A38, B$2:B$3601, B38), "OPTIMAL", "")</f>
        <v/>
      </c>
    </row>
    <row r="39" ht="20" customHeight="1">
      <c r="A39" s="29" t="n">
        <v>4</v>
      </c>
      <c r="B39" s="29" t="n">
        <v>25</v>
      </c>
      <c r="C39" s="30" t="n">
        <v>80</v>
      </c>
      <c r="D39" s="30" t="n">
        <v>3</v>
      </c>
      <c r="E39" s="6" t="n">
        <v>8</v>
      </c>
      <c r="F39" s="30" t="n">
        <v>2</v>
      </c>
      <c r="G39" s="6" t="inlineStr">
        <is>
          <t>Oui</t>
        </is>
      </c>
      <c r="H39" s="6" t="inlineStr">
        <is>
          <t>OFF</t>
        </is>
      </c>
      <c r="I39" s="31" t="n">
        <v>580.1183283215253</v>
      </c>
      <c r="J39" s="31" t="n">
        <v>1533.568798690708</v>
      </c>
      <c r="K39" s="31" t="n">
        <v>1407.407407407407</v>
      </c>
      <c r="L39" s="31" t="n">
        <v>150</v>
      </c>
      <c r="M39" s="31">
        <f>I39+J39+K39+L39</f>
        <v/>
      </c>
      <c r="N39" s="31">
        <f>M39*'Dashboard &amp; Optimisation'!$B$18/('Dashboard &amp; Optimisation'!$B$16/3.6)</f>
        <v/>
      </c>
      <c r="O39" s="31" t="n">
        <v>701.6626566069606</v>
      </c>
      <c r="P39" s="32" t="n">
        <v>0.2709014433795033</v>
      </c>
      <c r="Q39" s="33" t="n">
        <v>22.7521694064226</v>
      </c>
      <c r="R39" s="31" t="n">
        <v>666.4991045235231</v>
      </c>
      <c r="S39" s="31">
        <f>R39*IF(A39=4, 2.0, 3.0)</f>
        <v/>
      </c>
      <c r="T39" s="30">
        <f>'Dashboard &amp; Optimisation'!$B$18*U39</f>
        <v/>
      </c>
      <c r="U39" s="34">
        <f>MIN(1, S39/M39)</f>
        <v/>
      </c>
      <c r="V39" s="34">
        <f>N39/(N39+O39)</f>
        <v/>
      </c>
      <c r="W39" s="34">
        <f>U39*V39</f>
        <v/>
      </c>
      <c r="X39" s="32">
        <f>T39/N39</f>
        <v/>
      </c>
      <c r="Y39" s="35">
        <f>IF(W39=MAXIFS(W$2:W$3601, A$2:A$3601, A39, B$2:B$3601, B39), "OPTIMAL", "")</f>
        <v/>
      </c>
    </row>
    <row r="40" ht="20" customHeight="1">
      <c r="A40" s="21" t="n">
        <v>4</v>
      </c>
      <c r="B40" s="21" t="n">
        <v>25</v>
      </c>
      <c r="C40" s="22" t="n">
        <v>80</v>
      </c>
      <c r="D40" s="22" t="n">
        <v>3</v>
      </c>
      <c r="E40" s="23" t="n">
        <v>8</v>
      </c>
      <c r="F40" s="22" t="n">
        <v>2</v>
      </c>
      <c r="G40" s="23" t="inlineStr">
        <is>
          <t>Non</t>
        </is>
      </c>
      <c r="H40" s="23" t="inlineStr">
        <is>
          <t>ON</t>
        </is>
      </c>
      <c r="I40" s="24" t="n">
        <v>580.1183283215253</v>
      </c>
      <c r="J40" s="24" t="n">
        <v>1533.568798690708</v>
      </c>
      <c r="K40" s="24" t="n">
        <v>1407.407407407407</v>
      </c>
      <c r="L40" s="24" t="n">
        <v>150</v>
      </c>
      <c r="M40" s="24">
        <f>I40+J40+K40+L40</f>
        <v/>
      </c>
      <c r="N40" s="24">
        <f>M40*'Dashboard &amp; Optimisation'!$B$18/('Dashboard &amp; Optimisation'!$B$16/3.6)</f>
        <v/>
      </c>
      <c r="O40" s="24" t="n">
        <v>701.6626566069606</v>
      </c>
      <c r="P40" s="25" t="n">
        <v>0.05653814459243862</v>
      </c>
      <c r="Q40" s="26" t="n">
        <v>22.7521694064226</v>
      </c>
      <c r="R40" s="24" t="n">
        <v>3193.517769783982</v>
      </c>
      <c r="S40" s="24">
        <f>R40*IF(A40=4, 2.0, 3.0)</f>
        <v/>
      </c>
      <c r="T40" s="22">
        <f>'Dashboard &amp; Optimisation'!$B$18*U40</f>
        <v/>
      </c>
      <c r="U40" s="27">
        <f>MIN(1, S40/M40)</f>
        <v/>
      </c>
      <c r="V40" s="27">
        <f>N40/(N40+O40)</f>
        <v/>
      </c>
      <c r="W40" s="27">
        <f>U40*V40</f>
        <v/>
      </c>
      <c r="X40" s="25">
        <f>T40/N40</f>
        <v/>
      </c>
      <c r="Y40" s="28">
        <f>IF(W40=MAXIFS(W$2:W$3601, A$2:A$3601, A40, B$2:B$3601, B40), "OPTIMAL", "")</f>
        <v/>
      </c>
    </row>
    <row r="41" ht="20" customHeight="1">
      <c r="A41" s="29" t="n">
        <v>4</v>
      </c>
      <c r="B41" s="29" t="n">
        <v>25</v>
      </c>
      <c r="C41" s="30" t="n">
        <v>80</v>
      </c>
      <c r="D41" s="30" t="n">
        <v>3</v>
      </c>
      <c r="E41" s="6" t="n">
        <v>8</v>
      </c>
      <c r="F41" s="30" t="n">
        <v>2</v>
      </c>
      <c r="G41" s="6" t="inlineStr">
        <is>
          <t>Non</t>
        </is>
      </c>
      <c r="H41" s="6" t="inlineStr">
        <is>
          <t>OFF</t>
        </is>
      </c>
      <c r="I41" s="31" t="n">
        <v>580.1183283215253</v>
      </c>
      <c r="J41" s="31" t="n">
        <v>1533.568798690708</v>
      </c>
      <c r="K41" s="31" t="n">
        <v>1407.407407407407</v>
      </c>
      <c r="L41" s="31" t="n">
        <v>150</v>
      </c>
      <c r="M41" s="31">
        <f>I41+J41+K41+L41</f>
        <v/>
      </c>
      <c r="N41" s="31">
        <f>M41*'Dashboard &amp; Optimisation'!$B$18/('Dashboard &amp; Optimisation'!$B$16/3.6)</f>
        <v/>
      </c>
      <c r="O41" s="31" t="n">
        <v>701.6626566069606</v>
      </c>
      <c r="P41" s="32" t="n">
        <v>0.266922569802206</v>
      </c>
      <c r="Q41" s="33" t="n">
        <v>22.7521694064226</v>
      </c>
      <c r="R41" s="31" t="n">
        <v>676.4342541747726</v>
      </c>
      <c r="S41" s="31">
        <f>R41*IF(A41=4, 2.0, 3.0)</f>
        <v/>
      </c>
      <c r="T41" s="30">
        <f>'Dashboard &amp; Optimisation'!$B$18*U41</f>
        <v/>
      </c>
      <c r="U41" s="34">
        <f>MIN(1, S41/M41)</f>
        <v/>
      </c>
      <c r="V41" s="34">
        <f>N41/(N41+O41)</f>
        <v/>
      </c>
      <c r="W41" s="34">
        <f>U41*V41</f>
        <v/>
      </c>
      <c r="X41" s="32">
        <f>T41/N41</f>
        <v/>
      </c>
      <c r="Y41" s="35">
        <f>IF(W41=MAXIFS(W$2:W$3601, A$2:A$3601, A41, B$2:B$3601, B41), "OPTIMAL", "")</f>
        <v/>
      </c>
    </row>
    <row r="42" ht="20" customHeight="1">
      <c r="A42" s="21" t="n">
        <v>4</v>
      </c>
      <c r="B42" s="21" t="n">
        <v>25</v>
      </c>
      <c r="C42" s="22" t="n">
        <v>85</v>
      </c>
      <c r="D42" s="22" t="n">
        <v>2</v>
      </c>
      <c r="E42" s="23" t="n">
        <v>0</v>
      </c>
      <c r="F42" s="22" t="n">
        <v>0</v>
      </c>
      <c r="G42" s="23" t="inlineStr">
        <is>
          <t>Oui</t>
        </is>
      </c>
      <c r="H42" s="23" t="inlineStr">
        <is>
          <t>ON</t>
        </is>
      </c>
      <c r="I42" s="24" t="n">
        <v>580.1183283215253</v>
      </c>
      <c r="J42" s="24" t="n">
        <v>1533.568798690708</v>
      </c>
      <c r="K42" s="24" t="n">
        <v>1407.407407407407</v>
      </c>
      <c r="L42" s="24" t="n">
        <v>150</v>
      </c>
      <c r="M42" s="24">
        <f>I42+J42+K42+L42</f>
        <v/>
      </c>
      <c r="N42" s="24">
        <f>M42*'Dashboard &amp; Optimisation'!$B$18/('Dashboard &amp; Optimisation'!$B$16/3.6)</f>
        <v/>
      </c>
      <c r="O42" s="24" t="n">
        <v>188.8245380473219</v>
      </c>
      <c r="P42" s="25" t="n">
        <v>0.4952901571326194</v>
      </c>
      <c r="Q42" s="26" t="n">
        <v>0.2</v>
      </c>
      <c r="R42" s="24" t="n">
        <v>270.7553261770849</v>
      </c>
      <c r="S42" s="24">
        <f>R42*IF(A42=4, 2.0, 3.0)</f>
        <v/>
      </c>
      <c r="T42" s="22">
        <f>'Dashboard &amp; Optimisation'!$B$18*U42</f>
        <v/>
      </c>
      <c r="U42" s="27">
        <f>MIN(1, S42/M42)</f>
        <v/>
      </c>
      <c r="V42" s="27">
        <f>N42/(N42+O42)</f>
        <v/>
      </c>
      <c r="W42" s="27">
        <f>U42*V42</f>
        <v/>
      </c>
      <c r="X42" s="25">
        <f>T42/N42</f>
        <v/>
      </c>
      <c r="Y42" s="28">
        <f>IF(W42=MAXIFS(W$2:W$3601, A$2:A$3601, A42, B$2:B$3601, B42), "OPTIMAL", "")</f>
        <v/>
      </c>
    </row>
    <row r="43" ht="20" customHeight="1">
      <c r="A43" s="29" t="n">
        <v>4</v>
      </c>
      <c r="B43" s="29" t="n">
        <v>25</v>
      </c>
      <c r="C43" s="30" t="n">
        <v>85</v>
      </c>
      <c r="D43" s="30" t="n">
        <v>2</v>
      </c>
      <c r="E43" s="6" t="n">
        <v>0</v>
      </c>
      <c r="F43" s="30" t="n">
        <v>0</v>
      </c>
      <c r="G43" s="6" t="inlineStr">
        <is>
          <t>Oui</t>
        </is>
      </c>
      <c r="H43" s="6" t="inlineStr">
        <is>
          <t>OFF</t>
        </is>
      </c>
      <c r="I43" s="31" t="n">
        <v>580.1183283215253</v>
      </c>
      <c r="J43" s="31" t="n">
        <v>1533.568798690708</v>
      </c>
      <c r="K43" s="31" t="n">
        <v>1407.407407407407</v>
      </c>
      <c r="L43" s="31" t="n">
        <v>150</v>
      </c>
      <c r="M43" s="31">
        <f>I43+J43+K43+L43</f>
        <v/>
      </c>
      <c r="N43" s="31">
        <f>M43*'Dashboard &amp; Optimisation'!$B$18/('Dashboard &amp; Optimisation'!$B$16/3.6)</f>
        <v/>
      </c>
      <c r="O43" s="31" t="n">
        <v>188.8245380473219</v>
      </c>
      <c r="P43" s="32" t="n">
        <v>0.869772376172373</v>
      </c>
      <c r="Q43" s="33" t="n">
        <v>0.2</v>
      </c>
      <c r="R43" s="31" t="n">
        <v>154.1810842934443</v>
      </c>
      <c r="S43" s="31">
        <f>R43*IF(A43=4, 2.0, 3.0)</f>
        <v/>
      </c>
      <c r="T43" s="30">
        <f>'Dashboard &amp; Optimisation'!$B$18*U43</f>
        <v/>
      </c>
      <c r="U43" s="34">
        <f>MIN(1, S43/M43)</f>
        <v/>
      </c>
      <c r="V43" s="34">
        <f>N43/(N43+O43)</f>
        <v/>
      </c>
      <c r="W43" s="34">
        <f>U43*V43</f>
        <v/>
      </c>
      <c r="X43" s="32">
        <f>T43/N43</f>
        <v/>
      </c>
      <c r="Y43" s="35">
        <f>IF(W43=MAXIFS(W$2:W$3601, A$2:A$3601, A43, B$2:B$3601, B43), "OPTIMAL", "")</f>
        <v/>
      </c>
    </row>
    <row r="44" ht="20" customHeight="1">
      <c r="A44" s="21" t="n">
        <v>4</v>
      </c>
      <c r="B44" s="21" t="n">
        <v>25</v>
      </c>
      <c r="C44" s="22" t="n">
        <v>85</v>
      </c>
      <c r="D44" s="22" t="n">
        <v>2</v>
      </c>
      <c r="E44" s="23" t="n">
        <v>0</v>
      </c>
      <c r="F44" s="22" t="n">
        <v>0</v>
      </c>
      <c r="G44" s="23" t="inlineStr">
        <is>
          <t>Non</t>
        </is>
      </c>
      <c r="H44" s="23" t="inlineStr">
        <is>
          <t>ON</t>
        </is>
      </c>
      <c r="I44" s="24" t="n">
        <v>580.1183283215253</v>
      </c>
      <c r="J44" s="24" t="n">
        <v>1533.568798690708</v>
      </c>
      <c r="K44" s="24" t="n">
        <v>1407.407407407407</v>
      </c>
      <c r="L44" s="24" t="n">
        <v>150</v>
      </c>
      <c r="M44" s="24">
        <f>I44+J44+K44+L44</f>
        <v/>
      </c>
      <c r="N44" s="24">
        <f>M44*'Dashboard &amp; Optimisation'!$B$18/('Dashboard &amp; Optimisation'!$B$16/3.6)</f>
        <v/>
      </c>
      <c r="O44" s="24" t="n">
        <v>188.8245380473219</v>
      </c>
      <c r="P44" s="25" t="n">
        <v>0.4915453349422219</v>
      </c>
      <c r="Q44" s="26" t="n">
        <v>0.2</v>
      </c>
      <c r="R44" s="24" t="n">
        <v>272.8180668472928</v>
      </c>
      <c r="S44" s="24">
        <f>R44*IF(A44=4, 2.0, 3.0)</f>
        <v/>
      </c>
      <c r="T44" s="22">
        <f>'Dashboard &amp; Optimisation'!$B$18*U44</f>
        <v/>
      </c>
      <c r="U44" s="27">
        <f>MIN(1, S44/M44)</f>
        <v/>
      </c>
      <c r="V44" s="27">
        <f>N44/(N44+O44)</f>
        <v/>
      </c>
      <c r="W44" s="27">
        <f>U44*V44</f>
        <v/>
      </c>
      <c r="X44" s="25">
        <f>T44/N44</f>
        <v/>
      </c>
      <c r="Y44" s="28">
        <f>IF(W44=MAXIFS(W$2:W$3601, A$2:A$3601, A44, B$2:B$3601, B44), "OPTIMAL", "")</f>
        <v/>
      </c>
    </row>
    <row r="45" ht="20" customHeight="1">
      <c r="A45" s="29" t="n">
        <v>4</v>
      </c>
      <c r="B45" s="29" t="n">
        <v>25</v>
      </c>
      <c r="C45" s="30" t="n">
        <v>85</v>
      </c>
      <c r="D45" s="30" t="n">
        <v>2</v>
      </c>
      <c r="E45" s="6" t="n">
        <v>0</v>
      </c>
      <c r="F45" s="30" t="n">
        <v>0</v>
      </c>
      <c r="G45" s="6" t="inlineStr">
        <is>
          <t>Non</t>
        </is>
      </c>
      <c r="H45" s="6" t="inlineStr">
        <is>
          <t>OFF</t>
        </is>
      </c>
      <c r="I45" s="31" t="n">
        <v>580.1183283215253</v>
      </c>
      <c r="J45" s="31" t="n">
        <v>1533.568798690708</v>
      </c>
      <c r="K45" s="31" t="n">
        <v>1407.407407407407</v>
      </c>
      <c r="L45" s="31" t="n">
        <v>150</v>
      </c>
      <c r="M45" s="31">
        <f>I45+J45+K45+L45</f>
        <v/>
      </c>
      <c r="N45" s="31">
        <f>M45*'Dashboard &amp; Optimisation'!$B$18/('Dashboard &amp; Optimisation'!$B$16/3.6)</f>
        <v/>
      </c>
      <c r="O45" s="31" t="n">
        <v>188.8245380473219</v>
      </c>
      <c r="P45" s="32" t="n">
        <v>0.8660275539819755</v>
      </c>
      <c r="Q45" s="33" t="n">
        <v>0.2</v>
      </c>
      <c r="R45" s="31" t="n">
        <v>154.8477844961652</v>
      </c>
      <c r="S45" s="31">
        <f>R45*IF(A45=4, 2.0, 3.0)</f>
        <v/>
      </c>
      <c r="T45" s="30">
        <f>'Dashboard &amp; Optimisation'!$B$18*U45</f>
        <v/>
      </c>
      <c r="U45" s="34">
        <f>MIN(1, S45/M45)</f>
        <v/>
      </c>
      <c r="V45" s="34">
        <f>N45/(N45+O45)</f>
        <v/>
      </c>
      <c r="W45" s="34">
        <f>U45*V45</f>
        <v/>
      </c>
      <c r="X45" s="32">
        <f>T45/N45</f>
        <v/>
      </c>
      <c r="Y45" s="35">
        <f>IF(W45=MAXIFS(W$2:W$3601, A$2:A$3601, A45, B$2:B$3601, B45), "OPTIMAL", "")</f>
        <v/>
      </c>
    </row>
    <row r="46" ht="20" customHeight="1">
      <c r="A46" s="21" t="n">
        <v>4</v>
      </c>
      <c r="B46" s="21" t="n">
        <v>25</v>
      </c>
      <c r="C46" s="22" t="n">
        <v>85</v>
      </c>
      <c r="D46" s="22" t="n">
        <v>2</v>
      </c>
      <c r="E46" s="23" t="n">
        <v>4</v>
      </c>
      <c r="F46" s="22" t="n">
        <v>1.5</v>
      </c>
      <c r="G46" s="23" t="inlineStr">
        <is>
          <t>Oui</t>
        </is>
      </c>
      <c r="H46" s="23" t="inlineStr">
        <is>
          <t>ON</t>
        </is>
      </c>
      <c r="I46" s="24" t="n">
        <v>580.1183283215253</v>
      </c>
      <c r="J46" s="24" t="n">
        <v>1533.568798690708</v>
      </c>
      <c r="K46" s="24" t="n">
        <v>1407.407407407407</v>
      </c>
      <c r="L46" s="24" t="n">
        <v>150</v>
      </c>
      <c r="M46" s="24">
        <f>I46+J46+K46+L46</f>
        <v/>
      </c>
      <c r="N46" s="24">
        <f>M46*'Dashboard &amp; Optimisation'!$B$18/('Dashboard &amp; Optimisation'!$B$16/3.6)</f>
        <v/>
      </c>
      <c r="O46" s="24" t="n">
        <v>303.2390041217173</v>
      </c>
      <c r="P46" s="25" t="n">
        <v>0.07982907988340278</v>
      </c>
      <c r="Q46" s="26" t="n">
        <v>7.926206185533672</v>
      </c>
      <c r="R46" s="24" t="n">
        <v>1745.728321053477</v>
      </c>
      <c r="S46" s="24">
        <f>R46*IF(A46=4, 2.0, 3.0)</f>
        <v/>
      </c>
      <c r="T46" s="22">
        <f>'Dashboard &amp; Optimisation'!$B$18*U46</f>
        <v/>
      </c>
      <c r="U46" s="27">
        <f>MIN(1, S46/M46)</f>
        <v/>
      </c>
      <c r="V46" s="27">
        <f>N46/(N46+O46)</f>
        <v/>
      </c>
      <c r="W46" s="27">
        <f>U46*V46</f>
        <v/>
      </c>
      <c r="X46" s="25">
        <f>T46/N46</f>
        <v/>
      </c>
      <c r="Y46" s="28">
        <f>IF(W46=MAXIFS(W$2:W$3601, A$2:A$3601, A46, B$2:B$3601, B46), "OPTIMAL", "")</f>
        <v/>
      </c>
    </row>
    <row r="47" ht="20" customHeight="1">
      <c r="A47" s="29" t="n">
        <v>4</v>
      </c>
      <c r="B47" s="29" t="n">
        <v>25</v>
      </c>
      <c r="C47" s="30" t="n">
        <v>85</v>
      </c>
      <c r="D47" s="30" t="n">
        <v>2</v>
      </c>
      <c r="E47" s="6" t="n">
        <v>4</v>
      </c>
      <c r="F47" s="30" t="n">
        <v>1.5</v>
      </c>
      <c r="G47" s="6" t="inlineStr">
        <is>
          <t>Oui</t>
        </is>
      </c>
      <c r="H47" s="6" t="inlineStr">
        <is>
          <t>OFF</t>
        </is>
      </c>
      <c r="I47" s="31" t="n">
        <v>580.1183283215253</v>
      </c>
      <c r="J47" s="31" t="n">
        <v>1533.568798690708</v>
      </c>
      <c r="K47" s="31" t="n">
        <v>1407.407407407407</v>
      </c>
      <c r="L47" s="31" t="n">
        <v>150</v>
      </c>
      <c r="M47" s="31">
        <f>I47+J47+K47+L47</f>
        <v/>
      </c>
      <c r="N47" s="31">
        <f>M47*'Dashboard &amp; Optimisation'!$B$18/('Dashboard &amp; Optimisation'!$B$16/3.6)</f>
        <v/>
      </c>
      <c r="O47" s="31" t="n">
        <v>303.2390041217173</v>
      </c>
      <c r="P47" s="32" t="n">
        <v>0.3422773582181225</v>
      </c>
      <c r="Q47" s="33" t="n">
        <v>7.926206185533672</v>
      </c>
      <c r="R47" s="31" t="n">
        <v>407.1548475236478</v>
      </c>
      <c r="S47" s="31">
        <f>R47*IF(A47=4, 2.0, 3.0)</f>
        <v/>
      </c>
      <c r="T47" s="30">
        <f>'Dashboard &amp; Optimisation'!$B$18*U47</f>
        <v/>
      </c>
      <c r="U47" s="34">
        <f>MIN(1, S47/M47)</f>
        <v/>
      </c>
      <c r="V47" s="34">
        <f>N47/(N47+O47)</f>
        <v/>
      </c>
      <c r="W47" s="34">
        <f>U47*V47</f>
        <v/>
      </c>
      <c r="X47" s="32">
        <f>T47/N47</f>
        <v/>
      </c>
      <c r="Y47" s="35">
        <f>IF(W47=MAXIFS(W$2:W$3601, A$2:A$3601, A47, B$2:B$3601, B47), "OPTIMAL", "")</f>
        <v/>
      </c>
    </row>
    <row r="48" ht="20" customHeight="1">
      <c r="A48" s="36" t="n">
        <v>4</v>
      </c>
      <c r="B48" s="36" t="n">
        <v>25</v>
      </c>
      <c r="C48" s="37" t="n">
        <v>85</v>
      </c>
      <c r="D48" s="37" t="n">
        <v>2</v>
      </c>
      <c r="E48" s="38" t="n">
        <v>4</v>
      </c>
      <c r="F48" s="37" t="n">
        <v>1.5</v>
      </c>
      <c r="G48" s="38" t="inlineStr">
        <is>
          <t>Non</t>
        </is>
      </c>
      <c r="H48" s="38" t="inlineStr">
        <is>
          <t>ON</t>
        </is>
      </c>
      <c r="I48" s="39" t="n">
        <v>580.1183283215253</v>
      </c>
      <c r="J48" s="39" t="n">
        <v>1533.568798690708</v>
      </c>
      <c r="K48" s="39" t="n">
        <v>1407.407407407407</v>
      </c>
      <c r="L48" s="39" t="n">
        <v>150</v>
      </c>
      <c r="M48" s="39">
        <f>I48+J48+K48+L48</f>
        <v/>
      </c>
      <c r="N48" s="39">
        <f>M48*'Dashboard &amp; Optimisation'!$B$18/('Dashboard &amp; Optimisation'!$B$16/3.6)</f>
        <v/>
      </c>
      <c r="O48" s="39" t="n">
        <v>303.2390041217173</v>
      </c>
      <c r="P48" s="40" t="n">
        <v>0.07608425769300524</v>
      </c>
      <c r="Q48" s="41" t="n">
        <v>7.926206185533672</v>
      </c>
      <c r="R48" s="39" t="n">
        <v>1831.652037119219</v>
      </c>
      <c r="S48" s="39">
        <f>R48*IF(A48=4, 2.0, 3.0)</f>
        <v/>
      </c>
      <c r="T48" s="37">
        <f>'Dashboard &amp; Optimisation'!$B$18*U48</f>
        <v/>
      </c>
      <c r="U48" s="42">
        <f>MIN(1, S48/M48)</f>
        <v/>
      </c>
      <c r="V48" s="42">
        <f>N48/(N48+O48)</f>
        <v/>
      </c>
      <c r="W48" s="42">
        <f>U48*V48</f>
        <v/>
      </c>
      <c r="X48" s="40">
        <f>T48/N48</f>
        <v/>
      </c>
      <c r="Y48" s="15">
        <f>IF(W48=MAXIFS(W$2:W$3601, A$2:A$3601, A48, B$2:B$3601, B48), "OPTIMAL", "")</f>
        <v/>
      </c>
    </row>
    <row r="49" ht="20" customHeight="1">
      <c r="A49" s="29" t="n">
        <v>4</v>
      </c>
      <c r="B49" s="29" t="n">
        <v>25</v>
      </c>
      <c r="C49" s="30" t="n">
        <v>85</v>
      </c>
      <c r="D49" s="30" t="n">
        <v>2</v>
      </c>
      <c r="E49" s="6" t="n">
        <v>4</v>
      </c>
      <c r="F49" s="30" t="n">
        <v>1.5</v>
      </c>
      <c r="G49" s="6" t="inlineStr">
        <is>
          <t>Non</t>
        </is>
      </c>
      <c r="H49" s="6" t="inlineStr">
        <is>
          <t>OFF</t>
        </is>
      </c>
      <c r="I49" s="31" t="n">
        <v>580.1183283215253</v>
      </c>
      <c r="J49" s="31" t="n">
        <v>1533.568798690708</v>
      </c>
      <c r="K49" s="31" t="n">
        <v>1407.407407407407</v>
      </c>
      <c r="L49" s="31" t="n">
        <v>150</v>
      </c>
      <c r="M49" s="31">
        <f>I49+J49+K49+L49</f>
        <v/>
      </c>
      <c r="N49" s="31">
        <f>M49*'Dashboard &amp; Optimisation'!$B$18/('Dashboard &amp; Optimisation'!$B$16/3.6)</f>
        <v/>
      </c>
      <c r="O49" s="31" t="n">
        <v>303.2390041217173</v>
      </c>
      <c r="P49" s="32" t="n">
        <v>0.338532536027725</v>
      </c>
      <c r="Q49" s="33" t="n">
        <v>7.926206185533672</v>
      </c>
      <c r="R49" s="31" t="n">
        <v>411.6587647123035</v>
      </c>
      <c r="S49" s="31">
        <f>R49*IF(A49=4, 2.0, 3.0)</f>
        <v/>
      </c>
      <c r="T49" s="30">
        <f>'Dashboard &amp; Optimisation'!$B$18*U49</f>
        <v/>
      </c>
      <c r="U49" s="34">
        <f>MIN(1, S49/M49)</f>
        <v/>
      </c>
      <c r="V49" s="34">
        <f>N49/(N49+O49)</f>
        <v/>
      </c>
      <c r="W49" s="34">
        <f>U49*V49</f>
        <v/>
      </c>
      <c r="X49" s="32">
        <f>T49/N49</f>
        <v/>
      </c>
      <c r="Y49" s="35">
        <f>IF(W49=MAXIFS(W$2:W$3601, A$2:A$3601, A49, B$2:B$3601, B49), "OPTIMAL", "")</f>
        <v/>
      </c>
    </row>
    <row r="50" ht="20" customHeight="1">
      <c r="A50" s="21" t="n">
        <v>4</v>
      </c>
      <c r="B50" s="21" t="n">
        <v>25</v>
      </c>
      <c r="C50" s="22" t="n">
        <v>85</v>
      </c>
      <c r="D50" s="22" t="n">
        <v>2</v>
      </c>
      <c r="E50" s="23" t="n">
        <v>4</v>
      </c>
      <c r="F50" s="22" t="n">
        <v>2</v>
      </c>
      <c r="G50" s="23" t="inlineStr">
        <is>
          <t>Oui</t>
        </is>
      </c>
      <c r="H50" s="23" t="inlineStr">
        <is>
          <t>ON</t>
        </is>
      </c>
      <c r="I50" s="24" t="n">
        <v>580.1183283215253</v>
      </c>
      <c r="J50" s="24" t="n">
        <v>1533.568798690708</v>
      </c>
      <c r="K50" s="24" t="n">
        <v>1407.407407407407</v>
      </c>
      <c r="L50" s="24" t="n">
        <v>150</v>
      </c>
      <c r="M50" s="24">
        <f>I50+J50+K50+L50</f>
        <v/>
      </c>
      <c r="N50" s="24">
        <f>M50*'Dashboard &amp; Optimisation'!$B$18/('Dashboard &amp; Optimisation'!$B$16/3.6)</f>
        <v/>
      </c>
      <c r="O50" s="24" t="n">
        <v>343.3971470603984</v>
      </c>
      <c r="P50" s="25" t="n">
        <v>0.07761847907948814</v>
      </c>
      <c r="Q50" s="26" t="n">
        <v>10.50160824737823</v>
      </c>
      <c r="R50" s="24" t="n">
        <v>1819.221228270983</v>
      </c>
      <c r="S50" s="24">
        <f>R50*IF(A50=4, 2.0, 3.0)</f>
        <v/>
      </c>
      <c r="T50" s="22">
        <f>'Dashboard &amp; Optimisation'!$B$18*U50</f>
        <v/>
      </c>
      <c r="U50" s="27">
        <f>MIN(1, S50/M50)</f>
        <v/>
      </c>
      <c r="V50" s="27">
        <f>N50/(N50+O50)</f>
        <v/>
      </c>
      <c r="W50" s="27">
        <f>U50*V50</f>
        <v/>
      </c>
      <c r="X50" s="25">
        <f>T50/N50</f>
        <v/>
      </c>
      <c r="Y50" s="28">
        <f>IF(W50=MAXIFS(W$2:W$3601, A$2:A$3601, A50, B$2:B$3601, B50), "OPTIMAL", "")</f>
        <v/>
      </c>
    </row>
    <row r="51" ht="20" customHeight="1">
      <c r="A51" s="29" t="n">
        <v>4</v>
      </c>
      <c r="B51" s="29" t="n">
        <v>25</v>
      </c>
      <c r="C51" s="30" t="n">
        <v>85</v>
      </c>
      <c r="D51" s="30" t="n">
        <v>2</v>
      </c>
      <c r="E51" s="6" t="n">
        <v>4</v>
      </c>
      <c r="F51" s="30" t="n">
        <v>2</v>
      </c>
      <c r="G51" s="6" t="inlineStr">
        <is>
          <t>Oui</t>
        </is>
      </c>
      <c r="H51" s="6" t="inlineStr">
        <is>
          <t>OFF</t>
        </is>
      </c>
      <c r="I51" s="31" t="n">
        <v>580.1183283215253</v>
      </c>
      <c r="J51" s="31" t="n">
        <v>1533.568798690708</v>
      </c>
      <c r="K51" s="31" t="n">
        <v>1407.407407407407</v>
      </c>
      <c r="L51" s="31" t="n">
        <v>150</v>
      </c>
      <c r="M51" s="31">
        <f>I51+J51+K51+L51</f>
        <v/>
      </c>
      <c r="N51" s="31">
        <f>M51*'Dashboard &amp; Optimisation'!$B$18/('Dashboard &amp; Optimisation'!$B$16/3.6)</f>
        <v/>
      </c>
      <c r="O51" s="31" t="n">
        <v>343.3971470603984</v>
      </c>
      <c r="P51" s="32" t="n">
        <v>0.3414492073746781</v>
      </c>
      <c r="Q51" s="33" t="n">
        <v>10.50160824737823</v>
      </c>
      <c r="R51" s="31" t="n">
        <v>413.546676336446</v>
      </c>
      <c r="S51" s="31">
        <f>R51*IF(A51=4, 2.0, 3.0)</f>
        <v/>
      </c>
      <c r="T51" s="30">
        <f>'Dashboard &amp; Optimisation'!$B$18*U51</f>
        <v/>
      </c>
      <c r="U51" s="34">
        <f>MIN(1, S51/M51)</f>
        <v/>
      </c>
      <c r="V51" s="34">
        <f>N51/(N51+O51)</f>
        <v/>
      </c>
      <c r="W51" s="34">
        <f>U51*V51</f>
        <v/>
      </c>
      <c r="X51" s="32">
        <f>T51/N51</f>
        <v/>
      </c>
      <c r="Y51" s="35">
        <f>IF(W51=MAXIFS(W$2:W$3601, A$2:A$3601, A51, B$2:B$3601, B51), "OPTIMAL", "")</f>
        <v/>
      </c>
    </row>
    <row r="52" ht="20" customHeight="1">
      <c r="A52" s="21" t="n">
        <v>4</v>
      </c>
      <c r="B52" s="21" t="n">
        <v>25</v>
      </c>
      <c r="C52" s="22" t="n">
        <v>85</v>
      </c>
      <c r="D52" s="22" t="n">
        <v>2</v>
      </c>
      <c r="E52" s="23" t="n">
        <v>4</v>
      </c>
      <c r="F52" s="22" t="n">
        <v>2</v>
      </c>
      <c r="G52" s="23" t="inlineStr">
        <is>
          <t>Non</t>
        </is>
      </c>
      <c r="H52" s="23" t="inlineStr">
        <is>
          <t>ON</t>
        </is>
      </c>
      <c r="I52" s="24" t="n">
        <v>580.1183283215253</v>
      </c>
      <c r="J52" s="24" t="n">
        <v>1533.568798690708</v>
      </c>
      <c r="K52" s="24" t="n">
        <v>1407.407407407407</v>
      </c>
      <c r="L52" s="24" t="n">
        <v>150</v>
      </c>
      <c r="M52" s="24">
        <f>I52+J52+K52+L52</f>
        <v/>
      </c>
      <c r="N52" s="24">
        <f>M52*'Dashboard &amp; Optimisation'!$B$18/('Dashboard &amp; Optimisation'!$B$16/3.6)</f>
        <v/>
      </c>
      <c r="O52" s="24" t="n">
        <v>343.3971470603984</v>
      </c>
      <c r="P52" s="25" t="n">
        <v>0.0738736568890906</v>
      </c>
      <c r="Q52" s="26" t="n">
        <v>10.50160824737823</v>
      </c>
      <c r="R52" s="24" t="n">
        <v>1911.441653139073</v>
      </c>
      <c r="S52" s="24">
        <f>R52*IF(A52=4, 2.0, 3.0)</f>
        <v/>
      </c>
      <c r="T52" s="22">
        <f>'Dashboard &amp; Optimisation'!$B$18*U52</f>
        <v/>
      </c>
      <c r="U52" s="27">
        <f>MIN(1, S52/M52)</f>
        <v/>
      </c>
      <c r="V52" s="27">
        <f>N52/(N52+O52)</f>
        <v/>
      </c>
      <c r="W52" s="27">
        <f>U52*V52</f>
        <v/>
      </c>
      <c r="X52" s="25">
        <f>T52/N52</f>
        <v/>
      </c>
      <c r="Y52" s="28">
        <f>IF(W52=MAXIFS(W$2:W$3601, A$2:A$3601, A52, B$2:B$3601, B52), "OPTIMAL", "")</f>
        <v/>
      </c>
    </row>
    <row r="53" ht="20" customHeight="1">
      <c r="A53" s="29" t="n">
        <v>4</v>
      </c>
      <c r="B53" s="29" t="n">
        <v>25</v>
      </c>
      <c r="C53" s="30" t="n">
        <v>85</v>
      </c>
      <c r="D53" s="30" t="n">
        <v>2</v>
      </c>
      <c r="E53" s="6" t="n">
        <v>4</v>
      </c>
      <c r="F53" s="30" t="n">
        <v>2</v>
      </c>
      <c r="G53" s="6" t="inlineStr">
        <is>
          <t>Non</t>
        </is>
      </c>
      <c r="H53" s="6" t="inlineStr">
        <is>
          <t>OFF</t>
        </is>
      </c>
      <c r="I53" s="31" t="n">
        <v>580.1183283215253</v>
      </c>
      <c r="J53" s="31" t="n">
        <v>1533.568798690708</v>
      </c>
      <c r="K53" s="31" t="n">
        <v>1407.407407407407</v>
      </c>
      <c r="L53" s="31" t="n">
        <v>150</v>
      </c>
      <c r="M53" s="31">
        <f>I53+J53+K53+L53</f>
        <v/>
      </c>
      <c r="N53" s="31">
        <f>M53*'Dashboard &amp; Optimisation'!$B$18/('Dashboard &amp; Optimisation'!$B$16/3.6)</f>
        <v/>
      </c>
      <c r="O53" s="31" t="n">
        <v>343.3971470603984</v>
      </c>
      <c r="P53" s="32" t="n">
        <v>0.3377043851842806</v>
      </c>
      <c r="Q53" s="33" t="n">
        <v>10.50160824737823</v>
      </c>
      <c r="R53" s="31" t="n">
        <v>418.132517794989</v>
      </c>
      <c r="S53" s="31">
        <f>R53*IF(A53=4, 2.0, 3.0)</f>
        <v/>
      </c>
      <c r="T53" s="30">
        <f>'Dashboard &amp; Optimisation'!$B$18*U53</f>
        <v/>
      </c>
      <c r="U53" s="34">
        <f>MIN(1, S53/M53)</f>
        <v/>
      </c>
      <c r="V53" s="34">
        <f>N53/(N53+O53)</f>
        <v/>
      </c>
      <c r="W53" s="34">
        <f>U53*V53</f>
        <v/>
      </c>
      <c r="X53" s="32">
        <f>T53/N53</f>
        <v/>
      </c>
      <c r="Y53" s="35">
        <f>IF(W53=MAXIFS(W$2:W$3601, A$2:A$3601, A53, B$2:B$3601, B53), "OPTIMAL", "")</f>
        <v/>
      </c>
    </row>
    <row r="54" ht="20" customHeight="1">
      <c r="A54" s="21" t="n">
        <v>4</v>
      </c>
      <c r="B54" s="21" t="n">
        <v>25</v>
      </c>
      <c r="C54" s="22" t="n">
        <v>85</v>
      </c>
      <c r="D54" s="22" t="n">
        <v>2</v>
      </c>
      <c r="E54" s="23" t="n">
        <v>8</v>
      </c>
      <c r="F54" s="22" t="n">
        <v>1.5</v>
      </c>
      <c r="G54" s="23" t="inlineStr">
        <is>
          <t>Oui</t>
        </is>
      </c>
      <c r="H54" s="23" t="inlineStr">
        <is>
          <t>ON</t>
        </is>
      </c>
      <c r="I54" s="24" t="n">
        <v>580.1183283215253</v>
      </c>
      <c r="J54" s="24" t="n">
        <v>1533.568798690708</v>
      </c>
      <c r="K54" s="24" t="n">
        <v>1407.407407407407</v>
      </c>
      <c r="L54" s="24" t="n">
        <v>150</v>
      </c>
      <c r="M54" s="24">
        <f>I54+J54+K54+L54</f>
        <v/>
      </c>
      <c r="N54" s="24">
        <f>M54*'Dashboard &amp; Optimisation'!$B$18/('Dashboard &amp; Optimisation'!$B$16/3.6)</f>
        <v/>
      </c>
      <c r="O54" s="24" t="n">
        <v>426.9906871796308</v>
      </c>
      <c r="P54" s="25" t="n">
        <v>0.05983888553171247</v>
      </c>
      <c r="Q54" s="26" t="n">
        <v>15.65241237106734</v>
      </c>
      <c r="R54" s="24" t="n">
        <v>2423.948483548798</v>
      </c>
      <c r="S54" s="24">
        <f>R54*IF(A54=4, 2.0, 3.0)</f>
        <v/>
      </c>
      <c r="T54" s="22">
        <f>'Dashboard &amp; Optimisation'!$B$18*U54</f>
        <v/>
      </c>
      <c r="U54" s="27">
        <f>MIN(1, S54/M54)</f>
        <v/>
      </c>
      <c r="V54" s="27">
        <f>N54/(N54+O54)</f>
        <v/>
      </c>
      <c r="W54" s="27">
        <f>U54*V54</f>
        <v/>
      </c>
      <c r="X54" s="25">
        <f>T54/N54</f>
        <v/>
      </c>
      <c r="Y54" s="28">
        <f>IF(W54=MAXIFS(W$2:W$3601, A$2:A$3601, A54, B$2:B$3601, B54), "OPTIMAL", "")</f>
        <v/>
      </c>
    </row>
    <row r="55" ht="20" customHeight="1">
      <c r="A55" s="29" t="n">
        <v>4</v>
      </c>
      <c r="B55" s="29" t="n">
        <v>25</v>
      </c>
      <c r="C55" s="30" t="n">
        <v>85</v>
      </c>
      <c r="D55" s="30" t="n">
        <v>2</v>
      </c>
      <c r="E55" s="6" t="n">
        <v>8</v>
      </c>
      <c r="F55" s="30" t="n">
        <v>1.5</v>
      </c>
      <c r="G55" s="6" t="inlineStr">
        <is>
          <t>Oui</t>
        </is>
      </c>
      <c r="H55" s="6" t="inlineStr">
        <is>
          <t>OFF</t>
        </is>
      </c>
      <c r="I55" s="31" t="n">
        <v>580.1183283215253</v>
      </c>
      <c r="J55" s="31" t="n">
        <v>1533.568798690708</v>
      </c>
      <c r="K55" s="31" t="n">
        <v>1407.407407407407</v>
      </c>
      <c r="L55" s="31" t="n">
        <v>150</v>
      </c>
      <c r="M55" s="31">
        <f>I55+J55+K55+L55</f>
        <v/>
      </c>
      <c r="N55" s="31">
        <f>M55*'Dashboard &amp; Optimisation'!$B$18/('Dashboard &amp; Optimisation'!$B$16/3.6)</f>
        <v/>
      </c>
      <c r="O55" s="31" t="n">
        <v>426.9906871796308</v>
      </c>
      <c r="P55" s="32" t="n">
        <v>0.261849893463025</v>
      </c>
      <c r="Q55" s="33" t="n">
        <v>15.65241237106734</v>
      </c>
      <c r="R55" s="31" t="n">
        <v>553.929481977529</v>
      </c>
      <c r="S55" s="31">
        <f>R55*IF(A55=4, 2.0, 3.0)</f>
        <v/>
      </c>
      <c r="T55" s="30">
        <f>'Dashboard &amp; Optimisation'!$B$18*U55</f>
        <v/>
      </c>
      <c r="U55" s="34">
        <f>MIN(1, S55/M55)</f>
        <v/>
      </c>
      <c r="V55" s="34">
        <f>N55/(N55+O55)</f>
        <v/>
      </c>
      <c r="W55" s="34">
        <f>U55*V55</f>
        <v/>
      </c>
      <c r="X55" s="32">
        <f>T55/N55</f>
        <v/>
      </c>
      <c r="Y55" s="35">
        <f>IF(W55=MAXIFS(W$2:W$3601, A$2:A$3601, A55, B$2:B$3601, B55), "OPTIMAL", "")</f>
        <v/>
      </c>
    </row>
    <row r="56" ht="20" customHeight="1">
      <c r="A56" s="21" t="n">
        <v>4</v>
      </c>
      <c r="B56" s="21" t="n">
        <v>25</v>
      </c>
      <c r="C56" s="22" t="n">
        <v>85</v>
      </c>
      <c r="D56" s="22" t="n">
        <v>2</v>
      </c>
      <c r="E56" s="23" t="n">
        <v>8</v>
      </c>
      <c r="F56" s="22" t="n">
        <v>1.5</v>
      </c>
      <c r="G56" s="23" t="inlineStr">
        <is>
          <t>Non</t>
        </is>
      </c>
      <c r="H56" s="23" t="inlineStr">
        <is>
          <t>ON</t>
        </is>
      </c>
      <c r="I56" s="24" t="n">
        <v>580.1183283215253</v>
      </c>
      <c r="J56" s="24" t="n">
        <v>1533.568798690708</v>
      </c>
      <c r="K56" s="24" t="n">
        <v>1407.407407407407</v>
      </c>
      <c r="L56" s="24" t="n">
        <v>150</v>
      </c>
      <c r="M56" s="24">
        <f>I56+J56+K56+L56</f>
        <v/>
      </c>
      <c r="N56" s="24">
        <f>M56*'Dashboard &amp; Optimisation'!$B$18/('Dashboard &amp; Optimisation'!$B$16/3.6)</f>
        <v/>
      </c>
      <c r="O56" s="24" t="n">
        <v>426.9906871796308</v>
      </c>
      <c r="P56" s="25" t="n">
        <v>0.05609406334131493</v>
      </c>
      <c r="Q56" s="26" t="n">
        <v>15.65241237106734</v>
      </c>
      <c r="R56" s="24" t="n">
        <v>2585.770529035889</v>
      </c>
      <c r="S56" s="24">
        <f>R56*IF(A56=4, 2.0, 3.0)</f>
        <v/>
      </c>
      <c r="T56" s="22">
        <f>'Dashboard &amp; Optimisation'!$B$18*U56</f>
        <v/>
      </c>
      <c r="U56" s="27">
        <f>MIN(1, S56/M56)</f>
        <v/>
      </c>
      <c r="V56" s="27">
        <f>N56/(N56+O56)</f>
        <v/>
      </c>
      <c r="W56" s="27">
        <f>U56*V56</f>
        <v/>
      </c>
      <c r="X56" s="25">
        <f>T56/N56</f>
        <v/>
      </c>
      <c r="Y56" s="28">
        <f>IF(W56=MAXIFS(W$2:W$3601, A$2:A$3601, A56, B$2:B$3601, B56), "OPTIMAL", "")</f>
        <v/>
      </c>
    </row>
    <row r="57" ht="20" customHeight="1">
      <c r="A57" s="29" t="n">
        <v>4</v>
      </c>
      <c r="B57" s="29" t="n">
        <v>25</v>
      </c>
      <c r="C57" s="30" t="n">
        <v>85</v>
      </c>
      <c r="D57" s="30" t="n">
        <v>2</v>
      </c>
      <c r="E57" s="6" t="n">
        <v>8</v>
      </c>
      <c r="F57" s="30" t="n">
        <v>1.5</v>
      </c>
      <c r="G57" s="6" t="inlineStr">
        <is>
          <t>Non</t>
        </is>
      </c>
      <c r="H57" s="6" t="inlineStr">
        <is>
          <t>OFF</t>
        </is>
      </c>
      <c r="I57" s="31" t="n">
        <v>580.1183283215253</v>
      </c>
      <c r="J57" s="31" t="n">
        <v>1533.568798690708</v>
      </c>
      <c r="K57" s="31" t="n">
        <v>1407.407407407407</v>
      </c>
      <c r="L57" s="31" t="n">
        <v>150</v>
      </c>
      <c r="M57" s="31">
        <f>I57+J57+K57+L57</f>
        <v/>
      </c>
      <c r="N57" s="31">
        <f>M57*'Dashboard &amp; Optimisation'!$B$18/('Dashboard &amp; Optimisation'!$B$16/3.6)</f>
        <v/>
      </c>
      <c r="O57" s="31" t="n">
        <v>426.9906871796308</v>
      </c>
      <c r="P57" s="32" t="n">
        <v>0.2581050712726274</v>
      </c>
      <c r="Q57" s="33" t="n">
        <v>15.65241237106734</v>
      </c>
      <c r="R57" s="31" t="n">
        <v>561.9663927046095</v>
      </c>
      <c r="S57" s="31">
        <f>R57*IF(A57=4, 2.0, 3.0)</f>
        <v/>
      </c>
      <c r="T57" s="30">
        <f>'Dashboard &amp; Optimisation'!$B$18*U57</f>
        <v/>
      </c>
      <c r="U57" s="34">
        <f>MIN(1, S57/M57)</f>
        <v/>
      </c>
      <c r="V57" s="34">
        <f>N57/(N57+O57)</f>
        <v/>
      </c>
      <c r="W57" s="34">
        <f>U57*V57</f>
        <v/>
      </c>
      <c r="X57" s="32">
        <f>T57/N57</f>
        <v/>
      </c>
      <c r="Y57" s="35">
        <f>IF(W57=MAXIFS(W$2:W$3601, A$2:A$3601, A57, B$2:B$3601, B57), "OPTIMAL", "")</f>
        <v/>
      </c>
    </row>
    <row r="58" ht="20" customHeight="1">
      <c r="A58" s="21" t="n">
        <v>4</v>
      </c>
      <c r="B58" s="21" t="n">
        <v>25</v>
      </c>
      <c r="C58" s="22" t="n">
        <v>85</v>
      </c>
      <c r="D58" s="22" t="n">
        <v>2</v>
      </c>
      <c r="E58" s="23" t="n">
        <v>8</v>
      </c>
      <c r="F58" s="22" t="n">
        <v>2</v>
      </c>
      <c r="G58" s="23" t="inlineStr">
        <is>
          <t>Oui</t>
        </is>
      </c>
      <c r="H58" s="23" t="inlineStr">
        <is>
          <t>ON</t>
        </is>
      </c>
      <c r="I58" s="24" t="n">
        <v>580.1183283215253</v>
      </c>
      <c r="J58" s="24" t="n">
        <v>1533.568798690708</v>
      </c>
      <c r="K58" s="24" t="n">
        <v>1407.407407407407</v>
      </c>
      <c r="L58" s="24" t="n">
        <v>150</v>
      </c>
      <c r="M58" s="24">
        <f>I58+J58+K58+L58</f>
        <v/>
      </c>
      <c r="N58" s="24">
        <f>M58*'Dashboard &amp; Optimisation'!$B$18/('Dashboard &amp; Optimisation'!$B$16/3.6)</f>
        <v/>
      </c>
      <c r="O58" s="24" t="n">
        <v>515.2593789813858</v>
      </c>
      <c r="P58" s="25" t="n">
        <v>0.0588807326139491</v>
      </c>
      <c r="Q58" s="26" t="n">
        <v>20.80321649475646</v>
      </c>
      <c r="R58" s="24" t="n">
        <v>2532.278170295309</v>
      </c>
      <c r="S58" s="24">
        <f>R58*IF(A58=4, 2.0, 3.0)</f>
        <v/>
      </c>
      <c r="T58" s="22">
        <f>'Dashboard &amp; Optimisation'!$B$18*U58</f>
        <v/>
      </c>
      <c r="U58" s="27">
        <f>MIN(1, S58/M58)</f>
        <v/>
      </c>
      <c r="V58" s="27">
        <f>N58/(N58+O58)</f>
        <v/>
      </c>
      <c r="W58" s="27">
        <f>U58*V58</f>
        <v/>
      </c>
      <c r="X58" s="25">
        <f>T58/N58</f>
        <v/>
      </c>
      <c r="Y58" s="28">
        <f>IF(W58=MAXIFS(W$2:W$3601, A$2:A$3601, A58, B$2:B$3601, B58), "OPTIMAL", "")</f>
        <v/>
      </c>
    </row>
    <row r="59" ht="20" customHeight="1">
      <c r="A59" s="29" t="n">
        <v>4</v>
      </c>
      <c r="B59" s="29" t="n">
        <v>25</v>
      </c>
      <c r="C59" s="30" t="n">
        <v>85</v>
      </c>
      <c r="D59" s="30" t="n">
        <v>2</v>
      </c>
      <c r="E59" s="6" t="n">
        <v>8</v>
      </c>
      <c r="F59" s="30" t="n">
        <v>2</v>
      </c>
      <c r="G59" s="6" t="inlineStr">
        <is>
          <t>Oui</t>
        </is>
      </c>
      <c r="H59" s="6" t="inlineStr">
        <is>
          <t>OFF</t>
        </is>
      </c>
      <c r="I59" s="31" t="n">
        <v>580.1183283215253</v>
      </c>
      <c r="J59" s="31" t="n">
        <v>1533.568798690708</v>
      </c>
      <c r="K59" s="31" t="n">
        <v>1407.407407407407</v>
      </c>
      <c r="L59" s="31" t="n">
        <v>150</v>
      </c>
      <c r="M59" s="31">
        <f>I59+J59+K59+L59</f>
        <v/>
      </c>
      <c r="N59" s="31">
        <f>M59*'Dashboard &amp; Optimisation'!$B$18/('Dashboard &amp; Optimisation'!$B$16/3.6)</f>
        <v/>
      </c>
      <c r="O59" s="31" t="n">
        <v>515.2593789813858</v>
      </c>
      <c r="P59" s="32" t="n">
        <v>0.2625350412538471</v>
      </c>
      <c r="Q59" s="33" t="n">
        <v>20.80321649475646</v>
      </c>
      <c r="R59" s="31" t="n">
        <v>567.9333057301487</v>
      </c>
      <c r="S59" s="31">
        <f>R59*IF(A59=4, 2.0, 3.0)</f>
        <v/>
      </c>
      <c r="T59" s="30">
        <f>'Dashboard &amp; Optimisation'!$B$18*U59</f>
        <v/>
      </c>
      <c r="U59" s="34">
        <f>MIN(1, S59/M59)</f>
        <v/>
      </c>
      <c r="V59" s="34">
        <f>N59/(N59+O59)</f>
        <v/>
      </c>
      <c r="W59" s="34">
        <f>U59*V59</f>
        <v/>
      </c>
      <c r="X59" s="32">
        <f>T59/N59</f>
        <v/>
      </c>
      <c r="Y59" s="35">
        <f>IF(W59=MAXIFS(W$2:W$3601, A$2:A$3601, A59, B$2:B$3601, B59), "OPTIMAL", "")</f>
        <v/>
      </c>
    </row>
    <row r="60" ht="20" customHeight="1">
      <c r="A60" s="21" t="n">
        <v>4</v>
      </c>
      <c r="B60" s="21" t="n">
        <v>25</v>
      </c>
      <c r="C60" s="22" t="n">
        <v>85</v>
      </c>
      <c r="D60" s="22" t="n">
        <v>2</v>
      </c>
      <c r="E60" s="23" t="n">
        <v>8</v>
      </c>
      <c r="F60" s="22" t="n">
        <v>2</v>
      </c>
      <c r="G60" s="23" t="inlineStr">
        <is>
          <t>Non</t>
        </is>
      </c>
      <c r="H60" s="23" t="inlineStr">
        <is>
          <t>ON</t>
        </is>
      </c>
      <c r="I60" s="24" t="n">
        <v>580.1183283215253</v>
      </c>
      <c r="J60" s="24" t="n">
        <v>1533.568798690708</v>
      </c>
      <c r="K60" s="24" t="n">
        <v>1407.407407407407</v>
      </c>
      <c r="L60" s="24" t="n">
        <v>150</v>
      </c>
      <c r="M60" s="24">
        <f>I60+J60+K60+L60</f>
        <v/>
      </c>
      <c r="N60" s="24">
        <f>M60*'Dashboard &amp; Optimisation'!$B$18/('Dashboard &amp; Optimisation'!$B$16/3.6)</f>
        <v/>
      </c>
      <c r="O60" s="24" t="n">
        <v>515.2593789813858</v>
      </c>
      <c r="P60" s="25" t="n">
        <v>0.05513591042355157</v>
      </c>
      <c r="Q60" s="26" t="n">
        <v>20.80321649475646</v>
      </c>
      <c r="R60" s="24" t="n">
        <v>2704.270097363053</v>
      </c>
      <c r="S60" s="24">
        <f>R60*IF(A60=4, 2.0, 3.0)</f>
        <v/>
      </c>
      <c r="T60" s="22">
        <f>'Dashboard &amp; Optimisation'!$B$18*U60</f>
        <v/>
      </c>
      <c r="U60" s="27">
        <f>MIN(1, S60/M60)</f>
        <v/>
      </c>
      <c r="V60" s="27">
        <f>N60/(N60+O60)</f>
        <v/>
      </c>
      <c r="W60" s="27">
        <f>U60*V60</f>
        <v/>
      </c>
      <c r="X60" s="25">
        <f>T60/N60</f>
        <v/>
      </c>
      <c r="Y60" s="28">
        <f>IF(W60=MAXIFS(W$2:W$3601, A$2:A$3601, A60, B$2:B$3601, B60), "OPTIMAL", "")</f>
        <v/>
      </c>
    </row>
    <row r="61" ht="20" customHeight="1">
      <c r="A61" s="29" t="n">
        <v>4</v>
      </c>
      <c r="B61" s="29" t="n">
        <v>25</v>
      </c>
      <c r="C61" s="30" t="n">
        <v>85</v>
      </c>
      <c r="D61" s="30" t="n">
        <v>2</v>
      </c>
      <c r="E61" s="6" t="n">
        <v>8</v>
      </c>
      <c r="F61" s="30" t="n">
        <v>2</v>
      </c>
      <c r="G61" s="6" t="inlineStr">
        <is>
          <t>Non</t>
        </is>
      </c>
      <c r="H61" s="6" t="inlineStr">
        <is>
          <t>OFF</t>
        </is>
      </c>
      <c r="I61" s="31" t="n">
        <v>580.1183283215253</v>
      </c>
      <c r="J61" s="31" t="n">
        <v>1533.568798690708</v>
      </c>
      <c r="K61" s="31" t="n">
        <v>1407.407407407407</v>
      </c>
      <c r="L61" s="31" t="n">
        <v>150</v>
      </c>
      <c r="M61" s="31">
        <f>I61+J61+K61+L61</f>
        <v/>
      </c>
      <c r="N61" s="31">
        <f>M61*'Dashboard &amp; Optimisation'!$B$18/('Dashboard &amp; Optimisation'!$B$16/3.6)</f>
        <v/>
      </c>
      <c r="O61" s="31" t="n">
        <v>515.2593789813858</v>
      </c>
      <c r="P61" s="32" t="n">
        <v>0.2587902190634496</v>
      </c>
      <c r="Q61" s="33" t="n">
        <v>20.80321649475646</v>
      </c>
      <c r="R61" s="31" t="n">
        <v>576.1515809557771</v>
      </c>
      <c r="S61" s="31">
        <f>R61*IF(A61=4, 2.0, 3.0)</f>
        <v/>
      </c>
      <c r="T61" s="30">
        <f>'Dashboard &amp; Optimisation'!$B$18*U61</f>
        <v/>
      </c>
      <c r="U61" s="34">
        <f>MIN(1, S61/M61)</f>
        <v/>
      </c>
      <c r="V61" s="34">
        <f>N61/(N61+O61)</f>
        <v/>
      </c>
      <c r="W61" s="34">
        <f>U61*V61</f>
        <v/>
      </c>
      <c r="X61" s="32">
        <f>T61/N61</f>
        <v/>
      </c>
      <c r="Y61" s="35">
        <f>IF(W61=MAXIFS(W$2:W$3601, A$2:A$3601, A61, B$2:B$3601, B61), "OPTIMAL", "")</f>
        <v/>
      </c>
    </row>
    <row r="62" ht="20" customHeight="1">
      <c r="A62" s="21" t="n">
        <v>4</v>
      </c>
      <c r="B62" s="21" t="n">
        <v>25</v>
      </c>
      <c r="C62" s="22" t="n">
        <v>85</v>
      </c>
      <c r="D62" s="22" t="n">
        <v>3</v>
      </c>
      <c r="E62" s="23" t="n">
        <v>0</v>
      </c>
      <c r="F62" s="22" t="n">
        <v>0</v>
      </c>
      <c r="G62" s="23" t="inlineStr">
        <is>
          <t>Oui</t>
        </is>
      </c>
      <c r="H62" s="23" t="inlineStr">
        <is>
          <t>ON</t>
        </is>
      </c>
      <c r="I62" s="24" t="n">
        <v>580.1183283215253</v>
      </c>
      <c r="J62" s="24" t="n">
        <v>1533.568798690708</v>
      </c>
      <c r="K62" s="24" t="n">
        <v>1407.407407407407</v>
      </c>
      <c r="L62" s="24" t="n">
        <v>150</v>
      </c>
      <c r="M62" s="24">
        <f>I62+J62+K62+L62</f>
        <v/>
      </c>
      <c r="N62" s="24">
        <f>M62*'Dashboard &amp; Optimisation'!$B$18/('Dashboard &amp; Optimisation'!$B$16/3.6)</f>
        <v/>
      </c>
      <c r="O62" s="24" t="n">
        <v>294.1719810074513</v>
      </c>
      <c r="P62" s="25" t="n">
        <v>0.4953095672830083</v>
      </c>
      <c r="Q62" s="26" t="n">
        <v>0.2</v>
      </c>
      <c r="R62" s="24" t="n">
        <v>284.6268355431062</v>
      </c>
      <c r="S62" s="24">
        <f>R62*IF(A62=4, 2.0, 3.0)</f>
        <v/>
      </c>
      <c r="T62" s="22">
        <f>'Dashboard &amp; Optimisation'!$B$18*U62</f>
        <v/>
      </c>
      <c r="U62" s="27">
        <f>MIN(1, S62/M62)</f>
        <v/>
      </c>
      <c r="V62" s="27">
        <f>N62/(N62+O62)</f>
        <v/>
      </c>
      <c r="W62" s="27">
        <f>U62*V62</f>
        <v/>
      </c>
      <c r="X62" s="25">
        <f>T62/N62</f>
        <v/>
      </c>
      <c r="Y62" s="28">
        <f>IF(W62=MAXIFS(W$2:W$3601, A$2:A$3601, A62, B$2:B$3601, B62), "OPTIMAL", "")</f>
        <v/>
      </c>
    </row>
    <row r="63" ht="20" customHeight="1">
      <c r="A63" s="29" t="n">
        <v>4</v>
      </c>
      <c r="B63" s="29" t="n">
        <v>25</v>
      </c>
      <c r="C63" s="30" t="n">
        <v>85</v>
      </c>
      <c r="D63" s="30" t="n">
        <v>3</v>
      </c>
      <c r="E63" s="6" t="n">
        <v>0</v>
      </c>
      <c r="F63" s="30" t="n">
        <v>0</v>
      </c>
      <c r="G63" s="6" t="inlineStr">
        <is>
          <t>Oui</t>
        </is>
      </c>
      <c r="H63" s="6" t="inlineStr">
        <is>
          <t>OFF</t>
        </is>
      </c>
      <c r="I63" s="31" t="n">
        <v>580.1183283215253</v>
      </c>
      <c r="J63" s="31" t="n">
        <v>1533.568798690708</v>
      </c>
      <c r="K63" s="31" t="n">
        <v>1407.407407407407</v>
      </c>
      <c r="L63" s="31" t="n">
        <v>150</v>
      </c>
      <c r="M63" s="31">
        <f>I63+J63+K63+L63</f>
        <v/>
      </c>
      <c r="N63" s="31">
        <f>M63*'Dashboard &amp; Optimisation'!$B$18/('Dashboard &amp; Optimisation'!$B$16/3.6)</f>
        <v/>
      </c>
      <c r="O63" s="31" t="n">
        <v>294.1719810074513</v>
      </c>
      <c r="P63" s="32" t="n">
        <v>0.869791786322762</v>
      </c>
      <c r="Q63" s="33" t="n">
        <v>0.2</v>
      </c>
      <c r="R63" s="31" t="n">
        <v>162.0829225647271</v>
      </c>
      <c r="S63" s="31">
        <f>R63*IF(A63=4, 2.0, 3.0)</f>
        <v/>
      </c>
      <c r="T63" s="30">
        <f>'Dashboard &amp; Optimisation'!$B$18*U63</f>
        <v/>
      </c>
      <c r="U63" s="34">
        <f>MIN(1, S63/M63)</f>
        <v/>
      </c>
      <c r="V63" s="34">
        <f>N63/(N63+O63)</f>
        <v/>
      </c>
      <c r="W63" s="34">
        <f>U63*V63</f>
        <v/>
      </c>
      <c r="X63" s="32">
        <f>T63/N63</f>
        <v/>
      </c>
      <c r="Y63" s="35">
        <f>IF(W63=MAXIFS(W$2:W$3601, A$2:A$3601, A63, B$2:B$3601, B63), "OPTIMAL", "")</f>
        <v/>
      </c>
    </row>
    <row r="64" ht="20" customHeight="1">
      <c r="A64" s="21" t="n">
        <v>4</v>
      </c>
      <c r="B64" s="21" t="n">
        <v>25</v>
      </c>
      <c r="C64" s="22" t="n">
        <v>85</v>
      </c>
      <c r="D64" s="22" t="n">
        <v>3</v>
      </c>
      <c r="E64" s="23" t="n">
        <v>0</v>
      </c>
      <c r="F64" s="22" t="n">
        <v>0</v>
      </c>
      <c r="G64" s="23" t="inlineStr">
        <is>
          <t>Non</t>
        </is>
      </c>
      <c r="H64" s="23" t="inlineStr">
        <is>
          <t>ON</t>
        </is>
      </c>
      <c r="I64" s="24" t="n">
        <v>580.1183283215253</v>
      </c>
      <c r="J64" s="24" t="n">
        <v>1533.568798690708</v>
      </c>
      <c r="K64" s="24" t="n">
        <v>1407.407407407407</v>
      </c>
      <c r="L64" s="24" t="n">
        <v>150</v>
      </c>
      <c r="M64" s="24">
        <f>I64+J64+K64+L64</f>
        <v/>
      </c>
      <c r="N64" s="24">
        <f>M64*'Dashboard &amp; Optimisation'!$B$18/('Dashboard &amp; Optimisation'!$B$16/3.6)</f>
        <v/>
      </c>
      <c r="O64" s="24" t="n">
        <v>294.1719810074513</v>
      </c>
      <c r="P64" s="25" t="n">
        <v>0.4915647450926108</v>
      </c>
      <c r="Q64" s="26" t="n">
        <v>0.2</v>
      </c>
      <c r="R64" s="24" t="n">
        <v>286.7951702342436</v>
      </c>
      <c r="S64" s="24">
        <f>R64*IF(A64=4, 2.0, 3.0)</f>
        <v/>
      </c>
      <c r="T64" s="22">
        <f>'Dashboard &amp; Optimisation'!$B$18*U64</f>
        <v/>
      </c>
      <c r="U64" s="27">
        <f>MIN(1, S64/M64)</f>
        <v/>
      </c>
      <c r="V64" s="27">
        <f>N64/(N64+O64)</f>
        <v/>
      </c>
      <c r="W64" s="27">
        <f>U64*V64</f>
        <v/>
      </c>
      <c r="X64" s="25">
        <f>T64/N64</f>
        <v/>
      </c>
      <c r="Y64" s="28">
        <f>IF(W64=MAXIFS(W$2:W$3601, A$2:A$3601, A64, B$2:B$3601, B64), "OPTIMAL", "")</f>
        <v/>
      </c>
    </row>
    <row r="65" ht="20" customHeight="1">
      <c r="A65" s="29" t="n">
        <v>4</v>
      </c>
      <c r="B65" s="29" t="n">
        <v>25</v>
      </c>
      <c r="C65" s="30" t="n">
        <v>85</v>
      </c>
      <c r="D65" s="30" t="n">
        <v>3</v>
      </c>
      <c r="E65" s="6" t="n">
        <v>0</v>
      </c>
      <c r="F65" s="30" t="n">
        <v>0</v>
      </c>
      <c r="G65" s="6" t="inlineStr">
        <is>
          <t>Non</t>
        </is>
      </c>
      <c r="H65" s="6" t="inlineStr">
        <is>
          <t>OFF</t>
        </is>
      </c>
      <c r="I65" s="31" t="n">
        <v>580.1183283215253</v>
      </c>
      <c r="J65" s="31" t="n">
        <v>1533.568798690708</v>
      </c>
      <c r="K65" s="31" t="n">
        <v>1407.407407407407</v>
      </c>
      <c r="L65" s="31" t="n">
        <v>150</v>
      </c>
      <c r="M65" s="31">
        <f>I65+J65+K65+L65</f>
        <v/>
      </c>
      <c r="N65" s="31">
        <f>M65*'Dashboard &amp; Optimisation'!$B$18/('Dashboard &amp; Optimisation'!$B$16/3.6)</f>
        <v/>
      </c>
      <c r="O65" s="31" t="n">
        <v>294.1719810074513</v>
      </c>
      <c r="P65" s="32" t="n">
        <v>0.8660469641323645</v>
      </c>
      <c r="Q65" s="33" t="n">
        <v>0.2</v>
      </c>
      <c r="R65" s="31" t="n">
        <v>162.7837756942256</v>
      </c>
      <c r="S65" s="31">
        <f>R65*IF(A65=4, 2.0, 3.0)</f>
        <v/>
      </c>
      <c r="T65" s="30">
        <f>'Dashboard &amp; Optimisation'!$B$18*U65</f>
        <v/>
      </c>
      <c r="U65" s="34">
        <f>MIN(1, S65/M65)</f>
        <v/>
      </c>
      <c r="V65" s="34">
        <f>N65/(N65+O65)</f>
        <v/>
      </c>
      <c r="W65" s="34">
        <f>U65*V65</f>
        <v/>
      </c>
      <c r="X65" s="32">
        <f>T65/N65</f>
        <v/>
      </c>
      <c r="Y65" s="35">
        <f>IF(W65=MAXIFS(W$2:W$3601, A$2:A$3601, A65, B$2:B$3601, B65), "OPTIMAL", "")</f>
        <v/>
      </c>
    </row>
    <row r="66" ht="20" customHeight="1">
      <c r="A66" s="21" t="n">
        <v>4</v>
      </c>
      <c r="B66" s="21" t="n">
        <v>25</v>
      </c>
      <c r="C66" s="22" t="n">
        <v>85</v>
      </c>
      <c r="D66" s="22" t="n">
        <v>3</v>
      </c>
      <c r="E66" s="23" t="n">
        <v>4</v>
      </c>
      <c r="F66" s="22" t="n">
        <v>1.5</v>
      </c>
      <c r="G66" s="23" t="inlineStr">
        <is>
          <t>Oui</t>
        </is>
      </c>
      <c r="H66" s="23" t="inlineStr">
        <is>
          <t>ON</t>
        </is>
      </c>
      <c r="I66" s="24" t="n">
        <v>580.1183283215253</v>
      </c>
      <c r="J66" s="24" t="n">
        <v>1533.568798690708</v>
      </c>
      <c r="K66" s="24" t="n">
        <v>1407.407407407407</v>
      </c>
      <c r="L66" s="24" t="n">
        <v>150</v>
      </c>
      <c r="M66" s="24">
        <f>I66+J66+K66+L66</f>
        <v/>
      </c>
      <c r="N66" s="24">
        <f>M66*'Dashboard &amp; Optimisation'!$B$18/('Dashboard &amp; Optimisation'!$B$16/3.6)</f>
        <v/>
      </c>
      <c r="O66" s="24" t="n">
        <v>416.7183460282057</v>
      </c>
      <c r="P66" s="25" t="n">
        <v>0.07960669836162382</v>
      </c>
      <c r="Q66" s="26" t="n">
        <v>8.12180634212946</v>
      </c>
      <c r="R66" s="24" t="n">
        <v>1842.193667859498</v>
      </c>
      <c r="S66" s="24">
        <f>R66*IF(A66=4, 2.0, 3.0)</f>
        <v/>
      </c>
      <c r="T66" s="22">
        <f>'Dashboard &amp; Optimisation'!$B$18*U66</f>
        <v/>
      </c>
      <c r="U66" s="27">
        <f>MIN(1, S66/M66)</f>
        <v/>
      </c>
      <c r="V66" s="27">
        <f>N66/(N66+O66)</f>
        <v/>
      </c>
      <c r="W66" s="27">
        <f>U66*V66</f>
        <v/>
      </c>
      <c r="X66" s="25">
        <f>T66/N66</f>
        <v/>
      </c>
      <c r="Y66" s="28">
        <f>IF(W66=MAXIFS(W$2:W$3601, A$2:A$3601, A66, B$2:B$3601, B66), "OPTIMAL", "")</f>
        <v/>
      </c>
    </row>
    <row r="67" ht="20" customHeight="1">
      <c r="A67" s="29" t="n">
        <v>4</v>
      </c>
      <c r="B67" s="29" t="n">
        <v>25</v>
      </c>
      <c r="C67" s="30" t="n">
        <v>85</v>
      </c>
      <c r="D67" s="30" t="n">
        <v>3</v>
      </c>
      <c r="E67" s="6" t="n">
        <v>4</v>
      </c>
      <c r="F67" s="30" t="n">
        <v>1.5</v>
      </c>
      <c r="G67" s="6" t="inlineStr">
        <is>
          <t>Oui</t>
        </is>
      </c>
      <c r="H67" s="6" t="inlineStr">
        <is>
          <t>OFF</t>
        </is>
      </c>
      <c r="I67" s="31" t="n">
        <v>580.1183283215253</v>
      </c>
      <c r="J67" s="31" t="n">
        <v>1533.568798690708</v>
      </c>
      <c r="K67" s="31" t="n">
        <v>1407.407407407407</v>
      </c>
      <c r="L67" s="31" t="n">
        <v>150</v>
      </c>
      <c r="M67" s="31">
        <f>I67+J67+K67+L67</f>
        <v/>
      </c>
      <c r="N67" s="31">
        <f>M67*'Dashboard &amp; Optimisation'!$B$18/('Dashboard &amp; Optimisation'!$B$16/3.6)</f>
        <v/>
      </c>
      <c r="O67" s="31" t="n">
        <v>416.7183460282057</v>
      </c>
      <c r="P67" s="32" t="n">
        <v>0.3420549766963435</v>
      </c>
      <c r="Q67" s="33" t="n">
        <v>8.12180634212946</v>
      </c>
      <c r="R67" s="31" t="n">
        <v>428.7350444579926</v>
      </c>
      <c r="S67" s="31">
        <f>R67*IF(A67=4, 2.0, 3.0)</f>
        <v/>
      </c>
      <c r="T67" s="30">
        <f>'Dashboard &amp; Optimisation'!$B$18*U67</f>
        <v/>
      </c>
      <c r="U67" s="34">
        <f>MIN(1, S67/M67)</f>
        <v/>
      </c>
      <c r="V67" s="34">
        <f>N67/(N67+O67)</f>
        <v/>
      </c>
      <c r="W67" s="34">
        <f>U67*V67</f>
        <v/>
      </c>
      <c r="X67" s="32">
        <f>T67/N67</f>
        <v/>
      </c>
      <c r="Y67" s="35">
        <f>IF(W67=MAXIFS(W$2:W$3601, A$2:A$3601, A67, B$2:B$3601, B67), "OPTIMAL", "")</f>
        <v/>
      </c>
    </row>
    <row r="68" ht="20" customHeight="1">
      <c r="A68" s="21" t="n">
        <v>4</v>
      </c>
      <c r="B68" s="21" t="n">
        <v>25</v>
      </c>
      <c r="C68" s="22" t="n">
        <v>85</v>
      </c>
      <c r="D68" s="22" t="n">
        <v>3</v>
      </c>
      <c r="E68" s="23" t="n">
        <v>4</v>
      </c>
      <c r="F68" s="22" t="n">
        <v>1.5</v>
      </c>
      <c r="G68" s="23" t="inlineStr">
        <is>
          <t>Non</t>
        </is>
      </c>
      <c r="H68" s="23" t="inlineStr">
        <is>
          <t>ON</t>
        </is>
      </c>
      <c r="I68" s="24" t="n">
        <v>580.1183283215253</v>
      </c>
      <c r="J68" s="24" t="n">
        <v>1533.568798690708</v>
      </c>
      <c r="K68" s="24" t="n">
        <v>1407.407407407407</v>
      </c>
      <c r="L68" s="24" t="n">
        <v>150</v>
      </c>
      <c r="M68" s="24">
        <f>I68+J68+K68+L68</f>
        <v/>
      </c>
      <c r="N68" s="24">
        <f>M68*'Dashboard &amp; Optimisation'!$B$18/('Dashboard &amp; Optimisation'!$B$16/3.6)</f>
        <v/>
      </c>
      <c r="O68" s="24" t="n">
        <v>416.7183460282057</v>
      </c>
      <c r="P68" s="25" t="n">
        <v>0.07586187617122628</v>
      </c>
      <c r="Q68" s="26" t="n">
        <v>8.12180634212946</v>
      </c>
      <c r="R68" s="24" t="n">
        <v>1933.1311462688</v>
      </c>
      <c r="S68" s="24">
        <f>R68*IF(A68=4, 2.0, 3.0)</f>
        <v/>
      </c>
      <c r="T68" s="22">
        <f>'Dashboard &amp; Optimisation'!$B$18*U68</f>
        <v/>
      </c>
      <c r="U68" s="27">
        <f>MIN(1, S68/M68)</f>
        <v/>
      </c>
      <c r="V68" s="27">
        <f>N68/(N68+O68)</f>
        <v/>
      </c>
      <c r="W68" s="27">
        <f>U68*V68</f>
        <v/>
      </c>
      <c r="X68" s="25">
        <f>T68/N68</f>
        <v/>
      </c>
      <c r="Y68" s="28">
        <f>IF(W68=MAXIFS(W$2:W$3601, A$2:A$3601, A68, B$2:B$3601, B68), "OPTIMAL", "")</f>
        <v/>
      </c>
    </row>
    <row r="69" ht="20" customHeight="1">
      <c r="A69" s="29" t="n">
        <v>4</v>
      </c>
      <c r="B69" s="29" t="n">
        <v>25</v>
      </c>
      <c r="C69" s="30" t="n">
        <v>85</v>
      </c>
      <c r="D69" s="30" t="n">
        <v>3</v>
      </c>
      <c r="E69" s="6" t="n">
        <v>4</v>
      </c>
      <c r="F69" s="30" t="n">
        <v>1.5</v>
      </c>
      <c r="G69" s="6" t="inlineStr">
        <is>
          <t>Non</t>
        </is>
      </c>
      <c r="H69" s="6" t="inlineStr">
        <is>
          <t>OFF</t>
        </is>
      </c>
      <c r="I69" s="31" t="n">
        <v>580.1183283215253</v>
      </c>
      <c r="J69" s="31" t="n">
        <v>1533.568798690708</v>
      </c>
      <c r="K69" s="31" t="n">
        <v>1407.407407407407</v>
      </c>
      <c r="L69" s="31" t="n">
        <v>150</v>
      </c>
      <c r="M69" s="31">
        <f>I69+J69+K69+L69</f>
        <v/>
      </c>
      <c r="N69" s="31">
        <f>M69*'Dashboard &amp; Optimisation'!$B$18/('Dashboard &amp; Optimisation'!$B$16/3.6)</f>
        <v/>
      </c>
      <c r="O69" s="31" t="n">
        <v>416.7183460282057</v>
      </c>
      <c r="P69" s="32" t="n">
        <v>0.338310154505946</v>
      </c>
      <c r="Q69" s="33" t="n">
        <v>8.12180634212946</v>
      </c>
      <c r="R69" s="31" t="n">
        <v>433.4807976873984</v>
      </c>
      <c r="S69" s="31">
        <f>R69*IF(A69=4, 2.0, 3.0)</f>
        <v/>
      </c>
      <c r="T69" s="30">
        <f>'Dashboard &amp; Optimisation'!$B$18*U69</f>
        <v/>
      </c>
      <c r="U69" s="34">
        <f>MIN(1, S69/M69)</f>
        <v/>
      </c>
      <c r="V69" s="34">
        <f>N69/(N69+O69)</f>
        <v/>
      </c>
      <c r="W69" s="34">
        <f>U69*V69</f>
        <v/>
      </c>
      <c r="X69" s="32">
        <f>T69/N69</f>
        <v/>
      </c>
      <c r="Y69" s="35">
        <f>IF(W69=MAXIFS(W$2:W$3601, A$2:A$3601, A69, B$2:B$3601, B69), "OPTIMAL", "")</f>
        <v/>
      </c>
    </row>
    <row r="70" ht="20" customHeight="1">
      <c r="A70" s="21" t="n">
        <v>4</v>
      </c>
      <c r="B70" s="21" t="n">
        <v>25</v>
      </c>
      <c r="C70" s="22" t="n">
        <v>85</v>
      </c>
      <c r="D70" s="22" t="n">
        <v>3</v>
      </c>
      <c r="E70" s="23" t="n">
        <v>4</v>
      </c>
      <c r="F70" s="22" t="n">
        <v>2</v>
      </c>
      <c r="G70" s="23" t="inlineStr">
        <is>
          <t>Oui</t>
        </is>
      </c>
      <c r="H70" s="23" t="inlineStr">
        <is>
          <t>ON</t>
        </is>
      </c>
      <c r="I70" s="24" t="n">
        <v>580.1183283215253</v>
      </c>
      <c r="J70" s="24" t="n">
        <v>1533.568798690708</v>
      </c>
      <c r="K70" s="24" t="n">
        <v>1407.407407407407</v>
      </c>
      <c r="L70" s="24" t="n">
        <v>150</v>
      </c>
      <c r="M70" s="24">
        <f>I70+J70+K70+L70</f>
        <v/>
      </c>
      <c r="N70" s="24">
        <f>M70*'Dashboard &amp; Optimisation'!$B$18/('Dashboard &amp; Optimisation'!$B$16/3.6)</f>
        <v/>
      </c>
      <c r="O70" s="24" t="n">
        <v>459.7884427360092</v>
      </c>
      <c r="P70" s="25" t="n">
        <v>0.07745426381627818</v>
      </c>
      <c r="Q70" s="26" t="n">
        <v>10.76240845617261</v>
      </c>
      <c r="R70" s="24" t="n">
        <v>1919.127809258873</v>
      </c>
      <c r="S70" s="24">
        <f>R70*IF(A70=4, 2.0, 3.0)</f>
        <v/>
      </c>
      <c r="T70" s="22">
        <f>'Dashboard &amp; Optimisation'!$B$18*U70</f>
        <v/>
      </c>
      <c r="U70" s="27">
        <f>MIN(1, S70/M70)</f>
        <v/>
      </c>
      <c r="V70" s="27">
        <f>N70/(N70+O70)</f>
        <v/>
      </c>
      <c r="W70" s="27">
        <f>U70*V70</f>
        <v/>
      </c>
      <c r="X70" s="25">
        <f>T70/N70</f>
        <v/>
      </c>
      <c r="Y70" s="28">
        <f>IF(W70=MAXIFS(W$2:W$3601, A$2:A$3601, A70, B$2:B$3601, B70), "OPTIMAL", "")</f>
        <v/>
      </c>
    </row>
    <row r="71" ht="20" customHeight="1">
      <c r="A71" s="29" t="n">
        <v>4</v>
      </c>
      <c r="B71" s="29" t="n">
        <v>25</v>
      </c>
      <c r="C71" s="30" t="n">
        <v>85</v>
      </c>
      <c r="D71" s="30" t="n">
        <v>3</v>
      </c>
      <c r="E71" s="6" t="n">
        <v>4</v>
      </c>
      <c r="F71" s="30" t="n">
        <v>2</v>
      </c>
      <c r="G71" s="6" t="inlineStr">
        <is>
          <t>Oui</t>
        </is>
      </c>
      <c r="H71" s="6" t="inlineStr">
        <is>
          <t>OFF</t>
        </is>
      </c>
      <c r="I71" s="31" t="n">
        <v>580.1183283215253</v>
      </c>
      <c r="J71" s="31" t="n">
        <v>1533.568798690708</v>
      </c>
      <c r="K71" s="31" t="n">
        <v>1407.407407407407</v>
      </c>
      <c r="L71" s="31" t="n">
        <v>150</v>
      </c>
      <c r="M71" s="31">
        <f>I71+J71+K71+L71</f>
        <v/>
      </c>
      <c r="N71" s="31">
        <f>M71*'Dashboard &amp; Optimisation'!$B$18/('Dashboard &amp; Optimisation'!$B$16/3.6)</f>
        <v/>
      </c>
      <c r="O71" s="31" t="n">
        <v>459.7884427360092</v>
      </c>
      <c r="P71" s="32" t="n">
        <v>0.3412849921114681</v>
      </c>
      <c r="Q71" s="33" t="n">
        <v>10.76240845617261</v>
      </c>
      <c r="R71" s="31" t="n">
        <v>435.5440030218013</v>
      </c>
      <c r="S71" s="31">
        <f>R71*IF(A71=4, 2.0, 3.0)</f>
        <v/>
      </c>
      <c r="T71" s="30">
        <f>'Dashboard &amp; Optimisation'!$B$18*U71</f>
        <v/>
      </c>
      <c r="U71" s="34">
        <f>MIN(1, S71/M71)</f>
        <v/>
      </c>
      <c r="V71" s="34">
        <f>N71/(N71+O71)</f>
        <v/>
      </c>
      <c r="W71" s="34">
        <f>U71*V71</f>
        <v/>
      </c>
      <c r="X71" s="32">
        <f>T71/N71</f>
        <v/>
      </c>
      <c r="Y71" s="35">
        <f>IF(W71=MAXIFS(W$2:W$3601, A$2:A$3601, A71, B$2:B$3601, B71), "OPTIMAL", "")</f>
        <v/>
      </c>
    </row>
    <row r="72" ht="20" customHeight="1">
      <c r="A72" s="21" t="n">
        <v>4</v>
      </c>
      <c r="B72" s="21" t="n">
        <v>25</v>
      </c>
      <c r="C72" s="22" t="n">
        <v>85</v>
      </c>
      <c r="D72" s="22" t="n">
        <v>3</v>
      </c>
      <c r="E72" s="23" t="n">
        <v>4</v>
      </c>
      <c r="F72" s="22" t="n">
        <v>2</v>
      </c>
      <c r="G72" s="23" t="inlineStr">
        <is>
          <t>Non</t>
        </is>
      </c>
      <c r="H72" s="23" t="inlineStr">
        <is>
          <t>ON</t>
        </is>
      </c>
      <c r="I72" s="24" t="n">
        <v>580.1183283215253</v>
      </c>
      <c r="J72" s="24" t="n">
        <v>1533.568798690708</v>
      </c>
      <c r="K72" s="24" t="n">
        <v>1407.407407407407</v>
      </c>
      <c r="L72" s="24" t="n">
        <v>150</v>
      </c>
      <c r="M72" s="24">
        <f>I72+J72+K72+L72</f>
        <v/>
      </c>
      <c r="N72" s="24">
        <f>M72*'Dashboard &amp; Optimisation'!$B$18/('Dashboard &amp; Optimisation'!$B$16/3.6)</f>
        <v/>
      </c>
      <c r="O72" s="24" t="n">
        <v>459.7884427360092</v>
      </c>
      <c r="P72" s="25" t="n">
        <v>0.07370944162588064</v>
      </c>
      <c r="Q72" s="26" t="n">
        <v>10.76240845617261</v>
      </c>
      <c r="R72" s="24" t="n">
        <v>2016.629462341512</v>
      </c>
      <c r="S72" s="24">
        <f>R72*IF(A72=4, 2.0, 3.0)</f>
        <v/>
      </c>
      <c r="T72" s="22">
        <f>'Dashboard &amp; Optimisation'!$B$18*U72</f>
        <v/>
      </c>
      <c r="U72" s="27">
        <f>MIN(1, S72/M72)</f>
        <v/>
      </c>
      <c r="V72" s="27">
        <f>N72/(N72+O72)</f>
        <v/>
      </c>
      <c r="W72" s="27">
        <f>U72*V72</f>
        <v/>
      </c>
      <c r="X72" s="25">
        <f>T72/N72</f>
        <v/>
      </c>
      <c r="Y72" s="28">
        <f>IF(W72=MAXIFS(W$2:W$3601, A$2:A$3601, A72, B$2:B$3601, B72), "OPTIMAL", "")</f>
        <v/>
      </c>
    </row>
    <row r="73" ht="20" customHeight="1">
      <c r="A73" s="29" t="n">
        <v>4</v>
      </c>
      <c r="B73" s="29" t="n">
        <v>25</v>
      </c>
      <c r="C73" s="30" t="n">
        <v>85</v>
      </c>
      <c r="D73" s="30" t="n">
        <v>3</v>
      </c>
      <c r="E73" s="6" t="n">
        <v>4</v>
      </c>
      <c r="F73" s="30" t="n">
        <v>2</v>
      </c>
      <c r="G73" s="6" t="inlineStr">
        <is>
          <t>Non</t>
        </is>
      </c>
      <c r="H73" s="6" t="inlineStr">
        <is>
          <t>OFF</t>
        </is>
      </c>
      <c r="I73" s="31" t="n">
        <v>580.1183283215253</v>
      </c>
      <c r="J73" s="31" t="n">
        <v>1533.568798690708</v>
      </c>
      <c r="K73" s="31" t="n">
        <v>1407.407407407407</v>
      </c>
      <c r="L73" s="31" t="n">
        <v>150</v>
      </c>
      <c r="M73" s="31">
        <f>I73+J73+K73+L73</f>
        <v/>
      </c>
      <c r="N73" s="31">
        <f>M73*'Dashboard &amp; Optimisation'!$B$18/('Dashboard &amp; Optimisation'!$B$16/3.6)</f>
        <v/>
      </c>
      <c r="O73" s="31" t="n">
        <v>459.7884427360092</v>
      </c>
      <c r="P73" s="32" t="n">
        <v>0.3375401699210706</v>
      </c>
      <c r="Q73" s="33" t="n">
        <v>10.76240845617261</v>
      </c>
      <c r="R73" s="31" t="n">
        <v>440.3761237373653</v>
      </c>
      <c r="S73" s="31">
        <f>R73*IF(A73=4, 2.0, 3.0)</f>
        <v/>
      </c>
      <c r="T73" s="30">
        <f>'Dashboard &amp; Optimisation'!$B$18*U73</f>
        <v/>
      </c>
      <c r="U73" s="34">
        <f>MIN(1, S73/M73)</f>
        <v/>
      </c>
      <c r="V73" s="34">
        <f>N73/(N73+O73)</f>
        <v/>
      </c>
      <c r="W73" s="34">
        <f>U73*V73</f>
        <v/>
      </c>
      <c r="X73" s="32">
        <f>T73/N73</f>
        <v/>
      </c>
      <c r="Y73" s="35">
        <f>IF(W73=MAXIFS(W$2:W$3601, A$2:A$3601, A73, B$2:B$3601, B73), "OPTIMAL", "")</f>
        <v/>
      </c>
    </row>
    <row r="74" ht="20" customHeight="1">
      <c r="A74" s="21" t="n">
        <v>4</v>
      </c>
      <c r="B74" s="21" t="n">
        <v>25</v>
      </c>
      <c r="C74" s="22" t="n">
        <v>85</v>
      </c>
      <c r="D74" s="22" t="n">
        <v>3</v>
      </c>
      <c r="E74" s="23" t="n">
        <v>8</v>
      </c>
      <c r="F74" s="22" t="n">
        <v>1.5</v>
      </c>
      <c r="G74" s="23" t="inlineStr">
        <is>
          <t>Oui</t>
        </is>
      </c>
      <c r="H74" s="23" t="inlineStr">
        <is>
          <t>ON</t>
        </is>
      </c>
      <c r="I74" s="24" t="n">
        <v>580.1183283215253</v>
      </c>
      <c r="J74" s="24" t="n">
        <v>1533.568798690708</v>
      </c>
      <c r="K74" s="24" t="n">
        <v>1407.407407407407</v>
      </c>
      <c r="L74" s="24" t="n">
        <v>150</v>
      </c>
      <c r="M74" s="24">
        <f>I74+J74+K74+L74</f>
        <v/>
      </c>
      <c r="N74" s="24">
        <f>M74*'Dashboard &amp; Optimisation'!$B$18/('Dashboard &amp; Optimisation'!$B$16/3.6)</f>
        <v/>
      </c>
      <c r="O74" s="24" t="n">
        <v>549.5399770552277</v>
      </c>
      <c r="P74" s="25" t="n">
        <v>0.05973432874252066</v>
      </c>
      <c r="Q74" s="26" t="n">
        <v>16.04361268425892</v>
      </c>
      <c r="R74" s="24" t="n">
        <v>2557.978846665599</v>
      </c>
      <c r="S74" s="24">
        <f>R74*IF(A74=4, 2.0, 3.0)</f>
        <v/>
      </c>
      <c r="T74" s="22">
        <f>'Dashboard &amp; Optimisation'!$B$18*U74</f>
        <v/>
      </c>
      <c r="U74" s="27">
        <f>MIN(1, S74/M74)</f>
        <v/>
      </c>
      <c r="V74" s="27">
        <f>N74/(N74+O74)</f>
        <v/>
      </c>
      <c r="W74" s="27">
        <f>U74*V74</f>
        <v/>
      </c>
      <c r="X74" s="25">
        <f>T74/N74</f>
        <v/>
      </c>
      <c r="Y74" s="28">
        <f>IF(W74=MAXIFS(W$2:W$3601, A$2:A$3601, A74, B$2:B$3601, B74), "OPTIMAL", "")</f>
        <v/>
      </c>
    </row>
    <row r="75" ht="20" customHeight="1">
      <c r="A75" s="29" t="n">
        <v>4</v>
      </c>
      <c r="B75" s="29" t="n">
        <v>25</v>
      </c>
      <c r="C75" s="30" t="n">
        <v>85</v>
      </c>
      <c r="D75" s="30" t="n">
        <v>3</v>
      </c>
      <c r="E75" s="6" t="n">
        <v>8</v>
      </c>
      <c r="F75" s="30" t="n">
        <v>1.5</v>
      </c>
      <c r="G75" s="6" t="inlineStr">
        <is>
          <t>Oui</t>
        </is>
      </c>
      <c r="H75" s="6" t="inlineStr">
        <is>
          <t>OFF</t>
        </is>
      </c>
      <c r="I75" s="31" t="n">
        <v>580.1183283215253</v>
      </c>
      <c r="J75" s="31" t="n">
        <v>1533.568798690708</v>
      </c>
      <c r="K75" s="31" t="n">
        <v>1407.407407407407</v>
      </c>
      <c r="L75" s="31" t="n">
        <v>150</v>
      </c>
      <c r="M75" s="31">
        <f>I75+J75+K75+L75</f>
        <v/>
      </c>
      <c r="N75" s="31">
        <f>M75*'Dashboard &amp; Optimisation'!$B$18/('Dashboard &amp; Optimisation'!$B$16/3.6)</f>
        <v/>
      </c>
      <c r="O75" s="31" t="n">
        <v>549.5399770552277</v>
      </c>
      <c r="P75" s="32" t="n">
        <v>0.2617453366738331</v>
      </c>
      <c r="Q75" s="33" t="n">
        <v>16.04361268425892</v>
      </c>
      <c r="R75" s="31" t="n">
        <v>583.7702833022897</v>
      </c>
      <c r="S75" s="31">
        <f>R75*IF(A75=4, 2.0, 3.0)</f>
        <v/>
      </c>
      <c r="T75" s="30">
        <f>'Dashboard &amp; Optimisation'!$B$18*U75</f>
        <v/>
      </c>
      <c r="U75" s="34">
        <f>MIN(1, S75/M75)</f>
        <v/>
      </c>
      <c r="V75" s="34">
        <f>N75/(N75+O75)</f>
        <v/>
      </c>
      <c r="W75" s="34">
        <f>U75*V75</f>
        <v/>
      </c>
      <c r="X75" s="32">
        <f>T75/N75</f>
        <v/>
      </c>
      <c r="Y75" s="35">
        <f>IF(W75=MAXIFS(W$2:W$3601, A$2:A$3601, A75, B$2:B$3601, B75), "OPTIMAL", "")</f>
        <v/>
      </c>
    </row>
    <row r="76" ht="20" customHeight="1">
      <c r="A76" s="21" t="n">
        <v>4</v>
      </c>
      <c r="B76" s="21" t="n">
        <v>25</v>
      </c>
      <c r="C76" s="22" t="n">
        <v>85</v>
      </c>
      <c r="D76" s="22" t="n">
        <v>3</v>
      </c>
      <c r="E76" s="23" t="n">
        <v>8</v>
      </c>
      <c r="F76" s="22" t="n">
        <v>1.5</v>
      </c>
      <c r="G76" s="23" t="inlineStr">
        <is>
          <t>Non</t>
        </is>
      </c>
      <c r="H76" s="23" t="inlineStr">
        <is>
          <t>ON</t>
        </is>
      </c>
      <c r="I76" s="24" t="n">
        <v>580.1183283215253</v>
      </c>
      <c r="J76" s="24" t="n">
        <v>1533.568798690708</v>
      </c>
      <c r="K76" s="24" t="n">
        <v>1407.407407407407</v>
      </c>
      <c r="L76" s="24" t="n">
        <v>150</v>
      </c>
      <c r="M76" s="24">
        <f>I76+J76+K76+L76</f>
        <v/>
      </c>
      <c r="N76" s="24">
        <f>M76*'Dashboard &amp; Optimisation'!$B$18/('Dashboard &amp; Optimisation'!$B$16/3.6)</f>
        <v/>
      </c>
      <c r="O76" s="24" t="n">
        <v>549.5399770552277</v>
      </c>
      <c r="P76" s="25" t="n">
        <v>0.05598950655212312</v>
      </c>
      <c r="Q76" s="26" t="n">
        <v>16.04361268425892</v>
      </c>
      <c r="R76" s="24" t="n">
        <v>2729.067619141977</v>
      </c>
      <c r="S76" s="24">
        <f>R76*IF(A76=4, 2.0, 3.0)</f>
        <v/>
      </c>
      <c r="T76" s="22">
        <f>'Dashboard &amp; Optimisation'!$B$18*U76</f>
        <v/>
      </c>
      <c r="U76" s="27">
        <f>MIN(1, S76/M76)</f>
        <v/>
      </c>
      <c r="V76" s="27">
        <f>N76/(N76+O76)</f>
        <v/>
      </c>
      <c r="W76" s="27">
        <f>U76*V76</f>
        <v/>
      </c>
      <c r="X76" s="25">
        <f>T76/N76</f>
        <v/>
      </c>
      <c r="Y76" s="28">
        <f>IF(W76=MAXIFS(W$2:W$3601, A$2:A$3601, A76, B$2:B$3601, B76), "OPTIMAL", "")</f>
        <v/>
      </c>
    </row>
    <row r="77" ht="20" customHeight="1">
      <c r="A77" s="29" t="n">
        <v>4</v>
      </c>
      <c r="B77" s="29" t="n">
        <v>25</v>
      </c>
      <c r="C77" s="30" t="n">
        <v>85</v>
      </c>
      <c r="D77" s="30" t="n">
        <v>3</v>
      </c>
      <c r="E77" s="6" t="n">
        <v>8</v>
      </c>
      <c r="F77" s="30" t="n">
        <v>1.5</v>
      </c>
      <c r="G77" s="6" t="inlineStr">
        <is>
          <t>Non</t>
        </is>
      </c>
      <c r="H77" s="6" t="inlineStr">
        <is>
          <t>OFF</t>
        </is>
      </c>
      <c r="I77" s="31" t="n">
        <v>580.1183283215253</v>
      </c>
      <c r="J77" s="31" t="n">
        <v>1533.568798690708</v>
      </c>
      <c r="K77" s="31" t="n">
        <v>1407.407407407407</v>
      </c>
      <c r="L77" s="31" t="n">
        <v>150</v>
      </c>
      <c r="M77" s="31">
        <f>I77+J77+K77+L77</f>
        <v/>
      </c>
      <c r="N77" s="31">
        <f>M77*'Dashboard &amp; Optimisation'!$B$18/('Dashboard &amp; Optimisation'!$B$16/3.6)</f>
        <v/>
      </c>
      <c r="O77" s="31" t="n">
        <v>549.5399770552277</v>
      </c>
      <c r="P77" s="32" t="n">
        <v>0.2580005144834356</v>
      </c>
      <c r="Q77" s="33" t="n">
        <v>16.04361268425892</v>
      </c>
      <c r="R77" s="31" t="n">
        <v>592.2435838900117</v>
      </c>
      <c r="S77" s="31">
        <f>R77*IF(A77=4, 2.0, 3.0)</f>
        <v/>
      </c>
      <c r="T77" s="30">
        <f>'Dashboard &amp; Optimisation'!$B$18*U77</f>
        <v/>
      </c>
      <c r="U77" s="34">
        <f>MIN(1, S77/M77)</f>
        <v/>
      </c>
      <c r="V77" s="34">
        <f>N77/(N77+O77)</f>
        <v/>
      </c>
      <c r="W77" s="34">
        <f>U77*V77</f>
        <v/>
      </c>
      <c r="X77" s="32">
        <f>T77/N77</f>
        <v/>
      </c>
      <c r="Y77" s="35">
        <f>IF(W77=MAXIFS(W$2:W$3601, A$2:A$3601, A77, B$2:B$3601, B77), "OPTIMAL", "")</f>
        <v/>
      </c>
    </row>
    <row r="78" ht="20" customHeight="1">
      <c r="A78" s="21" t="n">
        <v>4</v>
      </c>
      <c r="B78" s="21" t="n">
        <v>25</v>
      </c>
      <c r="C78" s="22" t="n">
        <v>85</v>
      </c>
      <c r="D78" s="22" t="n">
        <v>3</v>
      </c>
      <c r="E78" s="23" t="n">
        <v>8</v>
      </c>
      <c r="F78" s="22" t="n">
        <v>2</v>
      </c>
      <c r="G78" s="23" t="inlineStr">
        <is>
          <t>Oui</t>
        </is>
      </c>
      <c r="H78" s="23" t="inlineStr">
        <is>
          <t>ON</t>
        </is>
      </c>
      <c r="I78" s="24" t="n">
        <v>580.1183283215253</v>
      </c>
      <c r="J78" s="24" t="n">
        <v>1533.568798690708</v>
      </c>
      <c r="K78" s="24" t="n">
        <v>1407.407407407407</v>
      </c>
      <c r="L78" s="24" t="n">
        <v>150</v>
      </c>
      <c r="M78" s="24">
        <f>I78+J78+K78+L78</f>
        <v/>
      </c>
      <c r="N78" s="24">
        <f>M78*'Dashboard &amp; Optimisation'!$B$18/('Dashboard &amp; Optimisation'!$B$16/3.6)</f>
        <v/>
      </c>
      <c r="O78" s="24" t="n">
        <v>644.4527549845614</v>
      </c>
      <c r="P78" s="25" t="n">
        <v>0.05880657801325698</v>
      </c>
      <c r="Q78" s="26" t="n">
        <v>21.32481691234523</v>
      </c>
      <c r="R78" s="24" t="n">
        <v>2673.044099499539</v>
      </c>
      <c r="S78" s="24">
        <f>R78*IF(A78=4, 2.0, 3.0)</f>
        <v/>
      </c>
      <c r="T78" s="22">
        <f>'Dashboard &amp; Optimisation'!$B$18*U78</f>
        <v/>
      </c>
      <c r="U78" s="27">
        <f>MIN(1, S78/M78)</f>
        <v/>
      </c>
      <c r="V78" s="27">
        <f>N78/(N78+O78)</f>
        <v/>
      </c>
      <c r="W78" s="27">
        <f>U78*V78</f>
        <v/>
      </c>
      <c r="X78" s="25">
        <f>T78/N78</f>
        <v/>
      </c>
      <c r="Y78" s="28">
        <f>IF(W78=MAXIFS(W$2:W$3601, A$2:A$3601, A78, B$2:B$3601, B78), "OPTIMAL", "")</f>
        <v/>
      </c>
    </row>
    <row r="79" ht="20" customHeight="1">
      <c r="A79" s="29" t="n">
        <v>4</v>
      </c>
      <c r="B79" s="29" t="n">
        <v>25</v>
      </c>
      <c r="C79" s="30" t="n">
        <v>85</v>
      </c>
      <c r="D79" s="30" t="n">
        <v>3</v>
      </c>
      <c r="E79" s="6" t="n">
        <v>8</v>
      </c>
      <c r="F79" s="30" t="n">
        <v>2</v>
      </c>
      <c r="G79" s="6" t="inlineStr">
        <is>
          <t>Oui</t>
        </is>
      </c>
      <c r="H79" s="6" t="inlineStr">
        <is>
          <t>OFF</t>
        </is>
      </c>
      <c r="I79" s="31" t="n">
        <v>580.1183283215253</v>
      </c>
      <c r="J79" s="31" t="n">
        <v>1533.568798690708</v>
      </c>
      <c r="K79" s="31" t="n">
        <v>1407.407407407407</v>
      </c>
      <c r="L79" s="31" t="n">
        <v>150</v>
      </c>
      <c r="M79" s="31">
        <f>I79+J79+K79+L79</f>
        <v/>
      </c>
      <c r="N79" s="31">
        <f>M79*'Dashboard &amp; Optimisation'!$B$18/('Dashboard &amp; Optimisation'!$B$16/3.6)</f>
        <v/>
      </c>
      <c r="O79" s="31" t="n">
        <v>644.4527549845614</v>
      </c>
      <c r="P79" s="32" t="n">
        <v>0.2624608866531549</v>
      </c>
      <c r="Q79" s="33" t="n">
        <v>21.32481691234523</v>
      </c>
      <c r="R79" s="31" t="n">
        <v>598.9181030917863</v>
      </c>
      <c r="S79" s="31">
        <f>R79*IF(A79=4, 2.0, 3.0)</f>
        <v/>
      </c>
      <c r="T79" s="30">
        <f>'Dashboard &amp; Optimisation'!$B$18*U79</f>
        <v/>
      </c>
      <c r="U79" s="34">
        <f>MIN(1, S79/M79)</f>
        <v/>
      </c>
      <c r="V79" s="34">
        <f>N79/(N79+O79)</f>
        <v/>
      </c>
      <c r="W79" s="34">
        <f>U79*V79</f>
        <v/>
      </c>
      <c r="X79" s="32">
        <f>T79/N79</f>
        <v/>
      </c>
      <c r="Y79" s="35">
        <f>IF(W79=MAXIFS(W$2:W$3601, A$2:A$3601, A79, B$2:B$3601, B79), "OPTIMAL", "")</f>
        <v/>
      </c>
    </row>
    <row r="80" ht="20" customHeight="1">
      <c r="A80" s="21" t="n">
        <v>4</v>
      </c>
      <c r="B80" s="21" t="n">
        <v>25</v>
      </c>
      <c r="C80" s="22" t="n">
        <v>85</v>
      </c>
      <c r="D80" s="22" t="n">
        <v>3</v>
      </c>
      <c r="E80" s="23" t="n">
        <v>8</v>
      </c>
      <c r="F80" s="22" t="n">
        <v>2</v>
      </c>
      <c r="G80" s="23" t="inlineStr">
        <is>
          <t>Non</t>
        </is>
      </c>
      <c r="H80" s="23" t="inlineStr">
        <is>
          <t>ON</t>
        </is>
      </c>
      <c r="I80" s="24" t="n">
        <v>580.1183283215253</v>
      </c>
      <c r="J80" s="24" t="n">
        <v>1533.568798690708</v>
      </c>
      <c r="K80" s="24" t="n">
        <v>1407.407407407407</v>
      </c>
      <c r="L80" s="24" t="n">
        <v>150</v>
      </c>
      <c r="M80" s="24">
        <f>I80+J80+K80+L80</f>
        <v/>
      </c>
      <c r="N80" s="24">
        <f>M80*'Dashboard &amp; Optimisation'!$B$18/('Dashboard &amp; Optimisation'!$B$16/3.6)</f>
        <v/>
      </c>
      <c r="O80" s="24" t="n">
        <v>644.4527549845614</v>
      </c>
      <c r="P80" s="25" t="n">
        <v>0.05506175582285944</v>
      </c>
      <c r="Q80" s="26" t="n">
        <v>21.32481691234523</v>
      </c>
      <c r="R80" s="24" t="n">
        <v>2854.841332626661</v>
      </c>
      <c r="S80" s="24">
        <f>R80*IF(A80=4, 2.0, 3.0)</f>
        <v/>
      </c>
      <c r="T80" s="22">
        <f>'Dashboard &amp; Optimisation'!$B$18*U80</f>
        <v/>
      </c>
      <c r="U80" s="27">
        <f>MIN(1, S80/M80)</f>
        <v/>
      </c>
      <c r="V80" s="27">
        <f>N80/(N80+O80)</f>
        <v/>
      </c>
      <c r="W80" s="27">
        <f>U80*V80</f>
        <v/>
      </c>
      <c r="X80" s="25">
        <f>T80/N80</f>
        <v/>
      </c>
      <c r="Y80" s="28">
        <f>IF(W80=MAXIFS(W$2:W$3601, A$2:A$3601, A80, B$2:B$3601, B80), "OPTIMAL", "")</f>
        <v/>
      </c>
    </row>
    <row r="81" ht="20" customHeight="1">
      <c r="A81" s="29" t="n">
        <v>4</v>
      </c>
      <c r="B81" s="29" t="n">
        <v>25</v>
      </c>
      <c r="C81" s="30" t="n">
        <v>85</v>
      </c>
      <c r="D81" s="30" t="n">
        <v>3</v>
      </c>
      <c r="E81" s="6" t="n">
        <v>8</v>
      </c>
      <c r="F81" s="30" t="n">
        <v>2</v>
      </c>
      <c r="G81" s="6" t="inlineStr">
        <is>
          <t>Non</t>
        </is>
      </c>
      <c r="H81" s="6" t="inlineStr">
        <is>
          <t>OFF</t>
        </is>
      </c>
      <c r="I81" s="31" t="n">
        <v>580.1183283215253</v>
      </c>
      <c r="J81" s="31" t="n">
        <v>1533.568798690708</v>
      </c>
      <c r="K81" s="31" t="n">
        <v>1407.407407407407</v>
      </c>
      <c r="L81" s="31" t="n">
        <v>150</v>
      </c>
      <c r="M81" s="31">
        <f>I81+J81+K81+L81</f>
        <v/>
      </c>
      <c r="N81" s="31">
        <f>M81*'Dashboard &amp; Optimisation'!$B$18/('Dashboard &amp; Optimisation'!$B$16/3.6)</f>
        <v/>
      </c>
      <c r="O81" s="31" t="n">
        <v>644.4527549845614</v>
      </c>
      <c r="P81" s="32" t="n">
        <v>0.2587160644627574</v>
      </c>
      <c r="Q81" s="33" t="n">
        <v>21.32481691234523</v>
      </c>
      <c r="R81" s="31" t="n">
        <v>607.5872277066273</v>
      </c>
      <c r="S81" s="31">
        <f>R81*IF(A81=4, 2.0, 3.0)</f>
        <v/>
      </c>
      <c r="T81" s="30">
        <f>'Dashboard &amp; Optimisation'!$B$18*U81</f>
        <v/>
      </c>
      <c r="U81" s="34">
        <f>MIN(1, S81/M81)</f>
        <v/>
      </c>
      <c r="V81" s="34">
        <f>N81/(N81+O81)</f>
        <v/>
      </c>
      <c r="W81" s="34">
        <f>U81*V81</f>
        <v/>
      </c>
      <c r="X81" s="32">
        <f>T81/N81</f>
        <v/>
      </c>
      <c r="Y81" s="35">
        <f>IF(W81=MAXIFS(W$2:W$3601, A$2:A$3601, A81, B$2:B$3601, B81), "OPTIMAL", "")</f>
        <v/>
      </c>
    </row>
    <row r="82" ht="20" customHeight="1">
      <c r="A82" s="21" t="n">
        <v>4</v>
      </c>
      <c r="B82" s="21" t="n">
        <v>25</v>
      </c>
      <c r="C82" s="22" t="n">
        <v>90</v>
      </c>
      <c r="D82" s="22" t="n">
        <v>2</v>
      </c>
      <c r="E82" s="23" t="n">
        <v>0</v>
      </c>
      <c r="F82" s="22" t="n">
        <v>0</v>
      </c>
      <c r="G82" s="23" t="inlineStr">
        <is>
          <t>Oui</t>
        </is>
      </c>
      <c r="H82" s="23" t="inlineStr">
        <is>
          <t>ON</t>
        </is>
      </c>
      <c r="I82" s="24" t="n">
        <v>580.1183283215253</v>
      </c>
      <c r="J82" s="24" t="n">
        <v>1533.568798690708</v>
      </c>
      <c r="K82" s="24" t="n">
        <v>1407.407407407407</v>
      </c>
      <c r="L82" s="24" t="n">
        <v>150</v>
      </c>
      <c r="M82" s="24">
        <f>I82+J82+K82+L82</f>
        <v/>
      </c>
      <c r="N82" s="24">
        <f>M82*'Dashboard &amp; Optimisation'!$B$18/('Dashboard &amp; Optimisation'!$B$16/3.6)</f>
        <v/>
      </c>
      <c r="O82" s="24" t="n">
        <v>177.5972128915435</v>
      </c>
      <c r="P82" s="25" t="n">
        <v>0.4898788424939614</v>
      </c>
      <c r="Q82" s="26" t="n">
        <v>0.2</v>
      </c>
      <c r="R82" s="24" t="n">
        <v>242.8405222878343</v>
      </c>
      <c r="S82" s="24">
        <f>R82*IF(A82=4, 2.0, 3.0)</f>
        <v/>
      </c>
      <c r="T82" s="22">
        <f>'Dashboard &amp; Optimisation'!$B$18*U82</f>
        <v/>
      </c>
      <c r="U82" s="27">
        <f>MIN(1, S82/M82)</f>
        <v/>
      </c>
      <c r="V82" s="27">
        <f>N82/(N82+O82)</f>
        <v/>
      </c>
      <c r="W82" s="27">
        <f>U82*V82</f>
        <v/>
      </c>
      <c r="X82" s="25">
        <f>T82/N82</f>
        <v/>
      </c>
      <c r="Y82" s="28">
        <f>IF(W82=MAXIFS(W$2:W$3601, A$2:A$3601, A82, B$2:B$3601, B82), "OPTIMAL", "")</f>
        <v/>
      </c>
    </row>
    <row r="83" ht="20" customHeight="1">
      <c r="A83" s="29" t="n">
        <v>4</v>
      </c>
      <c r="B83" s="29" t="n">
        <v>25</v>
      </c>
      <c r="C83" s="30" t="n">
        <v>90</v>
      </c>
      <c r="D83" s="30" t="n">
        <v>2</v>
      </c>
      <c r="E83" s="6" t="n">
        <v>0</v>
      </c>
      <c r="F83" s="30" t="n">
        <v>0</v>
      </c>
      <c r="G83" s="6" t="inlineStr">
        <is>
          <t>Oui</t>
        </is>
      </c>
      <c r="H83" s="6" t="inlineStr">
        <is>
          <t>OFF</t>
        </is>
      </c>
      <c r="I83" s="31" t="n">
        <v>580.1183283215253</v>
      </c>
      <c r="J83" s="31" t="n">
        <v>1533.568798690708</v>
      </c>
      <c r="K83" s="31" t="n">
        <v>1407.407407407407</v>
      </c>
      <c r="L83" s="31" t="n">
        <v>150</v>
      </c>
      <c r="M83" s="31">
        <f>I83+J83+K83+L83</f>
        <v/>
      </c>
      <c r="N83" s="31">
        <f>M83*'Dashboard &amp; Optimisation'!$B$18/('Dashboard &amp; Optimisation'!$B$16/3.6)</f>
        <v/>
      </c>
      <c r="O83" s="31" t="n">
        <v>177.5972128915435</v>
      </c>
      <c r="P83" s="32" t="n">
        <v>0.8435564938092843</v>
      </c>
      <c r="Q83" s="33" t="n">
        <v>0.2</v>
      </c>
      <c r="R83" s="31" t="n">
        <v>141.0248570688959</v>
      </c>
      <c r="S83" s="31">
        <f>R83*IF(A83=4, 2.0, 3.0)</f>
        <v/>
      </c>
      <c r="T83" s="30">
        <f>'Dashboard &amp; Optimisation'!$B$18*U83</f>
        <v/>
      </c>
      <c r="U83" s="34">
        <f>MIN(1, S83/M83)</f>
        <v/>
      </c>
      <c r="V83" s="34">
        <f>N83/(N83+O83)</f>
        <v/>
      </c>
      <c r="W83" s="34">
        <f>U83*V83</f>
        <v/>
      </c>
      <c r="X83" s="32">
        <f>T83/N83</f>
        <v/>
      </c>
      <c r="Y83" s="35">
        <f>IF(W83=MAXIFS(W$2:W$3601, A$2:A$3601, A83, B$2:B$3601, B83), "OPTIMAL", "")</f>
        <v/>
      </c>
    </row>
    <row r="84" ht="20" customHeight="1">
      <c r="A84" s="21" t="n">
        <v>4</v>
      </c>
      <c r="B84" s="21" t="n">
        <v>25</v>
      </c>
      <c r="C84" s="22" t="n">
        <v>90</v>
      </c>
      <c r="D84" s="22" t="n">
        <v>2</v>
      </c>
      <c r="E84" s="23" t="n">
        <v>0</v>
      </c>
      <c r="F84" s="22" t="n">
        <v>0</v>
      </c>
      <c r="G84" s="23" t="inlineStr">
        <is>
          <t>Non</t>
        </is>
      </c>
      <c r="H84" s="23" t="inlineStr">
        <is>
          <t>ON</t>
        </is>
      </c>
      <c r="I84" s="24" t="n">
        <v>580.1183283215253</v>
      </c>
      <c r="J84" s="24" t="n">
        <v>1533.568798690708</v>
      </c>
      <c r="K84" s="24" t="n">
        <v>1407.407407407407</v>
      </c>
      <c r="L84" s="24" t="n">
        <v>150</v>
      </c>
      <c r="M84" s="24">
        <f>I84+J84+K84+L84</f>
        <v/>
      </c>
      <c r="N84" s="24">
        <f>M84*'Dashboard &amp; Optimisation'!$B$18/('Dashboard &amp; Optimisation'!$B$16/3.6)</f>
        <v/>
      </c>
      <c r="O84" s="24" t="n">
        <v>177.5972128915435</v>
      </c>
      <c r="P84" s="25" t="n">
        <v>0.4863420659808082</v>
      </c>
      <c r="Q84" s="26" t="n">
        <v>0.2</v>
      </c>
      <c r="R84" s="24" t="n">
        <v>244.6065070046557</v>
      </c>
      <c r="S84" s="24">
        <f>R84*IF(A84=4, 2.0, 3.0)</f>
        <v/>
      </c>
      <c r="T84" s="22">
        <f>'Dashboard &amp; Optimisation'!$B$18*U84</f>
        <v/>
      </c>
      <c r="U84" s="27">
        <f>MIN(1, S84/M84)</f>
        <v/>
      </c>
      <c r="V84" s="27">
        <f>N84/(N84+O84)</f>
        <v/>
      </c>
      <c r="W84" s="27">
        <f>U84*V84</f>
        <v/>
      </c>
      <c r="X84" s="25">
        <f>T84/N84</f>
        <v/>
      </c>
      <c r="Y84" s="28">
        <f>IF(W84=MAXIFS(W$2:W$3601, A$2:A$3601, A84, B$2:B$3601, B84), "OPTIMAL", "")</f>
        <v/>
      </c>
    </row>
    <row r="85" ht="20" customHeight="1">
      <c r="A85" s="29" t="n">
        <v>4</v>
      </c>
      <c r="B85" s="29" t="n">
        <v>25</v>
      </c>
      <c r="C85" s="30" t="n">
        <v>90</v>
      </c>
      <c r="D85" s="30" t="n">
        <v>2</v>
      </c>
      <c r="E85" s="6" t="n">
        <v>0</v>
      </c>
      <c r="F85" s="30" t="n">
        <v>0</v>
      </c>
      <c r="G85" s="6" t="inlineStr">
        <is>
          <t>Non</t>
        </is>
      </c>
      <c r="H85" s="6" t="inlineStr">
        <is>
          <t>OFF</t>
        </is>
      </c>
      <c r="I85" s="31" t="n">
        <v>580.1183283215253</v>
      </c>
      <c r="J85" s="31" t="n">
        <v>1533.568798690708</v>
      </c>
      <c r="K85" s="31" t="n">
        <v>1407.407407407407</v>
      </c>
      <c r="L85" s="31" t="n">
        <v>150</v>
      </c>
      <c r="M85" s="31">
        <f>I85+J85+K85+L85</f>
        <v/>
      </c>
      <c r="N85" s="31">
        <f>M85*'Dashboard &amp; Optimisation'!$B$18/('Dashboard &amp; Optimisation'!$B$16/3.6)</f>
        <v/>
      </c>
      <c r="O85" s="31" t="n">
        <v>177.5972128915435</v>
      </c>
      <c r="P85" s="32" t="n">
        <v>0.8400197172961312</v>
      </c>
      <c r="Q85" s="33" t="n">
        <v>0.2</v>
      </c>
      <c r="R85" s="31" t="n">
        <v>141.6186209913161</v>
      </c>
      <c r="S85" s="31">
        <f>R85*IF(A85=4, 2.0, 3.0)</f>
        <v/>
      </c>
      <c r="T85" s="30">
        <f>'Dashboard &amp; Optimisation'!$B$18*U85</f>
        <v/>
      </c>
      <c r="U85" s="34">
        <f>MIN(1, S85/M85)</f>
        <v/>
      </c>
      <c r="V85" s="34">
        <f>N85/(N85+O85)</f>
        <v/>
      </c>
      <c r="W85" s="34">
        <f>U85*V85</f>
        <v/>
      </c>
      <c r="X85" s="32">
        <f>T85/N85</f>
        <v/>
      </c>
      <c r="Y85" s="35">
        <f>IF(W85=MAXIFS(W$2:W$3601, A$2:A$3601, A85, B$2:B$3601, B85), "OPTIMAL", "")</f>
        <v/>
      </c>
    </row>
    <row r="86" ht="20" customHeight="1">
      <c r="A86" s="21" t="n">
        <v>4</v>
      </c>
      <c r="B86" s="21" t="n">
        <v>25</v>
      </c>
      <c r="C86" s="22" t="n">
        <v>90</v>
      </c>
      <c r="D86" s="22" t="n">
        <v>2</v>
      </c>
      <c r="E86" s="23" t="n">
        <v>4</v>
      </c>
      <c r="F86" s="22" t="n">
        <v>1.5</v>
      </c>
      <c r="G86" s="23" t="inlineStr">
        <is>
          <t>Oui</t>
        </is>
      </c>
      <c r="H86" s="23" t="inlineStr">
        <is>
          <t>ON</t>
        </is>
      </c>
      <c r="I86" s="24" t="n">
        <v>580.1183283215253</v>
      </c>
      <c r="J86" s="24" t="n">
        <v>1533.568798690708</v>
      </c>
      <c r="K86" s="24" t="n">
        <v>1407.407407407407</v>
      </c>
      <c r="L86" s="24" t="n">
        <v>150</v>
      </c>
      <c r="M86" s="24">
        <f>I86+J86+K86+L86</f>
        <v/>
      </c>
      <c r="N86" s="24">
        <f>M86*'Dashboard &amp; Optimisation'!$B$18/('Dashboard &amp; Optimisation'!$B$16/3.6)</f>
        <v/>
      </c>
      <c r="O86" s="24" t="n">
        <v>282.8507994974623</v>
      </c>
      <c r="P86" s="25" t="n">
        <v>0.07759354469391215</v>
      </c>
      <c r="Q86" s="26" t="n">
        <v>7.477008151491015</v>
      </c>
      <c r="R86" s="24" t="n">
        <v>1589.631815316187</v>
      </c>
      <c r="S86" s="24">
        <f>R86*IF(A86=4, 2.0, 3.0)</f>
        <v/>
      </c>
      <c r="T86" s="22">
        <f>'Dashboard &amp; Optimisation'!$B$18*U86</f>
        <v/>
      </c>
      <c r="U86" s="27">
        <f>MIN(1, S86/M86)</f>
        <v/>
      </c>
      <c r="V86" s="27">
        <f>N86/(N86+O86)</f>
        <v/>
      </c>
      <c r="W86" s="27">
        <f>U86*V86</f>
        <v/>
      </c>
      <c r="X86" s="25">
        <f>T86/N86</f>
        <v/>
      </c>
      <c r="Y86" s="28">
        <f>IF(W86=MAXIFS(W$2:W$3601, A$2:A$3601, A86, B$2:B$3601, B86), "OPTIMAL", "")</f>
        <v/>
      </c>
    </row>
    <row r="87" ht="20" customHeight="1">
      <c r="A87" s="29" t="n">
        <v>4</v>
      </c>
      <c r="B87" s="29" t="n">
        <v>25</v>
      </c>
      <c r="C87" s="30" t="n">
        <v>90</v>
      </c>
      <c r="D87" s="30" t="n">
        <v>2</v>
      </c>
      <c r="E87" s="6" t="n">
        <v>4</v>
      </c>
      <c r="F87" s="30" t="n">
        <v>1.5</v>
      </c>
      <c r="G87" s="6" t="inlineStr">
        <is>
          <t>Oui</t>
        </is>
      </c>
      <c r="H87" s="6" t="inlineStr">
        <is>
          <t>OFF</t>
        </is>
      </c>
      <c r="I87" s="31" t="n">
        <v>580.1183283215253</v>
      </c>
      <c r="J87" s="31" t="n">
        <v>1533.568798690708</v>
      </c>
      <c r="K87" s="31" t="n">
        <v>1407.407407407407</v>
      </c>
      <c r="L87" s="31" t="n">
        <v>150</v>
      </c>
      <c r="M87" s="31">
        <f>I87+J87+K87+L87</f>
        <v/>
      </c>
      <c r="N87" s="31">
        <f>M87*'Dashboard &amp; Optimisation'!$B$18/('Dashboard &amp; Optimisation'!$B$16/3.6)</f>
        <v/>
      </c>
      <c r="O87" s="31" t="n">
        <v>282.8507994974623</v>
      </c>
      <c r="P87" s="32" t="n">
        <v>0.3296507660240217</v>
      </c>
      <c r="Q87" s="33" t="n">
        <v>7.477008151491015</v>
      </c>
      <c r="R87" s="31" t="n">
        <v>374.169211848921</v>
      </c>
      <c r="S87" s="31">
        <f>R87*IF(A87=4, 2.0, 3.0)</f>
        <v/>
      </c>
      <c r="T87" s="30">
        <f>'Dashboard &amp; Optimisation'!$B$18*U87</f>
        <v/>
      </c>
      <c r="U87" s="34">
        <f>MIN(1, S87/M87)</f>
        <v/>
      </c>
      <c r="V87" s="34">
        <f>N87/(N87+O87)</f>
        <v/>
      </c>
      <c r="W87" s="34">
        <f>U87*V87</f>
        <v/>
      </c>
      <c r="X87" s="32">
        <f>T87/N87</f>
        <v/>
      </c>
      <c r="Y87" s="35">
        <f>IF(W87=MAXIFS(W$2:W$3601, A$2:A$3601, A87, B$2:B$3601, B87), "OPTIMAL", "")</f>
        <v/>
      </c>
    </row>
    <row r="88" ht="20" customHeight="1">
      <c r="A88" s="21" t="n">
        <v>4</v>
      </c>
      <c r="B88" s="21" t="n">
        <v>25</v>
      </c>
      <c r="C88" s="22" t="n">
        <v>90</v>
      </c>
      <c r="D88" s="22" t="n">
        <v>2</v>
      </c>
      <c r="E88" s="23" t="n">
        <v>4</v>
      </c>
      <c r="F88" s="22" t="n">
        <v>1.5</v>
      </c>
      <c r="G88" s="23" t="inlineStr">
        <is>
          <t>Non</t>
        </is>
      </c>
      <c r="H88" s="23" t="inlineStr">
        <is>
          <t>ON</t>
        </is>
      </c>
      <c r="I88" s="24" t="n">
        <v>580.1183283215253</v>
      </c>
      <c r="J88" s="24" t="n">
        <v>1533.568798690708</v>
      </c>
      <c r="K88" s="24" t="n">
        <v>1407.407407407407</v>
      </c>
      <c r="L88" s="24" t="n">
        <v>150</v>
      </c>
      <c r="M88" s="24">
        <f>I88+J88+K88+L88</f>
        <v/>
      </c>
      <c r="N88" s="24">
        <f>M88*'Dashboard &amp; Optimisation'!$B$18/('Dashboard &amp; Optimisation'!$B$16/3.6)</f>
        <v/>
      </c>
      <c r="O88" s="24" t="n">
        <v>282.8507994974623</v>
      </c>
      <c r="P88" s="25" t="n">
        <v>0.07405676818075892</v>
      </c>
      <c r="Q88" s="26" t="n">
        <v>7.477008151491015</v>
      </c>
      <c r="R88" s="24" t="n">
        <v>1665.548880117729</v>
      </c>
      <c r="S88" s="24">
        <f>R88*IF(A88=4, 2.0, 3.0)</f>
        <v/>
      </c>
      <c r="T88" s="22">
        <f>'Dashboard &amp; Optimisation'!$B$18*U88</f>
        <v/>
      </c>
      <c r="U88" s="27">
        <f>MIN(1, S88/M88)</f>
        <v/>
      </c>
      <c r="V88" s="27">
        <f>N88/(N88+O88)</f>
        <v/>
      </c>
      <c r="W88" s="27">
        <f>U88*V88</f>
        <v/>
      </c>
      <c r="X88" s="25">
        <f>T88/N88</f>
        <v/>
      </c>
      <c r="Y88" s="28">
        <f>IF(W88=MAXIFS(W$2:W$3601, A$2:A$3601, A88, B$2:B$3601, B88), "OPTIMAL", "")</f>
        <v/>
      </c>
    </row>
    <row r="89" ht="20" customHeight="1">
      <c r="A89" s="29" t="n">
        <v>4</v>
      </c>
      <c r="B89" s="29" t="n">
        <v>25</v>
      </c>
      <c r="C89" s="30" t="n">
        <v>90</v>
      </c>
      <c r="D89" s="30" t="n">
        <v>2</v>
      </c>
      <c r="E89" s="6" t="n">
        <v>4</v>
      </c>
      <c r="F89" s="30" t="n">
        <v>1.5</v>
      </c>
      <c r="G89" s="6" t="inlineStr">
        <is>
          <t>Non</t>
        </is>
      </c>
      <c r="H89" s="6" t="inlineStr">
        <is>
          <t>OFF</t>
        </is>
      </c>
      <c r="I89" s="31" t="n">
        <v>580.1183283215253</v>
      </c>
      <c r="J89" s="31" t="n">
        <v>1533.568798690708</v>
      </c>
      <c r="K89" s="31" t="n">
        <v>1407.407407407407</v>
      </c>
      <c r="L89" s="31" t="n">
        <v>150</v>
      </c>
      <c r="M89" s="31">
        <f>I89+J89+K89+L89</f>
        <v/>
      </c>
      <c r="N89" s="31">
        <f>M89*'Dashboard &amp; Optimisation'!$B$18/('Dashboard &amp; Optimisation'!$B$16/3.6)</f>
        <v/>
      </c>
      <c r="O89" s="31" t="n">
        <v>282.8507994974623</v>
      </c>
      <c r="P89" s="32" t="n">
        <v>0.3261139895108685</v>
      </c>
      <c r="Q89" s="33" t="n">
        <v>7.477008151491015</v>
      </c>
      <c r="R89" s="31" t="n">
        <v>378.2271576070812</v>
      </c>
      <c r="S89" s="31">
        <f>R89*IF(A89=4, 2.0, 3.0)</f>
        <v/>
      </c>
      <c r="T89" s="30">
        <f>'Dashboard &amp; Optimisation'!$B$18*U89</f>
        <v/>
      </c>
      <c r="U89" s="34">
        <f>MIN(1, S89/M89)</f>
        <v/>
      </c>
      <c r="V89" s="34">
        <f>N89/(N89+O89)</f>
        <v/>
      </c>
      <c r="W89" s="34">
        <f>U89*V89</f>
        <v/>
      </c>
      <c r="X89" s="32">
        <f>T89/N89</f>
        <v/>
      </c>
      <c r="Y89" s="35">
        <f>IF(W89=MAXIFS(W$2:W$3601, A$2:A$3601, A89, B$2:B$3601, B89), "OPTIMAL", "")</f>
        <v/>
      </c>
    </row>
    <row r="90" ht="20" customHeight="1">
      <c r="A90" s="21" t="n">
        <v>4</v>
      </c>
      <c r="B90" s="21" t="n">
        <v>25</v>
      </c>
      <c r="C90" s="22" t="n">
        <v>90</v>
      </c>
      <c r="D90" s="22" t="n">
        <v>2</v>
      </c>
      <c r="E90" s="23" t="n">
        <v>4</v>
      </c>
      <c r="F90" s="22" t="n">
        <v>2</v>
      </c>
      <c r="G90" s="23" t="inlineStr">
        <is>
          <t>Oui</t>
        </is>
      </c>
      <c r="H90" s="23" t="inlineStr">
        <is>
          <t>ON</t>
        </is>
      </c>
      <c r="I90" s="24" t="n">
        <v>580.1183283215253</v>
      </c>
      <c r="J90" s="24" t="n">
        <v>1533.568798690708</v>
      </c>
      <c r="K90" s="24" t="n">
        <v>1407.407407407407</v>
      </c>
      <c r="L90" s="24" t="n">
        <v>150</v>
      </c>
      <c r="M90" s="24">
        <f>I90+J90+K90+L90</f>
        <v/>
      </c>
      <c r="N90" s="24">
        <f>M90*'Dashboard &amp; Optimisation'!$B$18/('Dashboard &amp; Optimisation'!$B$16/3.6)</f>
        <v/>
      </c>
      <c r="O90" s="24" t="n">
        <v>319.6801696883231</v>
      </c>
      <c r="P90" s="25" t="n">
        <v>0.07521841927673642</v>
      </c>
      <c r="Q90" s="26" t="n">
        <v>9.902677535321354</v>
      </c>
      <c r="R90" s="24" t="n">
        <v>1660.214803556212</v>
      </c>
      <c r="S90" s="24">
        <f>R90*IF(A90=4, 2.0, 3.0)</f>
        <v/>
      </c>
      <c r="T90" s="22">
        <f>'Dashboard &amp; Optimisation'!$B$18*U90</f>
        <v/>
      </c>
      <c r="U90" s="27">
        <f>MIN(1, S90/M90)</f>
        <v/>
      </c>
      <c r="V90" s="27">
        <f>N90/(N90+O90)</f>
        <v/>
      </c>
      <c r="W90" s="27">
        <f>U90*V90</f>
        <v/>
      </c>
      <c r="X90" s="25">
        <f>T90/N90</f>
        <v/>
      </c>
      <c r="Y90" s="28">
        <f>IF(W90=MAXIFS(W$2:W$3601, A$2:A$3601, A90, B$2:B$3601, B90), "OPTIMAL", "")</f>
        <v/>
      </c>
    </row>
    <row r="91" ht="20" customHeight="1">
      <c r="A91" s="29" t="n">
        <v>4</v>
      </c>
      <c r="B91" s="29" t="n">
        <v>25</v>
      </c>
      <c r="C91" s="30" t="n">
        <v>90</v>
      </c>
      <c r="D91" s="30" t="n">
        <v>2</v>
      </c>
      <c r="E91" s="6" t="n">
        <v>4</v>
      </c>
      <c r="F91" s="30" t="n">
        <v>2</v>
      </c>
      <c r="G91" s="6" t="inlineStr">
        <is>
          <t>Oui</t>
        </is>
      </c>
      <c r="H91" s="6" t="inlineStr">
        <is>
          <t>OFF</t>
        </is>
      </c>
      <c r="I91" s="31" t="n">
        <v>580.1183283215253</v>
      </c>
      <c r="J91" s="31" t="n">
        <v>1533.568798690708</v>
      </c>
      <c r="K91" s="31" t="n">
        <v>1407.407407407407</v>
      </c>
      <c r="L91" s="31" t="n">
        <v>150</v>
      </c>
      <c r="M91" s="31">
        <f>I91+J91+K91+L91</f>
        <v/>
      </c>
      <c r="N91" s="31">
        <f>M91*'Dashboard &amp; Optimisation'!$B$18/('Dashboard &amp; Optimisation'!$B$16/3.6)</f>
        <v/>
      </c>
      <c r="O91" s="31" t="n">
        <v>319.6801696883231</v>
      </c>
      <c r="P91" s="32" t="n">
        <v>0.328550491855213</v>
      </c>
      <c r="Q91" s="33" t="n">
        <v>9.902677535321354</v>
      </c>
      <c r="R91" s="31" t="n">
        <v>380.0899291861899</v>
      </c>
      <c r="S91" s="31">
        <f>R91*IF(A91=4, 2.0, 3.0)</f>
        <v/>
      </c>
      <c r="T91" s="30">
        <f>'Dashboard &amp; Optimisation'!$B$18*U91</f>
        <v/>
      </c>
      <c r="U91" s="34">
        <f>MIN(1, S91/M91)</f>
        <v/>
      </c>
      <c r="V91" s="34">
        <f>N91/(N91+O91)</f>
        <v/>
      </c>
      <c r="W91" s="34">
        <f>U91*V91</f>
        <v/>
      </c>
      <c r="X91" s="32">
        <f>T91/N91</f>
        <v/>
      </c>
      <c r="Y91" s="35">
        <f>IF(W91=MAXIFS(W$2:W$3601, A$2:A$3601, A91, B$2:B$3601, B91), "OPTIMAL", "")</f>
        <v/>
      </c>
    </row>
    <row r="92" ht="20" customHeight="1">
      <c r="A92" s="21" t="n">
        <v>4</v>
      </c>
      <c r="B92" s="21" t="n">
        <v>25</v>
      </c>
      <c r="C92" s="22" t="n">
        <v>90</v>
      </c>
      <c r="D92" s="22" t="n">
        <v>2</v>
      </c>
      <c r="E92" s="23" t="n">
        <v>4</v>
      </c>
      <c r="F92" s="22" t="n">
        <v>2</v>
      </c>
      <c r="G92" s="23" t="inlineStr">
        <is>
          <t>Non</t>
        </is>
      </c>
      <c r="H92" s="23" t="inlineStr">
        <is>
          <t>ON</t>
        </is>
      </c>
      <c r="I92" s="24" t="n">
        <v>580.1183283215253</v>
      </c>
      <c r="J92" s="24" t="n">
        <v>1533.568798690708</v>
      </c>
      <c r="K92" s="24" t="n">
        <v>1407.407407407407</v>
      </c>
      <c r="L92" s="24" t="n">
        <v>150</v>
      </c>
      <c r="M92" s="24">
        <f>I92+J92+K92+L92</f>
        <v/>
      </c>
      <c r="N92" s="24">
        <f>M92*'Dashboard &amp; Optimisation'!$B$18/('Dashboard &amp; Optimisation'!$B$16/3.6)</f>
        <v/>
      </c>
      <c r="O92" s="24" t="n">
        <v>319.6801696883231</v>
      </c>
      <c r="P92" s="25" t="n">
        <v>0.07168164276358319</v>
      </c>
      <c r="Q92" s="26" t="n">
        <v>9.902677535321354</v>
      </c>
      <c r="R92" s="24" t="n">
        <v>1742.12990061074</v>
      </c>
      <c r="S92" s="24">
        <f>R92*IF(A92=4, 2.0, 3.0)</f>
        <v/>
      </c>
      <c r="T92" s="22">
        <f>'Dashboard &amp; Optimisation'!$B$18*U92</f>
        <v/>
      </c>
      <c r="U92" s="27">
        <f>MIN(1, S92/M92)</f>
        <v/>
      </c>
      <c r="V92" s="27">
        <f>N92/(N92+O92)</f>
        <v/>
      </c>
      <c r="W92" s="27">
        <f>U92*V92</f>
        <v/>
      </c>
      <c r="X92" s="25">
        <f>T92/N92</f>
        <v/>
      </c>
      <c r="Y92" s="28">
        <f>IF(W92=MAXIFS(W$2:W$3601, A$2:A$3601, A92, B$2:B$3601, B92), "OPTIMAL", "")</f>
        <v/>
      </c>
    </row>
    <row r="93" ht="20" customHeight="1">
      <c r="A93" s="29" t="n">
        <v>4</v>
      </c>
      <c r="B93" s="29" t="n">
        <v>25</v>
      </c>
      <c r="C93" s="30" t="n">
        <v>90</v>
      </c>
      <c r="D93" s="30" t="n">
        <v>2</v>
      </c>
      <c r="E93" s="6" t="n">
        <v>4</v>
      </c>
      <c r="F93" s="30" t="n">
        <v>2</v>
      </c>
      <c r="G93" s="6" t="inlineStr">
        <is>
          <t>Non</t>
        </is>
      </c>
      <c r="H93" s="6" t="inlineStr">
        <is>
          <t>OFF</t>
        </is>
      </c>
      <c r="I93" s="31" t="n">
        <v>580.1183283215253</v>
      </c>
      <c r="J93" s="31" t="n">
        <v>1533.568798690708</v>
      </c>
      <c r="K93" s="31" t="n">
        <v>1407.407407407407</v>
      </c>
      <c r="L93" s="31" t="n">
        <v>150</v>
      </c>
      <c r="M93" s="31">
        <f>I93+J93+K93+L93</f>
        <v/>
      </c>
      <c r="N93" s="31">
        <f>M93*'Dashboard &amp; Optimisation'!$B$18/('Dashboard &amp; Optimisation'!$B$16/3.6)</f>
        <v/>
      </c>
      <c r="O93" s="31" t="n">
        <v>319.6801696883231</v>
      </c>
      <c r="P93" s="32" t="n">
        <v>0.3250137153420598</v>
      </c>
      <c r="Q93" s="33" t="n">
        <v>9.902677535321354</v>
      </c>
      <c r="R93" s="31" t="n">
        <v>384.2260412053918</v>
      </c>
      <c r="S93" s="31">
        <f>R93*IF(A93=4, 2.0, 3.0)</f>
        <v/>
      </c>
      <c r="T93" s="30">
        <f>'Dashboard &amp; Optimisation'!$B$18*U93</f>
        <v/>
      </c>
      <c r="U93" s="34">
        <f>MIN(1, S93/M93)</f>
        <v/>
      </c>
      <c r="V93" s="34">
        <f>N93/(N93+O93)</f>
        <v/>
      </c>
      <c r="W93" s="34">
        <f>U93*V93</f>
        <v/>
      </c>
      <c r="X93" s="32">
        <f>T93/N93</f>
        <v/>
      </c>
      <c r="Y93" s="35">
        <f>IF(W93=MAXIFS(W$2:W$3601, A$2:A$3601, A93, B$2:B$3601, B93), "OPTIMAL", "")</f>
        <v/>
      </c>
    </row>
    <row r="94" ht="20" customHeight="1">
      <c r="A94" s="21" t="n">
        <v>4</v>
      </c>
      <c r="B94" s="21" t="n">
        <v>25</v>
      </c>
      <c r="C94" s="22" t="n">
        <v>90</v>
      </c>
      <c r="D94" s="22" t="n">
        <v>2</v>
      </c>
      <c r="E94" s="23" t="n">
        <v>8</v>
      </c>
      <c r="F94" s="22" t="n">
        <v>1.5</v>
      </c>
      <c r="G94" s="23" t="inlineStr">
        <is>
          <t>Oui</t>
        </is>
      </c>
      <c r="H94" s="23" t="inlineStr">
        <is>
          <t>ON</t>
        </is>
      </c>
      <c r="I94" s="24" t="n">
        <v>580.1183283215253</v>
      </c>
      <c r="J94" s="24" t="n">
        <v>1533.568798690708</v>
      </c>
      <c r="K94" s="24" t="n">
        <v>1407.407407407407</v>
      </c>
      <c r="L94" s="24" t="n">
        <v>150</v>
      </c>
      <c r="M94" s="24">
        <f>I94+J94+K94+L94</f>
        <v/>
      </c>
      <c r="N94" s="24">
        <f>M94*'Dashboard &amp; Optimisation'!$B$18/('Dashboard &amp; Optimisation'!$B$16/3.6)</f>
        <v/>
      </c>
      <c r="O94" s="24" t="n">
        <v>396.1563953266058</v>
      </c>
      <c r="P94" s="25" t="n">
        <v>0.05835644876127537</v>
      </c>
      <c r="Q94" s="26" t="n">
        <v>14.75401630298203</v>
      </c>
      <c r="R94" s="24" t="n">
        <v>2194.499271993203</v>
      </c>
      <c r="S94" s="24">
        <f>R94*IF(A94=4, 2.0, 3.0)</f>
        <v/>
      </c>
      <c r="T94" s="22">
        <f>'Dashboard &amp; Optimisation'!$B$18*U94</f>
        <v/>
      </c>
      <c r="U94" s="27">
        <f>MIN(1, S94/M94)</f>
        <v/>
      </c>
      <c r="V94" s="27">
        <f>N94/(N94+O94)</f>
        <v/>
      </c>
      <c r="W94" s="27">
        <f>U94*V94</f>
        <v/>
      </c>
      <c r="X94" s="25">
        <f>T94/N94</f>
        <v/>
      </c>
      <c r="Y94" s="28">
        <f>IF(W94=MAXIFS(W$2:W$3601, A$2:A$3601, A94, B$2:B$3601, B94), "OPTIMAL", "")</f>
        <v/>
      </c>
    </row>
    <row r="95" ht="20" customHeight="1">
      <c r="A95" s="29" t="n">
        <v>4</v>
      </c>
      <c r="B95" s="29" t="n">
        <v>25</v>
      </c>
      <c r="C95" s="30" t="n">
        <v>90</v>
      </c>
      <c r="D95" s="30" t="n">
        <v>2</v>
      </c>
      <c r="E95" s="6" t="n">
        <v>8</v>
      </c>
      <c r="F95" s="30" t="n">
        <v>1.5</v>
      </c>
      <c r="G95" s="6" t="inlineStr">
        <is>
          <t>Oui</t>
        </is>
      </c>
      <c r="H95" s="6" t="inlineStr">
        <is>
          <t>OFF</t>
        </is>
      </c>
      <c r="I95" s="31" t="n">
        <v>580.1183283215253</v>
      </c>
      <c r="J95" s="31" t="n">
        <v>1533.568798690708</v>
      </c>
      <c r="K95" s="31" t="n">
        <v>1407.407407407407</v>
      </c>
      <c r="L95" s="31" t="n">
        <v>150</v>
      </c>
      <c r="M95" s="31">
        <f>I95+J95+K95+L95</f>
        <v/>
      </c>
      <c r="N95" s="31">
        <f>M95*'Dashboard &amp; Optimisation'!$B$18/('Dashboard &amp; Optimisation'!$B$16/3.6)</f>
        <v/>
      </c>
      <c r="O95" s="31" t="n">
        <v>396.1563953266058</v>
      </c>
      <c r="P95" s="32" t="n">
        <v>0.2541545323509655</v>
      </c>
      <c r="Q95" s="33" t="n">
        <v>14.75401630298203</v>
      </c>
      <c r="R95" s="31" t="n">
        <v>503.8792074181202</v>
      </c>
      <c r="S95" s="31">
        <f>R95*IF(A95=4, 2.0, 3.0)</f>
        <v/>
      </c>
      <c r="T95" s="30">
        <f>'Dashboard &amp; Optimisation'!$B$18*U95</f>
        <v/>
      </c>
      <c r="U95" s="34">
        <f>MIN(1, S95/M95)</f>
        <v/>
      </c>
      <c r="V95" s="34">
        <f>N95/(N95+O95)</f>
        <v/>
      </c>
      <c r="W95" s="34">
        <f>U95*V95</f>
        <v/>
      </c>
      <c r="X95" s="32">
        <f>T95/N95</f>
        <v/>
      </c>
      <c r="Y95" s="35">
        <f>IF(W95=MAXIFS(W$2:W$3601, A$2:A$3601, A95, B$2:B$3601, B95), "OPTIMAL", "")</f>
        <v/>
      </c>
    </row>
    <row r="96" ht="20" customHeight="1">
      <c r="A96" s="21" t="n">
        <v>4</v>
      </c>
      <c r="B96" s="21" t="n">
        <v>25</v>
      </c>
      <c r="C96" s="22" t="n">
        <v>90</v>
      </c>
      <c r="D96" s="22" t="n">
        <v>2</v>
      </c>
      <c r="E96" s="23" t="n">
        <v>8</v>
      </c>
      <c r="F96" s="22" t="n">
        <v>1.5</v>
      </c>
      <c r="G96" s="23" t="inlineStr">
        <is>
          <t>Non</t>
        </is>
      </c>
      <c r="H96" s="23" t="inlineStr">
        <is>
          <t>ON</t>
        </is>
      </c>
      <c r="I96" s="24" t="n">
        <v>580.1183283215253</v>
      </c>
      <c r="J96" s="24" t="n">
        <v>1533.568798690708</v>
      </c>
      <c r="K96" s="24" t="n">
        <v>1407.407407407407</v>
      </c>
      <c r="L96" s="24" t="n">
        <v>150</v>
      </c>
      <c r="M96" s="24">
        <f>I96+J96+K96+L96</f>
        <v/>
      </c>
      <c r="N96" s="24">
        <f>M96*'Dashboard &amp; Optimisation'!$B$18/('Dashboard &amp; Optimisation'!$B$16/3.6)</f>
        <v/>
      </c>
      <c r="O96" s="24" t="n">
        <v>396.1563953266058</v>
      </c>
      <c r="P96" s="25" t="n">
        <v>0.05481967224812215</v>
      </c>
      <c r="Q96" s="26" t="n">
        <v>14.75401630298203</v>
      </c>
      <c r="R96" s="24" t="n">
        <v>2336.080809514769</v>
      </c>
      <c r="S96" s="24">
        <f>R96*IF(A96=4, 2.0, 3.0)</f>
        <v/>
      </c>
      <c r="T96" s="22">
        <f>'Dashboard &amp; Optimisation'!$B$18*U96</f>
        <v/>
      </c>
      <c r="U96" s="27">
        <f>MIN(1, S96/M96)</f>
        <v/>
      </c>
      <c r="V96" s="27">
        <f>N96/(N96+O96)</f>
        <v/>
      </c>
      <c r="W96" s="27">
        <f>U96*V96</f>
        <v/>
      </c>
      <c r="X96" s="25">
        <f>T96/N96</f>
        <v/>
      </c>
      <c r="Y96" s="28">
        <f>IF(W96=MAXIFS(W$2:W$3601, A$2:A$3601, A96, B$2:B$3601, B96), "OPTIMAL", "")</f>
        <v/>
      </c>
    </row>
    <row r="97" ht="20" customHeight="1">
      <c r="A97" s="29" t="n">
        <v>4</v>
      </c>
      <c r="B97" s="29" t="n">
        <v>25</v>
      </c>
      <c r="C97" s="30" t="n">
        <v>90</v>
      </c>
      <c r="D97" s="30" t="n">
        <v>2</v>
      </c>
      <c r="E97" s="6" t="n">
        <v>8</v>
      </c>
      <c r="F97" s="30" t="n">
        <v>1.5</v>
      </c>
      <c r="G97" s="6" t="inlineStr">
        <is>
          <t>Non</t>
        </is>
      </c>
      <c r="H97" s="6" t="inlineStr">
        <is>
          <t>OFF</t>
        </is>
      </c>
      <c r="I97" s="31" t="n">
        <v>580.1183283215253</v>
      </c>
      <c r="J97" s="31" t="n">
        <v>1533.568798690708</v>
      </c>
      <c r="K97" s="31" t="n">
        <v>1407.407407407407</v>
      </c>
      <c r="L97" s="31" t="n">
        <v>150</v>
      </c>
      <c r="M97" s="31">
        <f>I97+J97+K97+L97</f>
        <v/>
      </c>
      <c r="N97" s="31">
        <f>M97*'Dashboard &amp; Optimisation'!$B$18/('Dashboard &amp; Optimisation'!$B$16/3.6)</f>
        <v/>
      </c>
      <c r="O97" s="31" t="n">
        <v>396.1563953266058</v>
      </c>
      <c r="P97" s="32" t="n">
        <v>0.2506177558378123</v>
      </c>
      <c r="Q97" s="33" t="n">
        <v>14.75401630298203</v>
      </c>
      <c r="R97" s="31" t="n">
        <v>510.9900688984056</v>
      </c>
      <c r="S97" s="31">
        <f>R97*IF(A97=4, 2.0, 3.0)</f>
        <v/>
      </c>
      <c r="T97" s="30">
        <f>'Dashboard &amp; Optimisation'!$B$18*U97</f>
        <v/>
      </c>
      <c r="U97" s="34">
        <f>MIN(1, S97/M97)</f>
        <v/>
      </c>
      <c r="V97" s="34">
        <f>N97/(N97+O97)</f>
        <v/>
      </c>
      <c r="W97" s="34">
        <f>U97*V97</f>
        <v/>
      </c>
      <c r="X97" s="32">
        <f>T97/N97</f>
        <v/>
      </c>
      <c r="Y97" s="35">
        <f>IF(W97=MAXIFS(W$2:W$3601, A$2:A$3601, A97, B$2:B$3601, B97), "OPTIMAL", "")</f>
        <v/>
      </c>
    </row>
    <row r="98" ht="20" customHeight="1">
      <c r="A98" s="21" t="n">
        <v>4</v>
      </c>
      <c r="B98" s="21" t="n">
        <v>25</v>
      </c>
      <c r="C98" s="22" t="n">
        <v>90</v>
      </c>
      <c r="D98" s="22" t="n">
        <v>2</v>
      </c>
      <c r="E98" s="23" t="n">
        <v>8</v>
      </c>
      <c r="F98" s="22" t="n">
        <v>2</v>
      </c>
      <c r="G98" s="23" t="inlineStr">
        <is>
          <t>Oui</t>
        </is>
      </c>
      <c r="H98" s="23" t="inlineStr">
        <is>
          <t>ON</t>
        </is>
      </c>
      <c r="I98" s="24" t="n">
        <v>580.1183283215253</v>
      </c>
      <c r="J98" s="24" t="n">
        <v>1533.568798690708</v>
      </c>
      <c r="K98" s="24" t="n">
        <v>1407.407407407407</v>
      </c>
      <c r="L98" s="24" t="n">
        <v>150</v>
      </c>
      <c r="M98" s="24">
        <f>I98+J98+K98+L98</f>
        <v/>
      </c>
      <c r="N98" s="24">
        <f>M98*'Dashboard &amp; Optimisation'!$B$18/('Dashboard &amp; Optimisation'!$B$16/3.6)</f>
        <v/>
      </c>
      <c r="O98" s="24" t="n">
        <v>476.6350243610034</v>
      </c>
      <c r="P98" s="25" t="n">
        <v>0.05730401653259074</v>
      </c>
      <c r="Q98" s="26" t="n">
        <v>19.60535507064271</v>
      </c>
      <c r="R98" s="24" t="n">
        <v>2293.282434676403</v>
      </c>
      <c r="S98" s="24">
        <f>R98*IF(A98=4, 2.0, 3.0)</f>
        <v/>
      </c>
      <c r="T98" s="22">
        <f>'Dashboard &amp; Optimisation'!$B$18*U98</f>
        <v/>
      </c>
      <c r="U98" s="27">
        <f>MIN(1, S98/M98)</f>
        <v/>
      </c>
      <c r="V98" s="27">
        <f>N98/(N98+O98)</f>
        <v/>
      </c>
      <c r="W98" s="27">
        <f>U98*V98</f>
        <v/>
      </c>
      <c r="X98" s="25">
        <f>T98/N98</f>
        <v/>
      </c>
      <c r="Y98" s="28">
        <f>IF(W98=MAXIFS(W$2:W$3601, A$2:A$3601, A98, B$2:B$3601, B98), "OPTIMAL", "")</f>
        <v/>
      </c>
    </row>
    <row r="99" ht="20" customHeight="1">
      <c r="A99" s="29" t="n">
        <v>4</v>
      </c>
      <c r="B99" s="29" t="n">
        <v>25</v>
      </c>
      <c r="C99" s="30" t="n">
        <v>90</v>
      </c>
      <c r="D99" s="30" t="n">
        <v>2</v>
      </c>
      <c r="E99" s="6" t="n">
        <v>8</v>
      </c>
      <c r="F99" s="30" t="n">
        <v>2</v>
      </c>
      <c r="G99" s="6" t="inlineStr">
        <is>
          <t>Oui</t>
        </is>
      </c>
      <c r="H99" s="6" t="inlineStr">
        <is>
          <t>OFF</t>
        </is>
      </c>
      <c r="I99" s="31" t="n">
        <v>580.1183283215253</v>
      </c>
      <c r="J99" s="31" t="n">
        <v>1533.568798690708</v>
      </c>
      <c r="K99" s="31" t="n">
        <v>1407.407407407407</v>
      </c>
      <c r="L99" s="31" t="n">
        <v>150</v>
      </c>
      <c r="M99" s="31">
        <f>I99+J99+K99+L99</f>
        <v/>
      </c>
      <c r="N99" s="31">
        <f>M99*'Dashboard &amp; Optimisation'!$B$18/('Dashboard &amp; Optimisation'!$B$16/3.6)</f>
        <v/>
      </c>
      <c r="O99" s="31" t="n">
        <v>476.6350243610034</v>
      </c>
      <c r="P99" s="32" t="n">
        <v>0.2546454449662799</v>
      </c>
      <c r="Q99" s="33" t="n">
        <v>19.60535507064271</v>
      </c>
      <c r="R99" s="31" t="n">
        <v>516.0677214076946</v>
      </c>
      <c r="S99" s="31">
        <f>R99*IF(A99=4, 2.0, 3.0)</f>
        <v/>
      </c>
      <c r="T99" s="30">
        <f>'Dashboard &amp; Optimisation'!$B$18*U99</f>
        <v/>
      </c>
      <c r="U99" s="34">
        <f>MIN(1, S99/M99)</f>
        <v/>
      </c>
      <c r="V99" s="34">
        <f>N99/(N99+O99)</f>
        <v/>
      </c>
      <c r="W99" s="34">
        <f>U99*V99</f>
        <v/>
      </c>
      <c r="X99" s="32">
        <f>T99/N99</f>
        <v/>
      </c>
      <c r="Y99" s="35">
        <f>IF(W99=MAXIFS(W$2:W$3601, A$2:A$3601, A99, B$2:B$3601, B99), "OPTIMAL", "")</f>
        <v/>
      </c>
    </row>
    <row r="100" ht="20" customHeight="1">
      <c r="A100" s="21" t="n">
        <v>4</v>
      </c>
      <c r="B100" s="21" t="n">
        <v>25</v>
      </c>
      <c r="C100" s="22" t="n">
        <v>90</v>
      </c>
      <c r="D100" s="22" t="n">
        <v>2</v>
      </c>
      <c r="E100" s="23" t="n">
        <v>8</v>
      </c>
      <c r="F100" s="22" t="n">
        <v>2</v>
      </c>
      <c r="G100" s="23" t="inlineStr">
        <is>
          <t>Non</t>
        </is>
      </c>
      <c r="H100" s="23" t="inlineStr">
        <is>
          <t>ON</t>
        </is>
      </c>
      <c r="I100" s="24" t="n">
        <v>580.1183283215253</v>
      </c>
      <c r="J100" s="24" t="n">
        <v>1533.568798690708</v>
      </c>
      <c r="K100" s="24" t="n">
        <v>1407.407407407407</v>
      </c>
      <c r="L100" s="24" t="n">
        <v>150</v>
      </c>
      <c r="M100" s="24">
        <f>I100+J100+K100+L100</f>
        <v/>
      </c>
      <c r="N100" s="24">
        <f>M100*'Dashboard &amp; Optimisation'!$B$18/('Dashboard &amp; Optimisation'!$B$16/3.6)</f>
        <v/>
      </c>
      <c r="O100" s="24" t="n">
        <v>476.6350243610034</v>
      </c>
      <c r="P100" s="25" t="n">
        <v>0.05376724001943751</v>
      </c>
      <c r="Q100" s="26" t="n">
        <v>19.60535507064271</v>
      </c>
      <c r="R100" s="24" t="n">
        <v>2444.133165531441</v>
      </c>
      <c r="S100" s="24">
        <f>R100*IF(A100=4, 2.0, 3.0)</f>
        <v/>
      </c>
      <c r="T100" s="22">
        <f>'Dashboard &amp; Optimisation'!$B$18*U100</f>
        <v/>
      </c>
      <c r="U100" s="27">
        <f>MIN(1, S100/M100)</f>
        <v/>
      </c>
      <c r="V100" s="27">
        <f>N100/(N100+O100)</f>
        <v/>
      </c>
      <c r="W100" s="27">
        <f>U100*V100</f>
        <v/>
      </c>
      <c r="X100" s="25">
        <f>T100/N100</f>
        <v/>
      </c>
      <c r="Y100" s="28">
        <f>IF(W100=MAXIFS(W$2:W$3601, A$2:A$3601, A100, B$2:B$3601, B100), "OPTIMAL", "")</f>
        <v/>
      </c>
    </row>
    <row r="101" ht="20" customHeight="1">
      <c r="A101" s="29" t="n">
        <v>4</v>
      </c>
      <c r="B101" s="29" t="n">
        <v>25</v>
      </c>
      <c r="C101" s="30" t="n">
        <v>90</v>
      </c>
      <c r="D101" s="30" t="n">
        <v>2</v>
      </c>
      <c r="E101" s="6" t="n">
        <v>8</v>
      </c>
      <c r="F101" s="30" t="n">
        <v>2</v>
      </c>
      <c r="G101" s="6" t="inlineStr">
        <is>
          <t>Non</t>
        </is>
      </c>
      <c r="H101" s="6" t="inlineStr">
        <is>
          <t>OFF</t>
        </is>
      </c>
      <c r="I101" s="31" t="n">
        <v>580.1183283215253</v>
      </c>
      <c r="J101" s="31" t="n">
        <v>1533.568798690708</v>
      </c>
      <c r="K101" s="31" t="n">
        <v>1407.407407407407</v>
      </c>
      <c r="L101" s="31" t="n">
        <v>150</v>
      </c>
      <c r="M101" s="31">
        <f>I101+J101+K101+L101</f>
        <v/>
      </c>
      <c r="N101" s="31">
        <f>M101*'Dashboard &amp; Optimisation'!$B$18/('Dashboard &amp; Optimisation'!$B$16/3.6)</f>
        <v/>
      </c>
      <c r="O101" s="31" t="n">
        <v>476.6350243610034</v>
      </c>
      <c r="P101" s="32" t="n">
        <v>0.2511086684531266</v>
      </c>
      <c r="Q101" s="33" t="n">
        <v>19.60535507064271</v>
      </c>
      <c r="R101" s="31" t="n">
        <v>523.3363521862134</v>
      </c>
      <c r="S101" s="31">
        <f>R101*IF(A101=4, 2.0, 3.0)</f>
        <v/>
      </c>
      <c r="T101" s="30">
        <f>'Dashboard &amp; Optimisation'!$B$18*U101</f>
        <v/>
      </c>
      <c r="U101" s="34">
        <f>MIN(1, S101/M101)</f>
        <v/>
      </c>
      <c r="V101" s="34">
        <f>N101/(N101+O101)</f>
        <v/>
      </c>
      <c r="W101" s="34">
        <f>U101*V101</f>
        <v/>
      </c>
      <c r="X101" s="32">
        <f>T101/N101</f>
        <v/>
      </c>
      <c r="Y101" s="35">
        <f>IF(W101=MAXIFS(W$2:W$3601, A$2:A$3601, A101, B$2:B$3601, B101), "OPTIMAL", "")</f>
        <v/>
      </c>
    </row>
    <row r="102" ht="20" customHeight="1">
      <c r="A102" s="21" t="n">
        <v>4</v>
      </c>
      <c r="B102" s="21" t="n">
        <v>25</v>
      </c>
      <c r="C102" s="22" t="n">
        <v>90</v>
      </c>
      <c r="D102" s="22" t="n">
        <v>3</v>
      </c>
      <c r="E102" s="23" t="n">
        <v>0</v>
      </c>
      <c r="F102" s="22" t="n">
        <v>0</v>
      </c>
      <c r="G102" s="23" t="inlineStr">
        <is>
          <t>Oui</t>
        </is>
      </c>
      <c r="H102" s="23" t="inlineStr">
        <is>
          <t>ON</t>
        </is>
      </c>
      <c r="I102" s="24" t="n">
        <v>580.1183283215253</v>
      </c>
      <c r="J102" s="24" t="n">
        <v>1533.568798690708</v>
      </c>
      <c r="K102" s="24" t="n">
        <v>1407.407407407407</v>
      </c>
      <c r="L102" s="24" t="n">
        <v>150</v>
      </c>
      <c r="M102" s="24">
        <f>I102+J102+K102+L102</f>
        <v/>
      </c>
      <c r="N102" s="24">
        <f>M102*'Dashboard &amp; Optimisation'!$B$18/('Dashboard &amp; Optimisation'!$B$16/3.6)</f>
        <v/>
      </c>
      <c r="O102" s="24" t="n">
        <v>276.0592576663223</v>
      </c>
      <c r="P102" s="25" t="n">
        <v>0.4898971107621382</v>
      </c>
      <c r="Q102" s="26" t="n">
        <v>0.2</v>
      </c>
      <c r="R102" s="24" t="n">
        <v>254.5325295031358</v>
      </c>
      <c r="S102" s="24">
        <f>R102*IF(A102=4, 2.0, 3.0)</f>
        <v/>
      </c>
      <c r="T102" s="22">
        <f>'Dashboard &amp; Optimisation'!$B$18*U102</f>
        <v/>
      </c>
      <c r="U102" s="27">
        <f>MIN(1, S102/M102)</f>
        <v/>
      </c>
      <c r="V102" s="27">
        <f>N102/(N102+O102)</f>
        <v/>
      </c>
      <c r="W102" s="27">
        <f>U102*V102</f>
        <v/>
      </c>
      <c r="X102" s="25">
        <f>T102/N102</f>
        <v/>
      </c>
      <c r="Y102" s="28">
        <f>IF(W102=MAXIFS(W$2:W$3601, A$2:A$3601, A102, B$2:B$3601, B102), "OPTIMAL", "")</f>
        <v/>
      </c>
    </row>
    <row r="103" ht="20" customHeight="1">
      <c r="A103" s="29" t="n">
        <v>4</v>
      </c>
      <c r="B103" s="29" t="n">
        <v>25</v>
      </c>
      <c r="C103" s="30" t="n">
        <v>90</v>
      </c>
      <c r="D103" s="30" t="n">
        <v>3</v>
      </c>
      <c r="E103" s="6" t="n">
        <v>0</v>
      </c>
      <c r="F103" s="30" t="n">
        <v>0</v>
      </c>
      <c r="G103" s="6" t="inlineStr">
        <is>
          <t>Oui</t>
        </is>
      </c>
      <c r="H103" s="6" t="inlineStr">
        <is>
          <t>OFF</t>
        </is>
      </c>
      <c r="I103" s="31" t="n">
        <v>580.1183283215253</v>
      </c>
      <c r="J103" s="31" t="n">
        <v>1533.568798690708</v>
      </c>
      <c r="K103" s="31" t="n">
        <v>1407.407407407407</v>
      </c>
      <c r="L103" s="31" t="n">
        <v>150</v>
      </c>
      <c r="M103" s="31">
        <f>I103+J103+K103+L103</f>
        <v/>
      </c>
      <c r="N103" s="31">
        <f>M103*'Dashboard &amp; Optimisation'!$B$18/('Dashboard &amp; Optimisation'!$B$16/3.6)</f>
        <v/>
      </c>
      <c r="O103" s="31" t="n">
        <v>276.0592576663223</v>
      </c>
      <c r="P103" s="32" t="n">
        <v>0.8435747620774612</v>
      </c>
      <c r="Q103" s="33" t="n">
        <v>0.2</v>
      </c>
      <c r="R103" s="31" t="n">
        <v>147.8170713541509</v>
      </c>
      <c r="S103" s="31">
        <f>R103*IF(A103=4, 2.0, 3.0)</f>
        <v/>
      </c>
      <c r="T103" s="30">
        <f>'Dashboard &amp; Optimisation'!$B$18*U103</f>
        <v/>
      </c>
      <c r="U103" s="34">
        <f>MIN(1, S103/M103)</f>
        <v/>
      </c>
      <c r="V103" s="34">
        <f>N103/(N103+O103)</f>
        <v/>
      </c>
      <c r="W103" s="34">
        <f>U103*V103</f>
        <v/>
      </c>
      <c r="X103" s="32">
        <f>T103/N103</f>
        <v/>
      </c>
      <c r="Y103" s="35">
        <f>IF(W103=MAXIFS(W$2:W$3601, A$2:A$3601, A103, B$2:B$3601, B103), "OPTIMAL", "")</f>
        <v/>
      </c>
    </row>
    <row r="104" ht="20" customHeight="1">
      <c r="A104" s="21" t="n">
        <v>4</v>
      </c>
      <c r="B104" s="21" t="n">
        <v>25</v>
      </c>
      <c r="C104" s="22" t="n">
        <v>90</v>
      </c>
      <c r="D104" s="22" t="n">
        <v>3</v>
      </c>
      <c r="E104" s="23" t="n">
        <v>0</v>
      </c>
      <c r="F104" s="22" t="n">
        <v>0</v>
      </c>
      <c r="G104" s="23" t="inlineStr">
        <is>
          <t>Non</t>
        </is>
      </c>
      <c r="H104" s="23" t="inlineStr">
        <is>
          <t>ON</t>
        </is>
      </c>
      <c r="I104" s="24" t="n">
        <v>580.1183283215253</v>
      </c>
      <c r="J104" s="24" t="n">
        <v>1533.568798690708</v>
      </c>
      <c r="K104" s="24" t="n">
        <v>1407.407407407407</v>
      </c>
      <c r="L104" s="24" t="n">
        <v>150</v>
      </c>
      <c r="M104" s="24">
        <f>I104+J104+K104+L104</f>
        <v/>
      </c>
      <c r="N104" s="24">
        <f>M104*'Dashboard &amp; Optimisation'!$B$18/('Dashboard &amp; Optimisation'!$B$16/3.6)</f>
        <v/>
      </c>
      <c r="O104" s="24" t="n">
        <v>276.0592576663223</v>
      </c>
      <c r="P104" s="25" t="n">
        <v>0.486360334248985</v>
      </c>
      <c r="Q104" s="26" t="n">
        <v>0.2</v>
      </c>
      <c r="R104" s="24" t="n">
        <v>256.3834713024301</v>
      </c>
      <c r="S104" s="24">
        <f>R104*IF(A104=4, 2.0, 3.0)</f>
        <v/>
      </c>
      <c r="T104" s="22">
        <f>'Dashboard &amp; Optimisation'!$B$18*U104</f>
        <v/>
      </c>
      <c r="U104" s="27">
        <f>MIN(1, S104/M104)</f>
        <v/>
      </c>
      <c r="V104" s="27">
        <f>N104/(N104+O104)</f>
        <v/>
      </c>
      <c r="W104" s="27">
        <f>U104*V104</f>
        <v/>
      </c>
      <c r="X104" s="25">
        <f>T104/N104</f>
        <v/>
      </c>
      <c r="Y104" s="28">
        <f>IF(W104=MAXIFS(W$2:W$3601, A$2:A$3601, A104, B$2:B$3601, B104), "OPTIMAL", "")</f>
        <v/>
      </c>
    </row>
    <row r="105" ht="20" customHeight="1">
      <c r="A105" s="29" t="n">
        <v>4</v>
      </c>
      <c r="B105" s="29" t="n">
        <v>25</v>
      </c>
      <c r="C105" s="30" t="n">
        <v>90</v>
      </c>
      <c r="D105" s="30" t="n">
        <v>3</v>
      </c>
      <c r="E105" s="6" t="n">
        <v>0</v>
      </c>
      <c r="F105" s="30" t="n">
        <v>0</v>
      </c>
      <c r="G105" s="6" t="inlineStr">
        <is>
          <t>Non</t>
        </is>
      </c>
      <c r="H105" s="6" t="inlineStr">
        <is>
          <t>OFF</t>
        </is>
      </c>
      <c r="I105" s="31" t="n">
        <v>580.1183283215253</v>
      </c>
      <c r="J105" s="31" t="n">
        <v>1533.568798690708</v>
      </c>
      <c r="K105" s="31" t="n">
        <v>1407.407407407407</v>
      </c>
      <c r="L105" s="31" t="n">
        <v>150</v>
      </c>
      <c r="M105" s="31">
        <f>I105+J105+K105+L105</f>
        <v/>
      </c>
      <c r="N105" s="31">
        <f>M105*'Dashboard &amp; Optimisation'!$B$18/('Dashboard &amp; Optimisation'!$B$16/3.6)</f>
        <v/>
      </c>
      <c r="O105" s="31" t="n">
        <v>276.0592576663223</v>
      </c>
      <c r="P105" s="32" t="n">
        <v>0.840037985564308</v>
      </c>
      <c r="Q105" s="33" t="n">
        <v>0.2</v>
      </c>
      <c r="R105" s="31" t="n">
        <v>148.4394193374475</v>
      </c>
      <c r="S105" s="31">
        <f>R105*IF(A105=4, 2.0, 3.0)</f>
        <v/>
      </c>
      <c r="T105" s="30">
        <f>'Dashboard &amp; Optimisation'!$B$18*U105</f>
        <v/>
      </c>
      <c r="U105" s="34">
        <f>MIN(1, S105/M105)</f>
        <v/>
      </c>
      <c r="V105" s="34">
        <f>N105/(N105+O105)</f>
        <v/>
      </c>
      <c r="W105" s="34">
        <f>U105*V105</f>
        <v/>
      </c>
      <c r="X105" s="32">
        <f>T105/N105</f>
        <v/>
      </c>
      <c r="Y105" s="35">
        <f>IF(W105=MAXIFS(W$2:W$3601, A$2:A$3601, A105, B$2:B$3601, B105), "OPTIMAL", "")</f>
        <v/>
      </c>
    </row>
    <row r="106" ht="20" customHeight="1">
      <c r="A106" s="21" t="n">
        <v>4</v>
      </c>
      <c r="B106" s="21" t="n">
        <v>25</v>
      </c>
      <c r="C106" s="22" t="n">
        <v>90</v>
      </c>
      <c r="D106" s="22" t="n">
        <v>3</v>
      </c>
      <c r="E106" s="23" t="n">
        <v>4</v>
      </c>
      <c r="F106" s="22" t="n">
        <v>1.5</v>
      </c>
      <c r="G106" s="23" t="inlineStr">
        <is>
          <t>Oui</t>
        </is>
      </c>
      <c r="H106" s="23" t="inlineStr">
        <is>
          <t>ON</t>
        </is>
      </c>
      <c r="I106" s="24" t="n">
        <v>580.1183283215253</v>
      </c>
      <c r="J106" s="24" t="n">
        <v>1533.568798690708</v>
      </c>
      <c r="K106" s="24" t="n">
        <v>1407.407407407407</v>
      </c>
      <c r="L106" s="24" t="n">
        <v>150</v>
      </c>
      <c r="M106" s="24">
        <f>I106+J106+K106+L106</f>
        <v/>
      </c>
      <c r="N106" s="24">
        <f>M106*'Dashboard &amp; Optimisation'!$B$18/('Dashboard &amp; Optimisation'!$B$16/3.6)</f>
        <v/>
      </c>
      <c r="O106" s="24" t="n">
        <v>388.3618626120385</v>
      </c>
      <c r="P106" s="25" t="n">
        <v>0.07737077298591719</v>
      </c>
      <c r="Q106" s="26" t="n">
        <v>7.65027025033604</v>
      </c>
      <c r="R106" s="24" t="n">
        <v>1672.494322395192</v>
      </c>
      <c r="S106" s="24">
        <f>R106*IF(A106=4, 2.0, 3.0)</f>
        <v/>
      </c>
      <c r="T106" s="22">
        <f>'Dashboard &amp; Optimisation'!$B$18*U106</f>
        <v/>
      </c>
      <c r="U106" s="27">
        <f>MIN(1, S106/M106)</f>
        <v/>
      </c>
      <c r="V106" s="27">
        <f>N106/(N106+O106)</f>
        <v/>
      </c>
      <c r="W106" s="27">
        <f>U106*V106</f>
        <v/>
      </c>
      <c r="X106" s="25">
        <f>T106/N106</f>
        <v/>
      </c>
      <c r="Y106" s="28">
        <f>IF(W106=MAXIFS(W$2:W$3601, A$2:A$3601, A106, B$2:B$3601, B106), "OPTIMAL", "")</f>
        <v/>
      </c>
    </row>
    <row r="107" ht="20" customHeight="1">
      <c r="A107" s="29" t="n">
        <v>4</v>
      </c>
      <c r="B107" s="29" t="n">
        <v>25</v>
      </c>
      <c r="C107" s="30" t="n">
        <v>90</v>
      </c>
      <c r="D107" s="30" t="n">
        <v>3</v>
      </c>
      <c r="E107" s="6" t="n">
        <v>4</v>
      </c>
      <c r="F107" s="30" t="n">
        <v>1.5</v>
      </c>
      <c r="G107" s="6" t="inlineStr">
        <is>
          <t>Oui</t>
        </is>
      </c>
      <c r="H107" s="6" t="inlineStr">
        <is>
          <t>OFF</t>
        </is>
      </c>
      <c r="I107" s="31" t="n">
        <v>580.1183283215253</v>
      </c>
      <c r="J107" s="31" t="n">
        <v>1533.568798690708</v>
      </c>
      <c r="K107" s="31" t="n">
        <v>1407.407407407407</v>
      </c>
      <c r="L107" s="31" t="n">
        <v>150</v>
      </c>
      <c r="M107" s="31">
        <f>I107+J107+K107+L107</f>
        <v/>
      </c>
      <c r="N107" s="31">
        <f>M107*'Dashboard &amp; Optimisation'!$B$18/('Dashboard &amp; Optimisation'!$B$16/3.6)</f>
        <v/>
      </c>
      <c r="O107" s="31" t="n">
        <v>388.3618626120385</v>
      </c>
      <c r="P107" s="32" t="n">
        <v>0.3294279943160268</v>
      </c>
      <c r="Q107" s="33" t="n">
        <v>7.65027025033604</v>
      </c>
      <c r="R107" s="31" t="n">
        <v>392.8086889122596</v>
      </c>
      <c r="S107" s="31">
        <f>R107*IF(A107=4, 2.0, 3.0)</f>
        <v/>
      </c>
      <c r="T107" s="30">
        <f>'Dashboard &amp; Optimisation'!$B$18*U107</f>
        <v/>
      </c>
      <c r="U107" s="34">
        <f>MIN(1, S107/M107)</f>
        <v/>
      </c>
      <c r="V107" s="34">
        <f>N107/(N107+O107)</f>
        <v/>
      </c>
      <c r="W107" s="34">
        <f>U107*V107</f>
        <v/>
      </c>
      <c r="X107" s="32">
        <f>T107/N107</f>
        <v/>
      </c>
      <c r="Y107" s="35">
        <f>IF(W107=MAXIFS(W$2:W$3601, A$2:A$3601, A107, B$2:B$3601, B107), "OPTIMAL", "")</f>
        <v/>
      </c>
    </row>
    <row r="108" ht="20" customHeight="1">
      <c r="A108" s="21" t="n">
        <v>4</v>
      </c>
      <c r="B108" s="21" t="n">
        <v>25</v>
      </c>
      <c r="C108" s="22" t="n">
        <v>90</v>
      </c>
      <c r="D108" s="22" t="n">
        <v>3</v>
      </c>
      <c r="E108" s="23" t="n">
        <v>4</v>
      </c>
      <c r="F108" s="22" t="n">
        <v>1.5</v>
      </c>
      <c r="G108" s="23" t="inlineStr">
        <is>
          <t>Non</t>
        </is>
      </c>
      <c r="H108" s="23" t="inlineStr">
        <is>
          <t>ON</t>
        </is>
      </c>
      <c r="I108" s="24" t="n">
        <v>580.1183283215253</v>
      </c>
      <c r="J108" s="24" t="n">
        <v>1533.568798690708</v>
      </c>
      <c r="K108" s="24" t="n">
        <v>1407.407407407407</v>
      </c>
      <c r="L108" s="24" t="n">
        <v>150</v>
      </c>
      <c r="M108" s="24">
        <f>I108+J108+K108+L108</f>
        <v/>
      </c>
      <c r="N108" s="24">
        <f>M108*'Dashboard &amp; Optimisation'!$B$18/('Dashboard &amp; Optimisation'!$B$16/3.6)</f>
        <v/>
      </c>
      <c r="O108" s="24" t="n">
        <v>388.3618626120385</v>
      </c>
      <c r="P108" s="25" t="n">
        <v>0.07383399647276395</v>
      </c>
      <c r="Q108" s="26" t="n">
        <v>7.65027025033604</v>
      </c>
      <c r="R108" s="24" t="n">
        <v>1752.609701765337</v>
      </c>
      <c r="S108" s="24">
        <f>R108*IF(A108=4, 2.0, 3.0)</f>
        <v/>
      </c>
      <c r="T108" s="22">
        <f>'Dashboard &amp; Optimisation'!$B$18*U108</f>
        <v/>
      </c>
      <c r="U108" s="27">
        <f>MIN(1, S108/M108)</f>
        <v/>
      </c>
      <c r="V108" s="27">
        <f>N108/(N108+O108)</f>
        <v/>
      </c>
      <c r="W108" s="27">
        <f>U108*V108</f>
        <v/>
      </c>
      <c r="X108" s="25">
        <f>T108/N108</f>
        <v/>
      </c>
      <c r="Y108" s="28">
        <f>IF(W108=MAXIFS(W$2:W$3601, A$2:A$3601, A108, B$2:B$3601, B108), "OPTIMAL", "")</f>
        <v/>
      </c>
    </row>
    <row r="109" ht="20" customHeight="1">
      <c r="A109" s="29" t="n">
        <v>4</v>
      </c>
      <c r="B109" s="29" t="n">
        <v>25</v>
      </c>
      <c r="C109" s="30" t="n">
        <v>90</v>
      </c>
      <c r="D109" s="30" t="n">
        <v>3</v>
      </c>
      <c r="E109" s="6" t="n">
        <v>4</v>
      </c>
      <c r="F109" s="30" t="n">
        <v>1.5</v>
      </c>
      <c r="G109" s="6" t="inlineStr">
        <is>
          <t>Non</t>
        </is>
      </c>
      <c r="H109" s="6" t="inlineStr">
        <is>
          <t>OFF</t>
        </is>
      </c>
      <c r="I109" s="31" t="n">
        <v>580.1183283215253</v>
      </c>
      <c r="J109" s="31" t="n">
        <v>1533.568798690708</v>
      </c>
      <c r="K109" s="31" t="n">
        <v>1407.407407407407</v>
      </c>
      <c r="L109" s="31" t="n">
        <v>150</v>
      </c>
      <c r="M109" s="31">
        <f>I109+J109+K109+L109</f>
        <v/>
      </c>
      <c r="N109" s="31">
        <f>M109*'Dashboard &amp; Optimisation'!$B$18/('Dashboard &amp; Optimisation'!$B$16/3.6)</f>
        <v/>
      </c>
      <c r="O109" s="31" t="n">
        <v>388.3618626120385</v>
      </c>
      <c r="P109" s="32" t="n">
        <v>0.3258912178028736</v>
      </c>
      <c r="Q109" s="33" t="n">
        <v>7.65027025033604</v>
      </c>
      <c r="R109" s="31" t="n">
        <v>397.071695919548</v>
      </c>
      <c r="S109" s="31">
        <f>R109*IF(A109=4, 2.0, 3.0)</f>
        <v/>
      </c>
      <c r="T109" s="30">
        <f>'Dashboard &amp; Optimisation'!$B$18*U109</f>
        <v/>
      </c>
      <c r="U109" s="34">
        <f>MIN(1, S109/M109)</f>
        <v/>
      </c>
      <c r="V109" s="34">
        <f>N109/(N109+O109)</f>
        <v/>
      </c>
      <c r="W109" s="34">
        <f>U109*V109</f>
        <v/>
      </c>
      <c r="X109" s="32">
        <f>T109/N109</f>
        <v/>
      </c>
      <c r="Y109" s="35">
        <f>IF(W109=MAXIFS(W$2:W$3601, A$2:A$3601, A109, B$2:B$3601, B109), "OPTIMAL", "")</f>
        <v/>
      </c>
    </row>
    <row r="110" ht="20" customHeight="1">
      <c r="A110" s="21" t="n">
        <v>4</v>
      </c>
      <c r="B110" s="21" t="n">
        <v>25</v>
      </c>
      <c r="C110" s="22" t="n">
        <v>90</v>
      </c>
      <c r="D110" s="22" t="n">
        <v>3</v>
      </c>
      <c r="E110" s="23" t="n">
        <v>4</v>
      </c>
      <c r="F110" s="22" t="n">
        <v>2</v>
      </c>
      <c r="G110" s="23" t="inlineStr">
        <is>
          <t>Oui</t>
        </is>
      </c>
      <c r="H110" s="23" t="inlineStr">
        <is>
          <t>ON</t>
        </is>
      </c>
      <c r="I110" s="24" t="n">
        <v>580.1183283215253</v>
      </c>
      <c r="J110" s="24" t="n">
        <v>1533.568798690708</v>
      </c>
      <c r="K110" s="24" t="n">
        <v>1407.407407407407</v>
      </c>
      <c r="L110" s="24" t="n">
        <v>150</v>
      </c>
      <c r="M110" s="24">
        <f>I110+J110+K110+L110</f>
        <v/>
      </c>
      <c r="N110" s="24">
        <f>M110*'Dashboard &amp; Optimisation'!$B$18/('Dashboard &amp; Optimisation'!$B$16/3.6)</f>
        <v/>
      </c>
      <c r="O110" s="24" t="n">
        <v>427.7043463995181</v>
      </c>
      <c r="P110" s="25" t="n">
        <v>0.07505349321204312</v>
      </c>
      <c r="Q110" s="26" t="n">
        <v>10.13369366711472</v>
      </c>
      <c r="R110" s="24" t="n">
        <v>1746.105419512724</v>
      </c>
      <c r="S110" s="24">
        <f>R110*IF(A110=4, 2.0, 3.0)</f>
        <v/>
      </c>
      <c r="T110" s="22">
        <f>'Dashboard &amp; Optimisation'!$B$18*U110</f>
        <v/>
      </c>
      <c r="U110" s="27">
        <f>MIN(1, S110/M110)</f>
        <v/>
      </c>
      <c r="V110" s="27">
        <f>N110/(N110+O110)</f>
        <v/>
      </c>
      <c r="W110" s="27">
        <f>U110*V110</f>
        <v/>
      </c>
      <c r="X110" s="25">
        <f>T110/N110</f>
        <v/>
      </c>
      <c r="Y110" s="28">
        <f>IF(W110=MAXIFS(W$2:W$3601, A$2:A$3601, A110, B$2:B$3601, B110), "OPTIMAL", "")</f>
        <v/>
      </c>
    </row>
    <row r="111" ht="20" customHeight="1">
      <c r="A111" s="29" t="n">
        <v>4</v>
      </c>
      <c r="B111" s="29" t="n">
        <v>25</v>
      </c>
      <c r="C111" s="30" t="n">
        <v>90</v>
      </c>
      <c r="D111" s="30" t="n">
        <v>3</v>
      </c>
      <c r="E111" s="6" t="n">
        <v>4</v>
      </c>
      <c r="F111" s="30" t="n">
        <v>2</v>
      </c>
      <c r="G111" s="6" t="inlineStr">
        <is>
          <t>Oui</t>
        </is>
      </c>
      <c r="H111" s="6" t="inlineStr">
        <is>
          <t>OFF</t>
        </is>
      </c>
      <c r="I111" s="31" t="n">
        <v>580.1183283215253</v>
      </c>
      <c r="J111" s="31" t="n">
        <v>1533.568798690708</v>
      </c>
      <c r="K111" s="31" t="n">
        <v>1407.407407407407</v>
      </c>
      <c r="L111" s="31" t="n">
        <v>150</v>
      </c>
      <c r="M111" s="31">
        <f>I111+J111+K111+L111</f>
        <v/>
      </c>
      <c r="N111" s="31">
        <f>M111*'Dashboard &amp; Optimisation'!$B$18/('Dashboard &amp; Optimisation'!$B$16/3.6)</f>
        <v/>
      </c>
      <c r="O111" s="31" t="n">
        <v>427.7043463995181</v>
      </c>
      <c r="P111" s="32" t="n">
        <v>0.3283855657905198</v>
      </c>
      <c r="Q111" s="33" t="n">
        <v>10.13369366711472</v>
      </c>
      <c r="R111" s="31" t="n">
        <v>399.0775627894339</v>
      </c>
      <c r="S111" s="31">
        <f>R111*IF(A111=4, 2.0, 3.0)</f>
        <v/>
      </c>
      <c r="T111" s="30">
        <f>'Dashboard &amp; Optimisation'!$B$18*U111</f>
        <v/>
      </c>
      <c r="U111" s="34">
        <f>MIN(1, S111/M111)</f>
        <v/>
      </c>
      <c r="V111" s="34">
        <f>N111/(N111+O111)</f>
        <v/>
      </c>
      <c r="W111" s="34">
        <f>U111*V111</f>
        <v/>
      </c>
      <c r="X111" s="32">
        <f>T111/N111</f>
        <v/>
      </c>
      <c r="Y111" s="35">
        <f>IF(W111=MAXIFS(W$2:W$3601, A$2:A$3601, A111, B$2:B$3601, B111), "OPTIMAL", "")</f>
        <v/>
      </c>
    </row>
    <row r="112" ht="20" customHeight="1">
      <c r="A112" s="21" t="n">
        <v>4</v>
      </c>
      <c r="B112" s="21" t="n">
        <v>25</v>
      </c>
      <c r="C112" s="22" t="n">
        <v>90</v>
      </c>
      <c r="D112" s="22" t="n">
        <v>3</v>
      </c>
      <c r="E112" s="23" t="n">
        <v>4</v>
      </c>
      <c r="F112" s="22" t="n">
        <v>2</v>
      </c>
      <c r="G112" s="23" t="inlineStr">
        <is>
          <t>Non</t>
        </is>
      </c>
      <c r="H112" s="23" t="inlineStr">
        <is>
          <t>ON</t>
        </is>
      </c>
      <c r="I112" s="24" t="n">
        <v>580.1183283215253</v>
      </c>
      <c r="J112" s="24" t="n">
        <v>1533.568798690708</v>
      </c>
      <c r="K112" s="24" t="n">
        <v>1407.407407407407</v>
      </c>
      <c r="L112" s="24" t="n">
        <v>150</v>
      </c>
      <c r="M112" s="24">
        <f>I112+J112+K112+L112</f>
        <v/>
      </c>
      <c r="N112" s="24">
        <f>M112*'Dashboard &amp; Optimisation'!$B$18/('Dashboard &amp; Optimisation'!$B$16/3.6)</f>
        <v/>
      </c>
      <c r="O112" s="24" t="n">
        <v>427.7043463995181</v>
      </c>
      <c r="P112" s="25" t="n">
        <v>0.07151671669888988</v>
      </c>
      <c r="Q112" s="26" t="n">
        <v>10.13369366711472</v>
      </c>
      <c r="R112" s="24" t="n">
        <v>1832.457043612352</v>
      </c>
      <c r="S112" s="24">
        <f>R112*IF(A112=4, 2.0, 3.0)</f>
        <v/>
      </c>
      <c r="T112" s="22">
        <f>'Dashboard &amp; Optimisation'!$B$18*U112</f>
        <v/>
      </c>
      <c r="U112" s="27">
        <f>MIN(1, S112/M112)</f>
        <v/>
      </c>
      <c r="V112" s="27">
        <f>N112/(N112+O112)</f>
        <v/>
      </c>
      <c r="W112" s="27">
        <f>U112*V112</f>
        <v/>
      </c>
      <c r="X112" s="25">
        <f>T112/N112</f>
        <v/>
      </c>
      <c r="Y112" s="28">
        <f>IF(W112=MAXIFS(W$2:W$3601, A$2:A$3601, A112, B$2:B$3601, B112), "OPTIMAL", "")</f>
        <v/>
      </c>
    </row>
    <row r="113" ht="20" customHeight="1">
      <c r="A113" s="29" t="n">
        <v>4</v>
      </c>
      <c r="B113" s="29" t="n">
        <v>25</v>
      </c>
      <c r="C113" s="30" t="n">
        <v>90</v>
      </c>
      <c r="D113" s="30" t="n">
        <v>3</v>
      </c>
      <c r="E113" s="6" t="n">
        <v>4</v>
      </c>
      <c r="F113" s="30" t="n">
        <v>2</v>
      </c>
      <c r="G113" s="6" t="inlineStr">
        <is>
          <t>Non</t>
        </is>
      </c>
      <c r="H113" s="6" t="inlineStr">
        <is>
          <t>OFF</t>
        </is>
      </c>
      <c r="I113" s="31" t="n">
        <v>580.1183283215253</v>
      </c>
      <c r="J113" s="31" t="n">
        <v>1533.568798690708</v>
      </c>
      <c r="K113" s="31" t="n">
        <v>1407.407407407407</v>
      </c>
      <c r="L113" s="31" t="n">
        <v>150</v>
      </c>
      <c r="M113" s="31">
        <f>I113+J113+K113+L113</f>
        <v/>
      </c>
      <c r="N113" s="31">
        <f>M113*'Dashboard &amp; Optimisation'!$B$18/('Dashboard &amp; Optimisation'!$B$16/3.6)</f>
        <v/>
      </c>
      <c r="O113" s="31" t="n">
        <v>427.7043463995181</v>
      </c>
      <c r="P113" s="32" t="n">
        <v>0.3248487892773665</v>
      </c>
      <c r="Q113" s="33" t="n">
        <v>10.13369366711472</v>
      </c>
      <c r="R113" s="31" t="n">
        <v>403.4225017197587</v>
      </c>
      <c r="S113" s="31">
        <f>R113*IF(A113=4, 2.0, 3.0)</f>
        <v/>
      </c>
      <c r="T113" s="30">
        <f>'Dashboard &amp; Optimisation'!$B$18*U113</f>
        <v/>
      </c>
      <c r="U113" s="34">
        <f>MIN(1, S113/M113)</f>
        <v/>
      </c>
      <c r="V113" s="34">
        <f>N113/(N113+O113)</f>
        <v/>
      </c>
      <c r="W113" s="34">
        <f>U113*V113</f>
        <v/>
      </c>
      <c r="X113" s="32">
        <f>T113/N113</f>
        <v/>
      </c>
      <c r="Y113" s="35">
        <f>IF(W113=MAXIFS(W$2:W$3601, A$2:A$3601, A113, B$2:B$3601, B113), "OPTIMAL", "")</f>
        <v/>
      </c>
    </row>
    <row r="114" ht="20" customHeight="1">
      <c r="A114" s="21" t="n">
        <v>4</v>
      </c>
      <c r="B114" s="21" t="n">
        <v>25</v>
      </c>
      <c r="C114" s="22" t="n">
        <v>90</v>
      </c>
      <c r="D114" s="22" t="n">
        <v>3</v>
      </c>
      <c r="E114" s="23" t="n">
        <v>8</v>
      </c>
      <c r="F114" s="22" t="n">
        <v>1.5</v>
      </c>
      <c r="G114" s="23" t="inlineStr">
        <is>
          <t>Oui</t>
        </is>
      </c>
      <c r="H114" s="23" t="inlineStr">
        <is>
          <t>ON</t>
        </is>
      </c>
      <c r="I114" s="24" t="n">
        <v>580.1183283215253</v>
      </c>
      <c r="J114" s="24" t="n">
        <v>1533.568798690708</v>
      </c>
      <c r="K114" s="24" t="n">
        <v>1407.407407407407</v>
      </c>
      <c r="L114" s="24" t="n">
        <v>150</v>
      </c>
      <c r="M114" s="24">
        <f>I114+J114+K114+L114</f>
        <v/>
      </c>
      <c r="N114" s="24">
        <f>M114*'Dashboard &amp; Optimisation'!$B$18/('Dashboard &amp; Optimisation'!$B$16/3.6)</f>
        <v/>
      </c>
      <c r="O114" s="24" t="n">
        <v>509.476338416874</v>
      </c>
      <c r="P114" s="25" t="n">
        <v>0.05825094544482953</v>
      </c>
      <c r="Q114" s="26" t="n">
        <v>15.10054050067208</v>
      </c>
      <c r="R114" s="24" t="n">
        <v>2308.614487493103</v>
      </c>
      <c r="S114" s="24">
        <f>R114*IF(A114=4, 2.0, 3.0)</f>
        <v/>
      </c>
      <c r="T114" s="22">
        <f>'Dashboard &amp; Optimisation'!$B$18*U114</f>
        <v/>
      </c>
      <c r="U114" s="27">
        <f>MIN(1, S114/M114)</f>
        <v/>
      </c>
      <c r="V114" s="27">
        <f>N114/(N114+O114)</f>
        <v/>
      </c>
      <c r="W114" s="27">
        <f>U114*V114</f>
        <v/>
      </c>
      <c r="X114" s="25">
        <f>T114/N114</f>
        <v/>
      </c>
      <c r="Y114" s="28">
        <f>IF(W114=MAXIFS(W$2:W$3601, A$2:A$3601, A114, B$2:B$3601, B114), "OPTIMAL", "")</f>
        <v/>
      </c>
    </row>
    <row r="115" ht="20" customHeight="1">
      <c r="A115" s="29" t="n">
        <v>4</v>
      </c>
      <c r="B115" s="29" t="n">
        <v>25</v>
      </c>
      <c r="C115" s="30" t="n">
        <v>90</v>
      </c>
      <c r="D115" s="30" t="n">
        <v>3</v>
      </c>
      <c r="E115" s="6" t="n">
        <v>8</v>
      </c>
      <c r="F115" s="30" t="n">
        <v>1.5</v>
      </c>
      <c r="G115" s="6" t="inlineStr">
        <is>
          <t>Oui</t>
        </is>
      </c>
      <c r="H115" s="6" t="inlineStr">
        <is>
          <t>OFF</t>
        </is>
      </c>
      <c r="I115" s="31" t="n">
        <v>580.1183283215253</v>
      </c>
      <c r="J115" s="31" t="n">
        <v>1533.568798690708</v>
      </c>
      <c r="K115" s="31" t="n">
        <v>1407.407407407407</v>
      </c>
      <c r="L115" s="31" t="n">
        <v>150</v>
      </c>
      <c r="M115" s="31">
        <f>I115+J115+K115+L115</f>
        <v/>
      </c>
      <c r="N115" s="31">
        <f>M115*'Dashboard &amp; Optimisation'!$B$18/('Dashboard &amp; Optimisation'!$B$16/3.6)</f>
        <v/>
      </c>
      <c r="O115" s="31" t="n">
        <v>509.476338416874</v>
      </c>
      <c r="P115" s="32" t="n">
        <v>0.2540490290345196</v>
      </c>
      <c r="Q115" s="33" t="n">
        <v>15.10054050067208</v>
      </c>
      <c r="R115" s="31" t="n">
        <v>529.3426118382492</v>
      </c>
      <c r="S115" s="31">
        <f>R115*IF(A115=4, 2.0, 3.0)</f>
        <v/>
      </c>
      <c r="T115" s="30">
        <f>'Dashboard &amp; Optimisation'!$B$18*U115</f>
        <v/>
      </c>
      <c r="U115" s="34">
        <f>MIN(1, S115/M115)</f>
        <v/>
      </c>
      <c r="V115" s="34">
        <f>N115/(N115+O115)</f>
        <v/>
      </c>
      <c r="W115" s="34">
        <f>U115*V115</f>
        <v/>
      </c>
      <c r="X115" s="32">
        <f>T115/N115</f>
        <v/>
      </c>
      <c r="Y115" s="35">
        <f>IF(W115=MAXIFS(W$2:W$3601, A$2:A$3601, A115, B$2:B$3601, B115), "OPTIMAL", "")</f>
        <v/>
      </c>
    </row>
    <row r="116" ht="20" customHeight="1">
      <c r="A116" s="21" t="n">
        <v>4</v>
      </c>
      <c r="B116" s="21" t="n">
        <v>25</v>
      </c>
      <c r="C116" s="22" t="n">
        <v>90</v>
      </c>
      <c r="D116" s="22" t="n">
        <v>3</v>
      </c>
      <c r="E116" s="23" t="n">
        <v>8</v>
      </c>
      <c r="F116" s="22" t="n">
        <v>1.5</v>
      </c>
      <c r="G116" s="23" t="inlineStr">
        <is>
          <t>Non</t>
        </is>
      </c>
      <c r="H116" s="23" t="inlineStr">
        <is>
          <t>ON</t>
        </is>
      </c>
      <c r="I116" s="24" t="n">
        <v>580.1183283215253</v>
      </c>
      <c r="J116" s="24" t="n">
        <v>1533.568798690708</v>
      </c>
      <c r="K116" s="24" t="n">
        <v>1407.407407407407</v>
      </c>
      <c r="L116" s="24" t="n">
        <v>150</v>
      </c>
      <c r="M116" s="24">
        <f>I116+J116+K116+L116</f>
        <v/>
      </c>
      <c r="N116" s="24">
        <f>M116*'Dashboard &amp; Optimisation'!$B$18/('Dashboard &amp; Optimisation'!$B$16/3.6)</f>
        <v/>
      </c>
      <c r="O116" s="24" t="n">
        <v>509.476338416874</v>
      </c>
      <c r="P116" s="25" t="n">
        <v>0.0547141689316763</v>
      </c>
      <c r="Q116" s="26" t="n">
        <v>15.10054050067208</v>
      </c>
      <c r="R116" s="24" t="n">
        <v>2457.845548783405</v>
      </c>
      <c r="S116" s="24">
        <f>R116*IF(A116=4, 2.0, 3.0)</f>
        <v/>
      </c>
      <c r="T116" s="22">
        <f>'Dashboard &amp; Optimisation'!$B$18*U116</f>
        <v/>
      </c>
      <c r="U116" s="27">
        <f>MIN(1, S116/M116)</f>
        <v/>
      </c>
      <c r="V116" s="27">
        <f>N116/(N116+O116)</f>
        <v/>
      </c>
      <c r="W116" s="27">
        <f>U116*V116</f>
        <v/>
      </c>
      <c r="X116" s="25">
        <f>T116/N116</f>
        <v/>
      </c>
      <c r="Y116" s="28">
        <f>IF(W116=MAXIFS(W$2:W$3601, A$2:A$3601, A116, B$2:B$3601, B116), "OPTIMAL", "")</f>
        <v/>
      </c>
    </row>
    <row r="117" ht="20" customHeight="1">
      <c r="A117" s="29" t="n">
        <v>4</v>
      </c>
      <c r="B117" s="29" t="n">
        <v>25</v>
      </c>
      <c r="C117" s="30" t="n">
        <v>90</v>
      </c>
      <c r="D117" s="30" t="n">
        <v>3</v>
      </c>
      <c r="E117" s="6" t="n">
        <v>8</v>
      </c>
      <c r="F117" s="30" t="n">
        <v>1.5</v>
      </c>
      <c r="G117" s="6" t="inlineStr">
        <is>
          <t>Non</t>
        </is>
      </c>
      <c r="H117" s="6" t="inlineStr">
        <is>
          <t>OFF</t>
        </is>
      </c>
      <c r="I117" s="31" t="n">
        <v>580.1183283215253</v>
      </c>
      <c r="J117" s="31" t="n">
        <v>1533.568798690708</v>
      </c>
      <c r="K117" s="31" t="n">
        <v>1407.407407407407</v>
      </c>
      <c r="L117" s="31" t="n">
        <v>150</v>
      </c>
      <c r="M117" s="31">
        <f>I117+J117+K117+L117</f>
        <v/>
      </c>
      <c r="N117" s="31">
        <f>M117*'Dashboard &amp; Optimisation'!$B$18/('Dashboard &amp; Optimisation'!$B$16/3.6)</f>
        <v/>
      </c>
      <c r="O117" s="31" t="n">
        <v>509.476338416874</v>
      </c>
      <c r="P117" s="32" t="n">
        <v>0.2505122525213664</v>
      </c>
      <c r="Q117" s="33" t="n">
        <v>15.10054050067208</v>
      </c>
      <c r="R117" s="31" t="n">
        <v>536.8159649302343</v>
      </c>
      <c r="S117" s="31">
        <f>R117*IF(A117=4, 2.0, 3.0)</f>
        <v/>
      </c>
      <c r="T117" s="30">
        <f>'Dashboard &amp; Optimisation'!$B$18*U117</f>
        <v/>
      </c>
      <c r="U117" s="34">
        <f>MIN(1, S117/M117)</f>
        <v/>
      </c>
      <c r="V117" s="34">
        <f>N117/(N117+O117)</f>
        <v/>
      </c>
      <c r="W117" s="34">
        <f>U117*V117</f>
        <v/>
      </c>
      <c r="X117" s="32">
        <f>T117/N117</f>
        <v/>
      </c>
      <c r="Y117" s="35">
        <f>IF(W117=MAXIFS(W$2:W$3601, A$2:A$3601, A117, B$2:B$3601, B117), "OPTIMAL", "")</f>
        <v/>
      </c>
    </row>
    <row r="118" ht="20" customHeight="1">
      <c r="A118" s="21" t="n">
        <v>4</v>
      </c>
      <c r="B118" s="21" t="n">
        <v>25</v>
      </c>
      <c r="C118" s="22" t="n">
        <v>90</v>
      </c>
      <c r="D118" s="22" t="n">
        <v>3</v>
      </c>
      <c r="E118" s="23" t="n">
        <v>8</v>
      </c>
      <c r="F118" s="22" t="n">
        <v>2</v>
      </c>
      <c r="G118" s="23" t="inlineStr">
        <is>
          <t>Oui</t>
        </is>
      </c>
      <c r="H118" s="23" t="inlineStr">
        <is>
          <t>ON</t>
        </is>
      </c>
      <c r="I118" s="24" t="n">
        <v>580.1183283215253</v>
      </c>
      <c r="J118" s="24" t="n">
        <v>1533.568798690708</v>
      </c>
      <c r="K118" s="24" t="n">
        <v>1407.407407407407</v>
      </c>
      <c r="L118" s="24" t="n">
        <v>150</v>
      </c>
      <c r="M118" s="24">
        <f>I118+J118+K118+L118</f>
        <v/>
      </c>
      <c r="N118" s="24">
        <f>M118*'Dashboard &amp; Optimisation'!$B$18/('Dashboard &amp; Optimisation'!$B$16/3.6)</f>
        <v/>
      </c>
      <c r="O118" s="24" t="n">
        <v>595.6407299550123</v>
      </c>
      <c r="P118" s="25" t="n">
        <v>0.05722883101616391</v>
      </c>
      <c r="Q118" s="26" t="n">
        <v>20.06738733422944</v>
      </c>
      <c r="R118" s="24" t="n">
        <v>2412.9578951545</v>
      </c>
      <c r="S118" s="24">
        <f>R118*IF(A118=4, 2.0, 3.0)</f>
        <v/>
      </c>
      <c r="T118" s="22">
        <f>'Dashboard &amp; Optimisation'!$B$18*U118</f>
        <v/>
      </c>
      <c r="U118" s="27">
        <f>MIN(1, S118/M118)</f>
        <v/>
      </c>
      <c r="V118" s="27">
        <f>N118/(N118+O118)</f>
        <v/>
      </c>
      <c r="W118" s="27">
        <f>U118*V118</f>
        <v/>
      </c>
      <c r="X118" s="25">
        <f>T118/N118</f>
        <v/>
      </c>
      <c r="Y118" s="28">
        <f>IF(W118=MAXIFS(W$2:W$3601, A$2:A$3601, A118, B$2:B$3601, B118), "OPTIMAL", "")</f>
        <v/>
      </c>
    </row>
    <row r="119" ht="20" customHeight="1">
      <c r="A119" s="29" t="n">
        <v>4</v>
      </c>
      <c r="B119" s="29" t="n">
        <v>25</v>
      </c>
      <c r="C119" s="30" t="n">
        <v>90</v>
      </c>
      <c r="D119" s="30" t="n">
        <v>3</v>
      </c>
      <c r="E119" s="6" t="n">
        <v>8</v>
      </c>
      <c r="F119" s="30" t="n">
        <v>2</v>
      </c>
      <c r="G119" s="6" t="inlineStr">
        <is>
          <t>Oui</t>
        </is>
      </c>
      <c r="H119" s="6" t="inlineStr">
        <is>
          <t>OFF</t>
        </is>
      </c>
      <c r="I119" s="31" t="n">
        <v>580.1183283215253</v>
      </c>
      <c r="J119" s="31" t="n">
        <v>1533.568798690708</v>
      </c>
      <c r="K119" s="31" t="n">
        <v>1407.407407407407</v>
      </c>
      <c r="L119" s="31" t="n">
        <v>150</v>
      </c>
      <c r="M119" s="31">
        <f>I119+J119+K119+L119</f>
        <v/>
      </c>
      <c r="N119" s="31">
        <f>M119*'Dashboard &amp; Optimisation'!$B$18/('Dashboard &amp; Optimisation'!$B$16/3.6)</f>
        <v/>
      </c>
      <c r="O119" s="31" t="n">
        <v>595.6407299550123</v>
      </c>
      <c r="P119" s="32" t="n">
        <v>0.2545702594498531</v>
      </c>
      <c r="Q119" s="33" t="n">
        <v>20.06738733422944</v>
      </c>
      <c r="R119" s="31" t="n">
        <v>542.4465525915742</v>
      </c>
      <c r="S119" s="31">
        <f>R119*IF(A119=4, 2.0, 3.0)</f>
        <v/>
      </c>
      <c r="T119" s="30">
        <f>'Dashboard &amp; Optimisation'!$B$18*U119</f>
        <v/>
      </c>
      <c r="U119" s="34">
        <f>MIN(1, S119/M119)</f>
        <v/>
      </c>
      <c r="V119" s="34">
        <f>N119/(N119+O119)</f>
        <v/>
      </c>
      <c r="W119" s="34">
        <f>U119*V119</f>
        <v/>
      </c>
      <c r="X119" s="32">
        <f>T119/N119</f>
        <v/>
      </c>
      <c r="Y119" s="35">
        <f>IF(W119=MAXIFS(W$2:W$3601, A$2:A$3601, A119, B$2:B$3601, B119), "OPTIMAL", "")</f>
        <v/>
      </c>
    </row>
    <row r="120" ht="20" customHeight="1">
      <c r="A120" s="21" t="n">
        <v>4</v>
      </c>
      <c r="B120" s="21" t="n">
        <v>25</v>
      </c>
      <c r="C120" s="22" t="n">
        <v>90</v>
      </c>
      <c r="D120" s="22" t="n">
        <v>3</v>
      </c>
      <c r="E120" s="23" t="n">
        <v>8</v>
      </c>
      <c r="F120" s="22" t="n">
        <v>2</v>
      </c>
      <c r="G120" s="23" t="inlineStr">
        <is>
          <t>Non</t>
        </is>
      </c>
      <c r="H120" s="23" t="inlineStr">
        <is>
          <t>ON</t>
        </is>
      </c>
      <c r="I120" s="24" t="n">
        <v>580.1183283215253</v>
      </c>
      <c r="J120" s="24" t="n">
        <v>1533.568798690708</v>
      </c>
      <c r="K120" s="24" t="n">
        <v>1407.407407407407</v>
      </c>
      <c r="L120" s="24" t="n">
        <v>150</v>
      </c>
      <c r="M120" s="24">
        <f>I120+J120+K120+L120</f>
        <v/>
      </c>
      <c r="N120" s="24">
        <f>M120*'Dashboard &amp; Optimisation'!$B$18/('Dashboard &amp; Optimisation'!$B$16/3.6)</f>
        <v/>
      </c>
      <c r="O120" s="24" t="n">
        <v>595.6407299550123</v>
      </c>
      <c r="P120" s="25" t="n">
        <v>0.05369205450301068</v>
      </c>
      <c r="Q120" s="26" t="n">
        <v>20.06738733422944</v>
      </c>
      <c r="R120" s="24" t="n">
        <v>2571.903066647827</v>
      </c>
      <c r="S120" s="24">
        <f>R120*IF(A120=4, 2.0, 3.0)</f>
        <v/>
      </c>
      <c r="T120" s="22">
        <f>'Dashboard &amp; Optimisation'!$B$18*U120</f>
        <v/>
      </c>
      <c r="U120" s="27">
        <f>MIN(1, S120/M120)</f>
        <v/>
      </c>
      <c r="V120" s="27">
        <f>N120/(N120+O120)</f>
        <v/>
      </c>
      <c r="W120" s="27">
        <f>U120*V120</f>
        <v/>
      </c>
      <c r="X120" s="25">
        <f>T120/N120</f>
        <v/>
      </c>
      <c r="Y120" s="28">
        <f>IF(W120=MAXIFS(W$2:W$3601, A$2:A$3601, A120, B$2:B$3601, B120), "OPTIMAL", "")</f>
        <v/>
      </c>
    </row>
    <row r="121" ht="20" customHeight="1">
      <c r="A121" s="29" t="n">
        <v>4</v>
      </c>
      <c r="B121" s="29" t="n">
        <v>25</v>
      </c>
      <c r="C121" s="30" t="n">
        <v>90</v>
      </c>
      <c r="D121" s="30" t="n">
        <v>3</v>
      </c>
      <c r="E121" s="6" t="n">
        <v>8</v>
      </c>
      <c r="F121" s="30" t="n">
        <v>2</v>
      </c>
      <c r="G121" s="6" t="inlineStr">
        <is>
          <t>Non</t>
        </is>
      </c>
      <c r="H121" s="6" t="inlineStr">
        <is>
          <t>OFF</t>
        </is>
      </c>
      <c r="I121" s="31" t="n">
        <v>580.1183283215253</v>
      </c>
      <c r="J121" s="31" t="n">
        <v>1533.568798690708</v>
      </c>
      <c r="K121" s="31" t="n">
        <v>1407.407407407407</v>
      </c>
      <c r="L121" s="31" t="n">
        <v>150</v>
      </c>
      <c r="M121" s="31">
        <f>I121+J121+K121+L121</f>
        <v/>
      </c>
      <c r="N121" s="31">
        <f>M121*'Dashboard &amp; Optimisation'!$B$18/('Dashboard &amp; Optimisation'!$B$16/3.6)</f>
        <v/>
      </c>
      <c r="O121" s="31" t="n">
        <v>595.6407299550123</v>
      </c>
      <c r="P121" s="32" t="n">
        <v>0.2510334829366998</v>
      </c>
      <c r="Q121" s="33" t="n">
        <v>20.06738733422944</v>
      </c>
      <c r="R121" s="31" t="n">
        <v>550.0890081094726</v>
      </c>
      <c r="S121" s="31">
        <f>R121*IF(A121=4, 2.0, 3.0)</f>
        <v/>
      </c>
      <c r="T121" s="30">
        <f>'Dashboard &amp; Optimisation'!$B$18*U121</f>
        <v/>
      </c>
      <c r="U121" s="34">
        <f>MIN(1, S121/M121)</f>
        <v/>
      </c>
      <c r="V121" s="34">
        <f>N121/(N121+O121)</f>
        <v/>
      </c>
      <c r="W121" s="34">
        <f>U121*V121</f>
        <v/>
      </c>
      <c r="X121" s="32">
        <f>T121/N121</f>
        <v/>
      </c>
      <c r="Y121" s="35">
        <f>IF(W121=MAXIFS(W$2:W$3601, A$2:A$3601, A121, B$2:B$3601, B121), "OPTIMAL", "")</f>
        <v/>
      </c>
    </row>
    <row r="122" ht="20" customHeight="1">
      <c r="A122" s="21" t="n">
        <v>4</v>
      </c>
      <c r="B122" s="21" t="n">
        <v>25</v>
      </c>
      <c r="C122" s="22" t="n">
        <v>95</v>
      </c>
      <c r="D122" s="22" t="n">
        <v>2</v>
      </c>
      <c r="E122" s="23" t="n">
        <v>0</v>
      </c>
      <c r="F122" s="22" t="n">
        <v>0</v>
      </c>
      <c r="G122" s="23" t="inlineStr">
        <is>
          <t>Oui</t>
        </is>
      </c>
      <c r="H122" s="23" t="inlineStr">
        <is>
          <t>ON</t>
        </is>
      </c>
      <c r="I122" s="24" t="n">
        <v>580.1183283215253</v>
      </c>
      <c r="J122" s="24" t="n">
        <v>1533.568798690708</v>
      </c>
      <c r="K122" s="24" t="n">
        <v>1407.407407407407</v>
      </c>
      <c r="L122" s="24" t="n">
        <v>150</v>
      </c>
      <c r="M122" s="24">
        <f>I122+J122+K122+L122</f>
        <v/>
      </c>
      <c r="N122" s="24">
        <f>M122*'Dashboard &amp; Optimisation'!$B$18/('Dashboard &amp; Optimisation'!$B$16/3.6)</f>
        <v/>
      </c>
      <c r="O122" s="24" t="n">
        <v>167.6295349551059</v>
      </c>
      <c r="P122" s="25" t="n">
        <v>0.4850371448496216</v>
      </c>
      <c r="Q122" s="26" t="n">
        <v>0.2</v>
      </c>
      <c r="R122" s="24" t="n">
        <v>219.0528764110707</v>
      </c>
      <c r="S122" s="24">
        <f>R122*IF(A122=4, 2.0, 3.0)</f>
        <v/>
      </c>
      <c r="T122" s="22">
        <f>'Dashboard &amp; Optimisation'!$B$18*U122</f>
        <v/>
      </c>
      <c r="U122" s="27">
        <f>MIN(1, S122/M122)</f>
        <v/>
      </c>
      <c r="V122" s="27">
        <f>N122/(N122+O122)</f>
        <v/>
      </c>
      <c r="W122" s="27">
        <f>U122*V122</f>
        <v/>
      </c>
      <c r="X122" s="25">
        <f>T122/N122</f>
        <v/>
      </c>
      <c r="Y122" s="28">
        <f>IF(W122=MAXIFS(W$2:W$3601, A$2:A$3601, A122, B$2:B$3601, B122), "OPTIMAL", "")</f>
        <v/>
      </c>
    </row>
    <row r="123" ht="20" customHeight="1">
      <c r="A123" s="29" t="n">
        <v>4</v>
      </c>
      <c r="B123" s="29" t="n">
        <v>25</v>
      </c>
      <c r="C123" s="30" t="n">
        <v>95</v>
      </c>
      <c r="D123" s="30" t="n">
        <v>2</v>
      </c>
      <c r="E123" s="6" t="n">
        <v>0</v>
      </c>
      <c r="F123" s="30" t="n">
        <v>0</v>
      </c>
      <c r="G123" s="6" t="inlineStr">
        <is>
          <t>Oui</t>
        </is>
      </c>
      <c r="H123" s="6" t="inlineStr">
        <is>
          <t>OFF</t>
        </is>
      </c>
      <c r="I123" s="31" t="n">
        <v>580.1183283215253</v>
      </c>
      <c r="J123" s="31" t="n">
        <v>1533.568798690708</v>
      </c>
      <c r="K123" s="31" t="n">
        <v>1407.407407407407</v>
      </c>
      <c r="L123" s="31" t="n">
        <v>150</v>
      </c>
      <c r="M123" s="31">
        <f>I123+J123+K123+L123</f>
        <v/>
      </c>
      <c r="N123" s="31">
        <f>M123*'Dashboard &amp; Optimisation'!$B$18/('Dashboard &amp; Optimisation'!$B$16/3.6)</f>
        <v/>
      </c>
      <c r="O123" s="31" t="n">
        <v>167.6295349551059</v>
      </c>
      <c r="P123" s="32" t="n">
        <v>0.8201001829378223</v>
      </c>
      <c r="Q123" s="33" t="n">
        <v>0.2</v>
      </c>
      <c r="R123" s="31" t="n">
        <v>129.5558566575497</v>
      </c>
      <c r="S123" s="31">
        <f>R123*IF(A123=4, 2.0, 3.0)</f>
        <v/>
      </c>
      <c r="T123" s="30">
        <f>'Dashboard &amp; Optimisation'!$B$18*U123</f>
        <v/>
      </c>
      <c r="U123" s="34">
        <f>MIN(1, S123/M123)</f>
        <v/>
      </c>
      <c r="V123" s="34">
        <f>N123/(N123+O123)</f>
        <v/>
      </c>
      <c r="W123" s="34">
        <f>U123*V123</f>
        <v/>
      </c>
      <c r="X123" s="32">
        <f>T123/N123</f>
        <v/>
      </c>
      <c r="Y123" s="35">
        <f>IF(W123=MAXIFS(W$2:W$3601, A$2:A$3601, A123, B$2:B$3601, B123), "OPTIMAL", "")</f>
        <v/>
      </c>
    </row>
    <row r="124" ht="20" customHeight="1">
      <c r="A124" s="21" t="n">
        <v>4</v>
      </c>
      <c r="B124" s="21" t="n">
        <v>25</v>
      </c>
      <c r="C124" s="22" t="n">
        <v>95</v>
      </c>
      <c r="D124" s="22" t="n">
        <v>2</v>
      </c>
      <c r="E124" s="23" t="n">
        <v>0</v>
      </c>
      <c r="F124" s="22" t="n">
        <v>0</v>
      </c>
      <c r="G124" s="23" t="inlineStr">
        <is>
          <t>Non</t>
        </is>
      </c>
      <c r="H124" s="23" t="inlineStr">
        <is>
          <t>ON</t>
        </is>
      </c>
      <c r="I124" s="24" t="n">
        <v>580.1183283215253</v>
      </c>
      <c r="J124" s="24" t="n">
        <v>1533.568798690708</v>
      </c>
      <c r="K124" s="24" t="n">
        <v>1407.407407407407</v>
      </c>
      <c r="L124" s="24" t="n">
        <v>150</v>
      </c>
      <c r="M124" s="24">
        <f>I124+J124+K124+L124</f>
        <v/>
      </c>
      <c r="N124" s="24">
        <f>M124*'Dashboard &amp; Optimisation'!$B$18/('Dashboard &amp; Optimisation'!$B$16/3.6)</f>
        <v/>
      </c>
      <c r="O124" s="24" t="n">
        <v>167.6295349551059</v>
      </c>
      <c r="P124" s="25" t="n">
        <v>0.4816865144687396</v>
      </c>
      <c r="Q124" s="26" t="n">
        <v>0.2</v>
      </c>
      <c r="R124" s="24" t="n">
        <v>220.5766168536115</v>
      </c>
      <c r="S124" s="24">
        <f>R124*IF(A124=4, 2.0, 3.0)</f>
        <v/>
      </c>
      <c r="T124" s="22">
        <f>'Dashboard &amp; Optimisation'!$B$18*U124</f>
        <v/>
      </c>
      <c r="U124" s="27">
        <f>MIN(1, S124/M124)</f>
        <v/>
      </c>
      <c r="V124" s="27">
        <f>N124/(N124+O124)</f>
        <v/>
      </c>
      <c r="W124" s="27">
        <f>U124*V124</f>
        <v/>
      </c>
      <c r="X124" s="25">
        <f>T124/N124</f>
        <v/>
      </c>
      <c r="Y124" s="28">
        <f>IF(W124=MAXIFS(W$2:W$3601, A$2:A$3601, A124, B$2:B$3601, B124), "OPTIMAL", "")</f>
        <v/>
      </c>
    </row>
    <row r="125" ht="20" customHeight="1">
      <c r="A125" s="29" t="n">
        <v>4</v>
      </c>
      <c r="B125" s="29" t="n">
        <v>25</v>
      </c>
      <c r="C125" s="30" t="n">
        <v>95</v>
      </c>
      <c r="D125" s="30" t="n">
        <v>2</v>
      </c>
      <c r="E125" s="6" t="n">
        <v>0</v>
      </c>
      <c r="F125" s="30" t="n">
        <v>0</v>
      </c>
      <c r="G125" s="6" t="inlineStr">
        <is>
          <t>Non</t>
        </is>
      </c>
      <c r="H125" s="6" t="inlineStr">
        <is>
          <t>OFF</t>
        </is>
      </c>
      <c r="I125" s="31" t="n">
        <v>580.1183283215253</v>
      </c>
      <c r="J125" s="31" t="n">
        <v>1533.568798690708</v>
      </c>
      <c r="K125" s="31" t="n">
        <v>1407.407407407407</v>
      </c>
      <c r="L125" s="31" t="n">
        <v>150</v>
      </c>
      <c r="M125" s="31">
        <f>I125+J125+K125+L125</f>
        <v/>
      </c>
      <c r="N125" s="31">
        <f>M125*'Dashboard &amp; Optimisation'!$B$18/('Dashboard &amp; Optimisation'!$B$16/3.6)</f>
        <v/>
      </c>
      <c r="O125" s="31" t="n">
        <v>167.6295349551059</v>
      </c>
      <c r="P125" s="32" t="n">
        <v>0.8167495525569404</v>
      </c>
      <c r="Q125" s="33" t="n">
        <v>0.2</v>
      </c>
      <c r="R125" s="31" t="n">
        <v>130.0873461306433</v>
      </c>
      <c r="S125" s="31">
        <f>R125*IF(A125=4, 2.0, 3.0)</f>
        <v/>
      </c>
      <c r="T125" s="30">
        <f>'Dashboard &amp; Optimisation'!$B$18*U125</f>
        <v/>
      </c>
      <c r="U125" s="34">
        <f>MIN(1, S125/M125)</f>
        <v/>
      </c>
      <c r="V125" s="34">
        <f>N125/(N125+O125)</f>
        <v/>
      </c>
      <c r="W125" s="34">
        <f>U125*V125</f>
        <v/>
      </c>
      <c r="X125" s="32">
        <f>T125/N125</f>
        <v/>
      </c>
      <c r="Y125" s="35">
        <f>IF(W125=MAXIFS(W$2:W$3601, A$2:A$3601, A125, B$2:B$3601, B125), "OPTIMAL", "")</f>
        <v/>
      </c>
    </row>
    <row r="126" ht="20" customHeight="1">
      <c r="A126" s="21" t="n">
        <v>4</v>
      </c>
      <c r="B126" s="21" t="n">
        <v>25</v>
      </c>
      <c r="C126" s="22" t="n">
        <v>95</v>
      </c>
      <c r="D126" s="22" t="n">
        <v>2</v>
      </c>
      <c r="E126" s="23" t="n">
        <v>4</v>
      </c>
      <c r="F126" s="22" t="n">
        <v>1.5</v>
      </c>
      <c r="G126" s="23" t="inlineStr">
        <is>
          <t>Oui</t>
        </is>
      </c>
      <c r="H126" s="23" t="inlineStr">
        <is>
          <t>ON</t>
        </is>
      </c>
      <c r="I126" s="24" t="n">
        <v>580.1183283215253</v>
      </c>
      <c r="J126" s="24" t="n">
        <v>1533.568798690708</v>
      </c>
      <c r="K126" s="24" t="n">
        <v>1407.407407407407</v>
      </c>
      <c r="L126" s="24" t="n">
        <v>150</v>
      </c>
      <c r="M126" s="24">
        <f>I126+J126+K126+L126</f>
        <v/>
      </c>
      <c r="N126" s="24">
        <f>M126*'Dashboard &amp; Optimisation'!$B$18/('Dashboard &amp; Optimisation'!$B$16/3.6)</f>
        <v/>
      </c>
      <c r="O126" s="24" t="n">
        <v>264.9994367964206</v>
      </c>
      <c r="P126" s="25" t="n">
        <v>0.07557959322797822</v>
      </c>
      <c r="Q126" s="26" t="n">
        <v>7.077172538771729</v>
      </c>
      <c r="R126" s="24" t="n">
        <v>1454.633130229321</v>
      </c>
      <c r="S126" s="24">
        <f>R126*IF(A126=4, 2.0, 3.0)</f>
        <v/>
      </c>
      <c r="T126" s="22">
        <f>'Dashboard &amp; Optimisation'!$B$18*U126</f>
        <v/>
      </c>
      <c r="U126" s="27">
        <f>MIN(1, S126/M126)</f>
        <v/>
      </c>
      <c r="V126" s="27">
        <f>N126/(N126+O126)</f>
        <v/>
      </c>
      <c r="W126" s="27">
        <f>U126*V126</f>
        <v/>
      </c>
      <c r="X126" s="25">
        <f>T126/N126</f>
        <v/>
      </c>
      <c r="Y126" s="28">
        <f>IF(W126=MAXIFS(W$2:W$3601, A$2:A$3601, A126, B$2:B$3601, B126), "OPTIMAL", "")</f>
        <v/>
      </c>
    </row>
    <row r="127" ht="20" customHeight="1">
      <c r="A127" s="29" t="n">
        <v>4</v>
      </c>
      <c r="B127" s="29" t="n">
        <v>25</v>
      </c>
      <c r="C127" s="30" t="n">
        <v>95</v>
      </c>
      <c r="D127" s="30" t="n">
        <v>2</v>
      </c>
      <c r="E127" s="6" t="n">
        <v>4</v>
      </c>
      <c r="F127" s="30" t="n">
        <v>1.5</v>
      </c>
      <c r="G127" s="6" t="inlineStr">
        <is>
          <t>Oui</t>
        </is>
      </c>
      <c r="H127" s="6" t="inlineStr">
        <is>
          <t>OFF</t>
        </is>
      </c>
      <c r="I127" s="31" t="n">
        <v>580.1183283215253</v>
      </c>
      <c r="J127" s="31" t="n">
        <v>1533.568798690708</v>
      </c>
      <c r="K127" s="31" t="n">
        <v>1407.407407407407</v>
      </c>
      <c r="L127" s="31" t="n">
        <v>150</v>
      </c>
      <c r="M127" s="31">
        <f>I127+J127+K127+L127</f>
        <v/>
      </c>
      <c r="N127" s="31">
        <f>M127*'Dashboard &amp; Optimisation'!$B$18/('Dashboard &amp; Optimisation'!$B$16/3.6)</f>
        <v/>
      </c>
      <c r="O127" s="31" t="n">
        <v>264.9994367964206</v>
      </c>
      <c r="P127" s="32" t="n">
        <v>0.3180372372232345</v>
      </c>
      <c r="Q127" s="33" t="n">
        <v>7.077172538771729</v>
      </c>
      <c r="R127" s="31" t="n">
        <v>345.6846161743759</v>
      </c>
      <c r="S127" s="31">
        <f>R127*IF(A127=4, 2.0, 3.0)</f>
        <v/>
      </c>
      <c r="T127" s="30">
        <f>'Dashboard &amp; Optimisation'!$B$18*U127</f>
        <v/>
      </c>
      <c r="U127" s="34">
        <f>MIN(1, S127/M127)</f>
        <v/>
      </c>
      <c r="V127" s="34">
        <f>N127/(N127+O127)</f>
        <v/>
      </c>
      <c r="W127" s="34">
        <f>U127*V127</f>
        <v/>
      </c>
      <c r="X127" s="32">
        <f>T127/N127</f>
        <v/>
      </c>
      <c r="Y127" s="35">
        <f>IF(W127=MAXIFS(W$2:W$3601, A$2:A$3601, A127, B$2:B$3601, B127), "OPTIMAL", "")</f>
        <v/>
      </c>
    </row>
    <row r="128" ht="20" customHeight="1">
      <c r="A128" s="21" t="n">
        <v>4</v>
      </c>
      <c r="B128" s="21" t="n">
        <v>25</v>
      </c>
      <c r="C128" s="22" t="n">
        <v>95</v>
      </c>
      <c r="D128" s="22" t="n">
        <v>2</v>
      </c>
      <c r="E128" s="23" t="n">
        <v>4</v>
      </c>
      <c r="F128" s="22" t="n">
        <v>1.5</v>
      </c>
      <c r="G128" s="23" t="inlineStr">
        <is>
          <t>Non</t>
        </is>
      </c>
      <c r="H128" s="23" t="inlineStr">
        <is>
          <t>ON</t>
        </is>
      </c>
      <c r="I128" s="24" t="n">
        <v>580.1183283215253</v>
      </c>
      <c r="J128" s="24" t="n">
        <v>1533.568798690708</v>
      </c>
      <c r="K128" s="24" t="n">
        <v>1407.407407407407</v>
      </c>
      <c r="L128" s="24" t="n">
        <v>150</v>
      </c>
      <c r="M128" s="24">
        <f>I128+J128+K128+L128</f>
        <v/>
      </c>
      <c r="N128" s="24">
        <f>M128*'Dashboard &amp; Optimisation'!$B$18/('Dashboard &amp; Optimisation'!$B$16/3.6)</f>
        <v/>
      </c>
      <c r="O128" s="24" t="n">
        <v>264.9994367964206</v>
      </c>
      <c r="P128" s="25" t="n">
        <v>0.07222896284709622</v>
      </c>
      <c r="Q128" s="26" t="n">
        <v>7.077172538771729</v>
      </c>
      <c r="R128" s="24" t="n">
        <v>1522.112127117337</v>
      </c>
      <c r="S128" s="24">
        <f>R128*IF(A128=4, 2.0, 3.0)</f>
        <v/>
      </c>
      <c r="T128" s="22">
        <f>'Dashboard &amp; Optimisation'!$B$18*U128</f>
        <v/>
      </c>
      <c r="U128" s="27">
        <f>MIN(1, S128/M128)</f>
        <v/>
      </c>
      <c r="V128" s="27">
        <f>N128/(N128+O128)</f>
        <v/>
      </c>
      <c r="W128" s="27">
        <f>U128*V128</f>
        <v/>
      </c>
      <c r="X128" s="25">
        <f>T128/N128</f>
        <v/>
      </c>
      <c r="Y128" s="28">
        <f>IF(W128=MAXIFS(W$2:W$3601, A$2:A$3601, A128, B$2:B$3601, B128), "OPTIMAL", "")</f>
        <v/>
      </c>
    </row>
    <row r="129" ht="20" customHeight="1">
      <c r="A129" s="29" t="n">
        <v>4</v>
      </c>
      <c r="B129" s="29" t="n">
        <v>25</v>
      </c>
      <c r="C129" s="30" t="n">
        <v>95</v>
      </c>
      <c r="D129" s="30" t="n">
        <v>2</v>
      </c>
      <c r="E129" s="6" t="n">
        <v>4</v>
      </c>
      <c r="F129" s="30" t="n">
        <v>1.5</v>
      </c>
      <c r="G129" s="6" t="inlineStr">
        <is>
          <t>Non</t>
        </is>
      </c>
      <c r="H129" s="6" t="inlineStr">
        <is>
          <t>OFF</t>
        </is>
      </c>
      <c r="I129" s="31" t="n">
        <v>580.1183283215253</v>
      </c>
      <c r="J129" s="31" t="n">
        <v>1533.568798690708</v>
      </c>
      <c r="K129" s="31" t="n">
        <v>1407.407407407407</v>
      </c>
      <c r="L129" s="31" t="n">
        <v>150</v>
      </c>
      <c r="M129" s="31">
        <f>I129+J129+K129+L129</f>
        <v/>
      </c>
      <c r="N129" s="31">
        <f>M129*'Dashboard &amp; Optimisation'!$B$18/('Dashboard &amp; Optimisation'!$B$16/3.6)</f>
        <v/>
      </c>
      <c r="O129" s="31" t="n">
        <v>264.9994367964206</v>
      </c>
      <c r="P129" s="32" t="n">
        <v>0.3146866068423525</v>
      </c>
      <c r="Q129" s="33" t="n">
        <v>7.077172538771729</v>
      </c>
      <c r="R129" s="31" t="n">
        <v>349.3652983259924</v>
      </c>
      <c r="S129" s="31">
        <f>R129*IF(A129=4, 2.0, 3.0)</f>
        <v/>
      </c>
      <c r="T129" s="30">
        <f>'Dashboard &amp; Optimisation'!$B$18*U129</f>
        <v/>
      </c>
      <c r="U129" s="34">
        <f>MIN(1, S129/M129)</f>
        <v/>
      </c>
      <c r="V129" s="34">
        <f>N129/(N129+O129)</f>
        <v/>
      </c>
      <c r="W129" s="34">
        <f>U129*V129</f>
        <v/>
      </c>
      <c r="X129" s="32">
        <f>T129/N129</f>
        <v/>
      </c>
      <c r="Y129" s="35">
        <f>IF(W129=MAXIFS(W$2:W$3601, A$2:A$3601, A129, B$2:B$3601, B129), "OPTIMAL", "")</f>
        <v/>
      </c>
    </row>
    <row r="130" ht="20" customHeight="1">
      <c r="A130" s="21" t="n">
        <v>4</v>
      </c>
      <c r="B130" s="21" t="n">
        <v>25</v>
      </c>
      <c r="C130" s="22" t="n">
        <v>95</v>
      </c>
      <c r="D130" s="22" t="n">
        <v>2</v>
      </c>
      <c r="E130" s="23" t="n">
        <v>4</v>
      </c>
      <c r="F130" s="22" t="n">
        <v>2</v>
      </c>
      <c r="G130" s="23" t="inlineStr">
        <is>
          <t>Oui</t>
        </is>
      </c>
      <c r="H130" s="23" t="inlineStr">
        <is>
          <t>ON</t>
        </is>
      </c>
      <c r="I130" s="24" t="n">
        <v>580.1183283215253</v>
      </c>
      <c r="J130" s="24" t="n">
        <v>1533.568798690708</v>
      </c>
      <c r="K130" s="24" t="n">
        <v>1407.407407407407</v>
      </c>
      <c r="L130" s="24" t="n">
        <v>150</v>
      </c>
      <c r="M130" s="24">
        <f>I130+J130+K130+L130</f>
        <v/>
      </c>
      <c r="N130" s="24">
        <f>M130*'Dashboard &amp; Optimisation'!$B$18/('Dashboard &amp; Optimisation'!$B$16/3.6)</f>
        <v/>
      </c>
      <c r="O130" s="24" t="n">
        <v>298.9773737032914</v>
      </c>
      <c r="P130" s="25" t="n">
        <v>0.07304296145994044</v>
      </c>
      <c r="Q130" s="26" t="n">
        <v>9.36956338502897</v>
      </c>
      <c r="R130" s="24" t="n">
        <v>1522.786837506417</v>
      </c>
      <c r="S130" s="24">
        <f>R130*IF(A130=4, 2.0, 3.0)</f>
        <v/>
      </c>
      <c r="T130" s="22">
        <f>'Dashboard &amp; Optimisation'!$B$18*U130</f>
        <v/>
      </c>
      <c r="U130" s="27">
        <f>MIN(1, S130/M130)</f>
        <v/>
      </c>
      <c r="V130" s="27">
        <f>N130/(N130+O130)</f>
        <v/>
      </c>
      <c r="W130" s="27">
        <f>U130*V130</f>
        <v/>
      </c>
      <c r="X130" s="25">
        <f>T130/N130</f>
        <v/>
      </c>
      <c r="Y130" s="28">
        <f>IF(W130=MAXIFS(W$2:W$3601, A$2:A$3601, A130, B$2:B$3601, B130), "OPTIMAL", "")</f>
        <v/>
      </c>
    </row>
    <row r="131" ht="20" customHeight="1">
      <c r="A131" s="29" t="n">
        <v>4</v>
      </c>
      <c r="B131" s="29" t="n">
        <v>25</v>
      </c>
      <c r="C131" s="30" t="n">
        <v>95</v>
      </c>
      <c r="D131" s="30" t="n">
        <v>2</v>
      </c>
      <c r="E131" s="6" t="n">
        <v>4</v>
      </c>
      <c r="F131" s="30" t="n">
        <v>2</v>
      </c>
      <c r="G131" s="6" t="inlineStr">
        <is>
          <t>Oui</t>
        </is>
      </c>
      <c r="H131" s="6" t="inlineStr">
        <is>
          <t>OFF</t>
        </is>
      </c>
      <c r="I131" s="31" t="n">
        <v>580.1183283215253</v>
      </c>
      <c r="J131" s="31" t="n">
        <v>1533.568798690708</v>
      </c>
      <c r="K131" s="31" t="n">
        <v>1407.407407407407</v>
      </c>
      <c r="L131" s="31" t="n">
        <v>150</v>
      </c>
      <c r="M131" s="31">
        <f>I131+J131+K131+L131</f>
        <v/>
      </c>
      <c r="N131" s="31">
        <f>M131*'Dashboard &amp; Optimisation'!$B$18/('Dashboard &amp; Optimisation'!$B$16/3.6)</f>
        <v/>
      </c>
      <c r="O131" s="31" t="n">
        <v>298.9773737032914</v>
      </c>
      <c r="P131" s="32" t="n">
        <v>0.316679947936384</v>
      </c>
      <c r="Q131" s="33" t="n">
        <v>9.36956338502897</v>
      </c>
      <c r="R131" s="31" t="n">
        <v>351.2343014090363</v>
      </c>
      <c r="S131" s="31">
        <f>R131*IF(A131=4, 2.0, 3.0)</f>
        <v/>
      </c>
      <c r="T131" s="30">
        <f>'Dashboard &amp; Optimisation'!$B$18*U131</f>
        <v/>
      </c>
      <c r="U131" s="34">
        <f>MIN(1, S131/M131)</f>
        <v/>
      </c>
      <c r="V131" s="34">
        <f>N131/(N131+O131)</f>
        <v/>
      </c>
      <c r="W131" s="34">
        <f>U131*V131</f>
        <v/>
      </c>
      <c r="X131" s="32">
        <f>T131/N131</f>
        <v/>
      </c>
      <c r="Y131" s="35">
        <f>IF(W131=MAXIFS(W$2:W$3601, A$2:A$3601, A131, B$2:B$3601, B131), "OPTIMAL", "")</f>
        <v/>
      </c>
    </row>
    <row r="132" ht="20" customHeight="1">
      <c r="A132" s="21" t="n">
        <v>4</v>
      </c>
      <c r="B132" s="21" t="n">
        <v>25</v>
      </c>
      <c r="C132" s="22" t="n">
        <v>95</v>
      </c>
      <c r="D132" s="22" t="n">
        <v>2</v>
      </c>
      <c r="E132" s="23" t="n">
        <v>4</v>
      </c>
      <c r="F132" s="22" t="n">
        <v>2</v>
      </c>
      <c r="G132" s="23" t="inlineStr">
        <is>
          <t>Non</t>
        </is>
      </c>
      <c r="H132" s="23" t="inlineStr">
        <is>
          <t>ON</t>
        </is>
      </c>
      <c r="I132" s="24" t="n">
        <v>580.1183283215253</v>
      </c>
      <c r="J132" s="24" t="n">
        <v>1533.568798690708</v>
      </c>
      <c r="K132" s="24" t="n">
        <v>1407.407407407407</v>
      </c>
      <c r="L132" s="24" t="n">
        <v>150</v>
      </c>
      <c r="M132" s="24">
        <f>I132+J132+K132+L132</f>
        <v/>
      </c>
      <c r="N132" s="24">
        <f>M132*'Dashboard &amp; Optimisation'!$B$18/('Dashboard &amp; Optimisation'!$B$16/3.6)</f>
        <v/>
      </c>
      <c r="O132" s="24" t="n">
        <v>298.9773737032914</v>
      </c>
      <c r="P132" s="25" t="n">
        <v>0.06969233107905842</v>
      </c>
      <c r="Q132" s="26" t="n">
        <v>9.36956338502897</v>
      </c>
      <c r="R132" s="24" t="n">
        <v>1595.998563421687</v>
      </c>
      <c r="S132" s="24">
        <f>R132*IF(A132=4, 2.0, 3.0)</f>
        <v/>
      </c>
      <c r="T132" s="22">
        <f>'Dashboard &amp; Optimisation'!$B$18*U132</f>
        <v/>
      </c>
      <c r="U132" s="27">
        <f>MIN(1, S132/M132)</f>
        <v/>
      </c>
      <c r="V132" s="27">
        <f>N132/(N132+O132)</f>
        <v/>
      </c>
      <c r="W132" s="27">
        <f>U132*V132</f>
        <v/>
      </c>
      <c r="X132" s="25">
        <f>T132/N132</f>
        <v/>
      </c>
      <c r="Y132" s="28">
        <f>IF(W132=MAXIFS(W$2:W$3601, A$2:A$3601, A132, B$2:B$3601, B132), "OPTIMAL", "")</f>
        <v/>
      </c>
    </row>
    <row r="133" ht="20" customHeight="1">
      <c r="A133" s="29" t="n">
        <v>4</v>
      </c>
      <c r="B133" s="29" t="n">
        <v>25</v>
      </c>
      <c r="C133" s="30" t="n">
        <v>95</v>
      </c>
      <c r="D133" s="30" t="n">
        <v>2</v>
      </c>
      <c r="E133" s="6" t="n">
        <v>4</v>
      </c>
      <c r="F133" s="30" t="n">
        <v>2</v>
      </c>
      <c r="G133" s="6" t="inlineStr">
        <is>
          <t>Non</t>
        </is>
      </c>
      <c r="H133" s="6" t="inlineStr">
        <is>
          <t>OFF</t>
        </is>
      </c>
      <c r="I133" s="31" t="n">
        <v>580.1183283215253</v>
      </c>
      <c r="J133" s="31" t="n">
        <v>1533.568798690708</v>
      </c>
      <c r="K133" s="31" t="n">
        <v>1407.407407407407</v>
      </c>
      <c r="L133" s="31" t="n">
        <v>150</v>
      </c>
      <c r="M133" s="31">
        <f>I133+J133+K133+L133</f>
        <v/>
      </c>
      <c r="N133" s="31">
        <f>M133*'Dashboard &amp; Optimisation'!$B$18/('Dashboard &amp; Optimisation'!$B$16/3.6)</f>
        <v/>
      </c>
      <c r="O133" s="31" t="n">
        <v>298.9773737032914</v>
      </c>
      <c r="P133" s="32" t="n">
        <v>0.313329317555502</v>
      </c>
      <c r="Q133" s="33" t="n">
        <v>9.36956338502897</v>
      </c>
      <c r="R133" s="31" t="n">
        <v>354.9902739758247</v>
      </c>
      <c r="S133" s="31">
        <f>R133*IF(A133=4, 2.0, 3.0)</f>
        <v/>
      </c>
      <c r="T133" s="30">
        <f>'Dashboard &amp; Optimisation'!$B$18*U133</f>
        <v/>
      </c>
      <c r="U133" s="34">
        <f>MIN(1, S133/M133)</f>
        <v/>
      </c>
      <c r="V133" s="34">
        <f>N133/(N133+O133)</f>
        <v/>
      </c>
      <c r="W133" s="34">
        <f>U133*V133</f>
        <v/>
      </c>
      <c r="X133" s="32">
        <f>T133/N133</f>
        <v/>
      </c>
      <c r="Y133" s="35">
        <f>IF(W133=MAXIFS(W$2:W$3601, A$2:A$3601, A133, B$2:B$3601, B133), "OPTIMAL", "")</f>
        <v/>
      </c>
    </row>
    <row r="134" ht="20" customHeight="1">
      <c r="A134" s="21" t="n">
        <v>4</v>
      </c>
      <c r="B134" s="21" t="n">
        <v>25</v>
      </c>
      <c r="C134" s="22" t="n">
        <v>95</v>
      </c>
      <c r="D134" s="22" t="n">
        <v>2</v>
      </c>
      <c r="E134" s="23" t="n">
        <v>8</v>
      </c>
      <c r="F134" s="22" t="n">
        <v>1.5</v>
      </c>
      <c r="G134" s="23" t="inlineStr">
        <is>
          <t>Oui</t>
        </is>
      </c>
      <c r="H134" s="23" t="inlineStr">
        <is>
          <t>ON</t>
        </is>
      </c>
      <c r="I134" s="24" t="n">
        <v>580.1183283215253</v>
      </c>
      <c r="J134" s="24" t="n">
        <v>1533.568798690708</v>
      </c>
      <c r="K134" s="24" t="n">
        <v>1407.407407407407</v>
      </c>
      <c r="L134" s="24" t="n">
        <v>150</v>
      </c>
      <c r="M134" s="24">
        <f>I134+J134+K134+L134</f>
        <v/>
      </c>
      <c r="N134" s="24">
        <f>M134*'Dashboard &amp; Optimisation'!$B$18/('Dashboard &amp; Optimisation'!$B$16/3.6)</f>
        <v/>
      </c>
      <c r="O134" s="24" t="n">
        <v>369.3794914236522</v>
      </c>
      <c r="P134" s="25" t="n">
        <v>0.05699087655301123</v>
      </c>
      <c r="Q134" s="26" t="n">
        <v>13.95434507754346</v>
      </c>
      <c r="R134" s="24" t="n">
        <v>1998.533396751883</v>
      </c>
      <c r="S134" s="24">
        <f>R134*IF(A134=4, 2.0, 3.0)</f>
        <v/>
      </c>
      <c r="T134" s="22">
        <f>'Dashboard &amp; Optimisation'!$B$18*U134</f>
        <v/>
      </c>
      <c r="U134" s="27">
        <f>MIN(1, S134/M134)</f>
        <v/>
      </c>
      <c r="V134" s="27">
        <f>N134/(N134+O134)</f>
        <v/>
      </c>
      <c r="W134" s="27">
        <f>U134*V134</f>
        <v/>
      </c>
      <c r="X134" s="25">
        <f>T134/N134</f>
        <v/>
      </c>
      <c r="Y134" s="28">
        <f>IF(W134=MAXIFS(W$2:W$3601, A$2:A$3601, A134, B$2:B$3601, B134), "OPTIMAL", "")</f>
        <v/>
      </c>
    </row>
    <row r="135" ht="20" customHeight="1">
      <c r="A135" s="29" t="n">
        <v>4</v>
      </c>
      <c r="B135" s="29" t="n">
        <v>25</v>
      </c>
      <c r="C135" s="30" t="n">
        <v>95</v>
      </c>
      <c r="D135" s="30" t="n">
        <v>2</v>
      </c>
      <c r="E135" s="6" t="n">
        <v>8</v>
      </c>
      <c r="F135" s="30" t="n">
        <v>1.5</v>
      </c>
      <c r="G135" s="6" t="inlineStr">
        <is>
          <t>Oui</t>
        </is>
      </c>
      <c r="H135" s="6" t="inlineStr">
        <is>
          <t>OFF</t>
        </is>
      </c>
      <c r="I135" s="31" t="n">
        <v>580.1183283215253</v>
      </c>
      <c r="J135" s="31" t="n">
        <v>1533.568798690708</v>
      </c>
      <c r="K135" s="31" t="n">
        <v>1407.407407407407</v>
      </c>
      <c r="L135" s="31" t="n">
        <v>150</v>
      </c>
      <c r="M135" s="31">
        <f>I135+J135+K135+L135</f>
        <v/>
      </c>
      <c r="N135" s="31">
        <f>M135*'Dashboard &amp; Optimisation'!$B$18/('Dashboard &amp; Optimisation'!$B$16/3.6)</f>
        <v/>
      </c>
      <c r="O135" s="31" t="n">
        <v>369.3794914236522</v>
      </c>
      <c r="P135" s="32" t="n">
        <v>0.2469467888801933</v>
      </c>
      <c r="Q135" s="33" t="n">
        <v>13.95434507754346</v>
      </c>
      <c r="R135" s="31" t="n">
        <v>461.2255563955306</v>
      </c>
      <c r="S135" s="31">
        <f>R135*IF(A135=4, 2.0, 3.0)</f>
        <v/>
      </c>
      <c r="T135" s="30">
        <f>'Dashboard &amp; Optimisation'!$B$18*U135</f>
        <v/>
      </c>
      <c r="U135" s="34">
        <f>MIN(1, S135/M135)</f>
        <v/>
      </c>
      <c r="V135" s="34">
        <f>N135/(N135+O135)</f>
        <v/>
      </c>
      <c r="W135" s="34">
        <f>U135*V135</f>
        <v/>
      </c>
      <c r="X135" s="32">
        <f>T135/N135</f>
        <v/>
      </c>
      <c r="Y135" s="35">
        <f>IF(W135=MAXIFS(W$2:W$3601, A$2:A$3601, A135, B$2:B$3601, B135), "OPTIMAL", "")</f>
        <v/>
      </c>
    </row>
    <row r="136" ht="20" customHeight="1">
      <c r="A136" s="21" t="n">
        <v>4</v>
      </c>
      <c r="B136" s="21" t="n">
        <v>25</v>
      </c>
      <c r="C136" s="22" t="n">
        <v>95</v>
      </c>
      <c r="D136" s="22" t="n">
        <v>2</v>
      </c>
      <c r="E136" s="23" t="n">
        <v>8</v>
      </c>
      <c r="F136" s="22" t="n">
        <v>1.5</v>
      </c>
      <c r="G136" s="23" t="inlineStr">
        <is>
          <t>Non</t>
        </is>
      </c>
      <c r="H136" s="23" t="inlineStr">
        <is>
          <t>ON</t>
        </is>
      </c>
      <c r="I136" s="24" t="n">
        <v>580.1183283215253</v>
      </c>
      <c r="J136" s="24" t="n">
        <v>1533.568798690708</v>
      </c>
      <c r="K136" s="24" t="n">
        <v>1407.407407407407</v>
      </c>
      <c r="L136" s="24" t="n">
        <v>150</v>
      </c>
      <c r="M136" s="24">
        <f>I136+J136+K136+L136</f>
        <v/>
      </c>
      <c r="N136" s="24">
        <f>M136*'Dashboard &amp; Optimisation'!$B$18/('Dashboard &amp; Optimisation'!$B$16/3.6)</f>
        <v/>
      </c>
      <c r="O136" s="24" t="n">
        <v>369.3794914236522</v>
      </c>
      <c r="P136" s="25" t="n">
        <v>0.05364024617212922</v>
      </c>
      <c r="Q136" s="26" t="n">
        <v>13.95434507754346</v>
      </c>
      <c r="R136" s="24" t="n">
        <v>2123.37150235781</v>
      </c>
      <c r="S136" s="24">
        <f>R136*IF(A136=4, 2.0, 3.0)</f>
        <v/>
      </c>
      <c r="T136" s="22">
        <f>'Dashboard &amp; Optimisation'!$B$18*U136</f>
        <v/>
      </c>
      <c r="U136" s="27">
        <f>MIN(1, S136/M136)</f>
        <v/>
      </c>
      <c r="V136" s="27">
        <f>N136/(N136+O136)</f>
        <v/>
      </c>
      <c r="W136" s="27">
        <f>U136*V136</f>
        <v/>
      </c>
      <c r="X136" s="25">
        <f>T136/N136</f>
        <v/>
      </c>
      <c r="Y136" s="28">
        <f>IF(W136=MAXIFS(W$2:W$3601, A$2:A$3601, A136, B$2:B$3601, B136), "OPTIMAL", "")</f>
        <v/>
      </c>
    </row>
    <row r="137" ht="20" customHeight="1">
      <c r="A137" s="29" t="n">
        <v>4</v>
      </c>
      <c r="B137" s="29" t="n">
        <v>25</v>
      </c>
      <c r="C137" s="30" t="n">
        <v>95</v>
      </c>
      <c r="D137" s="30" t="n">
        <v>2</v>
      </c>
      <c r="E137" s="6" t="n">
        <v>8</v>
      </c>
      <c r="F137" s="30" t="n">
        <v>1.5</v>
      </c>
      <c r="G137" s="6" t="inlineStr">
        <is>
          <t>Non</t>
        </is>
      </c>
      <c r="H137" s="6" t="inlineStr">
        <is>
          <t>OFF</t>
        </is>
      </c>
      <c r="I137" s="31" t="n">
        <v>580.1183283215253</v>
      </c>
      <c r="J137" s="31" t="n">
        <v>1533.568798690708</v>
      </c>
      <c r="K137" s="31" t="n">
        <v>1407.407407407407</v>
      </c>
      <c r="L137" s="31" t="n">
        <v>150</v>
      </c>
      <c r="M137" s="31">
        <f>I137+J137+K137+L137</f>
        <v/>
      </c>
      <c r="N137" s="31">
        <f>M137*'Dashboard &amp; Optimisation'!$B$18/('Dashboard &amp; Optimisation'!$B$16/3.6)</f>
        <v/>
      </c>
      <c r="O137" s="31" t="n">
        <v>369.3794914236522</v>
      </c>
      <c r="P137" s="32" t="n">
        <v>0.2435961584993113</v>
      </c>
      <c r="Q137" s="33" t="n">
        <v>13.95434507754346</v>
      </c>
      <c r="R137" s="31" t="n">
        <v>467.5696480725857</v>
      </c>
      <c r="S137" s="31">
        <f>R137*IF(A137=4, 2.0, 3.0)</f>
        <v/>
      </c>
      <c r="T137" s="30">
        <f>'Dashboard &amp; Optimisation'!$B$18*U137</f>
        <v/>
      </c>
      <c r="U137" s="34">
        <f>MIN(1, S137/M137)</f>
        <v/>
      </c>
      <c r="V137" s="34">
        <f>N137/(N137+O137)</f>
        <v/>
      </c>
      <c r="W137" s="34">
        <f>U137*V137</f>
        <v/>
      </c>
      <c r="X137" s="32">
        <f>T137/N137</f>
        <v/>
      </c>
      <c r="Y137" s="35">
        <f>IF(W137=MAXIFS(W$2:W$3601, A$2:A$3601, A137, B$2:B$3601, B137), "OPTIMAL", "")</f>
        <v/>
      </c>
    </row>
    <row r="138" ht="20" customHeight="1">
      <c r="A138" s="21" t="n">
        <v>4</v>
      </c>
      <c r="B138" s="21" t="n">
        <v>25</v>
      </c>
      <c r="C138" s="22" t="n">
        <v>95</v>
      </c>
      <c r="D138" s="22" t="n">
        <v>2</v>
      </c>
      <c r="E138" s="23" t="n">
        <v>8</v>
      </c>
      <c r="F138" s="22" t="n">
        <v>2</v>
      </c>
      <c r="G138" s="23" t="inlineStr">
        <is>
          <t>Oui</t>
        </is>
      </c>
      <c r="H138" s="23" t="inlineStr">
        <is>
          <t>ON</t>
        </is>
      </c>
      <c r="I138" s="24" t="n">
        <v>580.1183283215253</v>
      </c>
      <c r="J138" s="24" t="n">
        <v>1533.568798690708</v>
      </c>
      <c r="K138" s="24" t="n">
        <v>1407.407407407407</v>
      </c>
      <c r="L138" s="24" t="n">
        <v>150</v>
      </c>
      <c r="M138" s="24">
        <f>I138+J138+K138+L138</f>
        <v/>
      </c>
      <c r="N138" s="24">
        <f>M138*'Dashboard &amp; Optimisation'!$B$18/('Dashboard &amp; Optimisation'!$B$16/3.6)</f>
        <v/>
      </c>
      <c r="O138" s="24" t="n">
        <v>443.2437654114086</v>
      </c>
      <c r="P138" s="25" t="n">
        <v>0.05584601824581075</v>
      </c>
      <c r="Q138" s="26" t="n">
        <v>18.53912677005794</v>
      </c>
      <c r="R138" s="24" t="n">
        <v>2089.652080929568</v>
      </c>
      <c r="S138" s="24">
        <f>R138*IF(A138=4, 2.0, 3.0)</f>
        <v/>
      </c>
      <c r="T138" s="22">
        <f>'Dashboard &amp; Optimisation'!$B$18*U138</f>
        <v/>
      </c>
      <c r="U138" s="27">
        <f>MIN(1, S138/M138)</f>
        <v/>
      </c>
      <c r="V138" s="27">
        <f>N138/(N138+O138)</f>
        <v/>
      </c>
      <c r="W138" s="27">
        <f>U138*V138</f>
        <v/>
      </c>
      <c r="X138" s="25">
        <f>T138/N138</f>
        <v/>
      </c>
      <c r="Y138" s="28">
        <f>IF(W138=MAXIFS(W$2:W$3601, A$2:A$3601, A138, B$2:B$3601, B138), "OPTIMAL", "")</f>
        <v/>
      </c>
    </row>
    <row r="139" ht="20" customHeight="1">
      <c r="A139" s="29" t="n">
        <v>4</v>
      </c>
      <c r="B139" s="29" t="n">
        <v>25</v>
      </c>
      <c r="C139" s="30" t="n">
        <v>95</v>
      </c>
      <c r="D139" s="30" t="n">
        <v>2</v>
      </c>
      <c r="E139" s="6" t="n">
        <v>8</v>
      </c>
      <c r="F139" s="30" t="n">
        <v>2</v>
      </c>
      <c r="G139" s="6" t="inlineStr">
        <is>
          <t>Oui</t>
        </is>
      </c>
      <c r="H139" s="6" t="inlineStr">
        <is>
          <t>OFF</t>
        </is>
      </c>
      <c r="I139" s="31" t="n">
        <v>580.1183283215253</v>
      </c>
      <c r="J139" s="31" t="n">
        <v>1533.568798690708</v>
      </c>
      <c r="K139" s="31" t="n">
        <v>1407.407407407407</v>
      </c>
      <c r="L139" s="31" t="n">
        <v>150</v>
      </c>
      <c r="M139" s="31">
        <f>I139+J139+K139+L139</f>
        <v/>
      </c>
      <c r="N139" s="31">
        <f>M139*'Dashboard &amp; Optimisation'!$B$18/('Dashboard &amp; Optimisation'!$B$16/3.6)</f>
        <v/>
      </c>
      <c r="O139" s="31" t="n">
        <v>443.2437654114086</v>
      </c>
      <c r="P139" s="32" t="n">
        <v>0.2472541696165357</v>
      </c>
      <c r="Q139" s="33" t="n">
        <v>18.53912677005794</v>
      </c>
      <c r="R139" s="31" t="n">
        <v>471.9788888493817</v>
      </c>
      <c r="S139" s="31">
        <f>R139*IF(A139=4, 2.0, 3.0)</f>
        <v/>
      </c>
      <c r="T139" s="30">
        <f>'Dashboard &amp; Optimisation'!$B$18*U139</f>
        <v/>
      </c>
      <c r="U139" s="34">
        <f>MIN(1, S139/M139)</f>
        <v/>
      </c>
      <c r="V139" s="34">
        <f>N139/(N139+O139)</f>
        <v/>
      </c>
      <c r="W139" s="34">
        <f>U139*V139</f>
        <v/>
      </c>
      <c r="X139" s="32">
        <f>T139/N139</f>
        <v/>
      </c>
      <c r="Y139" s="35">
        <f>IF(W139=MAXIFS(W$2:W$3601, A$2:A$3601, A139, B$2:B$3601, B139), "OPTIMAL", "")</f>
        <v/>
      </c>
    </row>
    <row r="140" ht="20" customHeight="1">
      <c r="A140" s="21" t="n">
        <v>4</v>
      </c>
      <c r="B140" s="21" t="n">
        <v>25</v>
      </c>
      <c r="C140" s="22" t="n">
        <v>95</v>
      </c>
      <c r="D140" s="22" t="n">
        <v>2</v>
      </c>
      <c r="E140" s="23" t="n">
        <v>8</v>
      </c>
      <c r="F140" s="22" t="n">
        <v>2</v>
      </c>
      <c r="G140" s="23" t="inlineStr">
        <is>
          <t>Non</t>
        </is>
      </c>
      <c r="H140" s="23" t="inlineStr">
        <is>
          <t>ON</t>
        </is>
      </c>
      <c r="I140" s="24" t="n">
        <v>580.1183283215253</v>
      </c>
      <c r="J140" s="24" t="n">
        <v>1533.568798690708</v>
      </c>
      <c r="K140" s="24" t="n">
        <v>1407.407407407407</v>
      </c>
      <c r="L140" s="24" t="n">
        <v>150</v>
      </c>
      <c r="M140" s="24">
        <f>I140+J140+K140+L140</f>
        <v/>
      </c>
      <c r="N140" s="24">
        <f>M140*'Dashboard &amp; Optimisation'!$B$18/('Dashboard &amp; Optimisation'!$B$16/3.6)</f>
        <v/>
      </c>
      <c r="O140" s="24" t="n">
        <v>443.2437654114086</v>
      </c>
      <c r="P140" s="25" t="n">
        <v>0.05249538786492874</v>
      </c>
      <c r="Q140" s="26" t="n">
        <v>18.53912677005794</v>
      </c>
      <c r="R140" s="24" t="n">
        <v>2223.028593278639</v>
      </c>
      <c r="S140" s="24">
        <f>R140*IF(A140=4, 2.0, 3.0)</f>
        <v/>
      </c>
      <c r="T140" s="22">
        <f>'Dashboard &amp; Optimisation'!$B$18*U140</f>
        <v/>
      </c>
      <c r="U140" s="27">
        <f>MIN(1, S140/M140)</f>
        <v/>
      </c>
      <c r="V140" s="27">
        <f>N140/(N140+O140)</f>
        <v/>
      </c>
      <c r="W140" s="27">
        <f>U140*V140</f>
        <v/>
      </c>
      <c r="X140" s="25">
        <f>T140/N140</f>
        <v/>
      </c>
      <c r="Y140" s="28">
        <f>IF(W140=MAXIFS(W$2:W$3601, A$2:A$3601, A140, B$2:B$3601, B140), "OPTIMAL", "")</f>
        <v/>
      </c>
    </row>
    <row r="141" ht="20" customHeight="1">
      <c r="A141" s="29" t="n">
        <v>4</v>
      </c>
      <c r="B141" s="29" t="n">
        <v>25</v>
      </c>
      <c r="C141" s="30" t="n">
        <v>95</v>
      </c>
      <c r="D141" s="30" t="n">
        <v>2</v>
      </c>
      <c r="E141" s="6" t="n">
        <v>8</v>
      </c>
      <c r="F141" s="30" t="n">
        <v>2</v>
      </c>
      <c r="G141" s="6" t="inlineStr">
        <is>
          <t>Non</t>
        </is>
      </c>
      <c r="H141" s="6" t="inlineStr">
        <is>
          <t>OFF</t>
        </is>
      </c>
      <c r="I141" s="31" t="n">
        <v>580.1183283215253</v>
      </c>
      <c r="J141" s="31" t="n">
        <v>1533.568798690708</v>
      </c>
      <c r="K141" s="31" t="n">
        <v>1407.407407407407</v>
      </c>
      <c r="L141" s="31" t="n">
        <v>150</v>
      </c>
      <c r="M141" s="31">
        <f>I141+J141+K141+L141</f>
        <v/>
      </c>
      <c r="N141" s="31">
        <f>M141*'Dashboard &amp; Optimisation'!$B$18/('Dashboard &amp; Optimisation'!$B$16/3.6)</f>
        <v/>
      </c>
      <c r="O141" s="31" t="n">
        <v>443.2437654114086</v>
      </c>
      <c r="P141" s="32" t="n">
        <v>0.2439035392356537</v>
      </c>
      <c r="Q141" s="33" t="n">
        <v>18.53912677005794</v>
      </c>
      <c r="R141" s="31" t="n">
        <v>478.4627094986005</v>
      </c>
      <c r="S141" s="31">
        <f>R141*IF(A141=4, 2.0, 3.0)</f>
        <v/>
      </c>
      <c r="T141" s="30">
        <f>'Dashboard &amp; Optimisation'!$B$18*U141</f>
        <v/>
      </c>
      <c r="U141" s="34">
        <f>MIN(1, S141/M141)</f>
        <v/>
      </c>
      <c r="V141" s="34">
        <f>N141/(N141+O141)</f>
        <v/>
      </c>
      <c r="W141" s="34">
        <f>U141*V141</f>
        <v/>
      </c>
      <c r="X141" s="32">
        <f>T141/N141</f>
        <v/>
      </c>
      <c r="Y141" s="35">
        <f>IF(W141=MAXIFS(W$2:W$3601, A$2:A$3601, A141, B$2:B$3601, B141), "OPTIMAL", "")</f>
        <v/>
      </c>
    </row>
    <row r="142" ht="20" customHeight="1">
      <c r="A142" s="21" t="n">
        <v>4</v>
      </c>
      <c r="B142" s="21" t="n">
        <v>25</v>
      </c>
      <c r="C142" s="22" t="n">
        <v>95</v>
      </c>
      <c r="D142" s="22" t="n">
        <v>3</v>
      </c>
      <c r="E142" s="23" t="n">
        <v>0</v>
      </c>
      <c r="F142" s="22" t="n">
        <v>0</v>
      </c>
      <c r="G142" s="23" t="inlineStr">
        <is>
          <t>Oui</t>
        </is>
      </c>
      <c r="H142" s="23" t="inlineStr">
        <is>
          <t>ON</t>
        </is>
      </c>
      <c r="I142" s="24" t="n">
        <v>580.1183283215253</v>
      </c>
      <c r="J142" s="24" t="n">
        <v>1533.568798690708</v>
      </c>
      <c r="K142" s="24" t="n">
        <v>1407.407407407407</v>
      </c>
      <c r="L142" s="24" t="n">
        <v>150</v>
      </c>
      <c r="M142" s="24">
        <f>I142+J142+K142+L142</f>
        <v/>
      </c>
      <c r="N142" s="24">
        <f>M142*'Dashboard &amp; Optimisation'!$B$18/('Dashboard &amp; Optimisation'!$B$16/3.6)</f>
        <v/>
      </c>
      <c r="O142" s="24" t="n">
        <v>260.045563782305</v>
      </c>
      <c r="P142" s="25" t="n">
        <v>0.4850543981280133</v>
      </c>
      <c r="Q142" s="26" t="n">
        <v>0.2</v>
      </c>
      <c r="R142" s="24" t="n">
        <v>229.0004225225724</v>
      </c>
      <c r="S142" s="24">
        <f>R142*IF(A142=4, 2.0, 3.0)</f>
        <v/>
      </c>
      <c r="T142" s="22">
        <f>'Dashboard &amp; Optimisation'!$B$18*U142</f>
        <v/>
      </c>
      <c r="U142" s="27">
        <f>MIN(1, S142/M142)</f>
        <v/>
      </c>
      <c r="V142" s="27">
        <f>N142/(N142+O142)</f>
        <v/>
      </c>
      <c r="W142" s="27">
        <f>U142*V142</f>
        <v/>
      </c>
      <c r="X142" s="25">
        <f>T142/N142</f>
        <v/>
      </c>
      <c r="Y142" s="28">
        <f>IF(W142=MAXIFS(W$2:W$3601, A$2:A$3601, A142, B$2:B$3601, B142), "OPTIMAL", "")</f>
        <v/>
      </c>
    </row>
    <row r="143" ht="20" customHeight="1">
      <c r="A143" s="29" t="n">
        <v>4</v>
      </c>
      <c r="B143" s="29" t="n">
        <v>25</v>
      </c>
      <c r="C143" s="30" t="n">
        <v>95</v>
      </c>
      <c r="D143" s="30" t="n">
        <v>3</v>
      </c>
      <c r="E143" s="6" t="n">
        <v>0</v>
      </c>
      <c r="F143" s="30" t="n">
        <v>0</v>
      </c>
      <c r="G143" s="6" t="inlineStr">
        <is>
          <t>Oui</t>
        </is>
      </c>
      <c r="H143" s="6" t="inlineStr">
        <is>
          <t>OFF</t>
        </is>
      </c>
      <c r="I143" s="31" t="n">
        <v>580.1183283215253</v>
      </c>
      <c r="J143" s="31" t="n">
        <v>1533.568798690708</v>
      </c>
      <c r="K143" s="31" t="n">
        <v>1407.407407407407</v>
      </c>
      <c r="L143" s="31" t="n">
        <v>150</v>
      </c>
      <c r="M143" s="31">
        <f>I143+J143+K143+L143</f>
        <v/>
      </c>
      <c r="N143" s="31">
        <f>M143*'Dashboard &amp; Optimisation'!$B$18/('Dashboard &amp; Optimisation'!$B$16/3.6)</f>
        <v/>
      </c>
      <c r="O143" s="31" t="n">
        <v>260.045563782305</v>
      </c>
      <c r="P143" s="32" t="n">
        <v>0.820117436216214</v>
      </c>
      <c r="Q143" s="33" t="n">
        <v>0.2</v>
      </c>
      <c r="R143" s="31" t="n">
        <v>135.4411663654262</v>
      </c>
      <c r="S143" s="31">
        <f>R143*IF(A143=4, 2.0, 3.0)</f>
        <v/>
      </c>
      <c r="T143" s="30">
        <f>'Dashboard &amp; Optimisation'!$B$18*U143</f>
        <v/>
      </c>
      <c r="U143" s="34">
        <f>MIN(1, S143/M143)</f>
        <v/>
      </c>
      <c r="V143" s="34">
        <f>N143/(N143+O143)</f>
        <v/>
      </c>
      <c r="W143" s="34">
        <f>U143*V143</f>
        <v/>
      </c>
      <c r="X143" s="32">
        <f>T143/N143</f>
        <v/>
      </c>
      <c r="Y143" s="35">
        <f>IF(W143=MAXIFS(W$2:W$3601, A$2:A$3601, A143, B$2:B$3601, B143), "OPTIMAL", "")</f>
        <v/>
      </c>
    </row>
    <row r="144" ht="20" customHeight="1">
      <c r="A144" s="21" t="n">
        <v>4</v>
      </c>
      <c r="B144" s="21" t="n">
        <v>25</v>
      </c>
      <c r="C144" s="22" t="n">
        <v>95</v>
      </c>
      <c r="D144" s="22" t="n">
        <v>3</v>
      </c>
      <c r="E144" s="23" t="n">
        <v>0</v>
      </c>
      <c r="F144" s="22" t="n">
        <v>0</v>
      </c>
      <c r="G144" s="23" t="inlineStr">
        <is>
          <t>Non</t>
        </is>
      </c>
      <c r="H144" s="23" t="inlineStr">
        <is>
          <t>ON</t>
        </is>
      </c>
      <c r="I144" s="24" t="n">
        <v>580.1183283215253</v>
      </c>
      <c r="J144" s="24" t="n">
        <v>1533.568798690708</v>
      </c>
      <c r="K144" s="24" t="n">
        <v>1407.407407407407</v>
      </c>
      <c r="L144" s="24" t="n">
        <v>150</v>
      </c>
      <c r="M144" s="24">
        <f>I144+J144+K144+L144</f>
        <v/>
      </c>
      <c r="N144" s="24">
        <f>M144*'Dashboard &amp; Optimisation'!$B$18/('Dashboard &amp; Optimisation'!$B$16/3.6)</f>
        <v/>
      </c>
      <c r="O144" s="24" t="n">
        <v>260.045563782305</v>
      </c>
      <c r="P144" s="25" t="n">
        <v>0.4817037677471313</v>
      </c>
      <c r="Q144" s="26" t="n">
        <v>0.2</v>
      </c>
      <c r="R144" s="24" t="n">
        <v>230.5933014334588</v>
      </c>
      <c r="S144" s="24">
        <f>R144*IF(A144=4, 2.0, 3.0)</f>
        <v/>
      </c>
      <c r="T144" s="22">
        <f>'Dashboard &amp; Optimisation'!$B$18*U144</f>
        <v/>
      </c>
      <c r="U144" s="27">
        <f>MIN(1, S144/M144)</f>
        <v/>
      </c>
      <c r="V144" s="27">
        <f>N144/(N144+O144)</f>
        <v/>
      </c>
      <c r="W144" s="27">
        <f>U144*V144</f>
        <v/>
      </c>
      <c r="X144" s="25">
        <f>T144/N144</f>
        <v/>
      </c>
      <c r="Y144" s="28">
        <f>IF(W144=MAXIFS(W$2:W$3601, A$2:A$3601, A144, B$2:B$3601, B144), "OPTIMAL", "")</f>
        <v/>
      </c>
    </row>
    <row r="145" ht="20" customHeight="1">
      <c r="A145" s="29" t="n">
        <v>4</v>
      </c>
      <c r="B145" s="29" t="n">
        <v>25</v>
      </c>
      <c r="C145" s="30" t="n">
        <v>95</v>
      </c>
      <c r="D145" s="30" t="n">
        <v>3</v>
      </c>
      <c r="E145" s="6" t="n">
        <v>0</v>
      </c>
      <c r="F145" s="30" t="n">
        <v>0</v>
      </c>
      <c r="G145" s="6" t="inlineStr">
        <is>
          <t>Non</t>
        </is>
      </c>
      <c r="H145" s="6" t="inlineStr">
        <is>
          <t>OFF</t>
        </is>
      </c>
      <c r="I145" s="31" t="n">
        <v>580.1183283215253</v>
      </c>
      <c r="J145" s="31" t="n">
        <v>1533.568798690708</v>
      </c>
      <c r="K145" s="31" t="n">
        <v>1407.407407407407</v>
      </c>
      <c r="L145" s="31" t="n">
        <v>150</v>
      </c>
      <c r="M145" s="31">
        <f>I145+J145+K145+L145</f>
        <v/>
      </c>
      <c r="N145" s="31">
        <f>M145*'Dashboard &amp; Optimisation'!$B$18/('Dashboard &amp; Optimisation'!$B$16/3.6)</f>
        <v/>
      </c>
      <c r="O145" s="31" t="n">
        <v>260.045563782305</v>
      </c>
      <c r="P145" s="32" t="n">
        <v>0.816766805835332</v>
      </c>
      <c r="Q145" s="33" t="n">
        <v>0.2</v>
      </c>
      <c r="R145" s="31" t="n">
        <v>135.9967879744385</v>
      </c>
      <c r="S145" s="31">
        <f>R145*IF(A145=4, 2.0, 3.0)</f>
        <v/>
      </c>
      <c r="T145" s="30">
        <f>'Dashboard &amp; Optimisation'!$B$18*U145</f>
        <v/>
      </c>
      <c r="U145" s="34">
        <f>MIN(1, S145/M145)</f>
        <v/>
      </c>
      <c r="V145" s="34">
        <f>N145/(N145+O145)</f>
        <v/>
      </c>
      <c r="W145" s="34">
        <f>U145*V145</f>
        <v/>
      </c>
      <c r="X145" s="32">
        <f>T145/N145</f>
        <v/>
      </c>
      <c r="Y145" s="35">
        <f>IF(W145=MAXIFS(W$2:W$3601, A$2:A$3601, A145, B$2:B$3601, B145), "OPTIMAL", "")</f>
        <v/>
      </c>
    </row>
    <row r="146" ht="20" customHeight="1">
      <c r="A146" s="21" t="n">
        <v>4</v>
      </c>
      <c r="B146" s="21" t="n">
        <v>25</v>
      </c>
      <c r="C146" s="22" t="n">
        <v>95</v>
      </c>
      <c r="D146" s="22" t="n">
        <v>3</v>
      </c>
      <c r="E146" s="23" t="n">
        <v>4</v>
      </c>
      <c r="F146" s="22" t="n">
        <v>1.5</v>
      </c>
      <c r="G146" s="23" t="inlineStr">
        <is>
          <t>Oui</t>
        </is>
      </c>
      <c r="H146" s="23" t="inlineStr">
        <is>
          <t>ON</t>
        </is>
      </c>
      <c r="I146" s="24" t="n">
        <v>580.1183283215253</v>
      </c>
      <c r="J146" s="24" t="n">
        <v>1533.568798690708</v>
      </c>
      <c r="K146" s="24" t="n">
        <v>1407.407407407407</v>
      </c>
      <c r="L146" s="24" t="n">
        <v>150</v>
      </c>
      <c r="M146" s="24">
        <f>I146+J146+K146+L146</f>
        <v/>
      </c>
      <c r="N146" s="24">
        <f>M146*'Dashboard &amp; Optimisation'!$B$18/('Dashboard &amp; Optimisation'!$B$16/3.6)</f>
        <v/>
      </c>
      <c r="O146" s="24" t="n">
        <v>363.5815538386407</v>
      </c>
      <c r="P146" s="25" t="n">
        <v>0.07535655472626097</v>
      </c>
      <c r="Q146" s="26" t="n">
        <v>7.231715741890194</v>
      </c>
      <c r="R146" s="24" t="n">
        <v>1526.437414502998</v>
      </c>
      <c r="S146" s="24">
        <f>R146*IF(A146=4, 2.0, 3.0)</f>
        <v/>
      </c>
      <c r="T146" s="22">
        <f>'Dashboard &amp; Optimisation'!$B$18*U146</f>
        <v/>
      </c>
      <c r="U146" s="27">
        <f>MIN(1, S146/M146)</f>
        <v/>
      </c>
      <c r="V146" s="27">
        <f>N146/(N146+O146)</f>
        <v/>
      </c>
      <c r="W146" s="27">
        <f>U146*V146</f>
        <v/>
      </c>
      <c r="X146" s="25">
        <f>T146/N146</f>
        <v/>
      </c>
      <c r="Y146" s="28">
        <f>IF(W146=MAXIFS(W$2:W$3601, A$2:A$3601, A146, B$2:B$3601, B146), "OPTIMAL", "")</f>
        <v/>
      </c>
    </row>
    <row r="147" ht="20" customHeight="1">
      <c r="A147" s="29" t="n">
        <v>4</v>
      </c>
      <c r="B147" s="29" t="n">
        <v>25</v>
      </c>
      <c r="C147" s="30" t="n">
        <v>95</v>
      </c>
      <c r="D147" s="30" t="n">
        <v>3</v>
      </c>
      <c r="E147" s="6" t="n">
        <v>4</v>
      </c>
      <c r="F147" s="30" t="n">
        <v>1.5</v>
      </c>
      <c r="G147" s="6" t="inlineStr">
        <is>
          <t>Oui</t>
        </is>
      </c>
      <c r="H147" s="6" t="inlineStr">
        <is>
          <t>OFF</t>
        </is>
      </c>
      <c r="I147" s="31" t="n">
        <v>580.1183283215253</v>
      </c>
      <c r="J147" s="31" t="n">
        <v>1533.568798690708</v>
      </c>
      <c r="K147" s="31" t="n">
        <v>1407.407407407407</v>
      </c>
      <c r="L147" s="31" t="n">
        <v>150</v>
      </c>
      <c r="M147" s="31">
        <f>I147+J147+K147+L147</f>
        <v/>
      </c>
      <c r="N147" s="31">
        <f>M147*'Dashboard &amp; Optimisation'!$B$18/('Dashboard &amp; Optimisation'!$B$16/3.6)</f>
        <v/>
      </c>
      <c r="O147" s="31" t="n">
        <v>363.5815538386407</v>
      </c>
      <c r="P147" s="32" t="n">
        <v>0.3178141987215173</v>
      </c>
      <c r="Q147" s="33" t="n">
        <v>7.231715741890194</v>
      </c>
      <c r="R147" s="31" t="n">
        <v>361.9317985946853</v>
      </c>
      <c r="S147" s="31">
        <f>R147*IF(A147=4, 2.0, 3.0)</f>
        <v/>
      </c>
      <c r="T147" s="30">
        <f>'Dashboard &amp; Optimisation'!$B$18*U147</f>
        <v/>
      </c>
      <c r="U147" s="34">
        <f>MIN(1, S147/M147)</f>
        <v/>
      </c>
      <c r="V147" s="34">
        <f>N147/(N147+O147)</f>
        <v/>
      </c>
      <c r="W147" s="34">
        <f>U147*V147</f>
        <v/>
      </c>
      <c r="X147" s="32">
        <f>T147/N147</f>
        <v/>
      </c>
      <c r="Y147" s="35">
        <f>IF(W147=MAXIFS(W$2:W$3601, A$2:A$3601, A147, B$2:B$3601, B147), "OPTIMAL", "")</f>
        <v/>
      </c>
    </row>
    <row r="148" ht="20" customHeight="1">
      <c r="A148" s="21" t="n">
        <v>4</v>
      </c>
      <c r="B148" s="21" t="n">
        <v>25</v>
      </c>
      <c r="C148" s="22" t="n">
        <v>95</v>
      </c>
      <c r="D148" s="22" t="n">
        <v>3</v>
      </c>
      <c r="E148" s="23" t="n">
        <v>4</v>
      </c>
      <c r="F148" s="22" t="n">
        <v>1.5</v>
      </c>
      <c r="G148" s="23" t="inlineStr">
        <is>
          <t>Non</t>
        </is>
      </c>
      <c r="H148" s="23" t="inlineStr">
        <is>
          <t>ON</t>
        </is>
      </c>
      <c r="I148" s="24" t="n">
        <v>580.1183283215253</v>
      </c>
      <c r="J148" s="24" t="n">
        <v>1533.568798690708</v>
      </c>
      <c r="K148" s="24" t="n">
        <v>1407.407407407407</v>
      </c>
      <c r="L148" s="24" t="n">
        <v>150</v>
      </c>
      <c r="M148" s="24">
        <f>I148+J148+K148+L148</f>
        <v/>
      </c>
      <c r="N148" s="24">
        <f>M148*'Dashboard &amp; Optimisation'!$B$18/('Dashboard &amp; Optimisation'!$B$16/3.6)</f>
        <v/>
      </c>
      <c r="O148" s="24" t="n">
        <v>363.5815538386407</v>
      </c>
      <c r="P148" s="25" t="n">
        <v>0.07200592434537897</v>
      </c>
      <c r="Q148" s="26" t="n">
        <v>7.231715741890194</v>
      </c>
      <c r="R148" s="24" t="n">
        <v>1597.466675248499</v>
      </c>
      <c r="S148" s="24">
        <f>R148*IF(A148=4, 2.0, 3.0)</f>
        <v/>
      </c>
      <c r="T148" s="22">
        <f>'Dashboard &amp; Optimisation'!$B$18*U148</f>
        <v/>
      </c>
      <c r="U148" s="27">
        <f>MIN(1, S148/M148)</f>
        <v/>
      </c>
      <c r="V148" s="27">
        <f>N148/(N148+O148)</f>
        <v/>
      </c>
      <c r="W148" s="27">
        <f>U148*V148</f>
        <v/>
      </c>
      <c r="X148" s="25">
        <f>T148/N148</f>
        <v/>
      </c>
      <c r="Y148" s="28">
        <f>IF(W148=MAXIFS(W$2:W$3601, A$2:A$3601, A148, B$2:B$3601, B148), "OPTIMAL", "")</f>
        <v/>
      </c>
    </row>
    <row r="149" ht="20" customHeight="1">
      <c r="A149" s="29" t="n">
        <v>4</v>
      </c>
      <c r="B149" s="29" t="n">
        <v>25</v>
      </c>
      <c r="C149" s="30" t="n">
        <v>95</v>
      </c>
      <c r="D149" s="30" t="n">
        <v>3</v>
      </c>
      <c r="E149" s="6" t="n">
        <v>4</v>
      </c>
      <c r="F149" s="30" t="n">
        <v>1.5</v>
      </c>
      <c r="G149" s="6" t="inlineStr">
        <is>
          <t>Non</t>
        </is>
      </c>
      <c r="H149" s="6" t="inlineStr">
        <is>
          <t>OFF</t>
        </is>
      </c>
      <c r="I149" s="31" t="n">
        <v>580.1183283215253</v>
      </c>
      <c r="J149" s="31" t="n">
        <v>1533.568798690708</v>
      </c>
      <c r="K149" s="31" t="n">
        <v>1407.407407407407</v>
      </c>
      <c r="L149" s="31" t="n">
        <v>150</v>
      </c>
      <c r="M149" s="31">
        <f>I149+J149+K149+L149</f>
        <v/>
      </c>
      <c r="N149" s="31">
        <f>M149*'Dashboard &amp; Optimisation'!$B$18/('Dashboard &amp; Optimisation'!$B$16/3.6)</f>
        <v/>
      </c>
      <c r="O149" s="31" t="n">
        <v>363.5815538386407</v>
      </c>
      <c r="P149" s="32" t="n">
        <v>0.3144635683406353</v>
      </c>
      <c r="Q149" s="33" t="n">
        <v>7.231715741890194</v>
      </c>
      <c r="R149" s="31" t="n">
        <v>365.7882061479602</v>
      </c>
      <c r="S149" s="31">
        <f>R149*IF(A149=4, 2.0, 3.0)</f>
        <v/>
      </c>
      <c r="T149" s="30">
        <f>'Dashboard &amp; Optimisation'!$B$18*U149</f>
        <v/>
      </c>
      <c r="U149" s="34">
        <f>MIN(1, S149/M149)</f>
        <v/>
      </c>
      <c r="V149" s="34">
        <f>N149/(N149+O149)</f>
        <v/>
      </c>
      <c r="W149" s="34">
        <f>U149*V149</f>
        <v/>
      </c>
      <c r="X149" s="32">
        <f>T149/N149</f>
        <v/>
      </c>
      <c r="Y149" s="35">
        <f>IF(W149=MAXIFS(W$2:W$3601, A$2:A$3601, A149, B$2:B$3601, B149), "OPTIMAL", "")</f>
        <v/>
      </c>
    </row>
    <row r="150" ht="20" customHeight="1">
      <c r="A150" s="21" t="n">
        <v>4</v>
      </c>
      <c r="B150" s="21" t="n">
        <v>25</v>
      </c>
      <c r="C150" s="22" t="n">
        <v>95</v>
      </c>
      <c r="D150" s="22" t="n">
        <v>3</v>
      </c>
      <c r="E150" s="23" t="n">
        <v>4</v>
      </c>
      <c r="F150" s="22" t="n">
        <v>2</v>
      </c>
      <c r="G150" s="23" t="inlineStr">
        <is>
          <t>Oui</t>
        </is>
      </c>
      <c r="H150" s="23" t="inlineStr">
        <is>
          <t>ON</t>
        </is>
      </c>
      <c r="I150" s="24" t="n">
        <v>580.1183283215253</v>
      </c>
      <c r="J150" s="24" t="n">
        <v>1533.568798690708</v>
      </c>
      <c r="K150" s="24" t="n">
        <v>1407.407407407407</v>
      </c>
      <c r="L150" s="24" t="n">
        <v>150</v>
      </c>
      <c r="M150" s="24">
        <f>I150+J150+K150+L150</f>
        <v/>
      </c>
      <c r="N150" s="24">
        <f>M150*'Dashboard &amp; Optimisation'!$B$18/('Dashboard &amp; Optimisation'!$B$16/3.6)</f>
        <v/>
      </c>
      <c r="O150" s="24" t="n">
        <v>399.7492876544309</v>
      </c>
      <c r="P150" s="25" t="n">
        <v>0.072877449969957</v>
      </c>
      <c r="Q150" s="26" t="n">
        <v>9.575620989186925</v>
      </c>
      <c r="R150" s="24" t="n">
        <v>1597.293683272396</v>
      </c>
      <c r="S150" s="24">
        <f>R150*IF(A150=4, 2.0, 3.0)</f>
        <v/>
      </c>
      <c r="T150" s="22">
        <f>'Dashboard &amp; Optimisation'!$B$18*U150</f>
        <v/>
      </c>
      <c r="U150" s="27">
        <f>MIN(1, S150/M150)</f>
        <v/>
      </c>
      <c r="V150" s="27">
        <f>N150/(N150+O150)</f>
        <v/>
      </c>
      <c r="W150" s="27">
        <f>U150*V150</f>
        <v/>
      </c>
      <c r="X150" s="25">
        <f>T150/N150</f>
        <v/>
      </c>
      <c r="Y150" s="28">
        <f>IF(W150=MAXIFS(W$2:W$3601, A$2:A$3601, A150, B$2:B$3601, B150), "OPTIMAL", "")</f>
        <v/>
      </c>
    </row>
    <row r="151" ht="20" customHeight="1">
      <c r="A151" s="29" t="n">
        <v>4</v>
      </c>
      <c r="B151" s="29" t="n">
        <v>25</v>
      </c>
      <c r="C151" s="30" t="n">
        <v>95</v>
      </c>
      <c r="D151" s="30" t="n">
        <v>3</v>
      </c>
      <c r="E151" s="6" t="n">
        <v>4</v>
      </c>
      <c r="F151" s="30" t="n">
        <v>2</v>
      </c>
      <c r="G151" s="6" t="inlineStr">
        <is>
          <t>Oui</t>
        </is>
      </c>
      <c r="H151" s="6" t="inlineStr">
        <is>
          <t>OFF</t>
        </is>
      </c>
      <c r="I151" s="31" t="n">
        <v>580.1183283215253</v>
      </c>
      <c r="J151" s="31" t="n">
        <v>1533.568798690708</v>
      </c>
      <c r="K151" s="31" t="n">
        <v>1407.407407407407</v>
      </c>
      <c r="L151" s="31" t="n">
        <v>150</v>
      </c>
      <c r="M151" s="31">
        <f>I151+J151+K151+L151</f>
        <v/>
      </c>
      <c r="N151" s="31">
        <f>M151*'Dashboard &amp; Optimisation'!$B$18/('Dashboard &amp; Optimisation'!$B$16/3.6)</f>
        <v/>
      </c>
      <c r="O151" s="31" t="n">
        <v>399.7492876544309</v>
      </c>
      <c r="P151" s="32" t="n">
        <v>0.3165144364464006</v>
      </c>
      <c r="Q151" s="33" t="n">
        <v>9.575620989186925</v>
      </c>
      <c r="R151" s="31" t="n">
        <v>367.7768755098318</v>
      </c>
      <c r="S151" s="31">
        <f>R151*IF(A151=4, 2.0, 3.0)</f>
        <v/>
      </c>
      <c r="T151" s="30">
        <f>'Dashboard &amp; Optimisation'!$B$18*U151</f>
        <v/>
      </c>
      <c r="U151" s="34">
        <f>MIN(1, S151/M151)</f>
        <v/>
      </c>
      <c r="V151" s="34">
        <f>N151/(N151+O151)</f>
        <v/>
      </c>
      <c r="W151" s="34">
        <f>U151*V151</f>
        <v/>
      </c>
      <c r="X151" s="32">
        <f>T151/N151</f>
        <v/>
      </c>
      <c r="Y151" s="35">
        <f>IF(W151=MAXIFS(W$2:W$3601, A$2:A$3601, A151, B$2:B$3601, B151), "OPTIMAL", "")</f>
        <v/>
      </c>
    </row>
    <row r="152" ht="20" customHeight="1">
      <c r="A152" s="21" t="n">
        <v>4</v>
      </c>
      <c r="B152" s="21" t="n">
        <v>25</v>
      </c>
      <c r="C152" s="22" t="n">
        <v>95</v>
      </c>
      <c r="D152" s="22" t="n">
        <v>3</v>
      </c>
      <c r="E152" s="23" t="n">
        <v>4</v>
      </c>
      <c r="F152" s="22" t="n">
        <v>2</v>
      </c>
      <c r="G152" s="23" t="inlineStr">
        <is>
          <t>Non</t>
        </is>
      </c>
      <c r="H152" s="23" t="inlineStr">
        <is>
          <t>ON</t>
        </is>
      </c>
      <c r="I152" s="24" t="n">
        <v>580.1183283215253</v>
      </c>
      <c r="J152" s="24" t="n">
        <v>1533.568798690708</v>
      </c>
      <c r="K152" s="24" t="n">
        <v>1407.407407407407</v>
      </c>
      <c r="L152" s="24" t="n">
        <v>150</v>
      </c>
      <c r="M152" s="24">
        <f>I152+J152+K152+L152</f>
        <v/>
      </c>
      <c r="N152" s="24">
        <f>M152*'Dashboard &amp; Optimisation'!$B$18/('Dashboard &amp; Optimisation'!$B$16/3.6)</f>
        <v/>
      </c>
      <c r="O152" s="24" t="n">
        <v>399.7492876544309</v>
      </c>
      <c r="P152" s="25" t="n">
        <v>0.06952681958907499</v>
      </c>
      <c r="Q152" s="26" t="n">
        <v>9.575620989186925</v>
      </c>
      <c r="R152" s="24" t="n">
        <v>1674.270320115489</v>
      </c>
      <c r="S152" s="24">
        <f>R152*IF(A152=4, 2.0, 3.0)</f>
        <v/>
      </c>
      <c r="T152" s="22">
        <f>'Dashboard &amp; Optimisation'!$B$18*U152</f>
        <v/>
      </c>
      <c r="U152" s="27">
        <f>MIN(1, S152/M152)</f>
        <v/>
      </c>
      <c r="V152" s="27">
        <f>N152/(N152+O152)</f>
        <v/>
      </c>
      <c r="W152" s="27">
        <f>U152*V152</f>
        <v/>
      </c>
      <c r="X152" s="25">
        <f>T152/N152</f>
        <v/>
      </c>
      <c r="Y152" s="28">
        <f>IF(W152=MAXIFS(W$2:W$3601, A$2:A$3601, A152, B$2:B$3601, B152), "OPTIMAL", "")</f>
        <v/>
      </c>
    </row>
    <row r="153" ht="20" customHeight="1">
      <c r="A153" s="29" t="n">
        <v>4</v>
      </c>
      <c r="B153" s="29" t="n">
        <v>25</v>
      </c>
      <c r="C153" s="30" t="n">
        <v>95</v>
      </c>
      <c r="D153" s="30" t="n">
        <v>3</v>
      </c>
      <c r="E153" s="6" t="n">
        <v>4</v>
      </c>
      <c r="F153" s="30" t="n">
        <v>2</v>
      </c>
      <c r="G153" s="6" t="inlineStr">
        <is>
          <t>Non</t>
        </is>
      </c>
      <c r="H153" s="6" t="inlineStr">
        <is>
          <t>OFF</t>
        </is>
      </c>
      <c r="I153" s="31" t="n">
        <v>580.1183283215253</v>
      </c>
      <c r="J153" s="31" t="n">
        <v>1533.568798690708</v>
      </c>
      <c r="K153" s="31" t="n">
        <v>1407.407407407407</v>
      </c>
      <c r="L153" s="31" t="n">
        <v>150</v>
      </c>
      <c r="M153" s="31">
        <f>I153+J153+K153+L153</f>
        <v/>
      </c>
      <c r="N153" s="31">
        <f>M153*'Dashboard &amp; Optimisation'!$B$18/('Dashboard &amp; Optimisation'!$B$16/3.6)</f>
        <v/>
      </c>
      <c r="O153" s="31" t="n">
        <v>399.7492876544309</v>
      </c>
      <c r="P153" s="32" t="n">
        <v>0.3131638060655186</v>
      </c>
      <c r="Q153" s="33" t="n">
        <v>9.575620989186925</v>
      </c>
      <c r="R153" s="31" t="n">
        <v>371.7118269588868</v>
      </c>
      <c r="S153" s="31">
        <f>R153*IF(A153=4, 2.0, 3.0)</f>
        <v/>
      </c>
      <c r="T153" s="30">
        <f>'Dashboard &amp; Optimisation'!$B$18*U153</f>
        <v/>
      </c>
      <c r="U153" s="34">
        <f>MIN(1, S153/M153)</f>
        <v/>
      </c>
      <c r="V153" s="34">
        <f>N153/(N153+O153)</f>
        <v/>
      </c>
      <c r="W153" s="34">
        <f>U153*V153</f>
        <v/>
      </c>
      <c r="X153" s="32">
        <f>T153/N153</f>
        <v/>
      </c>
      <c r="Y153" s="35">
        <f>IF(W153=MAXIFS(W$2:W$3601, A$2:A$3601, A153, B$2:B$3601, B153), "OPTIMAL", "")</f>
        <v/>
      </c>
    </row>
    <row r="154" ht="20" customHeight="1">
      <c r="A154" s="21" t="n">
        <v>4</v>
      </c>
      <c r="B154" s="21" t="n">
        <v>25</v>
      </c>
      <c r="C154" s="22" t="n">
        <v>95</v>
      </c>
      <c r="D154" s="22" t="n">
        <v>3</v>
      </c>
      <c r="E154" s="23" t="n">
        <v>8</v>
      </c>
      <c r="F154" s="22" t="n">
        <v>1.5</v>
      </c>
      <c r="G154" s="23" t="inlineStr">
        <is>
          <t>Oui</t>
        </is>
      </c>
      <c r="H154" s="23" t="inlineStr">
        <is>
          <t>ON</t>
        </is>
      </c>
      <c r="I154" s="24" t="n">
        <v>580.1183283215253</v>
      </c>
      <c r="J154" s="24" t="n">
        <v>1533.568798690708</v>
      </c>
      <c r="K154" s="24" t="n">
        <v>1407.407407407407</v>
      </c>
      <c r="L154" s="24" t="n">
        <v>150</v>
      </c>
      <c r="M154" s="24">
        <f>I154+J154+K154+L154</f>
        <v/>
      </c>
      <c r="N154" s="24">
        <f>M154*'Dashboard &amp; Optimisation'!$B$18/('Dashboard &amp; Optimisation'!$B$16/3.6)</f>
        <v/>
      </c>
      <c r="O154" s="24" t="n">
        <v>474.7514827541565</v>
      </c>
      <c r="P154" s="25" t="n">
        <v>0.05688455314032285</v>
      </c>
      <c r="Q154" s="26" t="n">
        <v>14.26343148378039</v>
      </c>
      <c r="R154" s="24" t="n">
        <v>2096.661723614164</v>
      </c>
      <c r="S154" s="24">
        <f>R154*IF(A154=4, 2.0, 3.0)</f>
        <v/>
      </c>
      <c r="T154" s="22">
        <f>'Dashboard &amp; Optimisation'!$B$18*U154</f>
        <v/>
      </c>
      <c r="U154" s="27">
        <f>MIN(1, S154/M154)</f>
        <v/>
      </c>
      <c r="V154" s="27">
        <f>N154/(N154+O154)</f>
        <v/>
      </c>
      <c r="W154" s="27">
        <f>U154*V154</f>
        <v/>
      </c>
      <c r="X154" s="25">
        <f>T154/N154</f>
        <v/>
      </c>
      <c r="Y154" s="28">
        <f>IF(W154=MAXIFS(W$2:W$3601, A$2:A$3601, A154, B$2:B$3601, B154), "OPTIMAL", "")</f>
        <v/>
      </c>
    </row>
    <row r="155" ht="20" customHeight="1">
      <c r="A155" s="29" t="n">
        <v>4</v>
      </c>
      <c r="B155" s="29" t="n">
        <v>25</v>
      </c>
      <c r="C155" s="30" t="n">
        <v>95</v>
      </c>
      <c r="D155" s="30" t="n">
        <v>3</v>
      </c>
      <c r="E155" s="6" t="n">
        <v>8</v>
      </c>
      <c r="F155" s="30" t="n">
        <v>1.5</v>
      </c>
      <c r="G155" s="6" t="inlineStr">
        <is>
          <t>Oui</t>
        </is>
      </c>
      <c r="H155" s="6" t="inlineStr">
        <is>
          <t>OFF</t>
        </is>
      </c>
      <c r="I155" s="31" t="n">
        <v>580.1183283215253</v>
      </c>
      <c r="J155" s="31" t="n">
        <v>1533.568798690708</v>
      </c>
      <c r="K155" s="31" t="n">
        <v>1407.407407407407</v>
      </c>
      <c r="L155" s="31" t="n">
        <v>150</v>
      </c>
      <c r="M155" s="31">
        <f>I155+J155+K155+L155</f>
        <v/>
      </c>
      <c r="N155" s="31">
        <f>M155*'Dashboard &amp; Optimisation'!$B$18/('Dashboard &amp; Optimisation'!$B$16/3.6)</f>
        <v/>
      </c>
      <c r="O155" s="31" t="n">
        <v>474.7514827541565</v>
      </c>
      <c r="P155" s="32" t="n">
        <v>0.246840465467505</v>
      </c>
      <c r="Q155" s="33" t="n">
        <v>14.26343148378039</v>
      </c>
      <c r="R155" s="31" t="n">
        <v>483.1771201221936</v>
      </c>
      <c r="S155" s="31">
        <f>R155*IF(A155=4, 2.0, 3.0)</f>
        <v/>
      </c>
      <c r="T155" s="30">
        <f>'Dashboard &amp; Optimisation'!$B$18*U155</f>
        <v/>
      </c>
      <c r="U155" s="34">
        <f>MIN(1, S155/M155)</f>
        <v/>
      </c>
      <c r="V155" s="34">
        <f>N155/(N155+O155)</f>
        <v/>
      </c>
      <c r="W155" s="34">
        <f>U155*V155</f>
        <v/>
      </c>
      <c r="X155" s="32">
        <f>T155/N155</f>
        <v/>
      </c>
      <c r="Y155" s="35">
        <f>IF(W155=MAXIFS(W$2:W$3601, A$2:A$3601, A155, B$2:B$3601, B155), "OPTIMAL", "")</f>
        <v/>
      </c>
    </row>
    <row r="156" ht="20" customHeight="1">
      <c r="A156" s="21" t="n">
        <v>4</v>
      </c>
      <c r="B156" s="21" t="n">
        <v>25</v>
      </c>
      <c r="C156" s="22" t="n">
        <v>95</v>
      </c>
      <c r="D156" s="22" t="n">
        <v>3</v>
      </c>
      <c r="E156" s="23" t="n">
        <v>8</v>
      </c>
      <c r="F156" s="22" t="n">
        <v>1.5</v>
      </c>
      <c r="G156" s="23" t="inlineStr">
        <is>
          <t>Non</t>
        </is>
      </c>
      <c r="H156" s="23" t="inlineStr">
        <is>
          <t>ON</t>
        </is>
      </c>
      <c r="I156" s="24" t="n">
        <v>580.1183283215253</v>
      </c>
      <c r="J156" s="24" t="n">
        <v>1533.568798690708</v>
      </c>
      <c r="K156" s="24" t="n">
        <v>1407.407407407407</v>
      </c>
      <c r="L156" s="24" t="n">
        <v>150</v>
      </c>
      <c r="M156" s="24">
        <f>I156+J156+K156+L156</f>
        <v/>
      </c>
      <c r="N156" s="24">
        <f>M156*'Dashboard &amp; Optimisation'!$B$18/('Dashboard &amp; Optimisation'!$B$16/3.6)</f>
        <v/>
      </c>
      <c r="O156" s="24" t="n">
        <v>474.7514827541565</v>
      </c>
      <c r="P156" s="25" t="n">
        <v>0.05353392275944084</v>
      </c>
      <c r="Q156" s="26" t="n">
        <v>14.26343148378039</v>
      </c>
      <c r="R156" s="24" t="n">
        <v>2227.889515404093</v>
      </c>
      <c r="S156" s="24">
        <f>R156*IF(A156=4, 2.0, 3.0)</f>
        <v/>
      </c>
      <c r="T156" s="22">
        <f>'Dashboard &amp; Optimisation'!$B$18*U156</f>
        <v/>
      </c>
      <c r="U156" s="27">
        <f>MIN(1, S156/M156)</f>
        <v/>
      </c>
      <c r="V156" s="27">
        <f>N156/(N156+O156)</f>
        <v/>
      </c>
      <c r="W156" s="27">
        <f>U156*V156</f>
        <v/>
      </c>
      <c r="X156" s="25">
        <f>T156/N156</f>
        <v/>
      </c>
      <c r="Y156" s="28">
        <f>IF(W156=MAXIFS(W$2:W$3601, A$2:A$3601, A156, B$2:B$3601, B156), "OPTIMAL", "")</f>
        <v/>
      </c>
    </row>
    <row r="157" ht="20" customHeight="1">
      <c r="A157" s="29" t="n">
        <v>4</v>
      </c>
      <c r="B157" s="29" t="n">
        <v>25</v>
      </c>
      <c r="C157" s="30" t="n">
        <v>95</v>
      </c>
      <c r="D157" s="30" t="n">
        <v>3</v>
      </c>
      <c r="E157" s="6" t="n">
        <v>8</v>
      </c>
      <c r="F157" s="30" t="n">
        <v>1.5</v>
      </c>
      <c r="G157" s="6" t="inlineStr">
        <is>
          <t>Non</t>
        </is>
      </c>
      <c r="H157" s="6" t="inlineStr">
        <is>
          <t>OFF</t>
        </is>
      </c>
      <c r="I157" s="31" t="n">
        <v>580.1183283215253</v>
      </c>
      <c r="J157" s="31" t="n">
        <v>1533.568798690708</v>
      </c>
      <c r="K157" s="31" t="n">
        <v>1407.407407407407</v>
      </c>
      <c r="L157" s="31" t="n">
        <v>150</v>
      </c>
      <c r="M157" s="31">
        <f>I157+J157+K157+L157</f>
        <v/>
      </c>
      <c r="N157" s="31">
        <f>M157*'Dashboard &amp; Optimisation'!$B$18/('Dashboard &amp; Optimisation'!$B$16/3.6)</f>
        <v/>
      </c>
      <c r="O157" s="31" t="n">
        <v>474.7514827541565</v>
      </c>
      <c r="P157" s="32" t="n">
        <v>0.2434898350866229</v>
      </c>
      <c r="Q157" s="33" t="n">
        <v>14.26343148378039</v>
      </c>
      <c r="R157" s="31" t="n">
        <v>489.826054511806</v>
      </c>
      <c r="S157" s="31">
        <f>R157*IF(A157=4, 2.0, 3.0)</f>
        <v/>
      </c>
      <c r="T157" s="30">
        <f>'Dashboard &amp; Optimisation'!$B$18*U157</f>
        <v/>
      </c>
      <c r="U157" s="34">
        <f>MIN(1, S157/M157)</f>
        <v/>
      </c>
      <c r="V157" s="34">
        <f>N157/(N157+O157)</f>
        <v/>
      </c>
      <c r="W157" s="34">
        <f>U157*V157</f>
        <v/>
      </c>
      <c r="X157" s="32">
        <f>T157/N157</f>
        <v/>
      </c>
      <c r="Y157" s="35">
        <f>IF(W157=MAXIFS(W$2:W$3601, A$2:A$3601, A157, B$2:B$3601, B157), "OPTIMAL", "")</f>
        <v/>
      </c>
    </row>
    <row r="158" ht="20" customHeight="1">
      <c r="A158" s="21" t="n">
        <v>4</v>
      </c>
      <c r="B158" s="21" t="n">
        <v>25</v>
      </c>
      <c r="C158" s="22" t="n">
        <v>95</v>
      </c>
      <c r="D158" s="22" t="n">
        <v>3</v>
      </c>
      <c r="E158" s="23" t="n">
        <v>8</v>
      </c>
      <c r="F158" s="22" t="n">
        <v>2</v>
      </c>
      <c r="G158" s="23" t="inlineStr">
        <is>
          <t>Oui</t>
        </is>
      </c>
      <c r="H158" s="23" t="inlineStr">
        <is>
          <t>ON</t>
        </is>
      </c>
      <c r="I158" s="24" t="n">
        <v>580.1183283215253</v>
      </c>
      <c r="J158" s="24" t="n">
        <v>1533.568798690708</v>
      </c>
      <c r="K158" s="24" t="n">
        <v>1407.407407407407</v>
      </c>
      <c r="L158" s="24" t="n">
        <v>150</v>
      </c>
      <c r="M158" s="24">
        <f>I158+J158+K158+L158</f>
        <v/>
      </c>
      <c r="N158" s="24">
        <f>M158*'Dashboard &amp; Optimisation'!$B$18/('Dashboard &amp; Optimisation'!$B$16/3.6)</f>
        <v/>
      </c>
      <c r="O158" s="24" t="n">
        <v>553.5332900485001</v>
      </c>
      <c r="P158" s="25" t="n">
        <v>0.0557699285087862</v>
      </c>
      <c r="Q158" s="26" t="n">
        <v>18.95124197837385</v>
      </c>
      <c r="R158" s="24" t="n">
        <v>2192.450615625481</v>
      </c>
      <c r="S158" s="24">
        <f>R158*IF(A158=4, 2.0, 3.0)</f>
        <v/>
      </c>
      <c r="T158" s="22">
        <f>'Dashboard &amp; Optimisation'!$B$18*U158</f>
        <v/>
      </c>
      <c r="U158" s="27">
        <f>MIN(1, S158/M158)</f>
        <v/>
      </c>
      <c r="V158" s="27">
        <f>N158/(N158+O158)</f>
        <v/>
      </c>
      <c r="W158" s="27">
        <f>U158*V158</f>
        <v/>
      </c>
      <c r="X158" s="25">
        <f>T158/N158</f>
        <v/>
      </c>
      <c r="Y158" s="28">
        <f>IF(W158=MAXIFS(W$2:W$3601, A$2:A$3601, A158, B$2:B$3601, B158), "OPTIMAL", "")</f>
        <v/>
      </c>
    </row>
    <row r="159" ht="20" customHeight="1">
      <c r="A159" s="29" t="n">
        <v>4</v>
      </c>
      <c r="B159" s="29" t="n">
        <v>25</v>
      </c>
      <c r="C159" s="30" t="n">
        <v>95</v>
      </c>
      <c r="D159" s="30" t="n">
        <v>3</v>
      </c>
      <c r="E159" s="6" t="n">
        <v>8</v>
      </c>
      <c r="F159" s="30" t="n">
        <v>2</v>
      </c>
      <c r="G159" s="6" t="inlineStr">
        <is>
          <t>Oui</t>
        </is>
      </c>
      <c r="H159" s="6" t="inlineStr">
        <is>
          <t>OFF</t>
        </is>
      </c>
      <c r="I159" s="31" t="n">
        <v>580.1183283215253</v>
      </c>
      <c r="J159" s="31" t="n">
        <v>1533.568798690708</v>
      </c>
      <c r="K159" s="31" t="n">
        <v>1407.407407407407</v>
      </c>
      <c r="L159" s="31" t="n">
        <v>150</v>
      </c>
      <c r="M159" s="31">
        <f>I159+J159+K159+L159</f>
        <v/>
      </c>
      <c r="N159" s="31">
        <f>M159*'Dashboard &amp; Optimisation'!$B$18/('Dashboard &amp; Optimisation'!$B$16/3.6)</f>
        <v/>
      </c>
      <c r="O159" s="31" t="n">
        <v>553.5332900485001</v>
      </c>
      <c r="P159" s="32" t="n">
        <v>0.2471780798795112</v>
      </c>
      <c r="Q159" s="33" t="n">
        <v>18.95124197837385</v>
      </c>
      <c r="R159" s="31" t="n">
        <v>494.6749895948708</v>
      </c>
      <c r="S159" s="31">
        <f>R159*IF(A159=4, 2.0, 3.0)</f>
        <v/>
      </c>
      <c r="T159" s="30">
        <f>'Dashboard &amp; Optimisation'!$B$18*U159</f>
        <v/>
      </c>
      <c r="U159" s="34">
        <f>MIN(1, S159/M159)</f>
        <v/>
      </c>
      <c r="V159" s="34">
        <f>N159/(N159+O159)</f>
        <v/>
      </c>
      <c r="W159" s="34">
        <f>U159*V159</f>
        <v/>
      </c>
      <c r="X159" s="32">
        <f>T159/N159</f>
        <v/>
      </c>
      <c r="Y159" s="35">
        <f>IF(W159=MAXIFS(W$2:W$3601, A$2:A$3601, A159, B$2:B$3601, B159), "OPTIMAL", "")</f>
        <v/>
      </c>
    </row>
    <row r="160" ht="20" customHeight="1">
      <c r="A160" s="21" t="n">
        <v>4</v>
      </c>
      <c r="B160" s="21" t="n">
        <v>25</v>
      </c>
      <c r="C160" s="22" t="n">
        <v>95</v>
      </c>
      <c r="D160" s="22" t="n">
        <v>3</v>
      </c>
      <c r="E160" s="23" t="n">
        <v>8</v>
      </c>
      <c r="F160" s="22" t="n">
        <v>2</v>
      </c>
      <c r="G160" s="23" t="inlineStr">
        <is>
          <t>Non</t>
        </is>
      </c>
      <c r="H160" s="23" t="inlineStr">
        <is>
          <t>ON</t>
        </is>
      </c>
      <c r="I160" s="24" t="n">
        <v>580.1183283215253</v>
      </c>
      <c r="J160" s="24" t="n">
        <v>1533.568798690708</v>
      </c>
      <c r="K160" s="24" t="n">
        <v>1407.407407407407</v>
      </c>
      <c r="L160" s="24" t="n">
        <v>150</v>
      </c>
      <c r="M160" s="24">
        <f>I160+J160+K160+L160</f>
        <v/>
      </c>
      <c r="N160" s="24">
        <f>M160*'Dashboard &amp; Optimisation'!$B$18/('Dashboard &amp; Optimisation'!$B$16/3.6)</f>
        <v/>
      </c>
      <c r="O160" s="24" t="n">
        <v>553.5332900485001</v>
      </c>
      <c r="P160" s="25" t="n">
        <v>0.05241929812790419</v>
      </c>
      <c r="Q160" s="26" t="n">
        <v>18.95124197837385</v>
      </c>
      <c r="R160" s="24" t="n">
        <v>2332.591592396546</v>
      </c>
      <c r="S160" s="24">
        <f>R160*IF(A160=4, 2.0, 3.0)</f>
        <v/>
      </c>
      <c r="T160" s="22">
        <f>'Dashboard &amp; Optimisation'!$B$18*U160</f>
        <v/>
      </c>
      <c r="U160" s="27">
        <f>MIN(1, S160/M160)</f>
        <v/>
      </c>
      <c r="V160" s="27">
        <f>N160/(N160+O160)</f>
        <v/>
      </c>
      <c r="W160" s="27">
        <f>U160*V160</f>
        <v/>
      </c>
      <c r="X160" s="25">
        <f>T160/N160</f>
        <v/>
      </c>
      <c r="Y160" s="28">
        <f>IF(W160=MAXIFS(W$2:W$3601, A$2:A$3601, A160, B$2:B$3601, B160), "OPTIMAL", "")</f>
        <v/>
      </c>
    </row>
    <row r="161" ht="20" customHeight="1">
      <c r="A161" s="29" t="n">
        <v>4</v>
      </c>
      <c r="B161" s="29" t="n">
        <v>25</v>
      </c>
      <c r="C161" s="30" t="n">
        <v>95</v>
      </c>
      <c r="D161" s="30" t="n">
        <v>3</v>
      </c>
      <c r="E161" s="6" t="n">
        <v>8</v>
      </c>
      <c r="F161" s="30" t="n">
        <v>2</v>
      </c>
      <c r="G161" s="6" t="inlineStr">
        <is>
          <t>Non</t>
        </is>
      </c>
      <c r="H161" s="6" t="inlineStr">
        <is>
          <t>OFF</t>
        </is>
      </c>
      <c r="I161" s="31" t="n">
        <v>580.1183283215253</v>
      </c>
      <c r="J161" s="31" t="n">
        <v>1533.568798690708</v>
      </c>
      <c r="K161" s="31" t="n">
        <v>1407.407407407407</v>
      </c>
      <c r="L161" s="31" t="n">
        <v>150</v>
      </c>
      <c r="M161" s="31">
        <f>I161+J161+K161+L161</f>
        <v/>
      </c>
      <c r="N161" s="31">
        <f>M161*'Dashboard &amp; Optimisation'!$B$18/('Dashboard &amp; Optimisation'!$B$16/3.6)</f>
        <v/>
      </c>
      <c r="O161" s="31" t="n">
        <v>553.5332900485001</v>
      </c>
      <c r="P161" s="32" t="n">
        <v>0.2438274494986292</v>
      </c>
      <c r="Q161" s="33" t="n">
        <v>18.95124197837385</v>
      </c>
      <c r="R161" s="31" t="n">
        <v>501.472719104847</v>
      </c>
      <c r="S161" s="31">
        <f>R161*IF(A161=4, 2.0, 3.0)</f>
        <v/>
      </c>
      <c r="T161" s="30">
        <f>'Dashboard &amp; Optimisation'!$B$18*U161</f>
        <v/>
      </c>
      <c r="U161" s="34">
        <f>MIN(1, S161/M161)</f>
        <v/>
      </c>
      <c r="V161" s="34">
        <f>N161/(N161+O161)</f>
        <v/>
      </c>
      <c r="W161" s="34">
        <f>U161*V161</f>
        <v/>
      </c>
      <c r="X161" s="32">
        <f>T161/N161</f>
        <v/>
      </c>
      <c r="Y161" s="35">
        <f>IF(W161=MAXIFS(W$2:W$3601, A$2:A$3601, A161, B$2:B$3601, B161), "OPTIMAL", "")</f>
        <v/>
      </c>
    </row>
    <row r="162" ht="20" customHeight="1">
      <c r="A162" s="21" t="n">
        <v>4</v>
      </c>
      <c r="B162" s="21" t="n">
        <v>25</v>
      </c>
      <c r="C162" s="22" t="n">
        <v>100</v>
      </c>
      <c r="D162" s="22" t="n">
        <v>2</v>
      </c>
      <c r="E162" s="23" t="n">
        <v>0</v>
      </c>
      <c r="F162" s="22" t="n">
        <v>0</v>
      </c>
      <c r="G162" s="23" t="inlineStr">
        <is>
          <t>Oui</t>
        </is>
      </c>
      <c r="H162" s="23" t="inlineStr">
        <is>
          <t>ON</t>
        </is>
      </c>
      <c r="I162" s="24" t="n">
        <v>580.1183283215253</v>
      </c>
      <c r="J162" s="24" t="n">
        <v>1533.568798690708</v>
      </c>
      <c r="K162" s="24" t="n">
        <v>1407.407407407407</v>
      </c>
      <c r="L162" s="24" t="n">
        <v>150</v>
      </c>
      <c r="M162" s="24">
        <f>I162+J162+K162+L162</f>
        <v/>
      </c>
      <c r="N162" s="24">
        <f>M162*'Dashboard &amp; Optimisation'!$B$18/('Dashboard &amp; Optimisation'!$B$16/3.6)</f>
        <v/>
      </c>
      <c r="O162" s="24" t="n">
        <v>158.7208519293201</v>
      </c>
      <c r="P162" s="25" t="n">
        <v>0.4806796209288155</v>
      </c>
      <c r="Q162" s="26" t="n">
        <v>0.2</v>
      </c>
      <c r="R162" s="24" t="n">
        <v>198.6134098959221</v>
      </c>
      <c r="S162" s="24">
        <f>R162*IF(A162=4, 2.0, 3.0)</f>
        <v/>
      </c>
      <c r="T162" s="22">
        <f>'Dashboard &amp; Optimisation'!$B$18*U162</f>
        <v/>
      </c>
      <c r="U162" s="27">
        <f>MIN(1, S162/M162)</f>
        <v/>
      </c>
      <c r="V162" s="27">
        <f>N162/(N162+O162)</f>
        <v/>
      </c>
      <c r="W162" s="27">
        <f>U162*V162</f>
        <v/>
      </c>
      <c r="X162" s="25">
        <f>T162/N162</f>
        <v/>
      </c>
      <c r="Y162" s="28">
        <f>IF(W162=MAXIFS(W$2:W$3601, A$2:A$3601, A162, B$2:B$3601, B162), "OPTIMAL", "")</f>
        <v/>
      </c>
    </row>
    <row r="163" ht="20" customHeight="1">
      <c r="A163" s="29" t="n">
        <v>4</v>
      </c>
      <c r="B163" s="29" t="n">
        <v>25</v>
      </c>
      <c r="C163" s="30" t="n">
        <v>100</v>
      </c>
      <c r="D163" s="30" t="n">
        <v>2</v>
      </c>
      <c r="E163" s="6" t="n">
        <v>0</v>
      </c>
      <c r="F163" s="30" t="n">
        <v>0</v>
      </c>
      <c r="G163" s="6" t="inlineStr">
        <is>
          <t>Oui</t>
        </is>
      </c>
      <c r="H163" s="6" t="inlineStr">
        <is>
          <t>OFF</t>
        </is>
      </c>
      <c r="I163" s="31" t="n">
        <v>580.1183283215253</v>
      </c>
      <c r="J163" s="31" t="n">
        <v>1533.568798690708</v>
      </c>
      <c r="K163" s="31" t="n">
        <v>1407.407407407407</v>
      </c>
      <c r="L163" s="31" t="n">
        <v>150</v>
      </c>
      <c r="M163" s="31">
        <f>I163+J163+K163+L163</f>
        <v/>
      </c>
      <c r="N163" s="31">
        <f>M163*'Dashboard &amp; Optimisation'!$B$18/('Dashboard &amp; Optimisation'!$B$16/3.6)</f>
        <v/>
      </c>
      <c r="O163" s="31" t="n">
        <v>158.7208519293201</v>
      </c>
      <c r="P163" s="32" t="n">
        <v>0.7989895071126063</v>
      </c>
      <c r="Q163" s="33" t="n">
        <v>0.2</v>
      </c>
      <c r="R163" s="31" t="n">
        <v>119.4877000639962</v>
      </c>
      <c r="S163" s="31">
        <f>R163*IF(A163=4, 2.0, 3.0)</f>
        <v/>
      </c>
      <c r="T163" s="30">
        <f>'Dashboard &amp; Optimisation'!$B$18*U163</f>
        <v/>
      </c>
      <c r="U163" s="34">
        <f>MIN(1, S163/M163)</f>
        <v/>
      </c>
      <c r="V163" s="34">
        <f>N163/(N163+O163)</f>
        <v/>
      </c>
      <c r="W163" s="34">
        <f>U163*V163</f>
        <v/>
      </c>
      <c r="X163" s="32">
        <f>T163/N163</f>
        <v/>
      </c>
      <c r="Y163" s="35">
        <f>IF(W163=MAXIFS(W$2:W$3601, A$2:A$3601, A163, B$2:B$3601, B163), "OPTIMAL", "")</f>
        <v/>
      </c>
    </row>
    <row r="164" ht="20" customHeight="1">
      <c r="A164" s="21" t="n">
        <v>4</v>
      </c>
      <c r="B164" s="21" t="n">
        <v>25</v>
      </c>
      <c r="C164" s="22" t="n">
        <v>100</v>
      </c>
      <c r="D164" s="22" t="n">
        <v>2</v>
      </c>
      <c r="E164" s="23" t="n">
        <v>0</v>
      </c>
      <c r="F164" s="22" t="n">
        <v>0</v>
      </c>
      <c r="G164" s="23" t="inlineStr">
        <is>
          <t>Non</t>
        </is>
      </c>
      <c r="H164" s="23" t="inlineStr">
        <is>
          <t>ON</t>
        </is>
      </c>
      <c r="I164" s="24" t="n">
        <v>580.1183283215253</v>
      </c>
      <c r="J164" s="24" t="n">
        <v>1533.568798690708</v>
      </c>
      <c r="K164" s="24" t="n">
        <v>1407.407407407407</v>
      </c>
      <c r="L164" s="24" t="n">
        <v>150</v>
      </c>
      <c r="M164" s="24">
        <f>I164+J164+K164+L164</f>
        <v/>
      </c>
      <c r="N164" s="24">
        <f>M164*'Dashboard &amp; Optimisation'!$B$18/('Dashboard &amp; Optimisation'!$B$16/3.6)</f>
        <v/>
      </c>
      <c r="O164" s="24" t="n">
        <v>158.7208519293201</v>
      </c>
      <c r="P164" s="25" t="n">
        <v>0.4774965220669776</v>
      </c>
      <c r="Q164" s="26" t="n">
        <v>0.2</v>
      </c>
      <c r="R164" s="24" t="n">
        <v>199.9374114116793</v>
      </c>
      <c r="S164" s="24">
        <f>R164*IF(A164=4, 2.0, 3.0)</f>
        <v/>
      </c>
      <c r="T164" s="22">
        <f>'Dashboard &amp; Optimisation'!$B$18*U164</f>
        <v/>
      </c>
      <c r="U164" s="27">
        <f>MIN(1, S164/M164)</f>
        <v/>
      </c>
      <c r="V164" s="27">
        <f>N164/(N164+O164)</f>
        <v/>
      </c>
      <c r="W164" s="27">
        <f>U164*V164</f>
        <v/>
      </c>
      <c r="X164" s="25">
        <f>T164/N164</f>
        <v/>
      </c>
      <c r="Y164" s="28">
        <f>IF(W164=MAXIFS(W$2:W$3601, A$2:A$3601, A164, B$2:B$3601, B164), "OPTIMAL", "")</f>
        <v/>
      </c>
    </row>
    <row r="165" ht="20" customHeight="1">
      <c r="A165" s="29" t="n">
        <v>4</v>
      </c>
      <c r="B165" s="29" t="n">
        <v>25</v>
      </c>
      <c r="C165" s="30" t="n">
        <v>100</v>
      </c>
      <c r="D165" s="30" t="n">
        <v>2</v>
      </c>
      <c r="E165" s="6" t="n">
        <v>0</v>
      </c>
      <c r="F165" s="30" t="n">
        <v>0</v>
      </c>
      <c r="G165" s="6" t="inlineStr">
        <is>
          <t>Non</t>
        </is>
      </c>
      <c r="H165" s="6" t="inlineStr">
        <is>
          <t>OFF</t>
        </is>
      </c>
      <c r="I165" s="31" t="n">
        <v>580.1183283215253</v>
      </c>
      <c r="J165" s="31" t="n">
        <v>1533.568798690708</v>
      </c>
      <c r="K165" s="31" t="n">
        <v>1407.407407407407</v>
      </c>
      <c r="L165" s="31" t="n">
        <v>150</v>
      </c>
      <c r="M165" s="31">
        <f>I165+J165+K165+L165</f>
        <v/>
      </c>
      <c r="N165" s="31">
        <f>M165*'Dashboard &amp; Optimisation'!$B$18/('Dashboard &amp; Optimisation'!$B$16/3.6)</f>
        <v/>
      </c>
      <c r="O165" s="31" t="n">
        <v>158.7208519293201</v>
      </c>
      <c r="P165" s="32" t="n">
        <v>0.7958064082507683</v>
      </c>
      <c r="Q165" s="33" t="n">
        <v>0.2</v>
      </c>
      <c r="R165" s="31" t="n">
        <v>119.9656318299811</v>
      </c>
      <c r="S165" s="31">
        <f>R165*IF(A165=4, 2.0, 3.0)</f>
        <v/>
      </c>
      <c r="T165" s="30">
        <f>'Dashboard &amp; Optimisation'!$B$18*U165</f>
        <v/>
      </c>
      <c r="U165" s="34">
        <f>MIN(1, S165/M165)</f>
        <v/>
      </c>
      <c r="V165" s="34">
        <f>N165/(N165+O165)</f>
        <v/>
      </c>
      <c r="W165" s="34">
        <f>U165*V165</f>
        <v/>
      </c>
      <c r="X165" s="32">
        <f>T165/N165</f>
        <v/>
      </c>
      <c r="Y165" s="35">
        <f>IF(W165=MAXIFS(W$2:W$3601, A$2:A$3601, A165, B$2:B$3601, B165), "OPTIMAL", "")</f>
        <v/>
      </c>
    </row>
    <row r="166" ht="20" customHeight="1">
      <c r="A166" s="21" t="n">
        <v>4</v>
      </c>
      <c r="B166" s="21" t="n">
        <v>25</v>
      </c>
      <c r="C166" s="22" t="n">
        <v>100</v>
      </c>
      <c r="D166" s="22" t="n">
        <v>2</v>
      </c>
      <c r="E166" s="23" t="n">
        <v>4</v>
      </c>
      <c r="F166" s="22" t="n">
        <v>1.5</v>
      </c>
      <c r="G166" s="23" t="inlineStr">
        <is>
          <t>Oui</t>
        </is>
      </c>
      <c r="H166" s="23" t="inlineStr">
        <is>
          <t>ON</t>
        </is>
      </c>
      <c r="I166" s="24" t="n">
        <v>580.1183283215253</v>
      </c>
      <c r="J166" s="24" t="n">
        <v>1533.568798690708</v>
      </c>
      <c r="K166" s="24" t="n">
        <v>1407.407407407407</v>
      </c>
      <c r="L166" s="24" t="n">
        <v>150</v>
      </c>
      <c r="M166" s="24">
        <f>I166+J166+K166+L166</f>
        <v/>
      </c>
      <c r="N166" s="24">
        <f>M166*'Dashboard &amp; Optimisation'!$B$18/('Dashboard &amp; Optimisation'!$B$16/3.6)</f>
        <v/>
      </c>
      <c r="O166" s="24" t="n">
        <v>249.2431938203411</v>
      </c>
      <c r="P166" s="25" t="n">
        <v>0.07376163664698646</v>
      </c>
      <c r="Q166" s="26" t="n">
        <v>6.718986469044035</v>
      </c>
      <c r="R166" s="24" t="n">
        <v>1336.849615193424</v>
      </c>
      <c r="S166" s="24">
        <f>R166*IF(A166=4, 2.0, 3.0)</f>
        <v/>
      </c>
      <c r="T166" s="22">
        <f>'Dashboard &amp; Optimisation'!$B$18*U166</f>
        <v/>
      </c>
      <c r="U166" s="27">
        <f>MIN(1, S166/M166)</f>
        <v/>
      </c>
      <c r="V166" s="27">
        <f>N166/(N166+O166)</f>
        <v/>
      </c>
      <c r="W166" s="27">
        <f>U166*V166</f>
        <v/>
      </c>
      <c r="X166" s="25">
        <f>T166/N166</f>
        <v/>
      </c>
      <c r="Y166" s="28">
        <f>IF(W166=MAXIFS(W$2:W$3601, A$2:A$3601, A166, B$2:B$3601, B166), "OPTIMAL", "")</f>
        <v/>
      </c>
    </row>
    <row r="167" ht="20" customHeight="1">
      <c r="A167" s="29" t="n">
        <v>4</v>
      </c>
      <c r="B167" s="29" t="n">
        <v>25</v>
      </c>
      <c r="C167" s="30" t="n">
        <v>100</v>
      </c>
      <c r="D167" s="30" t="n">
        <v>2</v>
      </c>
      <c r="E167" s="6" t="n">
        <v>4</v>
      </c>
      <c r="F167" s="30" t="n">
        <v>1.5</v>
      </c>
      <c r="G167" s="6" t="inlineStr">
        <is>
          <t>Oui</t>
        </is>
      </c>
      <c r="H167" s="6" t="inlineStr">
        <is>
          <t>OFF</t>
        </is>
      </c>
      <c r="I167" s="31" t="n">
        <v>580.1183283215253</v>
      </c>
      <c r="J167" s="31" t="n">
        <v>1533.568798690708</v>
      </c>
      <c r="K167" s="31" t="n">
        <v>1407.407407407407</v>
      </c>
      <c r="L167" s="31" t="n">
        <v>150</v>
      </c>
      <c r="M167" s="31">
        <f>I167+J167+K167+L167</f>
        <v/>
      </c>
      <c r="N167" s="31">
        <f>M167*'Dashboard &amp; Optimisation'!$B$18/('Dashboard &amp; Optimisation'!$B$16/3.6)</f>
        <v/>
      </c>
      <c r="O167" s="31" t="n">
        <v>249.2431938203411</v>
      </c>
      <c r="P167" s="32" t="n">
        <v>0.3073240714228834</v>
      </c>
      <c r="Q167" s="33" t="n">
        <v>6.718986469044035</v>
      </c>
      <c r="R167" s="31" t="n">
        <v>320.8606963685391</v>
      </c>
      <c r="S167" s="31">
        <f>R167*IF(A167=4, 2.0, 3.0)</f>
        <v/>
      </c>
      <c r="T167" s="30">
        <f>'Dashboard &amp; Optimisation'!$B$18*U167</f>
        <v/>
      </c>
      <c r="U167" s="34">
        <f>MIN(1, S167/M167)</f>
        <v/>
      </c>
      <c r="V167" s="34">
        <f>N167/(N167+O167)</f>
        <v/>
      </c>
      <c r="W167" s="34">
        <f>U167*V167</f>
        <v/>
      </c>
      <c r="X167" s="32">
        <f>T167/N167</f>
        <v/>
      </c>
      <c r="Y167" s="35">
        <f>IF(W167=MAXIFS(W$2:W$3601, A$2:A$3601, A167, B$2:B$3601, B167), "OPTIMAL", "")</f>
        <v/>
      </c>
    </row>
    <row r="168" ht="20" customHeight="1">
      <c r="A168" s="21" t="n">
        <v>4</v>
      </c>
      <c r="B168" s="21" t="n">
        <v>25</v>
      </c>
      <c r="C168" s="22" t="n">
        <v>100</v>
      </c>
      <c r="D168" s="22" t="n">
        <v>2</v>
      </c>
      <c r="E168" s="23" t="n">
        <v>4</v>
      </c>
      <c r="F168" s="22" t="n">
        <v>1.5</v>
      </c>
      <c r="G168" s="23" t="inlineStr">
        <is>
          <t>Non</t>
        </is>
      </c>
      <c r="H168" s="23" t="inlineStr">
        <is>
          <t>ON</t>
        </is>
      </c>
      <c r="I168" s="24" t="n">
        <v>580.1183283215253</v>
      </c>
      <c r="J168" s="24" t="n">
        <v>1533.568798690708</v>
      </c>
      <c r="K168" s="24" t="n">
        <v>1407.407407407407</v>
      </c>
      <c r="L168" s="24" t="n">
        <v>150</v>
      </c>
      <c r="M168" s="24">
        <f>I168+J168+K168+L168</f>
        <v/>
      </c>
      <c r="N168" s="24">
        <f>M168*'Dashboard &amp; Optimisation'!$B$18/('Dashboard &amp; Optimisation'!$B$16/3.6)</f>
        <v/>
      </c>
      <c r="O168" s="24" t="n">
        <v>249.2431938203411</v>
      </c>
      <c r="P168" s="25" t="n">
        <v>0.07057853778514854</v>
      </c>
      <c r="Q168" s="26" t="n">
        <v>6.718986469044035</v>
      </c>
      <c r="R168" s="24" t="n">
        <v>1397.141661785895</v>
      </c>
      <c r="S168" s="24">
        <f>R168*IF(A168=4, 2.0, 3.0)</f>
        <v/>
      </c>
      <c r="T168" s="22">
        <f>'Dashboard &amp; Optimisation'!$B$18*U168</f>
        <v/>
      </c>
      <c r="U168" s="27">
        <f>MIN(1, S168/M168)</f>
        <v/>
      </c>
      <c r="V168" s="27">
        <f>N168/(N168+O168)</f>
        <v/>
      </c>
      <c r="W168" s="27">
        <f>U168*V168</f>
        <v/>
      </c>
      <c r="X168" s="25">
        <f>T168/N168</f>
        <v/>
      </c>
      <c r="Y168" s="28">
        <f>IF(W168=MAXIFS(W$2:W$3601, A$2:A$3601, A168, B$2:B$3601, B168), "OPTIMAL", "")</f>
        <v/>
      </c>
    </row>
    <row r="169" ht="20" customHeight="1">
      <c r="A169" s="29" t="n">
        <v>4</v>
      </c>
      <c r="B169" s="29" t="n">
        <v>25</v>
      </c>
      <c r="C169" s="30" t="n">
        <v>100</v>
      </c>
      <c r="D169" s="30" t="n">
        <v>2</v>
      </c>
      <c r="E169" s="6" t="n">
        <v>4</v>
      </c>
      <c r="F169" s="30" t="n">
        <v>1.5</v>
      </c>
      <c r="G169" s="6" t="inlineStr">
        <is>
          <t>Non</t>
        </is>
      </c>
      <c r="H169" s="6" t="inlineStr">
        <is>
          <t>OFF</t>
        </is>
      </c>
      <c r="I169" s="31" t="n">
        <v>580.1183283215253</v>
      </c>
      <c r="J169" s="31" t="n">
        <v>1533.568798690708</v>
      </c>
      <c r="K169" s="31" t="n">
        <v>1407.407407407407</v>
      </c>
      <c r="L169" s="31" t="n">
        <v>150</v>
      </c>
      <c r="M169" s="31">
        <f>I169+J169+K169+L169</f>
        <v/>
      </c>
      <c r="N169" s="31">
        <f>M169*'Dashboard &amp; Optimisation'!$B$18/('Dashboard &amp; Optimisation'!$B$16/3.6)</f>
        <v/>
      </c>
      <c r="O169" s="31" t="n">
        <v>249.2431938203411</v>
      </c>
      <c r="P169" s="32" t="n">
        <v>0.3041409725610454</v>
      </c>
      <c r="Q169" s="33" t="n">
        <v>6.718986469044035</v>
      </c>
      <c r="R169" s="31" t="n">
        <v>324.2187816301828</v>
      </c>
      <c r="S169" s="31">
        <f>R169*IF(A169=4, 2.0, 3.0)</f>
        <v/>
      </c>
      <c r="T169" s="30">
        <f>'Dashboard &amp; Optimisation'!$B$18*U169</f>
        <v/>
      </c>
      <c r="U169" s="34">
        <f>MIN(1, S169/M169)</f>
        <v/>
      </c>
      <c r="V169" s="34">
        <f>N169/(N169+O169)</f>
        <v/>
      </c>
      <c r="W169" s="34">
        <f>U169*V169</f>
        <v/>
      </c>
      <c r="X169" s="32">
        <f>T169/N169</f>
        <v/>
      </c>
      <c r="Y169" s="35">
        <f>IF(W169=MAXIFS(W$2:W$3601, A$2:A$3601, A169, B$2:B$3601, B169), "OPTIMAL", "")</f>
        <v/>
      </c>
    </row>
    <row r="170" ht="20" customHeight="1">
      <c r="A170" s="21" t="n">
        <v>4</v>
      </c>
      <c r="B170" s="21" t="n">
        <v>25</v>
      </c>
      <c r="C170" s="22" t="n">
        <v>100</v>
      </c>
      <c r="D170" s="22" t="n">
        <v>2</v>
      </c>
      <c r="E170" s="23" t="n">
        <v>4</v>
      </c>
      <c r="F170" s="22" t="n">
        <v>2</v>
      </c>
      <c r="G170" s="23" t="inlineStr">
        <is>
          <t>Oui</t>
        </is>
      </c>
      <c r="H170" s="23" t="inlineStr">
        <is>
          <t>ON</t>
        </is>
      </c>
      <c r="I170" s="24" t="n">
        <v>580.1183283215253</v>
      </c>
      <c r="J170" s="24" t="n">
        <v>1533.568798690708</v>
      </c>
      <c r="K170" s="24" t="n">
        <v>1407.407407407407</v>
      </c>
      <c r="L170" s="24" t="n">
        <v>150</v>
      </c>
      <c r="M170" s="24">
        <f>I170+J170+K170+L170</f>
        <v/>
      </c>
      <c r="N170" s="24">
        <f>M170*'Dashboard &amp; Optimisation'!$B$18/('Dashboard &amp; Optimisation'!$B$16/3.6)</f>
        <v/>
      </c>
      <c r="O170" s="24" t="n">
        <v>280.7546975389689</v>
      </c>
      <c r="P170" s="25" t="n">
        <v>0.07106618988155999</v>
      </c>
      <c r="Q170" s="26" t="n">
        <v>8.891981958725379</v>
      </c>
      <c r="R170" s="24" t="n">
        <v>1402.929500264641</v>
      </c>
      <c r="S170" s="24">
        <f>R170*IF(A170=4, 2.0, 3.0)</f>
        <v/>
      </c>
      <c r="T170" s="22">
        <f>'Dashboard &amp; Optimisation'!$B$18*U170</f>
        <v/>
      </c>
      <c r="U170" s="27">
        <f>MIN(1, S170/M170)</f>
        <v/>
      </c>
      <c r="V170" s="27">
        <f>N170/(N170+O170)</f>
        <v/>
      </c>
      <c r="W170" s="27">
        <f>U170*V170</f>
        <v/>
      </c>
      <c r="X170" s="25">
        <f>T170/N170</f>
        <v/>
      </c>
      <c r="Y170" s="28">
        <f>IF(W170=MAXIFS(W$2:W$3601, A$2:A$3601, A170, B$2:B$3601, B170), "OPTIMAL", "")</f>
        <v/>
      </c>
    </row>
    <row r="171" ht="20" customHeight="1">
      <c r="A171" s="29" t="n">
        <v>4</v>
      </c>
      <c r="B171" s="29" t="n">
        <v>25</v>
      </c>
      <c r="C171" s="30" t="n">
        <v>100</v>
      </c>
      <c r="D171" s="30" t="n">
        <v>2</v>
      </c>
      <c r="E171" s="6" t="n">
        <v>4</v>
      </c>
      <c r="F171" s="30" t="n">
        <v>2</v>
      </c>
      <c r="G171" s="6" t="inlineStr">
        <is>
          <t>Oui</t>
        </is>
      </c>
      <c r="H171" s="6" t="inlineStr">
        <is>
          <t>OFF</t>
        </is>
      </c>
      <c r="I171" s="31" t="n">
        <v>580.1183283215253</v>
      </c>
      <c r="J171" s="31" t="n">
        <v>1533.568798690708</v>
      </c>
      <c r="K171" s="31" t="n">
        <v>1407.407407407407</v>
      </c>
      <c r="L171" s="31" t="n">
        <v>150</v>
      </c>
      <c r="M171" s="31">
        <f>I171+J171+K171+L171</f>
        <v/>
      </c>
      <c r="N171" s="31">
        <f>M171*'Dashboard &amp; Optimisation'!$B$18/('Dashboard &amp; Optimisation'!$B$16/3.6)</f>
        <v/>
      </c>
      <c r="O171" s="31" t="n">
        <v>280.7546975389689</v>
      </c>
      <c r="P171" s="32" t="n">
        <v>0.3057228026390766</v>
      </c>
      <c r="Q171" s="33" t="n">
        <v>8.891981958725379</v>
      </c>
      <c r="R171" s="31" t="n">
        <v>326.1152043472259</v>
      </c>
      <c r="S171" s="31">
        <f>R171*IF(A171=4, 2.0, 3.0)</f>
        <v/>
      </c>
      <c r="T171" s="30">
        <f>'Dashboard &amp; Optimisation'!$B$18*U171</f>
        <v/>
      </c>
      <c r="U171" s="34">
        <f>MIN(1, S171/M171)</f>
        <v/>
      </c>
      <c r="V171" s="34">
        <f>N171/(N171+O171)</f>
        <v/>
      </c>
      <c r="W171" s="34">
        <f>U171*V171</f>
        <v/>
      </c>
      <c r="X171" s="32">
        <f>T171/N171</f>
        <v/>
      </c>
      <c r="Y171" s="35">
        <f>IF(W171=MAXIFS(W$2:W$3601, A$2:A$3601, A171, B$2:B$3601, B171), "OPTIMAL", "")</f>
        <v/>
      </c>
    </row>
    <row r="172" ht="20" customHeight="1">
      <c r="A172" s="21" t="n">
        <v>4</v>
      </c>
      <c r="B172" s="21" t="n">
        <v>25</v>
      </c>
      <c r="C172" s="22" t="n">
        <v>100</v>
      </c>
      <c r="D172" s="22" t="n">
        <v>2</v>
      </c>
      <c r="E172" s="23" t="n">
        <v>4</v>
      </c>
      <c r="F172" s="22" t="n">
        <v>2</v>
      </c>
      <c r="G172" s="23" t="inlineStr">
        <is>
          <t>Non</t>
        </is>
      </c>
      <c r="H172" s="23" t="inlineStr">
        <is>
          <t>ON</t>
        </is>
      </c>
      <c r="I172" s="24" t="n">
        <v>580.1183283215253</v>
      </c>
      <c r="J172" s="24" t="n">
        <v>1533.568798690708</v>
      </c>
      <c r="K172" s="24" t="n">
        <v>1407.407407407407</v>
      </c>
      <c r="L172" s="24" t="n">
        <v>150</v>
      </c>
      <c r="M172" s="24">
        <f>I172+J172+K172+L172</f>
        <v/>
      </c>
      <c r="N172" s="24">
        <f>M172*'Dashboard &amp; Optimisation'!$B$18/('Dashboard &amp; Optimisation'!$B$16/3.6)</f>
        <v/>
      </c>
      <c r="O172" s="24" t="n">
        <v>280.7546975389689</v>
      </c>
      <c r="P172" s="25" t="n">
        <v>0.06788309101972209</v>
      </c>
      <c r="Q172" s="26" t="n">
        <v>8.891981958725379</v>
      </c>
      <c r="R172" s="24" t="n">
        <v>1468.714119504118</v>
      </c>
      <c r="S172" s="24">
        <f>R172*IF(A172=4, 2.0, 3.0)</f>
        <v/>
      </c>
      <c r="T172" s="22">
        <f>'Dashboard &amp; Optimisation'!$B$18*U172</f>
        <v/>
      </c>
      <c r="U172" s="27">
        <f>MIN(1, S172/M172)</f>
        <v/>
      </c>
      <c r="V172" s="27">
        <f>N172/(N172+O172)</f>
        <v/>
      </c>
      <c r="W172" s="27">
        <f>U172*V172</f>
        <v/>
      </c>
      <c r="X172" s="25">
        <f>T172/N172</f>
        <v/>
      </c>
      <c r="Y172" s="28">
        <f>IF(W172=MAXIFS(W$2:W$3601, A$2:A$3601, A172, B$2:B$3601, B172), "OPTIMAL", "")</f>
        <v/>
      </c>
    </row>
    <row r="173" ht="20" customHeight="1">
      <c r="A173" s="29" t="n">
        <v>4</v>
      </c>
      <c r="B173" s="29" t="n">
        <v>25</v>
      </c>
      <c r="C173" s="30" t="n">
        <v>100</v>
      </c>
      <c r="D173" s="30" t="n">
        <v>2</v>
      </c>
      <c r="E173" s="6" t="n">
        <v>4</v>
      </c>
      <c r="F173" s="30" t="n">
        <v>2</v>
      </c>
      <c r="G173" s="6" t="inlineStr">
        <is>
          <t>Non</t>
        </is>
      </c>
      <c r="H173" s="6" t="inlineStr">
        <is>
          <t>OFF</t>
        </is>
      </c>
      <c r="I173" s="31" t="n">
        <v>580.1183283215253</v>
      </c>
      <c r="J173" s="31" t="n">
        <v>1533.568798690708</v>
      </c>
      <c r="K173" s="31" t="n">
        <v>1407.407407407407</v>
      </c>
      <c r="L173" s="31" t="n">
        <v>150</v>
      </c>
      <c r="M173" s="31">
        <f>I173+J173+K173+L173</f>
        <v/>
      </c>
      <c r="N173" s="31">
        <f>M173*'Dashboard &amp; Optimisation'!$B$18/('Dashboard &amp; Optimisation'!$B$16/3.6)</f>
        <v/>
      </c>
      <c r="O173" s="31" t="n">
        <v>280.7546975389689</v>
      </c>
      <c r="P173" s="32" t="n">
        <v>0.3025397037772387</v>
      </c>
      <c r="Q173" s="33" t="n">
        <v>8.891981958725379</v>
      </c>
      <c r="R173" s="31" t="n">
        <v>329.5463471784822</v>
      </c>
      <c r="S173" s="31">
        <f>R173*IF(A173=4, 2.0, 3.0)</f>
        <v/>
      </c>
      <c r="T173" s="30">
        <f>'Dashboard &amp; Optimisation'!$B$18*U173</f>
        <v/>
      </c>
      <c r="U173" s="34">
        <f>MIN(1, S173/M173)</f>
        <v/>
      </c>
      <c r="V173" s="34">
        <f>N173/(N173+O173)</f>
        <v/>
      </c>
      <c r="W173" s="34">
        <f>U173*V173</f>
        <v/>
      </c>
      <c r="X173" s="32">
        <f>T173/N173</f>
        <v/>
      </c>
      <c r="Y173" s="35">
        <f>IF(W173=MAXIFS(W$2:W$3601, A$2:A$3601, A173, B$2:B$3601, B173), "OPTIMAL", "")</f>
        <v/>
      </c>
    </row>
    <row r="174" ht="20" customHeight="1">
      <c r="A174" s="21" t="n">
        <v>4</v>
      </c>
      <c r="B174" s="21" t="n">
        <v>25</v>
      </c>
      <c r="C174" s="22" t="n">
        <v>100</v>
      </c>
      <c r="D174" s="22" t="n">
        <v>2</v>
      </c>
      <c r="E174" s="23" t="n">
        <v>8</v>
      </c>
      <c r="F174" s="22" t="n">
        <v>1.5</v>
      </c>
      <c r="G174" s="23" t="inlineStr">
        <is>
          <t>Oui</t>
        </is>
      </c>
      <c r="H174" s="23" t="inlineStr">
        <is>
          <t>ON</t>
        </is>
      </c>
      <c r="I174" s="24" t="n">
        <v>580.1183283215253</v>
      </c>
      <c r="J174" s="24" t="n">
        <v>1533.568798690708</v>
      </c>
      <c r="K174" s="24" t="n">
        <v>1407.407407407407</v>
      </c>
      <c r="L174" s="24" t="n">
        <v>150</v>
      </c>
      <c r="M174" s="24">
        <f>I174+J174+K174+L174</f>
        <v/>
      </c>
      <c r="N174" s="24">
        <f>M174*'Dashboard &amp; Optimisation'!$B$18/('Dashboard &amp; Optimisation'!$B$16/3.6)</f>
        <v/>
      </c>
      <c r="O174" s="24" t="n">
        <v>345.9201840635431</v>
      </c>
      <c r="P174" s="25" t="n">
        <v>0.05573050288457804</v>
      </c>
      <c r="Q174" s="26" t="n">
        <v>13.23797293808807</v>
      </c>
      <c r="R174" s="24" t="n">
        <v>1829.526296641833</v>
      </c>
      <c r="S174" s="24">
        <f>R174*IF(A174=4, 2.0, 3.0)</f>
        <v/>
      </c>
      <c r="T174" s="22">
        <f>'Dashboard &amp; Optimisation'!$B$18*U174</f>
        <v/>
      </c>
      <c r="U174" s="27">
        <f>MIN(1, S174/M174)</f>
        <v/>
      </c>
      <c r="V174" s="27">
        <f>N174/(N174+O174)</f>
        <v/>
      </c>
      <c r="W174" s="27">
        <f>U174*V174</f>
        <v/>
      </c>
      <c r="X174" s="25">
        <f>T174/N174</f>
        <v/>
      </c>
      <c r="Y174" s="28">
        <f>IF(W174=MAXIFS(W$2:W$3601, A$2:A$3601, A174, B$2:B$3601, B174), "OPTIMAL", "")</f>
        <v/>
      </c>
    </row>
    <row r="175" ht="20" customHeight="1">
      <c r="A175" s="29" t="n">
        <v>4</v>
      </c>
      <c r="B175" s="29" t="n">
        <v>25</v>
      </c>
      <c r="C175" s="30" t="n">
        <v>100</v>
      </c>
      <c r="D175" s="30" t="n">
        <v>2</v>
      </c>
      <c r="E175" s="6" t="n">
        <v>8</v>
      </c>
      <c r="F175" s="30" t="n">
        <v>1.5</v>
      </c>
      <c r="G175" s="6" t="inlineStr">
        <is>
          <t>Oui</t>
        </is>
      </c>
      <c r="H175" s="6" t="inlineStr">
        <is>
          <t>OFF</t>
        </is>
      </c>
      <c r="I175" s="31" t="n">
        <v>580.1183283215253</v>
      </c>
      <c r="J175" s="31" t="n">
        <v>1533.568798690708</v>
      </c>
      <c r="K175" s="31" t="n">
        <v>1407.407407407407</v>
      </c>
      <c r="L175" s="31" t="n">
        <v>150</v>
      </c>
      <c r="M175" s="31">
        <f>I175+J175+K175+L175</f>
        <v/>
      </c>
      <c r="N175" s="31">
        <f>M175*'Dashboard &amp; Optimisation'!$B$18/('Dashboard &amp; Optimisation'!$B$16/3.6)</f>
        <v/>
      </c>
      <c r="O175" s="31" t="n">
        <v>345.9201840635431</v>
      </c>
      <c r="P175" s="32" t="n">
        <v>0.2401827722650424</v>
      </c>
      <c r="Q175" s="33" t="n">
        <v>13.23797293808807</v>
      </c>
      <c r="R175" s="31" t="n">
        <v>424.511798206307</v>
      </c>
      <c r="S175" s="31">
        <f>R175*IF(A175=4, 2.0, 3.0)</f>
        <v/>
      </c>
      <c r="T175" s="30">
        <f>'Dashboard &amp; Optimisation'!$B$18*U175</f>
        <v/>
      </c>
      <c r="U175" s="34">
        <f>MIN(1, S175/M175)</f>
        <v/>
      </c>
      <c r="V175" s="34">
        <f>N175/(N175+O175)</f>
        <v/>
      </c>
      <c r="W175" s="34">
        <f>U175*V175</f>
        <v/>
      </c>
      <c r="X175" s="32">
        <f>T175/N175</f>
        <v/>
      </c>
      <c r="Y175" s="35">
        <f>IF(W175=MAXIFS(W$2:W$3601, A$2:A$3601, A175, B$2:B$3601, B175), "OPTIMAL", "")</f>
        <v/>
      </c>
    </row>
    <row r="176" ht="20" customHeight="1">
      <c r="A176" s="21" t="n">
        <v>4</v>
      </c>
      <c r="B176" s="21" t="n">
        <v>25</v>
      </c>
      <c r="C176" s="22" t="n">
        <v>100</v>
      </c>
      <c r="D176" s="22" t="n">
        <v>2</v>
      </c>
      <c r="E176" s="23" t="n">
        <v>8</v>
      </c>
      <c r="F176" s="22" t="n">
        <v>1.5</v>
      </c>
      <c r="G176" s="23" t="inlineStr">
        <is>
          <t>Non</t>
        </is>
      </c>
      <c r="H176" s="23" t="inlineStr">
        <is>
          <t>ON</t>
        </is>
      </c>
      <c r="I176" s="24" t="n">
        <v>580.1183283215253</v>
      </c>
      <c r="J176" s="24" t="n">
        <v>1533.568798690708</v>
      </c>
      <c r="K176" s="24" t="n">
        <v>1407.407407407407</v>
      </c>
      <c r="L176" s="24" t="n">
        <v>150</v>
      </c>
      <c r="M176" s="24">
        <f>I176+J176+K176+L176</f>
        <v/>
      </c>
      <c r="N176" s="24">
        <f>M176*'Dashboard &amp; Optimisation'!$B$18/('Dashboard &amp; Optimisation'!$B$16/3.6)</f>
        <v/>
      </c>
      <c r="O176" s="24" t="n">
        <v>345.9201840635431</v>
      </c>
      <c r="P176" s="25" t="n">
        <v>0.05254740402274013</v>
      </c>
      <c r="Q176" s="26" t="n">
        <v>13.23797293808807</v>
      </c>
      <c r="R176" s="24" t="n">
        <v>1940.351239963923</v>
      </c>
      <c r="S176" s="24">
        <f>R176*IF(A176=4, 2.0, 3.0)</f>
        <v/>
      </c>
      <c r="T176" s="22">
        <f>'Dashboard &amp; Optimisation'!$B$18*U176</f>
        <v/>
      </c>
      <c r="U176" s="27">
        <f>MIN(1, S176/M176)</f>
        <v/>
      </c>
      <c r="V176" s="27">
        <f>N176/(N176+O176)</f>
        <v/>
      </c>
      <c r="W176" s="27">
        <f>U176*V176</f>
        <v/>
      </c>
      <c r="X176" s="25">
        <f>T176/N176</f>
        <v/>
      </c>
      <c r="Y176" s="28">
        <f>IF(W176=MAXIFS(W$2:W$3601, A$2:A$3601, A176, B$2:B$3601, B176), "OPTIMAL", "")</f>
        <v/>
      </c>
    </row>
    <row r="177" ht="20" customHeight="1">
      <c r="A177" s="29" t="n">
        <v>4</v>
      </c>
      <c r="B177" s="29" t="n">
        <v>25</v>
      </c>
      <c r="C177" s="30" t="n">
        <v>100</v>
      </c>
      <c r="D177" s="30" t="n">
        <v>2</v>
      </c>
      <c r="E177" s="6" t="n">
        <v>8</v>
      </c>
      <c r="F177" s="30" t="n">
        <v>1.5</v>
      </c>
      <c r="G177" s="6" t="inlineStr">
        <is>
          <t>Non</t>
        </is>
      </c>
      <c r="H177" s="6" t="inlineStr">
        <is>
          <t>OFF</t>
        </is>
      </c>
      <c r="I177" s="31" t="n">
        <v>580.1183283215253</v>
      </c>
      <c r="J177" s="31" t="n">
        <v>1533.568798690708</v>
      </c>
      <c r="K177" s="31" t="n">
        <v>1407.407407407407</v>
      </c>
      <c r="L177" s="31" t="n">
        <v>150</v>
      </c>
      <c r="M177" s="31">
        <f>I177+J177+K177+L177</f>
        <v/>
      </c>
      <c r="N177" s="31">
        <f>M177*'Dashboard &amp; Optimisation'!$B$18/('Dashboard &amp; Optimisation'!$B$16/3.6)</f>
        <v/>
      </c>
      <c r="O177" s="31" t="n">
        <v>345.9201840635431</v>
      </c>
      <c r="P177" s="32" t="n">
        <v>0.2369996734032044</v>
      </c>
      <c r="Q177" s="33" t="n">
        <v>13.23797293808807</v>
      </c>
      <c r="R177" s="31" t="n">
        <v>430.2133378004497</v>
      </c>
      <c r="S177" s="31">
        <f>R177*IF(A177=4, 2.0, 3.0)</f>
        <v/>
      </c>
      <c r="T177" s="30">
        <f>'Dashboard &amp; Optimisation'!$B$18*U177</f>
        <v/>
      </c>
      <c r="U177" s="34">
        <f>MIN(1, S177/M177)</f>
        <v/>
      </c>
      <c r="V177" s="34">
        <f>N177/(N177+O177)</f>
        <v/>
      </c>
      <c r="W177" s="34">
        <f>U177*V177</f>
        <v/>
      </c>
      <c r="X177" s="32">
        <f>T177/N177</f>
        <v/>
      </c>
      <c r="Y177" s="35">
        <f>IF(W177=MAXIFS(W$2:W$3601, A$2:A$3601, A177, B$2:B$3601, B177), "OPTIMAL", "")</f>
        <v/>
      </c>
    </row>
    <row r="178" ht="20" customHeight="1">
      <c r="A178" s="21" t="n">
        <v>4</v>
      </c>
      <c r="B178" s="21" t="n">
        <v>25</v>
      </c>
      <c r="C178" s="22" t="n">
        <v>100</v>
      </c>
      <c r="D178" s="22" t="n">
        <v>2</v>
      </c>
      <c r="E178" s="23" t="n">
        <v>8</v>
      </c>
      <c r="F178" s="22" t="n">
        <v>2</v>
      </c>
      <c r="G178" s="23" t="inlineStr">
        <is>
          <t>Oui</t>
        </is>
      </c>
      <c r="H178" s="23" t="inlineStr">
        <is>
          <t>ON</t>
        </is>
      </c>
      <c r="I178" s="24" t="n">
        <v>580.1183283215253</v>
      </c>
      <c r="J178" s="24" t="n">
        <v>1533.568798690708</v>
      </c>
      <c r="K178" s="24" t="n">
        <v>1407.407407407407</v>
      </c>
      <c r="L178" s="24" t="n">
        <v>150</v>
      </c>
      <c r="M178" s="24">
        <f>I178+J178+K178+L178</f>
        <v/>
      </c>
      <c r="N178" s="24">
        <f>M178*'Dashboard &amp; Optimisation'!$B$18/('Dashboard &amp; Optimisation'!$B$16/3.6)</f>
        <v/>
      </c>
      <c r="O178" s="24" t="n">
        <v>414.1079158828244</v>
      </c>
      <c r="P178" s="25" t="n">
        <v>0.05449488140602117</v>
      </c>
      <c r="Q178" s="26" t="n">
        <v>17.58396391745076</v>
      </c>
      <c r="R178" s="24" t="n">
        <v>1914.395964080975</v>
      </c>
      <c r="S178" s="24">
        <f>R178*IF(A178=4, 2.0, 3.0)</f>
        <v/>
      </c>
      <c r="T178" s="22">
        <f>'Dashboard &amp; Optimisation'!$B$18*U178</f>
        <v/>
      </c>
      <c r="U178" s="27">
        <f>MIN(1, S178/M178)</f>
        <v/>
      </c>
      <c r="V178" s="27">
        <f>N178/(N178+O178)</f>
        <v/>
      </c>
      <c r="W178" s="27">
        <f>U178*V178</f>
        <v/>
      </c>
      <c r="X178" s="25">
        <f>T178/N178</f>
        <v/>
      </c>
      <c r="Y178" s="28">
        <f>IF(W178=MAXIFS(W$2:W$3601, A$2:A$3601, A178, B$2:B$3601, B178), "OPTIMAL", "")</f>
        <v/>
      </c>
    </row>
    <row r="179" ht="20" customHeight="1">
      <c r="A179" s="29" t="n">
        <v>4</v>
      </c>
      <c r="B179" s="29" t="n">
        <v>25</v>
      </c>
      <c r="C179" s="30" t="n">
        <v>100</v>
      </c>
      <c r="D179" s="30" t="n">
        <v>2</v>
      </c>
      <c r="E179" s="6" t="n">
        <v>8</v>
      </c>
      <c r="F179" s="30" t="n">
        <v>2</v>
      </c>
      <c r="G179" s="6" t="inlineStr">
        <is>
          <t>Oui</t>
        </is>
      </c>
      <c r="H179" s="6" t="inlineStr">
        <is>
          <t>OFF</t>
        </is>
      </c>
      <c r="I179" s="31" t="n">
        <v>580.1183283215253</v>
      </c>
      <c r="J179" s="31" t="n">
        <v>1533.568798690708</v>
      </c>
      <c r="K179" s="31" t="n">
        <v>1407.407407407407</v>
      </c>
      <c r="L179" s="31" t="n">
        <v>150</v>
      </c>
      <c r="M179" s="31">
        <f>I179+J179+K179+L179</f>
        <v/>
      </c>
      <c r="N179" s="31">
        <f>M179*'Dashboard &amp; Optimisation'!$B$18/('Dashboard &amp; Optimisation'!$B$16/3.6)</f>
        <v/>
      </c>
      <c r="O179" s="31" t="n">
        <v>414.1079158828244</v>
      </c>
      <c r="P179" s="32" t="n">
        <v>0.2403161193409352</v>
      </c>
      <c r="Q179" s="33" t="n">
        <v>17.58396391745076</v>
      </c>
      <c r="R179" s="31" t="n">
        <v>434.1147872763095</v>
      </c>
      <c r="S179" s="31">
        <f>R179*IF(A179=4, 2.0, 3.0)</f>
        <v/>
      </c>
      <c r="T179" s="30">
        <f>'Dashboard &amp; Optimisation'!$B$18*U179</f>
        <v/>
      </c>
      <c r="U179" s="34">
        <f>MIN(1, S179/M179)</f>
        <v/>
      </c>
      <c r="V179" s="34">
        <f>N179/(N179+O179)</f>
        <v/>
      </c>
      <c r="W179" s="34">
        <f>U179*V179</f>
        <v/>
      </c>
      <c r="X179" s="32">
        <f>T179/N179</f>
        <v/>
      </c>
      <c r="Y179" s="35">
        <f>IF(W179=MAXIFS(W$2:W$3601, A$2:A$3601, A179, B$2:B$3601, B179), "OPTIMAL", "")</f>
        <v/>
      </c>
    </row>
    <row r="180" ht="20" customHeight="1">
      <c r="A180" s="21" t="n">
        <v>4</v>
      </c>
      <c r="B180" s="21" t="n">
        <v>25</v>
      </c>
      <c r="C180" s="22" t="n">
        <v>100</v>
      </c>
      <c r="D180" s="22" t="n">
        <v>2</v>
      </c>
      <c r="E180" s="23" t="n">
        <v>8</v>
      </c>
      <c r="F180" s="22" t="n">
        <v>2</v>
      </c>
      <c r="G180" s="23" t="inlineStr">
        <is>
          <t>Non</t>
        </is>
      </c>
      <c r="H180" s="23" t="inlineStr">
        <is>
          <t>ON</t>
        </is>
      </c>
      <c r="I180" s="24" t="n">
        <v>580.1183283215253</v>
      </c>
      <c r="J180" s="24" t="n">
        <v>1533.568798690708</v>
      </c>
      <c r="K180" s="24" t="n">
        <v>1407.407407407407</v>
      </c>
      <c r="L180" s="24" t="n">
        <v>150</v>
      </c>
      <c r="M180" s="24">
        <f>I180+J180+K180+L180</f>
        <v/>
      </c>
      <c r="N180" s="24">
        <f>M180*'Dashboard &amp; Optimisation'!$B$18/('Dashboard &amp; Optimisation'!$B$16/3.6)</f>
        <v/>
      </c>
      <c r="O180" s="24" t="n">
        <v>414.1079158828244</v>
      </c>
      <c r="P180" s="25" t="n">
        <v>0.05131178254418326</v>
      </c>
      <c r="Q180" s="26" t="n">
        <v>17.58396391745076</v>
      </c>
      <c r="R180" s="24" t="n">
        <v>2033.15448916488</v>
      </c>
      <c r="S180" s="24">
        <f>R180*IF(A180=4, 2.0, 3.0)</f>
        <v/>
      </c>
      <c r="T180" s="22">
        <f>'Dashboard &amp; Optimisation'!$B$18*U180</f>
        <v/>
      </c>
      <c r="U180" s="27">
        <f>MIN(1, S180/M180)</f>
        <v/>
      </c>
      <c r="V180" s="27">
        <f>N180/(N180+O180)</f>
        <v/>
      </c>
      <c r="W180" s="27">
        <f>U180*V180</f>
        <v/>
      </c>
      <c r="X180" s="25">
        <f>T180/N180</f>
        <v/>
      </c>
      <c r="Y180" s="28">
        <f>IF(W180=MAXIFS(W$2:W$3601, A$2:A$3601, A180, B$2:B$3601, B180), "OPTIMAL", "")</f>
        <v/>
      </c>
    </row>
    <row r="181" ht="20" customHeight="1">
      <c r="A181" s="29" t="n">
        <v>4</v>
      </c>
      <c r="B181" s="29" t="n">
        <v>25</v>
      </c>
      <c r="C181" s="30" t="n">
        <v>100</v>
      </c>
      <c r="D181" s="30" t="n">
        <v>2</v>
      </c>
      <c r="E181" s="6" t="n">
        <v>8</v>
      </c>
      <c r="F181" s="30" t="n">
        <v>2</v>
      </c>
      <c r="G181" s="6" t="inlineStr">
        <is>
          <t>Non</t>
        </is>
      </c>
      <c r="H181" s="6" t="inlineStr">
        <is>
          <t>OFF</t>
        </is>
      </c>
      <c r="I181" s="31" t="n">
        <v>580.1183283215253</v>
      </c>
      <c r="J181" s="31" t="n">
        <v>1533.568798690708</v>
      </c>
      <c r="K181" s="31" t="n">
        <v>1407.407407407407</v>
      </c>
      <c r="L181" s="31" t="n">
        <v>150</v>
      </c>
      <c r="M181" s="31">
        <f>I181+J181+K181+L181</f>
        <v/>
      </c>
      <c r="N181" s="31">
        <f>M181*'Dashboard &amp; Optimisation'!$B$18/('Dashboard &amp; Optimisation'!$B$16/3.6)</f>
        <v/>
      </c>
      <c r="O181" s="31" t="n">
        <v>414.1079158828244</v>
      </c>
      <c r="P181" s="32" t="n">
        <v>0.2371330204790973</v>
      </c>
      <c r="Q181" s="33" t="n">
        <v>17.58396391745076</v>
      </c>
      <c r="R181" s="31" t="n">
        <v>439.9420241684741</v>
      </c>
      <c r="S181" s="31">
        <f>R181*IF(A181=4, 2.0, 3.0)</f>
        <v/>
      </c>
      <c r="T181" s="30">
        <f>'Dashboard &amp; Optimisation'!$B$18*U181</f>
        <v/>
      </c>
      <c r="U181" s="34">
        <f>MIN(1, S181/M181)</f>
        <v/>
      </c>
      <c r="V181" s="34">
        <f>N181/(N181+O181)</f>
        <v/>
      </c>
      <c r="W181" s="34">
        <f>U181*V181</f>
        <v/>
      </c>
      <c r="X181" s="32">
        <f>T181/N181</f>
        <v/>
      </c>
      <c r="Y181" s="35">
        <f>IF(W181=MAXIFS(W$2:W$3601, A$2:A$3601, A181, B$2:B$3601, B181), "OPTIMAL", "")</f>
        <v/>
      </c>
    </row>
    <row r="182" ht="20" customHeight="1">
      <c r="A182" s="21" t="n">
        <v>4</v>
      </c>
      <c r="B182" s="21" t="n">
        <v>25</v>
      </c>
      <c r="C182" s="22" t="n">
        <v>100</v>
      </c>
      <c r="D182" s="22" t="n">
        <v>3</v>
      </c>
      <c r="E182" s="23" t="n">
        <v>0</v>
      </c>
      <c r="F182" s="22" t="n">
        <v>0</v>
      </c>
      <c r="G182" s="23" t="inlineStr">
        <is>
          <t>Oui</t>
        </is>
      </c>
      <c r="H182" s="23" t="inlineStr">
        <is>
          <t>ON</t>
        </is>
      </c>
      <c r="I182" s="24" t="n">
        <v>580.1183283215253</v>
      </c>
      <c r="J182" s="24" t="n">
        <v>1533.568798690708</v>
      </c>
      <c r="K182" s="24" t="n">
        <v>1407.407407407407</v>
      </c>
      <c r="L182" s="24" t="n">
        <v>150</v>
      </c>
      <c r="M182" s="24">
        <f>I182+J182+K182+L182</f>
        <v/>
      </c>
      <c r="N182" s="24">
        <f>M182*'Dashboard &amp; Optimisation'!$B$18/('Dashboard &amp; Optimisation'!$B$16/3.6)</f>
        <v/>
      </c>
      <c r="O182" s="24" t="n">
        <v>245.7862946294371</v>
      </c>
      <c r="P182" s="25" t="n">
        <v>0.4806959660709754</v>
      </c>
      <c r="Q182" s="26" t="n">
        <v>0.2</v>
      </c>
      <c r="R182" s="24" t="n">
        <v>207.1479114585213</v>
      </c>
      <c r="S182" s="24">
        <f>R182*IF(A182=4, 2.0, 3.0)</f>
        <v/>
      </c>
      <c r="T182" s="22">
        <f>'Dashboard &amp; Optimisation'!$B$18*U182</f>
        <v/>
      </c>
      <c r="U182" s="27">
        <f>MIN(1, S182/M182)</f>
        <v/>
      </c>
      <c r="V182" s="27">
        <f>N182/(N182+O182)</f>
        <v/>
      </c>
      <c r="W182" s="27">
        <f>U182*V182</f>
        <v/>
      </c>
      <c r="X182" s="25">
        <f>T182/N182</f>
        <v/>
      </c>
      <c r="Y182" s="28">
        <f>IF(W182=MAXIFS(W$2:W$3601, A$2:A$3601, A182, B$2:B$3601, B182), "OPTIMAL", "")</f>
        <v/>
      </c>
    </row>
    <row r="183" ht="20" customHeight="1">
      <c r="A183" s="29" t="n">
        <v>4</v>
      </c>
      <c r="B183" s="29" t="n">
        <v>25</v>
      </c>
      <c r="C183" s="30" t="n">
        <v>100</v>
      </c>
      <c r="D183" s="30" t="n">
        <v>3</v>
      </c>
      <c r="E183" s="6" t="n">
        <v>0</v>
      </c>
      <c r="F183" s="30" t="n">
        <v>0</v>
      </c>
      <c r="G183" s="6" t="inlineStr">
        <is>
          <t>Oui</t>
        </is>
      </c>
      <c r="H183" s="6" t="inlineStr">
        <is>
          <t>OFF</t>
        </is>
      </c>
      <c r="I183" s="31" t="n">
        <v>580.1183283215253</v>
      </c>
      <c r="J183" s="31" t="n">
        <v>1533.568798690708</v>
      </c>
      <c r="K183" s="31" t="n">
        <v>1407.407407407407</v>
      </c>
      <c r="L183" s="31" t="n">
        <v>150</v>
      </c>
      <c r="M183" s="31">
        <f>I183+J183+K183+L183</f>
        <v/>
      </c>
      <c r="N183" s="31">
        <f>M183*'Dashboard &amp; Optimisation'!$B$18/('Dashboard &amp; Optimisation'!$B$16/3.6)</f>
        <v/>
      </c>
      <c r="O183" s="31" t="n">
        <v>245.7862946294371</v>
      </c>
      <c r="P183" s="32" t="n">
        <v>0.7990058522547661</v>
      </c>
      <c r="Q183" s="33" t="n">
        <v>0.2</v>
      </c>
      <c r="R183" s="31" t="n">
        <v>124.6238248908205</v>
      </c>
      <c r="S183" s="31">
        <f>R183*IF(A183=4, 2.0, 3.0)</f>
        <v/>
      </c>
      <c r="T183" s="30">
        <f>'Dashboard &amp; Optimisation'!$B$18*U183</f>
        <v/>
      </c>
      <c r="U183" s="34">
        <f>MIN(1, S183/M183)</f>
        <v/>
      </c>
      <c r="V183" s="34">
        <f>N183/(N183+O183)</f>
        <v/>
      </c>
      <c r="W183" s="34">
        <f>U183*V183</f>
        <v/>
      </c>
      <c r="X183" s="32">
        <f>T183/N183</f>
        <v/>
      </c>
      <c r="Y183" s="35">
        <f>IF(W183=MAXIFS(W$2:W$3601, A$2:A$3601, A183, B$2:B$3601, B183), "OPTIMAL", "")</f>
        <v/>
      </c>
    </row>
    <row r="184" ht="20" customHeight="1">
      <c r="A184" s="21" t="n">
        <v>4</v>
      </c>
      <c r="B184" s="21" t="n">
        <v>25</v>
      </c>
      <c r="C184" s="22" t="n">
        <v>100</v>
      </c>
      <c r="D184" s="22" t="n">
        <v>3</v>
      </c>
      <c r="E184" s="23" t="n">
        <v>0</v>
      </c>
      <c r="F184" s="22" t="n">
        <v>0</v>
      </c>
      <c r="G184" s="23" t="inlineStr">
        <is>
          <t>Non</t>
        </is>
      </c>
      <c r="H184" s="23" t="inlineStr">
        <is>
          <t>ON</t>
        </is>
      </c>
      <c r="I184" s="24" t="n">
        <v>580.1183283215253</v>
      </c>
      <c r="J184" s="24" t="n">
        <v>1533.568798690708</v>
      </c>
      <c r="K184" s="24" t="n">
        <v>1407.407407407407</v>
      </c>
      <c r="L184" s="24" t="n">
        <v>150</v>
      </c>
      <c r="M184" s="24">
        <f>I184+J184+K184+L184</f>
        <v/>
      </c>
      <c r="N184" s="24">
        <f>M184*'Dashboard &amp; Optimisation'!$B$18/('Dashboard &amp; Optimisation'!$B$16/3.6)</f>
        <v/>
      </c>
      <c r="O184" s="24" t="n">
        <v>245.7862946294371</v>
      </c>
      <c r="P184" s="25" t="n">
        <v>0.4775128672091374</v>
      </c>
      <c r="Q184" s="26" t="n">
        <v>0.2</v>
      </c>
      <c r="R184" s="24" t="n">
        <v>208.5287586073102</v>
      </c>
      <c r="S184" s="24">
        <f>R184*IF(A184=4, 2.0, 3.0)</f>
        <v/>
      </c>
      <c r="T184" s="22">
        <f>'Dashboard &amp; Optimisation'!$B$18*U184</f>
        <v/>
      </c>
      <c r="U184" s="27">
        <f>MIN(1, S184/M184)</f>
        <v/>
      </c>
      <c r="V184" s="27">
        <f>N184/(N184+O184)</f>
        <v/>
      </c>
      <c r="W184" s="27">
        <f>U184*V184</f>
        <v/>
      </c>
      <c r="X184" s="25">
        <f>T184/N184</f>
        <v/>
      </c>
      <c r="Y184" s="28">
        <f>IF(W184=MAXIFS(W$2:W$3601, A$2:A$3601, A184, B$2:B$3601, B184), "OPTIMAL", "")</f>
        <v/>
      </c>
    </row>
    <row r="185" ht="20" customHeight="1">
      <c r="A185" s="29" t="n">
        <v>4</v>
      </c>
      <c r="B185" s="29" t="n">
        <v>25</v>
      </c>
      <c r="C185" s="30" t="n">
        <v>100</v>
      </c>
      <c r="D185" s="30" t="n">
        <v>3</v>
      </c>
      <c r="E185" s="6" t="n">
        <v>0</v>
      </c>
      <c r="F185" s="30" t="n">
        <v>0</v>
      </c>
      <c r="G185" s="6" t="inlineStr">
        <is>
          <t>Non</t>
        </is>
      </c>
      <c r="H185" s="6" t="inlineStr">
        <is>
          <t>OFF</t>
        </is>
      </c>
      <c r="I185" s="31" t="n">
        <v>580.1183283215253</v>
      </c>
      <c r="J185" s="31" t="n">
        <v>1533.568798690708</v>
      </c>
      <c r="K185" s="31" t="n">
        <v>1407.407407407407</v>
      </c>
      <c r="L185" s="31" t="n">
        <v>150</v>
      </c>
      <c r="M185" s="31">
        <f>I185+J185+K185+L185</f>
        <v/>
      </c>
      <c r="N185" s="31">
        <f>M185*'Dashboard &amp; Optimisation'!$B$18/('Dashboard &amp; Optimisation'!$B$16/3.6)</f>
        <v/>
      </c>
      <c r="O185" s="31" t="n">
        <v>245.7862946294371</v>
      </c>
      <c r="P185" s="32" t="n">
        <v>0.7958227533929282</v>
      </c>
      <c r="Q185" s="33" t="n">
        <v>0.2</v>
      </c>
      <c r="R185" s="31" t="n">
        <v>125.1222900999096</v>
      </c>
      <c r="S185" s="31">
        <f>R185*IF(A185=4, 2.0, 3.0)</f>
        <v/>
      </c>
      <c r="T185" s="30">
        <f>'Dashboard &amp; Optimisation'!$B$18*U185</f>
        <v/>
      </c>
      <c r="U185" s="34">
        <f>MIN(1, S185/M185)</f>
        <v/>
      </c>
      <c r="V185" s="34">
        <f>N185/(N185+O185)</f>
        <v/>
      </c>
      <c r="W185" s="34">
        <f>U185*V185</f>
        <v/>
      </c>
      <c r="X185" s="32">
        <f>T185/N185</f>
        <v/>
      </c>
      <c r="Y185" s="35">
        <f>IF(W185=MAXIFS(W$2:W$3601, A$2:A$3601, A185, B$2:B$3601, B185), "OPTIMAL", "")</f>
        <v/>
      </c>
    </row>
    <row r="186" ht="20" customHeight="1">
      <c r="A186" s="21" t="n">
        <v>4</v>
      </c>
      <c r="B186" s="21" t="n">
        <v>25</v>
      </c>
      <c r="C186" s="22" t="n">
        <v>100</v>
      </c>
      <c r="D186" s="22" t="n">
        <v>3</v>
      </c>
      <c r="E186" s="23" t="n">
        <v>4</v>
      </c>
      <c r="F186" s="22" t="n">
        <v>1.5</v>
      </c>
      <c r="G186" s="23" t="inlineStr">
        <is>
          <t>Oui</t>
        </is>
      </c>
      <c r="H186" s="23" t="inlineStr">
        <is>
          <t>ON</t>
        </is>
      </c>
      <c r="I186" s="24" t="n">
        <v>580.1183283215253</v>
      </c>
      <c r="J186" s="24" t="n">
        <v>1533.568798690708</v>
      </c>
      <c r="K186" s="24" t="n">
        <v>1407.407407407407</v>
      </c>
      <c r="L186" s="24" t="n">
        <v>150</v>
      </c>
      <c r="M186" s="24">
        <f>I186+J186+K186+L186</f>
        <v/>
      </c>
      <c r="N186" s="24">
        <f>M186*'Dashboard &amp; Optimisation'!$B$18/('Dashboard &amp; Optimisation'!$B$16/3.6)</f>
        <v/>
      </c>
      <c r="O186" s="24" t="n">
        <v>341.745841689047</v>
      </c>
      <c r="P186" s="25" t="n">
        <v>0.0735384347268611</v>
      </c>
      <c r="Q186" s="26" t="n">
        <v>6.857688308810928</v>
      </c>
      <c r="R186" s="24" t="n">
        <v>1399.553103730062</v>
      </c>
      <c r="S186" s="24">
        <f>R186*IF(A186=4, 2.0, 3.0)</f>
        <v/>
      </c>
      <c r="T186" s="22">
        <f>'Dashboard &amp; Optimisation'!$B$18*U186</f>
        <v/>
      </c>
      <c r="U186" s="27">
        <f>MIN(1, S186/M186)</f>
        <v/>
      </c>
      <c r="V186" s="27">
        <f>N186/(N186+O186)</f>
        <v/>
      </c>
      <c r="W186" s="27">
        <f>U186*V186</f>
        <v/>
      </c>
      <c r="X186" s="25">
        <f>T186/N186</f>
        <v/>
      </c>
      <c r="Y186" s="28">
        <f>IF(W186=MAXIFS(W$2:W$3601, A$2:A$3601, A186, B$2:B$3601, B186), "OPTIMAL", "")</f>
        <v/>
      </c>
    </row>
    <row r="187" ht="20" customHeight="1">
      <c r="A187" s="29" t="n">
        <v>4</v>
      </c>
      <c r="B187" s="29" t="n">
        <v>25</v>
      </c>
      <c r="C187" s="30" t="n">
        <v>100</v>
      </c>
      <c r="D187" s="30" t="n">
        <v>3</v>
      </c>
      <c r="E187" s="6" t="n">
        <v>4</v>
      </c>
      <c r="F187" s="30" t="n">
        <v>1.5</v>
      </c>
      <c r="G187" s="6" t="inlineStr">
        <is>
          <t>Oui</t>
        </is>
      </c>
      <c r="H187" s="6" t="inlineStr">
        <is>
          <t>OFF</t>
        </is>
      </c>
      <c r="I187" s="31" t="n">
        <v>580.1183283215253</v>
      </c>
      <c r="J187" s="31" t="n">
        <v>1533.568798690708</v>
      </c>
      <c r="K187" s="31" t="n">
        <v>1407.407407407407</v>
      </c>
      <c r="L187" s="31" t="n">
        <v>150</v>
      </c>
      <c r="M187" s="31">
        <f>I187+J187+K187+L187</f>
        <v/>
      </c>
      <c r="N187" s="31">
        <f>M187*'Dashboard &amp; Optimisation'!$B$18/('Dashboard &amp; Optimisation'!$B$16/3.6)</f>
        <v/>
      </c>
      <c r="O187" s="31" t="n">
        <v>341.745841689047</v>
      </c>
      <c r="P187" s="32" t="n">
        <v>0.307100869502758</v>
      </c>
      <c r="Q187" s="33" t="n">
        <v>6.857688308810928</v>
      </c>
      <c r="R187" s="31" t="n">
        <v>335.1372620079953</v>
      </c>
      <c r="S187" s="31">
        <f>R187*IF(A187=4, 2.0, 3.0)</f>
        <v/>
      </c>
      <c r="T187" s="30">
        <f>'Dashboard &amp; Optimisation'!$B$18*U187</f>
        <v/>
      </c>
      <c r="U187" s="34">
        <f>MIN(1, S187/M187)</f>
        <v/>
      </c>
      <c r="V187" s="34">
        <f>N187/(N187+O187)</f>
        <v/>
      </c>
      <c r="W187" s="34">
        <f>U187*V187</f>
        <v/>
      </c>
      <c r="X187" s="32">
        <f>T187/N187</f>
        <v/>
      </c>
      <c r="Y187" s="35">
        <f>IF(W187=MAXIFS(W$2:W$3601, A$2:A$3601, A187, B$2:B$3601, B187), "OPTIMAL", "")</f>
        <v/>
      </c>
    </row>
    <row r="188" ht="20" customHeight="1">
      <c r="A188" s="21" t="n">
        <v>4</v>
      </c>
      <c r="B188" s="21" t="n">
        <v>25</v>
      </c>
      <c r="C188" s="22" t="n">
        <v>100</v>
      </c>
      <c r="D188" s="22" t="n">
        <v>3</v>
      </c>
      <c r="E188" s="23" t="n">
        <v>4</v>
      </c>
      <c r="F188" s="22" t="n">
        <v>1.5</v>
      </c>
      <c r="G188" s="23" t="inlineStr">
        <is>
          <t>Non</t>
        </is>
      </c>
      <c r="H188" s="23" t="inlineStr">
        <is>
          <t>ON</t>
        </is>
      </c>
      <c r="I188" s="24" t="n">
        <v>580.1183283215253</v>
      </c>
      <c r="J188" s="24" t="n">
        <v>1533.568798690708</v>
      </c>
      <c r="K188" s="24" t="n">
        <v>1407.407407407407</v>
      </c>
      <c r="L188" s="24" t="n">
        <v>150</v>
      </c>
      <c r="M188" s="24">
        <f>I188+J188+K188+L188</f>
        <v/>
      </c>
      <c r="N188" s="24">
        <f>M188*'Dashboard &amp; Optimisation'!$B$18/('Dashboard &amp; Optimisation'!$B$16/3.6)</f>
        <v/>
      </c>
      <c r="O188" s="24" t="n">
        <v>341.745841689047</v>
      </c>
      <c r="P188" s="25" t="n">
        <v>0.07035533586502318</v>
      </c>
      <c r="Q188" s="26" t="n">
        <v>6.857688308810928</v>
      </c>
      <c r="R188" s="24" t="n">
        <v>1462.873331496604</v>
      </c>
      <c r="S188" s="24">
        <f>R188*IF(A188=4, 2.0, 3.0)</f>
        <v/>
      </c>
      <c r="T188" s="22">
        <f>'Dashboard &amp; Optimisation'!$B$18*U188</f>
        <v/>
      </c>
      <c r="U188" s="27">
        <f>MIN(1, S188/M188)</f>
        <v/>
      </c>
      <c r="V188" s="27">
        <f>N188/(N188+O188)</f>
        <v/>
      </c>
      <c r="W188" s="27">
        <f>U188*V188</f>
        <v/>
      </c>
      <c r="X188" s="25">
        <f>T188/N188</f>
        <v/>
      </c>
      <c r="Y188" s="28">
        <f>IF(W188=MAXIFS(W$2:W$3601, A$2:A$3601, A188, B$2:B$3601, B188), "OPTIMAL", "")</f>
        <v/>
      </c>
    </row>
    <row r="189" ht="20" customHeight="1">
      <c r="A189" s="29" t="n">
        <v>4</v>
      </c>
      <c r="B189" s="29" t="n">
        <v>25</v>
      </c>
      <c r="C189" s="30" t="n">
        <v>100</v>
      </c>
      <c r="D189" s="30" t="n">
        <v>3</v>
      </c>
      <c r="E189" s="6" t="n">
        <v>4</v>
      </c>
      <c r="F189" s="30" t="n">
        <v>1.5</v>
      </c>
      <c r="G189" s="6" t="inlineStr">
        <is>
          <t>Non</t>
        </is>
      </c>
      <c r="H189" s="6" t="inlineStr">
        <is>
          <t>OFF</t>
        </is>
      </c>
      <c r="I189" s="31" t="n">
        <v>580.1183283215253</v>
      </c>
      <c r="J189" s="31" t="n">
        <v>1533.568798690708</v>
      </c>
      <c r="K189" s="31" t="n">
        <v>1407.407407407407</v>
      </c>
      <c r="L189" s="31" t="n">
        <v>150</v>
      </c>
      <c r="M189" s="31">
        <f>I189+J189+K189+L189</f>
        <v/>
      </c>
      <c r="N189" s="31">
        <f>M189*'Dashboard &amp; Optimisation'!$B$18/('Dashboard &amp; Optimisation'!$B$16/3.6)</f>
        <v/>
      </c>
      <c r="O189" s="31" t="n">
        <v>341.745841689047</v>
      </c>
      <c r="P189" s="32" t="n">
        <v>0.3039177706409201</v>
      </c>
      <c r="Q189" s="33" t="n">
        <v>6.857688308810928</v>
      </c>
      <c r="R189" s="31" t="n">
        <v>338.647339865593</v>
      </c>
      <c r="S189" s="31">
        <f>R189*IF(A189=4, 2.0, 3.0)</f>
        <v/>
      </c>
      <c r="T189" s="30">
        <f>'Dashboard &amp; Optimisation'!$B$18*U189</f>
        <v/>
      </c>
      <c r="U189" s="34">
        <f>MIN(1, S189/M189)</f>
        <v/>
      </c>
      <c r="V189" s="34">
        <f>N189/(N189+O189)</f>
        <v/>
      </c>
      <c r="W189" s="34">
        <f>U189*V189</f>
        <v/>
      </c>
      <c r="X189" s="32">
        <f>T189/N189</f>
        <v/>
      </c>
      <c r="Y189" s="35">
        <f>IF(W189=MAXIFS(W$2:W$3601, A$2:A$3601, A189, B$2:B$3601, B189), "OPTIMAL", "")</f>
        <v/>
      </c>
    </row>
    <row r="190" ht="20" customHeight="1">
      <c r="A190" s="21" t="n">
        <v>4</v>
      </c>
      <c r="B190" s="21" t="n">
        <v>25</v>
      </c>
      <c r="C190" s="22" t="n">
        <v>100</v>
      </c>
      <c r="D190" s="22" t="n">
        <v>3</v>
      </c>
      <c r="E190" s="23" t="n">
        <v>4</v>
      </c>
      <c r="F190" s="22" t="n">
        <v>2</v>
      </c>
      <c r="G190" s="23" t="inlineStr">
        <is>
          <t>Oui</t>
        </is>
      </c>
      <c r="H190" s="23" t="inlineStr">
        <is>
          <t>ON</t>
        </is>
      </c>
      <c r="I190" s="24" t="n">
        <v>580.1183283215253</v>
      </c>
      <c r="J190" s="24" t="n">
        <v>1533.568798690708</v>
      </c>
      <c r="K190" s="24" t="n">
        <v>1407.407407407407</v>
      </c>
      <c r="L190" s="24" t="n">
        <v>150</v>
      </c>
      <c r="M190" s="24">
        <f>I190+J190+K190+L190</f>
        <v/>
      </c>
      <c r="N190" s="24">
        <f>M190*'Dashboard &amp; Optimisation'!$B$18/('Dashboard &amp; Optimisation'!$B$16/3.6)</f>
        <v/>
      </c>
      <c r="O190" s="24" t="n">
        <v>375.1816080990471</v>
      </c>
      <c r="P190" s="25" t="n">
        <v>0.07090019831070833</v>
      </c>
      <c r="Q190" s="26" t="n">
        <v>9.076917745081236</v>
      </c>
      <c r="R190" s="24" t="n">
        <v>1468.073956718295</v>
      </c>
      <c r="S190" s="24">
        <f>R190*IF(A190=4, 2.0, 3.0)</f>
        <v/>
      </c>
      <c r="T190" s="22">
        <f>'Dashboard &amp; Optimisation'!$B$18*U190</f>
        <v/>
      </c>
      <c r="U190" s="27">
        <f>MIN(1, S190/M190)</f>
        <v/>
      </c>
      <c r="V190" s="27">
        <f>N190/(N190+O190)</f>
        <v/>
      </c>
      <c r="W190" s="27">
        <f>U190*V190</f>
        <v/>
      </c>
      <c r="X190" s="25">
        <f>T190/N190</f>
        <v/>
      </c>
      <c r="Y190" s="28">
        <f>IF(W190=MAXIFS(W$2:W$3601, A$2:A$3601, A190, B$2:B$3601, B190), "OPTIMAL", "")</f>
        <v/>
      </c>
    </row>
    <row r="191" ht="20" customHeight="1">
      <c r="A191" s="29" t="n">
        <v>4</v>
      </c>
      <c r="B191" s="29" t="n">
        <v>25</v>
      </c>
      <c r="C191" s="30" t="n">
        <v>100</v>
      </c>
      <c r="D191" s="30" t="n">
        <v>3</v>
      </c>
      <c r="E191" s="6" t="n">
        <v>4</v>
      </c>
      <c r="F191" s="30" t="n">
        <v>2</v>
      </c>
      <c r="G191" s="6" t="inlineStr">
        <is>
          <t>Oui</t>
        </is>
      </c>
      <c r="H191" s="6" t="inlineStr">
        <is>
          <t>OFF</t>
        </is>
      </c>
      <c r="I191" s="31" t="n">
        <v>580.1183283215253</v>
      </c>
      <c r="J191" s="31" t="n">
        <v>1533.568798690708</v>
      </c>
      <c r="K191" s="31" t="n">
        <v>1407.407407407407</v>
      </c>
      <c r="L191" s="31" t="n">
        <v>150</v>
      </c>
      <c r="M191" s="31">
        <f>I191+J191+K191+L191</f>
        <v/>
      </c>
      <c r="N191" s="31">
        <f>M191*'Dashboard &amp; Optimisation'!$B$18/('Dashboard &amp; Optimisation'!$B$16/3.6)</f>
        <v/>
      </c>
      <c r="O191" s="31" t="n">
        <v>375.1816080990471</v>
      </c>
      <c r="P191" s="32" t="n">
        <v>0.305556811068225</v>
      </c>
      <c r="Q191" s="33" t="n">
        <v>9.076917745081236</v>
      </c>
      <c r="R191" s="31" t="n">
        <v>340.646095572953</v>
      </c>
      <c r="S191" s="31">
        <f>R191*IF(A191=4, 2.0, 3.0)</f>
        <v/>
      </c>
      <c r="T191" s="30">
        <f>'Dashboard &amp; Optimisation'!$B$18*U191</f>
        <v/>
      </c>
      <c r="U191" s="34">
        <f>MIN(1, S191/M191)</f>
        <v/>
      </c>
      <c r="V191" s="34">
        <f>N191/(N191+O191)</f>
        <v/>
      </c>
      <c r="W191" s="34">
        <f>U191*V191</f>
        <v/>
      </c>
      <c r="X191" s="32">
        <f>T191/N191</f>
        <v/>
      </c>
      <c r="Y191" s="35">
        <f>IF(W191=MAXIFS(W$2:W$3601, A$2:A$3601, A191, B$2:B$3601, B191), "OPTIMAL", "")</f>
        <v/>
      </c>
    </row>
    <row r="192" ht="20" customHeight="1">
      <c r="A192" s="21" t="n">
        <v>4</v>
      </c>
      <c r="B192" s="21" t="n">
        <v>25</v>
      </c>
      <c r="C192" s="22" t="n">
        <v>100</v>
      </c>
      <c r="D192" s="22" t="n">
        <v>3</v>
      </c>
      <c r="E192" s="23" t="n">
        <v>4</v>
      </c>
      <c r="F192" s="22" t="n">
        <v>2</v>
      </c>
      <c r="G192" s="23" t="inlineStr">
        <is>
          <t>Non</t>
        </is>
      </c>
      <c r="H192" s="23" t="inlineStr">
        <is>
          <t>ON</t>
        </is>
      </c>
      <c r="I192" s="24" t="n">
        <v>580.1183283215253</v>
      </c>
      <c r="J192" s="24" t="n">
        <v>1533.568798690708</v>
      </c>
      <c r="K192" s="24" t="n">
        <v>1407.407407407407</v>
      </c>
      <c r="L192" s="24" t="n">
        <v>150</v>
      </c>
      <c r="M192" s="24">
        <f>I192+J192+K192+L192</f>
        <v/>
      </c>
      <c r="N192" s="24">
        <f>M192*'Dashboard &amp; Optimisation'!$B$18/('Dashboard &amp; Optimisation'!$B$16/3.6)</f>
        <v/>
      </c>
      <c r="O192" s="24" t="n">
        <v>375.1816080990471</v>
      </c>
      <c r="P192" s="25" t="n">
        <v>0.06771709944887042</v>
      </c>
      <c r="Q192" s="26" t="n">
        <v>9.076917745081236</v>
      </c>
      <c r="R192" s="24" t="n">
        <v>1537.0820001631</v>
      </c>
      <c r="S192" s="24">
        <f>R192*IF(A192=4, 2.0, 3.0)</f>
        <v/>
      </c>
      <c r="T192" s="22">
        <f>'Dashboard &amp; Optimisation'!$B$18*U192</f>
        <v/>
      </c>
      <c r="U192" s="27">
        <f>MIN(1, S192/M192)</f>
        <v/>
      </c>
      <c r="V192" s="27">
        <f>N192/(N192+O192)</f>
        <v/>
      </c>
      <c r="W192" s="27">
        <f>U192*V192</f>
        <v/>
      </c>
      <c r="X192" s="25">
        <f>T192/N192</f>
        <v/>
      </c>
      <c r="Y192" s="28">
        <f>IF(W192=MAXIFS(W$2:W$3601, A$2:A$3601, A192, B$2:B$3601, B192), "OPTIMAL", "")</f>
        <v/>
      </c>
    </row>
    <row r="193" ht="20" customHeight="1">
      <c r="A193" s="29" t="n">
        <v>4</v>
      </c>
      <c r="B193" s="29" t="n">
        <v>25</v>
      </c>
      <c r="C193" s="30" t="n">
        <v>100</v>
      </c>
      <c r="D193" s="30" t="n">
        <v>3</v>
      </c>
      <c r="E193" s="6" t="n">
        <v>4</v>
      </c>
      <c r="F193" s="30" t="n">
        <v>2</v>
      </c>
      <c r="G193" s="6" t="inlineStr">
        <is>
          <t>Non</t>
        </is>
      </c>
      <c r="H193" s="6" t="inlineStr">
        <is>
          <t>OFF</t>
        </is>
      </c>
      <c r="I193" s="31" t="n">
        <v>580.1183283215253</v>
      </c>
      <c r="J193" s="31" t="n">
        <v>1533.568798690708</v>
      </c>
      <c r="K193" s="31" t="n">
        <v>1407.407407407407</v>
      </c>
      <c r="L193" s="31" t="n">
        <v>150</v>
      </c>
      <c r="M193" s="31">
        <f>I193+J193+K193+L193</f>
        <v/>
      </c>
      <c r="N193" s="31">
        <f>M193*'Dashboard &amp; Optimisation'!$B$18/('Dashboard &amp; Optimisation'!$B$16/3.6)</f>
        <v/>
      </c>
      <c r="O193" s="31" t="n">
        <v>375.1816080990471</v>
      </c>
      <c r="P193" s="32" t="n">
        <v>0.302373712206387</v>
      </c>
      <c r="Q193" s="33" t="n">
        <v>9.076917745081236</v>
      </c>
      <c r="R193" s="31" t="n">
        <v>344.2320891806503</v>
      </c>
      <c r="S193" s="31">
        <f>R193*IF(A193=4, 2.0, 3.0)</f>
        <v/>
      </c>
      <c r="T193" s="30">
        <f>'Dashboard &amp; Optimisation'!$B$18*U193</f>
        <v/>
      </c>
      <c r="U193" s="34">
        <f>MIN(1, S193/M193)</f>
        <v/>
      </c>
      <c r="V193" s="34">
        <f>N193/(N193+O193)</f>
        <v/>
      </c>
      <c r="W193" s="34">
        <f>U193*V193</f>
        <v/>
      </c>
      <c r="X193" s="32">
        <f>T193/N193</f>
        <v/>
      </c>
      <c r="Y193" s="35">
        <f>IF(W193=MAXIFS(W$2:W$3601, A$2:A$3601, A193, B$2:B$3601, B193), "OPTIMAL", "")</f>
        <v/>
      </c>
    </row>
    <row r="194" ht="20" customHeight="1">
      <c r="A194" s="21" t="n">
        <v>4</v>
      </c>
      <c r="B194" s="21" t="n">
        <v>25</v>
      </c>
      <c r="C194" s="22" t="n">
        <v>100</v>
      </c>
      <c r="D194" s="22" t="n">
        <v>3</v>
      </c>
      <c r="E194" s="23" t="n">
        <v>8</v>
      </c>
      <c r="F194" s="22" t="n">
        <v>1.5</v>
      </c>
      <c r="G194" s="23" t="inlineStr">
        <is>
          <t>Oui</t>
        </is>
      </c>
      <c r="H194" s="23" t="inlineStr">
        <is>
          <t>ON</t>
        </is>
      </c>
      <c r="I194" s="24" t="n">
        <v>580.1183283215253</v>
      </c>
      <c r="J194" s="24" t="n">
        <v>1533.568798690708</v>
      </c>
      <c r="K194" s="24" t="n">
        <v>1407.407407407407</v>
      </c>
      <c r="L194" s="24" t="n">
        <v>150</v>
      </c>
      <c r="M194" s="24">
        <f>I194+J194+K194+L194</f>
        <v/>
      </c>
      <c r="N194" s="24">
        <f>M194*'Dashboard &amp; Optimisation'!$B$18/('Dashboard &amp; Optimisation'!$B$16/3.6)</f>
        <v/>
      </c>
      <c r="O194" s="24" t="n">
        <v>444.3781830784845</v>
      </c>
      <c r="P194" s="25" t="n">
        <v>0.05562346576923688</v>
      </c>
      <c r="Q194" s="26" t="n">
        <v>13.51537661762185</v>
      </c>
      <c r="R194" s="24" t="n">
        <v>1914.648424235959</v>
      </c>
      <c r="S194" s="24">
        <f>R194*IF(A194=4, 2.0, 3.0)</f>
        <v/>
      </c>
      <c r="T194" s="22">
        <f>'Dashboard &amp; Optimisation'!$B$18*U194</f>
        <v/>
      </c>
      <c r="U194" s="27">
        <f>MIN(1, S194/M194)</f>
        <v/>
      </c>
      <c r="V194" s="27">
        <f>N194/(N194+O194)</f>
        <v/>
      </c>
      <c r="W194" s="27">
        <f>U194*V194</f>
        <v/>
      </c>
      <c r="X194" s="25">
        <f>T194/N194</f>
        <v/>
      </c>
      <c r="Y194" s="28">
        <f>IF(W194=MAXIFS(W$2:W$3601, A$2:A$3601, A194, B$2:B$3601, B194), "OPTIMAL", "")</f>
        <v/>
      </c>
    </row>
    <row r="195" ht="20" customHeight="1">
      <c r="A195" s="29" t="n">
        <v>4</v>
      </c>
      <c r="B195" s="29" t="n">
        <v>25</v>
      </c>
      <c r="C195" s="30" t="n">
        <v>100</v>
      </c>
      <c r="D195" s="30" t="n">
        <v>3</v>
      </c>
      <c r="E195" s="6" t="n">
        <v>8</v>
      </c>
      <c r="F195" s="30" t="n">
        <v>1.5</v>
      </c>
      <c r="G195" s="6" t="inlineStr">
        <is>
          <t>Oui</t>
        </is>
      </c>
      <c r="H195" s="6" t="inlineStr">
        <is>
          <t>OFF</t>
        </is>
      </c>
      <c r="I195" s="31" t="n">
        <v>580.1183283215253</v>
      </c>
      <c r="J195" s="31" t="n">
        <v>1533.568798690708</v>
      </c>
      <c r="K195" s="31" t="n">
        <v>1407.407407407407</v>
      </c>
      <c r="L195" s="31" t="n">
        <v>150</v>
      </c>
      <c r="M195" s="31">
        <f>I195+J195+K195+L195</f>
        <v/>
      </c>
      <c r="N195" s="31">
        <f>M195*'Dashboard &amp; Optimisation'!$B$18/('Dashboard &amp; Optimisation'!$B$16/3.6)</f>
        <v/>
      </c>
      <c r="O195" s="31" t="n">
        <v>444.3781830784845</v>
      </c>
      <c r="P195" s="32" t="n">
        <v>0.2400757351497012</v>
      </c>
      <c r="Q195" s="33" t="n">
        <v>13.51537661762185</v>
      </c>
      <c r="R195" s="31" t="n">
        <v>443.607435042128</v>
      </c>
      <c r="S195" s="31">
        <f>R195*IF(A195=4, 2.0, 3.0)</f>
        <v/>
      </c>
      <c r="T195" s="30">
        <f>'Dashboard &amp; Optimisation'!$B$18*U195</f>
        <v/>
      </c>
      <c r="U195" s="34">
        <f>MIN(1, S195/M195)</f>
        <v/>
      </c>
      <c r="V195" s="34">
        <f>N195/(N195+O195)</f>
        <v/>
      </c>
      <c r="W195" s="34">
        <f>U195*V195</f>
        <v/>
      </c>
      <c r="X195" s="32">
        <f>T195/N195</f>
        <v/>
      </c>
      <c r="Y195" s="35">
        <f>IF(W195=MAXIFS(W$2:W$3601, A$2:A$3601, A195, B$2:B$3601, B195), "OPTIMAL", "")</f>
        <v/>
      </c>
    </row>
    <row r="196" ht="20" customHeight="1">
      <c r="A196" s="21" t="n">
        <v>4</v>
      </c>
      <c r="B196" s="21" t="n">
        <v>25</v>
      </c>
      <c r="C196" s="22" t="n">
        <v>100</v>
      </c>
      <c r="D196" s="22" t="n">
        <v>3</v>
      </c>
      <c r="E196" s="23" t="n">
        <v>8</v>
      </c>
      <c r="F196" s="22" t="n">
        <v>1.5</v>
      </c>
      <c r="G196" s="23" t="inlineStr">
        <is>
          <t>Non</t>
        </is>
      </c>
      <c r="H196" s="23" t="inlineStr">
        <is>
          <t>ON</t>
        </is>
      </c>
      <c r="I196" s="24" t="n">
        <v>580.1183283215253</v>
      </c>
      <c r="J196" s="24" t="n">
        <v>1533.568798690708</v>
      </c>
      <c r="K196" s="24" t="n">
        <v>1407.407407407407</v>
      </c>
      <c r="L196" s="24" t="n">
        <v>150</v>
      </c>
      <c r="M196" s="24">
        <f>I196+J196+K196+L196</f>
        <v/>
      </c>
      <c r="N196" s="24">
        <f>M196*'Dashboard &amp; Optimisation'!$B$18/('Dashboard &amp; Optimisation'!$B$16/3.6)</f>
        <v/>
      </c>
      <c r="O196" s="24" t="n">
        <v>444.3781830784845</v>
      </c>
      <c r="P196" s="25" t="n">
        <v>0.05244036690739898</v>
      </c>
      <c r="Q196" s="26" t="n">
        <v>13.51537661762185</v>
      </c>
      <c r="R196" s="24" t="n">
        <v>2030.866436798059</v>
      </c>
      <c r="S196" s="24">
        <f>R196*IF(A196=4, 2.0, 3.0)</f>
        <v/>
      </c>
      <c r="T196" s="22">
        <f>'Dashboard &amp; Optimisation'!$B$18*U196</f>
        <v/>
      </c>
      <c r="U196" s="27">
        <f>MIN(1, S196/M196)</f>
        <v/>
      </c>
      <c r="V196" s="27">
        <f>N196/(N196+O196)</f>
        <v/>
      </c>
      <c r="W196" s="27">
        <f>U196*V196</f>
        <v/>
      </c>
      <c r="X196" s="25">
        <f>T196/N196</f>
        <v/>
      </c>
      <c r="Y196" s="28">
        <f>IF(W196=MAXIFS(W$2:W$3601, A$2:A$3601, A196, B$2:B$3601, B196), "OPTIMAL", "")</f>
        <v/>
      </c>
    </row>
    <row r="197" ht="20" customHeight="1">
      <c r="A197" s="29" t="n">
        <v>4</v>
      </c>
      <c r="B197" s="29" t="n">
        <v>25</v>
      </c>
      <c r="C197" s="30" t="n">
        <v>100</v>
      </c>
      <c r="D197" s="30" t="n">
        <v>3</v>
      </c>
      <c r="E197" s="6" t="n">
        <v>8</v>
      </c>
      <c r="F197" s="30" t="n">
        <v>1.5</v>
      </c>
      <c r="G197" s="6" t="inlineStr">
        <is>
          <t>Non</t>
        </is>
      </c>
      <c r="H197" s="6" t="inlineStr">
        <is>
          <t>OFF</t>
        </is>
      </c>
      <c r="I197" s="31" t="n">
        <v>580.1183283215253</v>
      </c>
      <c r="J197" s="31" t="n">
        <v>1533.568798690708</v>
      </c>
      <c r="K197" s="31" t="n">
        <v>1407.407407407407</v>
      </c>
      <c r="L197" s="31" t="n">
        <v>150</v>
      </c>
      <c r="M197" s="31">
        <f>I197+J197+K197+L197</f>
        <v/>
      </c>
      <c r="N197" s="31">
        <f>M197*'Dashboard &amp; Optimisation'!$B$18/('Dashboard &amp; Optimisation'!$B$16/3.6)</f>
        <v/>
      </c>
      <c r="O197" s="31" t="n">
        <v>444.3781830784845</v>
      </c>
      <c r="P197" s="32" t="n">
        <v>0.2368926362878633</v>
      </c>
      <c r="Q197" s="33" t="n">
        <v>13.51537661762185</v>
      </c>
      <c r="R197" s="31" t="n">
        <v>449.5681366650758</v>
      </c>
      <c r="S197" s="31">
        <f>R197*IF(A197=4, 2.0, 3.0)</f>
        <v/>
      </c>
      <c r="T197" s="30">
        <f>'Dashboard &amp; Optimisation'!$B$18*U197</f>
        <v/>
      </c>
      <c r="U197" s="34">
        <f>MIN(1, S197/M197)</f>
        <v/>
      </c>
      <c r="V197" s="34">
        <f>N197/(N197+O197)</f>
        <v/>
      </c>
      <c r="W197" s="34">
        <f>U197*V197</f>
        <v/>
      </c>
      <c r="X197" s="32">
        <f>T197/N197</f>
        <v/>
      </c>
      <c r="Y197" s="35">
        <f>IF(W197=MAXIFS(W$2:W$3601, A$2:A$3601, A197, B$2:B$3601, B197), "OPTIMAL", "")</f>
        <v/>
      </c>
    </row>
    <row r="198" ht="20" customHeight="1">
      <c r="A198" s="21" t="n">
        <v>4</v>
      </c>
      <c r="B198" s="21" t="n">
        <v>25</v>
      </c>
      <c r="C198" s="22" t="n">
        <v>100</v>
      </c>
      <c r="D198" s="22" t="n">
        <v>3</v>
      </c>
      <c r="E198" s="23" t="n">
        <v>8</v>
      </c>
      <c r="F198" s="22" t="n">
        <v>2</v>
      </c>
      <c r="G198" s="23" t="inlineStr">
        <is>
          <t>Oui</t>
        </is>
      </c>
      <c r="H198" s="23" t="inlineStr">
        <is>
          <t>ON</t>
        </is>
      </c>
      <c r="I198" s="24" t="n">
        <v>580.1183283215253</v>
      </c>
      <c r="J198" s="24" t="n">
        <v>1533.568798690708</v>
      </c>
      <c r="K198" s="24" t="n">
        <v>1407.407407407407</v>
      </c>
      <c r="L198" s="24" t="n">
        <v>150</v>
      </c>
      <c r="M198" s="24">
        <f>I198+J198+K198+L198</f>
        <v/>
      </c>
      <c r="N198" s="24">
        <f>M198*'Dashboard &amp; Optimisation'!$B$18/('Dashboard &amp; Optimisation'!$B$16/3.6)</f>
        <v/>
      </c>
      <c r="O198" s="24" t="n">
        <v>516.85871903057</v>
      </c>
      <c r="P198" s="25" t="n">
        <v>0.05441799410512958</v>
      </c>
      <c r="Q198" s="26" t="n">
        <v>17.95383549016247</v>
      </c>
      <c r="R198" s="24" t="n">
        <v>2003.501410055153</v>
      </c>
      <c r="S198" s="24">
        <f>R198*IF(A198=4, 2.0, 3.0)</f>
        <v/>
      </c>
      <c r="T198" s="22">
        <f>'Dashboard &amp; Optimisation'!$B$18*U198</f>
        <v/>
      </c>
      <c r="U198" s="27">
        <f>MIN(1, S198/M198)</f>
        <v/>
      </c>
      <c r="V198" s="27">
        <f>N198/(N198+O198)</f>
        <v/>
      </c>
      <c r="W198" s="27">
        <f>U198*V198</f>
        <v/>
      </c>
      <c r="X198" s="25">
        <f>T198/N198</f>
        <v/>
      </c>
      <c r="Y198" s="28">
        <f>IF(W198=MAXIFS(W$2:W$3601, A$2:A$3601, A198, B$2:B$3601, B198), "OPTIMAL", "")</f>
        <v/>
      </c>
    </row>
    <row r="199" ht="20" customHeight="1">
      <c r="A199" s="29" t="n">
        <v>4</v>
      </c>
      <c r="B199" s="29" t="n">
        <v>25</v>
      </c>
      <c r="C199" s="30" t="n">
        <v>100</v>
      </c>
      <c r="D199" s="30" t="n">
        <v>3</v>
      </c>
      <c r="E199" s="6" t="n">
        <v>8</v>
      </c>
      <c r="F199" s="30" t="n">
        <v>2</v>
      </c>
      <c r="G199" s="6" t="inlineStr">
        <is>
          <t>Oui</t>
        </is>
      </c>
      <c r="H199" s="6" t="inlineStr">
        <is>
          <t>OFF</t>
        </is>
      </c>
      <c r="I199" s="31" t="n">
        <v>580.1183283215253</v>
      </c>
      <c r="J199" s="31" t="n">
        <v>1533.568798690708</v>
      </c>
      <c r="K199" s="31" t="n">
        <v>1407.407407407407</v>
      </c>
      <c r="L199" s="31" t="n">
        <v>150</v>
      </c>
      <c r="M199" s="31">
        <f>I199+J199+K199+L199</f>
        <v/>
      </c>
      <c r="N199" s="31">
        <f>M199*'Dashboard &amp; Optimisation'!$B$18/('Dashboard &amp; Optimisation'!$B$16/3.6)</f>
        <v/>
      </c>
      <c r="O199" s="31" t="n">
        <v>516.85871903057</v>
      </c>
      <c r="P199" s="32" t="n">
        <v>0.2402392320400437</v>
      </c>
      <c r="Q199" s="33" t="n">
        <v>17.95383549016247</v>
      </c>
      <c r="R199" s="31" t="n">
        <v>453.8248270117151</v>
      </c>
      <c r="S199" s="31">
        <f>R199*IF(A199=4, 2.0, 3.0)</f>
        <v/>
      </c>
      <c r="T199" s="30">
        <f>'Dashboard &amp; Optimisation'!$B$18*U199</f>
        <v/>
      </c>
      <c r="U199" s="34">
        <f>MIN(1, S199/M199)</f>
        <v/>
      </c>
      <c r="V199" s="34">
        <f>N199/(N199+O199)</f>
        <v/>
      </c>
      <c r="W199" s="34">
        <f>U199*V199</f>
        <v/>
      </c>
      <c r="X199" s="32">
        <f>T199/N199</f>
        <v/>
      </c>
      <c r="Y199" s="35">
        <f>IF(W199=MAXIFS(W$2:W$3601, A$2:A$3601, A199, B$2:B$3601, B199), "OPTIMAL", "")</f>
        <v/>
      </c>
    </row>
    <row r="200" ht="20" customHeight="1">
      <c r="A200" s="21" t="n">
        <v>4</v>
      </c>
      <c r="B200" s="21" t="n">
        <v>25</v>
      </c>
      <c r="C200" s="22" t="n">
        <v>100</v>
      </c>
      <c r="D200" s="22" t="n">
        <v>3</v>
      </c>
      <c r="E200" s="23" t="n">
        <v>8</v>
      </c>
      <c r="F200" s="22" t="n">
        <v>2</v>
      </c>
      <c r="G200" s="23" t="inlineStr">
        <is>
          <t>Non</t>
        </is>
      </c>
      <c r="H200" s="23" t="inlineStr">
        <is>
          <t>ON</t>
        </is>
      </c>
      <c r="I200" s="24" t="n">
        <v>580.1183283215253</v>
      </c>
      <c r="J200" s="24" t="n">
        <v>1533.568798690708</v>
      </c>
      <c r="K200" s="24" t="n">
        <v>1407.407407407407</v>
      </c>
      <c r="L200" s="24" t="n">
        <v>150</v>
      </c>
      <c r="M200" s="24">
        <f>I200+J200+K200+L200</f>
        <v/>
      </c>
      <c r="N200" s="24">
        <f>M200*'Dashboard &amp; Optimisation'!$B$18/('Dashboard &amp; Optimisation'!$B$16/3.6)</f>
        <v/>
      </c>
      <c r="O200" s="24" t="n">
        <v>516.85871903057</v>
      </c>
      <c r="P200" s="25" t="n">
        <v>0.05123489524329167</v>
      </c>
      <c r="Q200" s="26" t="n">
        <v>17.95383549016247</v>
      </c>
      <c r="R200" s="24" t="n">
        <v>2127.974057608232</v>
      </c>
      <c r="S200" s="24">
        <f>R200*IF(A200=4, 2.0, 3.0)</f>
        <v/>
      </c>
      <c r="T200" s="22">
        <f>'Dashboard &amp; Optimisation'!$B$18*U200</f>
        <v/>
      </c>
      <c r="U200" s="27">
        <f>MIN(1, S200/M200)</f>
        <v/>
      </c>
      <c r="V200" s="27">
        <f>N200/(N200+O200)</f>
        <v/>
      </c>
      <c r="W200" s="27">
        <f>U200*V200</f>
        <v/>
      </c>
      <c r="X200" s="25">
        <f>T200/N200</f>
        <v/>
      </c>
      <c r="Y200" s="28">
        <f>IF(W200=MAXIFS(W$2:W$3601, A$2:A$3601, A200, B$2:B$3601, B200), "OPTIMAL", "")</f>
        <v/>
      </c>
    </row>
    <row r="201" ht="20" customHeight="1">
      <c r="A201" s="29" t="n">
        <v>4</v>
      </c>
      <c r="B201" s="29" t="n">
        <v>25</v>
      </c>
      <c r="C201" s="30" t="n">
        <v>100</v>
      </c>
      <c r="D201" s="30" t="n">
        <v>3</v>
      </c>
      <c r="E201" s="6" t="n">
        <v>8</v>
      </c>
      <c r="F201" s="30" t="n">
        <v>2</v>
      </c>
      <c r="G201" s="6" t="inlineStr">
        <is>
          <t>Non</t>
        </is>
      </c>
      <c r="H201" s="6" t="inlineStr">
        <is>
          <t>OFF</t>
        </is>
      </c>
      <c r="I201" s="31" t="n">
        <v>580.1183283215253</v>
      </c>
      <c r="J201" s="31" t="n">
        <v>1533.568798690708</v>
      </c>
      <c r="K201" s="31" t="n">
        <v>1407.407407407407</v>
      </c>
      <c r="L201" s="31" t="n">
        <v>150</v>
      </c>
      <c r="M201" s="31">
        <f>I201+J201+K201+L201</f>
        <v/>
      </c>
      <c r="N201" s="31">
        <f>M201*'Dashboard &amp; Optimisation'!$B$18/('Dashboard &amp; Optimisation'!$B$16/3.6)</f>
        <v/>
      </c>
      <c r="O201" s="31" t="n">
        <v>516.85871903057</v>
      </c>
      <c r="P201" s="32" t="n">
        <v>0.2370561331782058</v>
      </c>
      <c r="Q201" s="33" t="n">
        <v>17.95383549016247</v>
      </c>
      <c r="R201" s="31" t="n">
        <v>459.9186127786871</v>
      </c>
      <c r="S201" s="31">
        <f>R201*IF(A201=4, 2.0, 3.0)</f>
        <v/>
      </c>
      <c r="T201" s="30">
        <f>'Dashboard &amp; Optimisation'!$B$18*U201</f>
        <v/>
      </c>
      <c r="U201" s="34">
        <f>MIN(1, S201/M201)</f>
        <v/>
      </c>
      <c r="V201" s="34">
        <f>N201/(N201+O201)</f>
        <v/>
      </c>
      <c r="W201" s="34">
        <f>U201*V201</f>
        <v/>
      </c>
      <c r="X201" s="32">
        <f>T201/N201</f>
        <v/>
      </c>
      <c r="Y201" s="35">
        <f>IF(W201=MAXIFS(W$2:W$3601, A$2:A$3601, A201, B$2:B$3601, B201), "OPTIMAL", "")</f>
        <v/>
      </c>
    </row>
    <row r="202" ht="20" customHeight="1">
      <c r="A202" s="21" t="n">
        <v>4</v>
      </c>
      <c r="B202" s="21" t="n">
        <v>25</v>
      </c>
      <c r="C202" s="22" t="n">
        <v>105</v>
      </c>
      <c r="D202" s="22" t="n">
        <v>2</v>
      </c>
      <c r="E202" s="23" t="n">
        <v>0</v>
      </c>
      <c r="F202" s="22" t="n">
        <v>0</v>
      </c>
      <c r="G202" s="23" t="inlineStr">
        <is>
          <t>Oui</t>
        </is>
      </c>
      <c r="H202" s="23" t="inlineStr">
        <is>
          <t>ON</t>
        </is>
      </c>
      <c r="I202" s="24" t="n">
        <v>580.1183283215253</v>
      </c>
      <c r="J202" s="24" t="n">
        <v>1533.568798690708</v>
      </c>
      <c r="K202" s="24" t="n">
        <v>1407.407407407407</v>
      </c>
      <c r="L202" s="24" t="n">
        <v>150</v>
      </c>
      <c r="M202" s="24">
        <f>I202+J202+K202+L202</f>
        <v/>
      </c>
      <c r="N202" s="24">
        <f>M202*'Dashboard &amp; Optimisation'!$B$18/('Dashboard &amp; Optimisation'!$B$16/3.6)</f>
        <v/>
      </c>
      <c r="O202" s="24" t="n">
        <v>150.7109659639241</v>
      </c>
      <c r="P202" s="25" t="n">
        <v>0.4767371025038626</v>
      </c>
      <c r="Q202" s="26" t="n">
        <v>0.2</v>
      </c>
      <c r="R202" s="24" t="n">
        <v>180.9193603364081</v>
      </c>
      <c r="S202" s="24">
        <f>R202*IF(A202=4, 2.0, 3.0)</f>
        <v/>
      </c>
      <c r="T202" s="22">
        <f>'Dashboard &amp; Optimisation'!$B$18*U202</f>
        <v/>
      </c>
      <c r="U202" s="27">
        <f>MIN(1, S202/M202)</f>
        <v/>
      </c>
      <c r="V202" s="27">
        <f>N202/(N202+O202)</f>
        <v/>
      </c>
      <c r="W202" s="27">
        <f>U202*V202</f>
        <v/>
      </c>
      <c r="X202" s="25">
        <f>T202/N202</f>
        <v/>
      </c>
      <c r="Y202" s="28">
        <f>IF(W202=MAXIFS(W$2:W$3601, A$2:A$3601, A202, B$2:B$3601, B202), "OPTIMAL", "")</f>
        <v/>
      </c>
    </row>
    <row r="203" ht="20" customHeight="1">
      <c r="A203" s="29" t="n">
        <v>4</v>
      </c>
      <c r="B203" s="29" t="n">
        <v>25</v>
      </c>
      <c r="C203" s="30" t="n">
        <v>105</v>
      </c>
      <c r="D203" s="30" t="n">
        <v>2</v>
      </c>
      <c r="E203" s="6" t="n">
        <v>0</v>
      </c>
      <c r="F203" s="30" t="n">
        <v>0</v>
      </c>
      <c r="G203" s="6" t="inlineStr">
        <is>
          <t>Oui</t>
        </is>
      </c>
      <c r="H203" s="6" t="inlineStr">
        <is>
          <t>OFF</t>
        </is>
      </c>
      <c r="I203" s="31" t="n">
        <v>580.1183283215253</v>
      </c>
      <c r="J203" s="31" t="n">
        <v>1533.568798690708</v>
      </c>
      <c r="K203" s="31" t="n">
        <v>1407.407407407407</v>
      </c>
      <c r="L203" s="31" t="n">
        <v>150</v>
      </c>
      <c r="M203" s="31">
        <f>I203+J203+K203+L203</f>
        <v/>
      </c>
      <c r="N203" s="31">
        <f>M203*'Dashboard &amp; Optimisation'!$B$18/('Dashboard &amp; Optimisation'!$B$16/3.6)</f>
        <v/>
      </c>
      <c r="O203" s="31" t="n">
        <v>150.7109659639241</v>
      </c>
      <c r="P203" s="32" t="n">
        <v>0.7798893750598538</v>
      </c>
      <c r="Q203" s="33" t="n">
        <v>0.2</v>
      </c>
      <c r="R203" s="31" t="n">
        <v>110.5938539385948</v>
      </c>
      <c r="S203" s="31">
        <f>R203*IF(A203=4, 2.0, 3.0)</f>
        <v/>
      </c>
      <c r="T203" s="30">
        <f>'Dashboard &amp; Optimisation'!$B$18*U203</f>
        <v/>
      </c>
      <c r="U203" s="34">
        <f>MIN(1, S203/M203)</f>
        <v/>
      </c>
      <c r="V203" s="34">
        <f>N203/(N203+O203)</f>
        <v/>
      </c>
      <c r="W203" s="34">
        <f>U203*V203</f>
        <v/>
      </c>
      <c r="X203" s="32">
        <f>T203/N203</f>
        <v/>
      </c>
      <c r="Y203" s="35">
        <f>IF(W203=MAXIFS(W$2:W$3601, A$2:A$3601, A203, B$2:B$3601, B203), "OPTIMAL", "")</f>
        <v/>
      </c>
    </row>
    <row r="204" ht="20" customHeight="1">
      <c r="A204" s="21" t="n">
        <v>4</v>
      </c>
      <c r="B204" s="21" t="n">
        <v>25</v>
      </c>
      <c r="C204" s="22" t="n">
        <v>105</v>
      </c>
      <c r="D204" s="22" t="n">
        <v>2</v>
      </c>
      <c r="E204" s="23" t="n">
        <v>0</v>
      </c>
      <c r="F204" s="22" t="n">
        <v>0</v>
      </c>
      <c r="G204" s="23" t="inlineStr">
        <is>
          <t>Non</t>
        </is>
      </c>
      <c r="H204" s="23" t="inlineStr">
        <is>
          <t>ON</t>
        </is>
      </c>
      <c r="I204" s="24" t="n">
        <v>580.1183283215253</v>
      </c>
      <c r="J204" s="24" t="n">
        <v>1533.568798690708</v>
      </c>
      <c r="K204" s="24" t="n">
        <v>1407.407407407407</v>
      </c>
      <c r="L204" s="24" t="n">
        <v>150</v>
      </c>
      <c r="M204" s="24">
        <f>I204+J204+K204+L204</f>
        <v/>
      </c>
      <c r="N204" s="24">
        <f>M204*'Dashboard &amp; Optimisation'!$B$18/('Dashboard &amp; Optimisation'!$B$16/3.6)</f>
        <v/>
      </c>
      <c r="O204" s="24" t="n">
        <v>150.7109659639241</v>
      </c>
      <c r="P204" s="25" t="n">
        <v>0.4737055797783027</v>
      </c>
      <c r="Q204" s="26" t="n">
        <v>0.2</v>
      </c>
      <c r="R204" s="24" t="n">
        <v>182.0771705370189</v>
      </c>
      <c r="S204" s="24">
        <f>R204*IF(A204=4, 2.0, 3.0)</f>
        <v/>
      </c>
      <c r="T204" s="22">
        <f>'Dashboard &amp; Optimisation'!$B$18*U204</f>
        <v/>
      </c>
      <c r="U204" s="27">
        <f>MIN(1, S204/M204)</f>
        <v/>
      </c>
      <c r="V204" s="27">
        <f>N204/(N204+O204)</f>
        <v/>
      </c>
      <c r="W204" s="27">
        <f>U204*V204</f>
        <v/>
      </c>
      <c r="X204" s="25">
        <f>T204/N204</f>
        <v/>
      </c>
      <c r="Y204" s="28">
        <f>IF(W204=MAXIFS(W$2:W$3601, A$2:A$3601, A204, B$2:B$3601, B204), "OPTIMAL", "")</f>
        <v/>
      </c>
    </row>
    <row r="205" ht="20" customHeight="1">
      <c r="A205" s="29" t="n">
        <v>4</v>
      </c>
      <c r="B205" s="29" t="n">
        <v>25</v>
      </c>
      <c r="C205" s="30" t="n">
        <v>105</v>
      </c>
      <c r="D205" s="30" t="n">
        <v>2</v>
      </c>
      <c r="E205" s="6" t="n">
        <v>0</v>
      </c>
      <c r="F205" s="30" t="n">
        <v>0</v>
      </c>
      <c r="G205" s="6" t="inlineStr">
        <is>
          <t>Non</t>
        </is>
      </c>
      <c r="H205" s="6" t="inlineStr">
        <is>
          <t>OFF</t>
        </is>
      </c>
      <c r="I205" s="31" t="n">
        <v>580.1183283215253</v>
      </c>
      <c r="J205" s="31" t="n">
        <v>1533.568798690708</v>
      </c>
      <c r="K205" s="31" t="n">
        <v>1407.407407407407</v>
      </c>
      <c r="L205" s="31" t="n">
        <v>150</v>
      </c>
      <c r="M205" s="31">
        <f>I205+J205+K205+L205</f>
        <v/>
      </c>
      <c r="N205" s="31">
        <f>M205*'Dashboard &amp; Optimisation'!$B$18/('Dashboard &amp; Optimisation'!$B$16/3.6)</f>
        <v/>
      </c>
      <c r="O205" s="31" t="n">
        <v>150.7109659639241</v>
      </c>
      <c r="P205" s="32" t="n">
        <v>0.7768578523342939</v>
      </c>
      <c r="Q205" s="33" t="n">
        <v>0.2</v>
      </c>
      <c r="R205" s="31" t="n">
        <v>111.0254229579652</v>
      </c>
      <c r="S205" s="31">
        <f>R205*IF(A205=4, 2.0, 3.0)</f>
        <v/>
      </c>
      <c r="T205" s="30">
        <f>'Dashboard &amp; Optimisation'!$B$18*U205</f>
        <v/>
      </c>
      <c r="U205" s="34">
        <f>MIN(1, S205/M205)</f>
        <v/>
      </c>
      <c r="V205" s="34">
        <f>N205/(N205+O205)</f>
        <v/>
      </c>
      <c r="W205" s="34">
        <f>U205*V205</f>
        <v/>
      </c>
      <c r="X205" s="32">
        <f>T205/N205</f>
        <v/>
      </c>
      <c r="Y205" s="35">
        <f>IF(W205=MAXIFS(W$2:W$3601, A$2:A$3601, A205, B$2:B$3601, B205), "OPTIMAL", "")</f>
        <v/>
      </c>
    </row>
    <row r="206" ht="20" customHeight="1">
      <c r="A206" s="21" t="n">
        <v>4</v>
      </c>
      <c r="B206" s="21" t="n">
        <v>25</v>
      </c>
      <c r="C206" s="22" t="n">
        <v>105</v>
      </c>
      <c r="D206" s="22" t="n">
        <v>2</v>
      </c>
      <c r="E206" s="23" t="n">
        <v>4</v>
      </c>
      <c r="F206" s="22" t="n">
        <v>1.5</v>
      </c>
      <c r="G206" s="23" t="inlineStr">
        <is>
          <t>Oui</t>
        </is>
      </c>
      <c r="H206" s="23" t="inlineStr">
        <is>
          <t>ON</t>
        </is>
      </c>
      <c r="I206" s="24" t="n">
        <v>580.1183283215253</v>
      </c>
      <c r="J206" s="24" t="n">
        <v>1533.568798690708</v>
      </c>
      <c r="K206" s="24" t="n">
        <v>1407.407407407407</v>
      </c>
      <c r="L206" s="24" t="n">
        <v>150</v>
      </c>
      <c r="M206" s="24">
        <f>I206+J206+K206+L206</f>
        <v/>
      </c>
      <c r="N206" s="24">
        <f>M206*'Dashboard &amp; Optimisation'!$B$18/('Dashboard &amp; Optimisation'!$B$16/3.6)</f>
        <v/>
      </c>
      <c r="O206" s="24" t="n">
        <v>235.236618236164</v>
      </c>
      <c r="P206" s="25" t="n">
        <v>0.07211788842163316</v>
      </c>
      <c r="Q206" s="26" t="n">
        <v>6.39626436661611</v>
      </c>
      <c r="R206" s="24" t="n">
        <v>1233.285237788424</v>
      </c>
      <c r="S206" s="24">
        <f>R206*IF(A206=4, 2.0, 3.0)</f>
        <v/>
      </c>
      <c r="T206" s="22">
        <f>'Dashboard &amp; Optimisation'!$B$18*U206</f>
        <v/>
      </c>
      <c r="U206" s="27">
        <f>MIN(1, S206/M206)</f>
        <v/>
      </c>
      <c r="V206" s="27">
        <f>N206/(N206+O206)</f>
        <v/>
      </c>
      <c r="W206" s="27">
        <f>U206*V206</f>
        <v/>
      </c>
      <c r="X206" s="25">
        <f>T206/N206</f>
        <v/>
      </c>
      <c r="Y206" s="28">
        <f>IF(W206=MAXIFS(W$2:W$3601, A$2:A$3601, A206, B$2:B$3601, B206), "OPTIMAL", "")</f>
        <v/>
      </c>
    </row>
    <row r="207" ht="20" customHeight="1">
      <c r="A207" s="29" t="n">
        <v>4</v>
      </c>
      <c r="B207" s="29" t="n">
        <v>25</v>
      </c>
      <c r="C207" s="30" t="n">
        <v>105</v>
      </c>
      <c r="D207" s="30" t="n">
        <v>2</v>
      </c>
      <c r="E207" s="6" t="n">
        <v>4</v>
      </c>
      <c r="F207" s="30" t="n">
        <v>1.5</v>
      </c>
      <c r="G207" s="6" t="inlineStr">
        <is>
          <t>Oui</t>
        </is>
      </c>
      <c r="H207" s="6" t="inlineStr">
        <is>
          <t>OFF</t>
        </is>
      </c>
      <c r="I207" s="31" t="n">
        <v>580.1183283215253</v>
      </c>
      <c r="J207" s="31" t="n">
        <v>1533.568798690708</v>
      </c>
      <c r="K207" s="31" t="n">
        <v>1407.407407407407</v>
      </c>
      <c r="L207" s="31" t="n">
        <v>150</v>
      </c>
      <c r="M207" s="31">
        <f>I207+J207+K207+L207</f>
        <v/>
      </c>
      <c r="N207" s="31">
        <f>M207*'Dashboard &amp; Optimisation'!$B$18/('Dashboard &amp; Optimisation'!$B$16/3.6)</f>
        <v/>
      </c>
      <c r="O207" s="31" t="n">
        <v>235.236618236164</v>
      </c>
      <c r="P207" s="32" t="n">
        <v>0.297414701598841</v>
      </c>
      <c r="Q207" s="33" t="n">
        <v>6.39626436661611</v>
      </c>
      <c r="R207" s="31" t="n">
        <v>299.0502039500372</v>
      </c>
      <c r="S207" s="31">
        <f>R207*IF(A207=4, 2.0, 3.0)</f>
        <v/>
      </c>
      <c r="T207" s="30">
        <f>'Dashboard &amp; Optimisation'!$B$18*U207</f>
        <v/>
      </c>
      <c r="U207" s="34">
        <f>MIN(1, S207/M207)</f>
        <v/>
      </c>
      <c r="V207" s="34">
        <f>N207/(N207+O207)</f>
        <v/>
      </c>
      <c r="W207" s="34">
        <f>U207*V207</f>
        <v/>
      </c>
      <c r="X207" s="32">
        <f>T207/N207</f>
        <v/>
      </c>
      <c r="Y207" s="35">
        <f>IF(W207=MAXIFS(W$2:W$3601, A$2:A$3601, A207, B$2:B$3601, B207), "OPTIMAL", "")</f>
        <v/>
      </c>
    </row>
    <row r="208" ht="20" customHeight="1">
      <c r="A208" s="21" t="n">
        <v>4</v>
      </c>
      <c r="B208" s="21" t="n">
        <v>25</v>
      </c>
      <c r="C208" s="22" t="n">
        <v>105</v>
      </c>
      <c r="D208" s="22" t="n">
        <v>2</v>
      </c>
      <c r="E208" s="23" t="n">
        <v>4</v>
      </c>
      <c r="F208" s="22" t="n">
        <v>1.5</v>
      </c>
      <c r="G208" s="23" t="inlineStr">
        <is>
          <t>Non</t>
        </is>
      </c>
      <c r="H208" s="23" t="inlineStr">
        <is>
          <t>ON</t>
        </is>
      </c>
      <c r="I208" s="24" t="n">
        <v>580.1183283215253</v>
      </c>
      <c r="J208" s="24" t="n">
        <v>1533.568798690708</v>
      </c>
      <c r="K208" s="24" t="n">
        <v>1407.407407407407</v>
      </c>
      <c r="L208" s="24" t="n">
        <v>150</v>
      </c>
      <c r="M208" s="24">
        <f>I208+J208+K208+L208</f>
        <v/>
      </c>
      <c r="N208" s="24">
        <f>M208*'Dashboard &amp; Optimisation'!$B$18/('Dashboard &amp; Optimisation'!$B$16/3.6)</f>
        <v/>
      </c>
      <c r="O208" s="24" t="n">
        <v>235.236618236164</v>
      </c>
      <c r="P208" s="25" t="n">
        <v>0.06908636569607325</v>
      </c>
      <c r="Q208" s="26" t="n">
        <v>6.39626436661611</v>
      </c>
      <c r="R208" s="24" t="n">
        <v>1287.402026069062</v>
      </c>
      <c r="S208" s="24">
        <f>R208*IF(A208=4, 2.0, 3.0)</f>
        <v/>
      </c>
      <c r="T208" s="22">
        <f>'Dashboard &amp; Optimisation'!$B$18*U208</f>
        <v/>
      </c>
      <c r="U208" s="27">
        <f>MIN(1, S208/M208)</f>
        <v/>
      </c>
      <c r="V208" s="27">
        <f>N208/(N208+O208)</f>
        <v/>
      </c>
      <c r="W208" s="27">
        <f>U208*V208</f>
        <v/>
      </c>
      <c r="X208" s="25">
        <f>T208/N208</f>
        <v/>
      </c>
      <c r="Y208" s="28">
        <f>IF(W208=MAXIFS(W$2:W$3601, A$2:A$3601, A208, B$2:B$3601, B208), "OPTIMAL", "")</f>
        <v/>
      </c>
    </row>
    <row r="209" ht="20" customHeight="1">
      <c r="A209" s="29" t="n">
        <v>4</v>
      </c>
      <c r="B209" s="29" t="n">
        <v>25</v>
      </c>
      <c r="C209" s="30" t="n">
        <v>105</v>
      </c>
      <c r="D209" s="30" t="n">
        <v>2</v>
      </c>
      <c r="E209" s="6" t="n">
        <v>4</v>
      </c>
      <c r="F209" s="30" t="n">
        <v>1.5</v>
      </c>
      <c r="G209" s="6" t="inlineStr">
        <is>
          <t>Non</t>
        </is>
      </c>
      <c r="H209" s="6" t="inlineStr">
        <is>
          <t>OFF</t>
        </is>
      </c>
      <c r="I209" s="31" t="n">
        <v>580.1183283215253</v>
      </c>
      <c r="J209" s="31" t="n">
        <v>1533.568798690708</v>
      </c>
      <c r="K209" s="31" t="n">
        <v>1407.407407407407</v>
      </c>
      <c r="L209" s="31" t="n">
        <v>150</v>
      </c>
      <c r="M209" s="31">
        <f>I209+J209+K209+L209</f>
        <v/>
      </c>
      <c r="N209" s="31">
        <f>M209*'Dashboard &amp; Optimisation'!$B$18/('Dashboard &amp; Optimisation'!$B$16/3.6)</f>
        <v/>
      </c>
      <c r="O209" s="31" t="n">
        <v>235.236618236164</v>
      </c>
      <c r="P209" s="32" t="n">
        <v>0.2943831788732811</v>
      </c>
      <c r="Q209" s="33" t="n">
        <v>6.39626436661611</v>
      </c>
      <c r="R209" s="31" t="n">
        <v>302.1297871409915</v>
      </c>
      <c r="S209" s="31">
        <f>R209*IF(A209=4, 2.0, 3.0)</f>
        <v/>
      </c>
      <c r="T209" s="30">
        <f>'Dashboard &amp; Optimisation'!$B$18*U209</f>
        <v/>
      </c>
      <c r="U209" s="34">
        <f>MIN(1, S209/M209)</f>
        <v/>
      </c>
      <c r="V209" s="34">
        <f>N209/(N209+O209)</f>
        <v/>
      </c>
      <c r="W209" s="34">
        <f>U209*V209</f>
        <v/>
      </c>
      <c r="X209" s="32">
        <f>T209/N209</f>
        <v/>
      </c>
      <c r="Y209" s="35">
        <f>IF(W209=MAXIFS(W$2:W$3601, A$2:A$3601, A209, B$2:B$3601, B209), "OPTIMAL", "")</f>
        <v/>
      </c>
    </row>
    <row r="210" ht="20" customHeight="1">
      <c r="A210" s="21" t="n">
        <v>4</v>
      </c>
      <c r="B210" s="21" t="n">
        <v>25</v>
      </c>
      <c r="C210" s="22" t="n">
        <v>105</v>
      </c>
      <c r="D210" s="22" t="n">
        <v>2</v>
      </c>
      <c r="E210" s="23" t="n">
        <v>4</v>
      </c>
      <c r="F210" s="22" t="n">
        <v>2</v>
      </c>
      <c r="G210" s="23" t="inlineStr">
        <is>
          <t>Oui</t>
        </is>
      </c>
      <c r="H210" s="23" t="inlineStr">
        <is>
          <t>ON</t>
        </is>
      </c>
      <c r="I210" s="24" t="n">
        <v>580.1183283215253</v>
      </c>
      <c r="J210" s="24" t="n">
        <v>1533.568798690708</v>
      </c>
      <c r="K210" s="24" t="n">
        <v>1407.407407407407</v>
      </c>
      <c r="L210" s="24" t="n">
        <v>150</v>
      </c>
      <c r="M210" s="24">
        <f>I210+J210+K210+L210</f>
        <v/>
      </c>
      <c r="N210" s="24">
        <f>M210*'Dashboard &amp; Optimisation'!$B$18/('Dashboard &amp; Optimisation'!$B$16/3.6)</f>
        <v/>
      </c>
      <c r="O210" s="24" t="n">
        <v>264.596209278703</v>
      </c>
      <c r="P210" s="25" t="n">
        <v>0.06926604745833413</v>
      </c>
      <c r="Q210" s="26" t="n">
        <v>8.461685822154816</v>
      </c>
      <c r="R210" s="24" t="n">
        <v>1297.556614280581</v>
      </c>
      <c r="S210" s="24">
        <f>R210*IF(A210=4, 2.0, 3.0)</f>
        <v/>
      </c>
      <c r="T210" s="22">
        <f>'Dashboard &amp; Optimisation'!$B$18*U210</f>
        <v/>
      </c>
      <c r="U210" s="27">
        <f>MIN(1, S210/M210)</f>
        <v/>
      </c>
      <c r="V210" s="27">
        <f>N210/(N210+O210)</f>
        <v/>
      </c>
      <c r="W210" s="27">
        <f>U210*V210</f>
        <v/>
      </c>
      <c r="X210" s="25">
        <f>T210/N210</f>
        <v/>
      </c>
      <c r="Y210" s="28">
        <f>IF(W210=MAXIFS(W$2:W$3601, A$2:A$3601, A210, B$2:B$3601, B210), "OPTIMAL", "")</f>
        <v/>
      </c>
    </row>
    <row r="211" ht="20" customHeight="1">
      <c r="A211" s="29" t="n">
        <v>4</v>
      </c>
      <c r="B211" s="29" t="n">
        <v>25</v>
      </c>
      <c r="C211" s="30" t="n">
        <v>105</v>
      </c>
      <c r="D211" s="30" t="n">
        <v>2</v>
      </c>
      <c r="E211" s="6" t="n">
        <v>4</v>
      </c>
      <c r="F211" s="30" t="n">
        <v>2</v>
      </c>
      <c r="G211" s="6" t="inlineStr">
        <is>
          <t>Oui</t>
        </is>
      </c>
      <c r="H211" s="6" t="inlineStr">
        <is>
          <t>OFF</t>
        </is>
      </c>
      <c r="I211" s="31" t="n">
        <v>580.1183283215253</v>
      </c>
      <c r="J211" s="31" t="n">
        <v>1533.568798690708</v>
      </c>
      <c r="K211" s="31" t="n">
        <v>1407.407407407407</v>
      </c>
      <c r="L211" s="31" t="n">
        <v>150</v>
      </c>
      <c r="M211" s="31">
        <f>I211+J211+K211+L211</f>
        <v/>
      </c>
      <c r="N211" s="31">
        <f>M211*'Dashboard &amp; Optimisation'!$B$18/('Dashboard &amp; Optimisation'!$B$16/3.6)</f>
        <v/>
      </c>
      <c r="O211" s="31" t="n">
        <v>264.596209278703</v>
      </c>
      <c r="P211" s="32" t="n">
        <v>0.2955807767744409</v>
      </c>
      <c r="Q211" s="33" t="n">
        <v>8.461685822154816</v>
      </c>
      <c r="R211" s="31" t="n">
        <v>304.0678727670418</v>
      </c>
      <c r="S211" s="31">
        <f>R211*IF(A211=4, 2.0, 3.0)</f>
        <v/>
      </c>
      <c r="T211" s="30">
        <f>'Dashboard &amp; Optimisation'!$B$18*U211</f>
        <v/>
      </c>
      <c r="U211" s="34">
        <f>MIN(1, S211/M211)</f>
        <v/>
      </c>
      <c r="V211" s="34">
        <f>N211/(N211+O211)</f>
        <v/>
      </c>
      <c r="W211" s="34">
        <f>U211*V211</f>
        <v/>
      </c>
      <c r="X211" s="32">
        <f>T211/N211</f>
        <v/>
      </c>
      <c r="Y211" s="35">
        <f>IF(W211=MAXIFS(W$2:W$3601, A$2:A$3601, A211, B$2:B$3601, B211), "OPTIMAL", "")</f>
        <v/>
      </c>
    </row>
    <row r="212" ht="20" customHeight="1">
      <c r="A212" s="21" t="n">
        <v>4</v>
      </c>
      <c r="B212" s="21" t="n">
        <v>25</v>
      </c>
      <c r="C212" s="22" t="n">
        <v>105</v>
      </c>
      <c r="D212" s="22" t="n">
        <v>2</v>
      </c>
      <c r="E212" s="23" t="n">
        <v>4</v>
      </c>
      <c r="F212" s="22" t="n">
        <v>2</v>
      </c>
      <c r="G212" s="23" t="inlineStr">
        <is>
          <t>Non</t>
        </is>
      </c>
      <c r="H212" s="23" t="inlineStr">
        <is>
          <t>ON</t>
        </is>
      </c>
      <c r="I212" s="24" t="n">
        <v>580.1183283215253</v>
      </c>
      <c r="J212" s="24" t="n">
        <v>1533.568798690708</v>
      </c>
      <c r="K212" s="24" t="n">
        <v>1407.407407407407</v>
      </c>
      <c r="L212" s="24" t="n">
        <v>150</v>
      </c>
      <c r="M212" s="24">
        <f>I212+J212+K212+L212</f>
        <v/>
      </c>
      <c r="N212" s="24">
        <f>M212*'Dashboard &amp; Optimisation'!$B$18/('Dashboard &amp; Optimisation'!$B$16/3.6)</f>
        <v/>
      </c>
      <c r="O212" s="24" t="n">
        <v>264.596209278703</v>
      </c>
      <c r="P212" s="25" t="n">
        <v>0.06623452473277422</v>
      </c>
      <c r="Q212" s="26" t="n">
        <v>8.461685822154816</v>
      </c>
      <c r="R212" s="24" t="n">
        <v>1356.945163979735</v>
      </c>
      <c r="S212" s="24">
        <f>R212*IF(A212=4, 2.0, 3.0)</f>
        <v/>
      </c>
      <c r="T212" s="22">
        <f>'Dashboard &amp; Optimisation'!$B$18*U212</f>
        <v/>
      </c>
      <c r="U212" s="27">
        <f>MIN(1, S212/M212)</f>
        <v/>
      </c>
      <c r="V212" s="27">
        <f>N212/(N212+O212)</f>
        <v/>
      </c>
      <c r="W212" s="27">
        <f>U212*V212</f>
        <v/>
      </c>
      <c r="X212" s="25">
        <f>T212/N212</f>
        <v/>
      </c>
      <c r="Y212" s="28">
        <f>IF(W212=MAXIFS(W$2:W$3601, A$2:A$3601, A212, B$2:B$3601, B212), "OPTIMAL", "")</f>
        <v/>
      </c>
    </row>
    <row r="213" ht="20" customHeight="1">
      <c r="A213" s="29" t="n">
        <v>4</v>
      </c>
      <c r="B213" s="29" t="n">
        <v>25</v>
      </c>
      <c r="C213" s="30" t="n">
        <v>105</v>
      </c>
      <c r="D213" s="30" t="n">
        <v>2</v>
      </c>
      <c r="E213" s="6" t="n">
        <v>4</v>
      </c>
      <c r="F213" s="30" t="n">
        <v>2</v>
      </c>
      <c r="G213" s="6" t="inlineStr">
        <is>
          <t>Non</t>
        </is>
      </c>
      <c r="H213" s="6" t="inlineStr">
        <is>
          <t>OFF</t>
        </is>
      </c>
      <c r="I213" s="31" t="n">
        <v>580.1183283215253</v>
      </c>
      <c r="J213" s="31" t="n">
        <v>1533.568798690708</v>
      </c>
      <c r="K213" s="31" t="n">
        <v>1407.407407407407</v>
      </c>
      <c r="L213" s="31" t="n">
        <v>150</v>
      </c>
      <c r="M213" s="31">
        <f>I213+J213+K213+L213</f>
        <v/>
      </c>
      <c r="N213" s="31">
        <f>M213*'Dashboard &amp; Optimisation'!$B$18/('Dashboard &amp; Optimisation'!$B$16/3.6)</f>
        <v/>
      </c>
      <c r="O213" s="31" t="n">
        <v>264.596209278703</v>
      </c>
      <c r="P213" s="32" t="n">
        <v>0.292549254048881</v>
      </c>
      <c r="Q213" s="33" t="n">
        <v>8.461685822154816</v>
      </c>
      <c r="R213" s="31" t="n">
        <v>307.2187564341453</v>
      </c>
      <c r="S213" s="31">
        <f>R213*IF(A213=4, 2.0, 3.0)</f>
        <v/>
      </c>
      <c r="T213" s="30">
        <f>'Dashboard &amp; Optimisation'!$B$18*U213</f>
        <v/>
      </c>
      <c r="U213" s="34">
        <f>MIN(1, S213/M213)</f>
        <v/>
      </c>
      <c r="V213" s="34">
        <f>N213/(N213+O213)</f>
        <v/>
      </c>
      <c r="W213" s="34">
        <f>U213*V213</f>
        <v/>
      </c>
      <c r="X213" s="32">
        <f>T213/N213</f>
        <v/>
      </c>
      <c r="Y213" s="35">
        <f>IF(W213=MAXIFS(W$2:W$3601, A$2:A$3601, A213, B$2:B$3601, B213), "OPTIMAL", "")</f>
        <v/>
      </c>
    </row>
    <row r="214" ht="20" customHeight="1">
      <c r="A214" s="21" t="n">
        <v>4</v>
      </c>
      <c r="B214" s="21" t="n">
        <v>25</v>
      </c>
      <c r="C214" s="22" t="n">
        <v>105</v>
      </c>
      <c r="D214" s="22" t="n">
        <v>2</v>
      </c>
      <c r="E214" s="23" t="n">
        <v>8</v>
      </c>
      <c r="F214" s="22" t="n">
        <v>1.5</v>
      </c>
      <c r="G214" s="23" t="inlineStr">
        <is>
          <t>Oui</t>
        </is>
      </c>
      <c r="H214" s="23" t="inlineStr">
        <is>
          <t>ON</t>
        </is>
      </c>
      <c r="I214" s="24" t="n">
        <v>580.1183283215253</v>
      </c>
      <c r="J214" s="24" t="n">
        <v>1533.568798690708</v>
      </c>
      <c r="K214" s="24" t="n">
        <v>1407.407407407407</v>
      </c>
      <c r="L214" s="24" t="n">
        <v>150</v>
      </c>
      <c r="M214" s="24">
        <f>I214+J214+K214+L214</f>
        <v/>
      </c>
      <c r="N214" s="24">
        <f>M214*'Dashboard &amp; Optimisation'!$B$18/('Dashboard &amp; Optimisation'!$B$16/3.6)</f>
        <v/>
      </c>
      <c r="O214" s="24" t="n">
        <v>325.2063760183538</v>
      </c>
      <c r="P214" s="25" t="n">
        <v>0.0545652421498049</v>
      </c>
      <c r="Q214" s="26" t="n">
        <v>12.59252873323222</v>
      </c>
      <c r="R214" s="24" t="n">
        <v>1682.503319559774</v>
      </c>
      <c r="S214" s="24">
        <f>R214*IF(A214=4, 2.0, 3.0)</f>
        <v/>
      </c>
      <c r="T214" s="22">
        <f>'Dashboard &amp; Optimisation'!$B$18*U214</f>
        <v/>
      </c>
      <c r="U214" s="27">
        <f>MIN(1, S214/M214)</f>
        <v/>
      </c>
      <c r="V214" s="27">
        <f>N214/(N214+O214)</f>
        <v/>
      </c>
      <c r="W214" s="27">
        <f>U214*V214</f>
        <v/>
      </c>
      <c r="X214" s="25">
        <f>T214/N214</f>
        <v/>
      </c>
      <c r="Y214" s="28">
        <f>IF(W214=MAXIFS(W$2:W$3601, A$2:A$3601, A214, B$2:B$3601, B214), "OPTIMAL", "")</f>
        <v/>
      </c>
    </row>
    <row r="215" ht="20" customHeight="1">
      <c r="A215" s="29" t="n">
        <v>4</v>
      </c>
      <c r="B215" s="29" t="n">
        <v>25</v>
      </c>
      <c r="C215" s="30" t="n">
        <v>105</v>
      </c>
      <c r="D215" s="30" t="n">
        <v>2</v>
      </c>
      <c r="E215" s="6" t="n">
        <v>8</v>
      </c>
      <c r="F215" s="30" t="n">
        <v>1.5</v>
      </c>
      <c r="G215" s="6" t="inlineStr">
        <is>
          <t>Oui</t>
        </is>
      </c>
      <c r="H215" s="6" t="inlineStr">
        <is>
          <t>OFF</t>
        </is>
      </c>
      <c r="I215" s="31" t="n">
        <v>580.1183283215253</v>
      </c>
      <c r="J215" s="31" t="n">
        <v>1533.568798690708</v>
      </c>
      <c r="K215" s="31" t="n">
        <v>1407.407407407407</v>
      </c>
      <c r="L215" s="31" t="n">
        <v>150</v>
      </c>
      <c r="M215" s="31">
        <f>I215+J215+K215+L215</f>
        <v/>
      </c>
      <c r="N215" s="31">
        <f>M215*'Dashboard &amp; Optimisation'!$B$18/('Dashboard &amp; Optimisation'!$B$16/3.6)</f>
        <v/>
      </c>
      <c r="O215" s="31" t="n">
        <v>325.2063760183538</v>
      </c>
      <c r="P215" s="32" t="n">
        <v>0.233823801442431</v>
      </c>
      <c r="Q215" s="33" t="n">
        <v>12.59252873323222</v>
      </c>
      <c r="R215" s="31" t="n">
        <v>392.6298370109809</v>
      </c>
      <c r="S215" s="31">
        <f>R215*IF(A215=4, 2.0, 3.0)</f>
        <v/>
      </c>
      <c r="T215" s="30">
        <f>'Dashboard &amp; Optimisation'!$B$18*U215</f>
        <v/>
      </c>
      <c r="U215" s="34">
        <f>MIN(1, S215/M215)</f>
        <v/>
      </c>
      <c r="V215" s="34">
        <f>N215/(N215+O215)</f>
        <v/>
      </c>
      <c r="W215" s="34">
        <f>U215*V215</f>
        <v/>
      </c>
      <c r="X215" s="32">
        <f>T215/N215</f>
        <v/>
      </c>
      <c r="Y215" s="35">
        <f>IF(W215=MAXIFS(W$2:W$3601, A$2:A$3601, A215, B$2:B$3601, B215), "OPTIMAL", "")</f>
        <v/>
      </c>
    </row>
    <row r="216" ht="20" customHeight="1">
      <c r="A216" s="21" t="n">
        <v>4</v>
      </c>
      <c r="B216" s="21" t="n">
        <v>25</v>
      </c>
      <c r="C216" s="22" t="n">
        <v>105</v>
      </c>
      <c r="D216" s="22" t="n">
        <v>2</v>
      </c>
      <c r="E216" s="23" t="n">
        <v>8</v>
      </c>
      <c r="F216" s="22" t="n">
        <v>1.5</v>
      </c>
      <c r="G216" s="23" t="inlineStr">
        <is>
          <t>Non</t>
        </is>
      </c>
      <c r="H216" s="23" t="inlineStr">
        <is>
          <t>ON</t>
        </is>
      </c>
      <c r="I216" s="24" t="n">
        <v>580.1183283215253</v>
      </c>
      <c r="J216" s="24" t="n">
        <v>1533.568798690708</v>
      </c>
      <c r="K216" s="24" t="n">
        <v>1407.407407407407</v>
      </c>
      <c r="L216" s="24" t="n">
        <v>150</v>
      </c>
      <c r="M216" s="24">
        <f>I216+J216+K216+L216</f>
        <v/>
      </c>
      <c r="N216" s="24">
        <f>M216*'Dashboard &amp; Optimisation'!$B$18/('Dashboard &amp; Optimisation'!$B$16/3.6)</f>
        <v/>
      </c>
      <c r="O216" s="24" t="n">
        <v>325.2063760183538</v>
      </c>
      <c r="P216" s="25" t="n">
        <v>0.05153371942424499</v>
      </c>
      <c r="Q216" s="26" t="n">
        <v>12.59252873323222</v>
      </c>
      <c r="R216" s="24" t="n">
        <v>1781.478264626048</v>
      </c>
      <c r="S216" s="24">
        <f>R216*IF(A216=4, 2.0, 3.0)</f>
        <v/>
      </c>
      <c r="T216" s="22">
        <f>'Dashboard &amp; Optimisation'!$B$18*U216</f>
        <v/>
      </c>
      <c r="U216" s="27">
        <f>MIN(1, S216/M216)</f>
        <v/>
      </c>
      <c r="V216" s="27">
        <f>N216/(N216+O216)</f>
        <v/>
      </c>
      <c r="W216" s="27">
        <f>U216*V216</f>
        <v/>
      </c>
      <c r="X216" s="25">
        <f>T216/N216</f>
        <v/>
      </c>
      <c r="Y216" s="28">
        <f>IF(W216=MAXIFS(W$2:W$3601, A$2:A$3601, A216, B$2:B$3601, B216), "OPTIMAL", "")</f>
        <v/>
      </c>
    </row>
    <row r="217" ht="20" customHeight="1">
      <c r="A217" s="29" t="n">
        <v>4</v>
      </c>
      <c r="B217" s="29" t="n">
        <v>25</v>
      </c>
      <c r="C217" s="30" t="n">
        <v>105</v>
      </c>
      <c r="D217" s="30" t="n">
        <v>2</v>
      </c>
      <c r="E217" s="6" t="n">
        <v>8</v>
      </c>
      <c r="F217" s="30" t="n">
        <v>1.5</v>
      </c>
      <c r="G217" s="6" t="inlineStr">
        <is>
          <t>Non</t>
        </is>
      </c>
      <c r="H217" s="6" t="inlineStr">
        <is>
          <t>OFF</t>
        </is>
      </c>
      <c r="I217" s="31" t="n">
        <v>580.1183283215253</v>
      </c>
      <c r="J217" s="31" t="n">
        <v>1533.568798690708</v>
      </c>
      <c r="K217" s="31" t="n">
        <v>1407.407407407407</v>
      </c>
      <c r="L217" s="31" t="n">
        <v>150</v>
      </c>
      <c r="M217" s="31">
        <f>I217+J217+K217+L217</f>
        <v/>
      </c>
      <c r="N217" s="31">
        <f>M217*'Dashboard &amp; Optimisation'!$B$18/('Dashboard &amp; Optimisation'!$B$16/3.6)</f>
        <v/>
      </c>
      <c r="O217" s="31" t="n">
        <v>325.2063760183538</v>
      </c>
      <c r="P217" s="32" t="n">
        <v>0.2307922787168711</v>
      </c>
      <c r="Q217" s="33" t="n">
        <v>12.59252873323222</v>
      </c>
      <c r="R217" s="31" t="n">
        <v>397.7871424470603</v>
      </c>
      <c r="S217" s="31">
        <f>R217*IF(A217=4, 2.0, 3.0)</f>
        <v/>
      </c>
      <c r="T217" s="30">
        <f>'Dashboard &amp; Optimisation'!$B$18*U217</f>
        <v/>
      </c>
      <c r="U217" s="34">
        <f>MIN(1, S217/M217)</f>
        <v/>
      </c>
      <c r="V217" s="34">
        <f>N217/(N217+O217)</f>
        <v/>
      </c>
      <c r="W217" s="34">
        <f>U217*V217</f>
        <v/>
      </c>
      <c r="X217" s="32">
        <f>T217/N217</f>
        <v/>
      </c>
      <c r="Y217" s="35">
        <f>IF(W217=MAXIFS(W$2:W$3601, A$2:A$3601, A217, B$2:B$3601, B217), "OPTIMAL", "")</f>
        <v/>
      </c>
    </row>
    <row r="218" ht="20" customHeight="1">
      <c r="A218" s="21" t="n">
        <v>4</v>
      </c>
      <c r="B218" s="21" t="n">
        <v>25</v>
      </c>
      <c r="C218" s="22" t="n">
        <v>105</v>
      </c>
      <c r="D218" s="22" t="n">
        <v>2</v>
      </c>
      <c r="E218" s="23" t="n">
        <v>8</v>
      </c>
      <c r="F218" s="22" t="n">
        <v>2</v>
      </c>
      <c r="G218" s="23" t="inlineStr">
        <is>
          <t>Oui</t>
        </is>
      </c>
      <c r="H218" s="23" t="inlineStr">
        <is>
          <t>ON</t>
        </is>
      </c>
      <c r="I218" s="24" t="n">
        <v>580.1183283215253</v>
      </c>
      <c r="J218" s="24" t="n">
        <v>1533.568798690708</v>
      </c>
      <c r="K218" s="24" t="n">
        <v>1407.407407407407</v>
      </c>
      <c r="L218" s="24" t="n">
        <v>150</v>
      </c>
      <c r="M218" s="24">
        <f>I218+J218+K218+L218</f>
        <v/>
      </c>
      <c r="N218" s="24">
        <f>M218*'Dashboard &amp; Optimisation'!$B$18/('Dashboard &amp; Optimisation'!$B$16/3.6)</f>
        <v/>
      </c>
      <c r="O218" s="24" t="n">
        <v>388.4761514391491</v>
      </c>
      <c r="P218" s="25" t="n">
        <v>0.05324035668794291</v>
      </c>
      <c r="Q218" s="26" t="n">
        <v>16.72337164430963</v>
      </c>
      <c r="R218" s="24" t="n">
        <v>1762.205610831429</v>
      </c>
      <c r="S218" s="24">
        <f>R218*IF(A218=4, 2.0, 3.0)</f>
        <v/>
      </c>
      <c r="T218" s="22">
        <f>'Dashboard &amp; Optimisation'!$B$18*U218</f>
        <v/>
      </c>
      <c r="U218" s="27">
        <f>MIN(1, S218/M218)</f>
        <v/>
      </c>
      <c r="V218" s="27">
        <f>N218/(N218+O218)</f>
        <v/>
      </c>
      <c r="W218" s="27">
        <f>U218*V218</f>
        <v/>
      </c>
      <c r="X218" s="25">
        <f>T218/N218</f>
        <v/>
      </c>
      <c r="Y218" s="28">
        <f>IF(W218=MAXIFS(W$2:W$3601, A$2:A$3601, A218, B$2:B$3601, B218), "OPTIMAL", "")</f>
        <v/>
      </c>
    </row>
    <row r="219" ht="20" customHeight="1">
      <c r="A219" s="29" t="n">
        <v>4</v>
      </c>
      <c r="B219" s="29" t="n">
        <v>25</v>
      </c>
      <c r="C219" s="30" t="n">
        <v>105</v>
      </c>
      <c r="D219" s="30" t="n">
        <v>2</v>
      </c>
      <c r="E219" s="6" t="n">
        <v>8</v>
      </c>
      <c r="F219" s="30" t="n">
        <v>2</v>
      </c>
      <c r="G219" s="6" t="inlineStr">
        <is>
          <t>Oui</t>
        </is>
      </c>
      <c r="H219" s="6" t="inlineStr">
        <is>
          <t>OFF</t>
        </is>
      </c>
      <c r="I219" s="31" t="n">
        <v>580.1183283215253</v>
      </c>
      <c r="J219" s="31" t="n">
        <v>1533.568798690708</v>
      </c>
      <c r="K219" s="31" t="n">
        <v>1407.407407407407</v>
      </c>
      <c r="L219" s="31" t="n">
        <v>150</v>
      </c>
      <c r="M219" s="31">
        <f>I219+J219+K219+L219</f>
        <v/>
      </c>
      <c r="N219" s="31">
        <f>M219*'Dashboard &amp; Optimisation'!$B$18/('Dashboard &amp; Optimisation'!$B$16/3.6)</f>
        <v/>
      </c>
      <c r="O219" s="31" t="n">
        <v>388.4761514391491</v>
      </c>
      <c r="P219" s="32" t="n">
        <v>0.2337915759821405</v>
      </c>
      <c r="Q219" s="33" t="n">
        <v>16.72337164430963</v>
      </c>
      <c r="R219" s="31" t="n">
        <v>401.2995544601085</v>
      </c>
      <c r="S219" s="31">
        <f>R219*IF(A219=4, 2.0, 3.0)</f>
        <v/>
      </c>
      <c r="T219" s="30">
        <f>'Dashboard &amp; Optimisation'!$B$18*U219</f>
        <v/>
      </c>
      <c r="U219" s="34">
        <f>MIN(1, S219/M219)</f>
        <v/>
      </c>
      <c r="V219" s="34">
        <f>N219/(N219+O219)</f>
        <v/>
      </c>
      <c r="W219" s="34">
        <f>U219*V219</f>
        <v/>
      </c>
      <c r="X219" s="32">
        <f>T219/N219</f>
        <v/>
      </c>
      <c r="Y219" s="35">
        <f>IF(W219=MAXIFS(W$2:W$3601, A$2:A$3601, A219, B$2:B$3601, B219), "OPTIMAL", "")</f>
        <v/>
      </c>
    </row>
    <row r="220" ht="20" customHeight="1">
      <c r="A220" s="21" t="n">
        <v>4</v>
      </c>
      <c r="B220" s="21" t="n">
        <v>25</v>
      </c>
      <c r="C220" s="22" t="n">
        <v>105</v>
      </c>
      <c r="D220" s="22" t="n">
        <v>2</v>
      </c>
      <c r="E220" s="23" t="n">
        <v>8</v>
      </c>
      <c r="F220" s="22" t="n">
        <v>2</v>
      </c>
      <c r="G220" s="23" t="inlineStr">
        <is>
          <t>Non</t>
        </is>
      </c>
      <c r="H220" s="23" t="inlineStr">
        <is>
          <t>ON</t>
        </is>
      </c>
      <c r="I220" s="24" t="n">
        <v>580.1183283215253</v>
      </c>
      <c r="J220" s="24" t="n">
        <v>1533.568798690708</v>
      </c>
      <c r="K220" s="24" t="n">
        <v>1407.407407407407</v>
      </c>
      <c r="L220" s="24" t="n">
        <v>150</v>
      </c>
      <c r="M220" s="24">
        <f>I220+J220+K220+L220</f>
        <v/>
      </c>
      <c r="N220" s="24">
        <f>M220*'Dashboard &amp; Optimisation'!$B$18/('Dashboard &amp; Optimisation'!$B$16/3.6)</f>
        <v/>
      </c>
      <c r="O220" s="24" t="n">
        <v>388.4761514391491</v>
      </c>
      <c r="P220" s="25" t="n">
        <v>0.05020883396238299</v>
      </c>
      <c r="Q220" s="26" t="n">
        <v>16.72337164430963</v>
      </c>
      <c r="R220" s="24" t="n">
        <v>1868.604543743256</v>
      </c>
      <c r="S220" s="24">
        <f>R220*IF(A220=4, 2.0, 3.0)</f>
        <v/>
      </c>
      <c r="T220" s="22">
        <f>'Dashboard &amp; Optimisation'!$B$18*U220</f>
        <v/>
      </c>
      <c r="U220" s="27">
        <f>MIN(1, S220/M220)</f>
        <v/>
      </c>
      <c r="V220" s="27">
        <f>N220/(N220+O220)</f>
        <v/>
      </c>
      <c r="W220" s="27">
        <f>U220*V220</f>
        <v/>
      </c>
      <c r="X220" s="25">
        <f>T220/N220</f>
        <v/>
      </c>
      <c r="Y220" s="28">
        <f>IF(W220=MAXIFS(W$2:W$3601, A$2:A$3601, A220, B$2:B$3601, B220), "OPTIMAL", "")</f>
        <v/>
      </c>
    </row>
    <row r="221" ht="20" customHeight="1">
      <c r="A221" s="29" t="n">
        <v>4</v>
      </c>
      <c r="B221" s="29" t="n">
        <v>25</v>
      </c>
      <c r="C221" s="30" t="n">
        <v>105</v>
      </c>
      <c r="D221" s="30" t="n">
        <v>2</v>
      </c>
      <c r="E221" s="6" t="n">
        <v>8</v>
      </c>
      <c r="F221" s="30" t="n">
        <v>2</v>
      </c>
      <c r="G221" s="6" t="inlineStr">
        <is>
          <t>Non</t>
        </is>
      </c>
      <c r="H221" s="6" t="inlineStr">
        <is>
          <t>OFF</t>
        </is>
      </c>
      <c r="I221" s="31" t="n">
        <v>580.1183283215253</v>
      </c>
      <c r="J221" s="31" t="n">
        <v>1533.568798690708</v>
      </c>
      <c r="K221" s="31" t="n">
        <v>1407.407407407407</v>
      </c>
      <c r="L221" s="31" t="n">
        <v>150</v>
      </c>
      <c r="M221" s="31">
        <f>I221+J221+K221+L221</f>
        <v/>
      </c>
      <c r="N221" s="31">
        <f>M221*'Dashboard &amp; Optimisation'!$B$18/('Dashboard &amp; Optimisation'!$B$16/3.6)</f>
        <v/>
      </c>
      <c r="O221" s="31" t="n">
        <v>388.4761514391491</v>
      </c>
      <c r="P221" s="32" t="n">
        <v>0.2307600532565806</v>
      </c>
      <c r="Q221" s="33" t="n">
        <v>16.72337164430963</v>
      </c>
      <c r="R221" s="31" t="n">
        <v>406.5714752364059</v>
      </c>
      <c r="S221" s="31">
        <f>R221*IF(A221=4, 2.0, 3.0)</f>
        <v/>
      </c>
      <c r="T221" s="30">
        <f>'Dashboard &amp; Optimisation'!$B$18*U221</f>
        <v/>
      </c>
      <c r="U221" s="34">
        <f>MIN(1, S221/M221)</f>
        <v/>
      </c>
      <c r="V221" s="34">
        <f>N221/(N221+O221)</f>
        <v/>
      </c>
      <c r="W221" s="34">
        <f>U221*V221</f>
        <v/>
      </c>
      <c r="X221" s="32">
        <f>T221/N221</f>
        <v/>
      </c>
      <c r="Y221" s="35">
        <f>IF(W221=MAXIFS(W$2:W$3601, A$2:A$3601, A221, B$2:B$3601, B221), "OPTIMAL", "")</f>
        <v/>
      </c>
    </row>
    <row r="222" ht="20" customHeight="1">
      <c r="A222" s="21" t="n">
        <v>4</v>
      </c>
      <c r="B222" s="21" t="n">
        <v>25</v>
      </c>
      <c r="C222" s="22" t="n">
        <v>105</v>
      </c>
      <c r="D222" s="22" t="n">
        <v>3</v>
      </c>
      <c r="E222" s="23" t="n">
        <v>0</v>
      </c>
      <c r="F222" s="22" t="n">
        <v>0</v>
      </c>
      <c r="G222" s="23" t="inlineStr">
        <is>
          <t>Oui</t>
        </is>
      </c>
      <c r="H222" s="23" t="inlineStr">
        <is>
          <t>ON</t>
        </is>
      </c>
      <c r="I222" s="24" t="n">
        <v>580.1183283215253</v>
      </c>
      <c r="J222" s="24" t="n">
        <v>1533.568798690708</v>
      </c>
      <c r="K222" s="24" t="n">
        <v>1407.407407407407</v>
      </c>
      <c r="L222" s="24" t="n">
        <v>150</v>
      </c>
      <c r="M222" s="24">
        <f>I222+J222+K222+L222</f>
        <v/>
      </c>
      <c r="N222" s="24">
        <f>M222*'Dashboard &amp; Optimisation'!$B$18/('Dashboard &amp; Optimisation'!$B$16/3.6)</f>
        <v/>
      </c>
      <c r="O222" s="24" t="n">
        <v>233.0083142507671</v>
      </c>
      <c r="P222" s="25" t="n">
        <v>0.4767526303329919</v>
      </c>
      <c r="Q222" s="26" t="n">
        <v>0.2</v>
      </c>
      <c r="R222" s="24" t="n">
        <v>188.2969375543743</v>
      </c>
      <c r="S222" s="24">
        <f>R222*IF(A222=4, 2.0, 3.0)</f>
        <v/>
      </c>
      <c r="T222" s="22">
        <f>'Dashboard &amp; Optimisation'!$B$18*U222</f>
        <v/>
      </c>
      <c r="U222" s="27">
        <f>MIN(1, S222/M222)</f>
        <v/>
      </c>
      <c r="V222" s="27">
        <f>N222/(N222+O222)</f>
        <v/>
      </c>
      <c r="W222" s="27">
        <f>U222*V222</f>
        <v/>
      </c>
      <c r="X222" s="25">
        <f>T222/N222</f>
        <v/>
      </c>
      <c r="Y222" s="28">
        <f>IF(W222=MAXIFS(W$2:W$3601, A$2:A$3601, A222, B$2:B$3601, B222), "OPTIMAL", "")</f>
        <v/>
      </c>
    </row>
    <row r="223" ht="20" customHeight="1">
      <c r="A223" s="29" t="n">
        <v>4</v>
      </c>
      <c r="B223" s="29" t="n">
        <v>25</v>
      </c>
      <c r="C223" s="30" t="n">
        <v>105</v>
      </c>
      <c r="D223" s="30" t="n">
        <v>3</v>
      </c>
      <c r="E223" s="6" t="n">
        <v>0</v>
      </c>
      <c r="F223" s="30" t="n">
        <v>0</v>
      </c>
      <c r="G223" s="6" t="inlineStr">
        <is>
          <t>Oui</t>
        </is>
      </c>
      <c r="H223" s="6" t="inlineStr">
        <is>
          <t>OFF</t>
        </is>
      </c>
      <c r="I223" s="31" t="n">
        <v>580.1183283215253</v>
      </c>
      <c r="J223" s="31" t="n">
        <v>1533.568798690708</v>
      </c>
      <c r="K223" s="31" t="n">
        <v>1407.407407407407</v>
      </c>
      <c r="L223" s="31" t="n">
        <v>150</v>
      </c>
      <c r="M223" s="31">
        <f>I223+J223+K223+L223</f>
        <v/>
      </c>
      <c r="N223" s="31">
        <f>M223*'Dashboard &amp; Optimisation'!$B$18/('Dashboard &amp; Optimisation'!$B$16/3.6)</f>
        <v/>
      </c>
      <c r="O223" s="31" t="n">
        <v>233.0083142507671</v>
      </c>
      <c r="P223" s="32" t="n">
        <v>0.7799049028889831</v>
      </c>
      <c r="Q223" s="33" t="n">
        <v>0.2</v>
      </c>
      <c r="R223" s="31" t="n">
        <v>115.1051364469672</v>
      </c>
      <c r="S223" s="31">
        <f>R223*IF(A223=4, 2.0, 3.0)</f>
        <v/>
      </c>
      <c r="T223" s="30">
        <f>'Dashboard &amp; Optimisation'!$B$18*U223</f>
        <v/>
      </c>
      <c r="U223" s="34">
        <f>MIN(1, S223/M223)</f>
        <v/>
      </c>
      <c r="V223" s="34">
        <f>N223/(N223+O223)</f>
        <v/>
      </c>
      <c r="W223" s="34">
        <f>U223*V223</f>
        <v/>
      </c>
      <c r="X223" s="32">
        <f>T223/N223</f>
        <v/>
      </c>
      <c r="Y223" s="35">
        <f>IF(W223=MAXIFS(W$2:W$3601, A$2:A$3601, A223, B$2:B$3601, B223), "OPTIMAL", "")</f>
        <v/>
      </c>
    </row>
    <row r="224" ht="20" customHeight="1">
      <c r="A224" s="21" t="n">
        <v>4</v>
      </c>
      <c r="B224" s="21" t="n">
        <v>25</v>
      </c>
      <c r="C224" s="22" t="n">
        <v>105</v>
      </c>
      <c r="D224" s="22" t="n">
        <v>3</v>
      </c>
      <c r="E224" s="23" t="n">
        <v>0</v>
      </c>
      <c r="F224" s="22" t="n">
        <v>0</v>
      </c>
      <c r="G224" s="23" t="inlineStr">
        <is>
          <t>Non</t>
        </is>
      </c>
      <c r="H224" s="23" t="inlineStr">
        <is>
          <t>ON</t>
        </is>
      </c>
      <c r="I224" s="24" t="n">
        <v>580.1183283215253</v>
      </c>
      <c r="J224" s="24" t="n">
        <v>1533.568798690708</v>
      </c>
      <c r="K224" s="24" t="n">
        <v>1407.407407407407</v>
      </c>
      <c r="L224" s="24" t="n">
        <v>150</v>
      </c>
      <c r="M224" s="24">
        <f>I224+J224+K224+L224</f>
        <v/>
      </c>
      <c r="N224" s="24">
        <f>M224*'Dashboard &amp; Optimisation'!$B$18/('Dashboard &amp; Optimisation'!$B$16/3.6)</f>
        <v/>
      </c>
      <c r="O224" s="24" t="n">
        <v>233.0083142507671</v>
      </c>
      <c r="P224" s="25" t="n">
        <v>0.473721107607432</v>
      </c>
      <c r="Q224" s="26" t="n">
        <v>0.2</v>
      </c>
      <c r="R224" s="24" t="n">
        <v>189.5019217448243</v>
      </c>
      <c r="S224" s="24">
        <f>R224*IF(A224=4, 2.0, 3.0)</f>
        <v/>
      </c>
      <c r="T224" s="22">
        <f>'Dashboard &amp; Optimisation'!$B$18*U224</f>
        <v/>
      </c>
      <c r="U224" s="27">
        <f>MIN(1, S224/M224)</f>
        <v/>
      </c>
      <c r="V224" s="27">
        <f>N224/(N224+O224)</f>
        <v/>
      </c>
      <c r="W224" s="27">
        <f>U224*V224</f>
        <v/>
      </c>
      <c r="X224" s="25">
        <f>T224/N224</f>
        <v/>
      </c>
      <c r="Y224" s="28">
        <f>IF(W224=MAXIFS(W$2:W$3601, A$2:A$3601, A224, B$2:B$3601, B224), "OPTIMAL", "")</f>
        <v/>
      </c>
    </row>
    <row r="225" ht="20" customHeight="1">
      <c r="A225" s="29" t="n">
        <v>4</v>
      </c>
      <c r="B225" s="29" t="n">
        <v>25</v>
      </c>
      <c r="C225" s="30" t="n">
        <v>105</v>
      </c>
      <c r="D225" s="30" t="n">
        <v>3</v>
      </c>
      <c r="E225" s="6" t="n">
        <v>0</v>
      </c>
      <c r="F225" s="30" t="n">
        <v>0</v>
      </c>
      <c r="G225" s="6" t="inlineStr">
        <is>
          <t>Non</t>
        </is>
      </c>
      <c r="H225" s="6" t="inlineStr">
        <is>
          <t>OFF</t>
        </is>
      </c>
      <c r="I225" s="31" t="n">
        <v>580.1183283215253</v>
      </c>
      <c r="J225" s="31" t="n">
        <v>1533.568798690708</v>
      </c>
      <c r="K225" s="31" t="n">
        <v>1407.407407407407</v>
      </c>
      <c r="L225" s="31" t="n">
        <v>150</v>
      </c>
      <c r="M225" s="31">
        <f>I225+J225+K225+L225</f>
        <v/>
      </c>
      <c r="N225" s="31">
        <f>M225*'Dashboard &amp; Optimisation'!$B$18/('Dashboard &amp; Optimisation'!$B$16/3.6)</f>
        <v/>
      </c>
      <c r="O225" s="31" t="n">
        <v>233.0083142507671</v>
      </c>
      <c r="P225" s="32" t="n">
        <v>0.7768733801634231</v>
      </c>
      <c r="Q225" s="33" t="n">
        <v>0.2</v>
      </c>
      <c r="R225" s="31" t="n">
        <v>115.5543008100121</v>
      </c>
      <c r="S225" s="31">
        <f>R225*IF(A225=4, 2.0, 3.0)</f>
        <v/>
      </c>
      <c r="T225" s="30">
        <f>'Dashboard &amp; Optimisation'!$B$18*U225</f>
        <v/>
      </c>
      <c r="U225" s="34">
        <f>MIN(1, S225/M225)</f>
        <v/>
      </c>
      <c r="V225" s="34">
        <f>N225/(N225+O225)</f>
        <v/>
      </c>
      <c r="W225" s="34">
        <f>U225*V225</f>
        <v/>
      </c>
      <c r="X225" s="32">
        <f>T225/N225</f>
        <v/>
      </c>
      <c r="Y225" s="35">
        <f>IF(W225=MAXIFS(W$2:W$3601, A$2:A$3601, A225, B$2:B$3601, B225), "OPTIMAL", "")</f>
        <v/>
      </c>
    </row>
    <row r="226" ht="20" customHeight="1">
      <c r="A226" s="21" t="n">
        <v>4</v>
      </c>
      <c r="B226" s="21" t="n">
        <v>25</v>
      </c>
      <c r="C226" s="22" t="n">
        <v>105</v>
      </c>
      <c r="D226" s="22" t="n">
        <v>3</v>
      </c>
      <c r="E226" s="23" t="n">
        <v>4</v>
      </c>
      <c r="F226" s="22" t="n">
        <v>1.5</v>
      </c>
      <c r="G226" s="23" t="inlineStr">
        <is>
          <t>Oui</t>
        </is>
      </c>
      <c r="H226" s="23" t="inlineStr">
        <is>
          <t>ON</t>
        </is>
      </c>
      <c r="I226" s="24" t="n">
        <v>580.1183283215253</v>
      </c>
      <c r="J226" s="24" t="n">
        <v>1533.568798690708</v>
      </c>
      <c r="K226" s="24" t="n">
        <v>1407.407407407407</v>
      </c>
      <c r="L226" s="24" t="n">
        <v>150</v>
      </c>
      <c r="M226" s="24">
        <f>I226+J226+K226+L226</f>
        <v/>
      </c>
      <c r="N226" s="24">
        <f>M226*'Dashboard &amp; Optimisation'!$B$18/('Dashboard &amp; Optimisation'!$B$16/3.6)</f>
        <v/>
      </c>
      <c r="O226" s="24" t="n">
        <v>322.3627957294566</v>
      </c>
      <c r="P226" s="25" t="n">
        <v>0.07189461044958809</v>
      </c>
      <c r="Q226" s="26" t="n">
        <v>6.521441424527548</v>
      </c>
      <c r="R226" s="24" t="n">
        <v>1288.416787043272</v>
      </c>
      <c r="S226" s="24">
        <f>R226*IF(A226=4, 2.0, 3.0)</f>
        <v/>
      </c>
      <c r="T226" s="22">
        <f>'Dashboard &amp; Optimisation'!$B$18*U226</f>
        <v/>
      </c>
      <c r="U226" s="27">
        <f>MIN(1, S226/M226)</f>
        <v/>
      </c>
      <c r="V226" s="27">
        <f>N226/(N226+O226)</f>
        <v/>
      </c>
      <c r="W226" s="27">
        <f>U226*V226</f>
        <v/>
      </c>
      <c r="X226" s="25">
        <f>T226/N226</f>
        <v/>
      </c>
      <c r="Y226" s="28">
        <f>IF(W226=MAXIFS(W$2:W$3601, A$2:A$3601, A226, B$2:B$3601, B226), "OPTIMAL", "")</f>
        <v/>
      </c>
    </row>
    <row r="227" ht="20" customHeight="1">
      <c r="A227" s="29" t="n">
        <v>4</v>
      </c>
      <c r="B227" s="29" t="n">
        <v>25</v>
      </c>
      <c r="C227" s="30" t="n">
        <v>105</v>
      </c>
      <c r="D227" s="30" t="n">
        <v>3</v>
      </c>
      <c r="E227" s="6" t="n">
        <v>4</v>
      </c>
      <c r="F227" s="30" t="n">
        <v>1.5</v>
      </c>
      <c r="G227" s="6" t="inlineStr">
        <is>
          <t>Oui</t>
        </is>
      </c>
      <c r="H227" s="6" t="inlineStr">
        <is>
          <t>OFF</t>
        </is>
      </c>
      <c r="I227" s="31" t="n">
        <v>580.1183283215253</v>
      </c>
      <c r="J227" s="31" t="n">
        <v>1533.568798690708</v>
      </c>
      <c r="K227" s="31" t="n">
        <v>1407.407407407407</v>
      </c>
      <c r="L227" s="31" t="n">
        <v>150</v>
      </c>
      <c r="M227" s="31">
        <f>I227+J227+K227+L227</f>
        <v/>
      </c>
      <c r="N227" s="31">
        <f>M227*'Dashboard &amp; Optimisation'!$B$18/('Dashboard &amp; Optimisation'!$B$16/3.6)</f>
        <v/>
      </c>
      <c r="O227" s="31" t="n">
        <v>322.3627957294566</v>
      </c>
      <c r="P227" s="32" t="n">
        <v>0.297191423626796</v>
      </c>
      <c r="Q227" s="33" t="n">
        <v>6.521441424527548</v>
      </c>
      <c r="R227" s="31" t="n">
        <v>311.6853840220777</v>
      </c>
      <c r="S227" s="31">
        <f>R227*IF(A227=4, 2.0, 3.0)</f>
        <v/>
      </c>
      <c r="T227" s="30">
        <f>'Dashboard &amp; Optimisation'!$B$18*U227</f>
        <v/>
      </c>
      <c r="U227" s="34">
        <f>MIN(1, S227/M227)</f>
        <v/>
      </c>
      <c r="V227" s="34">
        <f>N227/(N227+O227)</f>
        <v/>
      </c>
      <c r="W227" s="34">
        <f>U227*V227</f>
        <v/>
      </c>
      <c r="X227" s="32">
        <f>T227/N227</f>
        <v/>
      </c>
      <c r="Y227" s="35">
        <f>IF(W227=MAXIFS(W$2:W$3601, A$2:A$3601, A227, B$2:B$3601, B227), "OPTIMAL", "")</f>
        <v/>
      </c>
    </row>
    <row r="228" ht="20" customHeight="1">
      <c r="A228" s="21" t="n">
        <v>4</v>
      </c>
      <c r="B228" s="21" t="n">
        <v>25</v>
      </c>
      <c r="C228" s="22" t="n">
        <v>105</v>
      </c>
      <c r="D228" s="22" t="n">
        <v>3</v>
      </c>
      <c r="E228" s="23" t="n">
        <v>4</v>
      </c>
      <c r="F228" s="22" t="n">
        <v>1.5</v>
      </c>
      <c r="G228" s="23" t="inlineStr">
        <is>
          <t>Non</t>
        </is>
      </c>
      <c r="H228" s="23" t="inlineStr">
        <is>
          <t>ON</t>
        </is>
      </c>
      <c r="I228" s="24" t="n">
        <v>580.1183283215253</v>
      </c>
      <c r="J228" s="24" t="n">
        <v>1533.568798690708</v>
      </c>
      <c r="K228" s="24" t="n">
        <v>1407.407407407407</v>
      </c>
      <c r="L228" s="24" t="n">
        <v>150</v>
      </c>
      <c r="M228" s="24">
        <f>I228+J228+K228+L228</f>
        <v/>
      </c>
      <c r="N228" s="24">
        <f>M228*'Dashboard &amp; Optimisation'!$B$18/('Dashboard &amp; Optimisation'!$B$16/3.6)</f>
        <v/>
      </c>
      <c r="O228" s="24" t="n">
        <v>322.3627957294566</v>
      </c>
      <c r="P228" s="25" t="n">
        <v>0.06886308772402817</v>
      </c>
      <c r="Q228" s="26" t="n">
        <v>6.521441424527548</v>
      </c>
      <c r="R228" s="24" t="n">
        <v>1345.136067270256</v>
      </c>
      <c r="S228" s="24">
        <f>R228*IF(A228=4, 2.0, 3.0)</f>
        <v/>
      </c>
      <c r="T228" s="22">
        <f>'Dashboard &amp; Optimisation'!$B$18*U228</f>
        <v/>
      </c>
      <c r="U228" s="27">
        <f>MIN(1, S228/M228)</f>
        <v/>
      </c>
      <c r="V228" s="27">
        <f>N228/(N228+O228)</f>
        <v/>
      </c>
      <c r="W228" s="27">
        <f>U228*V228</f>
        <v/>
      </c>
      <c r="X228" s="25">
        <f>T228/N228</f>
        <v/>
      </c>
      <c r="Y228" s="28">
        <f>IF(W228=MAXIFS(W$2:W$3601, A$2:A$3601, A228, B$2:B$3601, B228), "OPTIMAL", "")</f>
        <v/>
      </c>
    </row>
    <row r="229" ht="20" customHeight="1">
      <c r="A229" s="29" t="n">
        <v>4</v>
      </c>
      <c r="B229" s="29" t="n">
        <v>25</v>
      </c>
      <c r="C229" s="30" t="n">
        <v>105</v>
      </c>
      <c r="D229" s="30" t="n">
        <v>3</v>
      </c>
      <c r="E229" s="6" t="n">
        <v>4</v>
      </c>
      <c r="F229" s="30" t="n">
        <v>1.5</v>
      </c>
      <c r="G229" s="6" t="inlineStr">
        <is>
          <t>Non</t>
        </is>
      </c>
      <c r="H229" s="6" t="inlineStr">
        <is>
          <t>OFF</t>
        </is>
      </c>
      <c r="I229" s="31" t="n">
        <v>580.1183283215253</v>
      </c>
      <c r="J229" s="31" t="n">
        <v>1533.568798690708</v>
      </c>
      <c r="K229" s="31" t="n">
        <v>1407.407407407407</v>
      </c>
      <c r="L229" s="31" t="n">
        <v>150</v>
      </c>
      <c r="M229" s="31">
        <f>I229+J229+K229+L229</f>
        <v/>
      </c>
      <c r="N229" s="31">
        <f>M229*'Dashboard &amp; Optimisation'!$B$18/('Dashboard &amp; Optimisation'!$B$16/3.6)</f>
        <v/>
      </c>
      <c r="O229" s="31" t="n">
        <v>322.3627957294566</v>
      </c>
      <c r="P229" s="32" t="n">
        <v>0.2941599009012361</v>
      </c>
      <c r="Q229" s="33" t="n">
        <v>6.521441424527548</v>
      </c>
      <c r="R229" s="31" t="n">
        <v>314.8975190615338</v>
      </c>
      <c r="S229" s="31">
        <f>R229*IF(A229=4, 2.0, 3.0)</f>
        <v/>
      </c>
      <c r="T229" s="30">
        <f>'Dashboard &amp; Optimisation'!$B$18*U229</f>
        <v/>
      </c>
      <c r="U229" s="34">
        <f>MIN(1, S229/M229)</f>
        <v/>
      </c>
      <c r="V229" s="34">
        <f>N229/(N229+O229)</f>
        <v/>
      </c>
      <c r="W229" s="34">
        <f>U229*V229</f>
        <v/>
      </c>
      <c r="X229" s="32">
        <f>T229/N229</f>
        <v/>
      </c>
      <c r="Y229" s="35">
        <f>IF(W229=MAXIFS(W$2:W$3601, A$2:A$3601, A229, B$2:B$3601, B229), "OPTIMAL", "")</f>
        <v/>
      </c>
    </row>
    <row r="230" ht="20" customHeight="1">
      <c r="A230" s="21" t="n">
        <v>4</v>
      </c>
      <c r="B230" s="21" t="n">
        <v>25</v>
      </c>
      <c r="C230" s="22" t="n">
        <v>105</v>
      </c>
      <c r="D230" s="22" t="n">
        <v>3</v>
      </c>
      <c r="E230" s="23" t="n">
        <v>4</v>
      </c>
      <c r="F230" s="22" t="n">
        <v>2</v>
      </c>
      <c r="G230" s="23" t="inlineStr">
        <is>
          <t>Oui</t>
        </is>
      </c>
      <c r="H230" s="23" t="inlineStr">
        <is>
          <t>ON</t>
        </is>
      </c>
      <c r="I230" s="24" t="n">
        <v>580.1183283215253</v>
      </c>
      <c r="J230" s="24" t="n">
        <v>1533.568798690708</v>
      </c>
      <c r="K230" s="24" t="n">
        <v>1407.407407407407</v>
      </c>
      <c r="L230" s="24" t="n">
        <v>150</v>
      </c>
      <c r="M230" s="24">
        <f>I230+J230+K230+L230</f>
        <v/>
      </c>
      <c r="N230" s="24">
        <f>M230*'Dashboard &amp; Optimisation'!$B$18/('Dashboard &amp; Optimisation'!$B$16/3.6)</f>
        <v/>
      </c>
      <c r="O230" s="24" t="n">
        <v>353.426037357833</v>
      </c>
      <c r="P230" s="25" t="n">
        <v>0.06909966512774487</v>
      </c>
      <c r="Q230" s="26" t="n">
        <v>8.628588566036731</v>
      </c>
      <c r="R230" s="24" t="n">
        <v>1354.915161345556</v>
      </c>
      <c r="S230" s="24">
        <f>R230*IF(A230=4, 2.0, 3.0)</f>
        <v/>
      </c>
      <c r="T230" s="22">
        <f>'Dashboard &amp; Optimisation'!$B$18*U230</f>
        <v/>
      </c>
      <c r="U230" s="27">
        <f>MIN(1, S230/M230)</f>
        <v/>
      </c>
      <c r="V230" s="27">
        <f>N230/(N230+O230)</f>
        <v/>
      </c>
      <c r="W230" s="27">
        <f>U230*V230</f>
        <v/>
      </c>
      <c r="X230" s="25">
        <f>T230/N230</f>
        <v/>
      </c>
      <c r="Y230" s="28">
        <f>IF(W230=MAXIFS(W$2:W$3601, A$2:A$3601, A230, B$2:B$3601, B230), "OPTIMAL", "")</f>
        <v/>
      </c>
    </row>
    <row r="231" ht="20" customHeight="1">
      <c r="A231" s="29" t="n">
        <v>4</v>
      </c>
      <c r="B231" s="29" t="n">
        <v>25</v>
      </c>
      <c r="C231" s="30" t="n">
        <v>105</v>
      </c>
      <c r="D231" s="30" t="n">
        <v>3</v>
      </c>
      <c r="E231" s="6" t="n">
        <v>4</v>
      </c>
      <c r="F231" s="30" t="n">
        <v>2</v>
      </c>
      <c r="G231" s="6" t="inlineStr">
        <is>
          <t>Oui</t>
        </is>
      </c>
      <c r="H231" s="6" t="inlineStr">
        <is>
          <t>OFF</t>
        </is>
      </c>
      <c r="I231" s="31" t="n">
        <v>580.1183283215253</v>
      </c>
      <c r="J231" s="31" t="n">
        <v>1533.568798690708</v>
      </c>
      <c r="K231" s="31" t="n">
        <v>1407.407407407407</v>
      </c>
      <c r="L231" s="31" t="n">
        <v>150</v>
      </c>
      <c r="M231" s="31">
        <f>I231+J231+K231+L231</f>
        <v/>
      </c>
      <c r="N231" s="31">
        <f>M231*'Dashboard &amp; Optimisation'!$B$18/('Dashboard &amp; Optimisation'!$B$16/3.6)</f>
        <v/>
      </c>
      <c r="O231" s="31" t="n">
        <v>353.426037357833</v>
      </c>
      <c r="P231" s="32" t="n">
        <v>0.2954143944438517</v>
      </c>
      <c r="Q231" s="33" t="n">
        <v>8.628588566036731</v>
      </c>
      <c r="R231" s="31" t="n">
        <v>316.9249220294076</v>
      </c>
      <c r="S231" s="31">
        <f>R231*IF(A231=4, 2.0, 3.0)</f>
        <v/>
      </c>
      <c r="T231" s="30">
        <f>'Dashboard &amp; Optimisation'!$B$18*U231</f>
        <v/>
      </c>
      <c r="U231" s="34">
        <f>MIN(1, S231/M231)</f>
        <v/>
      </c>
      <c r="V231" s="34">
        <f>N231/(N231+O231)</f>
        <v/>
      </c>
      <c r="W231" s="34">
        <f>U231*V231</f>
        <v/>
      </c>
      <c r="X231" s="32">
        <f>T231/N231</f>
        <v/>
      </c>
      <c r="Y231" s="35">
        <f>IF(W231=MAXIFS(W$2:W$3601, A$2:A$3601, A231, B$2:B$3601, B231), "OPTIMAL", "")</f>
        <v/>
      </c>
    </row>
    <row r="232" ht="20" customHeight="1">
      <c r="A232" s="21" t="n">
        <v>4</v>
      </c>
      <c r="B232" s="21" t="n">
        <v>25</v>
      </c>
      <c r="C232" s="22" t="n">
        <v>105</v>
      </c>
      <c r="D232" s="22" t="n">
        <v>3</v>
      </c>
      <c r="E232" s="23" t="n">
        <v>4</v>
      </c>
      <c r="F232" s="22" t="n">
        <v>2</v>
      </c>
      <c r="G232" s="23" t="inlineStr">
        <is>
          <t>Non</t>
        </is>
      </c>
      <c r="H232" s="23" t="inlineStr">
        <is>
          <t>ON</t>
        </is>
      </c>
      <c r="I232" s="24" t="n">
        <v>580.1183283215253</v>
      </c>
      <c r="J232" s="24" t="n">
        <v>1533.568798690708</v>
      </c>
      <c r="K232" s="24" t="n">
        <v>1407.407407407407</v>
      </c>
      <c r="L232" s="24" t="n">
        <v>150</v>
      </c>
      <c r="M232" s="24">
        <f>I232+J232+K232+L232</f>
        <v/>
      </c>
      <c r="N232" s="24">
        <f>M232*'Dashboard &amp; Optimisation'!$B$18/('Dashboard &amp; Optimisation'!$B$16/3.6)</f>
        <v/>
      </c>
      <c r="O232" s="24" t="n">
        <v>353.426037357833</v>
      </c>
      <c r="P232" s="25" t="n">
        <v>0.06606814240218496</v>
      </c>
      <c r="Q232" s="26" t="n">
        <v>8.628588566036731</v>
      </c>
      <c r="R232" s="24" t="n">
        <v>1417.085156648601</v>
      </c>
      <c r="S232" s="24">
        <f>R232*IF(A232=4, 2.0, 3.0)</f>
        <v/>
      </c>
      <c r="T232" s="22">
        <f>'Dashboard &amp; Optimisation'!$B$18*U232</f>
        <v/>
      </c>
      <c r="U232" s="27">
        <f>MIN(1, S232/M232)</f>
        <v/>
      </c>
      <c r="V232" s="27">
        <f>N232/(N232+O232)</f>
        <v/>
      </c>
      <c r="W232" s="27">
        <f>U232*V232</f>
        <v/>
      </c>
      <c r="X232" s="25">
        <f>T232/N232</f>
        <v/>
      </c>
      <c r="Y232" s="28">
        <f>IF(W232=MAXIFS(W$2:W$3601, A$2:A$3601, A232, B$2:B$3601, B232), "OPTIMAL", "")</f>
        <v/>
      </c>
    </row>
    <row r="233" ht="20" customHeight="1">
      <c r="A233" s="29" t="n">
        <v>4</v>
      </c>
      <c r="B233" s="29" t="n">
        <v>25</v>
      </c>
      <c r="C233" s="30" t="n">
        <v>105</v>
      </c>
      <c r="D233" s="30" t="n">
        <v>3</v>
      </c>
      <c r="E233" s="6" t="n">
        <v>4</v>
      </c>
      <c r="F233" s="30" t="n">
        <v>2</v>
      </c>
      <c r="G233" s="6" t="inlineStr">
        <is>
          <t>Non</t>
        </is>
      </c>
      <c r="H233" s="6" t="inlineStr">
        <is>
          <t>OFF</t>
        </is>
      </c>
      <c r="I233" s="31" t="n">
        <v>580.1183283215253</v>
      </c>
      <c r="J233" s="31" t="n">
        <v>1533.568798690708</v>
      </c>
      <c r="K233" s="31" t="n">
        <v>1407.407407407407</v>
      </c>
      <c r="L233" s="31" t="n">
        <v>150</v>
      </c>
      <c r="M233" s="31">
        <f>I233+J233+K233+L233</f>
        <v/>
      </c>
      <c r="N233" s="31">
        <f>M233*'Dashboard &amp; Optimisation'!$B$18/('Dashboard &amp; Optimisation'!$B$16/3.6)</f>
        <v/>
      </c>
      <c r="O233" s="31" t="n">
        <v>353.426037357833</v>
      </c>
      <c r="P233" s="32" t="n">
        <v>0.2923828717182918</v>
      </c>
      <c r="Q233" s="33" t="n">
        <v>8.628588566036731</v>
      </c>
      <c r="R233" s="31" t="n">
        <v>320.2109048839509</v>
      </c>
      <c r="S233" s="31">
        <f>R233*IF(A233=4, 2.0, 3.0)</f>
        <v/>
      </c>
      <c r="T233" s="30">
        <f>'Dashboard &amp; Optimisation'!$B$18*U233</f>
        <v/>
      </c>
      <c r="U233" s="34">
        <f>MIN(1, S233/M233)</f>
        <v/>
      </c>
      <c r="V233" s="34">
        <f>N233/(N233+O233)</f>
        <v/>
      </c>
      <c r="W233" s="34">
        <f>U233*V233</f>
        <v/>
      </c>
      <c r="X233" s="32">
        <f>T233/N233</f>
        <v/>
      </c>
      <c r="Y233" s="35">
        <f>IF(W233=MAXIFS(W$2:W$3601, A$2:A$3601, A233, B$2:B$3601, B233), "OPTIMAL", "")</f>
        <v/>
      </c>
    </row>
    <row r="234" ht="20" customHeight="1">
      <c r="A234" s="21" t="n">
        <v>4</v>
      </c>
      <c r="B234" s="21" t="n">
        <v>25</v>
      </c>
      <c r="C234" s="22" t="n">
        <v>105</v>
      </c>
      <c r="D234" s="22" t="n">
        <v>3</v>
      </c>
      <c r="E234" s="23" t="n">
        <v>8</v>
      </c>
      <c r="F234" s="22" t="n">
        <v>1.5</v>
      </c>
      <c r="G234" s="23" t="inlineStr">
        <is>
          <t>Oui</t>
        </is>
      </c>
      <c r="H234" s="23" t="inlineStr">
        <is>
          <t>ON</t>
        </is>
      </c>
      <c r="I234" s="24" t="n">
        <v>580.1183283215253</v>
      </c>
      <c r="J234" s="24" t="n">
        <v>1533.568798690708</v>
      </c>
      <c r="K234" s="24" t="n">
        <v>1407.407407407407</v>
      </c>
      <c r="L234" s="24" t="n">
        <v>150</v>
      </c>
      <c r="M234" s="24">
        <f>I234+J234+K234+L234</f>
        <v/>
      </c>
      <c r="N234" s="24">
        <f>M234*'Dashboard &amp; Optimisation'!$B$18/('Dashboard &amp; Optimisation'!$B$16/3.6)</f>
        <v/>
      </c>
      <c r="O234" s="24" t="n">
        <v>417.5963112929763</v>
      </c>
      <c r="P234" s="25" t="n">
        <v>0.05445758169649494</v>
      </c>
      <c r="Q234" s="26" t="n">
        <v>12.84288284905509</v>
      </c>
      <c r="R234" s="24" t="n">
        <v>1756.917952703231</v>
      </c>
      <c r="S234" s="24">
        <f>R234*IF(A234=4, 2.0, 3.0)</f>
        <v/>
      </c>
      <c r="T234" s="22">
        <f>'Dashboard &amp; Optimisation'!$B$18*U234</f>
        <v/>
      </c>
      <c r="U234" s="27">
        <f>MIN(1, S234/M234)</f>
        <v/>
      </c>
      <c r="V234" s="27">
        <f>N234/(N234+O234)</f>
        <v/>
      </c>
      <c r="W234" s="27">
        <f>U234*V234</f>
        <v/>
      </c>
      <c r="X234" s="25">
        <f>T234/N234</f>
        <v/>
      </c>
      <c r="Y234" s="28">
        <f>IF(W234=MAXIFS(W$2:W$3601, A$2:A$3601, A234, B$2:B$3601, B234), "OPTIMAL", "")</f>
        <v/>
      </c>
    </row>
    <row r="235" ht="20" customHeight="1">
      <c r="A235" s="29" t="n">
        <v>4</v>
      </c>
      <c r="B235" s="29" t="n">
        <v>25</v>
      </c>
      <c r="C235" s="30" t="n">
        <v>105</v>
      </c>
      <c r="D235" s="30" t="n">
        <v>3</v>
      </c>
      <c r="E235" s="6" t="n">
        <v>8</v>
      </c>
      <c r="F235" s="30" t="n">
        <v>1.5</v>
      </c>
      <c r="G235" s="6" t="inlineStr">
        <is>
          <t>Oui</t>
        </is>
      </c>
      <c r="H235" s="6" t="inlineStr">
        <is>
          <t>OFF</t>
        </is>
      </c>
      <c r="I235" s="31" t="n">
        <v>580.1183283215253</v>
      </c>
      <c r="J235" s="31" t="n">
        <v>1533.568798690708</v>
      </c>
      <c r="K235" s="31" t="n">
        <v>1407.407407407407</v>
      </c>
      <c r="L235" s="31" t="n">
        <v>150</v>
      </c>
      <c r="M235" s="31">
        <f>I235+J235+K235+L235</f>
        <v/>
      </c>
      <c r="N235" s="31">
        <f>M235*'Dashboard &amp; Optimisation'!$B$18/('Dashboard &amp; Optimisation'!$B$16/3.6)</f>
        <v/>
      </c>
      <c r="O235" s="31" t="n">
        <v>417.5963112929763</v>
      </c>
      <c r="P235" s="32" t="n">
        <v>0.233716140989121</v>
      </c>
      <c r="Q235" s="33" t="n">
        <v>12.84288284905509</v>
      </c>
      <c r="R235" s="31" t="n">
        <v>409.3748191222633</v>
      </c>
      <c r="S235" s="31">
        <f>R235*IF(A235=4, 2.0, 3.0)</f>
        <v/>
      </c>
      <c r="T235" s="30">
        <f>'Dashboard &amp; Optimisation'!$B$18*U235</f>
        <v/>
      </c>
      <c r="U235" s="34">
        <f>MIN(1, S235/M235)</f>
        <v/>
      </c>
      <c r="V235" s="34">
        <f>N235/(N235+O235)</f>
        <v/>
      </c>
      <c r="W235" s="34">
        <f>U235*V235</f>
        <v/>
      </c>
      <c r="X235" s="32">
        <f>T235/N235</f>
        <v/>
      </c>
      <c r="Y235" s="35">
        <f>IF(W235=MAXIFS(W$2:W$3601, A$2:A$3601, A235, B$2:B$3601, B235), "OPTIMAL", "")</f>
        <v/>
      </c>
    </row>
    <row r="236" ht="20" customHeight="1">
      <c r="A236" s="21" t="n">
        <v>4</v>
      </c>
      <c r="B236" s="21" t="n">
        <v>25</v>
      </c>
      <c r="C236" s="22" t="n">
        <v>105</v>
      </c>
      <c r="D236" s="22" t="n">
        <v>3</v>
      </c>
      <c r="E236" s="23" t="n">
        <v>8</v>
      </c>
      <c r="F236" s="22" t="n">
        <v>1.5</v>
      </c>
      <c r="G236" s="23" t="inlineStr">
        <is>
          <t>Non</t>
        </is>
      </c>
      <c r="H236" s="23" t="inlineStr">
        <is>
          <t>ON</t>
        </is>
      </c>
      <c r="I236" s="24" t="n">
        <v>580.1183283215253</v>
      </c>
      <c r="J236" s="24" t="n">
        <v>1533.568798690708</v>
      </c>
      <c r="K236" s="24" t="n">
        <v>1407.407407407407</v>
      </c>
      <c r="L236" s="24" t="n">
        <v>150</v>
      </c>
      <c r="M236" s="24">
        <f>I236+J236+K236+L236</f>
        <v/>
      </c>
      <c r="N236" s="24">
        <f>M236*'Dashboard &amp; Optimisation'!$B$18/('Dashboard &amp; Optimisation'!$B$16/3.6)</f>
        <v/>
      </c>
      <c r="O236" s="24" t="n">
        <v>417.5963112929763</v>
      </c>
      <c r="P236" s="25" t="n">
        <v>0.05142605897093502</v>
      </c>
      <c r="Q236" s="26" t="n">
        <v>12.84288284905509</v>
      </c>
      <c r="R236" s="24" t="n">
        <v>1860.486781564378</v>
      </c>
      <c r="S236" s="24">
        <f>R236*IF(A236=4, 2.0, 3.0)</f>
        <v/>
      </c>
      <c r="T236" s="22">
        <f>'Dashboard &amp; Optimisation'!$B$18*U236</f>
        <v/>
      </c>
      <c r="U236" s="27">
        <f>MIN(1, S236/M236)</f>
        <v/>
      </c>
      <c r="V236" s="27">
        <f>N236/(N236+O236)</f>
        <v/>
      </c>
      <c r="W236" s="27">
        <f>U236*V236</f>
        <v/>
      </c>
      <c r="X236" s="25">
        <f>T236/N236</f>
        <v/>
      </c>
      <c r="Y236" s="28">
        <f>IF(W236=MAXIFS(W$2:W$3601, A$2:A$3601, A236, B$2:B$3601, B236), "OPTIMAL", "")</f>
        <v/>
      </c>
    </row>
    <row r="237" ht="20" customHeight="1">
      <c r="A237" s="29" t="n">
        <v>4</v>
      </c>
      <c r="B237" s="29" t="n">
        <v>25</v>
      </c>
      <c r="C237" s="30" t="n">
        <v>105</v>
      </c>
      <c r="D237" s="30" t="n">
        <v>3</v>
      </c>
      <c r="E237" s="6" t="n">
        <v>8</v>
      </c>
      <c r="F237" s="30" t="n">
        <v>1.5</v>
      </c>
      <c r="G237" s="6" t="inlineStr">
        <is>
          <t>Non</t>
        </is>
      </c>
      <c r="H237" s="6" t="inlineStr">
        <is>
          <t>OFF</t>
        </is>
      </c>
      <c r="I237" s="31" t="n">
        <v>580.1183283215253</v>
      </c>
      <c r="J237" s="31" t="n">
        <v>1533.568798690708</v>
      </c>
      <c r="K237" s="31" t="n">
        <v>1407.407407407407</v>
      </c>
      <c r="L237" s="31" t="n">
        <v>150</v>
      </c>
      <c r="M237" s="31">
        <f>I237+J237+K237+L237</f>
        <v/>
      </c>
      <c r="N237" s="31">
        <f>M237*'Dashboard &amp; Optimisation'!$B$18/('Dashboard &amp; Optimisation'!$B$16/3.6)</f>
        <v/>
      </c>
      <c r="O237" s="31" t="n">
        <v>417.5963112929763</v>
      </c>
      <c r="P237" s="32" t="n">
        <v>0.2306846182635611</v>
      </c>
      <c r="Q237" s="33" t="n">
        <v>12.84288284905509</v>
      </c>
      <c r="R237" s="31" t="n">
        <v>414.7545842612776</v>
      </c>
      <c r="S237" s="31">
        <f>R237*IF(A237=4, 2.0, 3.0)</f>
        <v/>
      </c>
      <c r="T237" s="30">
        <f>'Dashboard &amp; Optimisation'!$B$18*U237</f>
        <v/>
      </c>
      <c r="U237" s="34">
        <f>MIN(1, S237/M237)</f>
        <v/>
      </c>
      <c r="V237" s="34">
        <f>N237/(N237+O237)</f>
        <v/>
      </c>
      <c r="W237" s="34">
        <f>U237*V237</f>
        <v/>
      </c>
      <c r="X237" s="32">
        <f>T237/N237</f>
        <v/>
      </c>
      <c r="Y237" s="35">
        <f>IF(W237=MAXIFS(W$2:W$3601, A$2:A$3601, A237, B$2:B$3601, B237), "OPTIMAL", "")</f>
        <v/>
      </c>
    </row>
    <row r="238" ht="20" customHeight="1">
      <c r="A238" s="21" t="n">
        <v>4</v>
      </c>
      <c r="B238" s="21" t="n">
        <v>25</v>
      </c>
      <c r="C238" s="22" t="n">
        <v>105</v>
      </c>
      <c r="D238" s="22" t="n">
        <v>3</v>
      </c>
      <c r="E238" s="23" t="n">
        <v>8</v>
      </c>
      <c r="F238" s="22" t="n">
        <v>2</v>
      </c>
      <c r="G238" s="23" t="inlineStr">
        <is>
          <t>Oui</t>
        </is>
      </c>
      <c r="H238" s="23" t="inlineStr">
        <is>
          <t>ON</t>
        </is>
      </c>
      <c r="I238" s="24" t="n">
        <v>580.1183283215253</v>
      </c>
      <c r="J238" s="24" t="n">
        <v>1533.568798690708</v>
      </c>
      <c r="K238" s="24" t="n">
        <v>1407.407407407407</v>
      </c>
      <c r="L238" s="24" t="n">
        <v>150</v>
      </c>
      <c r="M238" s="24">
        <f>I238+J238+K238+L238</f>
        <v/>
      </c>
      <c r="N238" s="24">
        <f>M238*'Dashboard &amp; Optimisation'!$B$18/('Dashboard &amp; Optimisation'!$B$16/3.6)</f>
        <v/>
      </c>
      <c r="O238" s="24" t="n">
        <v>484.6444010920926</v>
      </c>
      <c r="P238" s="25" t="n">
        <v>0.05316276245002891</v>
      </c>
      <c r="Q238" s="26" t="n">
        <v>17.05717713207346</v>
      </c>
      <c r="R238" s="24" t="n">
        <v>1840.064393608437</v>
      </c>
      <c r="S238" s="24">
        <f>R238*IF(A238=4, 2.0, 3.0)</f>
        <v/>
      </c>
      <c r="T238" s="22">
        <f>'Dashboard &amp; Optimisation'!$B$18*U238</f>
        <v/>
      </c>
      <c r="U238" s="27">
        <f>MIN(1, S238/M238)</f>
        <v/>
      </c>
      <c r="V238" s="27">
        <f>N238/(N238+O238)</f>
        <v/>
      </c>
      <c r="W238" s="27">
        <f>U238*V238</f>
        <v/>
      </c>
      <c r="X238" s="25">
        <f>T238/N238</f>
        <v/>
      </c>
      <c r="Y238" s="28">
        <f>IF(W238=MAXIFS(W$2:W$3601, A$2:A$3601, A238, B$2:B$3601, B238), "OPTIMAL", "")</f>
        <v/>
      </c>
    </row>
    <row r="239" ht="20" customHeight="1">
      <c r="A239" s="29" t="n">
        <v>4</v>
      </c>
      <c r="B239" s="29" t="n">
        <v>25</v>
      </c>
      <c r="C239" s="30" t="n">
        <v>105</v>
      </c>
      <c r="D239" s="30" t="n">
        <v>3</v>
      </c>
      <c r="E239" s="6" t="n">
        <v>8</v>
      </c>
      <c r="F239" s="30" t="n">
        <v>2</v>
      </c>
      <c r="G239" s="6" t="inlineStr">
        <is>
          <t>Oui</t>
        </is>
      </c>
      <c r="H239" s="6" t="inlineStr">
        <is>
          <t>OFF</t>
        </is>
      </c>
      <c r="I239" s="31" t="n">
        <v>580.1183283215253</v>
      </c>
      <c r="J239" s="31" t="n">
        <v>1533.568798690708</v>
      </c>
      <c r="K239" s="31" t="n">
        <v>1407.407407407407</v>
      </c>
      <c r="L239" s="31" t="n">
        <v>150</v>
      </c>
      <c r="M239" s="31">
        <f>I239+J239+K239+L239</f>
        <v/>
      </c>
      <c r="N239" s="31">
        <f>M239*'Dashboard &amp; Optimisation'!$B$18/('Dashboard &amp; Optimisation'!$B$16/3.6)</f>
        <v/>
      </c>
      <c r="O239" s="31" t="n">
        <v>484.6444010920926</v>
      </c>
      <c r="P239" s="32" t="n">
        <v>0.2337139817442265</v>
      </c>
      <c r="Q239" s="33" t="n">
        <v>17.05717713207346</v>
      </c>
      <c r="R239" s="31" t="n">
        <v>418.5582117086086</v>
      </c>
      <c r="S239" s="31">
        <f>R239*IF(A239=4, 2.0, 3.0)</f>
        <v/>
      </c>
      <c r="T239" s="30">
        <f>'Dashboard &amp; Optimisation'!$B$18*U239</f>
        <v/>
      </c>
      <c r="U239" s="34">
        <f>MIN(1, S239/M239)</f>
        <v/>
      </c>
      <c r="V239" s="34">
        <f>N239/(N239+O239)</f>
        <v/>
      </c>
      <c r="W239" s="34">
        <f>U239*V239</f>
        <v/>
      </c>
      <c r="X239" s="32">
        <f>T239/N239</f>
        <v/>
      </c>
      <c r="Y239" s="35">
        <f>IF(W239=MAXIFS(W$2:W$3601, A$2:A$3601, A239, B$2:B$3601, B239), "OPTIMAL", "")</f>
        <v/>
      </c>
    </row>
    <row r="240" ht="20" customHeight="1">
      <c r="A240" s="21" t="n">
        <v>4</v>
      </c>
      <c r="B240" s="21" t="n">
        <v>25</v>
      </c>
      <c r="C240" s="22" t="n">
        <v>105</v>
      </c>
      <c r="D240" s="22" t="n">
        <v>3</v>
      </c>
      <c r="E240" s="23" t="n">
        <v>8</v>
      </c>
      <c r="F240" s="22" t="n">
        <v>2</v>
      </c>
      <c r="G240" s="23" t="inlineStr">
        <is>
          <t>Non</t>
        </is>
      </c>
      <c r="H240" s="23" t="inlineStr">
        <is>
          <t>ON</t>
        </is>
      </c>
      <c r="I240" s="24" t="n">
        <v>580.1183283215253</v>
      </c>
      <c r="J240" s="24" t="n">
        <v>1533.568798690708</v>
      </c>
      <c r="K240" s="24" t="n">
        <v>1407.407407407407</v>
      </c>
      <c r="L240" s="24" t="n">
        <v>150</v>
      </c>
      <c r="M240" s="24">
        <f>I240+J240+K240+L240</f>
        <v/>
      </c>
      <c r="N240" s="24">
        <f>M240*'Dashboard &amp; Optimisation'!$B$18/('Dashboard &amp; Optimisation'!$B$16/3.6)</f>
        <v/>
      </c>
      <c r="O240" s="24" t="n">
        <v>484.6444010920926</v>
      </c>
      <c r="P240" s="25" t="n">
        <v>0.050131239724469</v>
      </c>
      <c r="Q240" s="26" t="n">
        <v>17.05717713207346</v>
      </c>
      <c r="R240" s="24" t="n">
        <v>1951.336268319225</v>
      </c>
      <c r="S240" s="24">
        <f>R240*IF(A240=4, 2.0, 3.0)</f>
        <v/>
      </c>
      <c r="T240" s="22">
        <f>'Dashboard &amp; Optimisation'!$B$18*U240</f>
        <v/>
      </c>
      <c r="U240" s="27">
        <f>MIN(1, S240/M240)</f>
        <v/>
      </c>
      <c r="V240" s="27">
        <f>N240/(N240+O240)</f>
        <v/>
      </c>
      <c r="W240" s="27">
        <f>U240*V240</f>
        <v/>
      </c>
      <c r="X240" s="25">
        <f>T240/N240</f>
        <v/>
      </c>
      <c r="Y240" s="28">
        <f>IF(W240=MAXIFS(W$2:W$3601, A$2:A$3601, A240, B$2:B$3601, B240), "OPTIMAL", "")</f>
        <v/>
      </c>
    </row>
    <row r="241" ht="20" customHeight="1">
      <c r="A241" s="29" t="n">
        <v>4</v>
      </c>
      <c r="B241" s="29" t="n">
        <v>25</v>
      </c>
      <c r="C241" s="30" t="n">
        <v>105</v>
      </c>
      <c r="D241" s="30" t="n">
        <v>3</v>
      </c>
      <c r="E241" s="6" t="n">
        <v>8</v>
      </c>
      <c r="F241" s="30" t="n">
        <v>2</v>
      </c>
      <c r="G241" s="6" t="inlineStr">
        <is>
          <t>Non</t>
        </is>
      </c>
      <c r="H241" s="6" t="inlineStr">
        <is>
          <t>OFF</t>
        </is>
      </c>
      <c r="I241" s="31" t="n">
        <v>580.1183283215253</v>
      </c>
      <c r="J241" s="31" t="n">
        <v>1533.568798690708</v>
      </c>
      <c r="K241" s="31" t="n">
        <v>1407.407407407407</v>
      </c>
      <c r="L241" s="31" t="n">
        <v>150</v>
      </c>
      <c r="M241" s="31">
        <f>I241+J241+K241+L241</f>
        <v/>
      </c>
      <c r="N241" s="31">
        <f>M241*'Dashboard &amp; Optimisation'!$B$18/('Dashboard &amp; Optimisation'!$B$16/3.6)</f>
        <v/>
      </c>
      <c r="O241" s="31" t="n">
        <v>484.6444010920926</v>
      </c>
      <c r="P241" s="32" t="n">
        <v>0.2306824590186666</v>
      </c>
      <c r="Q241" s="33" t="n">
        <v>17.05717713207346</v>
      </c>
      <c r="R241" s="31" t="n">
        <v>424.0587111230946</v>
      </c>
      <c r="S241" s="31">
        <f>R241*IF(A241=4, 2.0, 3.0)</f>
        <v/>
      </c>
      <c r="T241" s="30">
        <f>'Dashboard &amp; Optimisation'!$B$18*U241</f>
        <v/>
      </c>
      <c r="U241" s="34">
        <f>MIN(1, S241/M241)</f>
        <v/>
      </c>
      <c r="V241" s="34">
        <f>N241/(N241+O241)</f>
        <v/>
      </c>
      <c r="W241" s="34">
        <f>U241*V241</f>
        <v/>
      </c>
      <c r="X241" s="32">
        <f>T241/N241</f>
        <v/>
      </c>
      <c r="Y241" s="35">
        <f>IF(W241=MAXIFS(W$2:W$3601, A$2:A$3601, A241, B$2:B$3601, B241), "OPTIMAL", "")</f>
        <v/>
      </c>
    </row>
    <row r="242" ht="20" customHeight="1">
      <c r="A242" s="21" t="n">
        <v>4</v>
      </c>
      <c r="B242" s="21" t="n">
        <v>25</v>
      </c>
      <c r="C242" s="22" t="n">
        <v>110</v>
      </c>
      <c r="D242" s="22" t="n">
        <v>2</v>
      </c>
      <c r="E242" s="23" t="n">
        <v>0</v>
      </c>
      <c r="F242" s="22" t="n">
        <v>0</v>
      </c>
      <c r="G242" s="23" t="inlineStr">
        <is>
          <t>Oui</t>
        </is>
      </c>
      <c r="H242" s="23" t="inlineStr">
        <is>
          <t>ON</t>
        </is>
      </c>
      <c r="I242" s="24" t="n">
        <v>580.1183283215253</v>
      </c>
      <c r="J242" s="24" t="n">
        <v>1533.568798690708</v>
      </c>
      <c r="K242" s="24" t="n">
        <v>1407.407407407407</v>
      </c>
      <c r="L242" s="24" t="n">
        <v>150</v>
      </c>
      <c r="M242" s="24">
        <f>I242+J242+K242+L242</f>
        <v/>
      </c>
      <c r="N242" s="24">
        <f>M242*'Dashboard &amp; Optimisation'!$B$18/('Dashboard &amp; Optimisation'!$B$16/3.6)</f>
        <v/>
      </c>
      <c r="O242" s="24" t="n">
        <v>143.470430421446</v>
      </c>
      <c r="P242" s="25" t="n">
        <v>0.4731529974868604</v>
      </c>
      <c r="Q242" s="26" t="n">
        <v>0.2</v>
      </c>
      <c r="R242" s="24" t="n">
        <v>165.4982544281143</v>
      </c>
      <c r="S242" s="24">
        <f>R242*IF(A242=4, 2.0, 3.0)</f>
        <v/>
      </c>
      <c r="T242" s="22">
        <f>'Dashboard &amp; Optimisation'!$B$18*U242</f>
        <v/>
      </c>
      <c r="U242" s="27">
        <f>MIN(1, S242/M242)</f>
        <v/>
      </c>
      <c r="V242" s="27">
        <f>N242/(N242+O242)</f>
        <v/>
      </c>
      <c r="W242" s="27">
        <f>U242*V242</f>
        <v/>
      </c>
      <c r="X242" s="25">
        <f>T242/N242</f>
        <v/>
      </c>
      <c r="Y242" s="28">
        <f>IF(W242=MAXIFS(W$2:W$3601, A$2:A$3601, A242, B$2:B$3601, B242), "OPTIMAL", "")</f>
        <v/>
      </c>
    </row>
    <row r="243" ht="20" customHeight="1">
      <c r="A243" s="29" t="n">
        <v>4</v>
      </c>
      <c r="B243" s="29" t="n">
        <v>25</v>
      </c>
      <c r="C243" s="30" t="n">
        <v>110</v>
      </c>
      <c r="D243" s="30" t="n">
        <v>2</v>
      </c>
      <c r="E243" s="6" t="n">
        <v>0</v>
      </c>
      <c r="F243" s="30" t="n">
        <v>0</v>
      </c>
      <c r="G243" s="6" t="inlineStr">
        <is>
          <t>Oui</t>
        </is>
      </c>
      <c r="H243" s="6" t="inlineStr">
        <is>
          <t>OFF</t>
        </is>
      </c>
      <c r="I243" s="31" t="n">
        <v>580.1183283215253</v>
      </c>
      <c r="J243" s="31" t="n">
        <v>1533.568798690708</v>
      </c>
      <c r="K243" s="31" t="n">
        <v>1407.407407407407</v>
      </c>
      <c r="L243" s="31" t="n">
        <v>150</v>
      </c>
      <c r="M243" s="31">
        <f>I243+J243+K243+L243</f>
        <v/>
      </c>
      <c r="N243" s="31">
        <f>M243*'Dashboard &amp; Optimisation'!$B$18/('Dashboard &amp; Optimisation'!$B$16/3.6)</f>
        <v/>
      </c>
      <c r="O243" s="31" t="n">
        <v>143.470430421446</v>
      </c>
      <c r="P243" s="32" t="n">
        <v>0.7625256212903064</v>
      </c>
      <c r="Q243" s="33" t="n">
        <v>0.2</v>
      </c>
      <c r="R243" s="31" t="n">
        <v>102.6929364406143</v>
      </c>
      <c r="S243" s="31">
        <f>R243*IF(A243=4, 2.0, 3.0)</f>
        <v/>
      </c>
      <c r="T243" s="30">
        <f>'Dashboard &amp; Optimisation'!$B$18*U243</f>
        <v/>
      </c>
      <c r="U243" s="34">
        <f>MIN(1, S243/M243)</f>
        <v/>
      </c>
      <c r="V243" s="34">
        <f>N243/(N243+O243)</f>
        <v/>
      </c>
      <c r="W243" s="34">
        <f>U243*V243</f>
        <v/>
      </c>
      <c r="X243" s="32">
        <f>T243/N243</f>
        <v/>
      </c>
      <c r="Y243" s="35">
        <f>IF(W243=MAXIFS(W$2:W$3601, A$2:A$3601, A243, B$2:B$3601, B243), "OPTIMAL", "")</f>
        <v/>
      </c>
    </row>
    <row r="244" ht="20" customHeight="1">
      <c r="A244" s="21" t="n">
        <v>4</v>
      </c>
      <c r="B244" s="21" t="n">
        <v>25</v>
      </c>
      <c r="C244" s="22" t="n">
        <v>110</v>
      </c>
      <c r="D244" s="22" t="n">
        <v>2</v>
      </c>
      <c r="E244" s="23" t="n">
        <v>0</v>
      </c>
      <c r="F244" s="22" t="n">
        <v>0</v>
      </c>
      <c r="G244" s="23" t="inlineStr">
        <is>
          <t>Non</t>
        </is>
      </c>
      <c r="H244" s="23" t="inlineStr">
        <is>
          <t>ON</t>
        </is>
      </c>
      <c r="I244" s="24" t="n">
        <v>580.1183283215253</v>
      </c>
      <c r="J244" s="24" t="n">
        <v>1533.568798690708</v>
      </c>
      <c r="K244" s="24" t="n">
        <v>1407.407407407407</v>
      </c>
      <c r="L244" s="24" t="n">
        <v>150</v>
      </c>
      <c r="M244" s="24">
        <f>I244+J244+K244+L244</f>
        <v/>
      </c>
      <c r="N244" s="24">
        <f>M244*'Dashboard &amp; Optimisation'!$B$18/('Dashboard &amp; Optimisation'!$B$16/3.6)</f>
        <v/>
      </c>
      <c r="O244" s="24" t="n">
        <v>143.470430421446</v>
      </c>
      <c r="P244" s="25" t="n">
        <v>0.4702592712488259</v>
      </c>
      <c r="Q244" s="26" t="n">
        <v>0.2</v>
      </c>
      <c r="R244" s="24" t="n">
        <v>166.5166429437001</v>
      </c>
      <c r="S244" s="24">
        <f>R244*IF(A244=4, 2.0, 3.0)</f>
        <v/>
      </c>
      <c r="T244" s="22">
        <f>'Dashboard &amp; Optimisation'!$B$18*U244</f>
        <v/>
      </c>
      <c r="U244" s="27">
        <f>MIN(1, S244/M244)</f>
        <v/>
      </c>
      <c r="V244" s="27">
        <f>N244/(N244+O244)</f>
        <v/>
      </c>
      <c r="W244" s="27">
        <f>U244*V244</f>
        <v/>
      </c>
      <c r="X244" s="25">
        <f>T244/N244</f>
        <v/>
      </c>
      <c r="Y244" s="28">
        <f>IF(W244=MAXIFS(W$2:W$3601, A$2:A$3601, A244, B$2:B$3601, B244), "OPTIMAL", "")</f>
        <v/>
      </c>
    </row>
    <row r="245" ht="20" customHeight="1">
      <c r="A245" s="29" t="n">
        <v>4</v>
      </c>
      <c r="B245" s="29" t="n">
        <v>25</v>
      </c>
      <c r="C245" s="30" t="n">
        <v>110</v>
      </c>
      <c r="D245" s="30" t="n">
        <v>2</v>
      </c>
      <c r="E245" s="6" t="n">
        <v>0</v>
      </c>
      <c r="F245" s="30" t="n">
        <v>0</v>
      </c>
      <c r="G245" s="6" t="inlineStr">
        <is>
          <t>Non</t>
        </is>
      </c>
      <c r="H245" s="6" t="inlineStr">
        <is>
          <t>OFF</t>
        </is>
      </c>
      <c r="I245" s="31" t="n">
        <v>580.1183283215253</v>
      </c>
      <c r="J245" s="31" t="n">
        <v>1533.568798690708</v>
      </c>
      <c r="K245" s="31" t="n">
        <v>1407.407407407407</v>
      </c>
      <c r="L245" s="31" t="n">
        <v>150</v>
      </c>
      <c r="M245" s="31">
        <f>I245+J245+K245+L245</f>
        <v/>
      </c>
      <c r="N245" s="31">
        <f>M245*'Dashboard &amp; Optimisation'!$B$18/('Dashboard &amp; Optimisation'!$B$16/3.6)</f>
        <v/>
      </c>
      <c r="O245" s="31" t="n">
        <v>143.470430421446</v>
      </c>
      <c r="P245" s="32" t="n">
        <v>0.759631895052272</v>
      </c>
      <c r="Q245" s="33" t="n">
        <v>0.2</v>
      </c>
      <c r="R245" s="31" t="n">
        <v>103.0841328168783</v>
      </c>
      <c r="S245" s="31">
        <f>R245*IF(A245=4, 2.0, 3.0)</f>
        <v/>
      </c>
      <c r="T245" s="30">
        <f>'Dashboard &amp; Optimisation'!$B$18*U245</f>
        <v/>
      </c>
      <c r="U245" s="34">
        <f>MIN(1, S245/M245)</f>
        <v/>
      </c>
      <c r="V245" s="34">
        <f>N245/(N245+O245)</f>
        <v/>
      </c>
      <c r="W245" s="34">
        <f>U245*V245</f>
        <v/>
      </c>
      <c r="X245" s="32">
        <f>T245/N245</f>
        <v/>
      </c>
      <c r="Y245" s="35">
        <f>IF(W245=MAXIFS(W$2:W$3601, A$2:A$3601, A245, B$2:B$3601, B245), "OPTIMAL", "")</f>
        <v/>
      </c>
    </row>
    <row r="246" ht="20" customHeight="1">
      <c r="A246" s="21" t="n">
        <v>4</v>
      </c>
      <c r="B246" s="21" t="n">
        <v>25</v>
      </c>
      <c r="C246" s="22" t="n">
        <v>110</v>
      </c>
      <c r="D246" s="22" t="n">
        <v>2</v>
      </c>
      <c r="E246" s="23" t="n">
        <v>4</v>
      </c>
      <c r="F246" s="22" t="n">
        <v>1.5</v>
      </c>
      <c r="G246" s="23" t="inlineStr">
        <is>
          <t>Oui</t>
        </is>
      </c>
      <c r="H246" s="23" t="inlineStr">
        <is>
          <t>ON</t>
        </is>
      </c>
      <c r="I246" s="24" t="n">
        <v>580.1183283215253</v>
      </c>
      <c r="J246" s="24" t="n">
        <v>1533.568798690708</v>
      </c>
      <c r="K246" s="24" t="n">
        <v>1407.407407407407</v>
      </c>
      <c r="L246" s="24" t="n">
        <v>150</v>
      </c>
      <c r="M246" s="24">
        <f>I246+J246+K246+L246</f>
        <v/>
      </c>
      <c r="N246" s="24">
        <f>M246*'Dashboard &amp; Optimisation'!$B$18/('Dashboard &amp; Optimisation'!$B$16/3.6)</f>
        <v/>
      </c>
      <c r="O246" s="24" t="n">
        <v>222.7057861167592</v>
      </c>
      <c r="P246" s="25" t="n">
        <v>0.07062967612279852</v>
      </c>
      <c r="Q246" s="26" t="n">
        <v>6.103987745549313</v>
      </c>
      <c r="R246" s="24" t="n">
        <v>1141.59399301243</v>
      </c>
      <c r="S246" s="24">
        <f>R246*IF(A246=4, 2.0, 3.0)</f>
        <v/>
      </c>
      <c r="T246" s="22">
        <f>'Dashboard &amp; Optimisation'!$B$18*U246</f>
        <v/>
      </c>
      <c r="U246" s="27">
        <f>MIN(1, S246/M246)</f>
        <v/>
      </c>
      <c r="V246" s="27">
        <f>N246/(N246+O246)</f>
        <v/>
      </c>
      <c r="W246" s="27">
        <f>U246*V246</f>
        <v/>
      </c>
      <c r="X246" s="25">
        <f>T246/N246</f>
        <v/>
      </c>
      <c r="Y246" s="28">
        <f>IF(W246=MAXIFS(W$2:W$3601, A$2:A$3601, A246, B$2:B$3601, B246), "OPTIMAL", "")</f>
        <v/>
      </c>
    </row>
    <row r="247" ht="20" customHeight="1">
      <c r="A247" s="29" t="n">
        <v>4</v>
      </c>
      <c r="B247" s="29" t="n">
        <v>25</v>
      </c>
      <c r="C247" s="30" t="n">
        <v>110</v>
      </c>
      <c r="D247" s="30" t="n">
        <v>2</v>
      </c>
      <c r="E247" s="6" t="n">
        <v>4</v>
      </c>
      <c r="F247" s="30" t="n">
        <v>1.5</v>
      </c>
      <c r="G247" s="6" t="inlineStr">
        <is>
          <t>Oui</t>
        </is>
      </c>
      <c r="H247" s="6" t="inlineStr">
        <is>
          <t>OFF</t>
        </is>
      </c>
      <c r="I247" s="31" t="n">
        <v>580.1183283215253</v>
      </c>
      <c r="J247" s="31" t="n">
        <v>1533.568798690708</v>
      </c>
      <c r="K247" s="31" t="n">
        <v>1407.407407407407</v>
      </c>
      <c r="L247" s="31" t="n">
        <v>150</v>
      </c>
      <c r="M247" s="31">
        <f>I247+J247+K247+L247</f>
        <v/>
      </c>
      <c r="N247" s="31">
        <f>M247*'Dashboard &amp; Optimisation'!$B$18/('Dashboard &amp; Optimisation'!$B$16/3.6)</f>
        <v/>
      </c>
      <c r="O247" s="31" t="n">
        <v>222.7057861167592</v>
      </c>
      <c r="P247" s="32" t="n">
        <v>0.2882258985719243</v>
      </c>
      <c r="Q247" s="33" t="n">
        <v>6.103987745549313</v>
      </c>
      <c r="R247" s="31" t="n">
        <v>279.7472898504283</v>
      </c>
      <c r="S247" s="31">
        <f>R247*IF(A247=4, 2.0, 3.0)</f>
        <v/>
      </c>
      <c r="T247" s="30">
        <f>'Dashboard &amp; Optimisation'!$B$18*U247</f>
        <v/>
      </c>
      <c r="U247" s="34">
        <f>MIN(1, S247/M247)</f>
        <v/>
      </c>
      <c r="V247" s="34">
        <f>N247/(N247+O247)</f>
        <v/>
      </c>
      <c r="W247" s="34">
        <f>U247*V247</f>
        <v/>
      </c>
      <c r="X247" s="32">
        <f>T247/N247</f>
        <v/>
      </c>
      <c r="Y247" s="35">
        <f>IF(W247=MAXIFS(W$2:W$3601, A$2:A$3601, A247, B$2:B$3601, B247), "OPTIMAL", "")</f>
        <v/>
      </c>
    </row>
    <row r="248" ht="20" customHeight="1">
      <c r="A248" s="21" t="n">
        <v>4</v>
      </c>
      <c r="B248" s="21" t="n">
        <v>25</v>
      </c>
      <c r="C248" s="22" t="n">
        <v>110</v>
      </c>
      <c r="D248" s="22" t="n">
        <v>2</v>
      </c>
      <c r="E248" s="23" t="n">
        <v>4</v>
      </c>
      <c r="F248" s="22" t="n">
        <v>1.5</v>
      </c>
      <c r="G248" s="23" t="inlineStr">
        <is>
          <t>Non</t>
        </is>
      </c>
      <c r="H248" s="23" t="inlineStr">
        <is>
          <t>ON</t>
        </is>
      </c>
      <c r="I248" s="24" t="n">
        <v>580.1183283215253</v>
      </c>
      <c r="J248" s="24" t="n">
        <v>1533.568798690708</v>
      </c>
      <c r="K248" s="24" t="n">
        <v>1407.407407407407</v>
      </c>
      <c r="L248" s="24" t="n">
        <v>150</v>
      </c>
      <c r="M248" s="24">
        <f>I248+J248+K248+L248</f>
        <v/>
      </c>
      <c r="N248" s="24">
        <f>M248*'Dashboard &amp; Optimisation'!$B$18/('Dashboard &amp; Optimisation'!$B$16/3.6)</f>
        <v/>
      </c>
      <c r="O248" s="24" t="n">
        <v>222.7057861167592</v>
      </c>
      <c r="P248" s="25" t="n">
        <v>0.06773594988476406</v>
      </c>
      <c r="Q248" s="26" t="n">
        <v>6.103987745549313</v>
      </c>
      <c r="R248" s="24" t="n">
        <v>1190.363671394185</v>
      </c>
      <c r="S248" s="24">
        <f>R248*IF(A248=4, 2.0, 3.0)</f>
        <v/>
      </c>
      <c r="T248" s="22">
        <f>'Dashboard &amp; Optimisation'!$B$18*U248</f>
        <v/>
      </c>
      <c r="U248" s="27">
        <f>MIN(1, S248/M248)</f>
        <v/>
      </c>
      <c r="V248" s="27">
        <f>N248/(N248+O248)</f>
        <v/>
      </c>
      <c r="W248" s="27">
        <f>U248*V248</f>
        <v/>
      </c>
      <c r="X248" s="25">
        <f>T248/N248</f>
        <v/>
      </c>
      <c r="Y248" s="28">
        <f>IF(W248=MAXIFS(W$2:W$3601, A$2:A$3601, A248, B$2:B$3601, B248), "OPTIMAL", "")</f>
        <v/>
      </c>
    </row>
    <row r="249" ht="20" customHeight="1">
      <c r="A249" s="29" t="n">
        <v>4</v>
      </c>
      <c r="B249" s="29" t="n">
        <v>25</v>
      </c>
      <c r="C249" s="30" t="n">
        <v>110</v>
      </c>
      <c r="D249" s="30" t="n">
        <v>2</v>
      </c>
      <c r="E249" s="6" t="n">
        <v>4</v>
      </c>
      <c r="F249" s="30" t="n">
        <v>1.5</v>
      </c>
      <c r="G249" s="6" t="inlineStr">
        <is>
          <t>Non</t>
        </is>
      </c>
      <c r="H249" s="6" t="inlineStr">
        <is>
          <t>OFF</t>
        </is>
      </c>
      <c r="I249" s="31" t="n">
        <v>580.1183283215253</v>
      </c>
      <c r="J249" s="31" t="n">
        <v>1533.568798690708</v>
      </c>
      <c r="K249" s="31" t="n">
        <v>1407.407407407407</v>
      </c>
      <c r="L249" s="31" t="n">
        <v>150</v>
      </c>
      <c r="M249" s="31">
        <f>I249+J249+K249+L249</f>
        <v/>
      </c>
      <c r="N249" s="31">
        <f>M249*'Dashboard &amp; Optimisation'!$B$18/('Dashboard &amp; Optimisation'!$B$16/3.6)</f>
        <v/>
      </c>
      <c r="O249" s="31" t="n">
        <v>222.7057861167592</v>
      </c>
      <c r="P249" s="32" t="n">
        <v>0.2853321723338898</v>
      </c>
      <c r="Q249" s="33" t="n">
        <v>6.103987745549313</v>
      </c>
      <c r="R249" s="31" t="n">
        <v>282.5843764153178</v>
      </c>
      <c r="S249" s="31">
        <f>R249*IF(A249=4, 2.0, 3.0)</f>
        <v/>
      </c>
      <c r="T249" s="30">
        <f>'Dashboard &amp; Optimisation'!$B$18*U249</f>
        <v/>
      </c>
      <c r="U249" s="34">
        <f>MIN(1, S249/M249)</f>
        <v/>
      </c>
      <c r="V249" s="34">
        <f>N249/(N249+O249)</f>
        <v/>
      </c>
      <c r="W249" s="34">
        <f>U249*V249</f>
        <v/>
      </c>
      <c r="X249" s="32">
        <f>T249/N249</f>
        <v/>
      </c>
      <c r="Y249" s="35">
        <f>IF(W249=MAXIFS(W$2:W$3601, A$2:A$3601, A249, B$2:B$3601, B249), "OPTIMAL", "")</f>
        <v/>
      </c>
    </row>
    <row r="250" ht="20" customHeight="1">
      <c r="A250" s="21" t="n">
        <v>4</v>
      </c>
      <c r="B250" s="21" t="n">
        <v>25</v>
      </c>
      <c r="C250" s="22" t="n">
        <v>110</v>
      </c>
      <c r="D250" s="22" t="n">
        <v>2</v>
      </c>
      <c r="E250" s="23" t="n">
        <v>4</v>
      </c>
      <c r="F250" s="22" t="n">
        <v>2</v>
      </c>
      <c r="G250" s="23" t="inlineStr">
        <is>
          <t>Oui</t>
        </is>
      </c>
      <c r="H250" s="23" t="inlineStr">
        <is>
          <t>ON</t>
        </is>
      </c>
      <c r="I250" s="24" t="n">
        <v>580.1183283215253</v>
      </c>
      <c r="J250" s="24" t="n">
        <v>1533.568798690708</v>
      </c>
      <c r="K250" s="24" t="n">
        <v>1407.407407407407</v>
      </c>
      <c r="L250" s="24" t="n">
        <v>150</v>
      </c>
      <c r="M250" s="24">
        <f>I250+J250+K250+L250</f>
        <v/>
      </c>
      <c r="N250" s="24">
        <f>M250*'Dashboard &amp; Optimisation'!$B$18/('Dashboard &amp; Optimisation'!$B$16/3.6)</f>
        <v/>
      </c>
      <c r="O250" s="24" t="n">
        <v>250.1733537895471</v>
      </c>
      <c r="P250" s="25" t="n">
        <v>0.06762363614121064</v>
      </c>
      <c r="Q250" s="26" t="n">
        <v>8.071983660732418</v>
      </c>
      <c r="R250" s="24" t="n">
        <v>1204.256336292117</v>
      </c>
      <c r="S250" s="24">
        <f>R250*IF(A250=4, 2.0, 3.0)</f>
        <v/>
      </c>
      <c r="T250" s="22">
        <f>'Dashboard &amp; Optimisation'!$B$18*U250</f>
        <v/>
      </c>
      <c r="U250" s="27">
        <f>MIN(1, S250/M250)</f>
        <v/>
      </c>
      <c r="V250" s="27">
        <f>N250/(N250+O250)</f>
        <v/>
      </c>
      <c r="W250" s="27">
        <f>U250*V250</f>
        <v/>
      </c>
      <c r="X250" s="25">
        <f>T250/N250</f>
        <v/>
      </c>
      <c r="Y250" s="28">
        <f>IF(W250=MAXIFS(W$2:W$3601, A$2:A$3601, A250, B$2:B$3601, B250), "OPTIMAL", "")</f>
        <v/>
      </c>
    </row>
    <row r="251" ht="20" customHeight="1">
      <c r="A251" s="29" t="n">
        <v>4</v>
      </c>
      <c r="B251" s="29" t="n">
        <v>25</v>
      </c>
      <c r="C251" s="30" t="n">
        <v>110</v>
      </c>
      <c r="D251" s="30" t="n">
        <v>2</v>
      </c>
      <c r="E251" s="6" t="n">
        <v>4</v>
      </c>
      <c r="F251" s="30" t="n">
        <v>2</v>
      </c>
      <c r="G251" s="6" t="inlineStr">
        <is>
          <t>Oui</t>
        </is>
      </c>
      <c r="H251" s="6" t="inlineStr">
        <is>
          <t>OFF</t>
        </is>
      </c>
      <c r="I251" s="31" t="n">
        <v>580.1183283215253</v>
      </c>
      <c r="J251" s="31" t="n">
        <v>1533.568798690708</v>
      </c>
      <c r="K251" s="31" t="n">
        <v>1407.407407407407</v>
      </c>
      <c r="L251" s="31" t="n">
        <v>150</v>
      </c>
      <c r="M251" s="31">
        <f>I251+J251+K251+L251</f>
        <v/>
      </c>
      <c r="N251" s="31">
        <f>M251*'Dashboard &amp; Optimisation'!$B$18/('Dashboard &amp; Optimisation'!$B$16/3.6)</f>
        <v/>
      </c>
      <c r="O251" s="31" t="n">
        <v>250.1733537895471</v>
      </c>
      <c r="P251" s="32" t="n">
        <v>0.2861692165887991</v>
      </c>
      <c r="Q251" s="33" t="n">
        <v>8.071983660732418</v>
      </c>
      <c r="R251" s="31" t="n">
        <v>284.5735585291216</v>
      </c>
      <c r="S251" s="31">
        <f>R251*IF(A251=4, 2.0, 3.0)</f>
        <v/>
      </c>
      <c r="T251" s="30">
        <f>'Dashboard &amp; Optimisation'!$B$18*U251</f>
        <v/>
      </c>
      <c r="U251" s="34">
        <f>MIN(1, S251/M251)</f>
        <v/>
      </c>
      <c r="V251" s="34">
        <f>N251/(N251+O251)</f>
        <v/>
      </c>
      <c r="W251" s="34">
        <f>U251*V251</f>
        <v/>
      </c>
      <c r="X251" s="32">
        <f>T251/N251</f>
        <v/>
      </c>
      <c r="Y251" s="35">
        <f>IF(W251=MAXIFS(W$2:W$3601, A$2:A$3601, A251, B$2:B$3601, B251), "OPTIMAL", "")</f>
        <v/>
      </c>
    </row>
    <row r="252" ht="20" customHeight="1">
      <c r="A252" s="21" t="n">
        <v>4</v>
      </c>
      <c r="B252" s="21" t="n">
        <v>25</v>
      </c>
      <c r="C252" s="22" t="n">
        <v>110</v>
      </c>
      <c r="D252" s="22" t="n">
        <v>2</v>
      </c>
      <c r="E252" s="23" t="n">
        <v>4</v>
      </c>
      <c r="F252" s="22" t="n">
        <v>2</v>
      </c>
      <c r="G252" s="23" t="inlineStr">
        <is>
          <t>Non</t>
        </is>
      </c>
      <c r="H252" s="23" t="inlineStr">
        <is>
          <t>ON</t>
        </is>
      </c>
      <c r="I252" s="24" t="n">
        <v>580.1183283215253</v>
      </c>
      <c r="J252" s="24" t="n">
        <v>1533.568798690708</v>
      </c>
      <c r="K252" s="24" t="n">
        <v>1407.407407407407</v>
      </c>
      <c r="L252" s="24" t="n">
        <v>150</v>
      </c>
      <c r="M252" s="24">
        <f>I252+J252+K252+L252</f>
        <v/>
      </c>
      <c r="N252" s="24">
        <f>M252*'Dashboard &amp; Optimisation'!$B$18/('Dashboard &amp; Optimisation'!$B$16/3.6)</f>
        <v/>
      </c>
      <c r="O252" s="24" t="n">
        <v>250.1733537895471</v>
      </c>
      <c r="P252" s="25" t="n">
        <v>0.06472990990317617</v>
      </c>
      <c r="Q252" s="26" t="n">
        <v>8.071983660732418</v>
      </c>
      <c r="R252" s="24" t="n">
        <v>1258.092162154695</v>
      </c>
      <c r="S252" s="24">
        <f>R252*IF(A252=4, 2.0, 3.0)</f>
        <v/>
      </c>
      <c r="T252" s="22">
        <f>'Dashboard &amp; Optimisation'!$B$18*U252</f>
        <v/>
      </c>
      <c r="U252" s="27">
        <f>MIN(1, S252/M252)</f>
        <v/>
      </c>
      <c r="V252" s="27">
        <f>N252/(N252+O252)</f>
        <v/>
      </c>
      <c r="W252" s="27">
        <f>U252*V252</f>
        <v/>
      </c>
      <c r="X252" s="25">
        <f>T252/N252</f>
        <v/>
      </c>
      <c r="Y252" s="28">
        <f>IF(W252=MAXIFS(W$2:W$3601, A$2:A$3601, A252, B$2:B$3601, B252), "OPTIMAL", "")</f>
        <v/>
      </c>
    </row>
    <row r="253" ht="20" customHeight="1">
      <c r="A253" s="29" t="n">
        <v>4</v>
      </c>
      <c r="B253" s="29" t="n">
        <v>25</v>
      </c>
      <c r="C253" s="30" t="n">
        <v>110</v>
      </c>
      <c r="D253" s="30" t="n">
        <v>2</v>
      </c>
      <c r="E253" s="6" t="n">
        <v>4</v>
      </c>
      <c r="F253" s="30" t="n">
        <v>2</v>
      </c>
      <c r="G253" s="6" t="inlineStr">
        <is>
          <t>Non</t>
        </is>
      </c>
      <c r="H253" s="6" t="inlineStr">
        <is>
          <t>OFF</t>
        </is>
      </c>
      <c r="I253" s="31" t="n">
        <v>580.1183283215253</v>
      </c>
      <c r="J253" s="31" t="n">
        <v>1533.568798690708</v>
      </c>
      <c r="K253" s="31" t="n">
        <v>1407.407407407407</v>
      </c>
      <c r="L253" s="31" t="n">
        <v>150</v>
      </c>
      <c r="M253" s="31">
        <f>I253+J253+K253+L253</f>
        <v/>
      </c>
      <c r="N253" s="31">
        <f>M253*'Dashboard &amp; Optimisation'!$B$18/('Dashboard &amp; Optimisation'!$B$16/3.6)</f>
        <v/>
      </c>
      <c r="O253" s="31" t="n">
        <v>250.1733537895471</v>
      </c>
      <c r="P253" s="32" t="n">
        <v>0.2832754903507647</v>
      </c>
      <c r="Q253" s="33" t="n">
        <v>8.071983660732418</v>
      </c>
      <c r="R253" s="31" t="n">
        <v>287.4805448410926</v>
      </c>
      <c r="S253" s="31">
        <f>R253*IF(A253=4, 2.0, 3.0)</f>
        <v/>
      </c>
      <c r="T253" s="30">
        <f>'Dashboard &amp; Optimisation'!$B$18*U253</f>
        <v/>
      </c>
      <c r="U253" s="34">
        <f>MIN(1, S253/M253)</f>
        <v/>
      </c>
      <c r="V253" s="34">
        <f>N253/(N253+O253)</f>
        <v/>
      </c>
      <c r="W253" s="34">
        <f>U253*V253</f>
        <v/>
      </c>
      <c r="X253" s="32">
        <f>T253/N253</f>
        <v/>
      </c>
      <c r="Y253" s="35">
        <f>IF(W253=MAXIFS(W$2:W$3601, A$2:A$3601, A253, B$2:B$3601, B253), "OPTIMAL", "")</f>
        <v/>
      </c>
    </row>
    <row r="254" ht="20" customHeight="1">
      <c r="A254" s="21" t="n">
        <v>4</v>
      </c>
      <c r="B254" s="21" t="n">
        <v>25</v>
      </c>
      <c r="C254" s="22" t="n">
        <v>110</v>
      </c>
      <c r="D254" s="22" t="n">
        <v>2</v>
      </c>
      <c r="E254" s="23" t="n">
        <v>8</v>
      </c>
      <c r="F254" s="22" t="n">
        <v>1.5</v>
      </c>
      <c r="G254" s="23" t="inlineStr">
        <is>
          <t>Oui</t>
        </is>
      </c>
      <c r="H254" s="23" t="inlineStr">
        <is>
          <t>ON</t>
        </is>
      </c>
      <c r="I254" s="24" t="n">
        <v>580.1183283215253</v>
      </c>
      <c r="J254" s="24" t="n">
        <v>1533.568798690708</v>
      </c>
      <c r="K254" s="24" t="n">
        <v>1407.407407407407</v>
      </c>
      <c r="L254" s="24" t="n">
        <v>150</v>
      </c>
      <c r="M254" s="24">
        <f>I254+J254+K254+L254</f>
        <v/>
      </c>
      <c r="N254" s="24">
        <f>M254*'Dashboard &amp; Optimisation'!$B$18/('Dashboard &amp; Optimisation'!$B$16/3.6)</f>
        <v/>
      </c>
      <c r="O254" s="24" t="n">
        <v>306.7890578876695</v>
      </c>
      <c r="P254" s="25" t="n">
        <v>0.05348631453507773</v>
      </c>
      <c r="Q254" s="26" t="n">
        <v>12.00797549109863</v>
      </c>
      <c r="R254" s="24" t="n">
        <v>1553.613297125454</v>
      </c>
      <c r="S254" s="24">
        <f>R254*IF(A254=4, 2.0, 3.0)</f>
        <v/>
      </c>
      <c r="T254" s="22">
        <f>'Dashboard &amp; Optimisation'!$B$18*U254</f>
        <v/>
      </c>
      <c r="U254" s="27">
        <f>MIN(1, S254/M254)</f>
        <v/>
      </c>
      <c r="V254" s="27">
        <f>N254/(N254+O254)</f>
        <v/>
      </c>
      <c r="W254" s="27">
        <f>U254*V254</f>
        <v/>
      </c>
      <c r="X254" s="25">
        <f>T254/N254</f>
        <v/>
      </c>
      <c r="Y254" s="28">
        <f>IF(W254=MAXIFS(W$2:W$3601, A$2:A$3601, A254, B$2:B$3601, B254), "OPTIMAL", "")</f>
        <v/>
      </c>
    </row>
    <row r="255" ht="20" customHeight="1">
      <c r="A255" s="29" t="n">
        <v>4</v>
      </c>
      <c r="B255" s="29" t="n">
        <v>25</v>
      </c>
      <c r="C255" s="30" t="n">
        <v>110</v>
      </c>
      <c r="D255" s="30" t="n">
        <v>2</v>
      </c>
      <c r="E255" s="6" t="n">
        <v>8</v>
      </c>
      <c r="F255" s="30" t="n">
        <v>1.5</v>
      </c>
      <c r="G255" s="6" t="inlineStr">
        <is>
          <t>Oui</t>
        </is>
      </c>
      <c r="H255" s="6" t="inlineStr">
        <is>
          <t>OFF</t>
        </is>
      </c>
      <c r="I255" s="31" t="n">
        <v>580.1183283215253</v>
      </c>
      <c r="J255" s="31" t="n">
        <v>1533.568798690708</v>
      </c>
      <c r="K255" s="31" t="n">
        <v>1407.407407407407</v>
      </c>
      <c r="L255" s="31" t="n">
        <v>150</v>
      </c>
      <c r="M255" s="31">
        <f>I255+J255+K255+L255</f>
        <v/>
      </c>
      <c r="N255" s="31">
        <f>M255*'Dashboard &amp; Optimisation'!$B$18/('Dashboard &amp; Optimisation'!$B$16/3.6)</f>
        <v/>
      </c>
      <c r="O255" s="31" t="n">
        <v>306.7890578876695</v>
      </c>
      <c r="P255" s="32" t="n">
        <v>0.2278356335097701</v>
      </c>
      <c r="Q255" s="33" t="n">
        <v>12.00797549109863</v>
      </c>
      <c r="R255" s="31" t="n">
        <v>364.7236746764979</v>
      </c>
      <c r="S255" s="31">
        <f>R255*IF(A255=4, 2.0, 3.0)</f>
        <v/>
      </c>
      <c r="T255" s="30">
        <f>'Dashboard &amp; Optimisation'!$B$18*U255</f>
        <v/>
      </c>
      <c r="U255" s="34">
        <f>MIN(1, S255/M255)</f>
        <v/>
      </c>
      <c r="V255" s="34">
        <f>N255/(N255+O255)</f>
        <v/>
      </c>
      <c r="W255" s="34">
        <f>U255*V255</f>
        <v/>
      </c>
      <c r="X255" s="32">
        <f>T255/N255</f>
        <v/>
      </c>
      <c r="Y255" s="35">
        <f>IF(W255=MAXIFS(W$2:W$3601, A$2:A$3601, A255, B$2:B$3601, B255), "OPTIMAL", "")</f>
        <v/>
      </c>
    </row>
    <row r="256" ht="20" customHeight="1">
      <c r="A256" s="21" t="n">
        <v>4</v>
      </c>
      <c r="B256" s="21" t="n">
        <v>25</v>
      </c>
      <c r="C256" s="22" t="n">
        <v>110</v>
      </c>
      <c r="D256" s="22" t="n">
        <v>2</v>
      </c>
      <c r="E256" s="23" t="n">
        <v>8</v>
      </c>
      <c r="F256" s="22" t="n">
        <v>1.5</v>
      </c>
      <c r="G256" s="23" t="inlineStr">
        <is>
          <t>Non</t>
        </is>
      </c>
      <c r="H256" s="23" t="inlineStr">
        <is>
          <t>ON</t>
        </is>
      </c>
      <c r="I256" s="24" t="n">
        <v>580.1183283215253</v>
      </c>
      <c r="J256" s="24" t="n">
        <v>1533.568798690708</v>
      </c>
      <c r="K256" s="24" t="n">
        <v>1407.407407407407</v>
      </c>
      <c r="L256" s="24" t="n">
        <v>150</v>
      </c>
      <c r="M256" s="24">
        <f>I256+J256+K256+L256</f>
        <v/>
      </c>
      <c r="N256" s="24">
        <f>M256*'Dashboard &amp; Optimisation'!$B$18/('Dashboard &amp; Optimisation'!$B$16/3.6)</f>
        <v/>
      </c>
      <c r="O256" s="24" t="n">
        <v>306.7890578876695</v>
      </c>
      <c r="P256" s="25" t="n">
        <v>0.05059258829704327</v>
      </c>
      <c r="Q256" s="26" t="n">
        <v>12.00797549109863</v>
      </c>
      <c r="R256" s="24" t="n">
        <v>1642.474763063022</v>
      </c>
      <c r="S256" s="24">
        <f>R256*IF(A256=4, 2.0, 3.0)</f>
        <v/>
      </c>
      <c r="T256" s="22">
        <f>'Dashboard &amp; Optimisation'!$B$18*U256</f>
        <v/>
      </c>
      <c r="U256" s="27">
        <f>MIN(1, S256/M256)</f>
        <v/>
      </c>
      <c r="V256" s="27">
        <f>N256/(N256+O256)</f>
        <v/>
      </c>
      <c r="W256" s="27">
        <f>U256*V256</f>
        <v/>
      </c>
      <c r="X256" s="25">
        <f>T256/N256</f>
        <v/>
      </c>
      <c r="Y256" s="28">
        <f>IF(W256=MAXIFS(W$2:W$3601, A$2:A$3601, A256, B$2:B$3601, B256), "OPTIMAL", "")</f>
        <v/>
      </c>
    </row>
    <row r="257" ht="20" customHeight="1">
      <c r="A257" s="29" t="n">
        <v>4</v>
      </c>
      <c r="B257" s="29" t="n">
        <v>25</v>
      </c>
      <c r="C257" s="30" t="n">
        <v>110</v>
      </c>
      <c r="D257" s="30" t="n">
        <v>2</v>
      </c>
      <c r="E257" s="6" t="n">
        <v>8</v>
      </c>
      <c r="F257" s="30" t="n">
        <v>1.5</v>
      </c>
      <c r="G257" s="6" t="inlineStr">
        <is>
          <t>Non</t>
        </is>
      </c>
      <c r="H257" s="6" t="inlineStr">
        <is>
          <t>OFF</t>
        </is>
      </c>
      <c r="I257" s="31" t="n">
        <v>580.1183283215253</v>
      </c>
      <c r="J257" s="31" t="n">
        <v>1533.568798690708</v>
      </c>
      <c r="K257" s="31" t="n">
        <v>1407.407407407407</v>
      </c>
      <c r="L257" s="31" t="n">
        <v>150</v>
      </c>
      <c r="M257" s="31">
        <f>I257+J257+K257+L257</f>
        <v/>
      </c>
      <c r="N257" s="31">
        <f>M257*'Dashboard &amp; Optimisation'!$B$18/('Dashboard &amp; Optimisation'!$B$16/3.6)</f>
        <v/>
      </c>
      <c r="O257" s="31" t="n">
        <v>306.7890578876695</v>
      </c>
      <c r="P257" s="32" t="n">
        <v>0.2249419072717356</v>
      </c>
      <c r="Q257" s="33" t="n">
        <v>12.00797549109863</v>
      </c>
      <c r="R257" s="31" t="n">
        <v>369.4155992709166</v>
      </c>
      <c r="S257" s="31">
        <f>R257*IF(A257=4, 2.0, 3.0)</f>
        <v/>
      </c>
      <c r="T257" s="30">
        <f>'Dashboard &amp; Optimisation'!$B$18*U257</f>
        <v/>
      </c>
      <c r="U257" s="34">
        <f>MIN(1, S257/M257)</f>
        <v/>
      </c>
      <c r="V257" s="34">
        <f>N257/(N257+O257)</f>
        <v/>
      </c>
      <c r="W257" s="34">
        <f>U257*V257</f>
        <v/>
      </c>
      <c r="X257" s="32">
        <f>T257/N257</f>
        <v/>
      </c>
      <c r="Y257" s="35">
        <f>IF(W257=MAXIFS(W$2:W$3601, A$2:A$3601, A257, B$2:B$3601, B257), "OPTIMAL", "")</f>
        <v/>
      </c>
    </row>
    <row r="258" ht="20" customHeight="1">
      <c r="A258" s="21" t="n">
        <v>4</v>
      </c>
      <c r="B258" s="21" t="n">
        <v>25</v>
      </c>
      <c r="C258" s="22" t="n">
        <v>110</v>
      </c>
      <c r="D258" s="22" t="n">
        <v>2</v>
      </c>
      <c r="E258" s="23" t="n">
        <v>8</v>
      </c>
      <c r="F258" s="22" t="n">
        <v>2</v>
      </c>
      <c r="G258" s="23" t="inlineStr">
        <is>
          <t>Oui</t>
        </is>
      </c>
      <c r="H258" s="23" t="inlineStr">
        <is>
          <t>ON</t>
        </is>
      </c>
      <c r="I258" s="24" t="n">
        <v>580.1183283215253</v>
      </c>
      <c r="J258" s="24" t="n">
        <v>1533.568798690708</v>
      </c>
      <c r="K258" s="24" t="n">
        <v>1407.407407407407</v>
      </c>
      <c r="L258" s="24" t="n">
        <v>150</v>
      </c>
      <c r="M258" s="24">
        <f>I258+J258+K258+L258</f>
        <v/>
      </c>
      <c r="N258" s="24">
        <f>M258*'Dashboard &amp; Optimisation'!$B$18/('Dashboard &amp; Optimisation'!$B$16/3.6)</f>
        <v/>
      </c>
      <c r="O258" s="24" t="n">
        <v>365.7621472079769</v>
      </c>
      <c r="P258" s="25" t="n">
        <v>0.05207352280953786</v>
      </c>
      <c r="Q258" s="26" t="n">
        <v>15.94396732146484</v>
      </c>
      <c r="R258" s="24" t="n">
        <v>1628.986429998165</v>
      </c>
      <c r="S258" s="24">
        <f>R258*IF(A258=4, 2.0, 3.0)</f>
        <v/>
      </c>
      <c r="T258" s="22">
        <f>'Dashboard &amp; Optimisation'!$B$18*U258</f>
        <v/>
      </c>
      <c r="U258" s="27">
        <f>MIN(1, S258/M258)</f>
        <v/>
      </c>
      <c r="V258" s="27">
        <f>N258/(N258+O258)</f>
        <v/>
      </c>
      <c r="W258" s="27">
        <f>U258*V258</f>
        <v/>
      </c>
      <c r="X258" s="25">
        <f>T258/N258</f>
        <v/>
      </c>
      <c r="Y258" s="28">
        <f>IF(W258=MAXIFS(W$2:W$3601, A$2:A$3601, A258, B$2:B$3601, B258), "OPTIMAL", "")</f>
        <v/>
      </c>
    </row>
    <row r="259" ht="20" customHeight="1">
      <c r="A259" s="29" t="n">
        <v>4</v>
      </c>
      <c r="B259" s="29" t="n">
        <v>25</v>
      </c>
      <c r="C259" s="30" t="n">
        <v>110</v>
      </c>
      <c r="D259" s="30" t="n">
        <v>2</v>
      </c>
      <c r="E259" s="6" t="n">
        <v>8</v>
      </c>
      <c r="F259" s="30" t="n">
        <v>2</v>
      </c>
      <c r="G259" s="6" t="inlineStr">
        <is>
          <t>Oui</t>
        </is>
      </c>
      <c r="H259" s="6" t="inlineStr">
        <is>
          <t>OFF</t>
        </is>
      </c>
      <c r="I259" s="31" t="n">
        <v>580.1183283215253</v>
      </c>
      <c r="J259" s="31" t="n">
        <v>1533.568798690708</v>
      </c>
      <c r="K259" s="31" t="n">
        <v>1407.407407407407</v>
      </c>
      <c r="L259" s="31" t="n">
        <v>150</v>
      </c>
      <c r="M259" s="31">
        <f>I259+J259+K259+L259</f>
        <v/>
      </c>
      <c r="N259" s="31">
        <f>M259*'Dashboard &amp; Optimisation'!$B$18/('Dashboard &amp; Optimisation'!$B$16/3.6)</f>
        <v/>
      </c>
      <c r="O259" s="31" t="n">
        <v>365.7621472079769</v>
      </c>
      <c r="P259" s="32" t="n">
        <v>0.2276454001773911</v>
      </c>
      <c r="Q259" s="33" t="n">
        <v>15.94396732146484</v>
      </c>
      <c r="R259" s="31" t="n">
        <v>372.6280520179025</v>
      </c>
      <c r="S259" s="31">
        <f>R259*IF(A259=4, 2.0, 3.0)</f>
        <v/>
      </c>
      <c r="T259" s="30">
        <f>'Dashboard &amp; Optimisation'!$B$18*U259</f>
        <v/>
      </c>
      <c r="U259" s="34">
        <f>MIN(1, S259/M259)</f>
        <v/>
      </c>
      <c r="V259" s="34">
        <f>N259/(N259+O259)</f>
        <v/>
      </c>
      <c r="W259" s="34">
        <f>U259*V259</f>
        <v/>
      </c>
      <c r="X259" s="32">
        <f>T259/N259</f>
        <v/>
      </c>
      <c r="Y259" s="35">
        <f>IF(W259=MAXIFS(W$2:W$3601, A$2:A$3601, A259, B$2:B$3601, B259), "OPTIMAL", "")</f>
        <v/>
      </c>
    </row>
    <row r="260" ht="20" customHeight="1">
      <c r="A260" s="21" t="n">
        <v>4</v>
      </c>
      <c r="B260" s="21" t="n">
        <v>25</v>
      </c>
      <c r="C260" s="22" t="n">
        <v>110</v>
      </c>
      <c r="D260" s="22" t="n">
        <v>2</v>
      </c>
      <c r="E260" s="23" t="n">
        <v>8</v>
      </c>
      <c r="F260" s="22" t="n">
        <v>2</v>
      </c>
      <c r="G260" s="23" t="inlineStr">
        <is>
          <t>Non</t>
        </is>
      </c>
      <c r="H260" s="23" t="inlineStr">
        <is>
          <t>ON</t>
        </is>
      </c>
      <c r="I260" s="24" t="n">
        <v>580.1183283215253</v>
      </c>
      <c r="J260" s="24" t="n">
        <v>1533.568798690708</v>
      </c>
      <c r="K260" s="24" t="n">
        <v>1407.407407407407</v>
      </c>
      <c r="L260" s="24" t="n">
        <v>150</v>
      </c>
      <c r="M260" s="24">
        <f>I260+J260+K260+L260</f>
        <v/>
      </c>
      <c r="N260" s="24">
        <f>M260*'Dashboard &amp; Optimisation'!$B$18/('Dashboard &amp; Optimisation'!$B$16/3.6)</f>
        <v/>
      </c>
      <c r="O260" s="24" t="n">
        <v>365.7621472079769</v>
      </c>
      <c r="P260" s="25" t="n">
        <v>0.0491797965715034</v>
      </c>
      <c r="Q260" s="26" t="n">
        <v>15.94396732146484</v>
      </c>
      <c r="R260" s="24" t="n">
        <v>1724.835561196466</v>
      </c>
      <c r="S260" s="24">
        <f>R260*IF(A260=4, 2.0, 3.0)</f>
        <v/>
      </c>
      <c r="T260" s="22">
        <f>'Dashboard &amp; Optimisation'!$B$18*U260</f>
        <v/>
      </c>
      <c r="U260" s="27">
        <f>MIN(1, S260/M260)</f>
        <v/>
      </c>
      <c r="V260" s="27">
        <f>N260/(N260+O260)</f>
        <v/>
      </c>
      <c r="W260" s="27">
        <f>U260*V260</f>
        <v/>
      </c>
      <c r="X260" s="25">
        <f>T260/N260</f>
        <v/>
      </c>
      <c r="Y260" s="28">
        <f>IF(W260=MAXIFS(W$2:W$3601, A$2:A$3601, A260, B$2:B$3601, B260), "OPTIMAL", "")</f>
        <v/>
      </c>
    </row>
    <row r="261" ht="20" customHeight="1">
      <c r="A261" s="29" t="n">
        <v>4</v>
      </c>
      <c r="B261" s="29" t="n">
        <v>25</v>
      </c>
      <c r="C261" s="30" t="n">
        <v>110</v>
      </c>
      <c r="D261" s="30" t="n">
        <v>2</v>
      </c>
      <c r="E261" s="6" t="n">
        <v>8</v>
      </c>
      <c r="F261" s="30" t="n">
        <v>2</v>
      </c>
      <c r="G261" s="6" t="inlineStr">
        <is>
          <t>Non</t>
        </is>
      </c>
      <c r="H261" s="6" t="inlineStr">
        <is>
          <t>OFF</t>
        </is>
      </c>
      <c r="I261" s="31" t="n">
        <v>580.1183283215253</v>
      </c>
      <c r="J261" s="31" t="n">
        <v>1533.568798690708</v>
      </c>
      <c r="K261" s="31" t="n">
        <v>1407.407407407407</v>
      </c>
      <c r="L261" s="31" t="n">
        <v>150</v>
      </c>
      <c r="M261" s="31">
        <f>I261+J261+K261+L261</f>
        <v/>
      </c>
      <c r="N261" s="31">
        <f>M261*'Dashboard &amp; Optimisation'!$B$18/('Dashboard &amp; Optimisation'!$B$16/3.6)</f>
        <v/>
      </c>
      <c r="O261" s="31" t="n">
        <v>365.7621472079769</v>
      </c>
      <c r="P261" s="32" t="n">
        <v>0.2247516739393566</v>
      </c>
      <c r="Q261" s="33" t="n">
        <v>15.94396732146484</v>
      </c>
      <c r="R261" s="31" t="n">
        <v>377.4257184924259</v>
      </c>
      <c r="S261" s="31">
        <f>R261*IF(A261=4, 2.0, 3.0)</f>
        <v/>
      </c>
      <c r="T261" s="30">
        <f>'Dashboard &amp; Optimisation'!$B$18*U261</f>
        <v/>
      </c>
      <c r="U261" s="34">
        <f>MIN(1, S261/M261)</f>
        <v/>
      </c>
      <c r="V261" s="34">
        <f>N261/(N261+O261)</f>
        <v/>
      </c>
      <c r="W261" s="34">
        <f>U261*V261</f>
        <v/>
      </c>
      <c r="X261" s="32">
        <f>T261/N261</f>
        <v/>
      </c>
      <c r="Y261" s="35">
        <f>IF(W261=MAXIFS(W$2:W$3601, A$2:A$3601, A261, B$2:B$3601, B261), "OPTIMAL", "")</f>
        <v/>
      </c>
    </row>
    <row r="262" ht="20" customHeight="1">
      <c r="A262" s="21" t="n">
        <v>4</v>
      </c>
      <c r="B262" s="21" t="n">
        <v>25</v>
      </c>
      <c r="C262" s="22" t="n">
        <v>110</v>
      </c>
      <c r="D262" s="22" t="n">
        <v>3</v>
      </c>
      <c r="E262" s="23" t="n">
        <v>0</v>
      </c>
      <c r="F262" s="22" t="n">
        <v>0</v>
      </c>
      <c r="G262" s="23" t="inlineStr">
        <is>
          <t>Oui</t>
        </is>
      </c>
      <c r="H262" s="23" t="inlineStr">
        <is>
          <t>ON</t>
        </is>
      </c>
      <c r="I262" s="24" t="n">
        <v>580.1183283215253</v>
      </c>
      <c r="J262" s="24" t="n">
        <v>1533.568798690708</v>
      </c>
      <c r="K262" s="24" t="n">
        <v>1407.407407407407</v>
      </c>
      <c r="L262" s="24" t="n">
        <v>150</v>
      </c>
      <c r="M262" s="24">
        <f>I262+J262+K262+L262</f>
        <v/>
      </c>
      <c r="N262" s="24">
        <f>M262*'Dashboard &amp; Optimisation'!$B$18/('Dashboard &amp; Optimisation'!$B$16/3.6)</f>
        <v/>
      </c>
      <c r="O262" s="24" t="n">
        <v>221.4923517564569</v>
      </c>
      <c r="P262" s="25" t="n">
        <v>0.4731677858497217</v>
      </c>
      <c r="Q262" s="26" t="n">
        <v>0.2</v>
      </c>
      <c r="R262" s="24" t="n">
        <v>171.9194035532919</v>
      </c>
      <c r="S262" s="24">
        <f>R262*IF(A262=4, 2.0, 3.0)</f>
        <v/>
      </c>
      <c r="T262" s="22">
        <f>'Dashboard &amp; Optimisation'!$B$18*U262</f>
        <v/>
      </c>
      <c r="U262" s="27">
        <f>MIN(1, S262/M262)</f>
        <v/>
      </c>
      <c r="V262" s="27">
        <f>N262/(N262+O262)</f>
        <v/>
      </c>
      <c r="W262" s="27">
        <f>U262*V262</f>
        <v/>
      </c>
      <c r="X262" s="25">
        <f>T262/N262</f>
        <v/>
      </c>
      <c r="Y262" s="28">
        <f>IF(W262=MAXIFS(W$2:W$3601, A$2:A$3601, A262, B$2:B$3601, B262), "OPTIMAL", "")</f>
        <v/>
      </c>
    </row>
    <row r="263" ht="20" customHeight="1">
      <c r="A263" s="29" t="n">
        <v>4</v>
      </c>
      <c r="B263" s="29" t="n">
        <v>25</v>
      </c>
      <c r="C263" s="30" t="n">
        <v>110</v>
      </c>
      <c r="D263" s="30" t="n">
        <v>3</v>
      </c>
      <c r="E263" s="6" t="n">
        <v>0</v>
      </c>
      <c r="F263" s="30" t="n">
        <v>0</v>
      </c>
      <c r="G263" s="6" t="inlineStr">
        <is>
          <t>Oui</t>
        </is>
      </c>
      <c r="H263" s="6" t="inlineStr">
        <is>
          <t>OFF</t>
        </is>
      </c>
      <c r="I263" s="31" t="n">
        <v>580.1183283215253</v>
      </c>
      <c r="J263" s="31" t="n">
        <v>1533.568798690708</v>
      </c>
      <c r="K263" s="31" t="n">
        <v>1407.407407407407</v>
      </c>
      <c r="L263" s="31" t="n">
        <v>150</v>
      </c>
      <c r="M263" s="31">
        <f>I263+J263+K263+L263</f>
        <v/>
      </c>
      <c r="N263" s="31">
        <f>M263*'Dashboard &amp; Optimisation'!$B$18/('Dashboard &amp; Optimisation'!$B$16/3.6)</f>
        <v/>
      </c>
      <c r="O263" s="31" t="n">
        <v>221.4923517564569</v>
      </c>
      <c r="P263" s="32" t="n">
        <v>0.7625404096531678</v>
      </c>
      <c r="Q263" s="33" t="n">
        <v>0.2</v>
      </c>
      <c r="R263" s="31" t="n">
        <v>106.6785740062162</v>
      </c>
      <c r="S263" s="31">
        <f>R263*IF(A263=4, 2.0, 3.0)</f>
        <v/>
      </c>
      <c r="T263" s="30">
        <f>'Dashboard &amp; Optimisation'!$B$18*U263</f>
        <v/>
      </c>
      <c r="U263" s="34">
        <f>MIN(1, S263/M263)</f>
        <v/>
      </c>
      <c r="V263" s="34">
        <f>N263/(N263+O263)</f>
        <v/>
      </c>
      <c r="W263" s="34">
        <f>U263*V263</f>
        <v/>
      </c>
      <c r="X263" s="32">
        <f>T263/N263</f>
        <v/>
      </c>
      <c r="Y263" s="35">
        <f>IF(W263=MAXIFS(W$2:W$3601, A$2:A$3601, A263, B$2:B$3601, B263), "OPTIMAL", "")</f>
        <v/>
      </c>
    </row>
    <row r="264" ht="20" customHeight="1">
      <c r="A264" s="21" t="n">
        <v>4</v>
      </c>
      <c r="B264" s="21" t="n">
        <v>25</v>
      </c>
      <c r="C264" s="22" t="n">
        <v>110</v>
      </c>
      <c r="D264" s="22" t="n">
        <v>3</v>
      </c>
      <c r="E264" s="23" t="n">
        <v>0</v>
      </c>
      <c r="F264" s="22" t="n">
        <v>0</v>
      </c>
      <c r="G264" s="23" t="inlineStr">
        <is>
          <t>Non</t>
        </is>
      </c>
      <c r="H264" s="23" t="inlineStr">
        <is>
          <t>ON</t>
        </is>
      </c>
      <c r="I264" s="24" t="n">
        <v>580.1183283215253</v>
      </c>
      <c r="J264" s="24" t="n">
        <v>1533.568798690708</v>
      </c>
      <c r="K264" s="24" t="n">
        <v>1407.407407407407</v>
      </c>
      <c r="L264" s="24" t="n">
        <v>150</v>
      </c>
      <c r="M264" s="24">
        <f>I264+J264+K264+L264</f>
        <v/>
      </c>
      <c r="N264" s="24">
        <f>M264*'Dashboard &amp; Optimisation'!$B$18/('Dashboard &amp; Optimisation'!$B$16/3.6)</f>
        <v/>
      </c>
      <c r="O264" s="24" t="n">
        <v>221.4923517564569</v>
      </c>
      <c r="P264" s="25" t="n">
        <v>0.4702740596116872</v>
      </c>
      <c r="Q264" s="26" t="n">
        <v>0.2</v>
      </c>
      <c r="R264" s="24" t="n">
        <v>172.9772711492639</v>
      </c>
      <c r="S264" s="24">
        <f>R264*IF(A264=4, 2.0, 3.0)</f>
        <v/>
      </c>
      <c r="T264" s="22">
        <f>'Dashboard &amp; Optimisation'!$B$18*U264</f>
        <v/>
      </c>
      <c r="U264" s="27">
        <f>MIN(1, S264/M264)</f>
        <v/>
      </c>
      <c r="V264" s="27">
        <f>N264/(N264+O264)</f>
        <v/>
      </c>
      <c r="W264" s="27">
        <f>U264*V264</f>
        <v/>
      </c>
      <c r="X264" s="25">
        <f>T264/N264</f>
        <v/>
      </c>
      <c r="Y264" s="28">
        <f>IF(W264=MAXIFS(W$2:W$3601, A$2:A$3601, A264, B$2:B$3601, B264), "OPTIMAL", "")</f>
        <v/>
      </c>
    </row>
    <row r="265" ht="20" customHeight="1">
      <c r="A265" s="29" t="n">
        <v>4</v>
      </c>
      <c r="B265" s="29" t="n">
        <v>25</v>
      </c>
      <c r="C265" s="30" t="n">
        <v>110</v>
      </c>
      <c r="D265" s="30" t="n">
        <v>3</v>
      </c>
      <c r="E265" s="6" t="n">
        <v>0</v>
      </c>
      <c r="F265" s="30" t="n">
        <v>0</v>
      </c>
      <c r="G265" s="6" t="inlineStr">
        <is>
          <t>Non</t>
        </is>
      </c>
      <c r="H265" s="6" t="inlineStr">
        <is>
          <t>OFF</t>
        </is>
      </c>
      <c r="I265" s="31" t="n">
        <v>580.1183283215253</v>
      </c>
      <c r="J265" s="31" t="n">
        <v>1533.568798690708</v>
      </c>
      <c r="K265" s="31" t="n">
        <v>1407.407407407407</v>
      </c>
      <c r="L265" s="31" t="n">
        <v>150</v>
      </c>
      <c r="M265" s="31">
        <f>I265+J265+K265+L265</f>
        <v/>
      </c>
      <c r="N265" s="31">
        <f>M265*'Dashboard &amp; Optimisation'!$B$18/('Dashboard &amp; Optimisation'!$B$16/3.6)</f>
        <v/>
      </c>
      <c r="O265" s="31" t="n">
        <v>221.4923517564569</v>
      </c>
      <c r="P265" s="32" t="n">
        <v>0.7596466834151334</v>
      </c>
      <c r="Q265" s="33" t="n">
        <v>0.2</v>
      </c>
      <c r="R265" s="31" t="n">
        <v>107.0849452777264</v>
      </c>
      <c r="S265" s="31">
        <f>R265*IF(A265=4, 2.0, 3.0)</f>
        <v/>
      </c>
      <c r="T265" s="30">
        <f>'Dashboard &amp; Optimisation'!$B$18*U265</f>
        <v/>
      </c>
      <c r="U265" s="34">
        <f>MIN(1, S265/M265)</f>
        <v/>
      </c>
      <c r="V265" s="34">
        <f>N265/(N265+O265)</f>
        <v/>
      </c>
      <c r="W265" s="34">
        <f>U265*V265</f>
        <v/>
      </c>
      <c r="X265" s="32">
        <f>T265/N265</f>
        <v/>
      </c>
      <c r="Y265" s="35">
        <f>IF(W265=MAXIFS(W$2:W$3601, A$2:A$3601, A265, B$2:B$3601, B265), "OPTIMAL", "")</f>
        <v/>
      </c>
    </row>
    <row r="266" ht="20" customHeight="1">
      <c r="A266" s="21" t="n">
        <v>4</v>
      </c>
      <c r="B266" s="21" t="n">
        <v>25</v>
      </c>
      <c r="C266" s="22" t="n">
        <v>110</v>
      </c>
      <c r="D266" s="22" t="n">
        <v>3</v>
      </c>
      <c r="E266" s="23" t="n">
        <v>4</v>
      </c>
      <c r="F266" s="22" t="n">
        <v>1.5</v>
      </c>
      <c r="G266" s="23" t="inlineStr">
        <is>
          <t>Oui</t>
        </is>
      </c>
      <c r="H266" s="23" t="inlineStr">
        <is>
          <t>ON</t>
        </is>
      </c>
      <c r="I266" s="24" t="n">
        <v>580.1183283215253</v>
      </c>
      <c r="J266" s="24" t="n">
        <v>1533.568798690708</v>
      </c>
      <c r="K266" s="24" t="n">
        <v>1407.407407407407</v>
      </c>
      <c r="L266" s="24" t="n">
        <v>150</v>
      </c>
      <c r="M266" s="24">
        <f>I266+J266+K266+L266</f>
        <v/>
      </c>
      <c r="N266" s="24">
        <f>M266*'Dashboard &amp; Optimisation'!$B$18/('Dashboard &amp; Optimisation'!$B$16/3.6)</f>
        <v/>
      </c>
      <c r="O266" s="24" t="n">
        <v>305.0437217057508</v>
      </c>
      <c r="P266" s="25" t="n">
        <v>0.07040639651024357</v>
      </c>
      <c r="Q266" s="26" t="n">
        <v>6.217525971425261</v>
      </c>
      <c r="R266" s="24" t="n">
        <v>1190.364067783377</v>
      </c>
      <c r="S266" s="24">
        <f>R266*IF(A266=4, 2.0, 3.0)</f>
        <v/>
      </c>
      <c r="T266" s="22">
        <f>'Dashboard &amp; Optimisation'!$B$18*U266</f>
        <v/>
      </c>
      <c r="U266" s="27">
        <f>MIN(1, S266/M266)</f>
        <v/>
      </c>
      <c r="V266" s="27">
        <f>N266/(N266+O266)</f>
        <v/>
      </c>
      <c r="W266" s="27">
        <f>U266*V266</f>
        <v/>
      </c>
      <c r="X266" s="25">
        <f>T266/N266</f>
        <v/>
      </c>
      <c r="Y266" s="28">
        <f>IF(W266=MAXIFS(W$2:W$3601, A$2:A$3601, A266, B$2:B$3601, B266), "OPTIMAL", "")</f>
        <v/>
      </c>
    </row>
    <row r="267" ht="20" customHeight="1">
      <c r="A267" s="29" t="n">
        <v>4</v>
      </c>
      <c r="B267" s="29" t="n">
        <v>25</v>
      </c>
      <c r="C267" s="30" t="n">
        <v>110</v>
      </c>
      <c r="D267" s="30" t="n">
        <v>3</v>
      </c>
      <c r="E267" s="6" t="n">
        <v>4</v>
      </c>
      <c r="F267" s="30" t="n">
        <v>1.5</v>
      </c>
      <c r="G267" s="6" t="inlineStr">
        <is>
          <t>Oui</t>
        </is>
      </c>
      <c r="H267" s="6" t="inlineStr">
        <is>
          <t>OFF</t>
        </is>
      </c>
      <c r="I267" s="31" t="n">
        <v>580.1183283215253</v>
      </c>
      <c r="J267" s="31" t="n">
        <v>1533.568798690708</v>
      </c>
      <c r="K267" s="31" t="n">
        <v>1407.407407407407</v>
      </c>
      <c r="L267" s="31" t="n">
        <v>150</v>
      </c>
      <c r="M267" s="31">
        <f>I267+J267+K267+L267</f>
        <v/>
      </c>
      <c r="N267" s="31">
        <f>M267*'Dashboard &amp; Optimisation'!$B$18/('Dashboard &amp; Optimisation'!$B$16/3.6)</f>
        <v/>
      </c>
      <c r="O267" s="31" t="n">
        <v>305.0437217057508</v>
      </c>
      <c r="P267" s="32" t="n">
        <v>0.2880026189593694</v>
      </c>
      <c r="Q267" s="33" t="n">
        <v>6.217525971425261</v>
      </c>
      <c r="R267" s="31" t="n">
        <v>291.0016750914563</v>
      </c>
      <c r="S267" s="31">
        <f>R267*IF(A267=4, 2.0, 3.0)</f>
        <v/>
      </c>
      <c r="T267" s="30">
        <f>'Dashboard &amp; Optimisation'!$B$18*U267</f>
        <v/>
      </c>
      <c r="U267" s="34">
        <f>MIN(1, S267/M267)</f>
        <v/>
      </c>
      <c r="V267" s="34">
        <f>N267/(N267+O267)</f>
        <v/>
      </c>
      <c r="W267" s="34">
        <f>U267*V267</f>
        <v/>
      </c>
      <c r="X267" s="32">
        <f>T267/N267</f>
        <v/>
      </c>
      <c r="Y267" s="35">
        <f>IF(W267=MAXIFS(W$2:W$3601, A$2:A$3601, A267, B$2:B$3601, B267), "OPTIMAL", "")</f>
        <v/>
      </c>
    </row>
    <row r="268" ht="20" customHeight="1">
      <c r="A268" s="21" t="n">
        <v>4</v>
      </c>
      <c r="B268" s="21" t="n">
        <v>25</v>
      </c>
      <c r="C268" s="22" t="n">
        <v>110</v>
      </c>
      <c r="D268" s="22" t="n">
        <v>3</v>
      </c>
      <c r="E268" s="23" t="n">
        <v>4</v>
      </c>
      <c r="F268" s="22" t="n">
        <v>1.5</v>
      </c>
      <c r="G268" s="23" t="inlineStr">
        <is>
          <t>Non</t>
        </is>
      </c>
      <c r="H268" s="23" t="inlineStr">
        <is>
          <t>ON</t>
        </is>
      </c>
      <c r="I268" s="24" t="n">
        <v>580.1183283215253</v>
      </c>
      <c r="J268" s="24" t="n">
        <v>1533.568798690708</v>
      </c>
      <c r="K268" s="24" t="n">
        <v>1407.407407407407</v>
      </c>
      <c r="L268" s="24" t="n">
        <v>150</v>
      </c>
      <c r="M268" s="24">
        <f>I268+J268+K268+L268</f>
        <v/>
      </c>
      <c r="N268" s="24">
        <f>M268*'Dashboard &amp; Optimisation'!$B$18/('Dashboard &amp; Optimisation'!$B$16/3.6)</f>
        <v/>
      </c>
      <c r="O268" s="24" t="n">
        <v>305.0437217057508</v>
      </c>
      <c r="P268" s="25" t="n">
        <v>0.06751267027220911</v>
      </c>
      <c r="Q268" s="26" t="n">
        <v>6.217525971425261</v>
      </c>
      <c r="R268" s="24" t="n">
        <v>1241.385420099464</v>
      </c>
      <c r="S268" s="24">
        <f>R268*IF(A268=4, 2.0, 3.0)</f>
        <v/>
      </c>
      <c r="T268" s="22">
        <f>'Dashboard &amp; Optimisation'!$B$18*U268</f>
        <v/>
      </c>
      <c r="U268" s="27">
        <f>MIN(1, S268/M268)</f>
        <v/>
      </c>
      <c r="V268" s="27">
        <f>N268/(N268+O268)</f>
        <v/>
      </c>
      <c r="W268" s="27">
        <f>U268*V268</f>
        <v/>
      </c>
      <c r="X268" s="25">
        <f>T268/N268</f>
        <v/>
      </c>
      <c r="Y268" s="28">
        <f>IF(W268=MAXIFS(W$2:W$3601, A$2:A$3601, A268, B$2:B$3601, B268), "OPTIMAL", "")</f>
        <v/>
      </c>
    </row>
    <row r="269" ht="20" customHeight="1">
      <c r="A269" s="29" t="n">
        <v>4</v>
      </c>
      <c r="B269" s="29" t="n">
        <v>25</v>
      </c>
      <c r="C269" s="30" t="n">
        <v>110</v>
      </c>
      <c r="D269" s="30" t="n">
        <v>3</v>
      </c>
      <c r="E269" s="6" t="n">
        <v>4</v>
      </c>
      <c r="F269" s="30" t="n">
        <v>1.5</v>
      </c>
      <c r="G269" s="6" t="inlineStr">
        <is>
          <t>Non</t>
        </is>
      </c>
      <c r="H269" s="6" t="inlineStr">
        <is>
          <t>OFF</t>
        </is>
      </c>
      <c r="I269" s="31" t="n">
        <v>580.1183283215253</v>
      </c>
      <c r="J269" s="31" t="n">
        <v>1533.568798690708</v>
      </c>
      <c r="K269" s="31" t="n">
        <v>1407.407407407407</v>
      </c>
      <c r="L269" s="31" t="n">
        <v>150</v>
      </c>
      <c r="M269" s="31">
        <f>I269+J269+K269+L269</f>
        <v/>
      </c>
      <c r="N269" s="31">
        <f>M269*'Dashboard &amp; Optimisation'!$B$18/('Dashboard &amp; Optimisation'!$B$16/3.6)</f>
        <v/>
      </c>
      <c r="O269" s="31" t="n">
        <v>305.0437217057508</v>
      </c>
      <c r="P269" s="32" t="n">
        <v>0.2851088927213349</v>
      </c>
      <c r="Q269" s="33" t="n">
        <v>6.217525971425261</v>
      </c>
      <c r="R269" s="31" t="n">
        <v>293.9552104038296</v>
      </c>
      <c r="S269" s="31">
        <f>R269*IF(A269=4, 2.0, 3.0)</f>
        <v/>
      </c>
      <c r="T269" s="30">
        <f>'Dashboard &amp; Optimisation'!$B$18*U269</f>
        <v/>
      </c>
      <c r="U269" s="34">
        <f>MIN(1, S269/M269)</f>
        <v/>
      </c>
      <c r="V269" s="34">
        <f>N269/(N269+O269)</f>
        <v/>
      </c>
      <c r="W269" s="34">
        <f>U269*V269</f>
        <v/>
      </c>
      <c r="X269" s="32">
        <f>T269/N269</f>
        <v/>
      </c>
      <c r="Y269" s="35">
        <f>IF(W269=MAXIFS(W$2:W$3601, A$2:A$3601, A269, B$2:B$3601, B269), "OPTIMAL", "")</f>
        <v/>
      </c>
    </row>
    <row r="270" ht="20" customHeight="1">
      <c r="A270" s="21" t="n">
        <v>4</v>
      </c>
      <c r="B270" s="21" t="n">
        <v>25</v>
      </c>
      <c r="C270" s="22" t="n">
        <v>110</v>
      </c>
      <c r="D270" s="22" t="n">
        <v>3</v>
      </c>
      <c r="E270" s="23" t="n">
        <v>4</v>
      </c>
      <c r="F270" s="22" t="n">
        <v>2</v>
      </c>
      <c r="G270" s="23" t="inlineStr">
        <is>
          <t>Oui</t>
        </is>
      </c>
      <c r="H270" s="23" t="inlineStr">
        <is>
          <t>ON</t>
        </is>
      </c>
      <c r="I270" s="24" t="n">
        <v>580.1183283215253</v>
      </c>
      <c r="J270" s="24" t="n">
        <v>1533.568798690708</v>
      </c>
      <c r="K270" s="24" t="n">
        <v>1407.407407407407</v>
      </c>
      <c r="L270" s="24" t="n">
        <v>150</v>
      </c>
      <c r="M270" s="24">
        <f>I270+J270+K270+L270</f>
        <v/>
      </c>
      <c r="N270" s="24">
        <f>M270*'Dashboard &amp; Optimisation'!$B$18/('Dashboard &amp; Optimisation'!$B$16/3.6)</f>
        <v/>
      </c>
      <c r="O270" s="24" t="n">
        <v>334.0297525306276</v>
      </c>
      <c r="P270" s="25" t="n">
        <v>0.06745693940259542</v>
      </c>
      <c r="Q270" s="26" t="n">
        <v>8.223367961900347</v>
      </c>
      <c r="R270" s="24" t="n">
        <v>1255.07552778037</v>
      </c>
      <c r="S270" s="24">
        <f>R270*IF(A270=4, 2.0, 3.0)</f>
        <v/>
      </c>
      <c r="T270" s="22">
        <f>'Dashboard &amp; Optimisation'!$B$18*U270</f>
        <v/>
      </c>
      <c r="U270" s="27">
        <f>MIN(1, S270/M270)</f>
        <v/>
      </c>
      <c r="V270" s="27">
        <f>N270/(N270+O270)</f>
        <v/>
      </c>
      <c r="W270" s="27">
        <f>U270*V270</f>
        <v/>
      </c>
      <c r="X270" s="25">
        <f>T270/N270</f>
        <v/>
      </c>
      <c r="Y270" s="28">
        <f>IF(W270=MAXIFS(W$2:W$3601, A$2:A$3601, A270, B$2:B$3601, B270), "OPTIMAL", "")</f>
        <v/>
      </c>
    </row>
    <row r="271" ht="20" customHeight="1">
      <c r="A271" s="29" t="n">
        <v>4</v>
      </c>
      <c r="B271" s="29" t="n">
        <v>25</v>
      </c>
      <c r="C271" s="30" t="n">
        <v>110</v>
      </c>
      <c r="D271" s="30" t="n">
        <v>3</v>
      </c>
      <c r="E271" s="6" t="n">
        <v>4</v>
      </c>
      <c r="F271" s="30" t="n">
        <v>2</v>
      </c>
      <c r="G271" s="6" t="inlineStr">
        <is>
          <t>Oui</t>
        </is>
      </c>
      <c r="H271" s="6" t="inlineStr">
        <is>
          <t>OFF</t>
        </is>
      </c>
      <c r="I271" s="31" t="n">
        <v>580.1183283215253</v>
      </c>
      <c r="J271" s="31" t="n">
        <v>1533.568798690708</v>
      </c>
      <c r="K271" s="31" t="n">
        <v>1407.407407407407</v>
      </c>
      <c r="L271" s="31" t="n">
        <v>150</v>
      </c>
      <c r="M271" s="31">
        <f>I271+J271+K271+L271</f>
        <v/>
      </c>
      <c r="N271" s="31">
        <f>M271*'Dashboard &amp; Optimisation'!$B$18/('Dashboard &amp; Optimisation'!$B$16/3.6)</f>
        <v/>
      </c>
      <c r="O271" s="31" t="n">
        <v>334.0297525306276</v>
      </c>
      <c r="P271" s="32" t="n">
        <v>0.286002519850184</v>
      </c>
      <c r="Q271" s="33" t="n">
        <v>8.223367961900347</v>
      </c>
      <c r="R271" s="31" t="n">
        <v>296.0238038025328</v>
      </c>
      <c r="S271" s="31">
        <f>R271*IF(A271=4, 2.0, 3.0)</f>
        <v/>
      </c>
      <c r="T271" s="30">
        <f>'Dashboard &amp; Optimisation'!$B$18*U271</f>
        <v/>
      </c>
      <c r="U271" s="34">
        <f>MIN(1, S271/M271)</f>
        <v/>
      </c>
      <c r="V271" s="34">
        <f>N271/(N271+O271)</f>
        <v/>
      </c>
      <c r="W271" s="34">
        <f>U271*V271</f>
        <v/>
      </c>
      <c r="X271" s="32">
        <f>T271/N271</f>
        <v/>
      </c>
      <c r="Y271" s="35">
        <f>IF(W271=MAXIFS(W$2:W$3601, A$2:A$3601, A271, B$2:B$3601, B271), "OPTIMAL", "")</f>
        <v/>
      </c>
    </row>
    <row r="272" ht="20" customHeight="1">
      <c r="A272" s="21" t="n">
        <v>4</v>
      </c>
      <c r="B272" s="21" t="n">
        <v>25</v>
      </c>
      <c r="C272" s="22" t="n">
        <v>110</v>
      </c>
      <c r="D272" s="22" t="n">
        <v>3</v>
      </c>
      <c r="E272" s="23" t="n">
        <v>4</v>
      </c>
      <c r="F272" s="22" t="n">
        <v>2</v>
      </c>
      <c r="G272" s="23" t="inlineStr">
        <is>
          <t>Non</t>
        </is>
      </c>
      <c r="H272" s="23" t="inlineStr">
        <is>
          <t>ON</t>
        </is>
      </c>
      <c r="I272" s="24" t="n">
        <v>580.1183283215253</v>
      </c>
      <c r="J272" s="24" t="n">
        <v>1533.568798690708</v>
      </c>
      <c r="K272" s="24" t="n">
        <v>1407.407407407407</v>
      </c>
      <c r="L272" s="24" t="n">
        <v>150</v>
      </c>
      <c r="M272" s="24">
        <f>I272+J272+K272+L272</f>
        <v/>
      </c>
      <c r="N272" s="24">
        <f>M272*'Dashboard &amp; Optimisation'!$B$18/('Dashboard &amp; Optimisation'!$B$16/3.6)</f>
        <v/>
      </c>
      <c r="O272" s="24" t="n">
        <v>334.0297525306276</v>
      </c>
      <c r="P272" s="25" t="n">
        <v>0.06456321316456097</v>
      </c>
      <c r="Q272" s="26" t="n">
        <v>8.223367961900347</v>
      </c>
      <c r="R272" s="24" t="n">
        <v>1311.328071720462</v>
      </c>
      <c r="S272" s="24">
        <f>R272*IF(A272=4, 2.0, 3.0)</f>
        <v/>
      </c>
      <c r="T272" s="22">
        <f>'Dashboard &amp; Optimisation'!$B$18*U272</f>
        <v/>
      </c>
      <c r="U272" s="27">
        <f>MIN(1, S272/M272)</f>
        <v/>
      </c>
      <c r="V272" s="27">
        <f>N272/(N272+O272)</f>
        <v/>
      </c>
      <c r="W272" s="27">
        <f>U272*V272</f>
        <v/>
      </c>
      <c r="X272" s="25">
        <f>T272/N272</f>
        <v/>
      </c>
      <c r="Y272" s="28">
        <f>IF(W272=MAXIFS(W$2:W$3601, A$2:A$3601, A272, B$2:B$3601, B272), "OPTIMAL", "")</f>
        <v/>
      </c>
    </row>
    <row r="273" ht="20" customHeight="1">
      <c r="A273" s="29" t="n">
        <v>4</v>
      </c>
      <c r="B273" s="29" t="n">
        <v>25</v>
      </c>
      <c r="C273" s="30" t="n">
        <v>110</v>
      </c>
      <c r="D273" s="30" t="n">
        <v>3</v>
      </c>
      <c r="E273" s="6" t="n">
        <v>4</v>
      </c>
      <c r="F273" s="30" t="n">
        <v>2</v>
      </c>
      <c r="G273" s="6" t="inlineStr">
        <is>
          <t>Non</t>
        </is>
      </c>
      <c r="H273" s="6" t="inlineStr">
        <is>
          <t>OFF</t>
        </is>
      </c>
      <c r="I273" s="31" t="n">
        <v>580.1183283215253</v>
      </c>
      <c r="J273" s="31" t="n">
        <v>1533.568798690708</v>
      </c>
      <c r="K273" s="31" t="n">
        <v>1407.407407407407</v>
      </c>
      <c r="L273" s="31" t="n">
        <v>150</v>
      </c>
      <c r="M273" s="31">
        <f>I273+J273+K273+L273</f>
        <v/>
      </c>
      <c r="N273" s="31">
        <f>M273*'Dashboard &amp; Optimisation'!$B$18/('Dashboard &amp; Optimisation'!$B$16/3.6)</f>
        <v/>
      </c>
      <c r="O273" s="31" t="n">
        <v>334.0297525306276</v>
      </c>
      <c r="P273" s="32" t="n">
        <v>0.2831087936121495</v>
      </c>
      <c r="Q273" s="33" t="n">
        <v>8.223367961900347</v>
      </c>
      <c r="R273" s="31" t="n">
        <v>299.0495376104332</v>
      </c>
      <c r="S273" s="31">
        <f>R273*IF(A273=4, 2.0, 3.0)</f>
        <v/>
      </c>
      <c r="T273" s="30">
        <f>'Dashboard &amp; Optimisation'!$B$18*U273</f>
        <v/>
      </c>
      <c r="U273" s="34">
        <f>MIN(1, S273/M273)</f>
        <v/>
      </c>
      <c r="V273" s="34">
        <f>N273/(N273+O273)</f>
        <v/>
      </c>
      <c r="W273" s="34">
        <f>U273*V273</f>
        <v/>
      </c>
      <c r="X273" s="32">
        <f>T273/N273</f>
        <v/>
      </c>
      <c r="Y273" s="35">
        <f>IF(W273=MAXIFS(W$2:W$3601, A$2:A$3601, A273, B$2:B$3601, B273), "OPTIMAL", "")</f>
        <v/>
      </c>
    </row>
    <row r="274" ht="20" customHeight="1">
      <c r="A274" s="21" t="n">
        <v>4</v>
      </c>
      <c r="B274" s="21" t="n">
        <v>25</v>
      </c>
      <c r="C274" s="22" t="n">
        <v>110</v>
      </c>
      <c r="D274" s="22" t="n">
        <v>3</v>
      </c>
      <c r="E274" s="23" t="n">
        <v>8</v>
      </c>
      <c r="F274" s="22" t="n">
        <v>1.5</v>
      </c>
      <c r="G274" s="23" t="inlineStr">
        <is>
          <t>Oui</t>
        </is>
      </c>
      <c r="H274" s="23" t="inlineStr">
        <is>
          <t>ON</t>
        </is>
      </c>
      <c r="I274" s="24" t="n">
        <v>580.1183283215253</v>
      </c>
      <c r="J274" s="24" t="n">
        <v>1533.568798690708</v>
      </c>
      <c r="K274" s="24" t="n">
        <v>1407.407407407407</v>
      </c>
      <c r="L274" s="24" t="n">
        <v>150</v>
      </c>
      <c r="M274" s="24">
        <f>I274+J274+K274+L274</f>
        <v/>
      </c>
      <c r="N274" s="24">
        <f>M274*'Dashboard &amp; Optimisation'!$B$18/('Dashboard &amp; Optimisation'!$B$16/3.6)</f>
        <v/>
      </c>
      <c r="O274" s="24" t="n">
        <v>393.8115227924006</v>
      </c>
      <c r="P274" s="25" t="n">
        <v>0.05337810813348487</v>
      </c>
      <c r="Q274" s="26" t="n">
        <v>12.23505194285052</v>
      </c>
      <c r="R274" s="24" t="n">
        <v>1619.119020638655</v>
      </c>
      <c r="S274" s="24">
        <f>R274*IF(A274=4, 2.0, 3.0)</f>
        <v/>
      </c>
      <c r="T274" s="22">
        <f>'Dashboard &amp; Optimisation'!$B$18*U274</f>
        <v/>
      </c>
      <c r="U274" s="27">
        <f>MIN(1, S274/M274)</f>
        <v/>
      </c>
      <c r="V274" s="27">
        <f>N274/(N274+O274)</f>
        <v/>
      </c>
      <c r="W274" s="27">
        <f>U274*V274</f>
        <v/>
      </c>
      <c r="X274" s="25">
        <f>T274/N274</f>
        <v/>
      </c>
      <c r="Y274" s="28">
        <f>IF(W274=MAXIFS(W$2:W$3601, A$2:A$3601, A274, B$2:B$3601, B274), "OPTIMAL", "")</f>
        <v/>
      </c>
    </row>
    <row r="275" ht="20" customHeight="1">
      <c r="A275" s="29" t="n">
        <v>4</v>
      </c>
      <c r="B275" s="29" t="n">
        <v>25</v>
      </c>
      <c r="C275" s="30" t="n">
        <v>110</v>
      </c>
      <c r="D275" s="30" t="n">
        <v>3</v>
      </c>
      <c r="E275" s="6" t="n">
        <v>8</v>
      </c>
      <c r="F275" s="30" t="n">
        <v>1.5</v>
      </c>
      <c r="G275" s="6" t="inlineStr">
        <is>
          <t>Oui</t>
        </is>
      </c>
      <c r="H275" s="6" t="inlineStr">
        <is>
          <t>OFF</t>
        </is>
      </c>
      <c r="I275" s="31" t="n">
        <v>580.1183283215253</v>
      </c>
      <c r="J275" s="31" t="n">
        <v>1533.568798690708</v>
      </c>
      <c r="K275" s="31" t="n">
        <v>1407.407407407407</v>
      </c>
      <c r="L275" s="31" t="n">
        <v>150</v>
      </c>
      <c r="M275" s="31">
        <f>I275+J275+K275+L275</f>
        <v/>
      </c>
      <c r="N275" s="31">
        <f>M275*'Dashboard &amp; Optimisation'!$B$18/('Dashboard &amp; Optimisation'!$B$16/3.6)</f>
        <v/>
      </c>
      <c r="O275" s="31" t="n">
        <v>393.8115227924006</v>
      </c>
      <c r="P275" s="32" t="n">
        <v>0.2277274271081772</v>
      </c>
      <c r="Q275" s="33" t="n">
        <v>12.23505194285052</v>
      </c>
      <c r="R275" s="31" t="n">
        <v>379.5129610083267</v>
      </c>
      <c r="S275" s="31">
        <f>R275*IF(A275=4, 2.0, 3.0)</f>
        <v/>
      </c>
      <c r="T275" s="30">
        <f>'Dashboard &amp; Optimisation'!$B$18*U275</f>
        <v/>
      </c>
      <c r="U275" s="34">
        <f>MIN(1, S275/M275)</f>
        <v/>
      </c>
      <c r="V275" s="34">
        <f>N275/(N275+O275)</f>
        <v/>
      </c>
      <c r="W275" s="34">
        <f>U275*V275</f>
        <v/>
      </c>
      <c r="X275" s="32">
        <f>T275/N275</f>
        <v/>
      </c>
      <c r="Y275" s="35">
        <f>IF(W275=MAXIFS(W$2:W$3601, A$2:A$3601, A275, B$2:B$3601, B275), "OPTIMAL", "")</f>
        <v/>
      </c>
    </row>
    <row r="276" ht="20" customHeight="1">
      <c r="A276" s="21" t="n">
        <v>4</v>
      </c>
      <c r="B276" s="21" t="n">
        <v>25</v>
      </c>
      <c r="C276" s="22" t="n">
        <v>110</v>
      </c>
      <c r="D276" s="22" t="n">
        <v>3</v>
      </c>
      <c r="E276" s="23" t="n">
        <v>8</v>
      </c>
      <c r="F276" s="22" t="n">
        <v>1.5</v>
      </c>
      <c r="G276" s="23" t="inlineStr">
        <is>
          <t>Non</t>
        </is>
      </c>
      <c r="H276" s="23" t="inlineStr">
        <is>
          <t>ON</t>
        </is>
      </c>
      <c r="I276" s="24" t="n">
        <v>580.1183283215253</v>
      </c>
      <c r="J276" s="24" t="n">
        <v>1533.568798690708</v>
      </c>
      <c r="K276" s="24" t="n">
        <v>1407.407407407407</v>
      </c>
      <c r="L276" s="24" t="n">
        <v>150</v>
      </c>
      <c r="M276" s="24">
        <f>I276+J276+K276+L276</f>
        <v/>
      </c>
      <c r="N276" s="24">
        <f>M276*'Dashboard &amp; Optimisation'!$B$18/('Dashboard &amp; Optimisation'!$B$16/3.6)</f>
        <v/>
      </c>
      <c r="O276" s="24" t="n">
        <v>393.8115227924006</v>
      </c>
      <c r="P276" s="25" t="n">
        <v>0.05048438189545042</v>
      </c>
      <c r="Q276" s="26" t="n">
        <v>12.23505194285052</v>
      </c>
      <c r="R276" s="24" t="n">
        <v>1711.925687108804</v>
      </c>
      <c r="S276" s="24">
        <f>R276*IF(A276=4, 2.0, 3.0)</f>
        <v/>
      </c>
      <c r="T276" s="22">
        <f>'Dashboard &amp; Optimisation'!$B$18*U276</f>
        <v/>
      </c>
      <c r="U276" s="27">
        <f>MIN(1, S276/M276)</f>
        <v/>
      </c>
      <c r="V276" s="27">
        <f>N276/(N276+O276)</f>
        <v/>
      </c>
      <c r="W276" s="27">
        <f>U276*V276</f>
        <v/>
      </c>
      <c r="X276" s="25">
        <f>T276/N276</f>
        <v/>
      </c>
      <c r="Y276" s="28">
        <f>IF(W276=MAXIFS(W$2:W$3601, A$2:A$3601, A276, B$2:B$3601, B276), "OPTIMAL", "")</f>
        <v/>
      </c>
    </row>
    <row r="277" ht="20" customHeight="1">
      <c r="A277" s="29" t="n">
        <v>4</v>
      </c>
      <c r="B277" s="29" t="n">
        <v>25</v>
      </c>
      <c r="C277" s="30" t="n">
        <v>110</v>
      </c>
      <c r="D277" s="30" t="n">
        <v>3</v>
      </c>
      <c r="E277" s="6" t="n">
        <v>8</v>
      </c>
      <c r="F277" s="30" t="n">
        <v>1.5</v>
      </c>
      <c r="G277" s="6" t="inlineStr">
        <is>
          <t>Non</t>
        </is>
      </c>
      <c r="H277" s="6" t="inlineStr">
        <is>
          <t>OFF</t>
        </is>
      </c>
      <c r="I277" s="31" t="n">
        <v>580.1183283215253</v>
      </c>
      <c r="J277" s="31" t="n">
        <v>1533.568798690708</v>
      </c>
      <c r="K277" s="31" t="n">
        <v>1407.407407407407</v>
      </c>
      <c r="L277" s="31" t="n">
        <v>150</v>
      </c>
      <c r="M277" s="31">
        <f>I277+J277+K277+L277</f>
        <v/>
      </c>
      <c r="N277" s="31">
        <f>M277*'Dashboard &amp; Optimisation'!$B$18/('Dashboard &amp; Optimisation'!$B$16/3.6)</f>
        <v/>
      </c>
      <c r="O277" s="31" t="n">
        <v>393.8115227924006</v>
      </c>
      <c r="P277" s="32" t="n">
        <v>0.2248337008701428</v>
      </c>
      <c r="Q277" s="33" t="n">
        <v>12.23505194285052</v>
      </c>
      <c r="R277" s="31" t="n">
        <v>384.3974894784524</v>
      </c>
      <c r="S277" s="31">
        <f>R277*IF(A277=4, 2.0, 3.0)</f>
        <v/>
      </c>
      <c r="T277" s="30">
        <f>'Dashboard &amp; Optimisation'!$B$18*U277</f>
        <v/>
      </c>
      <c r="U277" s="34">
        <f>MIN(1, S277/M277)</f>
        <v/>
      </c>
      <c r="V277" s="34">
        <f>N277/(N277+O277)</f>
        <v/>
      </c>
      <c r="W277" s="34">
        <f>U277*V277</f>
        <v/>
      </c>
      <c r="X277" s="32">
        <f>T277/N277</f>
        <v/>
      </c>
      <c r="Y277" s="35">
        <f>IF(W277=MAXIFS(W$2:W$3601, A$2:A$3601, A277, B$2:B$3601, B277), "OPTIMAL", "")</f>
        <v/>
      </c>
    </row>
    <row r="278" ht="20" customHeight="1">
      <c r="A278" s="21" t="n">
        <v>4</v>
      </c>
      <c r="B278" s="21" t="n">
        <v>25</v>
      </c>
      <c r="C278" s="22" t="n">
        <v>110</v>
      </c>
      <c r="D278" s="22" t="n">
        <v>3</v>
      </c>
      <c r="E278" s="23" t="n">
        <v>8</v>
      </c>
      <c r="F278" s="22" t="n">
        <v>2</v>
      </c>
      <c r="G278" s="23" t="inlineStr">
        <is>
          <t>Oui</t>
        </is>
      </c>
      <c r="H278" s="23" t="inlineStr">
        <is>
          <t>ON</t>
        </is>
      </c>
      <c r="I278" s="24" t="n">
        <v>580.1183283215253</v>
      </c>
      <c r="J278" s="24" t="n">
        <v>1533.568798690708</v>
      </c>
      <c r="K278" s="24" t="n">
        <v>1407.407407407407</v>
      </c>
      <c r="L278" s="24" t="n">
        <v>150</v>
      </c>
      <c r="M278" s="24">
        <f>I278+J278+K278+L278</f>
        <v/>
      </c>
      <c r="N278" s="24">
        <f>M278*'Dashboard &amp; Optimisation'!$B$18/('Dashboard &amp; Optimisation'!$B$16/3.6)</f>
        <v/>
      </c>
      <c r="O278" s="24" t="n">
        <v>456.1344472035944</v>
      </c>
      <c r="P278" s="25" t="n">
        <v>0.05199529928547215</v>
      </c>
      <c r="Q278" s="26" t="n">
        <v>16.2467359238007</v>
      </c>
      <c r="R278" s="24" t="n">
        <v>1697.506572804704</v>
      </c>
      <c r="S278" s="24">
        <f>R278*IF(A278=4, 2.0, 3.0)</f>
        <v/>
      </c>
      <c r="T278" s="22">
        <f>'Dashboard &amp; Optimisation'!$B$18*U278</f>
        <v/>
      </c>
      <c r="U278" s="27">
        <f>MIN(1, S278/M278)</f>
        <v/>
      </c>
      <c r="V278" s="27">
        <f>N278/(N278+O278)</f>
        <v/>
      </c>
      <c r="W278" s="27">
        <f>U278*V278</f>
        <v/>
      </c>
      <c r="X278" s="25">
        <f>T278/N278</f>
        <v/>
      </c>
      <c r="Y278" s="28">
        <f>IF(W278=MAXIFS(W$2:W$3601, A$2:A$3601, A278, B$2:B$3601, B278), "OPTIMAL", "")</f>
        <v/>
      </c>
    </row>
    <row r="279" ht="20" customHeight="1">
      <c r="A279" s="29" t="n">
        <v>4</v>
      </c>
      <c r="B279" s="29" t="n">
        <v>25</v>
      </c>
      <c r="C279" s="30" t="n">
        <v>110</v>
      </c>
      <c r="D279" s="30" t="n">
        <v>3</v>
      </c>
      <c r="E279" s="6" t="n">
        <v>8</v>
      </c>
      <c r="F279" s="30" t="n">
        <v>2</v>
      </c>
      <c r="G279" s="6" t="inlineStr">
        <is>
          <t>Oui</t>
        </is>
      </c>
      <c r="H279" s="6" t="inlineStr">
        <is>
          <t>OFF</t>
        </is>
      </c>
      <c r="I279" s="31" t="n">
        <v>580.1183283215253</v>
      </c>
      <c r="J279" s="31" t="n">
        <v>1533.568798690708</v>
      </c>
      <c r="K279" s="31" t="n">
        <v>1407.407407407407</v>
      </c>
      <c r="L279" s="31" t="n">
        <v>150</v>
      </c>
      <c r="M279" s="31">
        <f>I279+J279+K279+L279</f>
        <v/>
      </c>
      <c r="N279" s="31">
        <f>M279*'Dashboard &amp; Optimisation'!$B$18/('Dashboard &amp; Optimisation'!$B$16/3.6)</f>
        <v/>
      </c>
      <c r="O279" s="31" t="n">
        <v>456.1344472035944</v>
      </c>
      <c r="P279" s="32" t="n">
        <v>0.2275671766533254</v>
      </c>
      <c r="Q279" s="33" t="n">
        <v>16.2467359238007</v>
      </c>
      <c r="R279" s="31" t="n">
        <v>387.8519019748401</v>
      </c>
      <c r="S279" s="31">
        <f>R279*IF(A279=4, 2.0, 3.0)</f>
        <v/>
      </c>
      <c r="T279" s="30">
        <f>'Dashboard &amp; Optimisation'!$B$18*U279</f>
        <v/>
      </c>
      <c r="U279" s="34">
        <f>MIN(1, S279/M279)</f>
        <v/>
      </c>
      <c r="V279" s="34">
        <f>N279/(N279+O279)</f>
        <v/>
      </c>
      <c r="W279" s="34">
        <f>U279*V279</f>
        <v/>
      </c>
      <c r="X279" s="32">
        <f>T279/N279</f>
        <v/>
      </c>
      <c r="Y279" s="35">
        <f>IF(W279=MAXIFS(W$2:W$3601, A$2:A$3601, A279, B$2:B$3601, B279), "OPTIMAL", "")</f>
        <v/>
      </c>
    </row>
    <row r="280" ht="20" customHeight="1">
      <c r="A280" s="21" t="n">
        <v>4</v>
      </c>
      <c r="B280" s="21" t="n">
        <v>25</v>
      </c>
      <c r="C280" s="22" t="n">
        <v>110</v>
      </c>
      <c r="D280" s="22" t="n">
        <v>3</v>
      </c>
      <c r="E280" s="23" t="n">
        <v>8</v>
      </c>
      <c r="F280" s="22" t="n">
        <v>2</v>
      </c>
      <c r="G280" s="23" t="inlineStr">
        <is>
          <t>Non</t>
        </is>
      </c>
      <c r="H280" s="23" t="inlineStr">
        <is>
          <t>ON</t>
        </is>
      </c>
      <c r="I280" s="24" t="n">
        <v>580.1183283215253</v>
      </c>
      <c r="J280" s="24" t="n">
        <v>1533.568798690708</v>
      </c>
      <c r="K280" s="24" t="n">
        <v>1407.407407407407</v>
      </c>
      <c r="L280" s="24" t="n">
        <v>150</v>
      </c>
      <c r="M280" s="24">
        <f>I280+J280+K280+L280</f>
        <v/>
      </c>
      <c r="N280" s="24">
        <f>M280*'Dashboard &amp; Optimisation'!$B$18/('Dashboard &amp; Optimisation'!$B$16/3.6)</f>
        <v/>
      </c>
      <c r="O280" s="24" t="n">
        <v>456.1344472035944</v>
      </c>
      <c r="P280" s="25" t="n">
        <v>0.04910157304743769</v>
      </c>
      <c r="Q280" s="26" t="n">
        <v>16.2467359238007</v>
      </c>
      <c r="R280" s="24" t="n">
        <v>1797.546530877233</v>
      </c>
      <c r="S280" s="24">
        <f>R280*IF(A280=4, 2.0, 3.0)</f>
        <v/>
      </c>
      <c r="T280" s="22">
        <f>'Dashboard &amp; Optimisation'!$B$18*U280</f>
        <v/>
      </c>
      <c r="U280" s="27">
        <f>MIN(1, S280/M280)</f>
        <v/>
      </c>
      <c r="V280" s="27">
        <f>N280/(N280+O280)</f>
        <v/>
      </c>
      <c r="W280" s="27">
        <f>U280*V280</f>
        <v/>
      </c>
      <c r="X280" s="25">
        <f>T280/N280</f>
        <v/>
      </c>
      <c r="Y280" s="28">
        <f>IF(W280=MAXIFS(W$2:W$3601, A$2:A$3601, A280, B$2:B$3601, B280), "OPTIMAL", "")</f>
        <v/>
      </c>
    </row>
    <row r="281" ht="20" customHeight="1">
      <c r="A281" s="29" t="n">
        <v>4</v>
      </c>
      <c r="B281" s="29" t="n">
        <v>25</v>
      </c>
      <c r="C281" s="30" t="n">
        <v>110</v>
      </c>
      <c r="D281" s="30" t="n">
        <v>3</v>
      </c>
      <c r="E281" s="6" t="n">
        <v>8</v>
      </c>
      <c r="F281" s="30" t="n">
        <v>2</v>
      </c>
      <c r="G281" s="6" t="inlineStr">
        <is>
          <t>Non</t>
        </is>
      </c>
      <c r="H281" s="6" t="inlineStr">
        <is>
          <t>OFF</t>
        </is>
      </c>
      <c r="I281" s="31" t="n">
        <v>580.1183283215253</v>
      </c>
      <c r="J281" s="31" t="n">
        <v>1533.568798690708</v>
      </c>
      <c r="K281" s="31" t="n">
        <v>1407.407407407407</v>
      </c>
      <c r="L281" s="31" t="n">
        <v>150</v>
      </c>
      <c r="M281" s="31">
        <f>I281+J281+K281+L281</f>
        <v/>
      </c>
      <c r="N281" s="31">
        <f>M281*'Dashboard &amp; Optimisation'!$B$18/('Dashboard &amp; Optimisation'!$B$16/3.6)</f>
        <v/>
      </c>
      <c r="O281" s="31" t="n">
        <v>456.1344472035944</v>
      </c>
      <c r="P281" s="32" t="n">
        <v>0.2246734504152909</v>
      </c>
      <c r="Q281" s="33" t="n">
        <v>16.2467359238007</v>
      </c>
      <c r="R281" s="31" t="n">
        <v>392.8473174239803</v>
      </c>
      <c r="S281" s="31">
        <f>R281*IF(A281=4, 2.0, 3.0)</f>
        <v/>
      </c>
      <c r="T281" s="30">
        <f>'Dashboard &amp; Optimisation'!$B$18*U281</f>
        <v/>
      </c>
      <c r="U281" s="34">
        <f>MIN(1, S281/M281)</f>
        <v/>
      </c>
      <c r="V281" s="34">
        <f>N281/(N281+O281)</f>
        <v/>
      </c>
      <c r="W281" s="34">
        <f>U281*V281</f>
        <v/>
      </c>
      <c r="X281" s="32">
        <f>T281/N281</f>
        <v/>
      </c>
      <c r="Y281" s="35">
        <f>IF(W281=MAXIFS(W$2:W$3601, A$2:A$3601, A281, B$2:B$3601, B281), "OPTIMAL", "")</f>
        <v/>
      </c>
    </row>
    <row r="282" ht="20" customHeight="1">
      <c r="A282" s="21" t="n">
        <v>4</v>
      </c>
      <c r="B282" s="21" t="n">
        <v>25</v>
      </c>
      <c r="C282" s="22" t="n">
        <v>115</v>
      </c>
      <c r="D282" s="22" t="n">
        <v>2</v>
      </c>
      <c r="E282" s="23" t="n">
        <v>0</v>
      </c>
      <c r="F282" s="22" t="n">
        <v>0</v>
      </c>
      <c r="G282" s="23" t="inlineStr">
        <is>
          <t>Oui</t>
        </is>
      </c>
      <c r="H282" s="23" t="inlineStr">
        <is>
          <t>ON</t>
        </is>
      </c>
      <c r="I282" s="24" t="n">
        <v>580.1183283215253</v>
      </c>
      <c r="J282" s="24" t="n">
        <v>1533.568798690708</v>
      </c>
      <c r="K282" s="24" t="n">
        <v>1407.407407407407</v>
      </c>
      <c r="L282" s="24" t="n">
        <v>150</v>
      </c>
      <c r="M282" s="24">
        <f>I282+J282+K282+L282</f>
        <v/>
      </c>
      <c r="N282" s="24">
        <f>M282*'Dashboard &amp; Optimisation'!$B$18/('Dashboard &amp; Optimisation'!$B$16/3.6)</f>
        <v/>
      </c>
      <c r="O282" s="24" t="n">
        <v>136.8935109676768</v>
      </c>
      <c r="P282" s="25" t="n">
        <v>0.4698805559653013</v>
      </c>
      <c r="Q282" s="26" t="n">
        <v>0.2</v>
      </c>
      <c r="R282" s="24" t="n">
        <v>151.9754059878804</v>
      </c>
      <c r="S282" s="24">
        <f>R282*IF(A282=4, 2.0, 3.0)</f>
        <v/>
      </c>
      <c r="T282" s="22">
        <f>'Dashboard &amp; Optimisation'!$B$18*U282</f>
        <v/>
      </c>
      <c r="U282" s="27">
        <f>MIN(1, S282/M282)</f>
        <v/>
      </c>
      <c r="V282" s="27">
        <f>N282/(N282+O282)</f>
        <v/>
      </c>
      <c r="W282" s="27">
        <f>U282*V282</f>
        <v/>
      </c>
      <c r="X282" s="25">
        <f>T282/N282</f>
        <v/>
      </c>
      <c r="Y282" s="28">
        <f>IF(W282=MAXIFS(W$2:W$3601, A$2:A$3601, A282, B$2:B$3601, B282), "OPTIMAL", "")</f>
        <v/>
      </c>
    </row>
    <row r="283" ht="20" customHeight="1">
      <c r="A283" s="29" t="n">
        <v>4</v>
      </c>
      <c r="B283" s="29" t="n">
        <v>25</v>
      </c>
      <c r="C283" s="30" t="n">
        <v>115</v>
      </c>
      <c r="D283" s="30" t="n">
        <v>2</v>
      </c>
      <c r="E283" s="6" t="n">
        <v>0</v>
      </c>
      <c r="F283" s="30" t="n">
        <v>0</v>
      </c>
      <c r="G283" s="6" t="inlineStr">
        <is>
          <t>Oui</t>
        </is>
      </c>
      <c r="H283" s="6" t="inlineStr">
        <is>
          <t>OFF</t>
        </is>
      </c>
      <c r="I283" s="31" t="n">
        <v>580.1183283215253</v>
      </c>
      <c r="J283" s="31" t="n">
        <v>1533.568798690708</v>
      </c>
      <c r="K283" s="31" t="n">
        <v>1407.407407407407</v>
      </c>
      <c r="L283" s="31" t="n">
        <v>150</v>
      </c>
      <c r="M283" s="31">
        <f>I283+J283+K283+L283</f>
        <v/>
      </c>
      <c r="N283" s="31">
        <f>M283*'Dashboard &amp; Optimisation'!$B$18/('Dashboard &amp; Optimisation'!$B$16/3.6)</f>
        <v/>
      </c>
      <c r="O283" s="31" t="n">
        <v>136.8935109676768</v>
      </c>
      <c r="P283" s="32" t="n">
        <v>0.7466717613425105</v>
      </c>
      <c r="Q283" s="33" t="n">
        <v>0.2</v>
      </c>
      <c r="R283" s="31" t="n">
        <v>95.63812635721277</v>
      </c>
      <c r="S283" s="31">
        <f>R283*IF(A283=4, 2.0, 3.0)</f>
        <v/>
      </c>
      <c r="T283" s="30">
        <f>'Dashboard &amp; Optimisation'!$B$18*U283</f>
        <v/>
      </c>
      <c r="U283" s="34">
        <f>MIN(1, S283/M283)</f>
        <v/>
      </c>
      <c r="V283" s="34">
        <f>N283/(N283+O283)</f>
        <v/>
      </c>
      <c r="W283" s="34">
        <f>U283*V283</f>
        <v/>
      </c>
      <c r="X283" s="32">
        <f>T283/N283</f>
        <v/>
      </c>
      <c r="Y283" s="35">
        <f>IF(W283=MAXIFS(W$2:W$3601, A$2:A$3601, A283, B$2:B$3601, B283), "OPTIMAL", "")</f>
        <v/>
      </c>
    </row>
    <row r="284" ht="20" customHeight="1">
      <c r="A284" s="21" t="n">
        <v>4</v>
      </c>
      <c r="B284" s="21" t="n">
        <v>25</v>
      </c>
      <c r="C284" s="22" t="n">
        <v>115</v>
      </c>
      <c r="D284" s="22" t="n">
        <v>2</v>
      </c>
      <c r="E284" s="23" t="n">
        <v>0</v>
      </c>
      <c r="F284" s="22" t="n">
        <v>0</v>
      </c>
      <c r="G284" s="23" t="inlineStr">
        <is>
          <t>Non</t>
        </is>
      </c>
      <c r="H284" s="23" t="inlineStr">
        <is>
          <t>ON</t>
        </is>
      </c>
      <c r="I284" s="24" t="n">
        <v>580.1183283215253</v>
      </c>
      <c r="J284" s="24" t="n">
        <v>1533.568798690708</v>
      </c>
      <c r="K284" s="24" t="n">
        <v>1407.407407407407</v>
      </c>
      <c r="L284" s="24" t="n">
        <v>150</v>
      </c>
      <c r="M284" s="24">
        <f>I284+J284+K284+L284</f>
        <v/>
      </c>
      <c r="N284" s="24">
        <f>M284*'Dashboard &amp; Optimisation'!$B$18/('Dashboard &amp; Optimisation'!$B$16/3.6)</f>
        <v/>
      </c>
      <c r="O284" s="24" t="n">
        <v>136.8935109676768</v>
      </c>
      <c r="P284" s="25" t="n">
        <v>0.4671126439115292</v>
      </c>
      <c r="Q284" s="26" t="n">
        <v>0.2</v>
      </c>
      <c r="R284" s="24" t="n">
        <v>152.8759479954533</v>
      </c>
      <c r="S284" s="24">
        <f>R284*IF(A284=4, 2.0, 3.0)</f>
        <v/>
      </c>
      <c r="T284" s="22">
        <f>'Dashboard &amp; Optimisation'!$B$18*U284</f>
        <v/>
      </c>
      <c r="U284" s="27">
        <f>MIN(1, S284/M284)</f>
        <v/>
      </c>
      <c r="V284" s="27">
        <f>N284/(N284+O284)</f>
        <v/>
      </c>
      <c r="W284" s="27">
        <f>U284*V284</f>
        <v/>
      </c>
      <c r="X284" s="25">
        <f>T284/N284</f>
        <v/>
      </c>
      <c r="Y284" s="28">
        <f>IF(W284=MAXIFS(W$2:W$3601, A$2:A$3601, A284, B$2:B$3601, B284), "OPTIMAL", "")</f>
        <v/>
      </c>
    </row>
    <row r="285" ht="20" customHeight="1">
      <c r="A285" s="29" t="n">
        <v>4</v>
      </c>
      <c r="B285" s="29" t="n">
        <v>25</v>
      </c>
      <c r="C285" s="30" t="n">
        <v>115</v>
      </c>
      <c r="D285" s="30" t="n">
        <v>2</v>
      </c>
      <c r="E285" s="6" t="n">
        <v>0</v>
      </c>
      <c r="F285" s="30" t="n">
        <v>0</v>
      </c>
      <c r="G285" s="6" t="inlineStr">
        <is>
          <t>Non</t>
        </is>
      </c>
      <c r="H285" s="6" t="inlineStr">
        <is>
          <t>OFF</t>
        </is>
      </c>
      <c r="I285" s="31" t="n">
        <v>580.1183283215253</v>
      </c>
      <c r="J285" s="31" t="n">
        <v>1533.568798690708</v>
      </c>
      <c r="K285" s="31" t="n">
        <v>1407.407407407407</v>
      </c>
      <c r="L285" s="31" t="n">
        <v>150</v>
      </c>
      <c r="M285" s="31">
        <f>I285+J285+K285+L285</f>
        <v/>
      </c>
      <c r="N285" s="31">
        <f>M285*'Dashboard &amp; Optimisation'!$B$18/('Dashboard &amp; Optimisation'!$B$16/3.6)</f>
        <v/>
      </c>
      <c r="O285" s="31" t="n">
        <v>136.8935109676768</v>
      </c>
      <c r="P285" s="32" t="n">
        <v>0.7439038492887384</v>
      </c>
      <c r="Q285" s="33" t="n">
        <v>0.2</v>
      </c>
      <c r="R285" s="31" t="n">
        <v>95.99397600498298</v>
      </c>
      <c r="S285" s="31">
        <f>R285*IF(A285=4, 2.0, 3.0)</f>
        <v/>
      </c>
      <c r="T285" s="30">
        <f>'Dashboard &amp; Optimisation'!$B$18*U285</f>
        <v/>
      </c>
      <c r="U285" s="34">
        <f>MIN(1, S285/M285)</f>
        <v/>
      </c>
      <c r="V285" s="34">
        <f>N285/(N285+O285)</f>
        <v/>
      </c>
      <c r="W285" s="34">
        <f>U285*V285</f>
        <v/>
      </c>
      <c r="X285" s="32">
        <f>T285/N285</f>
        <v/>
      </c>
      <c r="Y285" s="35">
        <f>IF(W285=MAXIFS(W$2:W$3601, A$2:A$3601, A285, B$2:B$3601, B285), "OPTIMAL", "")</f>
        <v/>
      </c>
    </row>
    <row r="286" ht="20" customHeight="1">
      <c r="A286" s="21" t="n">
        <v>4</v>
      </c>
      <c r="B286" s="21" t="n">
        <v>25</v>
      </c>
      <c r="C286" s="22" t="n">
        <v>115</v>
      </c>
      <c r="D286" s="22" t="n">
        <v>2</v>
      </c>
      <c r="E286" s="23" t="n">
        <v>4</v>
      </c>
      <c r="F286" s="22" t="n">
        <v>1.5</v>
      </c>
      <c r="G286" s="23" t="inlineStr">
        <is>
          <t>Oui</t>
        </is>
      </c>
      <c r="H286" s="23" t="inlineStr">
        <is>
          <t>ON</t>
        </is>
      </c>
      <c r="I286" s="24" t="n">
        <v>580.1183283215253</v>
      </c>
      <c r="J286" s="24" t="n">
        <v>1533.568798690708</v>
      </c>
      <c r="K286" s="24" t="n">
        <v>1407.407407407407</v>
      </c>
      <c r="L286" s="24" t="n">
        <v>150</v>
      </c>
      <c r="M286" s="24">
        <f>I286+J286+K286+L286</f>
        <v/>
      </c>
      <c r="N286" s="24">
        <f>M286*'Dashboard &amp; Optimisation'!$B$18/('Dashboard &amp; Optimisation'!$B$16/3.6)</f>
        <v/>
      </c>
      <c r="O286" s="24" t="n">
        <v>211.4307878019323</v>
      </c>
      <c r="P286" s="25" t="n">
        <v>0.06928089920961758</v>
      </c>
      <c r="Q286" s="26" t="n">
        <v>5.838042351605651</v>
      </c>
      <c r="R286" s="24" t="n">
        <v>1059.914506486769</v>
      </c>
      <c r="S286" s="24">
        <f>R286*IF(A286=4, 2.0, 3.0)</f>
        <v/>
      </c>
      <c r="T286" s="22">
        <f>'Dashboard &amp; Optimisation'!$B$18*U286</f>
        <v/>
      </c>
      <c r="U286" s="27">
        <f>MIN(1, S286/M286)</f>
        <v/>
      </c>
      <c r="V286" s="27">
        <f>N286/(N286+O286)</f>
        <v/>
      </c>
      <c r="W286" s="27">
        <f>U286*V286</f>
        <v/>
      </c>
      <c r="X286" s="25">
        <f>T286/N286</f>
        <v/>
      </c>
      <c r="Y286" s="28">
        <f>IF(W286=MAXIFS(W$2:W$3601, A$2:A$3601, A286, B$2:B$3601, B286), "OPTIMAL", "")</f>
        <v/>
      </c>
    </row>
    <row r="287" ht="20" customHeight="1">
      <c r="A287" s="29" t="n">
        <v>4</v>
      </c>
      <c r="B287" s="29" t="n">
        <v>25</v>
      </c>
      <c r="C287" s="30" t="n">
        <v>115</v>
      </c>
      <c r="D287" s="30" t="n">
        <v>2</v>
      </c>
      <c r="E287" s="6" t="n">
        <v>4</v>
      </c>
      <c r="F287" s="30" t="n">
        <v>1.5</v>
      </c>
      <c r="G287" s="6" t="inlineStr">
        <is>
          <t>Oui</t>
        </is>
      </c>
      <c r="H287" s="6" t="inlineStr">
        <is>
          <t>OFF</t>
        </is>
      </c>
      <c r="I287" s="31" t="n">
        <v>580.1183283215253</v>
      </c>
      <c r="J287" s="31" t="n">
        <v>1533.568798690708</v>
      </c>
      <c r="K287" s="31" t="n">
        <v>1407.407407407407</v>
      </c>
      <c r="L287" s="31" t="n">
        <v>150</v>
      </c>
      <c r="M287" s="31">
        <f>I287+J287+K287+L287</f>
        <v/>
      </c>
      <c r="N287" s="31">
        <f>M287*'Dashboard &amp; Optimisation'!$B$18/('Dashboard &amp; Optimisation'!$B$16/3.6)</f>
        <v/>
      </c>
      <c r="O287" s="31" t="n">
        <v>211.4307878019323</v>
      </c>
      <c r="P287" s="32" t="n">
        <v>0.2796855393519176</v>
      </c>
      <c r="Q287" s="33" t="n">
        <v>5.838042351605651</v>
      </c>
      <c r="R287" s="31" t="n">
        <v>262.5514006368592</v>
      </c>
      <c r="S287" s="31">
        <f>R287*IF(A287=4, 2.0, 3.0)</f>
        <v/>
      </c>
      <c r="T287" s="30">
        <f>'Dashboard &amp; Optimisation'!$B$18*U287</f>
        <v/>
      </c>
      <c r="U287" s="34">
        <f>MIN(1, S287/M287)</f>
        <v/>
      </c>
      <c r="V287" s="34">
        <f>N287/(N287+O287)</f>
        <v/>
      </c>
      <c r="W287" s="34">
        <f>U287*V287</f>
        <v/>
      </c>
      <c r="X287" s="32">
        <f>T287/N287</f>
        <v/>
      </c>
      <c r="Y287" s="35">
        <f>IF(W287=MAXIFS(W$2:W$3601, A$2:A$3601, A287, B$2:B$3601, B287), "OPTIMAL", "")</f>
        <v/>
      </c>
    </row>
    <row r="288" ht="20" customHeight="1">
      <c r="A288" s="21" t="n">
        <v>4</v>
      </c>
      <c r="B288" s="21" t="n">
        <v>25</v>
      </c>
      <c r="C288" s="22" t="n">
        <v>115</v>
      </c>
      <c r="D288" s="22" t="n">
        <v>2</v>
      </c>
      <c r="E288" s="23" t="n">
        <v>4</v>
      </c>
      <c r="F288" s="22" t="n">
        <v>1.5</v>
      </c>
      <c r="G288" s="23" t="inlineStr">
        <is>
          <t>Non</t>
        </is>
      </c>
      <c r="H288" s="23" t="inlineStr">
        <is>
          <t>ON</t>
        </is>
      </c>
      <c r="I288" s="24" t="n">
        <v>580.1183283215253</v>
      </c>
      <c r="J288" s="24" t="n">
        <v>1533.568798690708</v>
      </c>
      <c r="K288" s="24" t="n">
        <v>1407.407407407407</v>
      </c>
      <c r="L288" s="24" t="n">
        <v>150</v>
      </c>
      <c r="M288" s="24">
        <f>I288+J288+K288+L288</f>
        <v/>
      </c>
      <c r="N288" s="24">
        <f>M288*'Dashboard &amp; Optimisation'!$B$18/('Dashboard &amp; Optimisation'!$B$16/3.6)</f>
        <v/>
      </c>
      <c r="O288" s="24" t="n">
        <v>211.4307878019323</v>
      </c>
      <c r="P288" s="25" t="n">
        <v>0.06651298715584548</v>
      </c>
      <c r="Q288" s="26" t="n">
        <v>5.838042351605651</v>
      </c>
      <c r="R288" s="24" t="n">
        <v>1104.022435838951</v>
      </c>
      <c r="S288" s="24">
        <f>R288*IF(A288=4, 2.0, 3.0)</f>
        <v/>
      </c>
      <c r="T288" s="22">
        <f>'Dashboard &amp; Optimisation'!$B$18*U288</f>
        <v/>
      </c>
      <c r="U288" s="27">
        <f>MIN(1, S288/M288)</f>
        <v/>
      </c>
      <c r="V288" s="27">
        <f>N288/(N288+O288)</f>
        <v/>
      </c>
      <c r="W288" s="27">
        <f>U288*V288</f>
        <v/>
      </c>
      <c r="X288" s="25">
        <f>T288/N288</f>
        <v/>
      </c>
      <c r="Y288" s="28">
        <f>IF(W288=MAXIFS(W$2:W$3601, A$2:A$3601, A288, B$2:B$3601, B288), "OPTIMAL", "")</f>
        <v/>
      </c>
    </row>
    <row r="289" ht="20" customHeight="1">
      <c r="A289" s="29" t="n">
        <v>4</v>
      </c>
      <c r="B289" s="29" t="n">
        <v>25</v>
      </c>
      <c r="C289" s="30" t="n">
        <v>115</v>
      </c>
      <c r="D289" s="30" t="n">
        <v>2</v>
      </c>
      <c r="E289" s="6" t="n">
        <v>4</v>
      </c>
      <c r="F289" s="30" t="n">
        <v>1.5</v>
      </c>
      <c r="G289" s="6" t="inlineStr">
        <is>
          <t>Non</t>
        </is>
      </c>
      <c r="H289" s="6" t="inlineStr">
        <is>
          <t>OFF</t>
        </is>
      </c>
      <c r="I289" s="31" t="n">
        <v>580.1183283215253</v>
      </c>
      <c r="J289" s="31" t="n">
        <v>1533.568798690708</v>
      </c>
      <c r="K289" s="31" t="n">
        <v>1407.407407407407</v>
      </c>
      <c r="L289" s="31" t="n">
        <v>150</v>
      </c>
      <c r="M289" s="31">
        <f>I289+J289+K289+L289</f>
        <v/>
      </c>
      <c r="N289" s="31">
        <f>M289*'Dashboard &amp; Optimisation'!$B$18/('Dashboard &amp; Optimisation'!$B$16/3.6)</f>
        <v/>
      </c>
      <c r="O289" s="31" t="n">
        <v>211.4307878019323</v>
      </c>
      <c r="P289" s="32" t="n">
        <v>0.2769176272981455</v>
      </c>
      <c r="Q289" s="33" t="n">
        <v>5.838042351605651</v>
      </c>
      <c r="R289" s="31" t="n">
        <v>265.1757160105248</v>
      </c>
      <c r="S289" s="31">
        <f>R289*IF(A289=4, 2.0, 3.0)</f>
        <v/>
      </c>
      <c r="T289" s="30">
        <f>'Dashboard &amp; Optimisation'!$B$18*U289</f>
        <v/>
      </c>
      <c r="U289" s="34">
        <f>MIN(1, S289/M289)</f>
        <v/>
      </c>
      <c r="V289" s="34">
        <f>N289/(N289+O289)</f>
        <v/>
      </c>
      <c r="W289" s="34">
        <f>U289*V289</f>
        <v/>
      </c>
      <c r="X289" s="32">
        <f>T289/N289</f>
        <v/>
      </c>
      <c r="Y289" s="35">
        <f>IF(W289=MAXIFS(W$2:W$3601, A$2:A$3601, A289, B$2:B$3601, B289), "OPTIMAL", "")</f>
        <v/>
      </c>
    </row>
    <row r="290" ht="20" customHeight="1">
      <c r="A290" s="21" t="n">
        <v>4</v>
      </c>
      <c r="B290" s="21" t="n">
        <v>25</v>
      </c>
      <c r="C290" s="22" t="n">
        <v>115</v>
      </c>
      <c r="D290" s="22" t="n">
        <v>2</v>
      </c>
      <c r="E290" s="23" t="n">
        <v>4</v>
      </c>
      <c r="F290" s="22" t="n">
        <v>2</v>
      </c>
      <c r="G290" s="23" t="inlineStr">
        <is>
          <t>Oui</t>
        </is>
      </c>
      <c r="H290" s="23" t="inlineStr">
        <is>
          <t>ON</t>
        </is>
      </c>
      <c r="I290" s="24" t="n">
        <v>580.1183283215253</v>
      </c>
      <c r="J290" s="24" t="n">
        <v>1533.568798690708</v>
      </c>
      <c r="K290" s="24" t="n">
        <v>1407.407407407407</v>
      </c>
      <c r="L290" s="24" t="n">
        <v>150</v>
      </c>
      <c r="M290" s="24">
        <f>I290+J290+K290+L290</f>
        <v/>
      </c>
      <c r="N290" s="24">
        <f>M290*'Dashboard &amp; Optimisation'!$B$18/('Dashboard &amp; Optimisation'!$B$16/3.6)</f>
        <v/>
      </c>
      <c r="O290" s="24" t="n">
        <v>237.223286323631</v>
      </c>
      <c r="P290" s="25" t="n">
        <v>0.06612266589584477</v>
      </c>
      <c r="Q290" s="26" t="n">
        <v>7.717389802140867</v>
      </c>
      <c r="R290" s="24" t="n">
        <v>1121.118652746649</v>
      </c>
      <c r="S290" s="24">
        <f>R290*IF(A290=4, 2.0, 3.0)</f>
        <v/>
      </c>
      <c r="T290" s="22">
        <f>'Dashboard &amp; Optimisation'!$B$18*U290</f>
        <v/>
      </c>
      <c r="U290" s="27">
        <f>MIN(1, S290/M290)</f>
        <v/>
      </c>
      <c r="V290" s="27">
        <f>N290/(N290+O290)</f>
        <v/>
      </c>
      <c r="W290" s="27">
        <f>U290*V290</f>
        <v/>
      </c>
      <c r="X290" s="25">
        <f>T290/N290</f>
        <v/>
      </c>
      <c r="Y290" s="28">
        <f>IF(W290=MAXIFS(W$2:W$3601, A$2:A$3601, A290, B$2:B$3601, B290), "OPTIMAL", "")</f>
        <v/>
      </c>
    </row>
    <row r="291" ht="20" customHeight="1">
      <c r="A291" s="29" t="n">
        <v>4</v>
      </c>
      <c r="B291" s="29" t="n">
        <v>25</v>
      </c>
      <c r="C291" s="30" t="n">
        <v>115</v>
      </c>
      <c r="D291" s="30" t="n">
        <v>2</v>
      </c>
      <c r="E291" s="6" t="n">
        <v>4</v>
      </c>
      <c r="F291" s="30" t="n">
        <v>2</v>
      </c>
      <c r="G291" s="6" t="inlineStr">
        <is>
          <t>Oui</t>
        </is>
      </c>
      <c r="H291" s="6" t="inlineStr">
        <is>
          <t>OFF</t>
        </is>
      </c>
      <c r="I291" s="31" t="n">
        <v>580.1183283215253</v>
      </c>
      <c r="J291" s="31" t="n">
        <v>1533.568798690708</v>
      </c>
      <c r="K291" s="31" t="n">
        <v>1407.407407407407</v>
      </c>
      <c r="L291" s="31" t="n">
        <v>150</v>
      </c>
      <c r="M291" s="31">
        <f>I291+J291+K291+L291</f>
        <v/>
      </c>
      <c r="N291" s="31">
        <f>M291*'Dashboard &amp; Optimisation'!$B$18/('Dashboard &amp; Optimisation'!$B$16/3.6)</f>
        <v/>
      </c>
      <c r="O291" s="31" t="n">
        <v>237.223286323631</v>
      </c>
      <c r="P291" s="32" t="n">
        <v>0.2774148058870663</v>
      </c>
      <c r="Q291" s="33" t="n">
        <v>7.717389802140867</v>
      </c>
      <c r="R291" s="31" t="n">
        <v>267.2220535170162</v>
      </c>
      <c r="S291" s="31">
        <f>R291*IF(A291=4, 2.0, 3.0)</f>
        <v/>
      </c>
      <c r="T291" s="30">
        <f>'Dashboard &amp; Optimisation'!$B$18*U291</f>
        <v/>
      </c>
      <c r="U291" s="34">
        <f>MIN(1, S291/M291)</f>
        <v/>
      </c>
      <c r="V291" s="34">
        <f>N291/(N291+O291)</f>
        <v/>
      </c>
      <c r="W291" s="34">
        <f>U291*V291</f>
        <v/>
      </c>
      <c r="X291" s="32">
        <f>T291/N291</f>
        <v/>
      </c>
      <c r="Y291" s="35">
        <f>IF(W291=MAXIFS(W$2:W$3601, A$2:A$3601, A291, B$2:B$3601, B291), "OPTIMAL", "")</f>
        <v/>
      </c>
    </row>
    <row r="292" ht="20" customHeight="1">
      <c r="A292" s="21" t="n">
        <v>4</v>
      </c>
      <c r="B292" s="21" t="n">
        <v>25</v>
      </c>
      <c r="C292" s="22" t="n">
        <v>115</v>
      </c>
      <c r="D292" s="22" t="n">
        <v>2</v>
      </c>
      <c r="E292" s="23" t="n">
        <v>4</v>
      </c>
      <c r="F292" s="22" t="n">
        <v>2</v>
      </c>
      <c r="G292" s="23" t="inlineStr">
        <is>
          <t>Non</t>
        </is>
      </c>
      <c r="H292" s="23" t="inlineStr">
        <is>
          <t>ON</t>
        </is>
      </c>
      <c r="I292" s="24" t="n">
        <v>580.1183283215253</v>
      </c>
      <c r="J292" s="24" t="n">
        <v>1533.568798690708</v>
      </c>
      <c r="K292" s="24" t="n">
        <v>1407.407407407407</v>
      </c>
      <c r="L292" s="24" t="n">
        <v>150</v>
      </c>
      <c r="M292" s="24">
        <f>I292+J292+K292+L292</f>
        <v/>
      </c>
      <c r="N292" s="24">
        <f>M292*'Dashboard &amp; Optimisation'!$B$18/('Dashboard &amp; Optimisation'!$B$16/3.6)</f>
        <v/>
      </c>
      <c r="O292" s="24" t="n">
        <v>237.223286323631</v>
      </c>
      <c r="P292" s="25" t="n">
        <v>0.06335475384207268</v>
      </c>
      <c r="Q292" s="26" t="n">
        <v>7.717389802140867</v>
      </c>
      <c r="R292" s="24" t="n">
        <v>1170.099315513986</v>
      </c>
      <c r="S292" s="24">
        <f>R292*IF(A292=4, 2.0, 3.0)</f>
        <v/>
      </c>
      <c r="T292" s="22">
        <f>'Dashboard &amp; Optimisation'!$B$18*U292</f>
        <v/>
      </c>
      <c r="U292" s="27">
        <f>MIN(1, S292/M292)</f>
        <v/>
      </c>
      <c r="V292" s="27">
        <f>N292/(N292+O292)</f>
        <v/>
      </c>
      <c r="W292" s="27">
        <f>U292*V292</f>
        <v/>
      </c>
      <c r="X292" s="25">
        <f>T292/N292</f>
        <v/>
      </c>
      <c r="Y292" s="28">
        <f>IF(W292=MAXIFS(W$2:W$3601, A$2:A$3601, A292, B$2:B$3601, B292), "OPTIMAL", "")</f>
        <v/>
      </c>
    </row>
    <row r="293" ht="20" customHeight="1">
      <c r="A293" s="29" t="n">
        <v>4</v>
      </c>
      <c r="B293" s="29" t="n">
        <v>25</v>
      </c>
      <c r="C293" s="30" t="n">
        <v>115</v>
      </c>
      <c r="D293" s="30" t="n">
        <v>2</v>
      </c>
      <c r="E293" s="6" t="n">
        <v>4</v>
      </c>
      <c r="F293" s="30" t="n">
        <v>2</v>
      </c>
      <c r="G293" s="6" t="inlineStr">
        <is>
          <t>Non</t>
        </is>
      </c>
      <c r="H293" s="6" t="inlineStr">
        <is>
          <t>OFF</t>
        </is>
      </c>
      <c r="I293" s="31" t="n">
        <v>580.1183283215253</v>
      </c>
      <c r="J293" s="31" t="n">
        <v>1533.568798690708</v>
      </c>
      <c r="K293" s="31" t="n">
        <v>1407.407407407407</v>
      </c>
      <c r="L293" s="31" t="n">
        <v>150</v>
      </c>
      <c r="M293" s="31">
        <f>I293+J293+K293+L293</f>
        <v/>
      </c>
      <c r="N293" s="31">
        <f>M293*'Dashboard &amp; Optimisation'!$B$18/('Dashboard &amp; Optimisation'!$B$16/3.6)</f>
        <v/>
      </c>
      <c r="O293" s="31" t="n">
        <v>237.223286323631</v>
      </c>
      <c r="P293" s="32" t="n">
        <v>0.2746468938332942</v>
      </c>
      <c r="Q293" s="33" t="n">
        <v>7.717389802140867</v>
      </c>
      <c r="R293" s="31" t="n">
        <v>269.9151374716173</v>
      </c>
      <c r="S293" s="31">
        <f>R293*IF(A293=4, 2.0, 3.0)</f>
        <v/>
      </c>
      <c r="T293" s="30">
        <f>'Dashboard &amp; Optimisation'!$B$18*U293</f>
        <v/>
      </c>
      <c r="U293" s="34">
        <f>MIN(1, S293/M293)</f>
        <v/>
      </c>
      <c r="V293" s="34">
        <f>N293/(N293+O293)</f>
        <v/>
      </c>
      <c r="W293" s="34">
        <f>U293*V293</f>
        <v/>
      </c>
      <c r="X293" s="32">
        <f>T293/N293</f>
        <v/>
      </c>
      <c r="Y293" s="35">
        <f>IF(W293=MAXIFS(W$2:W$3601, A$2:A$3601, A293, B$2:B$3601, B293), "OPTIMAL", "")</f>
        <v/>
      </c>
    </row>
    <row r="294" ht="20" customHeight="1">
      <c r="A294" s="21" t="n">
        <v>4</v>
      </c>
      <c r="B294" s="21" t="n">
        <v>25</v>
      </c>
      <c r="C294" s="22" t="n">
        <v>115</v>
      </c>
      <c r="D294" s="22" t="n">
        <v>2</v>
      </c>
      <c r="E294" s="23" t="n">
        <v>8</v>
      </c>
      <c r="F294" s="22" t="n">
        <v>1.5</v>
      </c>
      <c r="G294" s="23" t="inlineStr">
        <is>
          <t>Oui</t>
        </is>
      </c>
      <c r="H294" s="23" t="inlineStr">
        <is>
          <t>ON</t>
        </is>
      </c>
      <c r="I294" s="24" t="n">
        <v>580.1183283215253</v>
      </c>
      <c r="J294" s="24" t="n">
        <v>1533.568798690708</v>
      </c>
      <c r="K294" s="24" t="n">
        <v>1407.407407407407</v>
      </c>
      <c r="L294" s="24" t="n">
        <v>150</v>
      </c>
      <c r="M294" s="24">
        <f>I294+J294+K294+L294</f>
        <v/>
      </c>
      <c r="N294" s="24">
        <f>M294*'Dashboard &amp; Optimisation'!$B$18/('Dashboard &amp; Optimisation'!$B$16/3.6)</f>
        <v/>
      </c>
      <c r="O294" s="24" t="n">
        <v>290.3111384409978</v>
      </c>
      <c r="P294" s="25" t="n">
        <v>0.05248603000184628</v>
      </c>
      <c r="Q294" s="26" t="n">
        <v>11.4760847032113</v>
      </c>
      <c r="R294" s="24" t="n">
        <v>1439.833825982583</v>
      </c>
      <c r="S294" s="24">
        <f>R294*IF(A294=4, 2.0, 3.0)</f>
        <v/>
      </c>
      <c r="T294" s="22">
        <f>'Dashboard &amp; Optimisation'!$B$18*U294</f>
        <v/>
      </c>
      <c r="U294" s="27">
        <f>MIN(1, S294/M294)</f>
        <v/>
      </c>
      <c r="V294" s="27">
        <f>N294/(N294+O294)</f>
        <v/>
      </c>
      <c r="W294" s="27">
        <f>U294*V294</f>
        <v/>
      </c>
      <c r="X294" s="25">
        <f>T294/N294</f>
        <v/>
      </c>
      <c r="Y294" s="28">
        <f>IF(W294=MAXIFS(W$2:W$3601, A$2:A$3601, A294, B$2:B$3601, B294), "OPTIMAL", "")</f>
        <v/>
      </c>
    </row>
    <row r="295" ht="20" customHeight="1">
      <c r="A295" s="29" t="n">
        <v>4</v>
      </c>
      <c r="B295" s="29" t="n">
        <v>25</v>
      </c>
      <c r="C295" s="30" t="n">
        <v>115</v>
      </c>
      <c r="D295" s="30" t="n">
        <v>2</v>
      </c>
      <c r="E295" s="6" t="n">
        <v>8</v>
      </c>
      <c r="F295" s="30" t="n">
        <v>1.5</v>
      </c>
      <c r="G295" s="6" t="inlineStr">
        <is>
          <t>Oui</t>
        </is>
      </c>
      <c r="H295" s="6" t="inlineStr">
        <is>
          <t>OFF</t>
        </is>
      </c>
      <c r="I295" s="31" t="n">
        <v>580.1183283215253</v>
      </c>
      <c r="J295" s="31" t="n">
        <v>1533.568798690708</v>
      </c>
      <c r="K295" s="31" t="n">
        <v>1407.407407407407</v>
      </c>
      <c r="L295" s="31" t="n">
        <v>150</v>
      </c>
      <c r="M295" s="31">
        <f>I295+J295+K295+L295</f>
        <v/>
      </c>
      <c r="N295" s="31">
        <f>M295*'Dashboard &amp; Optimisation'!$B$18/('Dashboard &amp; Optimisation'!$B$16/3.6)</f>
        <v/>
      </c>
      <c r="O295" s="31" t="n">
        <v>290.3111384409978</v>
      </c>
      <c r="P295" s="32" t="n">
        <v>0.2221878302428261</v>
      </c>
      <c r="Q295" s="33" t="n">
        <v>11.4760847032113</v>
      </c>
      <c r="R295" s="31" t="n">
        <v>340.1228649904193</v>
      </c>
      <c r="S295" s="31">
        <f>R295*IF(A295=4, 2.0, 3.0)</f>
        <v/>
      </c>
      <c r="T295" s="30">
        <f>'Dashboard &amp; Optimisation'!$B$18*U295</f>
        <v/>
      </c>
      <c r="U295" s="34">
        <f>MIN(1, S295/M295)</f>
        <v/>
      </c>
      <c r="V295" s="34">
        <f>N295/(N295+O295)</f>
        <v/>
      </c>
      <c r="W295" s="34">
        <f>U295*V295</f>
        <v/>
      </c>
      <c r="X295" s="32">
        <f>T295/N295</f>
        <v/>
      </c>
      <c r="Y295" s="35">
        <f>IF(W295=MAXIFS(W$2:W$3601, A$2:A$3601, A295, B$2:B$3601, B295), "OPTIMAL", "")</f>
        <v/>
      </c>
    </row>
    <row r="296" ht="20" customHeight="1">
      <c r="A296" s="21" t="n">
        <v>4</v>
      </c>
      <c r="B296" s="21" t="n">
        <v>25</v>
      </c>
      <c r="C296" s="22" t="n">
        <v>115</v>
      </c>
      <c r="D296" s="22" t="n">
        <v>2</v>
      </c>
      <c r="E296" s="23" t="n">
        <v>8</v>
      </c>
      <c r="F296" s="22" t="n">
        <v>1.5</v>
      </c>
      <c r="G296" s="23" t="inlineStr">
        <is>
          <t>Non</t>
        </is>
      </c>
      <c r="H296" s="23" t="inlineStr">
        <is>
          <t>ON</t>
        </is>
      </c>
      <c r="I296" s="24" t="n">
        <v>580.1183283215253</v>
      </c>
      <c r="J296" s="24" t="n">
        <v>1533.568798690708</v>
      </c>
      <c r="K296" s="24" t="n">
        <v>1407.407407407407</v>
      </c>
      <c r="L296" s="24" t="n">
        <v>150</v>
      </c>
      <c r="M296" s="24">
        <f>I296+J296+K296+L296</f>
        <v/>
      </c>
      <c r="N296" s="24">
        <f>M296*'Dashboard &amp; Optimisation'!$B$18/('Dashboard &amp; Optimisation'!$B$16/3.6)</f>
        <v/>
      </c>
      <c r="O296" s="24" t="n">
        <v>290.3111384409978</v>
      </c>
      <c r="P296" s="25" t="n">
        <v>0.04971811794807418</v>
      </c>
      <c r="Q296" s="26" t="n">
        <v>11.4760847032113</v>
      </c>
      <c r="R296" s="24" t="n">
        <v>1519.992399292383</v>
      </c>
      <c r="S296" s="24">
        <f>R296*IF(A296=4, 2.0, 3.0)</f>
        <v/>
      </c>
      <c r="T296" s="22">
        <f>'Dashboard &amp; Optimisation'!$B$18*U296</f>
        <v/>
      </c>
      <c r="U296" s="27">
        <f>MIN(1, S296/M296)</f>
        <v/>
      </c>
      <c r="V296" s="27">
        <f>N296/(N296+O296)</f>
        <v/>
      </c>
      <c r="W296" s="27">
        <f>U296*V296</f>
        <v/>
      </c>
      <c r="X296" s="25">
        <f>T296/N296</f>
        <v/>
      </c>
      <c r="Y296" s="28">
        <f>IF(W296=MAXIFS(W$2:W$3601, A$2:A$3601, A296, B$2:B$3601, B296), "OPTIMAL", "")</f>
        <v/>
      </c>
    </row>
    <row r="297" ht="20" customHeight="1">
      <c r="A297" s="29" t="n">
        <v>4</v>
      </c>
      <c r="B297" s="29" t="n">
        <v>25</v>
      </c>
      <c r="C297" s="30" t="n">
        <v>115</v>
      </c>
      <c r="D297" s="30" t="n">
        <v>2</v>
      </c>
      <c r="E297" s="6" t="n">
        <v>8</v>
      </c>
      <c r="F297" s="30" t="n">
        <v>1.5</v>
      </c>
      <c r="G297" s="6" t="inlineStr">
        <is>
          <t>Non</t>
        </is>
      </c>
      <c r="H297" s="6" t="inlineStr">
        <is>
          <t>OFF</t>
        </is>
      </c>
      <c r="I297" s="31" t="n">
        <v>580.1183283215253</v>
      </c>
      <c r="J297" s="31" t="n">
        <v>1533.568798690708</v>
      </c>
      <c r="K297" s="31" t="n">
        <v>1407.407407407407</v>
      </c>
      <c r="L297" s="31" t="n">
        <v>150</v>
      </c>
      <c r="M297" s="31">
        <f>I297+J297+K297+L297</f>
        <v/>
      </c>
      <c r="N297" s="31">
        <f>M297*'Dashboard &amp; Optimisation'!$B$18/('Dashboard &amp; Optimisation'!$B$16/3.6)</f>
        <v/>
      </c>
      <c r="O297" s="31" t="n">
        <v>290.3111384409978</v>
      </c>
      <c r="P297" s="32" t="n">
        <v>0.219419918189054</v>
      </c>
      <c r="Q297" s="33" t="n">
        <v>11.4760847032113</v>
      </c>
      <c r="R297" s="31" t="n">
        <v>344.4134060932527</v>
      </c>
      <c r="S297" s="31">
        <f>R297*IF(A297=4, 2.0, 3.0)</f>
        <v/>
      </c>
      <c r="T297" s="30">
        <f>'Dashboard &amp; Optimisation'!$B$18*U297</f>
        <v/>
      </c>
      <c r="U297" s="34">
        <f>MIN(1, S297/M297)</f>
        <v/>
      </c>
      <c r="V297" s="34">
        <f>N297/(N297+O297)</f>
        <v/>
      </c>
      <c r="W297" s="34">
        <f>U297*V297</f>
        <v/>
      </c>
      <c r="X297" s="32">
        <f>T297/N297</f>
        <v/>
      </c>
      <c r="Y297" s="35">
        <f>IF(W297=MAXIFS(W$2:W$3601, A$2:A$3601, A297, B$2:B$3601, B297), "OPTIMAL", "")</f>
        <v/>
      </c>
    </row>
    <row r="298" ht="20" customHeight="1">
      <c r="A298" s="21" t="n">
        <v>4</v>
      </c>
      <c r="B298" s="21" t="n">
        <v>25</v>
      </c>
      <c r="C298" s="22" t="n">
        <v>115</v>
      </c>
      <c r="D298" s="22" t="n">
        <v>2</v>
      </c>
      <c r="E298" s="23" t="n">
        <v>8</v>
      </c>
      <c r="F298" s="22" t="n">
        <v>2</v>
      </c>
      <c r="G298" s="23" t="inlineStr">
        <is>
          <t>Oui</t>
        </is>
      </c>
      <c r="H298" s="23" t="inlineStr">
        <is>
          <t>ON</t>
        </is>
      </c>
      <c r="I298" s="24" t="n">
        <v>580.1183283215253</v>
      </c>
      <c r="J298" s="24" t="n">
        <v>1533.568798690708</v>
      </c>
      <c r="K298" s="24" t="n">
        <v>1407.407407407407</v>
      </c>
      <c r="L298" s="24" t="n">
        <v>150</v>
      </c>
      <c r="M298" s="24">
        <f>I298+J298+K298+L298</f>
        <v/>
      </c>
      <c r="N298" s="24">
        <f>M298*'Dashboard &amp; Optimisation'!$B$18/('Dashboard &amp; Optimisation'!$B$16/3.6)</f>
        <v/>
      </c>
      <c r="O298" s="24" t="n">
        <v>345.5020212259042</v>
      </c>
      <c r="P298" s="25" t="n">
        <v>0.05098656696881766</v>
      </c>
      <c r="Q298" s="26" t="n">
        <v>15.23477960428174</v>
      </c>
      <c r="R298" s="24" t="n">
        <v>1511.535488836263</v>
      </c>
      <c r="S298" s="24">
        <f>R298*IF(A298=4, 2.0, 3.0)</f>
        <v/>
      </c>
      <c r="T298" s="22">
        <f>'Dashboard &amp; Optimisation'!$B$18*U298</f>
        <v/>
      </c>
      <c r="U298" s="27">
        <f>MIN(1, S298/M298)</f>
        <v/>
      </c>
      <c r="V298" s="27">
        <f>N298/(N298+O298)</f>
        <v/>
      </c>
      <c r="W298" s="27">
        <f>U298*V298</f>
        <v/>
      </c>
      <c r="X298" s="25">
        <f>T298/N298</f>
        <v/>
      </c>
      <c r="Y298" s="28">
        <f>IF(W298=MAXIFS(W$2:W$3601, A$2:A$3601, A298, B$2:B$3601, B298), "OPTIMAL", "")</f>
        <v/>
      </c>
    </row>
    <row r="299" ht="20" customHeight="1">
      <c r="A299" s="29" t="n">
        <v>4</v>
      </c>
      <c r="B299" s="29" t="n">
        <v>25</v>
      </c>
      <c r="C299" s="30" t="n">
        <v>115</v>
      </c>
      <c r="D299" s="30" t="n">
        <v>2</v>
      </c>
      <c r="E299" s="6" t="n">
        <v>8</v>
      </c>
      <c r="F299" s="30" t="n">
        <v>2</v>
      </c>
      <c r="G299" s="6" t="inlineStr">
        <is>
          <t>Oui</t>
        </is>
      </c>
      <c r="H299" s="6" t="inlineStr">
        <is>
          <t>OFF</t>
        </is>
      </c>
      <c r="I299" s="31" t="n">
        <v>580.1183283215253</v>
      </c>
      <c r="J299" s="31" t="n">
        <v>1533.568798690708</v>
      </c>
      <c r="K299" s="31" t="n">
        <v>1407.407407407407</v>
      </c>
      <c r="L299" s="31" t="n">
        <v>150</v>
      </c>
      <c r="M299" s="31">
        <f>I299+J299+K299+L299</f>
        <v/>
      </c>
      <c r="N299" s="31">
        <f>M299*'Dashboard &amp; Optimisation'!$B$18/('Dashboard &amp; Optimisation'!$B$16/3.6)</f>
        <v/>
      </c>
      <c r="O299" s="31" t="n">
        <v>345.5020212259042</v>
      </c>
      <c r="P299" s="32" t="n">
        <v>0.2218463755842228</v>
      </c>
      <c r="Q299" s="33" t="n">
        <v>15.23477960428174</v>
      </c>
      <c r="R299" s="31" t="n">
        <v>347.393574604676</v>
      </c>
      <c r="S299" s="31">
        <f>R299*IF(A299=4, 2.0, 3.0)</f>
        <v/>
      </c>
      <c r="T299" s="30">
        <f>'Dashboard &amp; Optimisation'!$B$18*U299</f>
        <v/>
      </c>
      <c r="U299" s="34">
        <f>MIN(1, S299/M299)</f>
        <v/>
      </c>
      <c r="V299" s="34">
        <f>N299/(N299+O299)</f>
        <v/>
      </c>
      <c r="W299" s="34">
        <f>U299*V299</f>
        <v/>
      </c>
      <c r="X299" s="32">
        <f>T299/N299</f>
        <v/>
      </c>
      <c r="Y299" s="35">
        <f>IF(W299=MAXIFS(W$2:W$3601, A$2:A$3601, A299, B$2:B$3601, B299), "OPTIMAL", "")</f>
        <v/>
      </c>
    </row>
    <row r="300" ht="20" customHeight="1">
      <c r="A300" s="21" t="n">
        <v>4</v>
      </c>
      <c r="B300" s="21" t="n">
        <v>25</v>
      </c>
      <c r="C300" s="22" t="n">
        <v>115</v>
      </c>
      <c r="D300" s="22" t="n">
        <v>2</v>
      </c>
      <c r="E300" s="23" t="n">
        <v>8</v>
      </c>
      <c r="F300" s="22" t="n">
        <v>2</v>
      </c>
      <c r="G300" s="23" t="inlineStr">
        <is>
          <t>Non</t>
        </is>
      </c>
      <c r="H300" s="23" t="inlineStr">
        <is>
          <t>ON</t>
        </is>
      </c>
      <c r="I300" s="24" t="n">
        <v>580.1183283215253</v>
      </c>
      <c r="J300" s="24" t="n">
        <v>1533.568798690708</v>
      </c>
      <c r="K300" s="24" t="n">
        <v>1407.407407407407</v>
      </c>
      <c r="L300" s="24" t="n">
        <v>150</v>
      </c>
      <c r="M300" s="24">
        <f>I300+J300+K300+L300</f>
        <v/>
      </c>
      <c r="N300" s="24">
        <f>M300*'Dashboard &amp; Optimisation'!$B$18/('Dashboard &amp; Optimisation'!$B$16/3.6)</f>
        <v/>
      </c>
      <c r="O300" s="24" t="n">
        <v>345.5020212259042</v>
      </c>
      <c r="P300" s="25" t="n">
        <v>0.04821865491504557</v>
      </c>
      <c r="Q300" s="26" t="n">
        <v>15.23477960428174</v>
      </c>
      <c r="R300" s="24" t="n">
        <v>1598.302681049017</v>
      </c>
      <c r="S300" s="24">
        <f>R300*IF(A300=4, 2.0, 3.0)</f>
        <v/>
      </c>
      <c r="T300" s="22">
        <f>'Dashboard &amp; Optimisation'!$B$18*U300</f>
        <v/>
      </c>
      <c r="U300" s="27">
        <f>MIN(1, S300/M300)</f>
        <v/>
      </c>
      <c r="V300" s="27">
        <f>N300/(N300+O300)</f>
        <v/>
      </c>
      <c r="W300" s="27">
        <f>U300*V300</f>
        <v/>
      </c>
      <c r="X300" s="25">
        <f>T300/N300</f>
        <v/>
      </c>
      <c r="Y300" s="28">
        <f>IF(W300=MAXIFS(W$2:W$3601, A$2:A$3601, A300, B$2:B$3601, B300), "OPTIMAL", "")</f>
        <v/>
      </c>
    </row>
    <row r="301" ht="20" customHeight="1">
      <c r="A301" s="29" t="n">
        <v>4</v>
      </c>
      <c r="B301" s="29" t="n">
        <v>25</v>
      </c>
      <c r="C301" s="30" t="n">
        <v>115</v>
      </c>
      <c r="D301" s="30" t="n">
        <v>2</v>
      </c>
      <c r="E301" s="6" t="n">
        <v>8</v>
      </c>
      <c r="F301" s="30" t="n">
        <v>2</v>
      </c>
      <c r="G301" s="6" t="inlineStr">
        <is>
          <t>Non</t>
        </is>
      </c>
      <c r="H301" s="6" t="inlineStr">
        <is>
          <t>OFF</t>
        </is>
      </c>
      <c r="I301" s="31" t="n">
        <v>580.1183283215253</v>
      </c>
      <c r="J301" s="31" t="n">
        <v>1533.568798690708</v>
      </c>
      <c r="K301" s="31" t="n">
        <v>1407.407407407407</v>
      </c>
      <c r="L301" s="31" t="n">
        <v>150</v>
      </c>
      <c r="M301" s="31">
        <f>I301+J301+K301+L301</f>
        <v/>
      </c>
      <c r="N301" s="31">
        <f>M301*'Dashboard &amp; Optimisation'!$B$18/('Dashboard &amp; Optimisation'!$B$16/3.6)</f>
        <v/>
      </c>
      <c r="O301" s="31" t="n">
        <v>345.5020212259042</v>
      </c>
      <c r="P301" s="32" t="n">
        <v>0.2190784635304507</v>
      </c>
      <c r="Q301" s="33" t="n">
        <v>15.23477960428174</v>
      </c>
      <c r="R301" s="31" t="n">
        <v>351.7826635505075</v>
      </c>
      <c r="S301" s="31">
        <f>R301*IF(A301=4, 2.0, 3.0)</f>
        <v/>
      </c>
      <c r="T301" s="30">
        <f>'Dashboard &amp; Optimisation'!$B$18*U301</f>
        <v/>
      </c>
      <c r="U301" s="34">
        <f>MIN(1, S301/M301)</f>
        <v/>
      </c>
      <c r="V301" s="34">
        <f>N301/(N301+O301)</f>
        <v/>
      </c>
      <c r="W301" s="34">
        <f>U301*V301</f>
        <v/>
      </c>
      <c r="X301" s="32">
        <f>T301/N301</f>
        <v/>
      </c>
      <c r="Y301" s="35">
        <f>IF(W301=MAXIFS(W$2:W$3601, A$2:A$3601, A301, B$2:B$3601, B301), "OPTIMAL", "")</f>
        <v/>
      </c>
    </row>
    <row r="302" ht="20" customHeight="1">
      <c r="A302" s="21" t="n">
        <v>4</v>
      </c>
      <c r="B302" s="21" t="n">
        <v>25</v>
      </c>
      <c r="C302" s="22" t="n">
        <v>115</v>
      </c>
      <c r="D302" s="22" t="n">
        <v>3</v>
      </c>
      <c r="E302" s="23" t="n">
        <v>0</v>
      </c>
      <c r="F302" s="22" t="n">
        <v>0</v>
      </c>
      <c r="G302" s="23" t="inlineStr">
        <is>
          <t>Oui</t>
        </is>
      </c>
      <c r="H302" s="23" t="inlineStr">
        <is>
          <t>ON</t>
        </is>
      </c>
      <c r="I302" s="24" t="n">
        <v>580.1183283215253</v>
      </c>
      <c r="J302" s="24" t="n">
        <v>1533.568798690708</v>
      </c>
      <c r="K302" s="24" t="n">
        <v>1407.407407407407</v>
      </c>
      <c r="L302" s="24" t="n">
        <v>150</v>
      </c>
      <c r="M302" s="24">
        <f>I302+J302+K302+L302</f>
        <v/>
      </c>
      <c r="N302" s="24">
        <f>M302*'Dashboard &amp; Optimisation'!$B$18/('Dashboard &amp; Optimisation'!$B$16/3.6)</f>
        <v/>
      </c>
      <c r="O302" s="24" t="n">
        <v>211.060353945283</v>
      </c>
      <c r="P302" s="25" t="n">
        <v>0.4698946720919304</v>
      </c>
      <c r="Q302" s="26" t="n">
        <v>0.2</v>
      </c>
      <c r="R302" s="24" t="n">
        <v>157.5989163919271</v>
      </c>
      <c r="S302" s="24">
        <f>R302*IF(A302=4, 2.0, 3.0)</f>
        <v/>
      </c>
      <c r="T302" s="22">
        <f>'Dashboard &amp; Optimisation'!$B$18*U302</f>
        <v/>
      </c>
      <c r="U302" s="27">
        <f>MIN(1, S302/M302)</f>
        <v/>
      </c>
      <c r="V302" s="27">
        <f>N302/(N302+O302)</f>
        <v/>
      </c>
      <c r="W302" s="27">
        <f>U302*V302</f>
        <v/>
      </c>
      <c r="X302" s="25">
        <f>T302/N302</f>
        <v/>
      </c>
      <c r="Y302" s="28">
        <f>IF(W302=MAXIFS(W$2:W$3601, A$2:A$3601, A302, B$2:B$3601, B302), "OPTIMAL", "")</f>
        <v/>
      </c>
    </row>
    <row r="303" ht="20" customHeight="1">
      <c r="A303" s="29" t="n">
        <v>4</v>
      </c>
      <c r="B303" s="29" t="n">
        <v>25</v>
      </c>
      <c r="C303" s="30" t="n">
        <v>115</v>
      </c>
      <c r="D303" s="30" t="n">
        <v>3</v>
      </c>
      <c r="E303" s="6" t="n">
        <v>0</v>
      </c>
      <c r="F303" s="30" t="n">
        <v>0</v>
      </c>
      <c r="G303" s="6" t="inlineStr">
        <is>
          <t>Oui</t>
        </is>
      </c>
      <c r="H303" s="6" t="inlineStr">
        <is>
          <t>OFF</t>
        </is>
      </c>
      <c r="I303" s="31" t="n">
        <v>580.1183283215253</v>
      </c>
      <c r="J303" s="31" t="n">
        <v>1533.568798690708</v>
      </c>
      <c r="K303" s="31" t="n">
        <v>1407.407407407407</v>
      </c>
      <c r="L303" s="31" t="n">
        <v>150</v>
      </c>
      <c r="M303" s="31">
        <f>I303+J303+K303+L303</f>
        <v/>
      </c>
      <c r="N303" s="31">
        <f>M303*'Dashboard &amp; Optimisation'!$B$18/('Dashboard &amp; Optimisation'!$B$16/3.6)</f>
        <v/>
      </c>
      <c r="O303" s="31" t="n">
        <v>211.060353945283</v>
      </c>
      <c r="P303" s="32" t="n">
        <v>0.7466858774691396</v>
      </c>
      <c r="Q303" s="33" t="n">
        <v>0.2</v>
      </c>
      <c r="R303" s="31" t="n">
        <v>99.17810604779893</v>
      </c>
      <c r="S303" s="31">
        <f>R303*IF(A303=4, 2.0, 3.0)</f>
        <v/>
      </c>
      <c r="T303" s="30">
        <f>'Dashboard &amp; Optimisation'!$B$18*U303</f>
        <v/>
      </c>
      <c r="U303" s="34">
        <f>MIN(1, S303/M303)</f>
        <v/>
      </c>
      <c r="V303" s="34">
        <f>N303/(N303+O303)</f>
        <v/>
      </c>
      <c r="W303" s="34">
        <f>U303*V303</f>
        <v/>
      </c>
      <c r="X303" s="32">
        <f>T303/N303</f>
        <v/>
      </c>
      <c r="Y303" s="35">
        <f>IF(W303=MAXIFS(W$2:W$3601, A$2:A$3601, A303, B$2:B$3601, B303), "OPTIMAL", "")</f>
        <v/>
      </c>
    </row>
    <row r="304" ht="20" customHeight="1">
      <c r="A304" s="21" t="n">
        <v>4</v>
      </c>
      <c r="B304" s="21" t="n">
        <v>25</v>
      </c>
      <c r="C304" s="22" t="n">
        <v>115</v>
      </c>
      <c r="D304" s="22" t="n">
        <v>3</v>
      </c>
      <c r="E304" s="23" t="n">
        <v>0</v>
      </c>
      <c r="F304" s="22" t="n">
        <v>0</v>
      </c>
      <c r="G304" s="23" t="inlineStr">
        <is>
          <t>Non</t>
        </is>
      </c>
      <c r="H304" s="23" t="inlineStr">
        <is>
          <t>ON</t>
        </is>
      </c>
      <c r="I304" s="24" t="n">
        <v>580.1183283215253</v>
      </c>
      <c r="J304" s="24" t="n">
        <v>1533.568798690708</v>
      </c>
      <c r="K304" s="24" t="n">
        <v>1407.407407407407</v>
      </c>
      <c r="L304" s="24" t="n">
        <v>150</v>
      </c>
      <c r="M304" s="24">
        <f>I304+J304+K304+L304</f>
        <v/>
      </c>
      <c r="N304" s="24">
        <f>M304*'Dashboard &amp; Optimisation'!$B$18/('Dashboard &amp; Optimisation'!$B$16/3.6)</f>
        <v/>
      </c>
      <c r="O304" s="24" t="n">
        <v>211.060353945283</v>
      </c>
      <c r="P304" s="25" t="n">
        <v>0.4671267600381582</v>
      </c>
      <c r="Q304" s="26" t="n">
        <v>0.2</v>
      </c>
      <c r="R304" s="24" t="n">
        <v>158.5327527242901</v>
      </c>
      <c r="S304" s="24">
        <f>R304*IF(A304=4, 2.0, 3.0)</f>
        <v/>
      </c>
      <c r="T304" s="22">
        <f>'Dashboard &amp; Optimisation'!$B$18*U304</f>
        <v/>
      </c>
      <c r="U304" s="27">
        <f>MIN(1, S304/M304)</f>
        <v/>
      </c>
      <c r="V304" s="27">
        <f>N304/(N304+O304)</f>
        <v/>
      </c>
      <c r="W304" s="27">
        <f>U304*V304</f>
        <v/>
      </c>
      <c r="X304" s="25">
        <f>T304/N304</f>
        <v/>
      </c>
      <c r="Y304" s="28">
        <f>IF(W304=MAXIFS(W$2:W$3601, A$2:A$3601, A304, B$2:B$3601, B304), "OPTIMAL", "")</f>
        <v/>
      </c>
    </row>
    <row r="305" ht="20" customHeight="1">
      <c r="A305" s="29" t="n">
        <v>4</v>
      </c>
      <c r="B305" s="29" t="n">
        <v>25</v>
      </c>
      <c r="C305" s="30" t="n">
        <v>115</v>
      </c>
      <c r="D305" s="30" t="n">
        <v>3</v>
      </c>
      <c r="E305" s="6" t="n">
        <v>0</v>
      </c>
      <c r="F305" s="30" t="n">
        <v>0</v>
      </c>
      <c r="G305" s="6" t="inlineStr">
        <is>
          <t>Non</t>
        </is>
      </c>
      <c r="H305" s="6" t="inlineStr">
        <is>
          <t>OFF</t>
        </is>
      </c>
      <c r="I305" s="31" t="n">
        <v>580.1183283215253</v>
      </c>
      <c r="J305" s="31" t="n">
        <v>1533.568798690708</v>
      </c>
      <c r="K305" s="31" t="n">
        <v>1407.407407407407</v>
      </c>
      <c r="L305" s="31" t="n">
        <v>150</v>
      </c>
      <c r="M305" s="31">
        <f>I305+J305+K305+L305</f>
        <v/>
      </c>
      <c r="N305" s="31">
        <f>M305*'Dashboard &amp; Optimisation'!$B$18/('Dashboard &amp; Optimisation'!$B$16/3.6)</f>
        <v/>
      </c>
      <c r="O305" s="31" t="n">
        <v>211.060353945283</v>
      </c>
      <c r="P305" s="32" t="n">
        <v>0.7439179654153676</v>
      </c>
      <c r="Q305" s="33" t="n">
        <v>0.2</v>
      </c>
      <c r="R305" s="31" t="n">
        <v>99.54712022404175</v>
      </c>
      <c r="S305" s="31">
        <f>R305*IF(A305=4, 2.0, 3.0)</f>
        <v/>
      </c>
      <c r="T305" s="30">
        <f>'Dashboard &amp; Optimisation'!$B$18*U305</f>
        <v/>
      </c>
      <c r="U305" s="34">
        <f>MIN(1, S305/M305)</f>
        <v/>
      </c>
      <c r="V305" s="34">
        <f>N305/(N305+O305)</f>
        <v/>
      </c>
      <c r="W305" s="34">
        <f>U305*V305</f>
        <v/>
      </c>
      <c r="X305" s="32">
        <f>T305/N305</f>
        <v/>
      </c>
      <c r="Y305" s="35">
        <f>IF(W305=MAXIFS(W$2:W$3601, A$2:A$3601, A305, B$2:B$3601, B305), "OPTIMAL", "")</f>
        <v/>
      </c>
    </row>
    <row r="306" ht="20" customHeight="1">
      <c r="A306" s="21" t="n">
        <v>4</v>
      </c>
      <c r="B306" s="21" t="n">
        <v>25</v>
      </c>
      <c r="C306" s="22" t="n">
        <v>115</v>
      </c>
      <c r="D306" s="22" t="n">
        <v>3</v>
      </c>
      <c r="E306" s="23" t="n">
        <v>4</v>
      </c>
      <c r="F306" s="22" t="n">
        <v>1.5</v>
      </c>
      <c r="G306" s="23" t="inlineStr">
        <is>
          <t>Oui</t>
        </is>
      </c>
      <c r="H306" s="23" t="inlineStr">
        <is>
          <t>ON</t>
        </is>
      </c>
      <c r="I306" s="24" t="n">
        <v>580.1183283215253</v>
      </c>
      <c r="J306" s="24" t="n">
        <v>1533.568798690708</v>
      </c>
      <c r="K306" s="24" t="n">
        <v>1407.407407407407</v>
      </c>
      <c r="L306" s="24" t="n">
        <v>150</v>
      </c>
      <c r="M306" s="24">
        <f>I306+J306+K306+L306</f>
        <v/>
      </c>
      <c r="N306" s="24">
        <f>M306*'Dashboard &amp; Optimisation'!$B$18/('Dashboard &amp; Optimisation'!$B$16/3.6)</f>
        <v/>
      </c>
      <c r="O306" s="24" t="n">
        <v>289.4775395472338</v>
      </c>
      <c r="P306" s="25" t="n">
        <v>0.06905768177243103</v>
      </c>
      <c r="Q306" s="26" t="n">
        <v>5.941492669983736</v>
      </c>
      <c r="R306" s="24" t="n">
        <v>1103.293251672058</v>
      </c>
      <c r="S306" s="24">
        <f>R306*IF(A306=4, 2.0, 3.0)</f>
        <v/>
      </c>
      <c r="T306" s="22">
        <f>'Dashboard &amp; Optimisation'!$B$18*U306</f>
        <v/>
      </c>
      <c r="U306" s="27">
        <f>MIN(1, S306/M306)</f>
        <v/>
      </c>
      <c r="V306" s="27">
        <f>N306/(N306+O306)</f>
        <v/>
      </c>
      <c r="W306" s="27">
        <f>U306*V306</f>
        <v/>
      </c>
      <c r="X306" s="25">
        <f>T306/N306</f>
        <v/>
      </c>
      <c r="Y306" s="28">
        <f>IF(W306=MAXIFS(W$2:W$3601, A$2:A$3601, A306, B$2:B$3601, B306), "OPTIMAL", "")</f>
        <v/>
      </c>
    </row>
    <row r="307" ht="20" customHeight="1">
      <c r="A307" s="29" t="n">
        <v>4</v>
      </c>
      <c r="B307" s="29" t="n">
        <v>25</v>
      </c>
      <c r="C307" s="30" t="n">
        <v>115</v>
      </c>
      <c r="D307" s="30" t="n">
        <v>3</v>
      </c>
      <c r="E307" s="6" t="n">
        <v>4</v>
      </c>
      <c r="F307" s="30" t="n">
        <v>1.5</v>
      </c>
      <c r="G307" s="6" t="inlineStr">
        <is>
          <t>Oui</t>
        </is>
      </c>
      <c r="H307" s="6" t="inlineStr">
        <is>
          <t>OFF</t>
        </is>
      </c>
      <c r="I307" s="31" t="n">
        <v>580.1183283215253</v>
      </c>
      <c r="J307" s="31" t="n">
        <v>1533.568798690708</v>
      </c>
      <c r="K307" s="31" t="n">
        <v>1407.407407407407</v>
      </c>
      <c r="L307" s="31" t="n">
        <v>150</v>
      </c>
      <c r="M307" s="31">
        <f>I307+J307+K307+L307</f>
        <v/>
      </c>
      <c r="N307" s="31">
        <f>M307*'Dashboard &amp; Optimisation'!$B$18/('Dashboard &amp; Optimisation'!$B$16/3.6)</f>
        <v/>
      </c>
      <c r="O307" s="31" t="n">
        <v>289.4775395472338</v>
      </c>
      <c r="P307" s="32" t="n">
        <v>0.2794623219147311</v>
      </c>
      <c r="Q307" s="33" t="n">
        <v>5.941492669983736</v>
      </c>
      <c r="R307" s="31" t="n">
        <v>272.6337981936858</v>
      </c>
      <c r="S307" s="31">
        <f>R307*IF(A307=4, 2.0, 3.0)</f>
        <v/>
      </c>
      <c r="T307" s="30">
        <f>'Dashboard &amp; Optimisation'!$B$18*U307</f>
        <v/>
      </c>
      <c r="U307" s="34">
        <f>MIN(1, S307/M307)</f>
        <v/>
      </c>
      <c r="V307" s="34">
        <f>N307/(N307+O307)</f>
        <v/>
      </c>
      <c r="W307" s="34">
        <f>U307*V307</f>
        <v/>
      </c>
      <c r="X307" s="32">
        <f>T307/N307</f>
        <v/>
      </c>
      <c r="Y307" s="35">
        <f>IF(W307=MAXIFS(W$2:W$3601, A$2:A$3601, A307, B$2:B$3601, B307), "OPTIMAL", "")</f>
        <v/>
      </c>
    </row>
    <row r="308" ht="20" customHeight="1">
      <c r="A308" s="21" t="n">
        <v>4</v>
      </c>
      <c r="B308" s="21" t="n">
        <v>25</v>
      </c>
      <c r="C308" s="22" t="n">
        <v>115</v>
      </c>
      <c r="D308" s="22" t="n">
        <v>3</v>
      </c>
      <c r="E308" s="23" t="n">
        <v>4</v>
      </c>
      <c r="F308" s="22" t="n">
        <v>1.5</v>
      </c>
      <c r="G308" s="23" t="inlineStr">
        <is>
          <t>Non</t>
        </is>
      </c>
      <c r="H308" s="23" t="inlineStr">
        <is>
          <t>ON</t>
        </is>
      </c>
      <c r="I308" s="24" t="n">
        <v>580.1183283215253</v>
      </c>
      <c r="J308" s="24" t="n">
        <v>1533.568798690708</v>
      </c>
      <c r="K308" s="24" t="n">
        <v>1407.407407407407</v>
      </c>
      <c r="L308" s="24" t="n">
        <v>150</v>
      </c>
      <c r="M308" s="24">
        <f>I308+J308+K308+L308</f>
        <v/>
      </c>
      <c r="N308" s="24">
        <f>M308*'Dashboard &amp; Optimisation'!$B$18/('Dashboard &amp; Optimisation'!$B$16/3.6)</f>
        <v/>
      </c>
      <c r="O308" s="24" t="n">
        <v>289.4775395472338</v>
      </c>
      <c r="P308" s="25" t="n">
        <v>0.06628976971865894</v>
      </c>
      <c r="Q308" s="26" t="n">
        <v>5.941492669983736</v>
      </c>
      <c r="R308" s="24" t="n">
        <v>1149.360973782261</v>
      </c>
      <c r="S308" s="24">
        <f>R308*IF(A308=4, 2.0, 3.0)</f>
        <v/>
      </c>
      <c r="T308" s="22">
        <f>'Dashboard &amp; Optimisation'!$B$18*U308</f>
        <v/>
      </c>
      <c r="U308" s="27">
        <f>MIN(1, S308/M308)</f>
        <v/>
      </c>
      <c r="V308" s="27">
        <f>N308/(N308+O308)</f>
        <v/>
      </c>
      <c r="W308" s="27">
        <f>U308*V308</f>
        <v/>
      </c>
      <c r="X308" s="25">
        <f>T308/N308</f>
        <v/>
      </c>
      <c r="Y308" s="28">
        <f>IF(W308=MAXIFS(W$2:W$3601, A$2:A$3601, A308, B$2:B$3601, B308), "OPTIMAL", "")</f>
        <v/>
      </c>
    </row>
    <row r="309" ht="20" customHeight="1">
      <c r="A309" s="29" t="n">
        <v>4</v>
      </c>
      <c r="B309" s="29" t="n">
        <v>25</v>
      </c>
      <c r="C309" s="30" t="n">
        <v>115</v>
      </c>
      <c r="D309" s="30" t="n">
        <v>3</v>
      </c>
      <c r="E309" s="6" t="n">
        <v>4</v>
      </c>
      <c r="F309" s="30" t="n">
        <v>1.5</v>
      </c>
      <c r="G309" s="6" t="inlineStr">
        <is>
          <t>Non</t>
        </is>
      </c>
      <c r="H309" s="6" t="inlineStr">
        <is>
          <t>OFF</t>
        </is>
      </c>
      <c r="I309" s="31" t="n">
        <v>580.1183283215253</v>
      </c>
      <c r="J309" s="31" t="n">
        <v>1533.568798690708</v>
      </c>
      <c r="K309" s="31" t="n">
        <v>1407.407407407407</v>
      </c>
      <c r="L309" s="31" t="n">
        <v>150</v>
      </c>
      <c r="M309" s="31">
        <f>I309+J309+K309+L309</f>
        <v/>
      </c>
      <c r="N309" s="31">
        <f>M309*'Dashboard &amp; Optimisation'!$B$18/('Dashboard &amp; Optimisation'!$B$16/3.6)</f>
        <v/>
      </c>
      <c r="O309" s="31" t="n">
        <v>289.4775395472338</v>
      </c>
      <c r="P309" s="32" t="n">
        <v>0.276694409860959</v>
      </c>
      <c r="Q309" s="33" t="n">
        <v>5.941492669983736</v>
      </c>
      <c r="R309" s="31" t="n">
        <v>275.3610899256192</v>
      </c>
      <c r="S309" s="31">
        <f>R309*IF(A309=4, 2.0, 3.0)</f>
        <v/>
      </c>
      <c r="T309" s="30">
        <f>'Dashboard &amp; Optimisation'!$B$18*U309</f>
        <v/>
      </c>
      <c r="U309" s="34">
        <f>MIN(1, S309/M309)</f>
        <v/>
      </c>
      <c r="V309" s="34">
        <f>N309/(N309+O309)</f>
        <v/>
      </c>
      <c r="W309" s="34">
        <f>U309*V309</f>
        <v/>
      </c>
      <c r="X309" s="32">
        <f>T309/N309</f>
        <v/>
      </c>
      <c r="Y309" s="35">
        <f>IF(W309=MAXIFS(W$2:W$3601, A$2:A$3601, A309, B$2:B$3601, B309), "OPTIMAL", "")</f>
        <v/>
      </c>
    </row>
    <row r="310" ht="20" customHeight="1">
      <c r="A310" s="21" t="n">
        <v>4</v>
      </c>
      <c r="B310" s="21" t="n">
        <v>25</v>
      </c>
      <c r="C310" s="22" t="n">
        <v>115</v>
      </c>
      <c r="D310" s="22" t="n">
        <v>3</v>
      </c>
      <c r="E310" s="23" t="n">
        <v>4</v>
      </c>
      <c r="F310" s="22" t="n">
        <v>2</v>
      </c>
      <c r="G310" s="23" t="inlineStr">
        <is>
          <t>Oui</t>
        </is>
      </c>
      <c r="H310" s="23" t="inlineStr">
        <is>
          <t>ON</t>
        </is>
      </c>
      <c r="I310" s="24" t="n">
        <v>580.1183283215253</v>
      </c>
      <c r="J310" s="24" t="n">
        <v>1533.568798690708</v>
      </c>
      <c r="K310" s="24" t="n">
        <v>1407.407407407407</v>
      </c>
      <c r="L310" s="24" t="n">
        <v>150</v>
      </c>
      <c r="M310" s="24">
        <f>I310+J310+K310+L310</f>
        <v/>
      </c>
      <c r="N310" s="24">
        <f>M310*'Dashboard &amp; Optimisation'!$B$18/('Dashboard &amp; Optimisation'!$B$16/3.6)</f>
        <v/>
      </c>
      <c r="O310" s="24" t="n">
        <v>316.6316071441601</v>
      </c>
      <c r="P310" s="25" t="n">
        <v>0.06595572049116703</v>
      </c>
      <c r="Q310" s="26" t="n">
        <v>7.855323559978315</v>
      </c>
      <c r="R310" s="24" t="n">
        <v>1166.396417627514</v>
      </c>
      <c r="S310" s="24">
        <f>R310*IF(A310=4, 2.0, 3.0)</f>
        <v/>
      </c>
      <c r="T310" s="22">
        <f>'Dashboard &amp; Optimisation'!$B$18*U310</f>
        <v/>
      </c>
      <c r="U310" s="27">
        <f>MIN(1, S310/M310)</f>
        <v/>
      </c>
      <c r="V310" s="27">
        <f>N310/(N310+O310)</f>
        <v/>
      </c>
      <c r="W310" s="27">
        <f>U310*V310</f>
        <v/>
      </c>
      <c r="X310" s="25">
        <f>T310/N310</f>
        <v/>
      </c>
      <c r="Y310" s="28">
        <f>IF(W310=MAXIFS(W$2:W$3601, A$2:A$3601, A310, B$2:B$3601, B310), "OPTIMAL", "")</f>
        <v/>
      </c>
    </row>
    <row r="311" ht="20" customHeight="1">
      <c r="A311" s="29" t="n">
        <v>4</v>
      </c>
      <c r="B311" s="29" t="n">
        <v>25</v>
      </c>
      <c r="C311" s="30" t="n">
        <v>115</v>
      </c>
      <c r="D311" s="30" t="n">
        <v>3</v>
      </c>
      <c r="E311" s="6" t="n">
        <v>4</v>
      </c>
      <c r="F311" s="30" t="n">
        <v>2</v>
      </c>
      <c r="G311" s="6" t="inlineStr">
        <is>
          <t>Oui</t>
        </is>
      </c>
      <c r="H311" s="6" t="inlineStr">
        <is>
          <t>OFF</t>
        </is>
      </c>
      <c r="I311" s="31" t="n">
        <v>580.1183283215253</v>
      </c>
      <c r="J311" s="31" t="n">
        <v>1533.568798690708</v>
      </c>
      <c r="K311" s="31" t="n">
        <v>1407.407407407407</v>
      </c>
      <c r="L311" s="31" t="n">
        <v>150</v>
      </c>
      <c r="M311" s="31">
        <f>I311+J311+K311+L311</f>
        <v/>
      </c>
      <c r="N311" s="31">
        <f>M311*'Dashboard &amp; Optimisation'!$B$18/('Dashboard &amp; Optimisation'!$B$16/3.6)</f>
        <v/>
      </c>
      <c r="O311" s="31" t="n">
        <v>316.6316071441601</v>
      </c>
      <c r="P311" s="32" t="n">
        <v>0.2772478604823886</v>
      </c>
      <c r="Q311" s="33" t="n">
        <v>7.855323559978315</v>
      </c>
      <c r="R311" s="31" t="n">
        <v>277.4792056793011</v>
      </c>
      <c r="S311" s="31">
        <f>R311*IF(A311=4, 2.0, 3.0)</f>
        <v/>
      </c>
      <c r="T311" s="30">
        <f>'Dashboard &amp; Optimisation'!$B$18*U311</f>
        <v/>
      </c>
      <c r="U311" s="34">
        <f>MIN(1, S311/M311)</f>
        <v/>
      </c>
      <c r="V311" s="34">
        <f>N311/(N311+O311)</f>
        <v/>
      </c>
      <c r="W311" s="34">
        <f>U311*V311</f>
        <v/>
      </c>
      <c r="X311" s="32">
        <f>T311/N311</f>
        <v/>
      </c>
      <c r="Y311" s="35">
        <f>IF(W311=MAXIFS(W$2:W$3601, A$2:A$3601, A311, B$2:B$3601, B311), "OPTIMAL", "")</f>
        <v/>
      </c>
    </row>
    <row r="312" ht="20" customHeight="1">
      <c r="A312" s="21" t="n">
        <v>4</v>
      </c>
      <c r="B312" s="21" t="n">
        <v>25</v>
      </c>
      <c r="C312" s="22" t="n">
        <v>115</v>
      </c>
      <c r="D312" s="22" t="n">
        <v>3</v>
      </c>
      <c r="E312" s="23" t="n">
        <v>4</v>
      </c>
      <c r="F312" s="22" t="n">
        <v>2</v>
      </c>
      <c r="G312" s="23" t="inlineStr">
        <is>
          <t>Non</t>
        </is>
      </c>
      <c r="H312" s="23" t="inlineStr">
        <is>
          <t>ON</t>
        </is>
      </c>
      <c r="I312" s="24" t="n">
        <v>580.1183283215253</v>
      </c>
      <c r="J312" s="24" t="n">
        <v>1533.568798690708</v>
      </c>
      <c r="K312" s="24" t="n">
        <v>1407.407407407407</v>
      </c>
      <c r="L312" s="24" t="n">
        <v>150</v>
      </c>
      <c r="M312" s="24">
        <f>I312+J312+K312+L312</f>
        <v/>
      </c>
      <c r="N312" s="24">
        <f>M312*'Dashboard &amp; Optimisation'!$B$18/('Dashboard &amp; Optimisation'!$B$16/3.6)</f>
        <v/>
      </c>
      <c r="O312" s="24" t="n">
        <v>316.6316071441601</v>
      </c>
      <c r="P312" s="25" t="n">
        <v>0.06318780843739494</v>
      </c>
      <c r="Q312" s="26" t="n">
        <v>7.855323559978315</v>
      </c>
      <c r="R312" s="24" t="n">
        <v>1217.489860867068</v>
      </c>
      <c r="S312" s="24">
        <f>R312*IF(A312=4, 2.0, 3.0)</f>
        <v/>
      </c>
      <c r="T312" s="22">
        <f>'Dashboard &amp; Optimisation'!$B$18*U312</f>
        <v/>
      </c>
      <c r="U312" s="27">
        <f>MIN(1, S312/M312)</f>
        <v/>
      </c>
      <c r="V312" s="27">
        <f>N312/(N312+O312)</f>
        <v/>
      </c>
      <c r="W312" s="27">
        <f>U312*V312</f>
        <v/>
      </c>
      <c r="X312" s="25">
        <f>T312/N312</f>
        <v/>
      </c>
      <c r="Y312" s="28">
        <f>IF(W312=MAXIFS(W$2:W$3601, A$2:A$3601, A312, B$2:B$3601, B312), "OPTIMAL", "")</f>
        <v/>
      </c>
    </row>
    <row r="313" ht="20" customHeight="1">
      <c r="A313" s="29" t="n">
        <v>4</v>
      </c>
      <c r="B313" s="29" t="n">
        <v>25</v>
      </c>
      <c r="C313" s="30" t="n">
        <v>115</v>
      </c>
      <c r="D313" s="30" t="n">
        <v>3</v>
      </c>
      <c r="E313" s="6" t="n">
        <v>4</v>
      </c>
      <c r="F313" s="30" t="n">
        <v>2</v>
      </c>
      <c r="G313" s="6" t="inlineStr">
        <is>
          <t>Non</t>
        </is>
      </c>
      <c r="H313" s="6" t="inlineStr">
        <is>
          <t>OFF</t>
        </is>
      </c>
      <c r="I313" s="31" t="n">
        <v>580.1183283215253</v>
      </c>
      <c r="J313" s="31" t="n">
        <v>1533.568798690708</v>
      </c>
      <c r="K313" s="31" t="n">
        <v>1407.407407407407</v>
      </c>
      <c r="L313" s="31" t="n">
        <v>150</v>
      </c>
      <c r="M313" s="31">
        <f>I313+J313+K313+L313</f>
        <v/>
      </c>
      <c r="N313" s="31">
        <f>M313*'Dashboard &amp; Optimisation'!$B$18/('Dashboard &amp; Optimisation'!$B$16/3.6)</f>
        <v/>
      </c>
      <c r="O313" s="31" t="n">
        <v>316.6316071441601</v>
      </c>
      <c r="P313" s="32" t="n">
        <v>0.2744799484286165</v>
      </c>
      <c r="Q313" s="33" t="n">
        <v>7.855323559978315</v>
      </c>
      <c r="R313" s="31" t="n">
        <v>280.2773628578776</v>
      </c>
      <c r="S313" s="31">
        <f>R313*IF(A313=4, 2.0, 3.0)</f>
        <v/>
      </c>
      <c r="T313" s="30">
        <f>'Dashboard &amp; Optimisation'!$B$18*U313</f>
        <v/>
      </c>
      <c r="U313" s="34">
        <f>MIN(1, S313/M313)</f>
        <v/>
      </c>
      <c r="V313" s="34">
        <f>N313/(N313+O313)</f>
        <v/>
      </c>
      <c r="W313" s="34">
        <f>U313*V313</f>
        <v/>
      </c>
      <c r="X313" s="32">
        <f>T313/N313</f>
        <v/>
      </c>
      <c r="Y313" s="35">
        <f>IF(W313=MAXIFS(W$2:W$3601, A$2:A$3601, A313, B$2:B$3601, B313), "OPTIMAL", "")</f>
        <v/>
      </c>
    </row>
    <row r="314" ht="20" customHeight="1">
      <c r="A314" s="21" t="n">
        <v>4</v>
      </c>
      <c r="B314" s="21" t="n">
        <v>25</v>
      </c>
      <c r="C314" s="22" t="n">
        <v>115</v>
      </c>
      <c r="D314" s="22" t="n">
        <v>3</v>
      </c>
      <c r="E314" s="23" t="n">
        <v>8</v>
      </c>
      <c r="F314" s="22" t="n">
        <v>1.5</v>
      </c>
      <c r="G314" s="23" t="inlineStr">
        <is>
          <t>Oui</t>
        </is>
      </c>
      <c r="H314" s="23" t="inlineStr">
        <is>
          <t>ON</t>
        </is>
      </c>
      <c r="I314" s="24" t="n">
        <v>580.1183283215253</v>
      </c>
      <c r="J314" s="24" t="n">
        <v>1533.568798690708</v>
      </c>
      <c r="K314" s="24" t="n">
        <v>1407.407407407407</v>
      </c>
      <c r="L314" s="24" t="n">
        <v>150</v>
      </c>
      <c r="M314" s="24">
        <f>I314+J314+K314+L314</f>
        <v/>
      </c>
      <c r="N314" s="24">
        <f>M314*'Dashboard &amp; Optimisation'!$B$18/('Dashboard &amp; Optimisation'!$B$16/3.6)</f>
        <v/>
      </c>
      <c r="O314" s="24" t="n">
        <v>372.5526875859223</v>
      </c>
      <c r="P314" s="25" t="n">
        <v>0.05237734442636455</v>
      </c>
      <c r="Q314" s="26" t="n">
        <v>11.68298533996747</v>
      </c>
      <c r="R314" s="24" t="n">
        <v>1497.856280570617</v>
      </c>
      <c r="S314" s="24">
        <f>R314*IF(A314=4, 2.0, 3.0)</f>
        <v/>
      </c>
      <c r="T314" s="22">
        <f>'Dashboard &amp; Optimisation'!$B$18*U314</f>
        <v/>
      </c>
      <c r="U314" s="27">
        <f>MIN(1, S314/M314)</f>
        <v/>
      </c>
      <c r="V314" s="27">
        <f>N314/(N314+O314)</f>
        <v/>
      </c>
      <c r="W314" s="27">
        <f>U314*V314</f>
        <v/>
      </c>
      <c r="X314" s="25">
        <f>T314/N314</f>
        <v/>
      </c>
      <c r="Y314" s="28">
        <f>IF(W314=MAXIFS(W$2:W$3601, A$2:A$3601, A314, B$2:B$3601, B314), "OPTIMAL", "")</f>
        <v/>
      </c>
    </row>
    <row r="315" ht="20" customHeight="1">
      <c r="A315" s="29" t="n">
        <v>4</v>
      </c>
      <c r="B315" s="29" t="n">
        <v>25</v>
      </c>
      <c r="C315" s="30" t="n">
        <v>115</v>
      </c>
      <c r="D315" s="30" t="n">
        <v>3</v>
      </c>
      <c r="E315" s="6" t="n">
        <v>8</v>
      </c>
      <c r="F315" s="30" t="n">
        <v>1.5</v>
      </c>
      <c r="G315" s="6" t="inlineStr">
        <is>
          <t>Oui</t>
        </is>
      </c>
      <c r="H315" s="6" t="inlineStr">
        <is>
          <t>OFF</t>
        </is>
      </c>
      <c r="I315" s="31" t="n">
        <v>580.1183283215253</v>
      </c>
      <c r="J315" s="31" t="n">
        <v>1533.568798690708</v>
      </c>
      <c r="K315" s="31" t="n">
        <v>1407.407407407407</v>
      </c>
      <c r="L315" s="31" t="n">
        <v>150</v>
      </c>
      <c r="M315" s="31">
        <f>I315+J315+K315+L315</f>
        <v/>
      </c>
      <c r="N315" s="31">
        <f>M315*'Dashboard &amp; Optimisation'!$B$18/('Dashboard &amp; Optimisation'!$B$16/3.6)</f>
        <v/>
      </c>
      <c r="O315" s="31" t="n">
        <v>372.5526875859223</v>
      </c>
      <c r="P315" s="32" t="n">
        <v>0.2220791446673444</v>
      </c>
      <c r="Q315" s="33" t="n">
        <v>11.68298533996747</v>
      </c>
      <c r="R315" s="31" t="n">
        <v>353.2692564452983</v>
      </c>
      <c r="S315" s="31">
        <f>R315*IF(A315=4, 2.0, 3.0)</f>
        <v/>
      </c>
      <c r="T315" s="30">
        <f>'Dashboard &amp; Optimisation'!$B$18*U315</f>
        <v/>
      </c>
      <c r="U315" s="34">
        <f>MIN(1, S315/M315)</f>
        <v/>
      </c>
      <c r="V315" s="34">
        <f>N315/(N315+O315)</f>
        <v/>
      </c>
      <c r="W315" s="34">
        <f>U315*V315</f>
        <v/>
      </c>
      <c r="X315" s="32">
        <f>T315/N315</f>
        <v/>
      </c>
      <c r="Y315" s="35">
        <f>IF(W315=MAXIFS(W$2:W$3601, A$2:A$3601, A315, B$2:B$3601, B315), "OPTIMAL", "")</f>
        <v/>
      </c>
    </row>
    <row r="316" ht="20" customHeight="1">
      <c r="A316" s="21" t="n">
        <v>4</v>
      </c>
      <c r="B316" s="21" t="n">
        <v>25</v>
      </c>
      <c r="C316" s="22" t="n">
        <v>115</v>
      </c>
      <c r="D316" s="22" t="n">
        <v>3</v>
      </c>
      <c r="E316" s="23" t="n">
        <v>8</v>
      </c>
      <c r="F316" s="22" t="n">
        <v>1.5</v>
      </c>
      <c r="G316" s="23" t="inlineStr">
        <is>
          <t>Non</t>
        </is>
      </c>
      <c r="H316" s="23" t="inlineStr">
        <is>
          <t>ON</t>
        </is>
      </c>
      <c r="I316" s="24" t="n">
        <v>580.1183283215253</v>
      </c>
      <c r="J316" s="24" t="n">
        <v>1533.568798690708</v>
      </c>
      <c r="K316" s="24" t="n">
        <v>1407.407407407407</v>
      </c>
      <c r="L316" s="24" t="n">
        <v>150</v>
      </c>
      <c r="M316" s="24">
        <f>I316+J316+K316+L316</f>
        <v/>
      </c>
      <c r="N316" s="24">
        <f>M316*'Dashboard &amp; Optimisation'!$B$18/('Dashboard &amp; Optimisation'!$B$16/3.6)</f>
        <v/>
      </c>
      <c r="O316" s="24" t="n">
        <v>372.5526875859223</v>
      </c>
      <c r="P316" s="25" t="n">
        <v>0.04960943237259246</v>
      </c>
      <c r="Q316" s="26" t="n">
        <v>11.68298533996747</v>
      </c>
      <c r="R316" s="24" t="n">
        <v>1581.427776061062</v>
      </c>
      <c r="S316" s="24">
        <f>R316*IF(A316=4, 2.0, 3.0)</f>
        <v/>
      </c>
      <c r="T316" s="22">
        <f>'Dashboard &amp; Optimisation'!$B$18*U316</f>
        <v/>
      </c>
      <c r="U316" s="27">
        <f>MIN(1, S316/M316)</f>
        <v/>
      </c>
      <c r="V316" s="27">
        <f>N316/(N316+O316)</f>
        <v/>
      </c>
      <c r="W316" s="27">
        <f>U316*V316</f>
        <v/>
      </c>
      <c r="X316" s="25">
        <f>T316/N316</f>
        <v/>
      </c>
      <c r="Y316" s="28">
        <f>IF(W316=MAXIFS(W$2:W$3601, A$2:A$3601, A316, B$2:B$3601, B316), "OPTIMAL", "")</f>
        <v/>
      </c>
    </row>
    <row r="317" ht="20" customHeight="1">
      <c r="A317" s="29" t="n">
        <v>4</v>
      </c>
      <c r="B317" s="29" t="n">
        <v>25</v>
      </c>
      <c r="C317" s="30" t="n">
        <v>115</v>
      </c>
      <c r="D317" s="30" t="n">
        <v>3</v>
      </c>
      <c r="E317" s="6" t="n">
        <v>8</v>
      </c>
      <c r="F317" s="30" t="n">
        <v>1.5</v>
      </c>
      <c r="G317" s="6" t="inlineStr">
        <is>
          <t>Non</t>
        </is>
      </c>
      <c r="H317" s="6" t="inlineStr">
        <is>
          <t>OFF</t>
        </is>
      </c>
      <c r="I317" s="31" t="n">
        <v>580.1183283215253</v>
      </c>
      <c r="J317" s="31" t="n">
        <v>1533.568798690708</v>
      </c>
      <c r="K317" s="31" t="n">
        <v>1407.407407407407</v>
      </c>
      <c r="L317" s="31" t="n">
        <v>150</v>
      </c>
      <c r="M317" s="31">
        <f>I317+J317+K317+L317</f>
        <v/>
      </c>
      <c r="N317" s="31">
        <f>M317*'Dashboard &amp; Optimisation'!$B$18/('Dashboard &amp; Optimisation'!$B$16/3.6)</f>
        <v/>
      </c>
      <c r="O317" s="31" t="n">
        <v>372.5526875859223</v>
      </c>
      <c r="P317" s="32" t="n">
        <v>0.2193112326135723</v>
      </c>
      <c r="Q317" s="33" t="n">
        <v>11.68298533996747</v>
      </c>
      <c r="R317" s="31" t="n">
        <v>357.727843547697</v>
      </c>
      <c r="S317" s="31">
        <f>R317*IF(A317=4, 2.0, 3.0)</f>
        <v/>
      </c>
      <c r="T317" s="30">
        <f>'Dashboard &amp; Optimisation'!$B$18*U317</f>
        <v/>
      </c>
      <c r="U317" s="34">
        <f>MIN(1, S317/M317)</f>
        <v/>
      </c>
      <c r="V317" s="34">
        <f>N317/(N317+O317)</f>
        <v/>
      </c>
      <c r="W317" s="34">
        <f>U317*V317</f>
        <v/>
      </c>
      <c r="X317" s="32">
        <f>T317/N317</f>
        <v/>
      </c>
      <c r="Y317" s="35">
        <f>IF(W317=MAXIFS(W$2:W$3601, A$2:A$3601, A317, B$2:B$3601, B317), "OPTIMAL", "")</f>
        <v/>
      </c>
    </row>
    <row r="318" ht="20" customHeight="1">
      <c r="A318" s="21" t="n">
        <v>4</v>
      </c>
      <c r="B318" s="21" t="n">
        <v>25</v>
      </c>
      <c r="C318" s="22" t="n">
        <v>115</v>
      </c>
      <c r="D318" s="22" t="n">
        <v>3</v>
      </c>
      <c r="E318" s="23" t="n">
        <v>8</v>
      </c>
      <c r="F318" s="22" t="n">
        <v>2</v>
      </c>
      <c r="G318" s="23" t="inlineStr">
        <is>
          <t>Oui</t>
        </is>
      </c>
      <c r="H318" s="23" t="inlineStr">
        <is>
          <t>ON</t>
        </is>
      </c>
      <c r="I318" s="24" t="n">
        <v>580.1183283215253</v>
      </c>
      <c r="J318" s="24" t="n">
        <v>1533.568798690708</v>
      </c>
      <c r="K318" s="24" t="n">
        <v>1407.407407407407</v>
      </c>
      <c r="L318" s="24" t="n">
        <v>150</v>
      </c>
      <c r="M318" s="24">
        <f>I318+J318+K318+L318</f>
        <v/>
      </c>
      <c r="N318" s="24">
        <f>M318*'Dashboard &amp; Optimisation'!$B$18/('Dashboard &amp; Optimisation'!$B$16/3.6)</f>
        <v/>
      </c>
      <c r="O318" s="24" t="n">
        <v>430.732966014794</v>
      </c>
      <c r="P318" s="25" t="n">
        <v>0.05090778119320737</v>
      </c>
      <c r="Q318" s="26" t="n">
        <v>15.51064711995663</v>
      </c>
      <c r="R318" s="24" t="n">
        <v>1572.225076043517</v>
      </c>
      <c r="S318" s="24">
        <f>R318*IF(A318=4, 2.0, 3.0)</f>
        <v/>
      </c>
      <c r="T318" s="22">
        <f>'Dashboard &amp; Optimisation'!$B$18*U318</f>
        <v/>
      </c>
      <c r="U318" s="27">
        <f>MIN(1, S318/M318)</f>
        <v/>
      </c>
      <c r="V318" s="27">
        <f>N318/(N318+O318)</f>
        <v/>
      </c>
      <c r="W318" s="27">
        <f>U318*V318</f>
        <v/>
      </c>
      <c r="X318" s="25">
        <f>T318/N318</f>
        <v/>
      </c>
      <c r="Y318" s="28">
        <f>IF(W318=MAXIFS(W$2:W$3601, A$2:A$3601, A318, B$2:B$3601, B318), "OPTIMAL", "")</f>
        <v/>
      </c>
    </row>
    <row r="319" ht="20" customHeight="1">
      <c r="A319" s="29" t="n">
        <v>4</v>
      </c>
      <c r="B319" s="29" t="n">
        <v>25</v>
      </c>
      <c r="C319" s="30" t="n">
        <v>115</v>
      </c>
      <c r="D319" s="30" t="n">
        <v>3</v>
      </c>
      <c r="E319" s="6" t="n">
        <v>8</v>
      </c>
      <c r="F319" s="30" t="n">
        <v>2</v>
      </c>
      <c r="G319" s="6" t="inlineStr">
        <is>
          <t>Oui</t>
        </is>
      </c>
      <c r="H319" s="6" t="inlineStr">
        <is>
          <t>OFF</t>
        </is>
      </c>
      <c r="I319" s="31" t="n">
        <v>580.1183283215253</v>
      </c>
      <c r="J319" s="31" t="n">
        <v>1533.568798690708</v>
      </c>
      <c r="K319" s="31" t="n">
        <v>1407.407407407407</v>
      </c>
      <c r="L319" s="31" t="n">
        <v>150</v>
      </c>
      <c r="M319" s="31">
        <f>I319+J319+K319+L319</f>
        <v/>
      </c>
      <c r="N319" s="31">
        <f>M319*'Dashboard &amp; Optimisation'!$B$18/('Dashboard &amp; Optimisation'!$B$16/3.6)</f>
        <v/>
      </c>
      <c r="O319" s="31" t="n">
        <v>430.732966014794</v>
      </c>
      <c r="P319" s="32" t="n">
        <v>0.2217675898086125</v>
      </c>
      <c r="Q319" s="33" t="n">
        <v>15.51064711995663</v>
      </c>
      <c r="R319" s="31" t="n">
        <v>360.9115751619574</v>
      </c>
      <c r="S319" s="31">
        <f>R319*IF(A319=4, 2.0, 3.0)</f>
        <v/>
      </c>
      <c r="T319" s="30">
        <f>'Dashboard &amp; Optimisation'!$B$18*U319</f>
        <v/>
      </c>
      <c r="U319" s="34">
        <f>MIN(1, S319/M319)</f>
        <v/>
      </c>
      <c r="V319" s="34">
        <f>N319/(N319+O319)</f>
        <v/>
      </c>
      <c r="W319" s="34">
        <f>U319*V319</f>
        <v/>
      </c>
      <c r="X319" s="32">
        <f>T319/N319</f>
        <v/>
      </c>
      <c r="Y319" s="35">
        <f>IF(W319=MAXIFS(W$2:W$3601, A$2:A$3601, A319, B$2:B$3601, B319), "OPTIMAL", "")</f>
        <v/>
      </c>
    </row>
    <row r="320" ht="20" customHeight="1">
      <c r="A320" s="21" t="n">
        <v>4</v>
      </c>
      <c r="B320" s="21" t="n">
        <v>25</v>
      </c>
      <c r="C320" s="22" t="n">
        <v>115</v>
      </c>
      <c r="D320" s="22" t="n">
        <v>3</v>
      </c>
      <c r="E320" s="23" t="n">
        <v>8</v>
      </c>
      <c r="F320" s="22" t="n">
        <v>2</v>
      </c>
      <c r="G320" s="23" t="inlineStr">
        <is>
          <t>Non</t>
        </is>
      </c>
      <c r="H320" s="23" t="inlineStr">
        <is>
          <t>ON</t>
        </is>
      </c>
      <c r="I320" s="24" t="n">
        <v>580.1183283215253</v>
      </c>
      <c r="J320" s="24" t="n">
        <v>1533.568798690708</v>
      </c>
      <c r="K320" s="24" t="n">
        <v>1407.407407407407</v>
      </c>
      <c r="L320" s="24" t="n">
        <v>150</v>
      </c>
      <c r="M320" s="24">
        <f>I320+J320+K320+L320</f>
        <v/>
      </c>
      <c r="N320" s="24">
        <f>M320*'Dashboard &amp; Optimisation'!$B$18/('Dashboard &amp; Optimisation'!$B$16/3.6)</f>
        <v/>
      </c>
      <c r="O320" s="24" t="n">
        <v>430.732966014794</v>
      </c>
      <c r="P320" s="25" t="n">
        <v>0.04813986913943527</v>
      </c>
      <c r="Q320" s="26" t="n">
        <v>15.51064711995663</v>
      </c>
      <c r="R320" s="24" t="n">
        <v>1662.623758404262</v>
      </c>
      <c r="S320" s="24">
        <f>R320*IF(A320=4, 2.0, 3.0)</f>
        <v/>
      </c>
      <c r="T320" s="22">
        <f>'Dashboard &amp; Optimisation'!$B$18*U320</f>
        <v/>
      </c>
      <c r="U320" s="27">
        <f>MIN(1, S320/M320)</f>
        <v/>
      </c>
      <c r="V320" s="27">
        <f>N320/(N320+O320)</f>
        <v/>
      </c>
      <c r="W320" s="27">
        <f>U320*V320</f>
        <v/>
      </c>
      <c r="X320" s="25">
        <f>T320/N320</f>
        <v/>
      </c>
      <c r="Y320" s="28">
        <f>IF(W320=MAXIFS(W$2:W$3601, A$2:A$3601, A320, B$2:B$3601, B320), "OPTIMAL", "")</f>
        <v/>
      </c>
    </row>
    <row r="321" ht="20" customHeight="1">
      <c r="A321" s="29" t="n">
        <v>4</v>
      </c>
      <c r="B321" s="29" t="n">
        <v>25</v>
      </c>
      <c r="C321" s="30" t="n">
        <v>115</v>
      </c>
      <c r="D321" s="30" t="n">
        <v>3</v>
      </c>
      <c r="E321" s="6" t="n">
        <v>8</v>
      </c>
      <c r="F321" s="30" t="n">
        <v>2</v>
      </c>
      <c r="G321" s="6" t="inlineStr">
        <is>
          <t>Non</t>
        </is>
      </c>
      <c r="H321" s="6" t="inlineStr">
        <is>
          <t>OFF</t>
        </is>
      </c>
      <c r="I321" s="31" t="n">
        <v>580.1183283215253</v>
      </c>
      <c r="J321" s="31" t="n">
        <v>1533.568798690708</v>
      </c>
      <c r="K321" s="31" t="n">
        <v>1407.407407407407</v>
      </c>
      <c r="L321" s="31" t="n">
        <v>150</v>
      </c>
      <c r="M321" s="31">
        <f>I321+J321+K321+L321</f>
        <v/>
      </c>
      <c r="N321" s="31">
        <f>M321*'Dashboard &amp; Optimisation'!$B$18/('Dashboard &amp; Optimisation'!$B$16/3.6)</f>
        <v/>
      </c>
      <c r="O321" s="31" t="n">
        <v>430.732966014794</v>
      </c>
      <c r="P321" s="32" t="n">
        <v>0.2189996777548404</v>
      </c>
      <c r="Q321" s="33" t="n">
        <v>15.51064711995663</v>
      </c>
      <c r="R321" s="31" t="n">
        <v>365.4730955691014</v>
      </c>
      <c r="S321" s="31">
        <f>R321*IF(A321=4, 2.0, 3.0)</f>
        <v/>
      </c>
      <c r="T321" s="30">
        <f>'Dashboard &amp; Optimisation'!$B$18*U321</f>
        <v/>
      </c>
      <c r="U321" s="34">
        <f>MIN(1, S321/M321)</f>
        <v/>
      </c>
      <c r="V321" s="34">
        <f>N321/(N321+O321)</f>
        <v/>
      </c>
      <c r="W321" s="34">
        <f>U321*V321</f>
        <v/>
      </c>
      <c r="X321" s="32">
        <f>T321/N321</f>
        <v/>
      </c>
      <c r="Y321" s="35">
        <f>IF(W321=MAXIFS(W$2:W$3601, A$2:A$3601, A321, B$2:B$3601, B321), "OPTIMAL", "")</f>
        <v/>
      </c>
    </row>
    <row r="322" ht="20" customHeight="1">
      <c r="A322" s="21" t="n">
        <v>4</v>
      </c>
      <c r="B322" s="21" t="n">
        <v>25</v>
      </c>
      <c r="C322" s="22" t="n">
        <v>120</v>
      </c>
      <c r="D322" s="22" t="n">
        <v>2</v>
      </c>
      <c r="E322" s="23" t="n">
        <v>0</v>
      </c>
      <c r="F322" s="22" t="n">
        <v>0</v>
      </c>
      <c r="G322" s="23" t="inlineStr">
        <is>
          <t>Oui</t>
        </is>
      </c>
      <c r="H322" s="23" t="inlineStr">
        <is>
          <t>ON</t>
        </is>
      </c>
      <c r="I322" s="24" t="n">
        <v>580.1183283215253</v>
      </c>
      <c r="J322" s="24" t="n">
        <v>1533.568798690708</v>
      </c>
      <c r="K322" s="24" t="n">
        <v>1407.407407407407</v>
      </c>
      <c r="L322" s="24" t="n">
        <v>150</v>
      </c>
      <c r="M322" s="24">
        <f>I322+J322+K322+L322</f>
        <v/>
      </c>
      <c r="N322" s="24">
        <f>M322*'Dashboard &amp; Optimisation'!$B$18/('Dashboard &amp; Optimisation'!$B$16/3.6)</f>
        <v/>
      </c>
      <c r="O322" s="24" t="n">
        <v>130.8929950245339</v>
      </c>
      <c r="P322" s="25" t="n">
        <v>0.4668808197339223</v>
      </c>
      <c r="Q322" s="26" t="n">
        <v>0.2</v>
      </c>
      <c r="R322" s="24" t="n">
        <v>140.0505222205843</v>
      </c>
      <c r="S322" s="24">
        <f>R322*IF(A322=4, 2.0, 3.0)</f>
        <v/>
      </c>
      <c r="T322" s="22">
        <f>'Dashboard &amp; Optimisation'!$B$18*U322</f>
        <v/>
      </c>
      <c r="U322" s="27">
        <f>MIN(1, S322/M322)</f>
        <v/>
      </c>
      <c r="V322" s="27">
        <f>N322/(N322+O322)</f>
        <v/>
      </c>
      <c r="W322" s="27">
        <f>U322*V322</f>
        <v/>
      </c>
      <c r="X322" s="25">
        <f>T322/N322</f>
        <v/>
      </c>
      <c r="Y322" s="28">
        <f>IF(W322=MAXIFS(W$2:W$3601, A$2:A$3601, A322, B$2:B$3601, B322), "OPTIMAL", "")</f>
        <v/>
      </c>
    </row>
    <row r="323" ht="20" customHeight="1">
      <c r="A323" s="29" t="n">
        <v>4</v>
      </c>
      <c r="B323" s="29" t="n">
        <v>25</v>
      </c>
      <c r="C323" s="30" t="n">
        <v>120</v>
      </c>
      <c r="D323" s="30" t="n">
        <v>2</v>
      </c>
      <c r="E323" s="6" t="n">
        <v>0</v>
      </c>
      <c r="F323" s="30" t="n">
        <v>0</v>
      </c>
      <c r="G323" s="6" t="inlineStr">
        <is>
          <t>Oui</t>
        </is>
      </c>
      <c r="H323" s="6" t="inlineStr">
        <is>
          <t>OFF</t>
        </is>
      </c>
      <c r="I323" s="31" t="n">
        <v>580.1183283215253</v>
      </c>
      <c r="J323" s="31" t="n">
        <v>1533.568798690708</v>
      </c>
      <c r="K323" s="31" t="n">
        <v>1407.407407407407</v>
      </c>
      <c r="L323" s="31" t="n">
        <v>150</v>
      </c>
      <c r="M323" s="31">
        <f>I323+J323+K323+L323</f>
        <v/>
      </c>
      <c r="N323" s="31">
        <f>M323*'Dashboard &amp; Optimisation'!$B$18/('Dashboard &amp; Optimisation'!$B$16/3.6)</f>
        <v/>
      </c>
      <c r="O323" s="31" t="n">
        <v>130.8929950245339</v>
      </c>
      <c r="P323" s="32" t="n">
        <v>0.7321390582204146</v>
      </c>
      <c r="Q323" s="33" t="n">
        <v>0.2</v>
      </c>
      <c r="R323" s="31" t="n">
        <v>89.30940356801071</v>
      </c>
      <c r="S323" s="31">
        <f>R323*IF(A323=4, 2.0, 3.0)</f>
        <v/>
      </c>
      <c r="T323" s="30">
        <f>'Dashboard &amp; Optimisation'!$B$18*U323</f>
        <v/>
      </c>
      <c r="U323" s="34">
        <f>MIN(1, S323/M323)</f>
        <v/>
      </c>
      <c r="V323" s="34">
        <f>N323/(N323+O323)</f>
        <v/>
      </c>
      <c r="W323" s="34">
        <f>U323*V323</f>
        <v/>
      </c>
      <c r="X323" s="32">
        <f>T323/N323</f>
        <v/>
      </c>
      <c r="Y323" s="35">
        <f>IF(W323=MAXIFS(W$2:W$3601, A$2:A$3601, A323, B$2:B$3601, B323), "OPTIMAL", "")</f>
        <v/>
      </c>
    </row>
    <row r="324" ht="20" customHeight="1">
      <c r="A324" s="21" t="n">
        <v>4</v>
      </c>
      <c r="B324" s="21" t="n">
        <v>25</v>
      </c>
      <c r="C324" s="22" t="n">
        <v>120</v>
      </c>
      <c r="D324" s="22" t="n">
        <v>2</v>
      </c>
      <c r="E324" s="23" t="n">
        <v>0</v>
      </c>
      <c r="F324" s="22" t="n">
        <v>0</v>
      </c>
      <c r="G324" s="23" t="inlineStr">
        <is>
          <t>Non</t>
        </is>
      </c>
      <c r="H324" s="23" t="inlineStr">
        <is>
          <t>ON</t>
        </is>
      </c>
      <c r="I324" s="24" t="n">
        <v>580.1183283215253</v>
      </c>
      <c r="J324" s="24" t="n">
        <v>1533.568798690708</v>
      </c>
      <c r="K324" s="24" t="n">
        <v>1407.407407407407</v>
      </c>
      <c r="L324" s="24" t="n">
        <v>150</v>
      </c>
      <c r="M324" s="24">
        <f>I324+J324+K324+L324</f>
        <v/>
      </c>
      <c r="N324" s="24">
        <f>M324*'Dashboard &amp; Optimisation'!$B$18/('Dashboard &amp; Optimisation'!$B$16/3.6)</f>
        <v/>
      </c>
      <c r="O324" s="24" t="n">
        <v>130.8929950245339</v>
      </c>
      <c r="P324" s="25" t="n">
        <v>0.4642282373490574</v>
      </c>
      <c r="Q324" s="26" t="n">
        <v>0.2</v>
      </c>
      <c r="R324" s="24" t="n">
        <v>140.8507655456238</v>
      </c>
      <c r="S324" s="24">
        <f>R324*IF(A324=4, 2.0, 3.0)</f>
        <v/>
      </c>
      <c r="T324" s="22">
        <f>'Dashboard &amp; Optimisation'!$B$18*U324</f>
        <v/>
      </c>
      <c r="U324" s="27">
        <f>MIN(1, S324/M324)</f>
        <v/>
      </c>
      <c r="V324" s="27">
        <f>N324/(N324+O324)</f>
        <v/>
      </c>
      <c r="W324" s="27">
        <f>U324*V324</f>
        <v/>
      </c>
      <c r="X324" s="25">
        <f>T324/N324</f>
        <v/>
      </c>
      <c r="Y324" s="28">
        <f>IF(W324=MAXIFS(W$2:W$3601, A$2:A$3601, A324, B$2:B$3601, B324), "OPTIMAL", "")</f>
        <v/>
      </c>
    </row>
    <row r="325" ht="20" customHeight="1">
      <c r="A325" s="29" t="n">
        <v>4</v>
      </c>
      <c r="B325" s="29" t="n">
        <v>25</v>
      </c>
      <c r="C325" s="30" t="n">
        <v>120</v>
      </c>
      <c r="D325" s="30" t="n">
        <v>2</v>
      </c>
      <c r="E325" s="6" t="n">
        <v>0</v>
      </c>
      <c r="F325" s="30" t="n">
        <v>0</v>
      </c>
      <c r="G325" s="6" t="inlineStr">
        <is>
          <t>Non</t>
        </is>
      </c>
      <c r="H325" s="6" t="inlineStr">
        <is>
          <t>OFF</t>
        </is>
      </c>
      <c r="I325" s="31" t="n">
        <v>580.1183283215253</v>
      </c>
      <c r="J325" s="31" t="n">
        <v>1533.568798690708</v>
      </c>
      <c r="K325" s="31" t="n">
        <v>1407.407407407407</v>
      </c>
      <c r="L325" s="31" t="n">
        <v>150</v>
      </c>
      <c r="M325" s="31">
        <f>I325+J325+K325+L325</f>
        <v/>
      </c>
      <c r="N325" s="31">
        <f>M325*'Dashboard &amp; Optimisation'!$B$18/('Dashboard &amp; Optimisation'!$B$16/3.6)</f>
        <v/>
      </c>
      <c r="O325" s="31" t="n">
        <v>130.8929950245339</v>
      </c>
      <c r="P325" s="32" t="n">
        <v>0.7294864758355497</v>
      </c>
      <c r="Q325" s="33" t="n">
        <v>0.2</v>
      </c>
      <c r="R325" s="31" t="n">
        <v>89.63415331808105</v>
      </c>
      <c r="S325" s="31">
        <f>R325*IF(A325=4, 2.0, 3.0)</f>
        <v/>
      </c>
      <c r="T325" s="30">
        <f>'Dashboard &amp; Optimisation'!$B$18*U325</f>
        <v/>
      </c>
      <c r="U325" s="34">
        <f>MIN(1, S325/M325)</f>
        <v/>
      </c>
      <c r="V325" s="34">
        <f>N325/(N325+O325)</f>
        <v/>
      </c>
      <c r="W325" s="34">
        <f>U325*V325</f>
        <v/>
      </c>
      <c r="X325" s="32">
        <f>T325/N325</f>
        <v/>
      </c>
      <c r="Y325" s="35">
        <f>IF(W325=MAXIFS(W$2:W$3601, A$2:A$3601, A325, B$2:B$3601, B325), "OPTIMAL", "")</f>
        <v/>
      </c>
    </row>
    <row r="326" ht="20" customHeight="1">
      <c r="A326" s="21" t="n">
        <v>4</v>
      </c>
      <c r="B326" s="21" t="n">
        <v>25</v>
      </c>
      <c r="C326" s="22" t="n">
        <v>120</v>
      </c>
      <c r="D326" s="22" t="n">
        <v>2</v>
      </c>
      <c r="E326" s="23" t="n">
        <v>4</v>
      </c>
      <c r="F326" s="22" t="n">
        <v>1.5</v>
      </c>
      <c r="G326" s="23" t="inlineStr">
        <is>
          <t>Oui</t>
        </is>
      </c>
      <c r="H326" s="23" t="inlineStr">
        <is>
          <t>ON</t>
        </is>
      </c>
      <c r="I326" s="24" t="n">
        <v>580.1183283215253</v>
      </c>
      <c r="J326" s="24" t="n">
        <v>1533.568798690708</v>
      </c>
      <c r="K326" s="24" t="n">
        <v>1407.407407407407</v>
      </c>
      <c r="L326" s="24" t="n">
        <v>150</v>
      </c>
      <c r="M326" s="24">
        <f>I326+J326+K326+L326</f>
        <v/>
      </c>
      <c r="N326" s="24">
        <f>M326*'Dashboard &amp; Optimisation'!$B$18/('Dashboard &amp; Optimisation'!$B$16/3.6)</f>
        <v/>
      </c>
      <c r="O326" s="24" t="n">
        <v>201.2331001661026</v>
      </c>
      <c r="P326" s="25" t="n">
        <v>0.06805759746267123</v>
      </c>
      <c r="Q326" s="26" t="n">
        <v>5.595023284726097</v>
      </c>
      <c r="R326" s="24" t="n">
        <v>986.7522166437142</v>
      </c>
      <c r="S326" s="24">
        <f>R326*IF(A326=4, 2.0, 3.0)</f>
        <v/>
      </c>
      <c r="T326" s="22">
        <f>'Dashboard &amp; Optimisation'!$B$18*U326</f>
        <v/>
      </c>
      <c r="U326" s="27">
        <f>MIN(1, S326/M326)</f>
        <v/>
      </c>
      <c r="V326" s="27">
        <f>N326/(N326+O326)</f>
        <v/>
      </c>
      <c r="W326" s="27">
        <f>U326*V326</f>
        <v/>
      </c>
      <c r="X326" s="25">
        <f>T326/N326</f>
        <v/>
      </c>
      <c r="Y326" s="28">
        <f>IF(W326=MAXIFS(W$2:W$3601, A$2:A$3601, A326, B$2:B$3601, B326), "OPTIMAL", "")</f>
        <v/>
      </c>
    </row>
    <row r="327" ht="20" customHeight="1">
      <c r="A327" s="29" t="n">
        <v>4</v>
      </c>
      <c r="B327" s="29" t="n">
        <v>25</v>
      </c>
      <c r="C327" s="30" t="n">
        <v>120</v>
      </c>
      <c r="D327" s="30" t="n">
        <v>2</v>
      </c>
      <c r="E327" s="6" t="n">
        <v>4</v>
      </c>
      <c r="F327" s="30" t="n">
        <v>1.5</v>
      </c>
      <c r="G327" s="6" t="inlineStr">
        <is>
          <t>Oui</t>
        </is>
      </c>
      <c r="H327" s="6" t="inlineStr">
        <is>
          <t>OFF</t>
        </is>
      </c>
      <c r="I327" s="31" t="n">
        <v>580.1183283215253</v>
      </c>
      <c r="J327" s="31" t="n">
        <v>1533.568798690708</v>
      </c>
      <c r="K327" s="31" t="n">
        <v>1407.407407407407</v>
      </c>
      <c r="L327" s="31" t="n">
        <v>150</v>
      </c>
      <c r="M327" s="31">
        <f>I327+J327+K327+L327</f>
        <v/>
      </c>
      <c r="N327" s="31">
        <f>M327*'Dashboard &amp; Optimisation'!$B$18/('Dashboard &amp; Optimisation'!$B$16/3.6)</f>
        <v/>
      </c>
      <c r="O327" s="31" t="n">
        <v>201.2331001661026</v>
      </c>
      <c r="P327" s="32" t="n">
        <v>0.2717308104184109</v>
      </c>
      <c r="Q327" s="33" t="n">
        <v>5.595023284726097</v>
      </c>
      <c r="R327" s="31" t="n">
        <v>247.1415922704155</v>
      </c>
      <c r="S327" s="31">
        <f>R327*IF(A327=4, 2.0, 3.0)</f>
        <v/>
      </c>
      <c r="T327" s="30">
        <f>'Dashboard &amp; Optimisation'!$B$18*U327</f>
        <v/>
      </c>
      <c r="U327" s="34">
        <f>MIN(1, S327/M327)</f>
        <v/>
      </c>
      <c r="V327" s="34">
        <f>N327/(N327+O327)</f>
        <v/>
      </c>
      <c r="W327" s="34">
        <f>U327*V327</f>
        <v/>
      </c>
      <c r="X327" s="32">
        <f>T327/N327</f>
        <v/>
      </c>
      <c r="Y327" s="35">
        <f>IF(W327=MAXIFS(W$2:W$3601, A$2:A$3601, A327, B$2:B$3601, B327), "OPTIMAL", "")</f>
        <v/>
      </c>
    </row>
    <row r="328" ht="20" customHeight="1">
      <c r="A328" s="21" t="n">
        <v>4</v>
      </c>
      <c r="B328" s="21" t="n">
        <v>25</v>
      </c>
      <c r="C328" s="22" t="n">
        <v>120</v>
      </c>
      <c r="D328" s="22" t="n">
        <v>2</v>
      </c>
      <c r="E328" s="23" t="n">
        <v>4</v>
      </c>
      <c r="F328" s="22" t="n">
        <v>1.5</v>
      </c>
      <c r="G328" s="23" t="inlineStr">
        <is>
          <t>Non</t>
        </is>
      </c>
      <c r="H328" s="23" t="inlineStr">
        <is>
          <t>ON</t>
        </is>
      </c>
      <c r="I328" s="24" t="n">
        <v>580.1183283215253</v>
      </c>
      <c r="J328" s="24" t="n">
        <v>1533.568798690708</v>
      </c>
      <c r="K328" s="24" t="n">
        <v>1407.407407407407</v>
      </c>
      <c r="L328" s="24" t="n">
        <v>150</v>
      </c>
      <c r="M328" s="24">
        <f>I328+J328+K328+L328</f>
        <v/>
      </c>
      <c r="N328" s="24">
        <f>M328*'Dashboard &amp; Optimisation'!$B$18/('Dashboard &amp; Optimisation'!$B$16/3.6)</f>
        <v/>
      </c>
      <c r="O328" s="24" t="n">
        <v>201.2331001661026</v>
      </c>
      <c r="P328" s="25" t="n">
        <v>0.0654050150778063</v>
      </c>
      <c r="Q328" s="26" t="n">
        <v>5.595023284726097</v>
      </c>
      <c r="R328" s="24" t="n">
        <v>1026.771189882721</v>
      </c>
      <c r="S328" s="24">
        <f>R328*IF(A328=4, 2.0, 3.0)</f>
        <v/>
      </c>
      <c r="T328" s="22">
        <f>'Dashboard &amp; Optimisation'!$B$18*U328</f>
        <v/>
      </c>
      <c r="U328" s="27">
        <f>MIN(1, S328/M328)</f>
        <v/>
      </c>
      <c r="V328" s="27">
        <f>N328/(N328+O328)</f>
        <v/>
      </c>
      <c r="W328" s="27">
        <f>U328*V328</f>
        <v/>
      </c>
      <c r="X328" s="25">
        <f>T328/N328</f>
        <v/>
      </c>
      <c r="Y328" s="28">
        <f>IF(W328=MAXIFS(W$2:W$3601, A$2:A$3601, A328, B$2:B$3601, B328), "OPTIMAL", "")</f>
        <v/>
      </c>
    </row>
    <row r="329" ht="20" customHeight="1">
      <c r="A329" s="29" t="n">
        <v>4</v>
      </c>
      <c r="B329" s="29" t="n">
        <v>25</v>
      </c>
      <c r="C329" s="30" t="n">
        <v>120</v>
      </c>
      <c r="D329" s="30" t="n">
        <v>2</v>
      </c>
      <c r="E329" s="6" t="n">
        <v>4</v>
      </c>
      <c r="F329" s="30" t="n">
        <v>1.5</v>
      </c>
      <c r="G329" s="6" t="inlineStr">
        <is>
          <t>Non</t>
        </is>
      </c>
      <c r="H329" s="6" t="inlineStr">
        <is>
          <t>OFF</t>
        </is>
      </c>
      <c r="I329" s="31" t="n">
        <v>580.1183283215253</v>
      </c>
      <c r="J329" s="31" t="n">
        <v>1533.568798690708</v>
      </c>
      <c r="K329" s="31" t="n">
        <v>1407.407407407407</v>
      </c>
      <c r="L329" s="31" t="n">
        <v>150</v>
      </c>
      <c r="M329" s="31">
        <f>I329+J329+K329+L329</f>
        <v/>
      </c>
      <c r="N329" s="31">
        <f>M329*'Dashboard &amp; Optimisation'!$B$18/('Dashboard &amp; Optimisation'!$B$16/3.6)</f>
        <v/>
      </c>
      <c r="O329" s="31" t="n">
        <v>201.2331001661026</v>
      </c>
      <c r="P329" s="32" t="n">
        <v>0.2690782280335459</v>
      </c>
      <c r="Q329" s="33" t="n">
        <v>5.595023284726097</v>
      </c>
      <c r="R329" s="31" t="n">
        <v>249.5779225488438</v>
      </c>
      <c r="S329" s="31">
        <f>R329*IF(A329=4, 2.0, 3.0)</f>
        <v/>
      </c>
      <c r="T329" s="30">
        <f>'Dashboard &amp; Optimisation'!$B$18*U329</f>
        <v/>
      </c>
      <c r="U329" s="34">
        <f>MIN(1, S329/M329)</f>
        <v/>
      </c>
      <c r="V329" s="34">
        <f>N329/(N329+O329)</f>
        <v/>
      </c>
      <c r="W329" s="34">
        <f>U329*V329</f>
        <v/>
      </c>
      <c r="X329" s="32">
        <f>T329/N329</f>
        <v/>
      </c>
      <c r="Y329" s="35">
        <f>IF(W329=MAXIFS(W$2:W$3601, A$2:A$3601, A329, B$2:B$3601, B329), "OPTIMAL", "")</f>
        <v/>
      </c>
    </row>
    <row r="330" ht="20" customHeight="1">
      <c r="A330" s="21" t="n">
        <v>4</v>
      </c>
      <c r="B330" s="21" t="n">
        <v>25</v>
      </c>
      <c r="C330" s="22" t="n">
        <v>120</v>
      </c>
      <c r="D330" s="22" t="n">
        <v>2</v>
      </c>
      <c r="E330" s="23" t="n">
        <v>4</v>
      </c>
      <c r="F330" s="22" t="n">
        <v>2</v>
      </c>
      <c r="G330" s="23" t="inlineStr">
        <is>
          <t>Oui</t>
        </is>
      </c>
      <c r="H330" s="23" t="inlineStr">
        <is>
          <t>ON</t>
        </is>
      </c>
      <c r="I330" s="24" t="n">
        <v>580.1183283215253</v>
      </c>
      <c r="J330" s="24" t="n">
        <v>1533.568798690708</v>
      </c>
      <c r="K330" s="24" t="n">
        <v>1407.407407407407</v>
      </c>
      <c r="L330" s="24" t="n">
        <v>150</v>
      </c>
      <c r="M330" s="24">
        <f>I330+J330+K330+L330</f>
        <v/>
      </c>
      <c r="N330" s="24">
        <f>M330*'Dashboard &amp; Optimisation'!$B$18/('Dashboard &amp; Optimisation'!$B$16/3.6)</f>
        <v/>
      </c>
      <c r="O330" s="24" t="n">
        <v>225.5333191133194</v>
      </c>
      <c r="P330" s="25" t="n">
        <v>0.06474901627983365</v>
      </c>
      <c r="Q330" s="26" t="n">
        <v>7.393364379634797</v>
      </c>
      <c r="R330" s="24" t="n">
        <v>1046.612744677762</v>
      </c>
      <c r="S330" s="24">
        <f>R330*IF(A330=4, 2.0, 3.0)</f>
        <v/>
      </c>
      <c r="T330" s="22">
        <f>'Dashboard &amp; Optimisation'!$B$18*U330</f>
        <v/>
      </c>
      <c r="U330" s="27">
        <f>MIN(1, S330/M330)</f>
        <v/>
      </c>
      <c r="V330" s="27">
        <f>N330/(N330+O330)</f>
        <v/>
      </c>
      <c r="W330" s="27">
        <f>U330*V330</f>
        <v/>
      </c>
      <c r="X330" s="25">
        <f>T330/N330</f>
        <v/>
      </c>
      <c r="Y330" s="28">
        <f>IF(W330=MAXIFS(W$2:W$3601, A$2:A$3601, A330, B$2:B$3601, B330), "OPTIMAL", "")</f>
        <v/>
      </c>
    </row>
    <row r="331" ht="20" customHeight="1">
      <c r="A331" s="29" t="n">
        <v>4</v>
      </c>
      <c r="B331" s="29" t="n">
        <v>25</v>
      </c>
      <c r="C331" s="30" t="n">
        <v>120</v>
      </c>
      <c r="D331" s="30" t="n">
        <v>2</v>
      </c>
      <c r="E331" s="6" t="n">
        <v>4</v>
      </c>
      <c r="F331" s="30" t="n">
        <v>2</v>
      </c>
      <c r="G331" s="6" t="inlineStr">
        <is>
          <t>Oui</t>
        </is>
      </c>
      <c r="H331" s="6" t="inlineStr">
        <is>
          <t>OFF</t>
        </is>
      </c>
      <c r="I331" s="31" t="n">
        <v>580.1183283215253</v>
      </c>
      <c r="J331" s="31" t="n">
        <v>1533.568798690708</v>
      </c>
      <c r="K331" s="31" t="n">
        <v>1407.407407407407</v>
      </c>
      <c r="L331" s="31" t="n">
        <v>150</v>
      </c>
      <c r="M331" s="31">
        <f>I331+J331+K331+L331</f>
        <v/>
      </c>
      <c r="N331" s="31">
        <f>M331*'Dashboard &amp; Optimisation'!$B$18/('Dashboard &amp; Optimisation'!$B$16/3.6)</f>
        <v/>
      </c>
      <c r="O331" s="31" t="n">
        <v>225.5333191133194</v>
      </c>
      <c r="P331" s="32" t="n">
        <v>0.269253725510994</v>
      </c>
      <c r="Q331" s="33" t="n">
        <v>7.393364379634797</v>
      </c>
      <c r="R331" s="31" t="n">
        <v>251.6850807364399</v>
      </c>
      <c r="S331" s="31">
        <f>R331*IF(A331=4, 2.0, 3.0)</f>
        <v/>
      </c>
      <c r="T331" s="30">
        <f>'Dashboard &amp; Optimisation'!$B$18*U331</f>
        <v/>
      </c>
      <c r="U331" s="34">
        <f>MIN(1, S331/M331)</f>
        <v/>
      </c>
      <c r="V331" s="34">
        <f>N331/(N331+O331)</f>
        <v/>
      </c>
      <c r="W331" s="34">
        <f>U331*V331</f>
        <v/>
      </c>
      <c r="X331" s="32">
        <f>T331/N331</f>
        <v/>
      </c>
      <c r="Y331" s="35">
        <f>IF(W331=MAXIFS(W$2:W$3601, A$2:A$3601, A331, B$2:B$3601, B331), "OPTIMAL", "")</f>
        <v/>
      </c>
    </row>
    <row r="332" ht="20" customHeight="1">
      <c r="A332" s="21" t="n">
        <v>4</v>
      </c>
      <c r="B332" s="21" t="n">
        <v>25</v>
      </c>
      <c r="C332" s="22" t="n">
        <v>120</v>
      </c>
      <c r="D332" s="22" t="n">
        <v>2</v>
      </c>
      <c r="E332" s="23" t="n">
        <v>4</v>
      </c>
      <c r="F332" s="22" t="n">
        <v>2</v>
      </c>
      <c r="G332" s="23" t="inlineStr">
        <is>
          <t>Non</t>
        </is>
      </c>
      <c r="H332" s="23" t="inlineStr">
        <is>
          <t>ON</t>
        </is>
      </c>
      <c r="I332" s="24" t="n">
        <v>580.1183283215253</v>
      </c>
      <c r="J332" s="24" t="n">
        <v>1533.568798690708</v>
      </c>
      <c r="K332" s="24" t="n">
        <v>1407.407407407407</v>
      </c>
      <c r="L332" s="24" t="n">
        <v>150</v>
      </c>
      <c r="M332" s="24">
        <f>I332+J332+K332+L332</f>
        <v/>
      </c>
      <c r="N332" s="24">
        <f>M332*'Dashboard &amp; Optimisation'!$B$18/('Dashboard &amp; Optimisation'!$B$16/3.6)</f>
        <v/>
      </c>
      <c r="O332" s="24" t="n">
        <v>225.5333191133194</v>
      </c>
      <c r="P332" s="25" t="n">
        <v>0.06209643389496873</v>
      </c>
      <c r="Q332" s="26" t="n">
        <v>7.393364379634797</v>
      </c>
      <c r="R332" s="24" t="n">
        <v>1091.321053290187</v>
      </c>
      <c r="S332" s="24">
        <f>R332*IF(A332=4, 2.0, 3.0)</f>
        <v/>
      </c>
      <c r="T332" s="22">
        <f>'Dashboard &amp; Optimisation'!$B$18*U332</f>
        <v/>
      </c>
      <c r="U332" s="27">
        <f>MIN(1, S332/M332)</f>
        <v/>
      </c>
      <c r="V332" s="27">
        <f>N332/(N332+O332)</f>
        <v/>
      </c>
      <c r="W332" s="27">
        <f>U332*V332</f>
        <v/>
      </c>
      <c r="X332" s="25">
        <f>T332/N332</f>
        <v/>
      </c>
      <c r="Y332" s="28">
        <f>IF(W332=MAXIFS(W$2:W$3601, A$2:A$3601, A332, B$2:B$3601, B332), "OPTIMAL", "")</f>
        <v/>
      </c>
    </row>
    <row r="333" ht="20" customHeight="1">
      <c r="A333" s="29" t="n">
        <v>4</v>
      </c>
      <c r="B333" s="29" t="n">
        <v>25</v>
      </c>
      <c r="C333" s="30" t="n">
        <v>120</v>
      </c>
      <c r="D333" s="30" t="n">
        <v>2</v>
      </c>
      <c r="E333" s="6" t="n">
        <v>4</v>
      </c>
      <c r="F333" s="30" t="n">
        <v>2</v>
      </c>
      <c r="G333" s="6" t="inlineStr">
        <is>
          <t>Non</t>
        </is>
      </c>
      <c r="H333" s="6" t="inlineStr">
        <is>
          <t>OFF</t>
        </is>
      </c>
      <c r="I333" s="31" t="n">
        <v>580.1183283215253</v>
      </c>
      <c r="J333" s="31" t="n">
        <v>1533.568798690708</v>
      </c>
      <c r="K333" s="31" t="n">
        <v>1407.407407407407</v>
      </c>
      <c r="L333" s="31" t="n">
        <v>150</v>
      </c>
      <c r="M333" s="31">
        <f>I333+J333+K333+L333</f>
        <v/>
      </c>
      <c r="N333" s="31">
        <f>M333*'Dashboard &amp; Optimisation'!$B$18/('Dashboard &amp; Optimisation'!$B$16/3.6)</f>
        <v/>
      </c>
      <c r="O333" s="31" t="n">
        <v>225.5333191133194</v>
      </c>
      <c r="P333" s="32" t="n">
        <v>0.2666011431261291</v>
      </c>
      <c r="Q333" s="33" t="n">
        <v>7.393364379634797</v>
      </c>
      <c r="R333" s="31" t="n">
        <v>254.1892538388746</v>
      </c>
      <c r="S333" s="31">
        <f>R333*IF(A333=4, 2.0, 3.0)</f>
        <v/>
      </c>
      <c r="T333" s="30">
        <f>'Dashboard &amp; Optimisation'!$B$18*U333</f>
        <v/>
      </c>
      <c r="U333" s="34">
        <f>MIN(1, S333/M333)</f>
        <v/>
      </c>
      <c r="V333" s="34">
        <f>N333/(N333+O333)</f>
        <v/>
      </c>
      <c r="W333" s="34">
        <f>U333*V333</f>
        <v/>
      </c>
      <c r="X333" s="32">
        <f>T333/N333</f>
        <v/>
      </c>
      <c r="Y333" s="35">
        <f>IF(W333=MAXIFS(W$2:W$3601, A$2:A$3601, A333, B$2:B$3601, B333), "OPTIMAL", "")</f>
        <v/>
      </c>
    </row>
    <row r="334" ht="20" customHeight="1">
      <c r="A334" s="21" t="n">
        <v>4</v>
      </c>
      <c r="B334" s="21" t="n">
        <v>25</v>
      </c>
      <c r="C334" s="22" t="n">
        <v>120</v>
      </c>
      <c r="D334" s="22" t="n">
        <v>2</v>
      </c>
      <c r="E334" s="23" t="n">
        <v>8</v>
      </c>
      <c r="F334" s="22" t="n">
        <v>1.5</v>
      </c>
      <c r="G334" s="23" t="inlineStr">
        <is>
          <t>Oui</t>
        </is>
      </c>
      <c r="H334" s="23" t="inlineStr">
        <is>
          <t>ON</t>
        </is>
      </c>
      <c r="I334" s="24" t="n">
        <v>580.1183283215253</v>
      </c>
      <c r="J334" s="24" t="n">
        <v>1533.568798690708</v>
      </c>
      <c r="K334" s="24" t="n">
        <v>1407.407407407407</v>
      </c>
      <c r="L334" s="24" t="n">
        <v>150</v>
      </c>
      <c r="M334" s="24">
        <f>I334+J334+K334+L334</f>
        <v/>
      </c>
      <c r="N334" s="24">
        <f>M334*'Dashboard &amp; Optimisation'!$B$18/('Dashboard &amp; Optimisation'!$B$16/3.6)</f>
        <v/>
      </c>
      <c r="O334" s="24" t="n">
        <v>275.4852366068769</v>
      </c>
      <c r="P334" s="25" t="n">
        <v>0.05155761606859751</v>
      </c>
      <c r="Q334" s="26" t="n">
        <v>10.9900465694522</v>
      </c>
      <c r="R334" s="24" t="n">
        <v>1338.763545529501</v>
      </c>
      <c r="S334" s="24">
        <f>R334*IF(A334=4, 2.0, 3.0)</f>
        <v/>
      </c>
      <c r="T334" s="22">
        <f>'Dashboard &amp; Optimisation'!$B$18*U334</f>
        <v/>
      </c>
      <c r="U334" s="27">
        <f>MIN(1, S334/M334)</f>
        <v/>
      </c>
      <c r="V334" s="27">
        <f>N334/(N334+O334)</f>
        <v/>
      </c>
      <c r="W334" s="27">
        <f>U334*V334</f>
        <v/>
      </c>
      <c r="X334" s="25">
        <f>T334/N334</f>
        <v/>
      </c>
      <c r="Y334" s="28">
        <f>IF(W334=MAXIFS(W$2:W$3601, A$2:A$3601, A334, B$2:B$3601, B334), "OPTIMAL", "")</f>
        <v/>
      </c>
    </row>
    <row r="335" ht="20" customHeight="1">
      <c r="A335" s="29" t="n">
        <v>4</v>
      </c>
      <c r="B335" s="29" t="n">
        <v>25</v>
      </c>
      <c r="C335" s="30" t="n">
        <v>120</v>
      </c>
      <c r="D335" s="30" t="n">
        <v>2</v>
      </c>
      <c r="E335" s="6" t="n">
        <v>8</v>
      </c>
      <c r="F335" s="30" t="n">
        <v>1.5</v>
      </c>
      <c r="G335" s="6" t="inlineStr">
        <is>
          <t>Oui</t>
        </is>
      </c>
      <c r="H335" s="6" t="inlineStr">
        <is>
          <t>OFF</t>
        </is>
      </c>
      <c r="I335" s="31" t="n">
        <v>580.1183283215253</v>
      </c>
      <c r="J335" s="31" t="n">
        <v>1533.568798690708</v>
      </c>
      <c r="K335" s="31" t="n">
        <v>1407.407407407407</v>
      </c>
      <c r="L335" s="31" t="n">
        <v>150</v>
      </c>
      <c r="M335" s="31">
        <f>I335+J335+K335+L335</f>
        <v/>
      </c>
      <c r="N335" s="31">
        <f>M335*'Dashboard &amp; Optimisation'!$B$18/('Dashboard &amp; Optimisation'!$B$16/3.6)</f>
        <v/>
      </c>
      <c r="O335" s="31" t="n">
        <v>275.4852366068769</v>
      </c>
      <c r="P335" s="32" t="n">
        <v>0.216853233443705</v>
      </c>
      <c r="Q335" s="33" t="n">
        <v>10.9900465694522</v>
      </c>
      <c r="R335" s="31" t="n">
        <v>318.2957237525482</v>
      </c>
      <c r="S335" s="31">
        <f>R335*IF(A335=4, 2.0, 3.0)</f>
        <v/>
      </c>
      <c r="T335" s="30">
        <f>'Dashboard &amp; Optimisation'!$B$18*U335</f>
        <v/>
      </c>
      <c r="U335" s="34">
        <f>MIN(1, S335/M335)</f>
        <v/>
      </c>
      <c r="V335" s="34">
        <f>N335/(N335+O335)</f>
        <v/>
      </c>
      <c r="W335" s="34">
        <f>U335*V335</f>
        <v/>
      </c>
      <c r="X335" s="32">
        <f>T335/N335</f>
        <v/>
      </c>
      <c r="Y335" s="35">
        <f>IF(W335=MAXIFS(W$2:W$3601, A$2:A$3601, A335, B$2:B$3601, B335), "OPTIMAL", "")</f>
        <v/>
      </c>
    </row>
    <row r="336" ht="20" customHeight="1">
      <c r="A336" s="21" t="n">
        <v>4</v>
      </c>
      <c r="B336" s="21" t="n">
        <v>25</v>
      </c>
      <c r="C336" s="22" t="n">
        <v>120</v>
      </c>
      <c r="D336" s="22" t="n">
        <v>2</v>
      </c>
      <c r="E336" s="23" t="n">
        <v>8</v>
      </c>
      <c r="F336" s="22" t="n">
        <v>1.5</v>
      </c>
      <c r="G336" s="23" t="inlineStr">
        <is>
          <t>Non</t>
        </is>
      </c>
      <c r="H336" s="23" t="inlineStr">
        <is>
          <t>ON</t>
        </is>
      </c>
      <c r="I336" s="24" t="n">
        <v>580.1183283215253</v>
      </c>
      <c r="J336" s="24" t="n">
        <v>1533.568798690708</v>
      </c>
      <c r="K336" s="24" t="n">
        <v>1407.407407407407</v>
      </c>
      <c r="L336" s="24" t="n">
        <v>150</v>
      </c>
      <c r="M336" s="24">
        <f>I336+J336+K336+L336</f>
        <v/>
      </c>
      <c r="N336" s="24">
        <f>M336*'Dashboard &amp; Optimisation'!$B$18/('Dashboard &amp; Optimisation'!$B$16/3.6)</f>
        <v/>
      </c>
      <c r="O336" s="24" t="n">
        <v>275.4852366068769</v>
      </c>
      <c r="P336" s="25" t="n">
        <v>0.04890503368373258</v>
      </c>
      <c r="Q336" s="26" t="n">
        <v>10.9900465694522</v>
      </c>
      <c r="R336" s="24" t="n">
        <v>1411.377350916821</v>
      </c>
      <c r="S336" s="24">
        <f>R336*IF(A336=4, 2.0, 3.0)</f>
        <v/>
      </c>
      <c r="T336" s="22">
        <f>'Dashboard &amp; Optimisation'!$B$18*U336</f>
        <v/>
      </c>
      <c r="U336" s="27">
        <f>MIN(1, S336/M336)</f>
        <v/>
      </c>
      <c r="V336" s="27">
        <f>N336/(N336+O336)</f>
        <v/>
      </c>
      <c r="W336" s="27">
        <f>U336*V336</f>
        <v/>
      </c>
      <c r="X336" s="25">
        <f>T336/N336</f>
        <v/>
      </c>
      <c r="Y336" s="28">
        <f>IF(W336=MAXIFS(W$2:W$3601, A$2:A$3601, A336, B$2:B$3601, B336), "OPTIMAL", "")</f>
        <v/>
      </c>
    </row>
    <row r="337" ht="20" customHeight="1">
      <c r="A337" s="29" t="n">
        <v>4</v>
      </c>
      <c r="B337" s="29" t="n">
        <v>25</v>
      </c>
      <c r="C337" s="30" t="n">
        <v>120</v>
      </c>
      <c r="D337" s="30" t="n">
        <v>2</v>
      </c>
      <c r="E337" s="6" t="n">
        <v>8</v>
      </c>
      <c r="F337" s="30" t="n">
        <v>1.5</v>
      </c>
      <c r="G337" s="6" t="inlineStr">
        <is>
          <t>Non</t>
        </is>
      </c>
      <c r="H337" s="6" t="inlineStr">
        <is>
          <t>OFF</t>
        </is>
      </c>
      <c r="I337" s="31" t="n">
        <v>580.1183283215253</v>
      </c>
      <c r="J337" s="31" t="n">
        <v>1533.568798690708</v>
      </c>
      <c r="K337" s="31" t="n">
        <v>1407.407407407407</v>
      </c>
      <c r="L337" s="31" t="n">
        <v>150</v>
      </c>
      <c r="M337" s="31">
        <f>I337+J337+K337+L337</f>
        <v/>
      </c>
      <c r="N337" s="31">
        <f>M337*'Dashboard &amp; Optimisation'!$B$18/('Dashboard &amp; Optimisation'!$B$16/3.6)</f>
        <v/>
      </c>
      <c r="O337" s="31" t="n">
        <v>275.4852366068769</v>
      </c>
      <c r="P337" s="32" t="n">
        <v>0.2142006510588401</v>
      </c>
      <c r="Q337" s="33" t="n">
        <v>10.9900465694522</v>
      </c>
      <c r="R337" s="31" t="n">
        <v>322.2373813797789</v>
      </c>
      <c r="S337" s="31">
        <f>R337*IF(A337=4, 2.0, 3.0)</f>
        <v/>
      </c>
      <c r="T337" s="30">
        <f>'Dashboard &amp; Optimisation'!$B$18*U337</f>
        <v/>
      </c>
      <c r="U337" s="34">
        <f>MIN(1, S337/M337)</f>
        <v/>
      </c>
      <c r="V337" s="34">
        <f>N337/(N337+O337)</f>
        <v/>
      </c>
      <c r="W337" s="34">
        <f>U337*V337</f>
        <v/>
      </c>
      <c r="X337" s="32">
        <f>T337/N337</f>
        <v/>
      </c>
      <c r="Y337" s="35">
        <f>IF(W337=MAXIFS(W$2:W$3601, A$2:A$3601, A337, B$2:B$3601, B337), "OPTIMAL", "")</f>
        <v/>
      </c>
    </row>
    <row r="338" ht="20" customHeight="1">
      <c r="A338" s="21" t="n">
        <v>4</v>
      </c>
      <c r="B338" s="21" t="n">
        <v>25</v>
      </c>
      <c r="C338" s="22" t="n">
        <v>120</v>
      </c>
      <c r="D338" s="22" t="n">
        <v>2</v>
      </c>
      <c r="E338" s="23" t="n">
        <v>8</v>
      </c>
      <c r="F338" s="22" t="n">
        <v>2</v>
      </c>
      <c r="G338" s="23" t="inlineStr">
        <is>
          <t>Oui</t>
        </is>
      </c>
      <c r="H338" s="23" t="inlineStr">
        <is>
          <t>ON</t>
        </is>
      </c>
      <c r="I338" s="24" t="n">
        <v>580.1183283215253</v>
      </c>
      <c r="J338" s="24" t="n">
        <v>1533.568798690708</v>
      </c>
      <c r="K338" s="24" t="n">
        <v>1407.407407407407</v>
      </c>
      <c r="L338" s="24" t="n">
        <v>150</v>
      </c>
      <c r="M338" s="24">
        <f>I338+J338+K338+L338</f>
        <v/>
      </c>
      <c r="N338" s="24">
        <f>M338*'Dashboard &amp; Optimisation'!$B$18/('Dashboard &amp; Optimisation'!$B$16/3.6)</f>
        <v/>
      </c>
      <c r="O338" s="24" t="n">
        <v>327.3242197532183</v>
      </c>
      <c r="P338" s="25" t="n">
        <v>0.04997260972227939</v>
      </c>
      <c r="Q338" s="26" t="n">
        <v>14.58672875926959</v>
      </c>
      <c r="R338" s="24" t="n">
        <v>1407.315507383075</v>
      </c>
      <c r="S338" s="24">
        <f>R338*IF(A338=4, 2.0, 3.0)</f>
        <v/>
      </c>
      <c r="T338" s="22">
        <f>'Dashboard &amp; Optimisation'!$B$18*U338</f>
        <v/>
      </c>
      <c r="U338" s="27">
        <f>MIN(1, S338/M338)</f>
        <v/>
      </c>
      <c r="V338" s="27">
        <f>N338/(N338+O338)</f>
        <v/>
      </c>
      <c r="W338" s="27">
        <f>U338*V338</f>
        <v/>
      </c>
      <c r="X338" s="25">
        <f>T338/N338</f>
        <v/>
      </c>
      <c r="Y338" s="28">
        <f>IF(W338=MAXIFS(W$2:W$3601, A$2:A$3601, A338, B$2:B$3601, B338), "OPTIMAL", "")</f>
        <v/>
      </c>
    </row>
    <row r="339" ht="20" customHeight="1">
      <c r="A339" s="29" t="n">
        <v>4</v>
      </c>
      <c r="B339" s="29" t="n">
        <v>25</v>
      </c>
      <c r="C339" s="30" t="n">
        <v>120</v>
      </c>
      <c r="D339" s="30" t="n">
        <v>2</v>
      </c>
      <c r="E339" s="6" t="n">
        <v>8</v>
      </c>
      <c r="F339" s="30" t="n">
        <v>2</v>
      </c>
      <c r="G339" s="6" t="inlineStr">
        <is>
          <t>Oui</t>
        </is>
      </c>
      <c r="H339" s="6" t="inlineStr">
        <is>
          <t>OFF</t>
        </is>
      </c>
      <c r="I339" s="31" t="n">
        <v>580.1183283215253</v>
      </c>
      <c r="J339" s="31" t="n">
        <v>1533.568798690708</v>
      </c>
      <c r="K339" s="31" t="n">
        <v>1407.407407407407</v>
      </c>
      <c r="L339" s="31" t="n">
        <v>150</v>
      </c>
      <c r="M339" s="31">
        <f>I339+J339+K339+L339</f>
        <v/>
      </c>
      <c r="N339" s="31">
        <f>M339*'Dashboard &amp; Optimisation'!$B$18/('Dashboard &amp; Optimisation'!$B$16/3.6)</f>
        <v/>
      </c>
      <c r="O339" s="31" t="n">
        <v>327.3242197532183</v>
      </c>
      <c r="P339" s="32" t="n">
        <v>0.2163666659525478</v>
      </c>
      <c r="Q339" s="33" t="n">
        <v>14.58672875926959</v>
      </c>
      <c r="R339" s="31" t="n">
        <v>325.0372616176917</v>
      </c>
      <c r="S339" s="31">
        <f>R339*IF(A339=4, 2.0, 3.0)</f>
        <v/>
      </c>
      <c r="T339" s="30">
        <f>'Dashboard &amp; Optimisation'!$B$18*U339</f>
        <v/>
      </c>
      <c r="U339" s="34">
        <f>MIN(1, S339/M339)</f>
        <v/>
      </c>
      <c r="V339" s="34">
        <f>N339/(N339+O339)</f>
        <v/>
      </c>
      <c r="W339" s="34">
        <f>U339*V339</f>
        <v/>
      </c>
      <c r="X339" s="32">
        <f>T339/N339</f>
        <v/>
      </c>
      <c r="Y339" s="35">
        <f>IF(W339=MAXIFS(W$2:W$3601, A$2:A$3601, A339, B$2:B$3601, B339), "OPTIMAL", "")</f>
        <v/>
      </c>
    </row>
    <row r="340" ht="20" customHeight="1">
      <c r="A340" s="21" t="n">
        <v>4</v>
      </c>
      <c r="B340" s="21" t="n">
        <v>25</v>
      </c>
      <c r="C340" s="22" t="n">
        <v>120</v>
      </c>
      <c r="D340" s="22" t="n">
        <v>2</v>
      </c>
      <c r="E340" s="23" t="n">
        <v>8</v>
      </c>
      <c r="F340" s="22" t="n">
        <v>2</v>
      </c>
      <c r="G340" s="23" t="inlineStr">
        <is>
          <t>Non</t>
        </is>
      </c>
      <c r="H340" s="23" t="inlineStr">
        <is>
          <t>ON</t>
        </is>
      </c>
      <c r="I340" s="24" t="n">
        <v>580.1183283215253</v>
      </c>
      <c r="J340" s="24" t="n">
        <v>1533.568798690708</v>
      </c>
      <c r="K340" s="24" t="n">
        <v>1407.407407407407</v>
      </c>
      <c r="L340" s="24" t="n">
        <v>150</v>
      </c>
      <c r="M340" s="24">
        <f>I340+J340+K340+L340</f>
        <v/>
      </c>
      <c r="N340" s="24">
        <f>M340*'Dashboard &amp; Optimisation'!$B$18/('Dashboard &amp; Optimisation'!$B$16/3.6)</f>
        <v/>
      </c>
      <c r="O340" s="24" t="n">
        <v>327.3242197532183</v>
      </c>
      <c r="P340" s="25" t="n">
        <v>0.04732002733741447</v>
      </c>
      <c r="Q340" s="26" t="n">
        <v>14.58672875926959</v>
      </c>
      <c r="R340" s="24" t="n">
        <v>1486.204310599805</v>
      </c>
      <c r="S340" s="24">
        <f>R340*IF(A340=4, 2.0, 3.0)</f>
        <v/>
      </c>
      <c r="T340" s="22">
        <f>'Dashboard &amp; Optimisation'!$B$18*U340</f>
        <v/>
      </c>
      <c r="U340" s="27">
        <f>MIN(1, S340/M340)</f>
        <v/>
      </c>
      <c r="V340" s="27">
        <f>N340/(N340+O340)</f>
        <v/>
      </c>
      <c r="W340" s="27">
        <f>U340*V340</f>
        <v/>
      </c>
      <c r="X340" s="25">
        <f>T340/N340</f>
        <v/>
      </c>
      <c r="Y340" s="28">
        <f>IF(W340=MAXIFS(W$2:W$3601, A$2:A$3601, A340, B$2:B$3601, B340), "OPTIMAL", "")</f>
        <v/>
      </c>
    </row>
    <row r="341" ht="20" customHeight="1">
      <c r="A341" s="29" t="n">
        <v>4</v>
      </c>
      <c r="B341" s="29" t="n">
        <v>25</v>
      </c>
      <c r="C341" s="30" t="n">
        <v>120</v>
      </c>
      <c r="D341" s="30" t="n">
        <v>2</v>
      </c>
      <c r="E341" s="6" t="n">
        <v>8</v>
      </c>
      <c r="F341" s="30" t="n">
        <v>2</v>
      </c>
      <c r="G341" s="6" t="inlineStr">
        <is>
          <t>Non</t>
        </is>
      </c>
      <c r="H341" s="6" t="inlineStr">
        <is>
          <t>OFF</t>
        </is>
      </c>
      <c r="I341" s="31" t="n">
        <v>580.1183283215253</v>
      </c>
      <c r="J341" s="31" t="n">
        <v>1533.568798690708</v>
      </c>
      <c r="K341" s="31" t="n">
        <v>1407.407407407407</v>
      </c>
      <c r="L341" s="31" t="n">
        <v>150</v>
      </c>
      <c r="M341" s="31">
        <f>I341+J341+K341+L341</f>
        <v/>
      </c>
      <c r="N341" s="31">
        <f>M341*'Dashboard &amp; Optimisation'!$B$18/('Dashboard &amp; Optimisation'!$B$16/3.6)</f>
        <v/>
      </c>
      <c r="O341" s="31" t="n">
        <v>327.3242197532183</v>
      </c>
      <c r="P341" s="32" t="n">
        <v>0.2137140835676829</v>
      </c>
      <c r="Q341" s="33" t="n">
        <v>14.58672875926959</v>
      </c>
      <c r="R341" s="31" t="n">
        <v>329.0715681088631</v>
      </c>
      <c r="S341" s="31">
        <f>R341*IF(A341=4, 2.0, 3.0)</f>
        <v/>
      </c>
      <c r="T341" s="30">
        <f>'Dashboard &amp; Optimisation'!$B$18*U341</f>
        <v/>
      </c>
      <c r="U341" s="34">
        <f>MIN(1, S341/M341)</f>
        <v/>
      </c>
      <c r="V341" s="34">
        <f>N341/(N341+O341)</f>
        <v/>
      </c>
      <c r="W341" s="34">
        <f>U341*V341</f>
        <v/>
      </c>
      <c r="X341" s="32">
        <f>T341/N341</f>
        <v/>
      </c>
      <c r="Y341" s="35">
        <f>IF(W341=MAXIFS(W$2:W$3601, A$2:A$3601, A341, B$2:B$3601, B341), "OPTIMAL", "")</f>
        <v/>
      </c>
    </row>
    <row r="342" ht="20" customHeight="1">
      <c r="A342" s="21" t="n">
        <v>4</v>
      </c>
      <c r="B342" s="21" t="n">
        <v>25</v>
      </c>
      <c r="C342" s="22" t="n">
        <v>120</v>
      </c>
      <c r="D342" s="22" t="n">
        <v>3</v>
      </c>
      <c r="E342" s="23" t="n">
        <v>0</v>
      </c>
      <c r="F342" s="22" t="n">
        <v>0</v>
      </c>
      <c r="G342" s="23" t="inlineStr">
        <is>
          <t>Oui</t>
        </is>
      </c>
      <c r="H342" s="23" t="inlineStr">
        <is>
          <t>ON</t>
        </is>
      </c>
      <c r="I342" s="24" t="n">
        <v>580.1183283215253</v>
      </c>
      <c r="J342" s="24" t="n">
        <v>1533.568798690708</v>
      </c>
      <c r="K342" s="24" t="n">
        <v>1407.407407407407</v>
      </c>
      <c r="L342" s="24" t="n">
        <v>150</v>
      </c>
      <c r="M342" s="24">
        <f>I342+J342+K342+L342</f>
        <v/>
      </c>
      <c r="N342" s="24">
        <f>M342*'Dashboard &amp; Optimisation'!$B$18/('Dashboard &amp; Optimisation'!$B$16/3.6)</f>
        <v/>
      </c>
      <c r="O342" s="24" t="n">
        <v>201.5662399084315</v>
      </c>
      <c r="P342" s="25" t="n">
        <v>0.4668943220842715</v>
      </c>
      <c r="Q342" s="26" t="n">
        <v>0.2</v>
      </c>
      <c r="R342" s="24" t="n">
        <v>145.0034878138687</v>
      </c>
      <c r="S342" s="24">
        <f>R342*IF(A342=4, 2.0, 3.0)</f>
        <v/>
      </c>
      <c r="T342" s="22">
        <f>'Dashboard &amp; Optimisation'!$B$18*U342</f>
        <v/>
      </c>
      <c r="U342" s="27">
        <f>MIN(1, S342/M342)</f>
        <v/>
      </c>
      <c r="V342" s="27">
        <f>N342/(N342+O342)</f>
        <v/>
      </c>
      <c r="W342" s="27">
        <f>U342*V342</f>
        <v/>
      </c>
      <c r="X342" s="25">
        <f>T342/N342</f>
        <v/>
      </c>
      <c r="Y342" s="28">
        <f>IF(W342=MAXIFS(W$2:W$3601, A$2:A$3601, A342, B$2:B$3601, B342), "OPTIMAL", "")</f>
        <v/>
      </c>
    </row>
    <row r="343" ht="20" customHeight="1">
      <c r="A343" s="29" t="n">
        <v>4</v>
      </c>
      <c r="B343" s="29" t="n">
        <v>25</v>
      </c>
      <c r="C343" s="30" t="n">
        <v>120</v>
      </c>
      <c r="D343" s="30" t="n">
        <v>3</v>
      </c>
      <c r="E343" s="6" t="n">
        <v>0</v>
      </c>
      <c r="F343" s="30" t="n">
        <v>0</v>
      </c>
      <c r="G343" s="6" t="inlineStr">
        <is>
          <t>Oui</t>
        </is>
      </c>
      <c r="H343" s="6" t="inlineStr">
        <is>
          <t>OFF</t>
        </is>
      </c>
      <c r="I343" s="31" t="n">
        <v>580.1183283215253</v>
      </c>
      <c r="J343" s="31" t="n">
        <v>1533.568798690708</v>
      </c>
      <c r="K343" s="31" t="n">
        <v>1407.407407407407</v>
      </c>
      <c r="L343" s="31" t="n">
        <v>150</v>
      </c>
      <c r="M343" s="31">
        <f>I343+J343+K343+L343</f>
        <v/>
      </c>
      <c r="N343" s="31">
        <f>M343*'Dashboard &amp; Optimisation'!$B$18/('Dashboard &amp; Optimisation'!$B$16/3.6)</f>
        <v/>
      </c>
      <c r="O343" s="31" t="n">
        <v>201.5662399084315</v>
      </c>
      <c r="P343" s="32" t="n">
        <v>0.7321525605707637</v>
      </c>
      <c r="Q343" s="33" t="n">
        <v>0.2</v>
      </c>
      <c r="R343" s="31" t="n">
        <v>92.46884978444014</v>
      </c>
      <c r="S343" s="31">
        <f>R343*IF(A343=4, 2.0, 3.0)</f>
        <v/>
      </c>
      <c r="T343" s="30">
        <f>'Dashboard &amp; Optimisation'!$B$18*U343</f>
        <v/>
      </c>
      <c r="U343" s="34">
        <f>MIN(1, S343/M343)</f>
        <v/>
      </c>
      <c r="V343" s="34">
        <f>N343/(N343+O343)</f>
        <v/>
      </c>
      <c r="W343" s="34">
        <f>U343*V343</f>
        <v/>
      </c>
      <c r="X343" s="32">
        <f>T343/N343</f>
        <v/>
      </c>
      <c r="Y343" s="35">
        <f>IF(W343=MAXIFS(W$2:W$3601, A$2:A$3601, A343, B$2:B$3601, B343), "OPTIMAL", "")</f>
        <v/>
      </c>
    </row>
    <row r="344" ht="20" customHeight="1">
      <c r="A344" s="21" t="n">
        <v>4</v>
      </c>
      <c r="B344" s="21" t="n">
        <v>25</v>
      </c>
      <c r="C344" s="22" t="n">
        <v>120</v>
      </c>
      <c r="D344" s="22" t="n">
        <v>3</v>
      </c>
      <c r="E344" s="23" t="n">
        <v>0</v>
      </c>
      <c r="F344" s="22" t="n">
        <v>0</v>
      </c>
      <c r="G344" s="23" t="inlineStr">
        <is>
          <t>Non</t>
        </is>
      </c>
      <c r="H344" s="23" t="inlineStr">
        <is>
          <t>ON</t>
        </is>
      </c>
      <c r="I344" s="24" t="n">
        <v>580.1183283215253</v>
      </c>
      <c r="J344" s="24" t="n">
        <v>1533.568798690708</v>
      </c>
      <c r="K344" s="24" t="n">
        <v>1407.407407407407</v>
      </c>
      <c r="L344" s="24" t="n">
        <v>150</v>
      </c>
      <c r="M344" s="24">
        <f>I344+J344+K344+L344</f>
        <v/>
      </c>
      <c r="N344" s="24">
        <f>M344*'Dashboard &amp; Optimisation'!$B$18/('Dashboard &amp; Optimisation'!$B$16/3.6)</f>
        <v/>
      </c>
      <c r="O344" s="24" t="n">
        <v>201.5662399084315</v>
      </c>
      <c r="P344" s="25" t="n">
        <v>0.4642417396994065</v>
      </c>
      <c r="Q344" s="26" t="n">
        <v>0.2</v>
      </c>
      <c r="R344" s="24" t="n">
        <v>145.8320080967888</v>
      </c>
      <c r="S344" s="24">
        <f>R344*IF(A344=4, 2.0, 3.0)</f>
        <v/>
      </c>
      <c r="T344" s="22">
        <f>'Dashboard &amp; Optimisation'!$B$18*U344</f>
        <v/>
      </c>
      <c r="U344" s="27">
        <f>MIN(1, S344/M344)</f>
        <v/>
      </c>
      <c r="V344" s="27">
        <f>N344/(N344+O344)</f>
        <v/>
      </c>
      <c r="W344" s="27">
        <f>U344*V344</f>
        <v/>
      </c>
      <c r="X344" s="25">
        <f>T344/N344</f>
        <v/>
      </c>
      <c r="Y344" s="28">
        <f>IF(W344=MAXIFS(W$2:W$3601, A$2:A$3601, A344, B$2:B$3601, B344), "OPTIMAL", "")</f>
        <v/>
      </c>
    </row>
    <row r="345" ht="20" customHeight="1">
      <c r="A345" s="29" t="n">
        <v>4</v>
      </c>
      <c r="B345" s="29" t="n">
        <v>25</v>
      </c>
      <c r="C345" s="30" t="n">
        <v>120</v>
      </c>
      <c r="D345" s="30" t="n">
        <v>3</v>
      </c>
      <c r="E345" s="6" t="n">
        <v>0</v>
      </c>
      <c r="F345" s="30" t="n">
        <v>0</v>
      </c>
      <c r="G345" s="6" t="inlineStr">
        <is>
          <t>Non</t>
        </is>
      </c>
      <c r="H345" s="6" t="inlineStr">
        <is>
          <t>OFF</t>
        </is>
      </c>
      <c r="I345" s="31" t="n">
        <v>580.1183283215253</v>
      </c>
      <c r="J345" s="31" t="n">
        <v>1533.568798690708</v>
      </c>
      <c r="K345" s="31" t="n">
        <v>1407.407407407407</v>
      </c>
      <c r="L345" s="31" t="n">
        <v>150</v>
      </c>
      <c r="M345" s="31">
        <f>I345+J345+K345+L345</f>
        <v/>
      </c>
      <c r="N345" s="31">
        <f>M345*'Dashboard &amp; Optimisation'!$B$18/('Dashboard &amp; Optimisation'!$B$16/3.6)</f>
        <v/>
      </c>
      <c r="O345" s="31" t="n">
        <v>201.5662399084315</v>
      </c>
      <c r="P345" s="32" t="n">
        <v>0.7294999781858988</v>
      </c>
      <c r="Q345" s="33" t="n">
        <v>0.2</v>
      </c>
      <c r="R345" s="31" t="n">
        <v>92.80508179187197</v>
      </c>
      <c r="S345" s="31">
        <f>R345*IF(A345=4, 2.0, 3.0)</f>
        <v/>
      </c>
      <c r="T345" s="30">
        <f>'Dashboard &amp; Optimisation'!$B$18*U345</f>
        <v/>
      </c>
      <c r="U345" s="34">
        <f>MIN(1, S345/M345)</f>
        <v/>
      </c>
      <c r="V345" s="34">
        <f>N345/(N345+O345)</f>
        <v/>
      </c>
      <c r="W345" s="34">
        <f>U345*V345</f>
        <v/>
      </c>
      <c r="X345" s="32">
        <f>T345/N345</f>
        <v/>
      </c>
      <c r="Y345" s="35">
        <f>IF(W345=MAXIFS(W$2:W$3601, A$2:A$3601, A345, B$2:B$3601, B345), "OPTIMAL", "")</f>
        <v/>
      </c>
    </row>
    <row r="346" ht="20" customHeight="1">
      <c r="A346" s="21" t="n">
        <v>4</v>
      </c>
      <c r="B346" s="21" t="n">
        <v>25</v>
      </c>
      <c r="C346" s="22" t="n">
        <v>120</v>
      </c>
      <c r="D346" s="22" t="n">
        <v>3</v>
      </c>
      <c r="E346" s="23" t="n">
        <v>4</v>
      </c>
      <c r="F346" s="22" t="n">
        <v>1.5</v>
      </c>
      <c r="G346" s="23" t="inlineStr">
        <is>
          <t>Oui</t>
        </is>
      </c>
      <c r="H346" s="23" t="inlineStr">
        <is>
          <t>ON</t>
        </is>
      </c>
      <c r="I346" s="24" t="n">
        <v>580.1183283215253</v>
      </c>
      <c r="J346" s="24" t="n">
        <v>1533.568798690708</v>
      </c>
      <c r="K346" s="24" t="n">
        <v>1407.407407407407</v>
      </c>
      <c r="L346" s="24" t="n">
        <v>150</v>
      </c>
      <c r="M346" s="24">
        <f>I346+J346+K346+L346</f>
        <v/>
      </c>
      <c r="N346" s="24">
        <f>M346*'Dashboard &amp; Optimisation'!$B$18/('Dashboard &amp; Optimisation'!$B$16/3.6)</f>
        <v/>
      </c>
      <c r="O346" s="24" t="n">
        <v>275.4124066079535</v>
      </c>
      <c r="P346" s="25" t="n">
        <v>0.06783449726767998</v>
      </c>
      <c r="Q346" s="26" t="n">
        <v>5.689672816037082</v>
      </c>
      <c r="R346" s="24" t="n">
        <v>1025.525775992484</v>
      </c>
      <c r="S346" s="24">
        <f>R346*IF(A346=4, 2.0, 3.0)</f>
        <v/>
      </c>
      <c r="T346" s="22">
        <f>'Dashboard &amp; Optimisation'!$B$18*U346</f>
        <v/>
      </c>
      <c r="U346" s="27">
        <f>MIN(1, S346/M346)</f>
        <v/>
      </c>
      <c r="V346" s="27">
        <f>N346/(N346+O346)</f>
        <v/>
      </c>
      <c r="W346" s="27">
        <f>U346*V346</f>
        <v/>
      </c>
      <c r="X346" s="25">
        <f>T346/N346</f>
        <v/>
      </c>
      <c r="Y346" s="28">
        <f>IF(W346=MAXIFS(W$2:W$3601, A$2:A$3601, A346, B$2:B$3601, B346), "OPTIMAL", "")</f>
        <v/>
      </c>
    </row>
    <row r="347" ht="20" customHeight="1">
      <c r="A347" s="29" t="n">
        <v>4</v>
      </c>
      <c r="B347" s="29" t="n">
        <v>25</v>
      </c>
      <c r="C347" s="30" t="n">
        <v>120</v>
      </c>
      <c r="D347" s="30" t="n">
        <v>3</v>
      </c>
      <c r="E347" s="6" t="n">
        <v>4</v>
      </c>
      <c r="F347" s="30" t="n">
        <v>1.5</v>
      </c>
      <c r="G347" s="6" t="inlineStr">
        <is>
          <t>Oui</t>
        </is>
      </c>
      <c r="H347" s="6" t="inlineStr">
        <is>
          <t>OFF</t>
        </is>
      </c>
      <c r="I347" s="31" t="n">
        <v>580.1183283215253</v>
      </c>
      <c r="J347" s="31" t="n">
        <v>1533.568798690708</v>
      </c>
      <c r="K347" s="31" t="n">
        <v>1407.407407407407</v>
      </c>
      <c r="L347" s="31" t="n">
        <v>150</v>
      </c>
      <c r="M347" s="31">
        <f>I347+J347+K347+L347</f>
        <v/>
      </c>
      <c r="N347" s="31">
        <f>M347*'Dashboard &amp; Optimisation'!$B$18/('Dashboard &amp; Optimisation'!$B$16/3.6)</f>
        <v/>
      </c>
      <c r="O347" s="31" t="n">
        <v>275.4124066079535</v>
      </c>
      <c r="P347" s="32" t="n">
        <v>0.2715077102234196</v>
      </c>
      <c r="Q347" s="33" t="n">
        <v>5.689672816037082</v>
      </c>
      <c r="R347" s="31" t="n">
        <v>256.2211783682044</v>
      </c>
      <c r="S347" s="31">
        <f>R347*IF(A347=4, 2.0, 3.0)</f>
        <v/>
      </c>
      <c r="T347" s="30">
        <f>'Dashboard &amp; Optimisation'!$B$18*U347</f>
        <v/>
      </c>
      <c r="U347" s="34">
        <f>MIN(1, S347/M347)</f>
        <v/>
      </c>
      <c r="V347" s="34">
        <f>N347/(N347+O347)</f>
        <v/>
      </c>
      <c r="W347" s="34">
        <f>U347*V347</f>
        <v/>
      </c>
      <c r="X347" s="32">
        <f>T347/N347</f>
        <v/>
      </c>
      <c r="Y347" s="35">
        <f>IF(W347=MAXIFS(W$2:W$3601, A$2:A$3601, A347, B$2:B$3601, B347), "OPTIMAL", "")</f>
        <v/>
      </c>
    </row>
    <row r="348" ht="20" customHeight="1">
      <c r="A348" s="21" t="n">
        <v>4</v>
      </c>
      <c r="B348" s="21" t="n">
        <v>25</v>
      </c>
      <c r="C348" s="22" t="n">
        <v>120</v>
      </c>
      <c r="D348" s="22" t="n">
        <v>3</v>
      </c>
      <c r="E348" s="23" t="n">
        <v>4</v>
      </c>
      <c r="F348" s="22" t="n">
        <v>1.5</v>
      </c>
      <c r="G348" s="23" t="inlineStr">
        <is>
          <t>Non</t>
        </is>
      </c>
      <c r="H348" s="23" t="inlineStr">
        <is>
          <t>ON</t>
        </is>
      </c>
      <c r="I348" s="24" t="n">
        <v>580.1183283215253</v>
      </c>
      <c r="J348" s="24" t="n">
        <v>1533.568798690708</v>
      </c>
      <c r="K348" s="24" t="n">
        <v>1407.407407407407</v>
      </c>
      <c r="L348" s="24" t="n">
        <v>150</v>
      </c>
      <c r="M348" s="24">
        <f>I348+J348+K348+L348</f>
        <v/>
      </c>
      <c r="N348" s="24">
        <f>M348*'Dashboard &amp; Optimisation'!$B$18/('Dashboard &amp; Optimisation'!$B$16/3.6)</f>
        <v/>
      </c>
      <c r="O348" s="24" t="n">
        <v>275.4124066079535</v>
      </c>
      <c r="P348" s="25" t="n">
        <v>0.06518191488281506</v>
      </c>
      <c r="Q348" s="26" t="n">
        <v>5.689672816037082</v>
      </c>
      <c r="R348" s="24" t="n">
        <v>1067.259616023314</v>
      </c>
      <c r="S348" s="24">
        <f>R348*IF(A348=4, 2.0, 3.0)</f>
        <v/>
      </c>
      <c r="T348" s="22">
        <f>'Dashboard &amp; Optimisation'!$B$18*U348</f>
        <v/>
      </c>
      <c r="U348" s="27">
        <f>MIN(1, S348/M348)</f>
        <v/>
      </c>
      <c r="V348" s="27">
        <f>N348/(N348+O348)</f>
        <v/>
      </c>
      <c r="W348" s="27">
        <f>U348*V348</f>
        <v/>
      </c>
      <c r="X348" s="25">
        <f>T348/N348</f>
        <v/>
      </c>
      <c r="Y348" s="28">
        <f>IF(W348=MAXIFS(W$2:W$3601, A$2:A$3601, A348, B$2:B$3601, B348), "OPTIMAL", "")</f>
        <v/>
      </c>
    </row>
    <row r="349" ht="20" customHeight="1">
      <c r="A349" s="29" t="n">
        <v>4</v>
      </c>
      <c r="B349" s="29" t="n">
        <v>25</v>
      </c>
      <c r="C349" s="30" t="n">
        <v>120</v>
      </c>
      <c r="D349" s="30" t="n">
        <v>3</v>
      </c>
      <c r="E349" s="6" t="n">
        <v>4</v>
      </c>
      <c r="F349" s="30" t="n">
        <v>1.5</v>
      </c>
      <c r="G349" s="6" t="inlineStr">
        <is>
          <t>Non</t>
        </is>
      </c>
      <c r="H349" s="6" t="inlineStr">
        <is>
          <t>OFF</t>
        </is>
      </c>
      <c r="I349" s="31" t="n">
        <v>580.1183283215253</v>
      </c>
      <c r="J349" s="31" t="n">
        <v>1533.568798690708</v>
      </c>
      <c r="K349" s="31" t="n">
        <v>1407.407407407407</v>
      </c>
      <c r="L349" s="31" t="n">
        <v>150</v>
      </c>
      <c r="M349" s="31">
        <f>I349+J349+K349+L349</f>
        <v/>
      </c>
      <c r="N349" s="31">
        <f>M349*'Dashboard &amp; Optimisation'!$B$18/('Dashboard &amp; Optimisation'!$B$16/3.6)</f>
        <v/>
      </c>
      <c r="O349" s="31" t="n">
        <v>275.4124066079535</v>
      </c>
      <c r="P349" s="32" t="n">
        <v>0.2688551278385546</v>
      </c>
      <c r="Q349" s="33" t="n">
        <v>5.689672816037082</v>
      </c>
      <c r="R349" s="31" t="n">
        <v>258.7491114964763</v>
      </c>
      <c r="S349" s="31">
        <f>R349*IF(A349=4, 2.0, 3.0)</f>
        <v/>
      </c>
      <c r="T349" s="30">
        <f>'Dashboard &amp; Optimisation'!$B$18*U349</f>
        <v/>
      </c>
      <c r="U349" s="34">
        <f>MIN(1, S349/M349)</f>
        <v/>
      </c>
      <c r="V349" s="34">
        <f>N349/(N349+O349)</f>
        <v/>
      </c>
      <c r="W349" s="34">
        <f>U349*V349</f>
        <v/>
      </c>
      <c r="X349" s="32">
        <f>T349/N349</f>
        <v/>
      </c>
      <c r="Y349" s="35">
        <f>IF(W349=MAXIFS(W$2:W$3601, A$2:A$3601, A349, B$2:B$3601, B349), "OPTIMAL", "")</f>
        <v/>
      </c>
    </row>
    <row r="350" ht="20" customHeight="1">
      <c r="A350" s="21" t="n">
        <v>4</v>
      </c>
      <c r="B350" s="21" t="n">
        <v>25</v>
      </c>
      <c r="C350" s="22" t="n">
        <v>120</v>
      </c>
      <c r="D350" s="22" t="n">
        <v>3</v>
      </c>
      <c r="E350" s="23" t="n">
        <v>4</v>
      </c>
      <c r="F350" s="22" t="n">
        <v>2</v>
      </c>
      <c r="G350" s="23" t="inlineStr">
        <is>
          <t>Oui</t>
        </is>
      </c>
      <c r="H350" s="23" t="inlineStr">
        <is>
          <t>ON</t>
        </is>
      </c>
      <c r="I350" s="24" t="n">
        <v>580.1183283215253</v>
      </c>
      <c r="J350" s="24" t="n">
        <v>1533.568798690708</v>
      </c>
      <c r="K350" s="24" t="n">
        <v>1407.407407407407</v>
      </c>
      <c r="L350" s="24" t="n">
        <v>150</v>
      </c>
      <c r="M350" s="24">
        <f>I350+J350+K350+L350</f>
        <v/>
      </c>
      <c r="N350" s="24">
        <f>M350*'Dashboard &amp; Optimisation'!$B$18/('Dashboard &amp; Optimisation'!$B$16/3.6)</f>
        <v/>
      </c>
      <c r="O350" s="24" t="n">
        <v>300.9401588376773</v>
      </c>
      <c r="P350" s="25" t="n">
        <v>0.06458187918791126</v>
      </c>
      <c r="Q350" s="26" t="n">
        <v>7.519563754716109</v>
      </c>
      <c r="R350" s="24" t="n">
        <v>1087.156927521087</v>
      </c>
      <c r="S350" s="24">
        <f>R350*IF(A350=4, 2.0, 3.0)</f>
        <v/>
      </c>
      <c r="T350" s="22">
        <f>'Dashboard &amp; Optimisation'!$B$18*U350</f>
        <v/>
      </c>
      <c r="U350" s="27">
        <f>MIN(1, S350/M350)</f>
        <v/>
      </c>
      <c r="V350" s="27">
        <f>N350/(N350+O350)</f>
        <v/>
      </c>
      <c r="W350" s="27">
        <f>U350*V350</f>
        <v/>
      </c>
      <c r="X350" s="25">
        <f>T350/N350</f>
        <v/>
      </c>
      <c r="Y350" s="28">
        <f>IF(W350=MAXIFS(W$2:W$3601, A$2:A$3601, A350, B$2:B$3601, B350), "OPTIMAL", "")</f>
        <v/>
      </c>
    </row>
    <row r="351" ht="20" customHeight="1">
      <c r="A351" s="29" t="n">
        <v>4</v>
      </c>
      <c r="B351" s="29" t="n">
        <v>25</v>
      </c>
      <c r="C351" s="30" t="n">
        <v>120</v>
      </c>
      <c r="D351" s="30" t="n">
        <v>3</v>
      </c>
      <c r="E351" s="6" t="n">
        <v>4</v>
      </c>
      <c r="F351" s="30" t="n">
        <v>2</v>
      </c>
      <c r="G351" s="6" t="inlineStr">
        <is>
          <t>Oui</t>
        </is>
      </c>
      <c r="H351" s="6" t="inlineStr">
        <is>
          <t>OFF</t>
        </is>
      </c>
      <c r="I351" s="31" t="n">
        <v>580.1183283215253</v>
      </c>
      <c r="J351" s="31" t="n">
        <v>1533.568798690708</v>
      </c>
      <c r="K351" s="31" t="n">
        <v>1407.407407407407</v>
      </c>
      <c r="L351" s="31" t="n">
        <v>150</v>
      </c>
      <c r="M351" s="31">
        <f>I351+J351+K351+L351</f>
        <v/>
      </c>
      <c r="N351" s="31">
        <f>M351*'Dashboard &amp; Optimisation'!$B$18/('Dashboard &amp; Optimisation'!$B$16/3.6)</f>
        <v/>
      </c>
      <c r="O351" s="31" t="n">
        <v>300.9401588376773</v>
      </c>
      <c r="P351" s="32" t="n">
        <v>0.2690865884190716</v>
      </c>
      <c r="Q351" s="33" t="n">
        <v>7.519563754716109</v>
      </c>
      <c r="R351" s="31" t="n">
        <v>260.922098585317</v>
      </c>
      <c r="S351" s="31">
        <f>R351*IF(A351=4, 2.0, 3.0)</f>
        <v/>
      </c>
      <c r="T351" s="30">
        <f>'Dashboard &amp; Optimisation'!$B$18*U351</f>
        <v/>
      </c>
      <c r="U351" s="34">
        <f>MIN(1, S351/M351)</f>
        <v/>
      </c>
      <c r="V351" s="34">
        <f>N351/(N351+O351)</f>
        <v/>
      </c>
      <c r="W351" s="34">
        <f>U351*V351</f>
        <v/>
      </c>
      <c r="X351" s="32">
        <f>T351/N351</f>
        <v/>
      </c>
      <c r="Y351" s="35">
        <f>IF(W351=MAXIFS(W$2:W$3601, A$2:A$3601, A351, B$2:B$3601, B351), "OPTIMAL", "")</f>
        <v/>
      </c>
    </row>
    <row r="352" ht="20" customHeight="1">
      <c r="A352" s="21" t="n">
        <v>4</v>
      </c>
      <c r="B352" s="21" t="n">
        <v>25</v>
      </c>
      <c r="C352" s="22" t="n">
        <v>120</v>
      </c>
      <c r="D352" s="22" t="n">
        <v>3</v>
      </c>
      <c r="E352" s="23" t="n">
        <v>4</v>
      </c>
      <c r="F352" s="22" t="n">
        <v>2</v>
      </c>
      <c r="G352" s="23" t="inlineStr">
        <is>
          <t>Non</t>
        </is>
      </c>
      <c r="H352" s="23" t="inlineStr">
        <is>
          <t>ON</t>
        </is>
      </c>
      <c r="I352" s="24" t="n">
        <v>580.1183283215253</v>
      </c>
      <c r="J352" s="24" t="n">
        <v>1533.568798690708</v>
      </c>
      <c r="K352" s="24" t="n">
        <v>1407.407407407407</v>
      </c>
      <c r="L352" s="24" t="n">
        <v>150</v>
      </c>
      <c r="M352" s="24">
        <f>I352+J352+K352+L352</f>
        <v/>
      </c>
      <c r="N352" s="24">
        <f>M352*'Dashboard &amp; Optimisation'!$B$18/('Dashboard &amp; Optimisation'!$B$16/3.6)</f>
        <v/>
      </c>
      <c r="O352" s="24" t="n">
        <v>300.9401588376773</v>
      </c>
      <c r="P352" s="25" t="n">
        <v>0.06192929680304634</v>
      </c>
      <c r="Q352" s="26" t="n">
        <v>7.519563754716109</v>
      </c>
      <c r="R352" s="24" t="n">
        <v>1133.722502529916</v>
      </c>
      <c r="S352" s="24">
        <f>R352*IF(A352=4, 2.0, 3.0)</f>
        <v/>
      </c>
      <c r="T352" s="22">
        <f>'Dashboard &amp; Optimisation'!$B$18*U352</f>
        <v/>
      </c>
      <c r="U352" s="27">
        <f>MIN(1, S352/M352)</f>
        <v/>
      </c>
      <c r="V352" s="27">
        <f>N352/(N352+O352)</f>
        <v/>
      </c>
      <c r="W352" s="27">
        <f>U352*V352</f>
        <v/>
      </c>
      <c r="X352" s="25">
        <f>T352/N352</f>
        <v/>
      </c>
      <c r="Y352" s="28">
        <f>IF(W352=MAXIFS(W$2:W$3601, A$2:A$3601, A352, B$2:B$3601, B352), "OPTIMAL", "")</f>
        <v/>
      </c>
    </row>
    <row r="353" ht="20" customHeight="1">
      <c r="A353" s="29" t="n">
        <v>4</v>
      </c>
      <c r="B353" s="29" t="n">
        <v>25</v>
      </c>
      <c r="C353" s="30" t="n">
        <v>120</v>
      </c>
      <c r="D353" s="30" t="n">
        <v>3</v>
      </c>
      <c r="E353" s="6" t="n">
        <v>4</v>
      </c>
      <c r="F353" s="30" t="n">
        <v>2</v>
      </c>
      <c r="G353" s="6" t="inlineStr">
        <is>
          <t>Non</t>
        </is>
      </c>
      <c r="H353" s="6" t="inlineStr">
        <is>
          <t>OFF</t>
        </is>
      </c>
      <c r="I353" s="31" t="n">
        <v>580.1183283215253</v>
      </c>
      <c r="J353" s="31" t="n">
        <v>1533.568798690708</v>
      </c>
      <c r="K353" s="31" t="n">
        <v>1407.407407407407</v>
      </c>
      <c r="L353" s="31" t="n">
        <v>150</v>
      </c>
      <c r="M353" s="31">
        <f>I353+J353+K353+L353</f>
        <v/>
      </c>
      <c r="N353" s="31">
        <f>M353*'Dashboard &amp; Optimisation'!$B$18/('Dashboard &amp; Optimisation'!$B$16/3.6)</f>
        <v/>
      </c>
      <c r="O353" s="31" t="n">
        <v>300.9401588376773</v>
      </c>
      <c r="P353" s="32" t="n">
        <v>0.2664340060342067</v>
      </c>
      <c r="Q353" s="33" t="n">
        <v>7.519563754716109</v>
      </c>
      <c r="R353" s="31" t="n">
        <v>263.5198051349852</v>
      </c>
      <c r="S353" s="31">
        <f>R353*IF(A353=4, 2.0, 3.0)</f>
        <v/>
      </c>
      <c r="T353" s="30">
        <f>'Dashboard &amp; Optimisation'!$B$18*U353</f>
        <v/>
      </c>
      <c r="U353" s="34">
        <f>MIN(1, S353/M353)</f>
        <v/>
      </c>
      <c r="V353" s="34">
        <f>N353/(N353+O353)</f>
        <v/>
      </c>
      <c r="W353" s="34">
        <f>U353*V353</f>
        <v/>
      </c>
      <c r="X353" s="32">
        <f>T353/N353</f>
        <v/>
      </c>
      <c r="Y353" s="35">
        <f>IF(W353=MAXIFS(W$2:W$3601, A$2:A$3601, A353, B$2:B$3601, B353), "OPTIMAL", "")</f>
        <v/>
      </c>
    </row>
    <row r="354" ht="20" customHeight="1">
      <c r="A354" s="21" t="n">
        <v>4</v>
      </c>
      <c r="B354" s="21" t="n">
        <v>25</v>
      </c>
      <c r="C354" s="22" t="n">
        <v>120</v>
      </c>
      <c r="D354" s="22" t="n">
        <v>3</v>
      </c>
      <c r="E354" s="23" t="n">
        <v>8</v>
      </c>
      <c r="F354" s="22" t="n">
        <v>1.5</v>
      </c>
      <c r="G354" s="23" t="inlineStr">
        <is>
          <t>Oui</t>
        </is>
      </c>
      <c r="H354" s="23" t="inlineStr">
        <is>
          <t>ON</t>
        </is>
      </c>
      <c r="I354" s="24" t="n">
        <v>580.1183283215253</v>
      </c>
      <c r="J354" s="24" t="n">
        <v>1533.568798690708</v>
      </c>
      <c r="K354" s="24" t="n">
        <v>1407.407407407407</v>
      </c>
      <c r="L354" s="24" t="n">
        <v>150</v>
      </c>
      <c r="M354" s="24">
        <f>I354+J354+K354+L354</f>
        <v/>
      </c>
      <c r="N354" s="24">
        <f>M354*'Dashboard &amp; Optimisation'!$B$18/('Dashboard &amp; Optimisation'!$B$16/3.6)</f>
        <v/>
      </c>
      <c r="O354" s="24" t="n">
        <v>353.4417321686498</v>
      </c>
      <c r="P354" s="25" t="n">
        <v>0.05144850932496671</v>
      </c>
      <c r="Q354" s="26" t="n">
        <v>11.17934563207417</v>
      </c>
      <c r="R354" s="24" t="n">
        <v>1390.446047538802</v>
      </c>
      <c r="S354" s="24">
        <f>R354*IF(A354=4, 2.0, 3.0)</f>
        <v/>
      </c>
      <c r="T354" s="22">
        <f>'Dashboard &amp; Optimisation'!$B$18*U354</f>
        <v/>
      </c>
      <c r="U354" s="27">
        <f>MIN(1, S354/M354)</f>
        <v/>
      </c>
      <c r="V354" s="27">
        <f>N354/(N354+O354)</f>
        <v/>
      </c>
      <c r="W354" s="27">
        <f>U354*V354</f>
        <v/>
      </c>
      <c r="X354" s="25">
        <f>T354/N354</f>
        <v/>
      </c>
      <c r="Y354" s="28">
        <f>IF(W354=MAXIFS(W$2:W$3601, A$2:A$3601, A354, B$2:B$3601, B354), "OPTIMAL", "")</f>
        <v/>
      </c>
    </row>
    <row r="355" ht="20" customHeight="1">
      <c r="A355" s="29" t="n">
        <v>4</v>
      </c>
      <c r="B355" s="29" t="n">
        <v>25</v>
      </c>
      <c r="C355" s="30" t="n">
        <v>120</v>
      </c>
      <c r="D355" s="30" t="n">
        <v>3</v>
      </c>
      <c r="E355" s="6" t="n">
        <v>8</v>
      </c>
      <c r="F355" s="30" t="n">
        <v>1.5</v>
      </c>
      <c r="G355" s="6" t="inlineStr">
        <is>
          <t>Oui</t>
        </is>
      </c>
      <c r="H355" s="6" t="inlineStr">
        <is>
          <t>OFF</t>
        </is>
      </c>
      <c r="I355" s="31" t="n">
        <v>580.1183283215253</v>
      </c>
      <c r="J355" s="31" t="n">
        <v>1533.568798690708</v>
      </c>
      <c r="K355" s="31" t="n">
        <v>1407.407407407407</v>
      </c>
      <c r="L355" s="31" t="n">
        <v>150</v>
      </c>
      <c r="M355" s="31">
        <f>I355+J355+K355+L355</f>
        <v/>
      </c>
      <c r="N355" s="31">
        <f>M355*'Dashboard &amp; Optimisation'!$B$18/('Dashboard &amp; Optimisation'!$B$16/3.6)</f>
        <v/>
      </c>
      <c r="O355" s="31" t="n">
        <v>353.4417321686498</v>
      </c>
      <c r="P355" s="32" t="n">
        <v>0.2167441267000743</v>
      </c>
      <c r="Q355" s="33" t="n">
        <v>11.17934563207417</v>
      </c>
      <c r="R355" s="31" t="n">
        <v>330.0498958463295</v>
      </c>
      <c r="S355" s="31">
        <f>R355*IF(A355=4, 2.0, 3.0)</f>
        <v/>
      </c>
      <c r="T355" s="30">
        <f>'Dashboard &amp; Optimisation'!$B$18*U355</f>
        <v/>
      </c>
      <c r="U355" s="34">
        <f>MIN(1, S355/M355)</f>
        <v/>
      </c>
      <c r="V355" s="34">
        <f>N355/(N355+O355)</f>
        <v/>
      </c>
      <c r="W355" s="34">
        <f>U355*V355</f>
        <v/>
      </c>
      <c r="X355" s="32">
        <f>T355/N355</f>
        <v/>
      </c>
      <c r="Y355" s="35">
        <f>IF(W355=MAXIFS(W$2:W$3601, A$2:A$3601, A355, B$2:B$3601, B355), "OPTIMAL", "")</f>
        <v/>
      </c>
    </row>
    <row r="356" ht="20" customHeight="1">
      <c r="A356" s="21" t="n">
        <v>4</v>
      </c>
      <c r="B356" s="21" t="n">
        <v>25</v>
      </c>
      <c r="C356" s="22" t="n">
        <v>120</v>
      </c>
      <c r="D356" s="22" t="n">
        <v>3</v>
      </c>
      <c r="E356" s="23" t="n">
        <v>8</v>
      </c>
      <c r="F356" s="22" t="n">
        <v>1.5</v>
      </c>
      <c r="G356" s="23" t="inlineStr">
        <is>
          <t>Non</t>
        </is>
      </c>
      <c r="H356" s="23" t="inlineStr">
        <is>
          <t>ON</t>
        </is>
      </c>
      <c r="I356" s="24" t="n">
        <v>580.1183283215253</v>
      </c>
      <c r="J356" s="24" t="n">
        <v>1533.568798690708</v>
      </c>
      <c r="K356" s="24" t="n">
        <v>1407.407407407407</v>
      </c>
      <c r="L356" s="24" t="n">
        <v>150</v>
      </c>
      <c r="M356" s="24">
        <f>I356+J356+K356+L356</f>
        <v/>
      </c>
      <c r="N356" s="24">
        <f>M356*'Dashboard &amp; Optimisation'!$B$18/('Dashboard &amp; Optimisation'!$B$16/3.6)</f>
        <v/>
      </c>
      <c r="O356" s="24" t="n">
        <v>353.4417321686498</v>
      </c>
      <c r="P356" s="25" t="n">
        <v>0.04879592694010178</v>
      </c>
      <c r="Q356" s="26" t="n">
        <v>11.17934563207417</v>
      </c>
      <c r="R356" s="24" t="n">
        <v>1466.031714705939</v>
      </c>
      <c r="S356" s="24">
        <f>R356*IF(A356=4, 2.0, 3.0)</f>
        <v/>
      </c>
      <c r="T356" s="22">
        <f>'Dashboard &amp; Optimisation'!$B$18*U356</f>
        <v/>
      </c>
      <c r="U356" s="27">
        <f>MIN(1, S356/M356)</f>
        <v/>
      </c>
      <c r="V356" s="27">
        <f>N356/(N356+O356)</f>
        <v/>
      </c>
      <c r="W356" s="27">
        <f>U356*V356</f>
        <v/>
      </c>
      <c r="X356" s="25">
        <f>T356/N356</f>
        <v/>
      </c>
      <c r="Y356" s="28">
        <f>IF(W356=MAXIFS(W$2:W$3601, A$2:A$3601, A356, B$2:B$3601, B356), "OPTIMAL", "")</f>
        <v/>
      </c>
    </row>
    <row r="357" ht="20" customHeight="1">
      <c r="A357" s="29" t="n">
        <v>4</v>
      </c>
      <c r="B357" s="29" t="n">
        <v>25</v>
      </c>
      <c r="C357" s="30" t="n">
        <v>120</v>
      </c>
      <c r="D357" s="30" t="n">
        <v>3</v>
      </c>
      <c r="E357" s="6" t="n">
        <v>8</v>
      </c>
      <c r="F357" s="30" t="n">
        <v>1.5</v>
      </c>
      <c r="G357" s="6" t="inlineStr">
        <is>
          <t>Non</t>
        </is>
      </c>
      <c r="H357" s="6" t="inlineStr">
        <is>
          <t>OFF</t>
        </is>
      </c>
      <c r="I357" s="31" t="n">
        <v>580.1183283215253</v>
      </c>
      <c r="J357" s="31" t="n">
        <v>1533.568798690708</v>
      </c>
      <c r="K357" s="31" t="n">
        <v>1407.407407407407</v>
      </c>
      <c r="L357" s="31" t="n">
        <v>150</v>
      </c>
      <c r="M357" s="31">
        <f>I357+J357+K357+L357</f>
        <v/>
      </c>
      <c r="N357" s="31">
        <f>M357*'Dashboard &amp; Optimisation'!$B$18/('Dashboard &amp; Optimisation'!$B$16/3.6)</f>
        <v/>
      </c>
      <c r="O357" s="31" t="n">
        <v>353.4417321686498</v>
      </c>
      <c r="P357" s="32" t="n">
        <v>0.2140915443152093</v>
      </c>
      <c r="Q357" s="33" t="n">
        <v>11.17934563207417</v>
      </c>
      <c r="R357" s="31" t="n">
        <v>334.1391957887854</v>
      </c>
      <c r="S357" s="31">
        <f>R357*IF(A357=4, 2.0, 3.0)</f>
        <v/>
      </c>
      <c r="T357" s="30">
        <f>'Dashboard &amp; Optimisation'!$B$18*U357</f>
        <v/>
      </c>
      <c r="U357" s="34">
        <f>MIN(1, S357/M357)</f>
        <v/>
      </c>
      <c r="V357" s="34">
        <f>N357/(N357+O357)</f>
        <v/>
      </c>
      <c r="W357" s="34">
        <f>U357*V357</f>
        <v/>
      </c>
      <c r="X357" s="32">
        <f>T357/N357</f>
        <v/>
      </c>
      <c r="Y357" s="35">
        <f>IF(W357=MAXIFS(W$2:W$3601, A$2:A$3601, A357, B$2:B$3601, B357), "OPTIMAL", "")</f>
        <v/>
      </c>
    </row>
    <row r="358" ht="20" customHeight="1">
      <c r="A358" s="21" t="n">
        <v>4</v>
      </c>
      <c r="B358" s="21" t="n">
        <v>25</v>
      </c>
      <c r="C358" s="22" t="n">
        <v>120</v>
      </c>
      <c r="D358" s="22" t="n">
        <v>3</v>
      </c>
      <c r="E358" s="23" t="n">
        <v>8</v>
      </c>
      <c r="F358" s="22" t="n">
        <v>2</v>
      </c>
      <c r="G358" s="23" t="inlineStr">
        <is>
          <t>Oui</t>
        </is>
      </c>
      <c r="H358" s="23" t="inlineStr">
        <is>
          <t>ON</t>
        </is>
      </c>
      <c r="I358" s="24" t="n">
        <v>580.1183283215253</v>
      </c>
      <c r="J358" s="24" t="n">
        <v>1533.568798690708</v>
      </c>
      <c r="K358" s="24" t="n">
        <v>1407.407407407407</v>
      </c>
      <c r="L358" s="24" t="n">
        <v>150</v>
      </c>
      <c r="M358" s="24">
        <f>I358+J358+K358+L358</f>
        <v/>
      </c>
      <c r="N358" s="24">
        <f>M358*'Dashboard &amp; Optimisation'!$B$18/('Dashboard &amp; Optimisation'!$B$16/3.6)</f>
        <v/>
      </c>
      <c r="O358" s="24" t="n">
        <v>407.964166090899</v>
      </c>
      <c r="P358" s="25" t="n">
        <v>0.04989331996011</v>
      </c>
      <c r="Q358" s="26" t="n">
        <v>14.83912750943222</v>
      </c>
      <c r="R358" s="24" t="n">
        <v>1461.380905990666</v>
      </c>
      <c r="S358" s="24">
        <f>R358*IF(A358=4, 2.0, 3.0)</f>
        <v/>
      </c>
      <c r="T358" s="22">
        <f>'Dashboard &amp; Optimisation'!$B$18*U358</f>
        <v/>
      </c>
      <c r="U358" s="27">
        <f>MIN(1, S358/M358)</f>
        <v/>
      </c>
      <c r="V358" s="27">
        <f>N358/(N358+O358)</f>
        <v/>
      </c>
      <c r="W358" s="27">
        <f>U358*V358</f>
        <v/>
      </c>
      <c r="X358" s="25">
        <f>T358/N358</f>
        <v/>
      </c>
      <c r="Y358" s="28">
        <f>IF(W358=MAXIFS(W$2:W$3601, A$2:A$3601, A358, B$2:B$3601, B358), "OPTIMAL", "")</f>
        <v/>
      </c>
    </row>
    <row r="359" ht="20" customHeight="1">
      <c r="A359" s="29" t="n">
        <v>4</v>
      </c>
      <c r="B359" s="29" t="n">
        <v>25</v>
      </c>
      <c r="C359" s="30" t="n">
        <v>120</v>
      </c>
      <c r="D359" s="30" t="n">
        <v>3</v>
      </c>
      <c r="E359" s="6" t="n">
        <v>8</v>
      </c>
      <c r="F359" s="30" t="n">
        <v>2</v>
      </c>
      <c r="G359" s="6" t="inlineStr">
        <is>
          <t>Oui</t>
        </is>
      </c>
      <c r="H359" s="6" t="inlineStr">
        <is>
          <t>OFF</t>
        </is>
      </c>
      <c r="I359" s="31" t="n">
        <v>580.1183283215253</v>
      </c>
      <c r="J359" s="31" t="n">
        <v>1533.568798690708</v>
      </c>
      <c r="K359" s="31" t="n">
        <v>1407.407407407407</v>
      </c>
      <c r="L359" s="31" t="n">
        <v>150</v>
      </c>
      <c r="M359" s="31">
        <f>I359+J359+K359+L359</f>
        <v/>
      </c>
      <c r="N359" s="31">
        <f>M359*'Dashboard &amp; Optimisation'!$B$18/('Dashboard &amp; Optimisation'!$B$16/3.6)</f>
        <v/>
      </c>
      <c r="O359" s="31" t="n">
        <v>407.964166090899</v>
      </c>
      <c r="P359" s="32" t="n">
        <v>0.2162873761903785</v>
      </c>
      <c r="Q359" s="33" t="n">
        <v>14.83912750943222</v>
      </c>
      <c r="R359" s="31" t="n">
        <v>337.1123475186494</v>
      </c>
      <c r="S359" s="31">
        <f>R359*IF(A359=4, 2.0, 3.0)</f>
        <v/>
      </c>
      <c r="T359" s="30">
        <f>'Dashboard &amp; Optimisation'!$B$18*U359</f>
        <v/>
      </c>
      <c r="U359" s="34">
        <f>MIN(1, S359/M359)</f>
        <v/>
      </c>
      <c r="V359" s="34">
        <f>N359/(N359+O359)</f>
        <v/>
      </c>
      <c r="W359" s="34">
        <f>U359*V359</f>
        <v/>
      </c>
      <c r="X359" s="32">
        <f>T359/N359</f>
        <v/>
      </c>
      <c r="Y359" s="35">
        <f>IF(W359=MAXIFS(W$2:W$3601, A$2:A$3601, A359, B$2:B$3601, B359), "OPTIMAL", "")</f>
        <v/>
      </c>
    </row>
    <row r="360" ht="20" customHeight="1">
      <c r="A360" s="21" t="n">
        <v>4</v>
      </c>
      <c r="B360" s="21" t="n">
        <v>25</v>
      </c>
      <c r="C360" s="22" t="n">
        <v>120</v>
      </c>
      <c r="D360" s="22" t="n">
        <v>3</v>
      </c>
      <c r="E360" s="23" t="n">
        <v>8</v>
      </c>
      <c r="F360" s="22" t="n">
        <v>2</v>
      </c>
      <c r="G360" s="23" t="inlineStr">
        <is>
          <t>Non</t>
        </is>
      </c>
      <c r="H360" s="23" t="inlineStr">
        <is>
          <t>ON</t>
        </is>
      </c>
      <c r="I360" s="24" t="n">
        <v>580.1183283215253</v>
      </c>
      <c r="J360" s="24" t="n">
        <v>1533.568798690708</v>
      </c>
      <c r="K360" s="24" t="n">
        <v>1407.407407407407</v>
      </c>
      <c r="L360" s="24" t="n">
        <v>150</v>
      </c>
      <c r="M360" s="24">
        <f>I360+J360+K360+L360</f>
        <v/>
      </c>
      <c r="N360" s="24">
        <f>M360*'Dashboard &amp; Optimisation'!$B$18/('Dashboard &amp; Optimisation'!$B$16/3.6)</f>
        <v/>
      </c>
      <c r="O360" s="24" t="n">
        <v>407.964166090899</v>
      </c>
      <c r="P360" s="25" t="n">
        <v>0.04724073757524508</v>
      </c>
      <c r="Q360" s="26" t="n">
        <v>14.83912750943222</v>
      </c>
      <c r="R360" s="24" t="n">
        <v>1543.437906955869</v>
      </c>
      <c r="S360" s="24">
        <f>R360*IF(A360=4, 2.0, 3.0)</f>
        <v/>
      </c>
      <c r="T360" s="22">
        <f>'Dashboard &amp; Optimisation'!$B$18*U360</f>
        <v/>
      </c>
      <c r="U360" s="27">
        <f>MIN(1, S360/M360)</f>
        <v/>
      </c>
      <c r="V360" s="27">
        <f>N360/(N360+O360)</f>
        <v/>
      </c>
      <c r="W360" s="27">
        <f>U360*V360</f>
        <v/>
      </c>
      <c r="X360" s="25">
        <f>T360/N360</f>
        <v/>
      </c>
      <c r="Y360" s="28">
        <f>IF(W360=MAXIFS(W$2:W$3601, A$2:A$3601, A360, B$2:B$3601, B360), "OPTIMAL", "")</f>
        <v/>
      </c>
    </row>
    <row r="361" ht="20" customHeight="1">
      <c r="A361" s="29" t="n">
        <v>4</v>
      </c>
      <c r="B361" s="29" t="n">
        <v>25</v>
      </c>
      <c r="C361" s="30" t="n">
        <v>120</v>
      </c>
      <c r="D361" s="30" t="n">
        <v>3</v>
      </c>
      <c r="E361" s="6" t="n">
        <v>8</v>
      </c>
      <c r="F361" s="30" t="n">
        <v>2</v>
      </c>
      <c r="G361" s="6" t="inlineStr">
        <is>
          <t>Non</t>
        </is>
      </c>
      <c r="H361" s="6" t="inlineStr">
        <is>
          <t>OFF</t>
        </is>
      </c>
      <c r="I361" s="31" t="n">
        <v>580.1183283215253</v>
      </c>
      <c r="J361" s="31" t="n">
        <v>1533.568798690708</v>
      </c>
      <c r="K361" s="31" t="n">
        <v>1407.407407407407</v>
      </c>
      <c r="L361" s="31" t="n">
        <v>150</v>
      </c>
      <c r="M361" s="31">
        <f>I361+J361+K361+L361</f>
        <v/>
      </c>
      <c r="N361" s="31">
        <f>M361*'Dashboard &amp; Optimisation'!$B$18/('Dashboard &amp; Optimisation'!$B$16/3.6)</f>
        <v/>
      </c>
      <c r="O361" s="31" t="n">
        <v>407.964166090899</v>
      </c>
      <c r="P361" s="32" t="n">
        <v>0.2136347938055135</v>
      </c>
      <c r="Q361" s="33" t="n">
        <v>14.83912750943222</v>
      </c>
      <c r="R361" s="31" t="n">
        <v>341.2980808386745</v>
      </c>
      <c r="S361" s="31">
        <f>R361*IF(A361=4, 2.0, 3.0)</f>
        <v/>
      </c>
      <c r="T361" s="30">
        <f>'Dashboard &amp; Optimisation'!$B$18*U361</f>
        <v/>
      </c>
      <c r="U361" s="34">
        <f>MIN(1, S361/M361)</f>
        <v/>
      </c>
      <c r="V361" s="34">
        <f>N361/(N361+O361)</f>
        <v/>
      </c>
      <c r="W361" s="34">
        <f>U361*V361</f>
        <v/>
      </c>
      <c r="X361" s="32">
        <f>T361/N361</f>
        <v/>
      </c>
      <c r="Y361" s="35">
        <f>IF(W361=MAXIFS(W$2:W$3601, A$2:A$3601, A361, B$2:B$3601, B361), "OPTIMAL", "")</f>
        <v/>
      </c>
    </row>
    <row r="362" ht="20" customHeight="1">
      <c r="A362" s="21" t="n">
        <v>4</v>
      </c>
      <c r="B362" s="21" t="n">
        <v>30</v>
      </c>
      <c r="C362" s="22" t="n">
        <v>80</v>
      </c>
      <c r="D362" s="22" t="n">
        <v>2</v>
      </c>
      <c r="E362" s="23" t="n">
        <v>0</v>
      </c>
      <c r="F362" s="22" t="n">
        <v>0</v>
      </c>
      <c r="G362" s="23" t="inlineStr">
        <is>
          <t>Oui</t>
        </is>
      </c>
      <c r="H362" s="23" t="inlineStr">
        <is>
          <t>ON</t>
        </is>
      </c>
      <c r="I362" s="24" t="n">
        <v>718.2417398266504</v>
      </c>
      <c r="J362" s="24" t="n">
        <v>2366.073881799197</v>
      </c>
      <c r="K362" s="24" t="n">
        <v>1847.222222222222</v>
      </c>
      <c r="L362" s="24" t="n">
        <v>150</v>
      </c>
      <c r="M362" s="24">
        <f>I362+J362+K362+L362</f>
        <v/>
      </c>
      <c r="N362" s="24">
        <f>M362*'Dashboard &amp; Optimisation'!$B$18/('Dashboard &amp; Optimisation'!$B$16/3.6)</f>
        <v/>
      </c>
      <c r="O362" s="24" t="n">
        <v>279.0084718694878</v>
      </c>
      <c r="P362" s="25" t="n">
        <v>0.5013778930875155</v>
      </c>
      <c r="Q362" s="26" t="n">
        <v>0.2</v>
      </c>
      <c r="R362" s="24" t="n">
        <v>420.5464529071447</v>
      </c>
      <c r="S362" s="24">
        <f>R362*IF(A362=4, 2.0, 3.0)</f>
        <v/>
      </c>
      <c r="T362" s="22">
        <f>'Dashboard &amp; Optimisation'!$B$18*U362</f>
        <v/>
      </c>
      <c r="U362" s="27">
        <f>MIN(1, S362/M362)</f>
        <v/>
      </c>
      <c r="V362" s="27">
        <f>N362/(N362+O362)</f>
        <v/>
      </c>
      <c r="W362" s="27">
        <f>U362*V362</f>
        <v/>
      </c>
      <c r="X362" s="25">
        <f>T362/N362</f>
        <v/>
      </c>
      <c r="Y362" s="28">
        <f>IF(W362=MAXIFS(W$2:W$3601, A$2:A$3601, A362, B$2:B$3601, B362), "OPTIMAL", "")</f>
        <v/>
      </c>
    </row>
    <row r="363" ht="20" customHeight="1">
      <c r="A363" s="29" t="n">
        <v>4</v>
      </c>
      <c r="B363" s="29" t="n">
        <v>30</v>
      </c>
      <c r="C363" s="30" t="n">
        <v>80</v>
      </c>
      <c r="D363" s="30" t="n">
        <v>2</v>
      </c>
      <c r="E363" s="6" t="n">
        <v>0</v>
      </c>
      <c r="F363" s="30" t="n">
        <v>0</v>
      </c>
      <c r="G363" s="6" t="inlineStr">
        <is>
          <t>Oui</t>
        </is>
      </c>
      <c r="H363" s="6" t="inlineStr">
        <is>
          <t>OFF</t>
        </is>
      </c>
      <c r="I363" s="31" t="n">
        <v>718.2417398266504</v>
      </c>
      <c r="J363" s="31" t="n">
        <v>2366.073881799197</v>
      </c>
      <c r="K363" s="31" t="n">
        <v>1847.222222222222</v>
      </c>
      <c r="L363" s="31" t="n">
        <v>150</v>
      </c>
      <c r="M363" s="31">
        <f>I363+J363+K363+L363</f>
        <v/>
      </c>
      <c r="N363" s="31">
        <f>M363*'Dashboard &amp; Optimisation'!$B$18/('Dashboard &amp; Optimisation'!$B$16/3.6)</f>
        <v/>
      </c>
      <c r="O363" s="31" t="n">
        <v>279.0084718694878</v>
      </c>
      <c r="P363" s="32" t="n">
        <v>0.8992652508172538</v>
      </c>
      <c r="Q363" s="33" t="n">
        <v>0.2</v>
      </c>
      <c r="R363" s="31" t="n">
        <v>234.4721919504718</v>
      </c>
      <c r="S363" s="31">
        <f>R363*IF(A363=4, 2.0, 3.0)</f>
        <v/>
      </c>
      <c r="T363" s="30">
        <f>'Dashboard &amp; Optimisation'!$B$18*U363</f>
        <v/>
      </c>
      <c r="U363" s="34">
        <f>MIN(1, S363/M363)</f>
        <v/>
      </c>
      <c r="V363" s="34">
        <f>N363/(N363+O363)</f>
        <v/>
      </c>
      <c r="W363" s="34">
        <f>U363*V363</f>
        <v/>
      </c>
      <c r="X363" s="32">
        <f>T363/N363</f>
        <v/>
      </c>
      <c r="Y363" s="35">
        <f>IF(W363=MAXIFS(W$2:W$3601, A$2:A$3601, A363, B$2:B$3601, B363), "OPTIMAL", "")</f>
        <v/>
      </c>
    </row>
    <row r="364" ht="20" customHeight="1">
      <c r="A364" s="21" t="n">
        <v>4</v>
      </c>
      <c r="B364" s="21" t="n">
        <v>30</v>
      </c>
      <c r="C364" s="22" t="n">
        <v>80</v>
      </c>
      <c r="D364" s="22" t="n">
        <v>2</v>
      </c>
      <c r="E364" s="23" t="n">
        <v>0</v>
      </c>
      <c r="F364" s="22" t="n">
        <v>0</v>
      </c>
      <c r="G364" s="23" t="inlineStr">
        <is>
          <t>Non</t>
        </is>
      </c>
      <c r="H364" s="23" t="inlineStr">
        <is>
          <t>ON</t>
        </is>
      </c>
      <c r="I364" s="24" t="n">
        <v>718.2417398266504</v>
      </c>
      <c r="J364" s="24" t="n">
        <v>2366.073881799197</v>
      </c>
      <c r="K364" s="24" t="n">
        <v>1847.222222222222</v>
      </c>
      <c r="L364" s="24" t="n">
        <v>150</v>
      </c>
      <c r="M364" s="24">
        <f>I364+J364+K364+L364</f>
        <v/>
      </c>
      <c r="N364" s="24">
        <f>M364*'Dashboard &amp; Optimisation'!$B$18/('Dashboard &amp; Optimisation'!$B$16/3.6)</f>
        <v/>
      </c>
      <c r="O364" s="24" t="n">
        <v>279.0084718694878</v>
      </c>
      <c r="P364" s="25" t="n">
        <v>0.4973990195102181</v>
      </c>
      <c r="Q364" s="26" t="n">
        <v>0.2</v>
      </c>
      <c r="R364" s="24" t="n">
        <v>423.9105551748694</v>
      </c>
      <c r="S364" s="24">
        <f>R364*IF(A364=4, 2.0, 3.0)</f>
        <v/>
      </c>
      <c r="T364" s="22">
        <f>'Dashboard &amp; Optimisation'!$B$18*U364</f>
        <v/>
      </c>
      <c r="U364" s="27">
        <f>MIN(1, S364/M364)</f>
        <v/>
      </c>
      <c r="V364" s="27">
        <f>N364/(N364+O364)</f>
        <v/>
      </c>
      <c r="W364" s="27">
        <f>U364*V364</f>
        <v/>
      </c>
      <c r="X364" s="25">
        <f>T364/N364</f>
        <v/>
      </c>
      <c r="Y364" s="28">
        <f>IF(W364=MAXIFS(W$2:W$3601, A$2:A$3601, A364, B$2:B$3601, B364), "OPTIMAL", "")</f>
        <v/>
      </c>
    </row>
    <row r="365" ht="20" customHeight="1">
      <c r="A365" s="29" t="n">
        <v>4</v>
      </c>
      <c r="B365" s="29" t="n">
        <v>30</v>
      </c>
      <c r="C365" s="30" t="n">
        <v>80</v>
      </c>
      <c r="D365" s="30" t="n">
        <v>2</v>
      </c>
      <c r="E365" s="6" t="n">
        <v>0</v>
      </c>
      <c r="F365" s="30" t="n">
        <v>0</v>
      </c>
      <c r="G365" s="6" t="inlineStr">
        <is>
          <t>Non</t>
        </is>
      </c>
      <c r="H365" s="6" t="inlineStr">
        <is>
          <t>OFF</t>
        </is>
      </c>
      <c r="I365" s="31" t="n">
        <v>718.2417398266504</v>
      </c>
      <c r="J365" s="31" t="n">
        <v>2366.073881799197</v>
      </c>
      <c r="K365" s="31" t="n">
        <v>1847.222222222222</v>
      </c>
      <c r="L365" s="31" t="n">
        <v>150</v>
      </c>
      <c r="M365" s="31">
        <f>I365+J365+K365+L365</f>
        <v/>
      </c>
      <c r="N365" s="31">
        <f>M365*'Dashboard &amp; Optimisation'!$B$18/('Dashboard &amp; Optimisation'!$B$16/3.6)</f>
        <v/>
      </c>
      <c r="O365" s="31" t="n">
        <v>279.0084718694878</v>
      </c>
      <c r="P365" s="32" t="n">
        <v>0.8952863772399564</v>
      </c>
      <c r="Q365" s="33" t="n">
        <v>0.2</v>
      </c>
      <c r="R365" s="31" t="n">
        <v>235.514244228804</v>
      </c>
      <c r="S365" s="31">
        <f>R365*IF(A365=4, 2.0, 3.0)</f>
        <v/>
      </c>
      <c r="T365" s="30">
        <f>'Dashboard &amp; Optimisation'!$B$18*U365</f>
        <v/>
      </c>
      <c r="U365" s="34">
        <f>MIN(1, S365/M365)</f>
        <v/>
      </c>
      <c r="V365" s="34">
        <f>N365/(N365+O365)</f>
        <v/>
      </c>
      <c r="W365" s="34">
        <f>U365*V365</f>
        <v/>
      </c>
      <c r="X365" s="32">
        <f>T365/N365</f>
        <v/>
      </c>
      <c r="Y365" s="35">
        <f>IF(W365=MAXIFS(W$2:W$3601, A$2:A$3601, A365, B$2:B$3601, B365), "OPTIMAL", "")</f>
        <v/>
      </c>
    </row>
    <row r="366" ht="20" customHeight="1">
      <c r="A366" s="21" t="n">
        <v>4</v>
      </c>
      <c r="B366" s="21" t="n">
        <v>30</v>
      </c>
      <c r="C366" s="22" t="n">
        <v>80</v>
      </c>
      <c r="D366" s="22" t="n">
        <v>2</v>
      </c>
      <c r="E366" s="23" t="n">
        <v>4</v>
      </c>
      <c r="F366" s="22" t="n">
        <v>1.5</v>
      </c>
      <c r="G366" s="23" t="inlineStr">
        <is>
          <t>Oui</t>
        </is>
      </c>
      <c r="H366" s="23" t="inlineStr">
        <is>
          <t>ON</t>
        </is>
      </c>
      <c r="I366" s="24" t="n">
        <v>718.2417398266504</v>
      </c>
      <c r="J366" s="24" t="n">
        <v>2366.073881799197</v>
      </c>
      <c r="K366" s="24" t="n">
        <v>1847.222222222222</v>
      </c>
      <c r="L366" s="24" t="n">
        <v>150</v>
      </c>
      <c r="M366" s="24">
        <f>I366+J366+K366+L366</f>
        <v/>
      </c>
      <c r="N366" s="24">
        <f>M366*'Dashboard &amp; Optimisation'!$B$18/('Dashboard &amp; Optimisation'!$B$16/3.6)</f>
        <v/>
      </c>
      <c r="O366" s="24" t="n">
        <v>452.2711323819576</v>
      </c>
      <c r="P366" s="25" t="n">
        <v>0.08231647342522849</v>
      </c>
      <c r="Q366" s="26" t="n">
        <v>8.434509224055622</v>
      </c>
      <c r="R366" s="24" t="n">
        <v>2668.794145694902</v>
      </c>
      <c r="S366" s="24">
        <f>R366*IF(A366=4, 2.0, 3.0)</f>
        <v/>
      </c>
      <c r="T366" s="22">
        <f>'Dashboard &amp; Optimisation'!$B$18*U366</f>
        <v/>
      </c>
      <c r="U366" s="27">
        <f>MIN(1, S366/M366)</f>
        <v/>
      </c>
      <c r="V366" s="27">
        <f>N366/(N366+O366)</f>
        <v/>
      </c>
      <c r="W366" s="27">
        <f>U366*V366</f>
        <v/>
      </c>
      <c r="X366" s="25">
        <f>T366/N366</f>
        <v/>
      </c>
      <c r="Y366" s="28">
        <f>IF(W366=MAXIFS(W$2:W$3601, A$2:A$3601, A366, B$2:B$3601, B366), "OPTIMAL", "")</f>
        <v/>
      </c>
    </row>
    <row r="367" ht="20" customHeight="1">
      <c r="A367" s="29" t="n">
        <v>4</v>
      </c>
      <c r="B367" s="29" t="n">
        <v>30</v>
      </c>
      <c r="C367" s="30" t="n">
        <v>80</v>
      </c>
      <c r="D367" s="30" t="n">
        <v>2</v>
      </c>
      <c r="E367" s="6" t="n">
        <v>4</v>
      </c>
      <c r="F367" s="30" t="n">
        <v>1.5</v>
      </c>
      <c r="G367" s="6" t="inlineStr">
        <is>
          <t>Oui</t>
        </is>
      </c>
      <c r="H367" s="6" t="inlineStr">
        <is>
          <t>OFF</t>
        </is>
      </c>
      <c r="I367" s="31" t="n">
        <v>718.2417398266504</v>
      </c>
      <c r="J367" s="31" t="n">
        <v>2366.073881799197</v>
      </c>
      <c r="K367" s="31" t="n">
        <v>1847.222222222222</v>
      </c>
      <c r="L367" s="31" t="n">
        <v>150</v>
      </c>
      <c r="M367" s="31">
        <f>I367+J367+K367+L367</f>
        <v/>
      </c>
      <c r="N367" s="31">
        <f>M367*'Dashboard &amp; Optimisation'!$B$18/('Dashboard &amp; Optimisation'!$B$16/3.6)</f>
        <v/>
      </c>
      <c r="O367" s="31" t="n">
        <v>452.2711323819576</v>
      </c>
      <c r="P367" s="32" t="n">
        <v>0.3560493820000729</v>
      </c>
      <c r="Q367" s="33" t="n">
        <v>8.434509224055622</v>
      </c>
      <c r="R367" s="31" t="n">
        <v>617.0091382758104</v>
      </c>
      <c r="S367" s="31">
        <f>R367*IF(A367=4, 2.0, 3.0)</f>
        <v/>
      </c>
      <c r="T367" s="30">
        <f>'Dashboard &amp; Optimisation'!$B$18*U367</f>
        <v/>
      </c>
      <c r="U367" s="34">
        <f>MIN(1, S367/M367)</f>
        <v/>
      </c>
      <c r="V367" s="34">
        <f>N367/(N367+O367)</f>
        <v/>
      </c>
      <c r="W367" s="34">
        <f>U367*V367</f>
        <v/>
      </c>
      <c r="X367" s="32">
        <f>T367/N367</f>
        <v/>
      </c>
      <c r="Y367" s="35">
        <f>IF(W367=MAXIFS(W$2:W$3601, A$2:A$3601, A367, B$2:B$3601, B367), "OPTIMAL", "")</f>
        <v/>
      </c>
    </row>
    <row r="368" ht="20" customHeight="1">
      <c r="A368" s="21" t="n">
        <v>4</v>
      </c>
      <c r="B368" s="21" t="n">
        <v>30</v>
      </c>
      <c r="C368" s="22" t="n">
        <v>80</v>
      </c>
      <c r="D368" s="22" t="n">
        <v>2</v>
      </c>
      <c r="E368" s="23" t="n">
        <v>4</v>
      </c>
      <c r="F368" s="22" t="n">
        <v>1.5</v>
      </c>
      <c r="G368" s="23" t="inlineStr">
        <is>
          <t>Non</t>
        </is>
      </c>
      <c r="H368" s="23" t="inlineStr">
        <is>
          <t>ON</t>
        </is>
      </c>
      <c r="I368" s="24" t="n">
        <v>718.2417398266504</v>
      </c>
      <c r="J368" s="24" t="n">
        <v>2366.073881799197</v>
      </c>
      <c r="K368" s="24" t="n">
        <v>1847.222222222222</v>
      </c>
      <c r="L368" s="24" t="n">
        <v>150</v>
      </c>
      <c r="M368" s="24">
        <f>I368+J368+K368+L368</f>
        <v/>
      </c>
      <c r="N368" s="24">
        <f>M368*'Dashboard &amp; Optimisation'!$B$18/('Dashboard &amp; Optimisation'!$B$16/3.6)</f>
        <v/>
      </c>
      <c r="O368" s="24" t="n">
        <v>452.2711323819576</v>
      </c>
      <c r="P368" s="25" t="n">
        <v>0.07833759984793112</v>
      </c>
      <c r="Q368" s="26" t="n">
        <v>8.434509224055622</v>
      </c>
      <c r="R368" s="24" t="n">
        <v>2804.345841562079</v>
      </c>
      <c r="S368" s="24">
        <f>R368*IF(A368=4, 2.0, 3.0)</f>
        <v/>
      </c>
      <c r="T368" s="22">
        <f>'Dashboard &amp; Optimisation'!$B$18*U368</f>
        <v/>
      </c>
      <c r="U368" s="27">
        <f>MIN(1, S368/M368)</f>
        <v/>
      </c>
      <c r="V368" s="27">
        <f>N368/(N368+O368)</f>
        <v/>
      </c>
      <c r="W368" s="27">
        <f>U368*V368</f>
        <v/>
      </c>
      <c r="X368" s="25">
        <f>T368/N368</f>
        <v/>
      </c>
      <c r="Y368" s="28">
        <f>IF(W368=MAXIFS(W$2:W$3601, A$2:A$3601, A368, B$2:B$3601, B368), "OPTIMAL", "")</f>
        <v/>
      </c>
    </row>
    <row r="369" ht="20" customHeight="1">
      <c r="A369" s="29" t="n">
        <v>4</v>
      </c>
      <c r="B369" s="29" t="n">
        <v>30</v>
      </c>
      <c r="C369" s="30" t="n">
        <v>80</v>
      </c>
      <c r="D369" s="30" t="n">
        <v>2</v>
      </c>
      <c r="E369" s="6" t="n">
        <v>4</v>
      </c>
      <c r="F369" s="30" t="n">
        <v>1.5</v>
      </c>
      <c r="G369" s="6" t="inlineStr">
        <is>
          <t>Non</t>
        </is>
      </c>
      <c r="H369" s="6" t="inlineStr">
        <is>
          <t>OFF</t>
        </is>
      </c>
      <c r="I369" s="31" t="n">
        <v>718.2417398266504</v>
      </c>
      <c r="J369" s="31" t="n">
        <v>2366.073881799197</v>
      </c>
      <c r="K369" s="31" t="n">
        <v>1847.222222222222</v>
      </c>
      <c r="L369" s="31" t="n">
        <v>150</v>
      </c>
      <c r="M369" s="31">
        <f>I369+J369+K369+L369</f>
        <v/>
      </c>
      <c r="N369" s="31">
        <f>M369*'Dashboard &amp; Optimisation'!$B$18/('Dashboard &amp; Optimisation'!$B$16/3.6)</f>
        <v/>
      </c>
      <c r="O369" s="31" t="n">
        <v>452.2711323819576</v>
      </c>
      <c r="P369" s="32" t="n">
        <v>0.3520705084227755</v>
      </c>
      <c r="Q369" s="33" t="n">
        <v>8.434509224055622</v>
      </c>
      <c r="R369" s="31" t="n">
        <v>623.9821771941643</v>
      </c>
      <c r="S369" s="31">
        <f>R369*IF(A369=4, 2.0, 3.0)</f>
        <v/>
      </c>
      <c r="T369" s="30">
        <f>'Dashboard &amp; Optimisation'!$B$18*U369</f>
        <v/>
      </c>
      <c r="U369" s="34">
        <f>MIN(1, S369/M369)</f>
        <v/>
      </c>
      <c r="V369" s="34">
        <f>N369/(N369+O369)</f>
        <v/>
      </c>
      <c r="W369" s="34">
        <f>U369*V369</f>
        <v/>
      </c>
      <c r="X369" s="32">
        <f>T369/N369</f>
        <v/>
      </c>
      <c r="Y369" s="35">
        <f>IF(W369=MAXIFS(W$2:W$3601, A$2:A$3601, A369, B$2:B$3601, B369), "OPTIMAL", "")</f>
        <v/>
      </c>
    </row>
    <row r="370" ht="20" customHeight="1">
      <c r="A370" s="21" t="n">
        <v>4</v>
      </c>
      <c r="B370" s="21" t="n">
        <v>30</v>
      </c>
      <c r="C370" s="22" t="n">
        <v>80</v>
      </c>
      <c r="D370" s="22" t="n">
        <v>2</v>
      </c>
      <c r="E370" s="23" t="n">
        <v>4</v>
      </c>
      <c r="F370" s="22" t="n">
        <v>2</v>
      </c>
      <c r="G370" s="23" t="inlineStr">
        <is>
          <t>Oui</t>
        </is>
      </c>
      <c r="H370" s="23" t="inlineStr">
        <is>
          <t>ON</t>
        </is>
      </c>
      <c r="I370" s="24" t="n">
        <v>718.2417398266504</v>
      </c>
      <c r="J370" s="24" t="n">
        <v>2366.073881799197</v>
      </c>
      <c r="K370" s="24" t="n">
        <v>1847.222222222222</v>
      </c>
      <c r="L370" s="24" t="n">
        <v>150</v>
      </c>
      <c r="M370" s="24">
        <f>I370+J370+K370+L370</f>
        <v/>
      </c>
      <c r="N370" s="24">
        <f>M370*'Dashboard &amp; Optimisation'!$B$18/('Dashboard &amp; Optimisation'!$B$16/3.6)</f>
        <v/>
      </c>
      <c r="O370" s="24" t="n">
        <v>513.2969519962676</v>
      </c>
      <c r="P370" s="25" t="n">
        <v>0.08027381372050572</v>
      </c>
      <c r="Q370" s="26" t="n">
        <v>11.17934563207416</v>
      </c>
      <c r="R370" s="24" t="n">
        <v>2775.46117030318</v>
      </c>
      <c r="S370" s="24">
        <f>R370*IF(A370=4, 2.0, 3.0)</f>
        <v/>
      </c>
      <c r="T370" s="22">
        <f>'Dashboard &amp; Optimisation'!$B$18*U370</f>
        <v/>
      </c>
      <c r="U370" s="27">
        <f>MIN(1, S370/M370)</f>
        <v/>
      </c>
      <c r="V370" s="27">
        <f>N370/(N370+O370)</f>
        <v/>
      </c>
      <c r="W370" s="27">
        <f>U370*V370</f>
        <v/>
      </c>
      <c r="X370" s="25">
        <f>T370/N370</f>
        <v/>
      </c>
      <c r="Y370" s="28">
        <f>IF(W370=MAXIFS(W$2:W$3601, A$2:A$3601, A370, B$2:B$3601, B370), "OPTIMAL", "")</f>
        <v/>
      </c>
    </row>
    <row r="371" ht="20" customHeight="1">
      <c r="A371" s="29" t="n">
        <v>4</v>
      </c>
      <c r="B371" s="29" t="n">
        <v>30</v>
      </c>
      <c r="C371" s="30" t="n">
        <v>80</v>
      </c>
      <c r="D371" s="30" t="n">
        <v>2</v>
      </c>
      <c r="E371" s="6" t="n">
        <v>4</v>
      </c>
      <c r="F371" s="30" t="n">
        <v>2</v>
      </c>
      <c r="G371" s="6" t="inlineStr">
        <is>
          <t>Oui</t>
        </is>
      </c>
      <c r="H371" s="6" t="inlineStr">
        <is>
          <t>OFF</t>
        </is>
      </c>
      <c r="I371" s="31" t="n">
        <v>718.2417398266504</v>
      </c>
      <c r="J371" s="31" t="n">
        <v>2366.073881799197</v>
      </c>
      <c r="K371" s="31" t="n">
        <v>1847.222222222222</v>
      </c>
      <c r="L371" s="31" t="n">
        <v>150</v>
      </c>
      <c r="M371" s="31">
        <f>I371+J371+K371+L371</f>
        <v/>
      </c>
      <c r="N371" s="31">
        <f>M371*'Dashboard &amp; Optimisation'!$B$18/('Dashboard &amp; Optimisation'!$B$16/3.6)</f>
        <v/>
      </c>
      <c r="O371" s="31" t="n">
        <v>513.2969519962676</v>
      </c>
      <c r="P371" s="32" t="n">
        <v>0.355510990994127</v>
      </c>
      <c r="Q371" s="33" t="n">
        <v>11.17934563207416</v>
      </c>
      <c r="R371" s="31" t="n">
        <v>626.6946975405742</v>
      </c>
      <c r="S371" s="31">
        <f>R371*IF(A371=4, 2.0, 3.0)</f>
        <v/>
      </c>
      <c r="T371" s="30">
        <f>'Dashboard &amp; Optimisation'!$B$18*U371</f>
        <v/>
      </c>
      <c r="U371" s="34">
        <f>MIN(1, S371/M371)</f>
        <v/>
      </c>
      <c r="V371" s="34">
        <f>N371/(N371+O371)</f>
        <v/>
      </c>
      <c r="W371" s="34">
        <f>U371*V371</f>
        <v/>
      </c>
      <c r="X371" s="32">
        <f>T371/N371</f>
        <v/>
      </c>
      <c r="Y371" s="35">
        <f>IF(W371=MAXIFS(W$2:W$3601, A$2:A$3601, A371, B$2:B$3601, B371), "OPTIMAL", "")</f>
        <v/>
      </c>
    </row>
    <row r="372" ht="20" customHeight="1">
      <c r="A372" s="21" t="n">
        <v>4</v>
      </c>
      <c r="B372" s="21" t="n">
        <v>30</v>
      </c>
      <c r="C372" s="22" t="n">
        <v>80</v>
      </c>
      <c r="D372" s="22" t="n">
        <v>2</v>
      </c>
      <c r="E372" s="23" t="n">
        <v>4</v>
      </c>
      <c r="F372" s="22" t="n">
        <v>2</v>
      </c>
      <c r="G372" s="23" t="inlineStr">
        <is>
          <t>Non</t>
        </is>
      </c>
      <c r="H372" s="23" t="inlineStr">
        <is>
          <t>ON</t>
        </is>
      </c>
      <c r="I372" s="24" t="n">
        <v>718.2417398266504</v>
      </c>
      <c r="J372" s="24" t="n">
        <v>2366.073881799197</v>
      </c>
      <c r="K372" s="24" t="n">
        <v>1847.222222222222</v>
      </c>
      <c r="L372" s="24" t="n">
        <v>150</v>
      </c>
      <c r="M372" s="24">
        <f>I372+J372+K372+L372</f>
        <v/>
      </c>
      <c r="N372" s="24">
        <f>M372*'Dashboard &amp; Optimisation'!$B$18/('Dashboard &amp; Optimisation'!$B$16/3.6)</f>
        <v/>
      </c>
      <c r="O372" s="24" t="n">
        <v>513.2969519962676</v>
      </c>
      <c r="P372" s="25" t="n">
        <v>0.07629494014320834</v>
      </c>
      <c r="Q372" s="26" t="n">
        <v>11.17934563207416</v>
      </c>
      <c r="R372" s="24" t="n">
        <v>2920.204833442644</v>
      </c>
      <c r="S372" s="24">
        <f>R372*IF(A372=4, 2.0, 3.0)</f>
        <v/>
      </c>
      <c r="T372" s="22">
        <f>'Dashboard &amp; Optimisation'!$B$18*U372</f>
        <v/>
      </c>
      <c r="U372" s="27">
        <f>MIN(1, S372/M372)</f>
        <v/>
      </c>
      <c r="V372" s="27">
        <f>N372/(N372+O372)</f>
        <v/>
      </c>
      <c r="W372" s="27">
        <f>U372*V372</f>
        <v/>
      </c>
      <c r="X372" s="25">
        <f>T372/N372</f>
        <v/>
      </c>
      <c r="Y372" s="28">
        <f>IF(W372=MAXIFS(W$2:W$3601, A$2:A$3601, A372, B$2:B$3601, B372), "OPTIMAL", "")</f>
        <v/>
      </c>
    </row>
    <row r="373" ht="20" customHeight="1">
      <c r="A373" s="29" t="n">
        <v>4</v>
      </c>
      <c r="B373" s="29" t="n">
        <v>30</v>
      </c>
      <c r="C373" s="30" t="n">
        <v>80</v>
      </c>
      <c r="D373" s="30" t="n">
        <v>2</v>
      </c>
      <c r="E373" s="6" t="n">
        <v>4</v>
      </c>
      <c r="F373" s="30" t="n">
        <v>2</v>
      </c>
      <c r="G373" s="6" t="inlineStr">
        <is>
          <t>Non</t>
        </is>
      </c>
      <c r="H373" s="6" t="inlineStr">
        <is>
          <t>OFF</t>
        </is>
      </c>
      <c r="I373" s="31" t="n">
        <v>718.2417398266504</v>
      </c>
      <c r="J373" s="31" t="n">
        <v>2366.073881799197</v>
      </c>
      <c r="K373" s="31" t="n">
        <v>1847.222222222222</v>
      </c>
      <c r="L373" s="31" t="n">
        <v>150</v>
      </c>
      <c r="M373" s="31">
        <f>I373+J373+K373+L373</f>
        <v/>
      </c>
      <c r="N373" s="31">
        <f>M373*'Dashboard &amp; Optimisation'!$B$18/('Dashboard &amp; Optimisation'!$B$16/3.6)</f>
        <v/>
      </c>
      <c r="O373" s="31" t="n">
        <v>513.2969519962676</v>
      </c>
      <c r="P373" s="32" t="n">
        <v>0.3515321174168297</v>
      </c>
      <c r="Q373" s="33" t="n">
        <v>11.17934563207416</v>
      </c>
      <c r="R373" s="31" t="n">
        <v>633.7880436376531</v>
      </c>
      <c r="S373" s="31">
        <f>R373*IF(A373=4, 2.0, 3.0)</f>
        <v/>
      </c>
      <c r="T373" s="30">
        <f>'Dashboard &amp; Optimisation'!$B$18*U373</f>
        <v/>
      </c>
      <c r="U373" s="34">
        <f>MIN(1, S373/M373)</f>
        <v/>
      </c>
      <c r="V373" s="34">
        <f>N373/(N373+O373)</f>
        <v/>
      </c>
      <c r="W373" s="34">
        <f>U373*V373</f>
        <v/>
      </c>
      <c r="X373" s="32">
        <f>T373/N373</f>
        <v/>
      </c>
      <c r="Y373" s="35">
        <f>IF(W373=MAXIFS(W$2:W$3601, A$2:A$3601, A373, B$2:B$3601, B373), "OPTIMAL", "")</f>
        <v/>
      </c>
    </row>
    <row r="374" ht="20" customHeight="1">
      <c r="A374" s="21" t="n">
        <v>4</v>
      </c>
      <c r="B374" s="21" t="n">
        <v>30</v>
      </c>
      <c r="C374" s="22" t="n">
        <v>80</v>
      </c>
      <c r="D374" s="22" t="n">
        <v>2</v>
      </c>
      <c r="E374" s="23" t="n">
        <v>8</v>
      </c>
      <c r="F374" s="22" t="n">
        <v>1.5</v>
      </c>
      <c r="G374" s="23" t="inlineStr">
        <is>
          <t>Oui</t>
        </is>
      </c>
      <c r="H374" s="23" t="inlineStr">
        <is>
          <t>ON</t>
        </is>
      </c>
      <c r="I374" s="24" t="n">
        <v>718.2417398266504</v>
      </c>
      <c r="J374" s="24" t="n">
        <v>2366.073881799197</v>
      </c>
      <c r="K374" s="24" t="n">
        <v>1847.222222222222</v>
      </c>
      <c r="L374" s="24" t="n">
        <v>150</v>
      </c>
      <c r="M374" s="24">
        <f>I374+J374+K374+L374</f>
        <v/>
      </c>
      <c r="N374" s="24">
        <f>M374*'Dashboard &amp; Optimisation'!$B$18/('Dashboard &amp; Optimisation'!$B$16/3.6)</f>
        <v/>
      </c>
      <c r="O374" s="24" t="n">
        <v>640.6851287438744</v>
      </c>
      <c r="P374" s="25" t="n">
        <v>0.06145178783543291</v>
      </c>
      <c r="Q374" s="26" t="n">
        <v>16.66901844811125</v>
      </c>
      <c r="R374" s="24" t="n">
        <v>3731.236827071838</v>
      </c>
      <c r="S374" s="24">
        <f>R374*IF(A374=4, 2.0, 3.0)</f>
        <v/>
      </c>
      <c r="T374" s="22">
        <f>'Dashboard &amp; Optimisation'!$B$18*U374</f>
        <v/>
      </c>
      <c r="U374" s="27">
        <f>MIN(1, S374/M374)</f>
        <v/>
      </c>
      <c r="V374" s="27">
        <f>N374/(N374+O374)</f>
        <v/>
      </c>
      <c r="W374" s="27">
        <f>U374*V374</f>
        <v/>
      </c>
      <c r="X374" s="25">
        <f>T374/N374</f>
        <v/>
      </c>
      <c r="Y374" s="28">
        <f>IF(W374=MAXIFS(W$2:W$3601, A$2:A$3601, A374, B$2:B$3601, B374), "OPTIMAL", "")</f>
        <v/>
      </c>
    </row>
    <row r="375" ht="20" customHeight="1">
      <c r="A375" s="29" t="n">
        <v>4</v>
      </c>
      <c r="B375" s="29" t="n">
        <v>30</v>
      </c>
      <c r="C375" s="30" t="n">
        <v>80</v>
      </c>
      <c r="D375" s="30" t="n">
        <v>2</v>
      </c>
      <c r="E375" s="6" t="n">
        <v>8</v>
      </c>
      <c r="F375" s="30" t="n">
        <v>1.5</v>
      </c>
      <c r="G375" s="6" t="inlineStr">
        <is>
          <t>Oui</t>
        </is>
      </c>
      <c r="H375" s="6" t="inlineStr">
        <is>
          <t>OFF</t>
        </is>
      </c>
      <c r="I375" s="31" t="n">
        <v>718.2417398266504</v>
      </c>
      <c r="J375" s="31" t="n">
        <v>2366.073881799197</v>
      </c>
      <c r="K375" s="31" t="n">
        <v>1847.222222222222</v>
      </c>
      <c r="L375" s="31" t="n">
        <v>150</v>
      </c>
      <c r="M375" s="31">
        <f>I375+J375+K375+L375</f>
        <v/>
      </c>
      <c r="N375" s="31">
        <f>M375*'Dashboard &amp; Optimisation'!$B$18/('Dashboard &amp; Optimisation'!$B$16/3.6)</f>
        <v/>
      </c>
      <c r="O375" s="31" t="n">
        <v>640.6851287438744</v>
      </c>
      <c r="P375" s="32" t="n">
        <v>0.2700829218988253</v>
      </c>
      <c r="Q375" s="33" t="n">
        <v>16.66901844811125</v>
      </c>
      <c r="R375" s="31" t="n">
        <v>848.9658370434333</v>
      </c>
      <c r="S375" s="31">
        <f>R375*IF(A375=4, 2.0, 3.0)</f>
        <v/>
      </c>
      <c r="T375" s="30">
        <f>'Dashboard &amp; Optimisation'!$B$18*U375</f>
        <v/>
      </c>
      <c r="U375" s="34">
        <f>MIN(1, S375/M375)</f>
        <v/>
      </c>
      <c r="V375" s="34">
        <f>N375/(N375+O375)</f>
        <v/>
      </c>
      <c r="W375" s="34">
        <f>U375*V375</f>
        <v/>
      </c>
      <c r="X375" s="32">
        <f>T375/N375</f>
        <v/>
      </c>
      <c r="Y375" s="35">
        <f>IF(W375=MAXIFS(W$2:W$3601, A$2:A$3601, A375, B$2:B$3601, B375), "OPTIMAL", "")</f>
        <v/>
      </c>
    </row>
    <row r="376" ht="20" customHeight="1">
      <c r="A376" s="21" t="n">
        <v>4</v>
      </c>
      <c r="B376" s="21" t="n">
        <v>30</v>
      </c>
      <c r="C376" s="22" t="n">
        <v>80</v>
      </c>
      <c r="D376" s="22" t="n">
        <v>2</v>
      </c>
      <c r="E376" s="23" t="n">
        <v>8</v>
      </c>
      <c r="F376" s="22" t="n">
        <v>1.5</v>
      </c>
      <c r="G376" s="23" t="inlineStr">
        <is>
          <t>Non</t>
        </is>
      </c>
      <c r="H376" s="23" t="inlineStr">
        <is>
          <t>ON</t>
        </is>
      </c>
      <c r="I376" s="24" t="n">
        <v>718.2417398266504</v>
      </c>
      <c r="J376" s="24" t="n">
        <v>2366.073881799197</v>
      </c>
      <c r="K376" s="24" t="n">
        <v>1847.222222222222</v>
      </c>
      <c r="L376" s="24" t="n">
        <v>150</v>
      </c>
      <c r="M376" s="24">
        <f>I376+J376+K376+L376</f>
        <v/>
      </c>
      <c r="N376" s="24">
        <f>M376*'Dashboard &amp; Optimisation'!$B$18/('Dashboard &amp; Optimisation'!$B$16/3.6)</f>
        <v/>
      </c>
      <c r="O376" s="24" t="n">
        <v>640.6851287438744</v>
      </c>
      <c r="P376" s="25" t="n">
        <v>0.05747291425813553</v>
      </c>
      <c r="Q376" s="26" t="n">
        <v>16.66901844811125</v>
      </c>
      <c r="R376" s="24" t="n">
        <v>3989.551892759907</v>
      </c>
      <c r="S376" s="24">
        <f>R376*IF(A376=4, 2.0, 3.0)</f>
        <v/>
      </c>
      <c r="T376" s="22">
        <f>'Dashboard &amp; Optimisation'!$B$18*U376</f>
        <v/>
      </c>
      <c r="U376" s="27">
        <f>MIN(1, S376/M376)</f>
        <v/>
      </c>
      <c r="V376" s="27">
        <f>N376/(N376+O376)</f>
        <v/>
      </c>
      <c r="W376" s="27">
        <f>U376*V376</f>
        <v/>
      </c>
      <c r="X376" s="25">
        <f>T376/N376</f>
        <v/>
      </c>
      <c r="Y376" s="28">
        <f>IF(W376=MAXIFS(W$2:W$3601, A$2:A$3601, A376, B$2:B$3601, B376), "OPTIMAL", "")</f>
        <v/>
      </c>
    </row>
    <row r="377" ht="20" customHeight="1">
      <c r="A377" s="29" t="n">
        <v>4</v>
      </c>
      <c r="B377" s="29" t="n">
        <v>30</v>
      </c>
      <c r="C377" s="30" t="n">
        <v>80</v>
      </c>
      <c r="D377" s="30" t="n">
        <v>2</v>
      </c>
      <c r="E377" s="6" t="n">
        <v>8</v>
      </c>
      <c r="F377" s="30" t="n">
        <v>1.5</v>
      </c>
      <c r="G377" s="6" t="inlineStr">
        <is>
          <t>Non</t>
        </is>
      </c>
      <c r="H377" s="6" t="inlineStr">
        <is>
          <t>OFF</t>
        </is>
      </c>
      <c r="I377" s="31" t="n">
        <v>718.2417398266504</v>
      </c>
      <c r="J377" s="31" t="n">
        <v>2366.073881799197</v>
      </c>
      <c r="K377" s="31" t="n">
        <v>1847.222222222222</v>
      </c>
      <c r="L377" s="31" t="n">
        <v>150</v>
      </c>
      <c r="M377" s="31">
        <f>I377+J377+K377+L377</f>
        <v/>
      </c>
      <c r="N377" s="31">
        <f>M377*'Dashboard &amp; Optimisation'!$B$18/('Dashboard &amp; Optimisation'!$B$16/3.6)</f>
        <v/>
      </c>
      <c r="O377" s="31" t="n">
        <v>640.6851287438744</v>
      </c>
      <c r="P377" s="32" t="n">
        <v>0.2661040483215279</v>
      </c>
      <c r="Q377" s="33" t="n">
        <v>16.66901844811125</v>
      </c>
      <c r="R377" s="31" t="n">
        <v>861.6598481204794</v>
      </c>
      <c r="S377" s="31">
        <f>R377*IF(A377=4, 2.0, 3.0)</f>
        <v/>
      </c>
      <c r="T377" s="30">
        <f>'Dashboard &amp; Optimisation'!$B$18*U377</f>
        <v/>
      </c>
      <c r="U377" s="34">
        <f>MIN(1, S377/M377)</f>
        <v/>
      </c>
      <c r="V377" s="34">
        <f>N377/(N377+O377)</f>
        <v/>
      </c>
      <c r="W377" s="34">
        <f>U377*V377</f>
        <v/>
      </c>
      <c r="X377" s="32">
        <f>T377/N377</f>
        <v/>
      </c>
      <c r="Y377" s="35">
        <f>IF(W377=MAXIFS(W$2:W$3601, A$2:A$3601, A377, B$2:B$3601, B377), "OPTIMAL", "")</f>
        <v/>
      </c>
    </row>
    <row r="378" ht="20" customHeight="1">
      <c r="A378" s="21" t="n">
        <v>4</v>
      </c>
      <c r="B378" s="21" t="n">
        <v>30</v>
      </c>
      <c r="C378" s="22" t="n">
        <v>80</v>
      </c>
      <c r="D378" s="22" t="n">
        <v>2</v>
      </c>
      <c r="E378" s="23" t="n">
        <v>8</v>
      </c>
      <c r="F378" s="22" t="n">
        <v>2</v>
      </c>
      <c r="G378" s="23" t="inlineStr">
        <is>
          <t>Oui</t>
        </is>
      </c>
      <c r="H378" s="23" t="inlineStr">
        <is>
          <t>ON</t>
        </is>
      </c>
      <c r="I378" s="24" t="n">
        <v>718.2417398266504</v>
      </c>
      <c r="J378" s="24" t="n">
        <v>2366.073881799197</v>
      </c>
      <c r="K378" s="24" t="n">
        <v>1847.222222222222</v>
      </c>
      <c r="L378" s="24" t="n">
        <v>150</v>
      </c>
      <c r="M378" s="24">
        <f>I378+J378+K378+L378</f>
        <v/>
      </c>
      <c r="N378" s="24">
        <f>M378*'Dashboard &amp; Optimisation'!$B$18/('Dashboard &amp; Optimisation'!$B$16/3.6)</f>
        <v/>
      </c>
      <c r="O378" s="24" t="n">
        <v>775.7227739383095</v>
      </c>
      <c r="P378" s="25" t="n">
        <v>0.06058998977604487</v>
      </c>
      <c r="Q378" s="26" t="n">
        <v>22.15869126414833</v>
      </c>
      <c r="R378" s="24" t="n">
        <v>3897.928846408509</v>
      </c>
      <c r="S378" s="24">
        <f>R378*IF(A378=4, 2.0, 3.0)</f>
        <v/>
      </c>
      <c r="T378" s="22">
        <f>'Dashboard &amp; Optimisation'!$B$18*U378</f>
        <v/>
      </c>
      <c r="U378" s="27">
        <f>MIN(1, S378/M378)</f>
        <v/>
      </c>
      <c r="V378" s="27">
        <f>N378/(N378+O378)</f>
        <v/>
      </c>
      <c r="W378" s="27">
        <f>U378*V378</f>
        <v/>
      </c>
      <c r="X378" s="25">
        <f>T378/N378</f>
        <v/>
      </c>
      <c r="Y378" s="28">
        <f>IF(W378=MAXIFS(W$2:W$3601, A$2:A$3601, A378, B$2:B$3601, B378), "OPTIMAL", "")</f>
        <v/>
      </c>
    </row>
    <row r="379" ht="20" customHeight="1">
      <c r="A379" s="29" t="n">
        <v>4</v>
      </c>
      <c r="B379" s="29" t="n">
        <v>30</v>
      </c>
      <c r="C379" s="30" t="n">
        <v>80</v>
      </c>
      <c r="D379" s="30" t="n">
        <v>2</v>
      </c>
      <c r="E379" s="6" t="n">
        <v>8</v>
      </c>
      <c r="F379" s="30" t="n">
        <v>2</v>
      </c>
      <c r="G379" s="6" t="inlineStr">
        <is>
          <t>Oui</t>
        </is>
      </c>
      <c r="H379" s="6" t="inlineStr">
        <is>
          <t>OFF</t>
        </is>
      </c>
      <c r="I379" s="31" t="n">
        <v>718.2417398266504</v>
      </c>
      <c r="J379" s="31" t="n">
        <v>2366.073881799197</v>
      </c>
      <c r="K379" s="31" t="n">
        <v>1847.222222222222</v>
      </c>
      <c r="L379" s="31" t="n">
        <v>150</v>
      </c>
      <c r="M379" s="31">
        <f>I379+J379+K379+L379</f>
        <v/>
      </c>
      <c r="N379" s="31">
        <f>M379*'Dashboard &amp; Optimisation'!$B$18/('Dashboard &amp; Optimisation'!$B$16/3.6)</f>
        <v/>
      </c>
      <c r="O379" s="31" t="n">
        <v>775.7227739383095</v>
      </c>
      <c r="P379" s="32" t="n">
        <v>0.2709744149858122</v>
      </c>
      <c r="Q379" s="33" t="n">
        <v>22.15869126414833</v>
      </c>
      <c r="R379" s="31" t="n">
        <v>871.5784808097388</v>
      </c>
      <c r="S379" s="31">
        <f>R379*IF(A379=4, 2.0, 3.0)</f>
        <v/>
      </c>
      <c r="T379" s="30">
        <f>'Dashboard &amp; Optimisation'!$B$18*U379</f>
        <v/>
      </c>
      <c r="U379" s="34">
        <f>MIN(1, S379/M379)</f>
        <v/>
      </c>
      <c r="V379" s="34">
        <f>N379/(N379+O379)</f>
        <v/>
      </c>
      <c r="W379" s="34">
        <f>U379*V379</f>
        <v/>
      </c>
      <c r="X379" s="32">
        <f>T379/N379</f>
        <v/>
      </c>
      <c r="Y379" s="35">
        <f>IF(W379=MAXIFS(W$2:W$3601, A$2:A$3601, A379, B$2:B$3601, B379), "OPTIMAL", "")</f>
        <v/>
      </c>
    </row>
    <row r="380" ht="20" customHeight="1">
      <c r="A380" s="21" t="n">
        <v>4</v>
      </c>
      <c r="B380" s="21" t="n">
        <v>30</v>
      </c>
      <c r="C380" s="22" t="n">
        <v>80</v>
      </c>
      <c r="D380" s="22" t="n">
        <v>2</v>
      </c>
      <c r="E380" s="23" t="n">
        <v>8</v>
      </c>
      <c r="F380" s="22" t="n">
        <v>2</v>
      </c>
      <c r="G380" s="23" t="inlineStr">
        <is>
          <t>Non</t>
        </is>
      </c>
      <c r="H380" s="23" t="inlineStr">
        <is>
          <t>ON</t>
        </is>
      </c>
      <c r="I380" s="24" t="n">
        <v>718.2417398266504</v>
      </c>
      <c r="J380" s="24" t="n">
        <v>2366.073881799197</v>
      </c>
      <c r="K380" s="24" t="n">
        <v>1847.222222222222</v>
      </c>
      <c r="L380" s="24" t="n">
        <v>150</v>
      </c>
      <c r="M380" s="24">
        <f>I380+J380+K380+L380</f>
        <v/>
      </c>
      <c r="N380" s="24">
        <f>M380*'Dashboard &amp; Optimisation'!$B$18/('Dashboard &amp; Optimisation'!$B$16/3.6)</f>
        <v/>
      </c>
      <c r="O380" s="24" t="n">
        <v>775.7227739383095</v>
      </c>
      <c r="P380" s="25" t="n">
        <v>0.05661111619874749</v>
      </c>
      <c r="Q380" s="26" t="n">
        <v>22.15869126414833</v>
      </c>
      <c r="R380" s="24" t="n">
        <v>4171.892109007158</v>
      </c>
      <c r="S380" s="24">
        <f>R380*IF(A380=4, 2.0, 3.0)</f>
        <v/>
      </c>
      <c r="T380" s="22">
        <f>'Dashboard &amp; Optimisation'!$B$18*U380</f>
        <v/>
      </c>
      <c r="U380" s="27">
        <f>MIN(1, S380/M380)</f>
        <v/>
      </c>
      <c r="V380" s="27">
        <f>N380/(N380+O380)</f>
        <v/>
      </c>
      <c r="W380" s="27">
        <f>U380*V380</f>
        <v/>
      </c>
      <c r="X380" s="25">
        <f>T380/N380</f>
        <v/>
      </c>
      <c r="Y380" s="28">
        <f>IF(W380=MAXIFS(W$2:W$3601, A$2:A$3601, A380, B$2:B$3601, B380), "OPTIMAL", "")</f>
        <v/>
      </c>
    </row>
    <row r="381" ht="20" customHeight="1">
      <c r="A381" s="29" t="n">
        <v>4</v>
      </c>
      <c r="B381" s="29" t="n">
        <v>30</v>
      </c>
      <c r="C381" s="30" t="n">
        <v>80</v>
      </c>
      <c r="D381" s="30" t="n">
        <v>2</v>
      </c>
      <c r="E381" s="6" t="n">
        <v>8</v>
      </c>
      <c r="F381" s="30" t="n">
        <v>2</v>
      </c>
      <c r="G381" s="6" t="inlineStr">
        <is>
          <t>Non</t>
        </is>
      </c>
      <c r="H381" s="6" t="inlineStr">
        <is>
          <t>OFF</t>
        </is>
      </c>
      <c r="I381" s="31" t="n">
        <v>718.2417398266504</v>
      </c>
      <c r="J381" s="31" t="n">
        <v>2366.073881799197</v>
      </c>
      <c r="K381" s="31" t="n">
        <v>1847.222222222222</v>
      </c>
      <c r="L381" s="31" t="n">
        <v>150</v>
      </c>
      <c r="M381" s="31">
        <f>I381+J381+K381+L381</f>
        <v/>
      </c>
      <c r="N381" s="31">
        <f>M381*'Dashboard &amp; Optimisation'!$B$18/('Dashboard &amp; Optimisation'!$B$16/3.6)</f>
        <v/>
      </c>
      <c r="O381" s="31" t="n">
        <v>775.7227739383095</v>
      </c>
      <c r="P381" s="32" t="n">
        <v>0.2669955414085148</v>
      </c>
      <c r="Q381" s="33" t="n">
        <v>22.15869126414833</v>
      </c>
      <c r="R381" s="31" t="n">
        <v>884.5670894192317</v>
      </c>
      <c r="S381" s="31">
        <f>R381*IF(A381=4, 2.0, 3.0)</f>
        <v/>
      </c>
      <c r="T381" s="30">
        <f>'Dashboard &amp; Optimisation'!$B$18*U381</f>
        <v/>
      </c>
      <c r="U381" s="34">
        <f>MIN(1, S381/M381)</f>
        <v/>
      </c>
      <c r="V381" s="34">
        <f>N381/(N381+O381)</f>
        <v/>
      </c>
      <c r="W381" s="34">
        <f>U381*V381</f>
        <v/>
      </c>
      <c r="X381" s="32">
        <f>T381/N381</f>
        <v/>
      </c>
      <c r="Y381" s="35">
        <f>IF(W381=MAXIFS(W$2:W$3601, A$2:A$3601, A381, B$2:B$3601, B381), "OPTIMAL", "")</f>
        <v/>
      </c>
    </row>
    <row r="382" ht="20" customHeight="1">
      <c r="A382" s="21" t="n">
        <v>4</v>
      </c>
      <c r="B382" s="21" t="n">
        <v>30</v>
      </c>
      <c r="C382" s="22" t="n">
        <v>80</v>
      </c>
      <c r="D382" s="22" t="n">
        <v>3</v>
      </c>
      <c r="E382" s="23" t="n">
        <v>0</v>
      </c>
      <c r="F382" s="22" t="n">
        <v>0</v>
      </c>
      <c r="G382" s="23" t="inlineStr">
        <is>
          <t>Oui</t>
        </is>
      </c>
      <c r="H382" s="23" t="inlineStr">
        <is>
          <t>ON</t>
        </is>
      </c>
      <c r="I382" s="24" t="n">
        <v>718.2417398266504</v>
      </c>
      <c r="J382" s="24" t="n">
        <v>2366.073881799197</v>
      </c>
      <c r="K382" s="24" t="n">
        <v>1847.222222222222</v>
      </c>
      <c r="L382" s="24" t="n">
        <v>150</v>
      </c>
      <c r="M382" s="24">
        <f>I382+J382+K382+L382</f>
        <v/>
      </c>
      <c r="N382" s="24">
        <f>M382*'Dashboard &amp; Optimisation'!$B$18/('Dashboard &amp; Optimisation'!$B$16/3.6)</f>
        <v/>
      </c>
      <c r="O382" s="24" t="n">
        <v>435.7812267548551</v>
      </c>
      <c r="P382" s="25" t="n">
        <v>0.5013985973965238</v>
      </c>
      <c r="Q382" s="26" t="n">
        <v>0.2</v>
      </c>
      <c r="R382" s="24" t="n">
        <v>443.5675690045109</v>
      </c>
      <c r="S382" s="24">
        <f>R382*IF(A382=4, 2.0, 3.0)</f>
        <v/>
      </c>
      <c r="T382" s="22">
        <f>'Dashboard &amp; Optimisation'!$B$18*U382</f>
        <v/>
      </c>
      <c r="U382" s="27">
        <f>MIN(1, S382/M382)</f>
        <v/>
      </c>
      <c r="V382" s="27">
        <f>N382/(N382+O382)</f>
        <v/>
      </c>
      <c r="W382" s="27">
        <f>U382*V382</f>
        <v/>
      </c>
      <c r="X382" s="25">
        <f>T382/N382</f>
        <v/>
      </c>
      <c r="Y382" s="28">
        <f>IF(W382=MAXIFS(W$2:W$3601, A$2:A$3601, A382, B$2:B$3601, B382), "OPTIMAL", "")</f>
        <v/>
      </c>
    </row>
    <row r="383" ht="20" customHeight="1">
      <c r="A383" s="29" t="n">
        <v>4</v>
      </c>
      <c r="B383" s="29" t="n">
        <v>30</v>
      </c>
      <c r="C383" s="30" t="n">
        <v>80</v>
      </c>
      <c r="D383" s="30" t="n">
        <v>3</v>
      </c>
      <c r="E383" s="6" t="n">
        <v>0</v>
      </c>
      <c r="F383" s="30" t="n">
        <v>0</v>
      </c>
      <c r="G383" s="6" t="inlineStr">
        <is>
          <t>Oui</t>
        </is>
      </c>
      <c r="H383" s="6" t="inlineStr">
        <is>
          <t>OFF</t>
        </is>
      </c>
      <c r="I383" s="31" t="n">
        <v>718.2417398266504</v>
      </c>
      <c r="J383" s="31" t="n">
        <v>2366.073881799197</v>
      </c>
      <c r="K383" s="31" t="n">
        <v>1847.222222222222</v>
      </c>
      <c r="L383" s="31" t="n">
        <v>150</v>
      </c>
      <c r="M383" s="31">
        <f>I383+J383+K383+L383</f>
        <v/>
      </c>
      <c r="N383" s="31">
        <f>M383*'Dashboard &amp; Optimisation'!$B$18/('Dashboard &amp; Optimisation'!$B$16/3.6)</f>
        <v/>
      </c>
      <c r="O383" s="31" t="n">
        <v>435.7812267548551</v>
      </c>
      <c r="P383" s="32" t="n">
        <v>0.8992859551262622</v>
      </c>
      <c r="Q383" s="33" t="n">
        <v>0.2</v>
      </c>
      <c r="R383" s="31" t="n">
        <v>247.3119430829112</v>
      </c>
      <c r="S383" s="31">
        <f>R383*IF(A383=4, 2.0, 3.0)</f>
        <v/>
      </c>
      <c r="T383" s="30">
        <f>'Dashboard &amp; Optimisation'!$B$18*U383</f>
        <v/>
      </c>
      <c r="U383" s="34">
        <f>MIN(1, S383/M383)</f>
        <v/>
      </c>
      <c r="V383" s="34">
        <f>N383/(N383+O383)</f>
        <v/>
      </c>
      <c r="W383" s="34">
        <f>U383*V383</f>
        <v/>
      </c>
      <c r="X383" s="32">
        <f>T383/N383</f>
        <v/>
      </c>
      <c r="Y383" s="35">
        <f>IF(W383=MAXIFS(W$2:W$3601, A$2:A$3601, A383, B$2:B$3601, B383), "OPTIMAL", "")</f>
        <v/>
      </c>
    </row>
    <row r="384" ht="20" customHeight="1">
      <c r="A384" s="21" t="n">
        <v>4</v>
      </c>
      <c r="B384" s="21" t="n">
        <v>30</v>
      </c>
      <c r="C384" s="22" t="n">
        <v>80</v>
      </c>
      <c r="D384" s="22" t="n">
        <v>3</v>
      </c>
      <c r="E384" s="23" t="n">
        <v>0</v>
      </c>
      <c r="F384" s="22" t="n">
        <v>0</v>
      </c>
      <c r="G384" s="23" t="inlineStr">
        <is>
          <t>Non</t>
        </is>
      </c>
      <c r="H384" s="23" t="inlineStr">
        <is>
          <t>ON</t>
        </is>
      </c>
      <c r="I384" s="24" t="n">
        <v>718.2417398266504</v>
      </c>
      <c r="J384" s="24" t="n">
        <v>2366.073881799197</v>
      </c>
      <c r="K384" s="24" t="n">
        <v>1847.222222222222</v>
      </c>
      <c r="L384" s="24" t="n">
        <v>150</v>
      </c>
      <c r="M384" s="24">
        <f>I384+J384+K384+L384</f>
        <v/>
      </c>
      <c r="N384" s="24">
        <f>M384*'Dashboard &amp; Optimisation'!$B$18/('Dashboard &amp; Optimisation'!$B$16/3.6)</f>
        <v/>
      </c>
      <c r="O384" s="24" t="n">
        <v>435.7812267548551</v>
      </c>
      <c r="P384" s="25" t="n">
        <v>0.4974197238192265</v>
      </c>
      <c r="Q384" s="26" t="n">
        <v>0.2</v>
      </c>
      <c r="R384" s="24" t="n">
        <v>447.1156777656735</v>
      </c>
      <c r="S384" s="24">
        <f>R384*IF(A384=4, 2.0, 3.0)</f>
        <v/>
      </c>
      <c r="T384" s="22">
        <f>'Dashboard &amp; Optimisation'!$B$18*U384</f>
        <v/>
      </c>
      <c r="U384" s="27">
        <f>MIN(1, S384/M384)</f>
        <v/>
      </c>
      <c r="V384" s="27">
        <f>N384/(N384+O384)</f>
        <v/>
      </c>
      <c r="W384" s="27">
        <f>U384*V384</f>
        <v/>
      </c>
      <c r="X384" s="25">
        <f>T384/N384</f>
        <v/>
      </c>
      <c r="Y384" s="28">
        <f>IF(W384=MAXIFS(W$2:W$3601, A$2:A$3601, A384, B$2:B$3601, B384), "OPTIMAL", "")</f>
        <v/>
      </c>
    </row>
    <row r="385" ht="20" customHeight="1">
      <c r="A385" s="29" t="n">
        <v>4</v>
      </c>
      <c r="B385" s="29" t="n">
        <v>30</v>
      </c>
      <c r="C385" s="30" t="n">
        <v>80</v>
      </c>
      <c r="D385" s="30" t="n">
        <v>3</v>
      </c>
      <c r="E385" s="6" t="n">
        <v>0</v>
      </c>
      <c r="F385" s="30" t="n">
        <v>0</v>
      </c>
      <c r="G385" s="6" t="inlineStr">
        <is>
          <t>Non</t>
        </is>
      </c>
      <c r="H385" s="6" t="inlineStr">
        <is>
          <t>OFF</t>
        </is>
      </c>
      <c r="I385" s="31" t="n">
        <v>718.2417398266504</v>
      </c>
      <c r="J385" s="31" t="n">
        <v>2366.073881799197</v>
      </c>
      <c r="K385" s="31" t="n">
        <v>1847.222222222222</v>
      </c>
      <c r="L385" s="31" t="n">
        <v>150</v>
      </c>
      <c r="M385" s="31">
        <f>I385+J385+K385+L385</f>
        <v/>
      </c>
      <c r="N385" s="31">
        <f>M385*'Dashboard &amp; Optimisation'!$B$18/('Dashboard &amp; Optimisation'!$B$16/3.6)</f>
        <v/>
      </c>
      <c r="O385" s="31" t="n">
        <v>435.7812267548551</v>
      </c>
      <c r="P385" s="32" t="n">
        <v>0.8953070815489648</v>
      </c>
      <c r="Q385" s="33" t="n">
        <v>0.2</v>
      </c>
      <c r="R385" s="31" t="n">
        <v>248.4110329661055</v>
      </c>
      <c r="S385" s="31">
        <f>R385*IF(A385=4, 2.0, 3.0)</f>
        <v/>
      </c>
      <c r="T385" s="30">
        <f>'Dashboard &amp; Optimisation'!$B$18*U385</f>
        <v/>
      </c>
      <c r="U385" s="34">
        <f>MIN(1, S385/M385)</f>
        <v/>
      </c>
      <c r="V385" s="34">
        <f>N385/(N385+O385)</f>
        <v/>
      </c>
      <c r="W385" s="34">
        <f>U385*V385</f>
        <v/>
      </c>
      <c r="X385" s="32">
        <f>T385/N385</f>
        <v/>
      </c>
      <c r="Y385" s="35">
        <f>IF(W385=MAXIFS(W$2:W$3601, A$2:A$3601, A385, B$2:B$3601, B385), "OPTIMAL", "")</f>
        <v/>
      </c>
    </row>
    <row r="386" ht="20" customHeight="1">
      <c r="A386" s="21" t="n">
        <v>4</v>
      </c>
      <c r="B386" s="21" t="n">
        <v>30</v>
      </c>
      <c r="C386" s="22" t="n">
        <v>80</v>
      </c>
      <c r="D386" s="22" t="n">
        <v>3</v>
      </c>
      <c r="E386" s="23" t="n">
        <v>4</v>
      </c>
      <c r="F386" s="22" t="n">
        <v>1.5</v>
      </c>
      <c r="G386" s="23" t="inlineStr">
        <is>
          <t>Oui</t>
        </is>
      </c>
      <c r="H386" s="23" t="inlineStr">
        <is>
          <t>ON</t>
        </is>
      </c>
      <c r="I386" s="24" t="n">
        <v>718.2417398266504</v>
      </c>
      <c r="J386" s="24" t="n">
        <v>2366.073881799197</v>
      </c>
      <c r="K386" s="24" t="n">
        <v>1847.222222222222</v>
      </c>
      <c r="L386" s="24" t="n">
        <v>150</v>
      </c>
      <c r="M386" s="24">
        <f>I386+J386+K386+L386</f>
        <v/>
      </c>
      <c r="N386" s="24">
        <f>M386*'Dashboard &amp; Optimisation'!$B$18/('Dashboard &amp; Optimisation'!$B$16/3.6)</f>
        <v/>
      </c>
      <c r="O386" s="24" t="n">
        <v>622.1644979796339</v>
      </c>
      <c r="P386" s="25" t="n">
        <v>0.08209463084427607</v>
      </c>
      <c r="Q386" s="26" t="n">
        <v>8.657063527408475</v>
      </c>
      <c r="R386" s="24" t="n">
        <v>2825.809080895917</v>
      </c>
      <c r="S386" s="24">
        <f>R386*IF(A386=4, 2.0, 3.0)</f>
        <v/>
      </c>
      <c r="T386" s="22">
        <f>'Dashboard &amp; Optimisation'!$B$18*U386</f>
        <v/>
      </c>
      <c r="U386" s="27">
        <f>MIN(1, S386/M386)</f>
        <v/>
      </c>
      <c r="V386" s="27">
        <f>N386/(N386+O386)</f>
        <v/>
      </c>
      <c r="W386" s="27">
        <f>U386*V386</f>
        <v/>
      </c>
      <c r="X386" s="25">
        <f>T386/N386</f>
        <v/>
      </c>
      <c r="Y386" s="28">
        <f>IF(W386=MAXIFS(W$2:W$3601, A$2:A$3601, A386, B$2:B$3601, B386), "OPTIMAL", "")</f>
        <v/>
      </c>
    </row>
    <row r="387" ht="20" customHeight="1">
      <c r="A387" s="29" t="n">
        <v>4</v>
      </c>
      <c r="B387" s="29" t="n">
        <v>30</v>
      </c>
      <c r="C387" s="30" t="n">
        <v>80</v>
      </c>
      <c r="D387" s="30" t="n">
        <v>3</v>
      </c>
      <c r="E387" s="6" t="n">
        <v>4</v>
      </c>
      <c r="F387" s="30" t="n">
        <v>1.5</v>
      </c>
      <c r="G387" s="6" t="inlineStr">
        <is>
          <t>Oui</t>
        </is>
      </c>
      <c r="H387" s="6" t="inlineStr">
        <is>
          <t>OFF</t>
        </is>
      </c>
      <c r="I387" s="31" t="n">
        <v>718.2417398266504</v>
      </c>
      <c r="J387" s="31" t="n">
        <v>2366.073881799197</v>
      </c>
      <c r="K387" s="31" t="n">
        <v>1847.222222222222</v>
      </c>
      <c r="L387" s="31" t="n">
        <v>150</v>
      </c>
      <c r="M387" s="31">
        <f>I387+J387+K387+L387</f>
        <v/>
      </c>
      <c r="N387" s="31">
        <f>M387*'Dashboard &amp; Optimisation'!$B$18/('Dashboard &amp; Optimisation'!$B$16/3.6)</f>
        <v/>
      </c>
      <c r="O387" s="31" t="n">
        <v>622.1644979796339</v>
      </c>
      <c r="P387" s="32" t="n">
        <v>0.3558275394191204</v>
      </c>
      <c r="Q387" s="33" t="n">
        <v>8.657063527408475</v>
      </c>
      <c r="R387" s="31" t="n">
        <v>651.9555898097742</v>
      </c>
      <c r="S387" s="31">
        <f>R387*IF(A387=4, 2.0, 3.0)</f>
        <v/>
      </c>
      <c r="T387" s="30">
        <f>'Dashboard &amp; Optimisation'!$B$18*U387</f>
        <v/>
      </c>
      <c r="U387" s="34">
        <f>MIN(1, S387/M387)</f>
        <v/>
      </c>
      <c r="V387" s="34">
        <f>N387/(N387+O387)</f>
        <v/>
      </c>
      <c r="W387" s="34">
        <f>U387*V387</f>
        <v/>
      </c>
      <c r="X387" s="32">
        <f>T387/N387</f>
        <v/>
      </c>
      <c r="Y387" s="35">
        <f>IF(W387=MAXIFS(W$2:W$3601, A$2:A$3601, A387, B$2:B$3601, B387), "OPTIMAL", "")</f>
        <v/>
      </c>
    </row>
    <row r="388" ht="20" customHeight="1">
      <c r="A388" s="21" t="n">
        <v>4</v>
      </c>
      <c r="B388" s="21" t="n">
        <v>30</v>
      </c>
      <c r="C388" s="22" t="n">
        <v>80</v>
      </c>
      <c r="D388" s="22" t="n">
        <v>3</v>
      </c>
      <c r="E388" s="23" t="n">
        <v>4</v>
      </c>
      <c r="F388" s="22" t="n">
        <v>1.5</v>
      </c>
      <c r="G388" s="23" t="inlineStr">
        <is>
          <t>Non</t>
        </is>
      </c>
      <c r="H388" s="23" t="inlineStr">
        <is>
          <t>ON</t>
        </is>
      </c>
      <c r="I388" s="24" t="n">
        <v>718.2417398266504</v>
      </c>
      <c r="J388" s="24" t="n">
        <v>2366.073881799197</v>
      </c>
      <c r="K388" s="24" t="n">
        <v>1847.222222222222</v>
      </c>
      <c r="L388" s="24" t="n">
        <v>150</v>
      </c>
      <c r="M388" s="24">
        <f>I388+J388+K388+L388</f>
        <v/>
      </c>
      <c r="N388" s="24">
        <f>M388*'Dashboard &amp; Optimisation'!$B$18/('Dashboard &amp; Optimisation'!$B$16/3.6)</f>
        <v/>
      </c>
      <c r="O388" s="24" t="n">
        <v>622.1644979796339</v>
      </c>
      <c r="P388" s="25" t="n">
        <v>0.07811575726697868</v>
      </c>
      <c r="Q388" s="26" t="n">
        <v>8.657063527408475</v>
      </c>
      <c r="R388" s="24" t="n">
        <v>2969.743384035761</v>
      </c>
      <c r="S388" s="24">
        <f>R388*IF(A388=4, 2.0, 3.0)</f>
        <v/>
      </c>
      <c r="T388" s="22">
        <f>'Dashboard &amp; Optimisation'!$B$18*U388</f>
        <v/>
      </c>
      <c r="U388" s="27">
        <f>MIN(1, S388/M388)</f>
        <v/>
      </c>
      <c r="V388" s="27">
        <f>N388/(N388+O388)</f>
        <v/>
      </c>
      <c r="W388" s="27">
        <f>U388*V388</f>
        <v/>
      </c>
      <c r="X388" s="25">
        <f>T388/N388</f>
        <v/>
      </c>
      <c r="Y388" s="28">
        <f>IF(W388=MAXIFS(W$2:W$3601, A$2:A$3601, A388, B$2:B$3601, B388), "OPTIMAL", "")</f>
        <v/>
      </c>
    </row>
    <row r="389" ht="20" customHeight="1">
      <c r="A389" s="29" t="n">
        <v>4</v>
      </c>
      <c r="B389" s="29" t="n">
        <v>30</v>
      </c>
      <c r="C389" s="30" t="n">
        <v>80</v>
      </c>
      <c r="D389" s="30" t="n">
        <v>3</v>
      </c>
      <c r="E389" s="6" t="n">
        <v>4</v>
      </c>
      <c r="F389" s="30" t="n">
        <v>1.5</v>
      </c>
      <c r="G389" s="6" t="inlineStr">
        <is>
          <t>Non</t>
        </is>
      </c>
      <c r="H389" s="6" t="inlineStr">
        <is>
          <t>OFF</t>
        </is>
      </c>
      <c r="I389" s="31" t="n">
        <v>718.2417398266504</v>
      </c>
      <c r="J389" s="31" t="n">
        <v>2366.073881799197</v>
      </c>
      <c r="K389" s="31" t="n">
        <v>1847.222222222222</v>
      </c>
      <c r="L389" s="31" t="n">
        <v>150</v>
      </c>
      <c r="M389" s="31">
        <f>I389+J389+K389+L389</f>
        <v/>
      </c>
      <c r="N389" s="31">
        <f>M389*'Dashboard &amp; Optimisation'!$B$18/('Dashboard &amp; Optimisation'!$B$16/3.6)</f>
        <v/>
      </c>
      <c r="O389" s="31" t="n">
        <v>622.1644979796339</v>
      </c>
      <c r="P389" s="32" t="n">
        <v>0.3518486658418231</v>
      </c>
      <c r="Q389" s="33" t="n">
        <v>8.657063527408475</v>
      </c>
      <c r="R389" s="31" t="n">
        <v>659.3282165146644</v>
      </c>
      <c r="S389" s="31">
        <f>R389*IF(A389=4, 2.0, 3.0)</f>
        <v/>
      </c>
      <c r="T389" s="30">
        <f>'Dashboard &amp; Optimisation'!$B$18*U389</f>
        <v/>
      </c>
      <c r="U389" s="34">
        <f>MIN(1, S389/M389)</f>
        <v/>
      </c>
      <c r="V389" s="34">
        <f>N389/(N389+O389)</f>
        <v/>
      </c>
      <c r="W389" s="34">
        <f>U389*V389</f>
        <v/>
      </c>
      <c r="X389" s="32">
        <f>T389/N389</f>
        <v/>
      </c>
      <c r="Y389" s="35">
        <f>IF(W389=MAXIFS(W$2:W$3601, A$2:A$3601, A389, B$2:B$3601, B389), "OPTIMAL", "")</f>
        <v/>
      </c>
    </row>
    <row r="390" ht="20" customHeight="1">
      <c r="A390" s="21" t="n">
        <v>4</v>
      </c>
      <c r="B390" s="21" t="n">
        <v>30</v>
      </c>
      <c r="C390" s="22" t="n">
        <v>80</v>
      </c>
      <c r="D390" s="22" t="n">
        <v>3</v>
      </c>
      <c r="E390" s="23" t="n">
        <v>4</v>
      </c>
      <c r="F390" s="22" t="n">
        <v>2</v>
      </c>
      <c r="G390" s="23" t="inlineStr">
        <is>
          <t>Oui</t>
        </is>
      </c>
      <c r="H390" s="23" t="inlineStr">
        <is>
          <t>ON</t>
        </is>
      </c>
      <c r="I390" s="24" t="n">
        <v>718.2417398266504</v>
      </c>
      <c r="J390" s="24" t="n">
        <v>2366.073881799197</v>
      </c>
      <c r="K390" s="24" t="n">
        <v>1847.222222222222</v>
      </c>
      <c r="L390" s="24" t="n">
        <v>150</v>
      </c>
      <c r="M390" s="24">
        <f>I390+J390+K390+L390</f>
        <v/>
      </c>
      <c r="N390" s="24">
        <f>M390*'Dashboard &amp; Optimisation'!$B$18/('Dashboard &amp; Optimisation'!$B$16/3.6)</f>
        <v/>
      </c>
      <c r="O390" s="24" t="n">
        <v>687.9122616574807</v>
      </c>
      <c r="P390" s="25" t="n">
        <v>0.08011046001180847</v>
      </c>
      <c r="Q390" s="26" t="n">
        <v>11.4760847032113</v>
      </c>
      <c r="R390" s="24" t="n">
        <v>2937.981015805464</v>
      </c>
      <c r="S390" s="24">
        <f>R390*IF(A390=4, 2.0, 3.0)</f>
        <v/>
      </c>
      <c r="T390" s="22">
        <f>'Dashboard &amp; Optimisation'!$B$18*U390</f>
        <v/>
      </c>
      <c r="U390" s="27">
        <f>MIN(1, S390/M390)</f>
        <v/>
      </c>
      <c r="V390" s="27">
        <f>N390/(N390+O390)</f>
        <v/>
      </c>
      <c r="W390" s="27">
        <f>U390*V390</f>
        <v/>
      </c>
      <c r="X390" s="25">
        <f>T390/N390</f>
        <v/>
      </c>
      <c r="Y390" s="28">
        <f>IF(W390=MAXIFS(W$2:W$3601, A$2:A$3601, A390, B$2:B$3601, B390), "OPTIMAL", "")</f>
        <v/>
      </c>
    </row>
    <row r="391" ht="20" customHeight="1">
      <c r="A391" s="29" t="n">
        <v>4</v>
      </c>
      <c r="B391" s="29" t="n">
        <v>30</v>
      </c>
      <c r="C391" s="30" t="n">
        <v>80</v>
      </c>
      <c r="D391" s="30" t="n">
        <v>3</v>
      </c>
      <c r="E391" s="6" t="n">
        <v>4</v>
      </c>
      <c r="F391" s="30" t="n">
        <v>2</v>
      </c>
      <c r="G391" s="6" t="inlineStr">
        <is>
          <t>Oui</t>
        </is>
      </c>
      <c r="H391" s="6" t="inlineStr">
        <is>
          <t>OFF</t>
        </is>
      </c>
      <c r="I391" s="31" t="n">
        <v>718.2417398266504</v>
      </c>
      <c r="J391" s="31" t="n">
        <v>2366.073881799197</v>
      </c>
      <c r="K391" s="31" t="n">
        <v>1847.222222222222</v>
      </c>
      <c r="L391" s="31" t="n">
        <v>150</v>
      </c>
      <c r="M391" s="31">
        <f>I391+J391+K391+L391</f>
        <v/>
      </c>
      <c r="N391" s="31">
        <f>M391*'Dashboard &amp; Optimisation'!$B$18/('Dashboard &amp; Optimisation'!$B$16/3.6)</f>
        <v/>
      </c>
      <c r="O391" s="31" t="n">
        <v>687.9122616574807</v>
      </c>
      <c r="P391" s="32" t="n">
        <v>0.3553476372854298</v>
      </c>
      <c r="Q391" s="33" t="n">
        <v>11.4760847032113</v>
      </c>
      <c r="R391" s="31" t="n">
        <v>662.345787578947</v>
      </c>
      <c r="S391" s="31">
        <f>R391*IF(A391=4, 2.0, 3.0)</f>
        <v/>
      </c>
      <c r="T391" s="30">
        <f>'Dashboard &amp; Optimisation'!$B$18*U391</f>
        <v/>
      </c>
      <c r="U391" s="34">
        <f>MIN(1, S391/M391)</f>
        <v/>
      </c>
      <c r="V391" s="34">
        <f>N391/(N391+O391)</f>
        <v/>
      </c>
      <c r="W391" s="34">
        <f>U391*V391</f>
        <v/>
      </c>
      <c r="X391" s="32">
        <f>T391/N391</f>
        <v/>
      </c>
      <c r="Y391" s="35">
        <f>IF(W391=MAXIFS(W$2:W$3601, A$2:A$3601, A391, B$2:B$3601, B391), "OPTIMAL", "")</f>
        <v/>
      </c>
    </row>
    <row r="392" ht="20" customHeight="1">
      <c r="A392" s="21" t="n">
        <v>4</v>
      </c>
      <c r="B392" s="21" t="n">
        <v>30</v>
      </c>
      <c r="C392" s="22" t="n">
        <v>80</v>
      </c>
      <c r="D392" s="22" t="n">
        <v>3</v>
      </c>
      <c r="E392" s="23" t="n">
        <v>4</v>
      </c>
      <c r="F392" s="22" t="n">
        <v>2</v>
      </c>
      <c r="G392" s="23" t="inlineStr">
        <is>
          <t>Non</t>
        </is>
      </c>
      <c r="H392" s="23" t="inlineStr">
        <is>
          <t>ON</t>
        </is>
      </c>
      <c r="I392" s="24" t="n">
        <v>718.2417398266504</v>
      </c>
      <c r="J392" s="24" t="n">
        <v>2366.073881799197</v>
      </c>
      <c r="K392" s="24" t="n">
        <v>1847.222222222222</v>
      </c>
      <c r="L392" s="24" t="n">
        <v>150</v>
      </c>
      <c r="M392" s="24">
        <f>I392+J392+K392+L392</f>
        <v/>
      </c>
      <c r="N392" s="24">
        <f>M392*'Dashboard &amp; Optimisation'!$B$18/('Dashboard &amp; Optimisation'!$B$16/3.6)</f>
        <v/>
      </c>
      <c r="O392" s="24" t="n">
        <v>687.9122616574807</v>
      </c>
      <c r="P392" s="25" t="n">
        <v>0.07613158643451108</v>
      </c>
      <c r="Q392" s="26" t="n">
        <v>11.4760847032113</v>
      </c>
      <c r="R392" s="24" t="n">
        <v>3091.529044709936</v>
      </c>
      <c r="S392" s="24">
        <f>R392*IF(A392=4, 2.0, 3.0)</f>
        <v/>
      </c>
      <c r="T392" s="22">
        <f>'Dashboard &amp; Optimisation'!$B$18*U392</f>
        <v/>
      </c>
      <c r="U392" s="27">
        <f>MIN(1, S392/M392)</f>
        <v/>
      </c>
      <c r="V392" s="27">
        <f>N392/(N392+O392)</f>
        <v/>
      </c>
      <c r="W392" s="27">
        <f>U392*V392</f>
        <v/>
      </c>
      <c r="X392" s="25">
        <f>T392/N392</f>
        <v/>
      </c>
      <c r="Y392" s="28">
        <f>IF(W392=MAXIFS(W$2:W$3601, A$2:A$3601, A392, B$2:B$3601, B392), "OPTIMAL", "")</f>
        <v/>
      </c>
    </row>
    <row r="393" ht="20" customHeight="1">
      <c r="A393" s="29" t="n">
        <v>4</v>
      </c>
      <c r="B393" s="29" t="n">
        <v>30</v>
      </c>
      <c r="C393" s="30" t="n">
        <v>80</v>
      </c>
      <c r="D393" s="30" t="n">
        <v>3</v>
      </c>
      <c r="E393" s="6" t="n">
        <v>4</v>
      </c>
      <c r="F393" s="30" t="n">
        <v>2</v>
      </c>
      <c r="G393" s="6" t="inlineStr">
        <is>
          <t>Non</t>
        </is>
      </c>
      <c r="H393" s="6" t="inlineStr">
        <is>
          <t>OFF</t>
        </is>
      </c>
      <c r="I393" s="31" t="n">
        <v>718.2417398266504</v>
      </c>
      <c r="J393" s="31" t="n">
        <v>2366.073881799197</v>
      </c>
      <c r="K393" s="31" t="n">
        <v>1847.222222222222</v>
      </c>
      <c r="L393" s="31" t="n">
        <v>150</v>
      </c>
      <c r="M393" s="31">
        <f>I393+J393+K393+L393</f>
        <v/>
      </c>
      <c r="N393" s="31">
        <f>M393*'Dashboard &amp; Optimisation'!$B$18/('Dashboard &amp; Optimisation'!$B$16/3.6)</f>
        <v/>
      </c>
      <c r="O393" s="31" t="n">
        <v>687.9122616574807</v>
      </c>
      <c r="P393" s="32" t="n">
        <v>0.3513687637081325</v>
      </c>
      <c r="Q393" s="33" t="n">
        <v>11.4760847032113</v>
      </c>
      <c r="R393" s="31" t="n">
        <v>669.8461416952883</v>
      </c>
      <c r="S393" s="31">
        <f>R393*IF(A393=4, 2.0, 3.0)</f>
        <v/>
      </c>
      <c r="T393" s="30">
        <f>'Dashboard &amp; Optimisation'!$B$18*U393</f>
        <v/>
      </c>
      <c r="U393" s="34">
        <f>MIN(1, S393/M393)</f>
        <v/>
      </c>
      <c r="V393" s="34">
        <f>N393/(N393+O393)</f>
        <v/>
      </c>
      <c r="W393" s="34">
        <f>U393*V393</f>
        <v/>
      </c>
      <c r="X393" s="32">
        <f>T393/N393</f>
        <v/>
      </c>
      <c r="Y393" s="35">
        <f>IF(W393=MAXIFS(W$2:W$3601, A$2:A$3601, A393, B$2:B$3601, B393), "OPTIMAL", "")</f>
        <v/>
      </c>
    </row>
    <row r="394" ht="20" customHeight="1">
      <c r="A394" s="21" t="n">
        <v>4</v>
      </c>
      <c r="B394" s="21" t="n">
        <v>30</v>
      </c>
      <c r="C394" s="22" t="n">
        <v>80</v>
      </c>
      <c r="D394" s="22" t="n">
        <v>3</v>
      </c>
      <c r="E394" s="23" t="n">
        <v>8</v>
      </c>
      <c r="F394" s="22" t="n">
        <v>1.5</v>
      </c>
      <c r="G394" s="23" t="inlineStr">
        <is>
          <t>Oui</t>
        </is>
      </c>
      <c r="H394" s="23" t="inlineStr">
        <is>
          <t>ON</t>
        </is>
      </c>
      <c r="I394" s="24" t="n">
        <v>718.2417398266504</v>
      </c>
      <c r="J394" s="24" t="n">
        <v>2366.073881799197</v>
      </c>
      <c r="K394" s="24" t="n">
        <v>1847.222222222222</v>
      </c>
      <c r="L394" s="24" t="n">
        <v>150</v>
      </c>
      <c r="M394" s="24">
        <f>I394+J394+K394+L394</f>
        <v/>
      </c>
      <c r="N394" s="24">
        <f>M394*'Dashboard &amp; Optimisation'!$B$18/('Dashboard &amp; Optimisation'!$B$16/3.6)</f>
        <v/>
      </c>
      <c r="O394" s="24" t="n">
        <v>825.3266269278355</v>
      </c>
      <c r="P394" s="25" t="n">
        <v>0.06134832938702932</v>
      </c>
      <c r="Q394" s="26" t="n">
        <v>17.11412705481695</v>
      </c>
      <c r="R394" s="24" t="n">
        <v>3951.627372332307</v>
      </c>
      <c r="S394" s="24">
        <f>R394*IF(A394=4, 2.0, 3.0)</f>
        <v/>
      </c>
      <c r="T394" s="22">
        <f>'Dashboard &amp; Optimisation'!$B$18*U394</f>
        <v/>
      </c>
      <c r="U394" s="27">
        <f>MIN(1, S394/M394)</f>
        <v/>
      </c>
      <c r="V394" s="27">
        <f>N394/(N394+O394)</f>
        <v/>
      </c>
      <c r="W394" s="27">
        <f>U394*V394</f>
        <v/>
      </c>
      <c r="X394" s="25">
        <f>T394/N394</f>
        <v/>
      </c>
      <c r="Y394" s="28">
        <f>IF(W394=MAXIFS(W$2:W$3601, A$2:A$3601, A394, B$2:B$3601, B394), "OPTIMAL", "")</f>
        <v/>
      </c>
    </row>
    <row r="395" ht="20" customHeight="1">
      <c r="A395" s="29" t="n">
        <v>4</v>
      </c>
      <c r="B395" s="29" t="n">
        <v>30</v>
      </c>
      <c r="C395" s="30" t="n">
        <v>80</v>
      </c>
      <c r="D395" s="30" t="n">
        <v>3</v>
      </c>
      <c r="E395" s="6" t="n">
        <v>8</v>
      </c>
      <c r="F395" s="30" t="n">
        <v>1.5</v>
      </c>
      <c r="G395" s="6" t="inlineStr">
        <is>
          <t>Oui</t>
        </is>
      </c>
      <c r="H395" s="6" t="inlineStr">
        <is>
          <t>OFF</t>
        </is>
      </c>
      <c r="I395" s="31" t="n">
        <v>718.2417398266504</v>
      </c>
      <c r="J395" s="31" t="n">
        <v>2366.073881799197</v>
      </c>
      <c r="K395" s="31" t="n">
        <v>1847.222222222222</v>
      </c>
      <c r="L395" s="31" t="n">
        <v>150</v>
      </c>
      <c r="M395" s="31">
        <f>I395+J395+K395+L395</f>
        <v/>
      </c>
      <c r="N395" s="31">
        <f>M395*'Dashboard &amp; Optimisation'!$B$18/('Dashboard &amp; Optimisation'!$B$16/3.6)</f>
        <v/>
      </c>
      <c r="O395" s="31" t="n">
        <v>825.3266269278355</v>
      </c>
      <c r="P395" s="32" t="n">
        <v>0.2699794634504217</v>
      </c>
      <c r="Q395" s="33" t="n">
        <v>17.11412705481695</v>
      </c>
      <c r="R395" s="31" t="n">
        <v>897.9414010027543</v>
      </c>
      <c r="S395" s="31">
        <f>R395*IF(A395=4, 2.0, 3.0)</f>
        <v/>
      </c>
      <c r="T395" s="30">
        <f>'Dashboard &amp; Optimisation'!$B$18*U395</f>
        <v/>
      </c>
      <c r="U395" s="34">
        <f>MIN(1, S395/M395)</f>
        <v/>
      </c>
      <c r="V395" s="34">
        <f>N395/(N395+O395)</f>
        <v/>
      </c>
      <c r="W395" s="34">
        <f>U395*V395</f>
        <v/>
      </c>
      <c r="X395" s="32">
        <f>T395/N395</f>
        <v/>
      </c>
      <c r="Y395" s="35">
        <f>IF(W395=MAXIFS(W$2:W$3601, A$2:A$3601, A395, B$2:B$3601, B395), "OPTIMAL", "")</f>
        <v/>
      </c>
    </row>
    <row r="396" ht="20" customHeight="1">
      <c r="A396" s="21" t="n">
        <v>4</v>
      </c>
      <c r="B396" s="21" t="n">
        <v>30</v>
      </c>
      <c r="C396" s="22" t="n">
        <v>80</v>
      </c>
      <c r="D396" s="22" t="n">
        <v>3</v>
      </c>
      <c r="E396" s="23" t="n">
        <v>8</v>
      </c>
      <c r="F396" s="22" t="n">
        <v>1.5</v>
      </c>
      <c r="G396" s="23" t="inlineStr">
        <is>
          <t>Non</t>
        </is>
      </c>
      <c r="H396" s="23" t="inlineStr">
        <is>
          <t>ON</t>
        </is>
      </c>
      <c r="I396" s="24" t="n">
        <v>718.2417398266504</v>
      </c>
      <c r="J396" s="24" t="n">
        <v>2366.073881799197</v>
      </c>
      <c r="K396" s="24" t="n">
        <v>1847.222222222222</v>
      </c>
      <c r="L396" s="24" t="n">
        <v>150</v>
      </c>
      <c r="M396" s="24">
        <f>I396+J396+K396+L396</f>
        <v/>
      </c>
      <c r="N396" s="24">
        <f>M396*'Dashboard &amp; Optimisation'!$B$18/('Dashboard &amp; Optimisation'!$B$16/3.6)</f>
        <v/>
      </c>
      <c r="O396" s="24" t="n">
        <v>825.3266269278355</v>
      </c>
      <c r="P396" s="25" t="n">
        <v>0.05736945580973193</v>
      </c>
      <c r="Q396" s="26" t="n">
        <v>17.11412705481695</v>
      </c>
      <c r="R396" s="24" t="n">
        <v>4225.693519852412</v>
      </c>
      <c r="S396" s="24">
        <f>R396*IF(A396=4, 2.0, 3.0)</f>
        <v/>
      </c>
      <c r="T396" s="22">
        <f>'Dashboard &amp; Optimisation'!$B$18*U396</f>
        <v/>
      </c>
      <c r="U396" s="27">
        <f>MIN(1, S396/M396)</f>
        <v/>
      </c>
      <c r="V396" s="27">
        <f>N396/(N396+O396)</f>
        <v/>
      </c>
      <c r="W396" s="27">
        <f>U396*V396</f>
        <v/>
      </c>
      <c r="X396" s="25">
        <f>T396/N396</f>
        <v/>
      </c>
      <c r="Y396" s="28">
        <f>IF(W396=MAXIFS(W$2:W$3601, A$2:A$3601, A396, B$2:B$3601, B396), "OPTIMAL", "")</f>
        <v/>
      </c>
    </row>
    <row r="397" ht="20" customHeight="1">
      <c r="A397" s="29" t="n">
        <v>4</v>
      </c>
      <c r="B397" s="29" t="n">
        <v>30</v>
      </c>
      <c r="C397" s="30" t="n">
        <v>80</v>
      </c>
      <c r="D397" s="30" t="n">
        <v>3</v>
      </c>
      <c r="E397" s="6" t="n">
        <v>8</v>
      </c>
      <c r="F397" s="30" t="n">
        <v>1.5</v>
      </c>
      <c r="G397" s="6" t="inlineStr">
        <is>
          <t>Non</t>
        </is>
      </c>
      <c r="H397" s="6" t="inlineStr">
        <is>
          <t>OFF</t>
        </is>
      </c>
      <c r="I397" s="31" t="n">
        <v>718.2417398266504</v>
      </c>
      <c r="J397" s="31" t="n">
        <v>2366.073881799197</v>
      </c>
      <c r="K397" s="31" t="n">
        <v>1847.222222222222</v>
      </c>
      <c r="L397" s="31" t="n">
        <v>150</v>
      </c>
      <c r="M397" s="31">
        <f>I397+J397+K397+L397</f>
        <v/>
      </c>
      <c r="N397" s="31">
        <f>M397*'Dashboard &amp; Optimisation'!$B$18/('Dashboard &amp; Optimisation'!$B$16/3.6)</f>
        <v/>
      </c>
      <c r="O397" s="31" t="n">
        <v>825.3266269278355</v>
      </c>
      <c r="P397" s="32" t="n">
        <v>0.2660005898731243</v>
      </c>
      <c r="Q397" s="33" t="n">
        <v>17.11412705481695</v>
      </c>
      <c r="R397" s="31" t="n">
        <v>911.372932549791</v>
      </c>
      <c r="S397" s="31">
        <f>R397*IF(A397=4, 2.0, 3.0)</f>
        <v/>
      </c>
      <c r="T397" s="30">
        <f>'Dashboard &amp; Optimisation'!$B$18*U397</f>
        <v/>
      </c>
      <c r="U397" s="34">
        <f>MIN(1, S397/M397)</f>
        <v/>
      </c>
      <c r="V397" s="34">
        <f>N397/(N397+O397)</f>
        <v/>
      </c>
      <c r="W397" s="34">
        <f>U397*V397</f>
        <v/>
      </c>
      <c r="X397" s="32">
        <f>T397/N397</f>
        <v/>
      </c>
      <c r="Y397" s="35">
        <f>IF(W397=MAXIFS(W$2:W$3601, A$2:A$3601, A397, B$2:B$3601, B397), "OPTIMAL", "")</f>
        <v/>
      </c>
    </row>
    <row r="398" ht="20" customHeight="1">
      <c r="A398" s="21" t="n">
        <v>4</v>
      </c>
      <c r="B398" s="21" t="n">
        <v>30</v>
      </c>
      <c r="C398" s="22" t="n">
        <v>80</v>
      </c>
      <c r="D398" s="22" t="n">
        <v>3</v>
      </c>
      <c r="E398" s="23" t="n">
        <v>8</v>
      </c>
      <c r="F398" s="22" t="n">
        <v>2</v>
      </c>
      <c r="G398" s="23" t="inlineStr">
        <is>
          <t>Oui</t>
        </is>
      </c>
      <c r="H398" s="23" t="inlineStr">
        <is>
          <t>ON</t>
        </is>
      </c>
      <c r="I398" s="24" t="n">
        <v>718.2417398266504</v>
      </c>
      <c r="J398" s="24" t="n">
        <v>2366.073881799197</v>
      </c>
      <c r="K398" s="24" t="n">
        <v>1847.222222222222</v>
      </c>
      <c r="L398" s="24" t="n">
        <v>150</v>
      </c>
      <c r="M398" s="24">
        <f>I398+J398+K398+L398</f>
        <v/>
      </c>
      <c r="N398" s="24">
        <f>M398*'Dashboard &amp; Optimisation'!$B$18/('Dashboard &amp; Optimisation'!$B$16/3.6)</f>
        <v/>
      </c>
      <c r="O398" s="24" t="n">
        <v>971.2431291903282</v>
      </c>
      <c r="P398" s="25" t="n">
        <v>0.060517018169736</v>
      </c>
      <c r="Q398" s="26" t="n">
        <v>22.7521694064226</v>
      </c>
      <c r="R398" s="24" t="n">
        <v>4129.837507590623</v>
      </c>
      <c r="S398" s="24">
        <f>R398*IF(A398=4, 2.0, 3.0)</f>
        <v/>
      </c>
      <c r="T398" s="22">
        <f>'Dashboard &amp; Optimisation'!$B$18*U398</f>
        <v/>
      </c>
      <c r="U398" s="27">
        <f>MIN(1, S398/M398)</f>
        <v/>
      </c>
      <c r="V398" s="27">
        <f>N398/(N398+O398)</f>
        <v/>
      </c>
      <c r="W398" s="27">
        <f>U398*V398</f>
        <v/>
      </c>
      <c r="X398" s="25">
        <f>T398/N398</f>
        <v/>
      </c>
      <c r="Y398" s="28">
        <f>IF(W398=MAXIFS(W$2:W$3601, A$2:A$3601, A398, B$2:B$3601, B398), "OPTIMAL", "")</f>
        <v/>
      </c>
    </row>
    <row r="399" ht="20" customHeight="1">
      <c r="A399" s="29" t="n">
        <v>4</v>
      </c>
      <c r="B399" s="29" t="n">
        <v>30</v>
      </c>
      <c r="C399" s="30" t="n">
        <v>80</v>
      </c>
      <c r="D399" s="30" t="n">
        <v>3</v>
      </c>
      <c r="E399" s="6" t="n">
        <v>8</v>
      </c>
      <c r="F399" s="30" t="n">
        <v>2</v>
      </c>
      <c r="G399" s="6" t="inlineStr">
        <is>
          <t>Oui</t>
        </is>
      </c>
      <c r="H399" s="6" t="inlineStr">
        <is>
          <t>OFF</t>
        </is>
      </c>
      <c r="I399" s="31" t="n">
        <v>718.2417398266504</v>
      </c>
      <c r="J399" s="31" t="n">
        <v>2366.073881799197</v>
      </c>
      <c r="K399" s="31" t="n">
        <v>1847.222222222222</v>
      </c>
      <c r="L399" s="31" t="n">
        <v>150</v>
      </c>
      <c r="M399" s="31">
        <f>I399+J399+K399+L399</f>
        <v/>
      </c>
      <c r="N399" s="31">
        <f>M399*'Dashboard &amp; Optimisation'!$B$18/('Dashboard &amp; Optimisation'!$B$16/3.6)</f>
        <v/>
      </c>
      <c r="O399" s="31" t="n">
        <v>971.2431291903282</v>
      </c>
      <c r="P399" s="32" t="n">
        <v>0.2709014433795033</v>
      </c>
      <c r="Q399" s="33" t="n">
        <v>22.7521694064226</v>
      </c>
      <c r="R399" s="31" t="n">
        <v>922.5696562081463</v>
      </c>
      <c r="S399" s="31">
        <f>R399*IF(A399=4, 2.0, 3.0)</f>
        <v/>
      </c>
      <c r="T399" s="30">
        <f>'Dashboard &amp; Optimisation'!$B$18*U399</f>
        <v/>
      </c>
      <c r="U399" s="34">
        <f>MIN(1, S399/M399)</f>
        <v/>
      </c>
      <c r="V399" s="34">
        <f>N399/(N399+O399)</f>
        <v/>
      </c>
      <c r="W399" s="34">
        <f>U399*V399</f>
        <v/>
      </c>
      <c r="X399" s="32">
        <f>T399/N399</f>
        <v/>
      </c>
      <c r="Y399" s="35">
        <f>IF(W399=MAXIFS(W$2:W$3601, A$2:A$3601, A399, B$2:B$3601, B399), "OPTIMAL", "")</f>
        <v/>
      </c>
    </row>
    <row r="400" ht="20" customHeight="1">
      <c r="A400" s="21" t="n">
        <v>4</v>
      </c>
      <c r="B400" s="21" t="n">
        <v>30</v>
      </c>
      <c r="C400" s="22" t="n">
        <v>80</v>
      </c>
      <c r="D400" s="22" t="n">
        <v>3</v>
      </c>
      <c r="E400" s="23" t="n">
        <v>8</v>
      </c>
      <c r="F400" s="22" t="n">
        <v>2</v>
      </c>
      <c r="G400" s="23" t="inlineStr">
        <is>
          <t>Non</t>
        </is>
      </c>
      <c r="H400" s="23" t="inlineStr">
        <is>
          <t>ON</t>
        </is>
      </c>
      <c r="I400" s="24" t="n">
        <v>718.2417398266504</v>
      </c>
      <c r="J400" s="24" t="n">
        <v>2366.073881799197</v>
      </c>
      <c r="K400" s="24" t="n">
        <v>1847.222222222222</v>
      </c>
      <c r="L400" s="24" t="n">
        <v>150</v>
      </c>
      <c r="M400" s="24">
        <f>I400+J400+K400+L400</f>
        <v/>
      </c>
      <c r="N400" s="24">
        <f>M400*'Dashboard &amp; Optimisation'!$B$18/('Dashboard &amp; Optimisation'!$B$16/3.6)</f>
        <v/>
      </c>
      <c r="O400" s="24" t="n">
        <v>971.2431291903282</v>
      </c>
      <c r="P400" s="25" t="n">
        <v>0.05653814459243862</v>
      </c>
      <c r="Q400" s="26" t="n">
        <v>22.7521694064226</v>
      </c>
      <c r="R400" s="24" t="n">
        <v>4420.474942829021</v>
      </c>
      <c r="S400" s="24">
        <f>R400*IF(A400=4, 2.0, 3.0)</f>
        <v/>
      </c>
      <c r="T400" s="22">
        <f>'Dashboard &amp; Optimisation'!$B$18*U400</f>
        <v/>
      </c>
      <c r="U400" s="27">
        <f>MIN(1, S400/M400)</f>
        <v/>
      </c>
      <c r="V400" s="27">
        <f>N400/(N400+O400)</f>
        <v/>
      </c>
      <c r="W400" s="27">
        <f>U400*V400</f>
        <v/>
      </c>
      <c r="X400" s="25">
        <f>T400/N400</f>
        <v/>
      </c>
      <c r="Y400" s="28">
        <f>IF(W400=MAXIFS(W$2:W$3601, A$2:A$3601, A400, B$2:B$3601, B400), "OPTIMAL", "")</f>
        <v/>
      </c>
    </row>
    <row r="401" ht="20" customHeight="1">
      <c r="A401" s="29" t="n">
        <v>4</v>
      </c>
      <c r="B401" s="29" t="n">
        <v>30</v>
      </c>
      <c r="C401" s="30" t="n">
        <v>80</v>
      </c>
      <c r="D401" s="30" t="n">
        <v>3</v>
      </c>
      <c r="E401" s="6" t="n">
        <v>8</v>
      </c>
      <c r="F401" s="30" t="n">
        <v>2</v>
      </c>
      <c r="G401" s="6" t="inlineStr">
        <is>
          <t>Non</t>
        </is>
      </c>
      <c r="H401" s="6" t="inlineStr">
        <is>
          <t>OFF</t>
        </is>
      </c>
      <c r="I401" s="31" t="n">
        <v>718.2417398266504</v>
      </c>
      <c r="J401" s="31" t="n">
        <v>2366.073881799197</v>
      </c>
      <c r="K401" s="31" t="n">
        <v>1847.222222222222</v>
      </c>
      <c r="L401" s="31" t="n">
        <v>150</v>
      </c>
      <c r="M401" s="31">
        <f>I401+J401+K401+L401</f>
        <v/>
      </c>
      <c r="N401" s="31">
        <f>M401*'Dashboard &amp; Optimisation'!$B$18/('Dashboard &amp; Optimisation'!$B$16/3.6)</f>
        <v/>
      </c>
      <c r="O401" s="31" t="n">
        <v>971.2431291903282</v>
      </c>
      <c r="P401" s="32" t="n">
        <v>0.266922569802206</v>
      </c>
      <c r="Q401" s="33" t="n">
        <v>22.7521694064226</v>
      </c>
      <c r="R401" s="31" t="n">
        <v>936.3219141420595</v>
      </c>
      <c r="S401" s="31">
        <f>R401*IF(A401=4, 2.0, 3.0)</f>
        <v/>
      </c>
      <c r="T401" s="30">
        <f>'Dashboard &amp; Optimisation'!$B$18*U401</f>
        <v/>
      </c>
      <c r="U401" s="34">
        <f>MIN(1, S401/M401)</f>
        <v/>
      </c>
      <c r="V401" s="34">
        <f>N401/(N401+O401)</f>
        <v/>
      </c>
      <c r="W401" s="34">
        <f>U401*V401</f>
        <v/>
      </c>
      <c r="X401" s="32">
        <f>T401/N401</f>
        <v/>
      </c>
      <c r="Y401" s="35">
        <f>IF(W401=MAXIFS(W$2:W$3601, A$2:A$3601, A401, B$2:B$3601, B401), "OPTIMAL", "")</f>
        <v/>
      </c>
    </row>
    <row r="402" ht="20" customHeight="1">
      <c r="A402" s="21" t="n">
        <v>4</v>
      </c>
      <c r="B402" s="21" t="n">
        <v>30</v>
      </c>
      <c r="C402" s="22" t="n">
        <v>85</v>
      </c>
      <c r="D402" s="22" t="n">
        <v>2</v>
      </c>
      <c r="E402" s="23" t="n">
        <v>0</v>
      </c>
      <c r="F402" s="22" t="n">
        <v>0</v>
      </c>
      <c r="G402" s="23" t="inlineStr">
        <is>
          <t>Oui</t>
        </is>
      </c>
      <c r="H402" s="23" t="inlineStr">
        <is>
          <t>ON</t>
        </is>
      </c>
      <c r="I402" s="24" t="n">
        <v>718.2417398266504</v>
      </c>
      <c r="J402" s="24" t="n">
        <v>2366.073881799197</v>
      </c>
      <c r="K402" s="24" t="n">
        <v>1847.222222222222</v>
      </c>
      <c r="L402" s="24" t="n">
        <v>150</v>
      </c>
      <c r="M402" s="24">
        <f>I402+J402+K402+L402</f>
        <v/>
      </c>
      <c r="N402" s="24">
        <f>M402*'Dashboard &amp; Optimisation'!$B$18/('Dashboard &amp; Optimisation'!$B$16/3.6)</f>
        <v/>
      </c>
      <c r="O402" s="24" t="n">
        <v>261.3713776472621</v>
      </c>
      <c r="P402" s="25" t="n">
        <v>0.4952901571326194</v>
      </c>
      <c r="Q402" s="26" t="n">
        <v>0.2</v>
      </c>
      <c r="R402" s="24" t="n">
        <v>374.7801707345006</v>
      </c>
      <c r="S402" s="24">
        <f>R402*IF(A402=4, 2.0, 3.0)</f>
        <v/>
      </c>
      <c r="T402" s="22">
        <f>'Dashboard &amp; Optimisation'!$B$18*U402</f>
        <v/>
      </c>
      <c r="U402" s="27">
        <f>MIN(1, S402/M402)</f>
        <v/>
      </c>
      <c r="V402" s="27">
        <f>N402/(N402+O402)</f>
        <v/>
      </c>
      <c r="W402" s="27">
        <f>U402*V402</f>
        <v/>
      </c>
      <c r="X402" s="25">
        <f>T402/N402</f>
        <v/>
      </c>
      <c r="Y402" s="28">
        <f>IF(W402=MAXIFS(W$2:W$3601, A$2:A$3601, A402, B$2:B$3601, B402), "OPTIMAL", "")</f>
        <v/>
      </c>
    </row>
    <row r="403" ht="20" customHeight="1">
      <c r="A403" s="29" t="n">
        <v>4</v>
      </c>
      <c r="B403" s="29" t="n">
        <v>30</v>
      </c>
      <c r="C403" s="30" t="n">
        <v>85</v>
      </c>
      <c r="D403" s="30" t="n">
        <v>2</v>
      </c>
      <c r="E403" s="6" t="n">
        <v>0</v>
      </c>
      <c r="F403" s="30" t="n">
        <v>0</v>
      </c>
      <c r="G403" s="6" t="inlineStr">
        <is>
          <t>Oui</t>
        </is>
      </c>
      <c r="H403" s="6" t="inlineStr">
        <is>
          <t>OFF</t>
        </is>
      </c>
      <c r="I403" s="31" t="n">
        <v>718.2417398266504</v>
      </c>
      <c r="J403" s="31" t="n">
        <v>2366.073881799197</v>
      </c>
      <c r="K403" s="31" t="n">
        <v>1847.222222222222</v>
      </c>
      <c r="L403" s="31" t="n">
        <v>150</v>
      </c>
      <c r="M403" s="31">
        <f>I403+J403+K403+L403</f>
        <v/>
      </c>
      <c r="N403" s="31">
        <f>M403*'Dashboard &amp; Optimisation'!$B$18/('Dashboard &amp; Optimisation'!$B$16/3.6)</f>
        <v/>
      </c>
      <c r="O403" s="31" t="n">
        <v>261.3713776472621</v>
      </c>
      <c r="P403" s="32" t="n">
        <v>0.869772376172373</v>
      </c>
      <c r="Q403" s="33" t="n">
        <v>0.2</v>
      </c>
      <c r="R403" s="31" t="n">
        <v>213.4178260180721</v>
      </c>
      <c r="S403" s="31">
        <f>R403*IF(A403=4, 2.0, 3.0)</f>
        <v/>
      </c>
      <c r="T403" s="30">
        <f>'Dashboard &amp; Optimisation'!$B$18*U403</f>
        <v/>
      </c>
      <c r="U403" s="34">
        <f>MIN(1, S403/M403)</f>
        <v/>
      </c>
      <c r="V403" s="34">
        <f>N403/(N403+O403)</f>
        <v/>
      </c>
      <c r="W403" s="34">
        <f>U403*V403</f>
        <v/>
      </c>
      <c r="X403" s="32">
        <f>T403/N403</f>
        <v/>
      </c>
      <c r="Y403" s="35">
        <f>IF(W403=MAXIFS(W$2:W$3601, A$2:A$3601, A403, B$2:B$3601, B403), "OPTIMAL", "")</f>
        <v/>
      </c>
    </row>
    <row r="404" ht="20" customHeight="1">
      <c r="A404" s="21" t="n">
        <v>4</v>
      </c>
      <c r="B404" s="21" t="n">
        <v>30</v>
      </c>
      <c r="C404" s="22" t="n">
        <v>85</v>
      </c>
      <c r="D404" s="22" t="n">
        <v>2</v>
      </c>
      <c r="E404" s="23" t="n">
        <v>0</v>
      </c>
      <c r="F404" s="22" t="n">
        <v>0</v>
      </c>
      <c r="G404" s="23" t="inlineStr">
        <is>
          <t>Non</t>
        </is>
      </c>
      <c r="H404" s="23" t="inlineStr">
        <is>
          <t>ON</t>
        </is>
      </c>
      <c r="I404" s="24" t="n">
        <v>718.2417398266504</v>
      </c>
      <c r="J404" s="24" t="n">
        <v>2366.073881799197</v>
      </c>
      <c r="K404" s="24" t="n">
        <v>1847.222222222222</v>
      </c>
      <c r="L404" s="24" t="n">
        <v>150</v>
      </c>
      <c r="M404" s="24">
        <f>I404+J404+K404+L404</f>
        <v/>
      </c>
      <c r="N404" s="24">
        <f>M404*'Dashboard &amp; Optimisation'!$B$18/('Dashboard &amp; Optimisation'!$B$16/3.6)</f>
        <v/>
      </c>
      <c r="O404" s="24" t="n">
        <v>261.3713776472621</v>
      </c>
      <c r="P404" s="25" t="n">
        <v>0.4915453349422219</v>
      </c>
      <c r="Q404" s="26" t="n">
        <v>0.2</v>
      </c>
      <c r="R404" s="24" t="n">
        <v>377.635421308799</v>
      </c>
      <c r="S404" s="24">
        <f>R404*IF(A404=4, 2.0, 3.0)</f>
        <v/>
      </c>
      <c r="T404" s="22">
        <f>'Dashboard &amp; Optimisation'!$B$18*U404</f>
        <v/>
      </c>
      <c r="U404" s="27">
        <f>MIN(1, S404/M404)</f>
        <v/>
      </c>
      <c r="V404" s="27">
        <f>N404/(N404+O404)</f>
        <v/>
      </c>
      <c r="W404" s="27">
        <f>U404*V404</f>
        <v/>
      </c>
      <c r="X404" s="25">
        <f>T404/N404</f>
        <v/>
      </c>
      <c r="Y404" s="28">
        <f>IF(W404=MAXIFS(W$2:W$3601, A$2:A$3601, A404, B$2:B$3601, B404), "OPTIMAL", "")</f>
        <v/>
      </c>
    </row>
    <row r="405" ht="20" customHeight="1">
      <c r="A405" s="29" t="n">
        <v>4</v>
      </c>
      <c r="B405" s="29" t="n">
        <v>30</v>
      </c>
      <c r="C405" s="30" t="n">
        <v>85</v>
      </c>
      <c r="D405" s="30" t="n">
        <v>2</v>
      </c>
      <c r="E405" s="6" t="n">
        <v>0</v>
      </c>
      <c r="F405" s="30" t="n">
        <v>0</v>
      </c>
      <c r="G405" s="6" t="inlineStr">
        <is>
          <t>Non</t>
        </is>
      </c>
      <c r="H405" s="6" t="inlineStr">
        <is>
          <t>OFF</t>
        </is>
      </c>
      <c r="I405" s="31" t="n">
        <v>718.2417398266504</v>
      </c>
      <c r="J405" s="31" t="n">
        <v>2366.073881799197</v>
      </c>
      <c r="K405" s="31" t="n">
        <v>1847.222222222222</v>
      </c>
      <c r="L405" s="31" t="n">
        <v>150</v>
      </c>
      <c r="M405" s="31">
        <f>I405+J405+K405+L405</f>
        <v/>
      </c>
      <c r="N405" s="31">
        <f>M405*'Dashboard &amp; Optimisation'!$B$18/('Dashboard &amp; Optimisation'!$B$16/3.6)</f>
        <v/>
      </c>
      <c r="O405" s="31" t="n">
        <v>261.3713776472621</v>
      </c>
      <c r="P405" s="32" t="n">
        <v>0.8660275539819755</v>
      </c>
      <c r="Q405" s="33" t="n">
        <v>0.2</v>
      </c>
      <c r="R405" s="31" t="n">
        <v>214.3406740348865</v>
      </c>
      <c r="S405" s="31">
        <f>R405*IF(A405=4, 2.0, 3.0)</f>
        <v/>
      </c>
      <c r="T405" s="30">
        <f>'Dashboard &amp; Optimisation'!$B$18*U405</f>
        <v/>
      </c>
      <c r="U405" s="34">
        <f>MIN(1, S405/M405)</f>
        <v/>
      </c>
      <c r="V405" s="34">
        <f>N405/(N405+O405)</f>
        <v/>
      </c>
      <c r="W405" s="34">
        <f>U405*V405</f>
        <v/>
      </c>
      <c r="X405" s="32">
        <f>T405/N405</f>
        <v/>
      </c>
      <c r="Y405" s="35">
        <f>IF(W405=MAXIFS(W$2:W$3601, A$2:A$3601, A405, B$2:B$3601, B405), "OPTIMAL", "")</f>
        <v/>
      </c>
    </row>
    <row r="406" ht="20" customHeight="1">
      <c r="A406" s="21" t="n">
        <v>4</v>
      </c>
      <c r="B406" s="21" t="n">
        <v>30</v>
      </c>
      <c r="C406" s="22" t="n">
        <v>85</v>
      </c>
      <c r="D406" s="22" t="n">
        <v>2</v>
      </c>
      <c r="E406" s="23" t="n">
        <v>4</v>
      </c>
      <c r="F406" s="22" t="n">
        <v>1.5</v>
      </c>
      <c r="G406" s="23" t="inlineStr">
        <is>
          <t>Oui</t>
        </is>
      </c>
      <c r="H406" s="23" t="inlineStr">
        <is>
          <t>ON</t>
        </is>
      </c>
      <c r="I406" s="24" t="n">
        <v>718.2417398266504</v>
      </c>
      <c r="J406" s="24" t="n">
        <v>2366.073881799197</v>
      </c>
      <c r="K406" s="24" t="n">
        <v>1847.222222222222</v>
      </c>
      <c r="L406" s="24" t="n">
        <v>150</v>
      </c>
      <c r="M406" s="24">
        <f>I406+J406+K406+L406</f>
        <v/>
      </c>
      <c r="N406" s="24">
        <f>M406*'Dashboard &amp; Optimisation'!$B$18/('Dashboard &amp; Optimisation'!$B$16/3.6)</f>
        <v/>
      </c>
      <c r="O406" s="24" t="n">
        <v>419.7441555176159</v>
      </c>
      <c r="P406" s="25" t="n">
        <v>0.07982907988340278</v>
      </c>
      <c r="Q406" s="26" t="n">
        <v>7.926206185533672</v>
      </c>
      <c r="R406" s="24" t="n">
        <v>2416.441321610641</v>
      </c>
      <c r="S406" s="24">
        <f>R406*IF(A406=4, 2.0, 3.0)</f>
        <v/>
      </c>
      <c r="T406" s="22">
        <f>'Dashboard &amp; Optimisation'!$B$18*U406</f>
        <v/>
      </c>
      <c r="U406" s="27">
        <f>MIN(1, S406/M406)</f>
        <v/>
      </c>
      <c r="V406" s="27">
        <f>N406/(N406+O406)</f>
        <v/>
      </c>
      <c r="W406" s="27">
        <f>U406*V406</f>
        <v/>
      </c>
      <c r="X406" s="25">
        <f>T406/N406</f>
        <v/>
      </c>
      <c r="Y406" s="28">
        <f>IF(W406=MAXIFS(W$2:W$3601, A$2:A$3601, A406, B$2:B$3601, B406), "OPTIMAL", "")</f>
        <v/>
      </c>
    </row>
    <row r="407" ht="20" customHeight="1">
      <c r="A407" s="29" t="n">
        <v>4</v>
      </c>
      <c r="B407" s="29" t="n">
        <v>30</v>
      </c>
      <c r="C407" s="30" t="n">
        <v>85</v>
      </c>
      <c r="D407" s="30" t="n">
        <v>2</v>
      </c>
      <c r="E407" s="6" t="n">
        <v>4</v>
      </c>
      <c r="F407" s="30" t="n">
        <v>1.5</v>
      </c>
      <c r="G407" s="6" t="inlineStr">
        <is>
          <t>Oui</t>
        </is>
      </c>
      <c r="H407" s="6" t="inlineStr">
        <is>
          <t>OFF</t>
        </is>
      </c>
      <c r="I407" s="31" t="n">
        <v>718.2417398266504</v>
      </c>
      <c r="J407" s="31" t="n">
        <v>2366.073881799197</v>
      </c>
      <c r="K407" s="31" t="n">
        <v>1847.222222222222</v>
      </c>
      <c r="L407" s="31" t="n">
        <v>150</v>
      </c>
      <c r="M407" s="31">
        <f>I407+J407+K407+L407</f>
        <v/>
      </c>
      <c r="N407" s="31">
        <f>M407*'Dashboard &amp; Optimisation'!$B$18/('Dashboard &amp; Optimisation'!$B$16/3.6)</f>
        <v/>
      </c>
      <c r="O407" s="31" t="n">
        <v>419.7441555176159</v>
      </c>
      <c r="P407" s="32" t="n">
        <v>0.3422773582181225</v>
      </c>
      <c r="Q407" s="33" t="n">
        <v>7.926206185533672</v>
      </c>
      <c r="R407" s="31" t="n">
        <v>563.5847147490274</v>
      </c>
      <c r="S407" s="31">
        <f>R407*IF(A407=4, 2.0, 3.0)</f>
        <v/>
      </c>
      <c r="T407" s="30">
        <f>'Dashboard &amp; Optimisation'!$B$18*U407</f>
        <v/>
      </c>
      <c r="U407" s="34">
        <f>MIN(1, S407/M407)</f>
        <v/>
      </c>
      <c r="V407" s="34">
        <f>N407/(N407+O407)</f>
        <v/>
      </c>
      <c r="W407" s="34">
        <f>U407*V407</f>
        <v/>
      </c>
      <c r="X407" s="32">
        <f>T407/N407</f>
        <v/>
      </c>
      <c r="Y407" s="35">
        <f>IF(W407=MAXIFS(W$2:W$3601, A$2:A$3601, A407, B$2:B$3601, B407), "OPTIMAL", "")</f>
        <v/>
      </c>
    </row>
    <row r="408" ht="20" customHeight="1">
      <c r="A408" s="36" t="n">
        <v>4</v>
      </c>
      <c r="B408" s="36" t="n">
        <v>30</v>
      </c>
      <c r="C408" s="37" t="n">
        <v>85</v>
      </c>
      <c r="D408" s="37" t="n">
        <v>2</v>
      </c>
      <c r="E408" s="38" t="n">
        <v>4</v>
      </c>
      <c r="F408" s="37" t="n">
        <v>1.5</v>
      </c>
      <c r="G408" s="38" t="inlineStr">
        <is>
          <t>Non</t>
        </is>
      </c>
      <c r="H408" s="38" t="inlineStr">
        <is>
          <t>ON</t>
        </is>
      </c>
      <c r="I408" s="39" t="n">
        <v>718.2417398266504</v>
      </c>
      <c r="J408" s="39" t="n">
        <v>2366.073881799197</v>
      </c>
      <c r="K408" s="39" t="n">
        <v>1847.222222222222</v>
      </c>
      <c r="L408" s="39" t="n">
        <v>150</v>
      </c>
      <c r="M408" s="39">
        <f>I408+J408+K408+L408</f>
        <v/>
      </c>
      <c r="N408" s="39">
        <f>M408*'Dashboard &amp; Optimisation'!$B$18/('Dashboard &amp; Optimisation'!$B$16/3.6)</f>
        <v/>
      </c>
      <c r="O408" s="39" t="n">
        <v>419.7441555176159</v>
      </c>
      <c r="P408" s="40" t="n">
        <v>0.07608425769300524</v>
      </c>
      <c r="Q408" s="41" t="n">
        <v>7.926206185533672</v>
      </c>
      <c r="R408" s="39" t="n">
        <v>2535.377135106696</v>
      </c>
      <c r="S408" s="39">
        <f>R408*IF(A408=4, 2.0, 3.0)</f>
        <v/>
      </c>
      <c r="T408" s="37">
        <f>'Dashboard &amp; Optimisation'!$B$18*U408</f>
        <v/>
      </c>
      <c r="U408" s="42">
        <f>MIN(1, S408/M408)</f>
        <v/>
      </c>
      <c r="V408" s="42">
        <f>N408/(N408+O408)</f>
        <v/>
      </c>
      <c r="W408" s="42">
        <f>U408*V408</f>
        <v/>
      </c>
      <c r="X408" s="40">
        <f>T408/N408</f>
        <v/>
      </c>
      <c r="Y408" s="15">
        <f>IF(W408=MAXIFS(W$2:W$3601, A$2:A$3601, A408, B$2:B$3601, B408), "OPTIMAL", "")</f>
        <v/>
      </c>
    </row>
    <row r="409" ht="20" customHeight="1">
      <c r="A409" s="29" t="n">
        <v>4</v>
      </c>
      <c r="B409" s="29" t="n">
        <v>30</v>
      </c>
      <c r="C409" s="30" t="n">
        <v>85</v>
      </c>
      <c r="D409" s="30" t="n">
        <v>2</v>
      </c>
      <c r="E409" s="6" t="n">
        <v>4</v>
      </c>
      <c r="F409" s="30" t="n">
        <v>1.5</v>
      </c>
      <c r="G409" s="6" t="inlineStr">
        <is>
          <t>Non</t>
        </is>
      </c>
      <c r="H409" s="6" t="inlineStr">
        <is>
          <t>OFF</t>
        </is>
      </c>
      <c r="I409" s="31" t="n">
        <v>718.2417398266504</v>
      </c>
      <c r="J409" s="31" t="n">
        <v>2366.073881799197</v>
      </c>
      <c r="K409" s="31" t="n">
        <v>1847.222222222222</v>
      </c>
      <c r="L409" s="31" t="n">
        <v>150</v>
      </c>
      <c r="M409" s="31">
        <f>I409+J409+K409+L409</f>
        <v/>
      </c>
      <c r="N409" s="31">
        <f>M409*'Dashboard &amp; Optimisation'!$B$18/('Dashboard &amp; Optimisation'!$B$16/3.6)</f>
        <v/>
      </c>
      <c r="O409" s="31" t="n">
        <v>419.7441555176159</v>
      </c>
      <c r="P409" s="32" t="n">
        <v>0.338532536027725</v>
      </c>
      <c r="Q409" s="33" t="n">
        <v>7.926206185533672</v>
      </c>
      <c r="R409" s="31" t="n">
        <v>569.8190477048062</v>
      </c>
      <c r="S409" s="31">
        <f>R409*IF(A409=4, 2.0, 3.0)</f>
        <v/>
      </c>
      <c r="T409" s="30">
        <f>'Dashboard &amp; Optimisation'!$B$18*U409</f>
        <v/>
      </c>
      <c r="U409" s="34">
        <f>MIN(1, S409/M409)</f>
        <v/>
      </c>
      <c r="V409" s="34">
        <f>N409/(N409+O409)</f>
        <v/>
      </c>
      <c r="W409" s="34">
        <f>U409*V409</f>
        <v/>
      </c>
      <c r="X409" s="32">
        <f>T409/N409</f>
        <v/>
      </c>
      <c r="Y409" s="35">
        <f>IF(W409=MAXIFS(W$2:W$3601, A$2:A$3601, A409, B$2:B$3601, B409), "OPTIMAL", "")</f>
        <v/>
      </c>
    </row>
    <row r="410" ht="20" customHeight="1">
      <c r="A410" s="21" t="n">
        <v>4</v>
      </c>
      <c r="B410" s="21" t="n">
        <v>30</v>
      </c>
      <c r="C410" s="22" t="n">
        <v>85</v>
      </c>
      <c r="D410" s="22" t="n">
        <v>2</v>
      </c>
      <c r="E410" s="23" t="n">
        <v>4</v>
      </c>
      <c r="F410" s="22" t="n">
        <v>2</v>
      </c>
      <c r="G410" s="23" t="inlineStr">
        <is>
          <t>Oui</t>
        </is>
      </c>
      <c r="H410" s="23" t="inlineStr">
        <is>
          <t>ON</t>
        </is>
      </c>
      <c r="I410" s="24" t="n">
        <v>718.2417398266504</v>
      </c>
      <c r="J410" s="24" t="n">
        <v>2366.073881799197</v>
      </c>
      <c r="K410" s="24" t="n">
        <v>1847.222222222222</v>
      </c>
      <c r="L410" s="24" t="n">
        <v>150</v>
      </c>
      <c r="M410" s="24">
        <f>I410+J410+K410+L410</f>
        <v/>
      </c>
      <c r="N410" s="24">
        <f>M410*'Dashboard &amp; Optimisation'!$B$18/('Dashboard &amp; Optimisation'!$B$16/3.6)</f>
        <v/>
      </c>
      <c r="O410" s="24" t="n">
        <v>475.3311531196345</v>
      </c>
      <c r="P410" s="25" t="n">
        <v>0.07761847907948814</v>
      </c>
      <c r="Q410" s="26" t="n">
        <v>10.50160824737823</v>
      </c>
      <c r="R410" s="24" t="n">
        <v>2518.170379737228</v>
      </c>
      <c r="S410" s="24">
        <f>R410*IF(A410=4, 2.0, 3.0)</f>
        <v/>
      </c>
      <c r="T410" s="22">
        <f>'Dashboard &amp; Optimisation'!$B$18*U410</f>
        <v/>
      </c>
      <c r="U410" s="27">
        <f>MIN(1, S410/M410)</f>
        <v/>
      </c>
      <c r="V410" s="27">
        <f>N410/(N410+O410)</f>
        <v/>
      </c>
      <c r="W410" s="27">
        <f>U410*V410</f>
        <v/>
      </c>
      <c r="X410" s="25">
        <f>T410/N410</f>
        <v/>
      </c>
      <c r="Y410" s="28">
        <f>IF(W410=MAXIFS(W$2:W$3601, A$2:A$3601, A410, B$2:B$3601, B410), "OPTIMAL", "")</f>
        <v/>
      </c>
    </row>
    <row r="411" ht="20" customHeight="1">
      <c r="A411" s="29" t="n">
        <v>4</v>
      </c>
      <c r="B411" s="29" t="n">
        <v>30</v>
      </c>
      <c r="C411" s="30" t="n">
        <v>85</v>
      </c>
      <c r="D411" s="30" t="n">
        <v>2</v>
      </c>
      <c r="E411" s="6" t="n">
        <v>4</v>
      </c>
      <c r="F411" s="30" t="n">
        <v>2</v>
      </c>
      <c r="G411" s="6" t="inlineStr">
        <is>
          <t>Oui</t>
        </is>
      </c>
      <c r="H411" s="6" t="inlineStr">
        <is>
          <t>OFF</t>
        </is>
      </c>
      <c r="I411" s="31" t="n">
        <v>718.2417398266504</v>
      </c>
      <c r="J411" s="31" t="n">
        <v>2366.073881799197</v>
      </c>
      <c r="K411" s="31" t="n">
        <v>1847.222222222222</v>
      </c>
      <c r="L411" s="31" t="n">
        <v>150</v>
      </c>
      <c r="M411" s="31">
        <f>I411+J411+K411+L411</f>
        <v/>
      </c>
      <c r="N411" s="31">
        <f>M411*'Dashboard &amp; Optimisation'!$B$18/('Dashboard &amp; Optimisation'!$B$16/3.6)</f>
        <v/>
      </c>
      <c r="O411" s="31" t="n">
        <v>475.3311531196345</v>
      </c>
      <c r="P411" s="32" t="n">
        <v>0.3414492073746781</v>
      </c>
      <c r="Q411" s="33" t="n">
        <v>10.50160824737823</v>
      </c>
      <c r="R411" s="31" t="n">
        <v>572.4322994949667</v>
      </c>
      <c r="S411" s="31">
        <f>R411*IF(A411=4, 2.0, 3.0)</f>
        <v/>
      </c>
      <c r="T411" s="30">
        <f>'Dashboard &amp; Optimisation'!$B$18*U411</f>
        <v/>
      </c>
      <c r="U411" s="34">
        <f>MIN(1, S411/M411)</f>
        <v/>
      </c>
      <c r="V411" s="34">
        <f>N411/(N411+O411)</f>
        <v/>
      </c>
      <c r="W411" s="34">
        <f>U411*V411</f>
        <v/>
      </c>
      <c r="X411" s="32">
        <f>T411/N411</f>
        <v/>
      </c>
      <c r="Y411" s="35">
        <f>IF(W411=MAXIFS(W$2:W$3601, A$2:A$3601, A411, B$2:B$3601, B411), "OPTIMAL", "")</f>
        <v/>
      </c>
    </row>
    <row r="412" ht="20" customHeight="1">
      <c r="A412" s="21" t="n">
        <v>4</v>
      </c>
      <c r="B412" s="21" t="n">
        <v>30</v>
      </c>
      <c r="C412" s="22" t="n">
        <v>85</v>
      </c>
      <c r="D412" s="22" t="n">
        <v>2</v>
      </c>
      <c r="E412" s="23" t="n">
        <v>4</v>
      </c>
      <c r="F412" s="22" t="n">
        <v>2</v>
      </c>
      <c r="G412" s="23" t="inlineStr">
        <is>
          <t>Non</t>
        </is>
      </c>
      <c r="H412" s="23" t="inlineStr">
        <is>
          <t>ON</t>
        </is>
      </c>
      <c r="I412" s="24" t="n">
        <v>718.2417398266504</v>
      </c>
      <c r="J412" s="24" t="n">
        <v>2366.073881799197</v>
      </c>
      <c r="K412" s="24" t="n">
        <v>1847.222222222222</v>
      </c>
      <c r="L412" s="24" t="n">
        <v>150</v>
      </c>
      <c r="M412" s="24">
        <f>I412+J412+K412+L412</f>
        <v/>
      </c>
      <c r="N412" s="24">
        <f>M412*'Dashboard &amp; Optimisation'!$B$18/('Dashboard &amp; Optimisation'!$B$16/3.6)</f>
        <v/>
      </c>
      <c r="O412" s="24" t="n">
        <v>475.3311531196345</v>
      </c>
      <c r="P412" s="25" t="n">
        <v>0.0738736568890906</v>
      </c>
      <c r="Q412" s="26" t="n">
        <v>10.50160824737823</v>
      </c>
      <c r="R412" s="24" t="n">
        <v>2645.822112633023</v>
      </c>
      <c r="S412" s="24">
        <f>R412*IF(A412=4, 2.0, 3.0)</f>
        <v/>
      </c>
      <c r="T412" s="22">
        <f>'Dashboard &amp; Optimisation'!$B$18*U412</f>
        <v/>
      </c>
      <c r="U412" s="27">
        <f>MIN(1, S412/M412)</f>
        <v/>
      </c>
      <c r="V412" s="27">
        <f>N412/(N412+O412)</f>
        <v/>
      </c>
      <c r="W412" s="27">
        <f>U412*V412</f>
        <v/>
      </c>
      <c r="X412" s="25">
        <f>T412/N412</f>
        <v/>
      </c>
      <c r="Y412" s="28">
        <f>IF(W412=MAXIFS(W$2:W$3601, A$2:A$3601, A412, B$2:B$3601, B412), "OPTIMAL", "")</f>
        <v/>
      </c>
    </row>
    <row r="413" ht="20" customHeight="1">
      <c r="A413" s="29" t="n">
        <v>4</v>
      </c>
      <c r="B413" s="29" t="n">
        <v>30</v>
      </c>
      <c r="C413" s="30" t="n">
        <v>85</v>
      </c>
      <c r="D413" s="30" t="n">
        <v>2</v>
      </c>
      <c r="E413" s="6" t="n">
        <v>4</v>
      </c>
      <c r="F413" s="30" t="n">
        <v>2</v>
      </c>
      <c r="G413" s="6" t="inlineStr">
        <is>
          <t>Non</t>
        </is>
      </c>
      <c r="H413" s="6" t="inlineStr">
        <is>
          <t>OFF</t>
        </is>
      </c>
      <c r="I413" s="31" t="n">
        <v>718.2417398266504</v>
      </c>
      <c r="J413" s="31" t="n">
        <v>2366.073881799197</v>
      </c>
      <c r="K413" s="31" t="n">
        <v>1847.222222222222</v>
      </c>
      <c r="L413" s="31" t="n">
        <v>150</v>
      </c>
      <c r="M413" s="31">
        <f>I413+J413+K413+L413</f>
        <v/>
      </c>
      <c r="N413" s="31">
        <f>M413*'Dashboard &amp; Optimisation'!$B$18/('Dashboard &amp; Optimisation'!$B$16/3.6)</f>
        <v/>
      </c>
      <c r="O413" s="31" t="n">
        <v>475.3311531196345</v>
      </c>
      <c r="P413" s="32" t="n">
        <v>0.3377043851842806</v>
      </c>
      <c r="Q413" s="33" t="n">
        <v>10.50160824737823</v>
      </c>
      <c r="R413" s="31" t="n">
        <v>578.780032221266</v>
      </c>
      <c r="S413" s="31">
        <f>R413*IF(A413=4, 2.0, 3.0)</f>
        <v/>
      </c>
      <c r="T413" s="30">
        <f>'Dashboard &amp; Optimisation'!$B$18*U413</f>
        <v/>
      </c>
      <c r="U413" s="34">
        <f>MIN(1, S413/M413)</f>
        <v/>
      </c>
      <c r="V413" s="34">
        <f>N413/(N413+O413)</f>
        <v/>
      </c>
      <c r="W413" s="34">
        <f>U413*V413</f>
        <v/>
      </c>
      <c r="X413" s="32">
        <f>T413/N413</f>
        <v/>
      </c>
      <c r="Y413" s="35">
        <f>IF(W413=MAXIFS(W$2:W$3601, A$2:A$3601, A413, B$2:B$3601, B413), "OPTIMAL", "")</f>
        <v/>
      </c>
    </row>
    <row r="414" ht="20" customHeight="1">
      <c r="A414" s="21" t="n">
        <v>4</v>
      </c>
      <c r="B414" s="21" t="n">
        <v>30</v>
      </c>
      <c r="C414" s="22" t="n">
        <v>85</v>
      </c>
      <c r="D414" s="22" t="n">
        <v>2</v>
      </c>
      <c r="E414" s="23" t="n">
        <v>8</v>
      </c>
      <c r="F414" s="22" t="n">
        <v>1.5</v>
      </c>
      <c r="G414" s="23" t="inlineStr">
        <is>
          <t>Oui</t>
        </is>
      </c>
      <c r="H414" s="23" t="inlineStr">
        <is>
          <t>ON</t>
        </is>
      </c>
      <c r="I414" s="24" t="n">
        <v>718.2417398266504</v>
      </c>
      <c r="J414" s="24" t="n">
        <v>2366.073881799197</v>
      </c>
      <c r="K414" s="24" t="n">
        <v>1847.222222222222</v>
      </c>
      <c r="L414" s="24" t="n">
        <v>150</v>
      </c>
      <c r="M414" s="24">
        <f>I414+J414+K414+L414</f>
        <v/>
      </c>
      <c r="N414" s="24">
        <f>M414*'Dashboard &amp; Optimisation'!$B$18/('Dashboard &amp; Optimisation'!$B$16/3.6)</f>
        <v/>
      </c>
      <c r="O414" s="24" t="n">
        <v>591.0415314916435</v>
      </c>
      <c r="P414" s="25" t="n">
        <v>0.05983888553171247</v>
      </c>
      <c r="Q414" s="26" t="n">
        <v>15.65241237106734</v>
      </c>
      <c r="R414" s="24" t="n">
        <v>3355.23529432581</v>
      </c>
      <c r="S414" s="24">
        <f>R414*IF(A414=4, 2.0, 3.0)</f>
        <v/>
      </c>
      <c r="T414" s="22">
        <f>'Dashboard &amp; Optimisation'!$B$18*U414</f>
        <v/>
      </c>
      <c r="U414" s="27">
        <f>MIN(1, S414/M414)</f>
        <v/>
      </c>
      <c r="V414" s="27">
        <f>N414/(N414+O414)</f>
        <v/>
      </c>
      <c r="W414" s="27">
        <f>U414*V414</f>
        <v/>
      </c>
      <c r="X414" s="25">
        <f>T414/N414</f>
        <v/>
      </c>
      <c r="Y414" s="28">
        <f>IF(W414=MAXIFS(W$2:W$3601, A$2:A$3601, A414, B$2:B$3601, B414), "OPTIMAL", "")</f>
        <v/>
      </c>
    </row>
    <row r="415" ht="20" customHeight="1">
      <c r="A415" s="29" t="n">
        <v>4</v>
      </c>
      <c r="B415" s="29" t="n">
        <v>30</v>
      </c>
      <c r="C415" s="30" t="n">
        <v>85</v>
      </c>
      <c r="D415" s="30" t="n">
        <v>2</v>
      </c>
      <c r="E415" s="6" t="n">
        <v>8</v>
      </c>
      <c r="F415" s="30" t="n">
        <v>1.5</v>
      </c>
      <c r="G415" s="6" t="inlineStr">
        <is>
          <t>Oui</t>
        </is>
      </c>
      <c r="H415" s="6" t="inlineStr">
        <is>
          <t>OFF</t>
        </is>
      </c>
      <c r="I415" s="31" t="n">
        <v>718.2417398266504</v>
      </c>
      <c r="J415" s="31" t="n">
        <v>2366.073881799197</v>
      </c>
      <c r="K415" s="31" t="n">
        <v>1847.222222222222</v>
      </c>
      <c r="L415" s="31" t="n">
        <v>150</v>
      </c>
      <c r="M415" s="31">
        <f>I415+J415+K415+L415</f>
        <v/>
      </c>
      <c r="N415" s="31">
        <f>M415*'Dashboard &amp; Optimisation'!$B$18/('Dashboard &amp; Optimisation'!$B$16/3.6)</f>
        <v/>
      </c>
      <c r="O415" s="31" t="n">
        <v>591.0415314916435</v>
      </c>
      <c r="P415" s="32" t="n">
        <v>0.261849893463025</v>
      </c>
      <c r="Q415" s="33" t="n">
        <v>15.65241237106734</v>
      </c>
      <c r="R415" s="31" t="n">
        <v>766.7505151667149</v>
      </c>
      <c r="S415" s="31">
        <f>R415*IF(A415=4, 2.0, 3.0)</f>
        <v/>
      </c>
      <c r="T415" s="30">
        <f>'Dashboard &amp; Optimisation'!$B$18*U415</f>
        <v/>
      </c>
      <c r="U415" s="34">
        <f>MIN(1, S415/M415)</f>
        <v/>
      </c>
      <c r="V415" s="34">
        <f>N415/(N415+O415)</f>
        <v/>
      </c>
      <c r="W415" s="34">
        <f>U415*V415</f>
        <v/>
      </c>
      <c r="X415" s="32">
        <f>T415/N415</f>
        <v/>
      </c>
      <c r="Y415" s="35">
        <f>IF(W415=MAXIFS(W$2:W$3601, A$2:A$3601, A415, B$2:B$3601, B415), "OPTIMAL", "")</f>
        <v/>
      </c>
    </row>
    <row r="416" ht="20" customHeight="1">
      <c r="A416" s="21" t="n">
        <v>4</v>
      </c>
      <c r="B416" s="21" t="n">
        <v>30</v>
      </c>
      <c r="C416" s="22" t="n">
        <v>85</v>
      </c>
      <c r="D416" s="22" t="n">
        <v>2</v>
      </c>
      <c r="E416" s="23" t="n">
        <v>8</v>
      </c>
      <c r="F416" s="22" t="n">
        <v>1.5</v>
      </c>
      <c r="G416" s="23" t="inlineStr">
        <is>
          <t>Non</t>
        </is>
      </c>
      <c r="H416" s="23" t="inlineStr">
        <is>
          <t>ON</t>
        </is>
      </c>
      <c r="I416" s="24" t="n">
        <v>718.2417398266504</v>
      </c>
      <c r="J416" s="24" t="n">
        <v>2366.073881799197</v>
      </c>
      <c r="K416" s="24" t="n">
        <v>1847.222222222222</v>
      </c>
      <c r="L416" s="24" t="n">
        <v>150</v>
      </c>
      <c r="M416" s="24">
        <f>I416+J416+K416+L416</f>
        <v/>
      </c>
      <c r="N416" s="24">
        <f>M416*'Dashboard &amp; Optimisation'!$B$18/('Dashboard &amp; Optimisation'!$B$16/3.6)</f>
        <v/>
      </c>
      <c r="O416" s="24" t="n">
        <v>591.0415314916435</v>
      </c>
      <c r="P416" s="25" t="n">
        <v>0.05609406334131493</v>
      </c>
      <c r="Q416" s="26" t="n">
        <v>15.65241237106734</v>
      </c>
      <c r="R416" s="24" t="n">
        <v>3579.229757122054</v>
      </c>
      <c r="S416" s="24">
        <f>R416*IF(A416=4, 2.0, 3.0)</f>
        <v/>
      </c>
      <c r="T416" s="22">
        <f>'Dashboard &amp; Optimisation'!$B$18*U416</f>
        <v/>
      </c>
      <c r="U416" s="27">
        <f>MIN(1, S416/M416)</f>
        <v/>
      </c>
      <c r="V416" s="27">
        <f>N416/(N416+O416)</f>
        <v/>
      </c>
      <c r="W416" s="27">
        <f>U416*V416</f>
        <v/>
      </c>
      <c r="X416" s="25">
        <f>T416/N416</f>
        <v/>
      </c>
      <c r="Y416" s="28">
        <f>IF(W416=MAXIFS(W$2:W$3601, A$2:A$3601, A416, B$2:B$3601, B416), "OPTIMAL", "")</f>
        <v/>
      </c>
    </row>
    <row r="417" ht="20" customHeight="1">
      <c r="A417" s="29" t="n">
        <v>4</v>
      </c>
      <c r="B417" s="29" t="n">
        <v>30</v>
      </c>
      <c r="C417" s="30" t="n">
        <v>85</v>
      </c>
      <c r="D417" s="30" t="n">
        <v>2</v>
      </c>
      <c r="E417" s="6" t="n">
        <v>8</v>
      </c>
      <c r="F417" s="30" t="n">
        <v>1.5</v>
      </c>
      <c r="G417" s="6" t="inlineStr">
        <is>
          <t>Non</t>
        </is>
      </c>
      <c r="H417" s="6" t="inlineStr">
        <is>
          <t>OFF</t>
        </is>
      </c>
      <c r="I417" s="31" t="n">
        <v>718.2417398266504</v>
      </c>
      <c r="J417" s="31" t="n">
        <v>2366.073881799197</v>
      </c>
      <c r="K417" s="31" t="n">
        <v>1847.222222222222</v>
      </c>
      <c r="L417" s="31" t="n">
        <v>150</v>
      </c>
      <c r="M417" s="31">
        <f>I417+J417+K417+L417</f>
        <v/>
      </c>
      <c r="N417" s="31">
        <f>M417*'Dashboard &amp; Optimisation'!$B$18/('Dashboard &amp; Optimisation'!$B$16/3.6)</f>
        <v/>
      </c>
      <c r="O417" s="31" t="n">
        <v>591.0415314916435</v>
      </c>
      <c r="P417" s="32" t="n">
        <v>0.2581050712726274</v>
      </c>
      <c r="Q417" s="33" t="n">
        <v>15.65241237106734</v>
      </c>
      <c r="R417" s="31" t="n">
        <v>777.8752262370454</v>
      </c>
      <c r="S417" s="31">
        <f>R417*IF(A417=4, 2.0, 3.0)</f>
        <v/>
      </c>
      <c r="T417" s="30">
        <f>'Dashboard &amp; Optimisation'!$B$18*U417</f>
        <v/>
      </c>
      <c r="U417" s="34">
        <f>MIN(1, S417/M417)</f>
        <v/>
      </c>
      <c r="V417" s="34">
        <f>N417/(N417+O417)</f>
        <v/>
      </c>
      <c r="W417" s="34">
        <f>U417*V417</f>
        <v/>
      </c>
      <c r="X417" s="32">
        <f>T417/N417</f>
        <v/>
      </c>
      <c r="Y417" s="35">
        <f>IF(W417=MAXIFS(W$2:W$3601, A$2:A$3601, A417, B$2:B$3601, B417), "OPTIMAL", "")</f>
        <v/>
      </c>
    </row>
    <row r="418" ht="20" customHeight="1">
      <c r="A418" s="21" t="n">
        <v>4</v>
      </c>
      <c r="B418" s="21" t="n">
        <v>30</v>
      </c>
      <c r="C418" s="22" t="n">
        <v>85</v>
      </c>
      <c r="D418" s="22" t="n">
        <v>2</v>
      </c>
      <c r="E418" s="23" t="n">
        <v>8</v>
      </c>
      <c r="F418" s="22" t="n">
        <v>2</v>
      </c>
      <c r="G418" s="23" t="inlineStr">
        <is>
          <t>Oui</t>
        </is>
      </c>
      <c r="H418" s="23" t="inlineStr">
        <is>
          <t>ON</t>
        </is>
      </c>
      <c r="I418" s="24" t="n">
        <v>718.2417398266504</v>
      </c>
      <c r="J418" s="24" t="n">
        <v>2366.073881799197</v>
      </c>
      <c r="K418" s="24" t="n">
        <v>1847.222222222222</v>
      </c>
      <c r="L418" s="24" t="n">
        <v>150</v>
      </c>
      <c r="M418" s="24">
        <f>I418+J418+K418+L418</f>
        <v/>
      </c>
      <c r="N418" s="24">
        <f>M418*'Dashboard &amp; Optimisation'!$B$18/('Dashboard &amp; Optimisation'!$B$16/3.6)</f>
        <v/>
      </c>
      <c r="O418" s="24" t="n">
        <v>713.2232660158103</v>
      </c>
      <c r="P418" s="25" t="n">
        <v>0.0588807326139491</v>
      </c>
      <c r="Q418" s="26" t="n">
        <v>20.80321649475646</v>
      </c>
      <c r="R418" s="24" t="n">
        <v>3505.185506082377</v>
      </c>
      <c r="S418" s="24">
        <f>R418*IF(A418=4, 2.0, 3.0)</f>
        <v/>
      </c>
      <c r="T418" s="22">
        <f>'Dashboard &amp; Optimisation'!$B$18*U418</f>
        <v/>
      </c>
      <c r="U418" s="27">
        <f>MIN(1, S418/M418)</f>
        <v/>
      </c>
      <c r="V418" s="27">
        <f>N418/(N418+O418)</f>
        <v/>
      </c>
      <c r="W418" s="27">
        <f>U418*V418</f>
        <v/>
      </c>
      <c r="X418" s="25">
        <f>T418/N418</f>
        <v/>
      </c>
      <c r="Y418" s="28">
        <f>IF(W418=MAXIFS(W$2:W$3601, A$2:A$3601, A418, B$2:B$3601, B418), "OPTIMAL", "")</f>
        <v/>
      </c>
    </row>
    <row r="419" ht="20" customHeight="1">
      <c r="A419" s="29" t="n">
        <v>4</v>
      </c>
      <c r="B419" s="29" t="n">
        <v>30</v>
      </c>
      <c r="C419" s="30" t="n">
        <v>85</v>
      </c>
      <c r="D419" s="30" t="n">
        <v>2</v>
      </c>
      <c r="E419" s="6" t="n">
        <v>8</v>
      </c>
      <c r="F419" s="30" t="n">
        <v>2</v>
      </c>
      <c r="G419" s="6" t="inlineStr">
        <is>
          <t>Oui</t>
        </is>
      </c>
      <c r="H419" s="6" t="inlineStr">
        <is>
          <t>OFF</t>
        </is>
      </c>
      <c r="I419" s="31" t="n">
        <v>718.2417398266504</v>
      </c>
      <c r="J419" s="31" t="n">
        <v>2366.073881799197</v>
      </c>
      <c r="K419" s="31" t="n">
        <v>1847.222222222222</v>
      </c>
      <c r="L419" s="31" t="n">
        <v>150</v>
      </c>
      <c r="M419" s="31">
        <f>I419+J419+K419+L419</f>
        <v/>
      </c>
      <c r="N419" s="31">
        <f>M419*'Dashboard &amp; Optimisation'!$B$18/('Dashboard &amp; Optimisation'!$B$16/3.6)</f>
        <v/>
      </c>
      <c r="O419" s="31" t="n">
        <v>713.2232660158103</v>
      </c>
      <c r="P419" s="32" t="n">
        <v>0.2625350412538471</v>
      </c>
      <c r="Q419" s="33" t="n">
        <v>20.80321649475646</v>
      </c>
      <c r="R419" s="31" t="n">
        <v>786.134641532931</v>
      </c>
      <c r="S419" s="31">
        <f>R419*IF(A419=4, 2.0, 3.0)</f>
        <v/>
      </c>
      <c r="T419" s="30">
        <f>'Dashboard &amp; Optimisation'!$B$18*U419</f>
        <v/>
      </c>
      <c r="U419" s="34">
        <f>MIN(1, S419/M419)</f>
        <v/>
      </c>
      <c r="V419" s="34">
        <f>N419/(N419+O419)</f>
        <v/>
      </c>
      <c r="W419" s="34">
        <f>U419*V419</f>
        <v/>
      </c>
      <c r="X419" s="32">
        <f>T419/N419</f>
        <v/>
      </c>
      <c r="Y419" s="35">
        <f>IF(W419=MAXIFS(W$2:W$3601, A$2:A$3601, A419, B$2:B$3601, B419), "OPTIMAL", "")</f>
        <v/>
      </c>
    </row>
    <row r="420" ht="20" customHeight="1">
      <c r="A420" s="21" t="n">
        <v>4</v>
      </c>
      <c r="B420" s="21" t="n">
        <v>30</v>
      </c>
      <c r="C420" s="22" t="n">
        <v>85</v>
      </c>
      <c r="D420" s="22" t="n">
        <v>2</v>
      </c>
      <c r="E420" s="23" t="n">
        <v>8</v>
      </c>
      <c r="F420" s="22" t="n">
        <v>2</v>
      </c>
      <c r="G420" s="23" t="inlineStr">
        <is>
          <t>Non</t>
        </is>
      </c>
      <c r="H420" s="23" t="inlineStr">
        <is>
          <t>ON</t>
        </is>
      </c>
      <c r="I420" s="24" t="n">
        <v>718.2417398266504</v>
      </c>
      <c r="J420" s="24" t="n">
        <v>2366.073881799197</v>
      </c>
      <c r="K420" s="24" t="n">
        <v>1847.222222222222</v>
      </c>
      <c r="L420" s="24" t="n">
        <v>150</v>
      </c>
      <c r="M420" s="24">
        <f>I420+J420+K420+L420</f>
        <v/>
      </c>
      <c r="N420" s="24">
        <f>M420*'Dashboard &amp; Optimisation'!$B$18/('Dashboard &amp; Optimisation'!$B$16/3.6)</f>
        <v/>
      </c>
      <c r="O420" s="24" t="n">
        <v>713.2232660158103</v>
      </c>
      <c r="P420" s="25" t="n">
        <v>0.05513591042355157</v>
      </c>
      <c r="Q420" s="26" t="n">
        <v>20.80321649475646</v>
      </c>
      <c r="R420" s="24" t="n">
        <v>3743.257143311209</v>
      </c>
      <c r="S420" s="24">
        <f>R420*IF(A420=4, 2.0, 3.0)</f>
        <v/>
      </c>
      <c r="T420" s="22">
        <f>'Dashboard &amp; Optimisation'!$B$18*U420</f>
        <v/>
      </c>
      <c r="U420" s="27">
        <f>MIN(1, S420/M420)</f>
        <v/>
      </c>
      <c r="V420" s="27">
        <f>N420/(N420+O420)</f>
        <v/>
      </c>
      <c r="W420" s="27">
        <f>U420*V420</f>
        <v/>
      </c>
      <c r="X420" s="25">
        <f>T420/N420</f>
        <v/>
      </c>
      <c r="Y420" s="28">
        <f>IF(W420=MAXIFS(W$2:W$3601, A$2:A$3601, A420, B$2:B$3601, B420), "OPTIMAL", "")</f>
        <v/>
      </c>
    </row>
    <row r="421" ht="20" customHeight="1">
      <c r="A421" s="29" t="n">
        <v>4</v>
      </c>
      <c r="B421" s="29" t="n">
        <v>30</v>
      </c>
      <c r="C421" s="30" t="n">
        <v>85</v>
      </c>
      <c r="D421" s="30" t="n">
        <v>2</v>
      </c>
      <c r="E421" s="6" t="n">
        <v>8</v>
      </c>
      <c r="F421" s="30" t="n">
        <v>2</v>
      </c>
      <c r="G421" s="6" t="inlineStr">
        <is>
          <t>Non</t>
        </is>
      </c>
      <c r="H421" s="6" t="inlineStr">
        <is>
          <t>OFF</t>
        </is>
      </c>
      <c r="I421" s="31" t="n">
        <v>718.2417398266504</v>
      </c>
      <c r="J421" s="31" t="n">
        <v>2366.073881799197</v>
      </c>
      <c r="K421" s="31" t="n">
        <v>1847.222222222222</v>
      </c>
      <c r="L421" s="31" t="n">
        <v>150</v>
      </c>
      <c r="M421" s="31">
        <f>I421+J421+K421+L421</f>
        <v/>
      </c>
      <c r="N421" s="31">
        <f>M421*'Dashboard &amp; Optimisation'!$B$18/('Dashboard &amp; Optimisation'!$B$16/3.6)</f>
        <v/>
      </c>
      <c r="O421" s="31" t="n">
        <v>713.2232660158103</v>
      </c>
      <c r="P421" s="32" t="n">
        <v>0.2587902190634496</v>
      </c>
      <c r="Q421" s="33" t="n">
        <v>20.80321649475646</v>
      </c>
      <c r="R421" s="31" t="n">
        <v>797.5103977763728</v>
      </c>
      <c r="S421" s="31">
        <f>R421*IF(A421=4, 2.0, 3.0)</f>
        <v/>
      </c>
      <c r="T421" s="30">
        <f>'Dashboard &amp; Optimisation'!$B$18*U421</f>
        <v/>
      </c>
      <c r="U421" s="34">
        <f>MIN(1, S421/M421)</f>
        <v/>
      </c>
      <c r="V421" s="34">
        <f>N421/(N421+O421)</f>
        <v/>
      </c>
      <c r="W421" s="34">
        <f>U421*V421</f>
        <v/>
      </c>
      <c r="X421" s="32">
        <f>T421/N421</f>
        <v/>
      </c>
      <c r="Y421" s="35">
        <f>IF(W421=MAXIFS(W$2:W$3601, A$2:A$3601, A421, B$2:B$3601, B421), "OPTIMAL", "")</f>
        <v/>
      </c>
    </row>
    <row r="422" ht="20" customHeight="1">
      <c r="A422" s="21" t="n">
        <v>4</v>
      </c>
      <c r="B422" s="21" t="n">
        <v>30</v>
      </c>
      <c r="C422" s="22" t="n">
        <v>85</v>
      </c>
      <c r="D422" s="22" t="n">
        <v>3</v>
      </c>
      <c r="E422" s="23" t="n">
        <v>0</v>
      </c>
      <c r="F422" s="22" t="n">
        <v>0</v>
      </c>
      <c r="G422" s="23" t="inlineStr">
        <is>
          <t>Oui</t>
        </is>
      </c>
      <c r="H422" s="23" t="inlineStr">
        <is>
          <t>ON</t>
        </is>
      </c>
      <c r="I422" s="24" t="n">
        <v>718.2417398266504</v>
      </c>
      <c r="J422" s="24" t="n">
        <v>2366.073881799197</v>
      </c>
      <c r="K422" s="24" t="n">
        <v>1847.222222222222</v>
      </c>
      <c r="L422" s="24" t="n">
        <v>150</v>
      </c>
      <c r="M422" s="24">
        <f>I422+J422+K422+L422</f>
        <v/>
      </c>
      <c r="N422" s="24">
        <f>M422*'Dashboard &amp; Optimisation'!$B$18/('Dashboard &amp; Optimisation'!$B$16/3.6)</f>
        <v/>
      </c>
      <c r="O422" s="24" t="n">
        <v>407.1935604146566</v>
      </c>
      <c r="P422" s="25" t="n">
        <v>0.4953095672830083</v>
      </c>
      <c r="Q422" s="26" t="n">
        <v>0.2</v>
      </c>
      <c r="R422" s="24" t="n">
        <v>393.981147210001</v>
      </c>
      <c r="S422" s="24">
        <f>R422*IF(A422=4, 2.0, 3.0)</f>
        <v/>
      </c>
      <c r="T422" s="22">
        <f>'Dashboard &amp; Optimisation'!$B$18*U422</f>
        <v/>
      </c>
      <c r="U422" s="27">
        <f>MIN(1, S422/M422)</f>
        <v/>
      </c>
      <c r="V422" s="27">
        <f>N422/(N422+O422)</f>
        <v/>
      </c>
      <c r="W422" s="27">
        <f>U422*V422</f>
        <v/>
      </c>
      <c r="X422" s="25">
        <f>T422/N422</f>
        <v/>
      </c>
      <c r="Y422" s="28">
        <f>IF(W422=MAXIFS(W$2:W$3601, A$2:A$3601, A422, B$2:B$3601, B422), "OPTIMAL", "")</f>
        <v/>
      </c>
    </row>
    <row r="423" ht="20" customHeight="1">
      <c r="A423" s="29" t="n">
        <v>4</v>
      </c>
      <c r="B423" s="29" t="n">
        <v>30</v>
      </c>
      <c r="C423" s="30" t="n">
        <v>85</v>
      </c>
      <c r="D423" s="30" t="n">
        <v>3</v>
      </c>
      <c r="E423" s="6" t="n">
        <v>0</v>
      </c>
      <c r="F423" s="30" t="n">
        <v>0</v>
      </c>
      <c r="G423" s="6" t="inlineStr">
        <is>
          <t>Oui</t>
        </is>
      </c>
      <c r="H423" s="6" t="inlineStr">
        <is>
          <t>OFF</t>
        </is>
      </c>
      <c r="I423" s="31" t="n">
        <v>718.2417398266504</v>
      </c>
      <c r="J423" s="31" t="n">
        <v>2366.073881799197</v>
      </c>
      <c r="K423" s="31" t="n">
        <v>1847.222222222222</v>
      </c>
      <c r="L423" s="31" t="n">
        <v>150</v>
      </c>
      <c r="M423" s="31">
        <f>I423+J423+K423+L423</f>
        <v/>
      </c>
      <c r="N423" s="31">
        <f>M423*'Dashboard &amp; Optimisation'!$B$18/('Dashboard &amp; Optimisation'!$B$16/3.6)</f>
        <v/>
      </c>
      <c r="O423" s="31" t="n">
        <v>407.1935604146566</v>
      </c>
      <c r="P423" s="32" t="n">
        <v>0.869791786322762</v>
      </c>
      <c r="Q423" s="33" t="n">
        <v>0.2</v>
      </c>
      <c r="R423" s="31" t="n">
        <v>224.3555694716981</v>
      </c>
      <c r="S423" s="31">
        <f>R423*IF(A423=4, 2.0, 3.0)</f>
        <v/>
      </c>
      <c r="T423" s="30">
        <f>'Dashboard &amp; Optimisation'!$B$18*U423</f>
        <v/>
      </c>
      <c r="U423" s="34">
        <f>MIN(1, S423/M423)</f>
        <v/>
      </c>
      <c r="V423" s="34">
        <f>N423/(N423+O423)</f>
        <v/>
      </c>
      <c r="W423" s="34">
        <f>U423*V423</f>
        <v/>
      </c>
      <c r="X423" s="32">
        <f>T423/N423</f>
        <v/>
      </c>
      <c r="Y423" s="35">
        <f>IF(W423=MAXIFS(W$2:W$3601, A$2:A$3601, A423, B$2:B$3601, B423), "OPTIMAL", "")</f>
        <v/>
      </c>
    </row>
    <row r="424" ht="20" customHeight="1">
      <c r="A424" s="21" t="n">
        <v>4</v>
      </c>
      <c r="B424" s="21" t="n">
        <v>30</v>
      </c>
      <c r="C424" s="22" t="n">
        <v>85</v>
      </c>
      <c r="D424" s="22" t="n">
        <v>3</v>
      </c>
      <c r="E424" s="23" t="n">
        <v>0</v>
      </c>
      <c r="F424" s="22" t="n">
        <v>0</v>
      </c>
      <c r="G424" s="23" t="inlineStr">
        <is>
          <t>Non</t>
        </is>
      </c>
      <c r="H424" s="23" t="inlineStr">
        <is>
          <t>ON</t>
        </is>
      </c>
      <c r="I424" s="24" t="n">
        <v>718.2417398266504</v>
      </c>
      <c r="J424" s="24" t="n">
        <v>2366.073881799197</v>
      </c>
      <c r="K424" s="24" t="n">
        <v>1847.222222222222</v>
      </c>
      <c r="L424" s="24" t="n">
        <v>150</v>
      </c>
      <c r="M424" s="24">
        <f>I424+J424+K424+L424</f>
        <v/>
      </c>
      <c r="N424" s="24">
        <f>M424*'Dashboard &amp; Optimisation'!$B$18/('Dashboard &amp; Optimisation'!$B$16/3.6)</f>
        <v/>
      </c>
      <c r="O424" s="24" t="n">
        <v>407.1935604146566</v>
      </c>
      <c r="P424" s="25" t="n">
        <v>0.4915647450926108</v>
      </c>
      <c r="Q424" s="26" t="n">
        <v>0.2</v>
      </c>
      <c r="R424" s="24" t="n">
        <v>396.9825612808826</v>
      </c>
      <c r="S424" s="24">
        <f>R424*IF(A424=4, 2.0, 3.0)</f>
        <v/>
      </c>
      <c r="T424" s="22">
        <f>'Dashboard &amp; Optimisation'!$B$18*U424</f>
        <v/>
      </c>
      <c r="U424" s="27">
        <f>MIN(1, S424/M424)</f>
        <v/>
      </c>
      <c r="V424" s="27">
        <f>N424/(N424+O424)</f>
        <v/>
      </c>
      <c r="W424" s="27">
        <f>U424*V424</f>
        <v/>
      </c>
      <c r="X424" s="25">
        <f>T424/N424</f>
        <v/>
      </c>
      <c r="Y424" s="28">
        <f>IF(W424=MAXIFS(W$2:W$3601, A$2:A$3601, A424, B$2:B$3601, B424), "OPTIMAL", "")</f>
        <v/>
      </c>
    </row>
    <row r="425" ht="20" customHeight="1">
      <c r="A425" s="29" t="n">
        <v>4</v>
      </c>
      <c r="B425" s="29" t="n">
        <v>30</v>
      </c>
      <c r="C425" s="30" t="n">
        <v>85</v>
      </c>
      <c r="D425" s="30" t="n">
        <v>3</v>
      </c>
      <c r="E425" s="6" t="n">
        <v>0</v>
      </c>
      <c r="F425" s="30" t="n">
        <v>0</v>
      </c>
      <c r="G425" s="6" t="inlineStr">
        <is>
          <t>Non</t>
        </is>
      </c>
      <c r="H425" s="6" t="inlineStr">
        <is>
          <t>OFF</t>
        </is>
      </c>
      <c r="I425" s="31" t="n">
        <v>718.2417398266504</v>
      </c>
      <c r="J425" s="31" t="n">
        <v>2366.073881799197</v>
      </c>
      <c r="K425" s="31" t="n">
        <v>1847.222222222222</v>
      </c>
      <c r="L425" s="31" t="n">
        <v>150</v>
      </c>
      <c r="M425" s="31">
        <f>I425+J425+K425+L425</f>
        <v/>
      </c>
      <c r="N425" s="31">
        <f>M425*'Dashboard &amp; Optimisation'!$B$18/('Dashboard &amp; Optimisation'!$B$16/3.6)</f>
        <v/>
      </c>
      <c r="O425" s="31" t="n">
        <v>407.1935604146566</v>
      </c>
      <c r="P425" s="32" t="n">
        <v>0.8660469641323645</v>
      </c>
      <c r="Q425" s="33" t="n">
        <v>0.2</v>
      </c>
      <c r="R425" s="31" t="n">
        <v>225.3256920515268</v>
      </c>
      <c r="S425" s="31">
        <f>R425*IF(A425=4, 2.0, 3.0)</f>
        <v/>
      </c>
      <c r="T425" s="30">
        <f>'Dashboard &amp; Optimisation'!$B$18*U425</f>
        <v/>
      </c>
      <c r="U425" s="34">
        <f>MIN(1, S425/M425)</f>
        <v/>
      </c>
      <c r="V425" s="34">
        <f>N425/(N425+O425)</f>
        <v/>
      </c>
      <c r="W425" s="34">
        <f>U425*V425</f>
        <v/>
      </c>
      <c r="X425" s="32">
        <f>T425/N425</f>
        <v/>
      </c>
      <c r="Y425" s="35">
        <f>IF(W425=MAXIFS(W$2:W$3601, A$2:A$3601, A425, B$2:B$3601, B425), "OPTIMAL", "")</f>
        <v/>
      </c>
    </row>
    <row r="426" ht="20" customHeight="1">
      <c r="A426" s="21" t="n">
        <v>4</v>
      </c>
      <c r="B426" s="21" t="n">
        <v>30</v>
      </c>
      <c r="C426" s="22" t="n">
        <v>85</v>
      </c>
      <c r="D426" s="22" t="n">
        <v>3</v>
      </c>
      <c r="E426" s="23" t="n">
        <v>4</v>
      </c>
      <c r="F426" s="22" t="n">
        <v>1.5</v>
      </c>
      <c r="G426" s="23" t="inlineStr">
        <is>
          <t>Oui</t>
        </is>
      </c>
      <c r="H426" s="23" t="inlineStr">
        <is>
          <t>ON</t>
        </is>
      </c>
      <c r="I426" s="24" t="n">
        <v>718.2417398266504</v>
      </c>
      <c r="J426" s="24" t="n">
        <v>2366.073881799197</v>
      </c>
      <c r="K426" s="24" t="n">
        <v>1847.222222222222</v>
      </c>
      <c r="L426" s="24" t="n">
        <v>150</v>
      </c>
      <c r="M426" s="24">
        <f>I426+J426+K426+L426</f>
        <v/>
      </c>
      <c r="N426" s="24">
        <f>M426*'Dashboard &amp; Optimisation'!$B$18/('Dashboard &amp; Optimisation'!$B$16/3.6)</f>
        <v/>
      </c>
      <c r="O426" s="24" t="n">
        <v>576.822532275886</v>
      </c>
      <c r="P426" s="25" t="n">
        <v>0.07960669836162382</v>
      </c>
      <c r="Q426" s="26" t="n">
        <v>8.12180634212946</v>
      </c>
      <c r="R426" s="24" t="n">
        <v>2549.968885616076</v>
      </c>
      <c r="S426" s="24">
        <f>R426*IF(A426=4, 2.0, 3.0)</f>
        <v/>
      </c>
      <c r="T426" s="22">
        <f>'Dashboard &amp; Optimisation'!$B$18*U426</f>
        <v/>
      </c>
      <c r="U426" s="27">
        <f>MIN(1, S426/M426)</f>
        <v/>
      </c>
      <c r="V426" s="27">
        <f>N426/(N426+O426)</f>
        <v/>
      </c>
      <c r="W426" s="27">
        <f>U426*V426</f>
        <v/>
      </c>
      <c r="X426" s="25">
        <f>T426/N426</f>
        <v/>
      </c>
      <c r="Y426" s="28">
        <f>IF(W426=MAXIFS(W$2:W$3601, A$2:A$3601, A426, B$2:B$3601, B426), "OPTIMAL", "")</f>
        <v/>
      </c>
    </row>
    <row r="427" ht="20" customHeight="1">
      <c r="A427" s="29" t="n">
        <v>4</v>
      </c>
      <c r="B427" s="29" t="n">
        <v>30</v>
      </c>
      <c r="C427" s="30" t="n">
        <v>85</v>
      </c>
      <c r="D427" s="30" t="n">
        <v>3</v>
      </c>
      <c r="E427" s="6" t="n">
        <v>4</v>
      </c>
      <c r="F427" s="30" t="n">
        <v>1.5</v>
      </c>
      <c r="G427" s="6" t="inlineStr">
        <is>
          <t>Oui</t>
        </is>
      </c>
      <c r="H427" s="6" t="inlineStr">
        <is>
          <t>OFF</t>
        </is>
      </c>
      <c r="I427" s="31" t="n">
        <v>718.2417398266504</v>
      </c>
      <c r="J427" s="31" t="n">
        <v>2366.073881799197</v>
      </c>
      <c r="K427" s="31" t="n">
        <v>1847.222222222222</v>
      </c>
      <c r="L427" s="31" t="n">
        <v>150</v>
      </c>
      <c r="M427" s="31">
        <f>I427+J427+K427+L427</f>
        <v/>
      </c>
      <c r="N427" s="31">
        <f>M427*'Dashboard &amp; Optimisation'!$B$18/('Dashboard &amp; Optimisation'!$B$16/3.6)</f>
        <v/>
      </c>
      <c r="O427" s="31" t="n">
        <v>576.822532275886</v>
      </c>
      <c r="P427" s="32" t="n">
        <v>0.3420549766963435</v>
      </c>
      <c r="Q427" s="33" t="n">
        <v>8.12180634212946</v>
      </c>
      <c r="R427" s="31" t="n">
        <v>593.4560750126778</v>
      </c>
      <c r="S427" s="31">
        <f>R427*IF(A427=4, 2.0, 3.0)</f>
        <v/>
      </c>
      <c r="T427" s="30">
        <f>'Dashboard &amp; Optimisation'!$B$18*U427</f>
        <v/>
      </c>
      <c r="U427" s="34">
        <f>MIN(1, S427/M427)</f>
        <v/>
      </c>
      <c r="V427" s="34">
        <f>N427/(N427+O427)</f>
        <v/>
      </c>
      <c r="W427" s="34">
        <f>U427*V427</f>
        <v/>
      </c>
      <c r="X427" s="32">
        <f>T427/N427</f>
        <v/>
      </c>
      <c r="Y427" s="35">
        <f>IF(W427=MAXIFS(W$2:W$3601, A$2:A$3601, A427, B$2:B$3601, B427), "OPTIMAL", "")</f>
        <v/>
      </c>
    </row>
    <row r="428" ht="20" customHeight="1">
      <c r="A428" s="21" t="n">
        <v>4</v>
      </c>
      <c r="B428" s="21" t="n">
        <v>30</v>
      </c>
      <c r="C428" s="22" t="n">
        <v>85</v>
      </c>
      <c r="D428" s="22" t="n">
        <v>3</v>
      </c>
      <c r="E428" s="23" t="n">
        <v>4</v>
      </c>
      <c r="F428" s="22" t="n">
        <v>1.5</v>
      </c>
      <c r="G428" s="23" t="inlineStr">
        <is>
          <t>Non</t>
        </is>
      </c>
      <c r="H428" s="23" t="inlineStr">
        <is>
          <t>ON</t>
        </is>
      </c>
      <c r="I428" s="24" t="n">
        <v>718.2417398266504</v>
      </c>
      <c r="J428" s="24" t="n">
        <v>2366.073881799197</v>
      </c>
      <c r="K428" s="24" t="n">
        <v>1847.222222222222</v>
      </c>
      <c r="L428" s="24" t="n">
        <v>150</v>
      </c>
      <c r="M428" s="24">
        <f>I428+J428+K428+L428</f>
        <v/>
      </c>
      <c r="N428" s="24">
        <f>M428*'Dashboard &amp; Optimisation'!$B$18/('Dashboard &amp; Optimisation'!$B$16/3.6)</f>
        <v/>
      </c>
      <c r="O428" s="24" t="n">
        <v>576.822532275886</v>
      </c>
      <c r="P428" s="25" t="n">
        <v>0.07586187617122628</v>
      </c>
      <c r="Q428" s="26" t="n">
        <v>8.12180634212946</v>
      </c>
      <c r="R428" s="24" t="n">
        <v>2675.844760951997</v>
      </c>
      <c r="S428" s="24">
        <f>R428*IF(A428=4, 2.0, 3.0)</f>
        <v/>
      </c>
      <c r="T428" s="22">
        <f>'Dashboard &amp; Optimisation'!$B$18*U428</f>
        <v/>
      </c>
      <c r="U428" s="27">
        <f>MIN(1, S428/M428)</f>
        <v/>
      </c>
      <c r="V428" s="27">
        <f>N428/(N428+O428)</f>
        <v/>
      </c>
      <c r="W428" s="27">
        <f>U428*V428</f>
        <v/>
      </c>
      <c r="X428" s="25">
        <f>T428/N428</f>
        <v/>
      </c>
      <c r="Y428" s="28">
        <f>IF(W428=MAXIFS(W$2:W$3601, A$2:A$3601, A428, B$2:B$3601, B428), "OPTIMAL", "")</f>
        <v/>
      </c>
    </row>
    <row r="429" ht="20" customHeight="1">
      <c r="A429" s="29" t="n">
        <v>4</v>
      </c>
      <c r="B429" s="29" t="n">
        <v>30</v>
      </c>
      <c r="C429" s="30" t="n">
        <v>85</v>
      </c>
      <c r="D429" s="30" t="n">
        <v>3</v>
      </c>
      <c r="E429" s="6" t="n">
        <v>4</v>
      </c>
      <c r="F429" s="30" t="n">
        <v>1.5</v>
      </c>
      <c r="G429" s="6" t="inlineStr">
        <is>
          <t>Non</t>
        </is>
      </c>
      <c r="H429" s="6" t="inlineStr">
        <is>
          <t>OFF</t>
        </is>
      </c>
      <c r="I429" s="31" t="n">
        <v>718.2417398266504</v>
      </c>
      <c r="J429" s="31" t="n">
        <v>2366.073881799197</v>
      </c>
      <c r="K429" s="31" t="n">
        <v>1847.222222222222</v>
      </c>
      <c r="L429" s="31" t="n">
        <v>150</v>
      </c>
      <c r="M429" s="31">
        <f>I429+J429+K429+L429</f>
        <v/>
      </c>
      <c r="N429" s="31">
        <f>M429*'Dashboard &amp; Optimisation'!$B$18/('Dashboard &amp; Optimisation'!$B$16/3.6)</f>
        <v/>
      </c>
      <c r="O429" s="31" t="n">
        <v>576.822532275886</v>
      </c>
      <c r="P429" s="32" t="n">
        <v>0.338310154505946</v>
      </c>
      <c r="Q429" s="33" t="n">
        <v>8.12180634212946</v>
      </c>
      <c r="R429" s="31" t="n">
        <v>600.0251579950647</v>
      </c>
      <c r="S429" s="31">
        <f>R429*IF(A429=4, 2.0, 3.0)</f>
        <v/>
      </c>
      <c r="T429" s="30">
        <f>'Dashboard &amp; Optimisation'!$B$18*U429</f>
        <v/>
      </c>
      <c r="U429" s="34">
        <f>MIN(1, S429/M429)</f>
        <v/>
      </c>
      <c r="V429" s="34">
        <f>N429/(N429+O429)</f>
        <v/>
      </c>
      <c r="W429" s="34">
        <f>U429*V429</f>
        <v/>
      </c>
      <c r="X429" s="32">
        <f>T429/N429</f>
        <v/>
      </c>
      <c r="Y429" s="35">
        <f>IF(W429=MAXIFS(W$2:W$3601, A$2:A$3601, A429, B$2:B$3601, B429), "OPTIMAL", "")</f>
        <v/>
      </c>
    </row>
    <row r="430" ht="20" customHeight="1">
      <c r="A430" s="21" t="n">
        <v>4</v>
      </c>
      <c r="B430" s="21" t="n">
        <v>30</v>
      </c>
      <c r="C430" s="22" t="n">
        <v>85</v>
      </c>
      <c r="D430" s="22" t="n">
        <v>3</v>
      </c>
      <c r="E430" s="23" t="n">
        <v>4</v>
      </c>
      <c r="F430" s="22" t="n">
        <v>2</v>
      </c>
      <c r="G430" s="23" t="inlineStr">
        <is>
          <t>Oui</t>
        </is>
      </c>
      <c r="H430" s="23" t="inlineStr">
        <is>
          <t>ON</t>
        </is>
      </c>
      <c r="I430" s="24" t="n">
        <v>718.2417398266504</v>
      </c>
      <c r="J430" s="24" t="n">
        <v>2366.073881799197</v>
      </c>
      <c r="K430" s="24" t="n">
        <v>1847.222222222222</v>
      </c>
      <c r="L430" s="24" t="n">
        <v>150</v>
      </c>
      <c r="M430" s="24">
        <f>I430+J430+K430+L430</f>
        <v/>
      </c>
      <c r="N430" s="24">
        <f>M430*'Dashboard &amp; Optimisation'!$B$18/('Dashboard &amp; Optimisation'!$B$16/3.6)</f>
        <v/>
      </c>
      <c r="O430" s="24" t="n">
        <v>636.4402632568997</v>
      </c>
      <c r="P430" s="25" t="n">
        <v>0.07745426381627818</v>
      </c>
      <c r="Q430" s="26" t="n">
        <v>10.76240845617261</v>
      </c>
      <c r="R430" s="24" t="n">
        <v>2656.461308336181</v>
      </c>
      <c r="S430" s="24">
        <f>R430*IF(A430=4, 2.0, 3.0)</f>
        <v/>
      </c>
      <c r="T430" s="22">
        <f>'Dashboard &amp; Optimisation'!$B$18*U430</f>
        <v/>
      </c>
      <c r="U430" s="27">
        <f>MIN(1, S430/M430)</f>
        <v/>
      </c>
      <c r="V430" s="27">
        <f>N430/(N430+O430)</f>
        <v/>
      </c>
      <c r="W430" s="27">
        <f>U430*V430</f>
        <v/>
      </c>
      <c r="X430" s="25">
        <f>T430/N430</f>
        <v/>
      </c>
      <c r="Y430" s="28">
        <f>IF(W430=MAXIFS(W$2:W$3601, A$2:A$3601, A430, B$2:B$3601, B430), "OPTIMAL", "")</f>
        <v/>
      </c>
    </row>
    <row r="431" ht="20" customHeight="1">
      <c r="A431" s="29" t="n">
        <v>4</v>
      </c>
      <c r="B431" s="29" t="n">
        <v>30</v>
      </c>
      <c r="C431" s="30" t="n">
        <v>85</v>
      </c>
      <c r="D431" s="30" t="n">
        <v>3</v>
      </c>
      <c r="E431" s="6" t="n">
        <v>4</v>
      </c>
      <c r="F431" s="30" t="n">
        <v>2</v>
      </c>
      <c r="G431" s="6" t="inlineStr">
        <is>
          <t>Oui</t>
        </is>
      </c>
      <c r="H431" s="6" t="inlineStr">
        <is>
          <t>OFF</t>
        </is>
      </c>
      <c r="I431" s="31" t="n">
        <v>718.2417398266504</v>
      </c>
      <c r="J431" s="31" t="n">
        <v>2366.073881799197</v>
      </c>
      <c r="K431" s="31" t="n">
        <v>1847.222222222222</v>
      </c>
      <c r="L431" s="31" t="n">
        <v>150</v>
      </c>
      <c r="M431" s="31">
        <f>I431+J431+K431+L431</f>
        <v/>
      </c>
      <c r="N431" s="31">
        <f>M431*'Dashboard &amp; Optimisation'!$B$18/('Dashboard &amp; Optimisation'!$B$16/3.6)</f>
        <v/>
      </c>
      <c r="O431" s="31" t="n">
        <v>636.4402632568997</v>
      </c>
      <c r="P431" s="32" t="n">
        <v>0.3412849921114681</v>
      </c>
      <c r="Q431" s="33" t="n">
        <v>10.76240845617261</v>
      </c>
      <c r="R431" s="31" t="n">
        <v>602.8810517586546</v>
      </c>
      <c r="S431" s="31">
        <f>R431*IF(A431=4, 2.0, 3.0)</f>
        <v/>
      </c>
      <c r="T431" s="30">
        <f>'Dashboard &amp; Optimisation'!$B$18*U431</f>
        <v/>
      </c>
      <c r="U431" s="34">
        <f>MIN(1, S431/M431)</f>
        <v/>
      </c>
      <c r="V431" s="34">
        <f>N431/(N431+O431)</f>
        <v/>
      </c>
      <c r="W431" s="34">
        <f>U431*V431</f>
        <v/>
      </c>
      <c r="X431" s="32">
        <f>T431/N431</f>
        <v/>
      </c>
      <c r="Y431" s="35">
        <f>IF(W431=MAXIFS(W$2:W$3601, A$2:A$3601, A431, B$2:B$3601, B431), "OPTIMAL", "")</f>
        <v/>
      </c>
    </row>
    <row r="432" ht="20" customHeight="1">
      <c r="A432" s="21" t="n">
        <v>4</v>
      </c>
      <c r="B432" s="21" t="n">
        <v>30</v>
      </c>
      <c r="C432" s="22" t="n">
        <v>85</v>
      </c>
      <c r="D432" s="22" t="n">
        <v>3</v>
      </c>
      <c r="E432" s="23" t="n">
        <v>4</v>
      </c>
      <c r="F432" s="22" t="n">
        <v>2</v>
      </c>
      <c r="G432" s="23" t="inlineStr">
        <is>
          <t>Non</t>
        </is>
      </c>
      <c r="H432" s="23" t="inlineStr">
        <is>
          <t>ON</t>
        </is>
      </c>
      <c r="I432" s="24" t="n">
        <v>718.2417398266504</v>
      </c>
      <c r="J432" s="24" t="n">
        <v>2366.073881799197</v>
      </c>
      <c r="K432" s="24" t="n">
        <v>1847.222222222222</v>
      </c>
      <c r="L432" s="24" t="n">
        <v>150</v>
      </c>
      <c r="M432" s="24">
        <f>I432+J432+K432+L432</f>
        <v/>
      </c>
      <c r="N432" s="24">
        <f>M432*'Dashboard &amp; Optimisation'!$B$18/('Dashboard &amp; Optimisation'!$B$16/3.6)</f>
        <v/>
      </c>
      <c r="O432" s="24" t="n">
        <v>636.4402632568997</v>
      </c>
      <c r="P432" s="25" t="n">
        <v>0.07370944162588064</v>
      </c>
      <c r="Q432" s="26" t="n">
        <v>10.76240845617261</v>
      </c>
      <c r="R432" s="24" t="n">
        <v>2791.423329970828</v>
      </c>
      <c r="S432" s="24">
        <f>R432*IF(A432=4, 2.0, 3.0)</f>
        <v/>
      </c>
      <c r="T432" s="22">
        <f>'Dashboard &amp; Optimisation'!$B$18*U432</f>
        <v/>
      </c>
      <c r="U432" s="27">
        <f>MIN(1, S432/M432)</f>
        <v/>
      </c>
      <c r="V432" s="27">
        <f>N432/(N432+O432)</f>
        <v/>
      </c>
      <c r="W432" s="27">
        <f>U432*V432</f>
        <v/>
      </c>
      <c r="X432" s="25">
        <f>T432/N432</f>
        <v/>
      </c>
      <c r="Y432" s="28">
        <f>IF(W432=MAXIFS(W$2:W$3601, A$2:A$3601, A432, B$2:B$3601, B432), "OPTIMAL", "")</f>
        <v/>
      </c>
    </row>
    <row r="433" ht="20" customHeight="1">
      <c r="A433" s="29" t="n">
        <v>4</v>
      </c>
      <c r="B433" s="29" t="n">
        <v>30</v>
      </c>
      <c r="C433" s="30" t="n">
        <v>85</v>
      </c>
      <c r="D433" s="30" t="n">
        <v>3</v>
      </c>
      <c r="E433" s="6" t="n">
        <v>4</v>
      </c>
      <c r="F433" s="30" t="n">
        <v>2</v>
      </c>
      <c r="G433" s="6" t="inlineStr">
        <is>
          <t>Non</t>
        </is>
      </c>
      <c r="H433" s="6" t="inlineStr">
        <is>
          <t>OFF</t>
        </is>
      </c>
      <c r="I433" s="31" t="n">
        <v>718.2417398266504</v>
      </c>
      <c r="J433" s="31" t="n">
        <v>2366.073881799197</v>
      </c>
      <c r="K433" s="31" t="n">
        <v>1847.222222222222</v>
      </c>
      <c r="L433" s="31" t="n">
        <v>150</v>
      </c>
      <c r="M433" s="31">
        <f>I433+J433+K433+L433</f>
        <v/>
      </c>
      <c r="N433" s="31">
        <f>M433*'Dashboard &amp; Optimisation'!$B$18/('Dashboard &amp; Optimisation'!$B$16/3.6)</f>
        <v/>
      </c>
      <c r="O433" s="31" t="n">
        <v>636.4402632568997</v>
      </c>
      <c r="P433" s="32" t="n">
        <v>0.3375401699210706</v>
      </c>
      <c r="Q433" s="33" t="n">
        <v>10.76240845617261</v>
      </c>
      <c r="R433" s="31" t="n">
        <v>609.5696848221621</v>
      </c>
      <c r="S433" s="31">
        <f>R433*IF(A433=4, 2.0, 3.0)</f>
        <v/>
      </c>
      <c r="T433" s="30">
        <f>'Dashboard &amp; Optimisation'!$B$18*U433</f>
        <v/>
      </c>
      <c r="U433" s="34">
        <f>MIN(1, S433/M433)</f>
        <v/>
      </c>
      <c r="V433" s="34">
        <f>N433/(N433+O433)</f>
        <v/>
      </c>
      <c r="W433" s="34">
        <f>U433*V433</f>
        <v/>
      </c>
      <c r="X433" s="32">
        <f>T433/N433</f>
        <v/>
      </c>
      <c r="Y433" s="35">
        <f>IF(W433=MAXIFS(W$2:W$3601, A$2:A$3601, A433, B$2:B$3601, B433), "OPTIMAL", "")</f>
        <v/>
      </c>
    </row>
    <row r="434" ht="20" customHeight="1">
      <c r="A434" s="21" t="n">
        <v>4</v>
      </c>
      <c r="B434" s="21" t="n">
        <v>30</v>
      </c>
      <c r="C434" s="22" t="n">
        <v>85</v>
      </c>
      <c r="D434" s="22" t="n">
        <v>3</v>
      </c>
      <c r="E434" s="23" t="n">
        <v>8</v>
      </c>
      <c r="F434" s="22" t="n">
        <v>1.5</v>
      </c>
      <c r="G434" s="23" t="inlineStr">
        <is>
          <t>Oui</t>
        </is>
      </c>
      <c r="H434" s="23" t="inlineStr">
        <is>
          <t>ON</t>
        </is>
      </c>
      <c r="I434" s="24" t="n">
        <v>718.2417398266504</v>
      </c>
      <c r="J434" s="24" t="n">
        <v>2366.073881799197</v>
      </c>
      <c r="K434" s="24" t="n">
        <v>1847.222222222222</v>
      </c>
      <c r="L434" s="24" t="n">
        <v>150</v>
      </c>
      <c r="M434" s="24">
        <f>I434+J434+K434+L434</f>
        <v/>
      </c>
      <c r="N434" s="24">
        <f>M434*'Dashboard &amp; Optimisation'!$B$18/('Dashboard &amp; Optimisation'!$B$16/3.6)</f>
        <v/>
      </c>
      <c r="O434" s="24" t="n">
        <v>760.6745519439489</v>
      </c>
      <c r="P434" s="25" t="n">
        <v>0.05973432874252066</v>
      </c>
      <c r="Q434" s="26" t="n">
        <v>16.04361268425892</v>
      </c>
      <c r="R434" s="24" t="n">
        <v>3540.760443846482</v>
      </c>
      <c r="S434" s="24">
        <f>R434*IF(A434=4, 2.0, 3.0)</f>
        <v/>
      </c>
      <c r="T434" s="22">
        <f>'Dashboard &amp; Optimisation'!$B$18*U434</f>
        <v/>
      </c>
      <c r="U434" s="27">
        <f>MIN(1, S434/M434)</f>
        <v/>
      </c>
      <c r="V434" s="27">
        <f>N434/(N434+O434)</f>
        <v/>
      </c>
      <c r="W434" s="27">
        <f>U434*V434</f>
        <v/>
      </c>
      <c r="X434" s="25">
        <f>T434/N434</f>
        <v/>
      </c>
      <c r="Y434" s="28">
        <f>IF(W434=MAXIFS(W$2:W$3601, A$2:A$3601, A434, B$2:B$3601, B434), "OPTIMAL", "")</f>
        <v/>
      </c>
    </row>
    <row r="435" ht="20" customHeight="1">
      <c r="A435" s="29" t="n">
        <v>4</v>
      </c>
      <c r="B435" s="29" t="n">
        <v>30</v>
      </c>
      <c r="C435" s="30" t="n">
        <v>85</v>
      </c>
      <c r="D435" s="30" t="n">
        <v>3</v>
      </c>
      <c r="E435" s="6" t="n">
        <v>8</v>
      </c>
      <c r="F435" s="30" t="n">
        <v>1.5</v>
      </c>
      <c r="G435" s="6" t="inlineStr">
        <is>
          <t>Oui</t>
        </is>
      </c>
      <c r="H435" s="6" t="inlineStr">
        <is>
          <t>OFF</t>
        </is>
      </c>
      <c r="I435" s="31" t="n">
        <v>718.2417398266504</v>
      </c>
      <c r="J435" s="31" t="n">
        <v>2366.073881799197</v>
      </c>
      <c r="K435" s="31" t="n">
        <v>1847.222222222222</v>
      </c>
      <c r="L435" s="31" t="n">
        <v>150</v>
      </c>
      <c r="M435" s="31">
        <f>I435+J435+K435+L435</f>
        <v/>
      </c>
      <c r="N435" s="31">
        <f>M435*'Dashboard &amp; Optimisation'!$B$18/('Dashboard &amp; Optimisation'!$B$16/3.6)</f>
        <v/>
      </c>
      <c r="O435" s="31" t="n">
        <v>760.6745519439489</v>
      </c>
      <c r="P435" s="32" t="n">
        <v>0.2617453366738331</v>
      </c>
      <c r="Q435" s="33" t="n">
        <v>16.04361268425892</v>
      </c>
      <c r="R435" s="31" t="n">
        <v>808.0562238050503</v>
      </c>
      <c r="S435" s="31">
        <f>R435*IF(A435=4, 2.0, 3.0)</f>
        <v/>
      </c>
      <c r="T435" s="30">
        <f>'Dashboard &amp; Optimisation'!$B$18*U435</f>
        <v/>
      </c>
      <c r="U435" s="34">
        <f>MIN(1, S435/M435)</f>
        <v/>
      </c>
      <c r="V435" s="34">
        <f>N435/(N435+O435)</f>
        <v/>
      </c>
      <c r="W435" s="34">
        <f>U435*V435</f>
        <v/>
      </c>
      <c r="X435" s="32">
        <f>T435/N435</f>
        <v/>
      </c>
      <c r="Y435" s="35">
        <f>IF(W435=MAXIFS(W$2:W$3601, A$2:A$3601, A435, B$2:B$3601, B435), "OPTIMAL", "")</f>
        <v/>
      </c>
    </row>
    <row r="436" ht="20" customHeight="1">
      <c r="A436" s="21" t="n">
        <v>4</v>
      </c>
      <c r="B436" s="21" t="n">
        <v>30</v>
      </c>
      <c r="C436" s="22" t="n">
        <v>85</v>
      </c>
      <c r="D436" s="22" t="n">
        <v>3</v>
      </c>
      <c r="E436" s="23" t="n">
        <v>8</v>
      </c>
      <c r="F436" s="22" t="n">
        <v>1.5</v>
      </c>
      <c r="G436" s="23" t="inlineStr">
        <is>
          <t>Non</t>
        </is>
      </c>
      <c r="H436" s="23" t="inlineStr">
        <is>
          <t>ON</t>
        </is>
      </c>
      <c r="I436" s="24" t="n">
        <v>718.2417398266504</v>
      </c>
      <c r="J436" s="24" t="n">
        <v>2366.073881799197</v>
      </c>
      <c r="K436" s="24" t="n">
        <v>1847.222222222222</v>
      </c>
      <c r="L436" s="24" t="n">
        <v>150</v>
      </c>
      <c r="M436" s="24">
        <f>I436+J436+K436+L436</f>
        <v/>
      </c>
      <c r="N436" s="24">
        <f>M436*'Dashboard &amp; Optimisation'!$B$18/('Dashboard &amp; Optimisation'!$B$16/3.6)</f>
        <v/>
      </c>
      <c r="O436" s="24" t="n">
        <v>760.6745519439489</v>
      </c>
      <c r="P436" s="25" t="n">
        <v>0.05598950655212312</v>
      </c>
      <c r="Q436" s="26" t="n">
        <v>16.04361268425892</v>
      </c>
      <c r="R436" s="24" t="n">
        <v>3777.581932327618</v>
      </c>
      <c r="S436" s="24">
        <f>R436*IF(A436=4, 2.0, 3.0)</f>
        <v/>
      </c>
      <c r="T436" s="22">
        <f>'Dashboard &amp; Optimisation'!$B$18*U436</f>
        <v/>
      </c>
      <c r="U436" s="27">
        <f>MIN(1, S436/M436)</f>
        <v/>
      </c>
      <c r="V436" s="27">
        <f>N436/(N436+O436)</f>
        <v/>
      </c>
      <c r="W436" s="27">
        <f>U436*V436</f>
        <v/>
      </c>
      <c r="X436" s="25">
        <f>T436/N436</f>
        <v/>
      </c>
      <c r="Y436" s="28">
        <f>IF(W436=MAXIFS(W$2:W$3601, A$2:A$3601, A436, B$2:B$3601, B436), "OPTIMAL", "")</f>
        <v/>
      </c>
    </row>
    <row r="437" ht="20" customHeight="1">
      <c r="A437" s="29" t="n">
        <v>4</v>
      </c>
      <c r="B437" s="29" t="n">
        <v>30</v>
      </c>
      <c r="C437" s="30" t="n">
        <v>85</v>
      </c>
      <c r="D437" s="30" t="n">
        <v>3</v>
      </c>
      <c r="E437" s="6" t="n">
        <v>8</v>
      </c>
      <c r="F437" s="30" t="n">
        <v>1.5</v>
      </c>
      <c r="G437" s="6" t="inlineStr">
        <is>
          <t>Non</t>
        </is>
      </c>
      <c r="H437" s="6" t="inlineStr">
        <is>
          <t>OFF</t>
        </is>
      </c>
      <c r="I437" s="31" t="n">
        <v>718.2417398266504</v>
      </c>
      <c r="J437" s="31" t="n">
        <v>2366.073881799197</v>
      </c>
      <c r="K437" s="31" t="n">
        <v>1847.222222222222</v>
      </c>
      <c r="L437" s="31" t="n">
        <v>150</v>
      </c>
      <c r="M437" s="31">
        <f>I437+J437+K437+L437</f>
        <v/>
      </c>
      <c r="N437" s="31">
        <f>M437*'Dashboard &amp; Optimisation'!$B$18/('Dashboard &amp; Optimisation'!$B$16/3.6)</f>
        <v/>
      </c>
      <c r="O437" s="31" t="n">
        <v>760.6745519439489</v>
      </c>
      <c r="P437" s="32" t="n">
        <v>0.2580005144834356</v>
      </c>
      <c r="Q437" s="33" t="n">
        <v>16.04361268425892</v>
      </c>
      <c r="R437" s="31" t="n">
        <v>819.7849867652817</v>
      </c>
      <c r="S437" s="31">
        <f>R437*IF(A437=4, 2.0, 3.0)</f>
        <v/>
      </c>
      <c r="T437" s="30">
        <f>'Dashboard &amp; Optimisation'!$B$18*U437</f>
        <v/>
      </c>
      <c r="U437" s="34">
        <f>MIN(1, S437/M437)</f>
        <v/>
      </c>
      <c r="V437" s="34">
        <f>N437/(N437+O437)</f>
        <v/>
      </c>
      <c r="W437" s="34">
        <f>U437*V437</f>
        <v/>
      </c>
      <c r="X437" s="32">
        <f>T437/N437</f>
        <v/>
      </c>
      <c r="Y437" s="35">
        <f>IF(W437=MAXIFS(W$2:W$3601, A$2:A$3601, A437, B$2:B$3601, B437), "OPTIMAL", "")</f>
        <v/>
      </c>
    </row>
    <row r="438" ht="20" customHeight="1">
      <c r="A438" s="21" t="n">
        <v>4</v>
      </c>
      <c r="B438" s="21" t="n">
        <v>30</v>
      </c>
      <c r="C438" s="22" t="n">
        <v>85</v>
      </c>
      <c r="D438" s="22" t="n">
        <v>3</v>
      </c>
      <c r="E438" s="23" t="n">
        <v>8</v>
      </c>
      <c r="F438" s="22" t="n">
        <v>2</v>
      </c>
      <c r="G438" s="23" t="inlineStr">
        <is>
          <t>Oui</t>
        </is>
      </c>
      <c r="H438" s="23" t="inlineStr">
        <is>
          <t>ON</t>
        </is>
      </c>
      <c r="I438" s="24" t="n">
        <v>718.2417398266504</v>
      </c>
      <c r="J438" s="24" t="n">
        <v>2366.073881799197</v>
      </c>
      <c r="K438" s="24" t="n">
        <v>1847.222222222222</v>
      </c>
      <c r="L438" s="24" t="n">
        <v>150</v>
      </c>
      <c r="M438" s="24">
        <f>I438+J438+K438+L438</f>
        <v/>
      </c>
      <c r="N438" s="24">
        <f>M438*'Dashboard &amp; Optimisation'!$B$18/('Dashboard &amp; Optimisation'!$B$16/3.6)</f>
        <v/>
      </c>
      <c r="O438" s="24" t="n">
        <v>892.0530463931264</v>
      </c>
      <c r="P438" s="25" t="n">
        <v>0.05880657801325698</v>
      </c>
      <c r="Q438" s="26" t="n">
        <v>21.32481691234523</v>
      </c>
      <c r="R438" s="24" t="n">
        <v>3700.034042307505</v>
      </c>
      <c r="S438" s="24">
        <f>R438*IF(A438=4, 2.0, 3.0)</f>
        <v/>
      </c>
      <c r="T438" s="22">
        <f>'Dashboard &amp; Optimisation'!$B$18*U438</f>
        <v/>
      </c>
      <c r="U438" s="27">
        <f>MIN(1, S438/M438)</f>
        <v/>
      </c>
      <c r="V438" s="27">
        <f>N438/(N438+O438)</f>
        <v/>
      </c>
      <c r="W438" s="27">
        <f>U438*V438</f>
        <v/>
      </c>
      <c r="X438" s="25">
        <f>T438/N438</f>
        <v/>
      </c>
      <c r="Y438" s="28">
        <f>IF(W438=MAXIFS(W$2:W$3601, A$2:A$3601, A438, B$2:B$3601, B438), "OPTIMAL", "")</f>
        <v/>
      </c>
    </row>
    <row r="439" ht="20" customHeight="1">
      <c r="A439" s="29" t="n">
        <v>4</v>
      </c>
      <c r="B439" s="29" t="n">
        <v>30</v>
      </c>
      <c r="C439" s="30" t="n">
        <v>85</v>
      </c>
      <c r="D439" s="30" t="n">
        <v>3</v>
      </c>
      <c r="E439" s="6" t="n">
        <v>8</v>
      </c>
      <c r="F439" s="30" t="n">
        <v>2</v>
      </c>
      <c r="G439" s="6" t="inlineStr">
        <is>
          <t>Oui</t>
        </is>
      </c>
      <c r="H439" s="6" t="inlineStr">
        <is>
          <t>OFF</t>
        </is>
      </c>
      <c r="I439" s="31" t="n">
        <v>718.2417398266504</v>
      </c>
      <c r="J439" s="31" t="n">
        <v>2366.073881799197</v>
      </c>
      <c r="K439" s="31" t="n">
        <v>1847.222222222222</v>
      </c>
      <c r="L439" s="31" t="n">
        <v>150</v>
      </c>
      <c r="M439" s="31">
        <f>I439+J439+K439+L439</f>
        <v/>
      </c>
      <c r="N439" s="31">
        <f>M439*'Dashboard &amp; Optimisation'!$B$18/('Dashboard &amp; Optimisation'!$B$16/3.6)</f>
        <v/>
      </c>
      <c r="O439" s="31" t="n">
        <v>892.0530463931264</v>
      </c>
      <c r="P439" s="32" t="n">
        <v>0.2624608866531549</v>
      </c>
      <c r="Q439" s="33" t="n">
        <v>21.32481691234523</v>
      </c>
      <c r="R439" s="31" t="n">
        <v>829.0238722244573</v>
      </c>
      <c r="S439" s="31">
        <f>R439*IF(A439=4, 2.0, 3.0)</f>
        <v/>
      </c>
      <c r="T439" s="30">
        <f>'Dashboard &amp; Optimisation'!$B$18*U439</f>
        <v/>
      </c>
      <c r="U439" s="34">
        <f>MIN(1, S439/M439)</f>
        <v/>
      </c>
      <c r="V439" s="34">
        <f>N439/(N439+O439)</f>
        <v/>
      </c>
      <c r="W439" s="34">
        <f>U439*V439</f>
        <v/>
      </c>
      <c r="X439" s="32">
        <f>T439/N439</f>
        <v/>
      </c>
      <c r="Y439" s="35">
        <f>IF(W439=MAXIFS(W$2:W$3601, A$2:A$3601, A439, B$2:B$3601, B439), "OPTIMAL", "")</f>
        <v/>
      </c>
    </row>
    <row r="440" ht="20" customHeight="1">
      <c r="A440" s="21" t="n">
        <v>4</v>
      </c>
      <c r="B440" s="21" t="n">
        <v>30</v>
      </c>
      <c r="C440" s="22" t="n">
        <v>85</v>
      </c>
      <c r="D440" s="22" t="n">
        <v>3</v>
      </c>
      <c r="E440" s="23" t="n">
        <v>8</v>
      </c>
      <c r="F440" s="22" t="n">
        <v>2</v>
      </c>
      <c r="G440" s="23" t="inlineStr">
        <is>
          <t>Non</t>
        </is>
      </c>
      <c r="H440" s="23" t="inlineStr">
        <is>
          <t>ON</t>
        </is>
      </c>
      <c r="I440" s="24" t="n">
        <v>718.2417398266504</v>
      </c>
      <c r="J440" s="24" t="n">
        <v>2366.073881799197</v>
      </c>
      <c r="K440" s="24" t="n">
        <v>1847.222222222222</v>
      </c>
      <c r="L440" s="24" t="n">
        <v>150</v>
      </c>
      <c r="M440" s="24">
        <f>I440+J440+K440+L440</f>
        <v/>
      </c>
      <c r="N440" s="24">
        <f>M440*'Dashboard &amp; Optimisation'!$B$18/('Dashboard &amp; Optimisation'!$B$16/3.6)</f>
        <v/>
      </c>
      <c r="O440" s="24" t="n">
        <v>892.0530463931264</v>
      </c>
      <c r="P440" s="25" t="n">
        <v>0.05506175582285944</v>
      </c>
      <c r="Q440" s="26" t="n">
        <v>21.32481691234523</v>
      </c>
      <c r="R440" s="24" t="n">
        <v>3951.678207659512</v>
      </c>
      <c r="S440" s="24">
        <f>R440*IF(A440=4, 2.0, 3.0)</f>
        <v/>
      </c>
      <c r="T440" s="22">
        <f>'Dashboard &amp; Optimisation'!$B$18*U440</f>
        <v/>
      </c>
      <c r="U440" s="27">
        <f>MIN(1, S440/M440)</f>
        <v/>
      </c>
      <c r="V440" s="27">
        <f>N440/(N440+O440)</f>
        <v/>
      </c>
      <c r="W440" s="27">
        <f>U440*V440</f>
        <v/>
      </c>
      <c r="X440" s="25">
        <f>T440/N440</f>
        <v/>
      </c>
      <c r="Y440" s="28">
        <f>IF(W440=MAXIFS(W$2:W$3601, A$2:A$3601, A440, B$2:B$3601, B440), "OPTIMAL", "")</f>
        <v/>
      </c>
    </row>
    <row r="441" ht="20" customHeight="1">
      <c r="A441" s="29" t="n">
        <v>4</v>
      </c>
      <c r="B441" s="29" t="n">
        <v>30</v>
      </c>
      <c r="C441" s="30" t="n">
        <v>85</v>
      </c>
      <c r="D441" s="30" t="n">
        <v>3</v>
      </c>
      <c r="E441" s="6" t="n">
        <v>8</v>
      </c>
      <c r="F441" s="30" t="n">
        <v>2</v>
      </c>
      <c r="G441" s="6" t="inlineStr">
        <is>
          <t>Non</t>
        </is>
      </c>
      <c r="H441" s="6" t="inlineStr">
        <is>
          <t>OFF</t>
        </is>
      </c>
      <c r="I441" s="31" t="n">
        <v>718.2417398266504</v>
      </c>
      <c r="J441" s="31" t="n">
        <v>2366.073881799197</v>
      </c>
      <c r="K441" s="31" t="n">
        <v>1847.222222222222</v>
      </c>
      <c r="L441" s="31" t="n">
        <v>150</v>
      </c>
      <c r="M441" s="31">
        <f>I441+J441+K441+L441</f>
        <v/>
      </c>
      <c r="N441" s="31">
        <f>M441*'Dashboard &amp; Optimisation'!$B$18/('Dashboard &amp; Optimisation'!$B$16/3.6)</f>
        <v/>
      </c>
      <c r="O441" s="31" t="n">
        <v>892.0530463931264</v>
      </c>
      <c r="P441" s="32" t="n">
        <v>0.2587160644627574</v>
      </c>
      <c r="Q441" s="33" t="n">
        <v>21.32481691234523</v>
      </c>
      <c r="R441" s="31" t="n">
        <v>841.0236952718674</v>
      </c>
      <c r="S441" s="31">
        <f>R441*IF(A441=4, 2.0, 3.0)</f>
        <v/>
      </c>
      <c r="T441" s="30">
        <f>'Dashboard &amp; Optimisation'!$B$18*U441</f>
        <v/>
      </c>
      <c r="U441" s="34">
        <f>MIN(1, S441/M441)</f>
        <v/>
      </c>
      <c r="V441" s="34">
        <f>N441/(N441+O441)</f>
        <v/>
      </c>
      <c r="W441" s="34">
        <f>U441*V441</f>
        <v/>
      </c>
      <c r="X441" s="32">
        <f>T441/N441</f>
        <v/>
      </c>
      <c r="Y441" s="35">
        <f>IF(W441=MAXIFS(W$2:W$3601, A$2:A$3601, A441, B$2:B$3601, B441), "OPTIMAL", "")</f>
        <v/>
      </c>
    </row>
    <row r="442" ht="20" customHeight="1">
      <c r="A442" s="21" t="n">
        <v>4</v>
      </c>
      <c r="B442" s="21" t="n">
        <v>30</v>
      </c>
      <c r="C442" s="22" t="n">
        <v>90</v>
      </c>
      <c r="D442" s="22" t="n">
        <v>2</v>
      </c>
      <c r="E442" s="23" t="n">
        <v>0</v>
      </c>
      <c r="F442" s="22" t="n">
        <v>0</v>
      </c>
      <c r="G442" s="23" t="inlineStr">
        <is>
          <t>Oui</t>
        </is>
      </c>
      <c r="H442" s="23" t="inlineStr">
        <is>
          <t>ON</t>
        </is>
      </c>
      <c r="I442" s="24" t="n">
        <v>718.2417398266504</v>
      </c>
      <c r="J442" s="24" t="n">
        <v>2366.073881799197</v>
      </c>
      <c r="K442" s="24" t="n">
        <v>1847.222222222222</v>
      </c>
      <c r="L442" s="24" t="n">
        <v>150</v>
      </c>
      <c r="M442" s="24">
        <f>I442+J442+K442+L442</f>
        <v/>
      </c>
      <c r="N442" s="24">
        <f>M442*'Dashboard &amp; Optimisation'!$B$18/('Dashboard &amp; Optimisation'!$B$16/3.6)</f>
        <v/>
      </c>
      <c r="O442" s="24" t="n">
        <v>245.830487286264</v>
      </c>
      <c r="P442" s="25" t="n">
        <v>0.4898788424939614</v>
      </c>
      <c r="Q442" s="26" t="n">
        <v>0.2</v>
      </c>
      <c r="R442" s="24" t="n">
        <v>336.1404323576055</v>
      </c>
      <c r="S442" s="24">
        <f>R442*IF(A442=4, 2.0, 3.0)</f>
        <v/>
      </c>
      <c r="T442" s="22">
        <f>'Dashboard &amp; Optimisation'!$B$18*U442</f>
        <v/>
      </c>
      <c r="U442" s="27">
        <f>MIN(1, S442/M442)</f>
        <v/>
      </c>
      <c r="V442" s="27">
        <f>N442/(N442+O442)</f>
        <v/>
      </c>
      <c r="W442" s="27">
        <f>U442*V442</f>
        <v/>
      </c>
      <c r="X442" s="25">
        <f>T442/N442</f>
        <v/>
      </c>
      <c r="Y442" s="28">
        <f>IF(W442=MAXIFS(W$2:W$3601, A$2:A$3601, A442, B$2:B$3601, B442), "OPTIMAL", "")</f>
        <v/>
      </c>
    </row>
    <row r="443" ht="20" customHeight="1">
      <c r="A443" s="29" t="n">
        <v>4</v>
      </c>
      <c r="B443" s="29" t="n">
        <v>30</v>
      </c>
      <c r="C443" s="30" t="n">
        <v>90</v>
      </c>
      <c r="D443" s="30" t="n">
        <v>2</v>
      </c>
      <c r="E443" s="6" t="n">
        <v>0</v>
      </c>
      <c r="F443" s="30" t="n">
        <v>0</v>
      </c>
      <c r="G443" s="6" t="inlineStr">
        <is>
          <t>Oui</t>
        </is>
      </c>
      <c r="H443" s="6" t="inlineStr">
        <is>
          <t>OFF</t>
        </is>
      </c>
      <c r="I443" s="31" t="n">
        <v>718.2417398266504</v>
      </c>
      <c r="J443" s="31" t="n">
        <v>2366.073881799197</v>
      </c>
      <c r="K443" s="31" t="n">
        <v>1847.222222222222</v>
      </c>
      <c r="L443" s="31" t="n">
        <v>150</v>
      </c>
      <c r="M443" s="31">
        <f>I443+J443+K443+L443</f>
        <v/>
      </c>
      <c r="N443" s="31">
        <f>M443*'Dashboard &amp; Optimisation'!$B$18/('Dashboard &amp; Optimisation'!$B$16/3.6)</f>
        <v/>
      </c>
      <c r="O443" s="31" t="n">
        <v>245.830487286264</v>
      </c>
      <c r="P443" s="32" t="n">
        <v>0.8435564938092843</v>
      </c>
      <c r="Q443" s="33" t="n">
        <v>0.2</v>
      </c>
      <c r="R443" s="31" t="n">
        <v>195.206944795321</v>
      </c>
      <c r="S443" s="31">
        <f>R443*IF(A443=4, 2.0, 3.0)</f>
        <v/>
      </c>
      <c r="T443" s="30">
        <f>'Dashboard &amp; Optimisation'!$B$18*U443</f>
        <v/>
      </c>
      <c r="U443" s="34">
        <f>MIN(1, S443/M443)</f>
        <v/>
      </c>
      <c r="V443" s="34">
        <f>N443/(N443+O443)</f>
        <v/>
      </c>
      <c r="W443" s="34">
        <f>U443*V443</f>
        <v/>
      </c>
      <c r="X443" s="32">
        <f>T443/N443</f>
        <v/>
      </c>
      <c r="Y443" s="35">
        <f>IF(W443=MAXIFS(W$2:W$3601, A$2:A$3601, A443, B$2:B$3601, B443), "OPTIMAL", "")</f>
        <v/>
      </c>
    </row>
    <row r="444" ht="20" customHeight="1">
      <c r="A444" s="21" t="n">
        <v>4</v>
      </c>
      <c r="B444" s="21" t="n">
        <v>30</v>
      </c>
      <c r="C444" s="22" t="n">
        <v>90</v>
      </c>
      <c r="D444" s="22" t="n">
        <v>2</v>
      </c>
      <c r="E444" s="23" t="n">
        <v>0</v>
      </c>
      <c r="F444" s="22" t="n">
        <v>0</v>
      </c>
      <c r="G444" s="23" t="inlineStr">
        <is>
          <t>Non</t>
        </is>
      </c>
      <c r="H444" s="23" t="inlineStr">
        <is>
          <t>ON</t>
        </is>
      </c>
      <c r="I444" s="24" t="n">
        <v>718.2417398266504</v>
      </c>
      <c r="J444" s="24" t="n">
        <v>2366.073881799197</v>
      </c>
      <c r="K444" s="24" t="n">
        <v>1847.222222222222</v>
      </c>
      <c r="L444" s="24" t="n">
        <v>150</v>
      </c>
      <c r="M444" s="24">
        <f>I444+J444+K444+L444</f>
        <v/>
      </c>
      <c r="N444" s="24">
        <f>M444*'Dashboard &amp; Optimisation'!$B$18/('Dashboard &amp; Optimisation'!$B$16/3.6)</f>
        <v/>
      </c>
      <c r="O444" s="24" t="n">
        <v>245.830487286264</v>
      </c>
      <c r="P444" s="25" t="n">
        <v>0.4863420659808082</v>
      </c>
      <c r="Q444" s="26" t="n">
        <v>0.2</v>
      </c>
      <c r="R444" s="24" t="n">
        <v>338.5849126307359</v>
      </c>
      <c r="S444" s="24">
        <f>R444*IF(A444=4, 2.0, 3.0)</f>
        <v/>
      </c>
      <c r="T444" s="22">
        <f>'Dashboard &amp; Optimisation'!$B$18*U444</f>
        <v/>
      </c>
      <c r="U444" s="27">
        <f>MIN(1, S444/M444)</f>
        <v/>
      </c>
      <c r="V444" s="27">
        <f>N444/(N444+O444)</f>
        <v/>
      </c>
      <c r="W444" s="27">
        <f>U444*V444</f>
        <v/>
      </c>
      <c r="X444" s="25">
        <f>T444/N444</f>
        <v/>
      </c>
      <c r="Y444" s="28">
        <f>IF(W444=MAXIFS(W$2:W$3601, A$2:A$3601, A444, B$2:B$3601, B444), "OPTIMAL", "")</f>
        <v/>
      </c>
    </row>
    <row r="445" ht="20" customHeight="1">
      <c r="A445" s="29" t="n">
        <v>4</v>
      </c>
      <c r="B445" s="29" t="n">
        <v>30</v>
      </c>
      <c r="C445" s="30" t="n">
        <v>90</v>
      </c>
      <c r="D445" s="30" t="n">
        <v>2</v>
      </c>
      <c r="E445" s="6" t="n">
        <v>0</v>
      </c>
      <c r="F445" s="30" t="n">
        <v>0</v>
      </c>
      <c r="G445" s="6" t="inlineStr">
        <is>
          <t>Non</t>
        </is>
      </c>
      <c r="H445" s="6" t="inlineStr">
        <is>
          <t>OFF</t>
        </is>
      </c>
      <c r="I445" s="31" t="n">
        <v>718.2417398266504</v>
      </c>
      <c r="J445" s="31" t="n">
        <v>2366.073881799197</v>
      </c>
      <c r="K445" s="31" t="n">
        <v>1847.222222222222</v>
      </c>
      <c r="L445" s="31" t="n">
        <v>150</v>
      </c>
      <c r="M445" s="31">
        <f>I445+J445+K445+L445</f>
        <v/>
      </c>
      <c r="N445" s="31">
        <f>M445*'Dashboard &amp; Optimisation'!$B$18/('Dashboard &amp; Optimisation'!$B$16/3.6)</f>
        <v/>
      </c>
      <c r="O445" s="31" t="n">
        <v>245.830487286264</v>
      </c>
      <c r="P445" s="32" t="n">
        <v>0.8400197172961312</v>
      </c>
      <c r="Q445" s="33" t="n">
        <v>0.2</v>
      </c>
      <c r="R445" s="31" t="n">
        <v>196.0288342383197</v>
      </c>
      <c r="S445" s="31">
        <f>R445*IF(A445=4, 2.0, 3.0)</f>
        <v/>
      </c>
      <c r="T445" s="30">
        <f>'Dashboard &amp; Optimisation'!$B$18*U445</f>
        <v/>
      </c>
      <c r="U445" s="34">
        <f>MIN(1, S445/M445)</f>
        <v/>
      </c>
      <c r="V445" s="34">
        <f>N445/(N445+O445)</f>
        <v/>
      </c>
      <c r="W445" s="34">
        <f>U445*V445</f>
        <v/>
      </c>
      <c r="X445" s="32">
        <f>T445/N445</f>
        <v/>
      </c>
      <c r="Y445" s="35">
        <f>IF(W445=MAXIFS(W$2:W$3601, A$2:A$3601, A445, B$2:B$3601, B445), "OPTIMAL", "")</f>
        <v/>
      </c>
    </row>
    <row r="446" ht="20" customHeight="1">
      <c r="A446" s="21" t="n">
        <v>4</v>
      </c>
      <c r="B446" s="21" t="n">
        <v>30</v>
      </c>
      <c r="C446" s="22" t="n">
        <v>90</v>
      </c>
      <c r="D446" s="22" t="n">
        <v>2</v>
      </c>
      <c r="E446" s="23" t="n">
        <v>4</v>
      </c>
      <c r="F446" s="22" t="n">
        <v>1.5</v>
      </c>
      <c r="G446" s="23" t="inlineStr">
        <is>
          <t>Oui</t>
        </is>
      </c>
      <c r="H446" s="23" t="inlineStr">
        <is>
          <t>ON</t>
        </is>
      </c>
      <c r="I446" s="24" t="n">
        <v>718.2417398266504</v>
      </c>
      <c r="J446" s="24" t="n">
        <v>2366.073881799197</v>
      </c>
      <c r="K446" s="24" t="n">
        <v>1847.222222222222</v>
      </c>
      <c r="L446" s="24" t="n">
        <v>150</v>
      </c>
      <c r="M446" s="24">
        <f>I446+J446+K446+L446</f>
        <v/>
      </c>
      <c r="N446" s="24">
        <f>M446*'Dashboard &amp; Optimisation'!$B$18/('Dashboard &amp; Optimisation'!$B$16/3.6)</f>
        <v/>
      </c>
      <c r="O446" s="24" t="n">
        <v>391.5227538634499</v>
      </c>
      <c r="P446" s="25" t="n">
        <v>0.07759354469391215</v>
      </c>
      <c r="Q446" s="26" t="n">
        <v>7.477008151491015</v>
      </c>
      <c r="R446" s="24" t="n">
        <v>2200.372164644111</v>
      </c>
      <c r="S446" s="24">
        <f>R446*IF(A446=4, 2.0, 3.0)</f>
        <v/>
      </c>
      <c r="T446" s="22">
        <f>'Dashboard &amp; Optimisation'!$B$18*U446</f>
        <v/>
      </c>
      <c r="U446" s="27">
        <f>MIN(1, S446/M446)</f>
        <v/>
      </c>
      <c r="V446" s="27">
        <f>N446/(N446+O446)</f>
        <v/>
      </c>
      <c r="W446" s="27">
        <f>U446*V446</f>
        <v/>
      </c>
      <c r="X446" s="25">
        <f>T446/N446</f>
        <v/>
      </c>
      <c r="Y446" s="28">
        <f>IF(W446=MAXIFS(W$2:W$3601, A$2:A$3601, A446, B$2:B$3601, B446), "OPTIMAL", "")</f>
        <v/>
      </c>
    </row>
    <row r="447" ht="20" customHeight="1">
      <c r="A447" s="29" t="n">
        <v>4</v>
      </c>
      <c r="B447" s="29" t="n">
        <v>30</v>
      </c>
      <c r="C447" s="30" t="n">
        <v>90</v>
      </c>
      <c r="D447" s="30" t="n">
        <v>2</v>
      </c>
      <c r="E447" s="6" t="n">
        <v>4</v>
      </c>
      <c r="F447" s="30" t="n">
        <v>1.5</v>
      </c>
      <c r="G447" s="6" t="inlineStr">
        <is>
          <t>Oui</t>
        </is>
      </c>
      <c r="H447" s="6" t="inlineStr">
        <is>
          <t>OFF</t>
        </is>
      </c>
      <c r="I447" s="31" t="n">
        <v>718.2417398266504</v>
      </c>
      <c r="J447" s="31" t="n">
        <v>2366.073881799197</v>
      </c>
      <c r="K447" s="31" t="n">
        <v>1847.222222222222</v>
      </c>
      <c r="L447" s="31" t="n">
        <v>150</v>
      </c>
      <c r="M447" s="31">
        <f>I447+J447+K447+L447</f>
        <v/>
      </c>
      <c r="N447" s="31">
        <f>M447*'Dashboard &amp; Optimisation'!$B$18/('Dashboard &amp; Optimisation'!$B$16/3.6)</f>
        <v/>
      </c>
      <c r="O447" s="31" t="n">
        <v>391.5227538634499</v>
      </c>
      <c r="P447" s="32" t="n">
        <v>0.3296507660240217</v>
      </c>
      <c r="Q447" s="33" t="n">
        <v>7.477008151491015</v>
      </c>
      <c r="R447" s="31" t="n">
        <v>517.9259188741324</v>
      </c>
      <c r="S447" s="31">
        <f>R447*IF(A447=4, 2.0, 3.0)</f>
        <v/>
      </c>
      <c r="T447" s="30">
        <f>'Dashboard &amp; Optimisation'!$B$18*U447</f>
        <v/>
      </c>
      <c r="U447" s="34">
        <f>MIN(1, S447/M447)</f>
        <v/>
      </c>
      <c r="V447" s="34">
        <f>N447/(N447+O447)</f>
        <v/>
      </c>
      <c r="W447" s="34">
        <f>U447*V447</f>
        <v/>
      </c>
      <c r="X447" s="32">
        <f>T447/N447</f>
        <v/>
      </c>
      <c r="Y447" s="35">
        <f>IF(W447=MAXIFS(W$2:W$3601, A$2:A$3601, A447, B$2:B$3601, B447), "OPTIMAL", "")</f>
        <v/>
      </c>
    </row>
    <row r="448" ht="20" customHeight="1">
      <c r="A448" s="21" t="n">
        <v>4</v>
      </c>
      <c r="B448" s="21" t="n">
        <v>30</v>
      </c>
      <c r="C448" s="22" t="n">
        <v>90</v>
      </c>
      <c r="D448" s="22" t="n">
        <v>2</v>
      </c>
      <c r="E448" s="23" t="n">
        <v>4</v>
      </c>
      <c r="F448" s="22" t="n">
        <v>1.5</v>
      </c>
      <c r="G448" s="23" t="inlineStr">
        <is>
          <t>Non</t>
        </is>
      </c>
      <c r="H448" s="23" t="inlineStr">
        <is>
          <t>ON</t>
        </is>
      </c>
      <c r="I448" s="24" t="n">
        <v>718.2417398266504</v>
      </c>
      <c r="J448" s="24" t="n">
        <v>2366.073881799197</v>
      </c>
      <c r="K448" s="24" t="n">
        <v>1847.222222222222</v>
      </c>
      <c r="L448" s="24" t="n">
        <v>150</v>
      </c>
      <c r="M448" s="24">
        <f>I448+J448+K448+L448</f>
        <v/>
      </c>
      <c r="N448" s="24">
        <f>M448*'Dashboard &amp; Optimisation'!$B$18/('Dashboard &amp; Optimisation'!$B$16/3.6)</f>
        <v/>
      </c>
      <c r="O448" s="24" t="n">
        <v>391.5227538634499</v>
      </c>
      <c r="P448" s="25" t="n">
        <v>0.07405676818075892</v>
      </c>
      <c r="Q448" s="26" t="n">
        <v>7.477008151491015</v>
      </c>
      <c r="R448" s="24" t="n">
        <v>2305.456747502419</v>
      </c>
      <c r="S448" s="24">
        <f>R448*IF(A448=4, 2.0, 3.0)</f>
        <v/>
      </c>
      <c r="T448" s="22">
        <f>'Dashboard &amp; Optimisation'!$B$18*U448</f>
        <v/>
      </c>
      <c r="U448" s="27">
        <f>MIN(1, S448/M448)</f>
        <v/>
      </c>
      <c r="V448" s="27">
        <f>N448/(N448+O448)</f>
        <v/>
      </c>
      <c r="W448" s="27">
        <f>U448*V448</f>
        <v/>
      </c>
      <c r="X448" s="25">
        <f>T448/N448</f>
        <v/>
      </c>
      <c r="Y448" s="28">
        <f>IF(W448=MAXIFS(W$2:W$3601, A$2:A$3601, A448, B$2:B$3601, B448), "OPTIMAL", "")</f>
        <v/>
      </c>
    </row>
    <row r="449" ht="20" customHeight="1">
      <c r="A449" s="29" t="n">
        <v>4</v>
      </c>
      <c r="B449" s="29" t="n">
        <v>30</v>
      </c>
      <c r="C449" s="30" t="n">
        <v>90</v>
      </c>
      <c r="D449" s="30" t="n">
        <v>2</v>
      </c>
      <c r="E449" s="6" t="n">
        <v>4</v>
      </c>
      <c r="F449" s="30" t="n">
        <v>1.5</v>
      </c>
      <c r="G449" s="6" t="inlineStr">
        <is>
          <t>Non</t>
        </is>
      </c>
      <c r="H449" s="6" t="inlineStr">
        <is>
          <t>OFF</t>
        </is>
      </c>
      <c r="I449" s="31" t="n">
        <v>718.2417398266504</v>
      </c>
      <c r="J449" s="31" t="n">
        <v>2366.073881799197</v>
      </c>
      <c r="K449" s="31" t="n">
        <v>1847.222222222222</v>
      </c>
      <c r="L449" s="31" t="n">
        <v>150</v>
      </c>
      <c r="M449" s="31">
        <f>I449+J449+K449+L449</f>
        <v/>
      </c>
      <c r="N449" s="31">
        <f>M449*'Dashboard &amp; Optimisation'!$B$18/('Dashboard &amp; Optimisation'!$B$16/3.6)</f>
        <v/>
      </c>
      <c r="O449" s="31" t="n">
        <v>391.5227538634499</v>
      </c>
      <c r="P449" s="32" t="n">
        <v>0.3261139895108685</v>
      </c>
      <c r="Q449" s="33" t="n">
        <v>7.477008151491015</v>
      </c>
      <c r="R449" s="31" t="n">
        <v>523.5429371080781</v>
      </c>
      <c r="S449" s="31">
        <f>R449*IF(A449=4, 2.0, 3.0)</f>
        <v/>
      </c>
      <c r="T449" s="30">
        <f>'Dashboard &amp; Optimisation'!$B$18*U449</f>
        <v/>
      </c>
      <c r="U449" s="34">
        <f>MIN(1, S449/M449)</f>
        <v/>
      </c>
      <c r="V449" s="34">
        <f>N449/(N449+O449)</f>
        <v/>
      </c>
      <c r="W449" s="34">
        <f>U449*V449</f>
        <v/>
      </c>
      <c r="X449" s="32">
        <f>T449/N449</f>
        <v/>
      </c>
      <c r="Y449" s="35">
        <f>IF(W449=MAXIFS(W$2:W$3601, A$2:A$3601, A449, B$2:B$3601, B449), "OPTIMAL", "")</f>
        <v/>
      </c>
    </row>
    <row r="450" ht="20" customHeight="1">
      <c r="A450" s="21" t="n">
        <v>4</v>
      </c>
      <c r="B450" s="21" t="n">
        <v>30</v>
      </c>
      <c r="C450" s="22" t="n">
        <v>90</v>
      </c>
      <c r="D450" s="22" t="n">
        <v>2</v>
      </c>
      <c r="E450" s="23" t="n">
        <v>4</v>
      </c>
      <c r="F450" s="22" t="n">
        <v>2</v>
      </c>
      <c r="G450" s="23" t="inlineStr">
        <is>
          <t>Oui</t>
        </is>
      </c>
      <c r="H450" s="23" t="inlineStr">
        <is>
          <t>ON</t>
        </is>
      </c>
      <c r="I450" s="24" t="n">
        <v>718.2417398266504</v>
      </c>
      <c r="J450" s="24" t="n">
        <v>2366.073881799197</v>
      </c>
      <c r="K450" s="24" t="n">
        <v>1847.222222222222</v>
      </c>
      <c r="L450" s="24" t="n">
        <v>150</v>
      </c>
      <c r="M450" s="24">
        <f>I450+J450+K450+L450</f>
        <v/>
      </c>
      <c r="N450" s="24">
        <f>M450*'Dashboard &amp; Optimisation'!$B$18/('Dashboard &amp; Optimisation'!$B$16/3.6)</f>
        <v/>
      </c>
      <c r="O450" s="24" t="n">
        <v>442.5020562582152</v>
      </c>
      <c r="P450" s="25" t="n">
        <v>0.07521841927673642</v>
      </c>
      <c r="Q450" s="26" t="n">
        <v>9.902677535321354</v>
      </c>
      <c r="R450" s="24" t="n">
        <v>2298.073305955165</v>
      </c>
      <c r="S450" s="24">
        <f>R450*IF(A450=4, 2.0, 3.0)</f>
        <v/>
      </c>
      <c r="T450" s="22">
        <f>'Dashboard &amp; Optimisation'!$B$18*U450</f>
        <v/>
      </c>
      <c r="U450" s="27">
        <f>MIN(1, S450/M450)</f>
        <v/>
      </c>
      <c r="V450" s="27">
        <f>N450/(N450+O450)</f>
        <v/>
      </c>
      <c r="W450" s="27">
        <f>U450*V450</f>
        <v/>
      </c>
      <c r="X450" s="25">
        <f>T450/N450</f>
        <v/>
      </c>
      <c r="Y450" s="28">
        <f>IF(W450=MAXIFS(W$2:W$3601, A$2:A$3601, A450, B$2:B$3601, B450), "OPTIMAL", "")</f>
        <v/>
      </c>
    </row>
    <row r="451" ht="20" customHeight="1">
      <c r="A451" s="29" t="n">
        <v>4</v>
      </c>
      <c r="B451" s="29" t="n">
        <v>30</v>
      </c>
      <c r="C451" s="30" t="n">
        <v>90</v>
      </c>
      <c r="D451" s="30" t="n">
        <v>2</v>
      </c>
      <c r="E451" s="6" t="n">
        <v>4</v>
      </c>
      <c r="F451" s="30" t="n">
        <v>2</v>
      </c>
      <c r="G451" s="6" t="inlineStr">
        <is>
          <t>Oui</t>
        </is>
      </c>
      <c r="H451" s="6" t="inlineStr">
        <is>
          <t>OFF</t>
        </is>
      </c>
      <c r="I451" s="31" t="n">
        <v>718.2417398266504</v>
      </c>
      <c r="J451" s="31" t="n">
        <v>2366.073881799197</v>
      </c>
      <c r="K451" s="31" t="n">
        <v>1847.222222222222</v>
      </c>
      <c r="L451" s="31" t="n">
        <v>150</v>
      </c>
      <c r="M451" s="31">
        <f>I451+J451+K451+L451</f>
        <v/>
      </c>
      <c r="N451" s="31">
        <f>M451*'Dashboard &amp; Optimisation'!$B$18/('Dashboard &amp; Optimisation'!$B$16/3.6)</f>
        <v/>
      </c>
      <c r="O451" s="31" t="n">
        <v>442.5020562582152</v>
      </c>
      <c r="P451" s="32" t="n">
        <v>0.328550491855213</v>
      </c>
      <c r="Q451" s="33" t="n">
        <v>9.902677535321354</v>
      </c>
      <c r="R451" s="31" t="n">
        <v>526.1213899877129</v>
      </c>
      <c r="S451" s="31">
        <f>R451*IF(A451=4, 2.0, 3.0)</f>
        <v/>
      </c>
      <c r="T451" s="30">
        <f>'Dashboard &amp; Optimisation'!$B$18*U451</f>
        <v/>
      </c>
      <c r="U451" s="34">
        <f>MIN(1, S451/M451)</f>
        <v/>
      </c>
      <c r="V451" s="34">
        <f>N451/(N451+O451)</f>
        <v/>
      </c>
      <c r="W451" s="34">
        <f>U451*V451</f>
        <v/>
      </c>
      <c r="X451" s="32">
        <f>T451/N451</f>
        <v/>
      </c>
      <c r="Y451" s="35">
        <f>IF(W451=MAXIFS(W$2:W$3601, A$2:A$3601, A451, B$2:B$3601, B451), "OPTIMAL", "")</f>
        <v/>
      </c>
    </row>
    <row r="452" ht="20" customHeight="1">
      <c r="A452" s="21" t="n">
        <v>4</v>
      </c>
      <c r="B452" s="21" t="n">
        <v>30</v>
      </c>
      <c r="C452" s="22" t="n">
        <v>90</v>
      </c>
      <c r="D452" s="22" t="n">
        <v>2</v>
      </c>
      <c r="E452" s="23" t="n">
        <v>4</v>
      </c>
      <c r="F452" s="22" t="n">
        <v>2</v>
      </c>
      <c r="G452" s="23" t="inlineStr">
        <is>
          <t>Non</t>
        </is>
      </c>
      <c r="H452" s="23" t="inlineStr">
        <is>
          <t>ON</t>
        </is>
      </c>
      <c r="I452" s="24" t="n">
        <v>718.2417398266504</v>
      </c>
      <c r="J452" s="24" t="n">
        <v>2366.073881799197</v>
      </c>
      <c r="K452" s="24" t="n">
        <v>1847.222222222222</v>
      </c>
      <c r="L452" s="24" t="n">
        <v>150</v>
      </c>
      <c r="M452" s="24">
        <f>I452+J452+K452+L452</f>
        <v/>
      </c>
      <c r="N452" s="24">
        <f>M452*'Dashboard &amp; Optimisation'!$B$18/('Dashboard &amp; Optimisation'!$B$16/3.6)</f>
        <v/>
      </c>
      <c r="O452" s="24" t="n">
        <v>442.5020562582152</v>
      </c>
      <c r="P452" s="25" t="n">
        <v>0.07168164276358319</v>
      </c>
      <c r="Q452" s="26" t="n">
        <v>9.902677535321354</v>
      </c>
      <c r="R452" s="24" t="n">
        <v>2411.460379418496</v>
      </c>
      <c r="S452" s="24">
        <f>R452*IF(A452=4, 2.0, 3.0)</f>
        <v/>
      </c>
      <c r="T452" s="22">
        <f>'Dashboard &amp; Optimisation'!$B$18*U452</f>
        <v/>
      </c>
      <c r="U452" s="27">
        <f>MIN(1, S452/M452)</f>
        <v/>
      </c>
      <c r="V452" s="27">
        <f>N452/(N452+O452)</f>
        <v/>
      </c>
      <c r="W452" s="27">
        <f>U452*V452</f>
        <v/>
      </c>
      <c r="X452" s="25">
        <f>T452/N452</f>
        <v/>
      </c>
      <c r="Y452" s="28">
        <f>IF(W452=MAXIFS(W$2:W$3601, A$2:A$3601, A452, B$2:B$3601, B452), "OPTIMAL", "")</f>
        <v/>
      </c>
    </row>
    <row r="453" ht="20" customHeight="1">
      <c r="A453" s="29" t="n">
        <v>4</v>
      </c>
      <c r="B453" s="29" t="n">
        <v>30</v>
      </c>
      <c r="C453" s="30" t="n">
        <v>90</v>
      </c>
      <c r="D453" s="30" t="n">
        <v>2</v>
      </c>
      <c r="E453" s="6" t="n">
        <v>4</v>
      </c>
      <c r="F453" s="30" t="n">
        <v>2</v>
      </c>
      <c r="G453" s="6" t="inlineStr">
        <is>
          <t>Non</t>
        </is>
      </c>
      <c r="H453" s="6" t="inlineStr">
        <is>
          <t>OFF</t>
        </is>
      </c>
      <c r="I453" s="31" t="n">
        <v>718.2417398266504</v>
      </c>
      <c r="J453" s="31" t="n">
        <v>2366.073881799197</v>
      </c>
      <c r="K453" s="31" t="n">
        <v>1847.222222222222</v>
      </c>
      <c r="L453" s="31" t="n">
        <v>150</v>
      </c>
      <c r="M453" s="31">
        <f>I453+J453+K453+L453</f>
        <v/>
      </c>
      <c r="N453" s="31">
        <f>M453*'Dashboard &amp; Optimisation'!$B$18/('Dashboard &amp; Optimisation'!$B$16/3.6)</f>
        <v/>
      </c>
      <c r="O453" s="31" t="n">
        <v>442.5020562582152</v>
      </c>
      <c r="P453" s="32" t="n">
        <v>0.3250137153420598</v>
      </c>
      <c r="Q453" s="33" t="n">
        <v>9.902677535321354</v>
      </c>
      <c r="R453" s="31" t="n">
        <v>531.8466061473376</v>
      </c>
      <c r="S453" s="31">
        <f>R453*IF(A453=4, 2.0, 3.0)</f>
        <v/>
      </c>
      <c r="T453" s="30">
        <f>'Dashboard &amp; Optimisation'!$B$18*U453</f>
        <v/>
      </c>
      <c r="U453" s="34">
        <f>MIN(1, S453/M453)</f>
        <v/>
      </c>
      <c r="V453" s="34">
        <f>N453/(N453+O453)</f>
        <v/>
      </c>
      <c r="W453" s="34">
        <f>U453*V453</f>
        <v/>
      </c>
      <c r="X453" s="32">
        <f>T453/N453</f>
        <v/>
      </c>
      <c r="Y453" s="35">
        <f>IF(W453=MAXIFS(W$2:W$3601, A$2:A$3601, A453, B$2:B$3601, B453), "OPTIMAL", "")</f>
        <v/>
      </c>
    </row>
    <row r="454" ht="20" customHeight="1">
      <c r="A454" s="21" t="n">
        <v>4</v>
      </c>
      <c r="B454" s="21" t="n">
        <v>30</v>
      </c>
      <c r="C454" s="22" t="n">
        <v>90</v>
      </c>
      <c r="D454" s="22" t="n">
        <v>2</v>
      </c>
      <c r="E454" s="23" t="n">
        <v>8</v>
      </c>
      <c r="F454" s="22" t="n">
        <v>1.5</v>
      </c>
      <c r="G454" s="23" t="inlineStr">
        <is>
          <t>Oui</t>
        </is>
      </c>
      <c r="H454" s="23" t="inlineStr">
        <is>
          <t>ON</t>
        </is>
      </c>
      <c r="I454" s="24" t="n">
        <v>718.2417398266504</v>
      </c>
      <c r="J454" s="24" t="n">
        <v>2366.073881799197</v>
      </c>
      <c r="K454" s="24" t="n">
        <v>1847.222222222222</v>
      </c>
      <c r="L454" s="24" t="n">
        <v>150</v>
      </c>
      <c r="M454" s="24">
        <f>I454+J454+K454+L454</f>
        <v/>
      </c>
      <c r="N454" s="24">
        <f>M454*'Dashboard &amp; Optimisation'!$B$18/('Dashboard &amp; Optimisation'!$B$16/3.6)</f>
        <v/>
      </c>
      <c r="O454" s="24" t="n">
        <v>548.360630885478</v>
      </c>
      <c r="P454" s="25" t="n">
        <v>0.05835644876127537</v>
      </c>
      <c r="Q454" s="26" t="n">
        <v>14.75401630298203</v>
      </c>
      <c r="R454" s="24" t="n">
        <v>3037.631146345138</v>
      </c>
      <c r="S454" s="24">
        <f>R454*IF(A454=4, 2.0, 3.0)</f>
        <v/>
      </c>
      <c r="T454" s="22">
        <f>'Dashboard &amp; Optimisation'!$B$18*U454</f>
        <v/>
      </c>
      <c r="U454" s="27">
        <f>MIN(1, S454/M454)</f>
        <v/>
      </c>
      <c r="V454" s="27">
        <f>N454/(N454+O454)</f>
        <v/>
      </c>
      <c r="W454" s="27">
        <f>U454*V454</f>
        <v/>
      </c>
      <c r="X454" s="25">
        <f>T454/N454</f>
        <v/>
      </c>
      <c r="Y454" s="28">
        <f>IF(W454=MAXIFS(W$2:W$3601, A$2:A$3601, A454, B$2:B$3601, B454), "OPTIMAL", "")</f>
        <v/>
      </c>
    </row>
    <row r="455" ht="20" customHeight="1">
      <c r="A455" s="29" t="n">
        <v>4</v>
      </c>
      <c r="B455" s="29" t="n">
        <v>30</v>
      </c>
      <c r="C455" s="30" t="n">
        <v>90</v>
      </c>
      <c r="D455" s="30" t="n">
        <v>2</v>
      </c>
      <c r="E455" s="6" t="n">
        <v>8</v>
      </c>
      <c r="F455" s="30" t="n">
        <v>1.5</v>
      </c>
      <c r="G455" s="6" t="inlineStr">
        <is>
          <t>Oui</t>
        </is>
      </c>
      <c r="H455" s="6" t="inlineStr">
        <is>
          <t>OFF</t>
        </is>
      </c>
      <c r="I455" s="31" t="n">
        <v>718.2417398266504</v>
      </c>
      <c r="J455" s="31" t="n">
        <v>2366.073881799197</v>
      </c>
      <c r="K455" s="31" t="n">
        <v>1847.222222222222</v>
      </c>
      <c r="L455" s="31" t="n">
        <v>150</v>
      </c>
      <c r="M455" s="31">
        <f>I455+J455+K455+L455</f>
        <v/>
      </c>
      <c r="N455" s="31">
        <f>M455*'Dashboard &amp; Optimisation'!$B$18/('Dashboard &amp; Optimisation'!$B$16/3.6)</f>
        <v/>
      </c>
      <c r="O455" s="31" t="n">
        <v>548.360630885478</v>
      </c>
      <c r="P455" s="32" t="n">
        <v>0.2541545323509655</v>
      </c>
      <c r="Q455" s="33" t="n">
        <v>14.75401630298203</v>
      </c>
      <c r="R455" s="31" t="n">
        <v>697.4708052916247</v>
      </c>
      <c r="S455" s="31">
        <f>R455*IF(A455=4, 2.0, 3.0)</f>
        <v/>
      </c>
      <c r="T455" s="30">
        <f>'Dashboard &amp; Optimisation'!$B$18*U455</f>
        <v/>
      </c>
      <c r="U455" s="34">
        <f>MIN(1, S455/M455)</f>
        <v/>
      </c>
      <c r="V455" s="34">
        <f>N455/(N455+O455)</f>
        <v/>
      </c>
      <c r="W455" s="34">
        <f>U455*V455</f>
        <v/>
      </c>
      <c r="X455" s="32">
        <f>T455/N455</f>
        <v/>
      </c>
      <c r="Y455" s="35">
        <f>IF(W455=MAXIFS(W$2:W$3601, A$2:A$3601, A455, B$2:B$3601, B455), "OPTIMAL", "")</f>
        <v/>
      </c>
    </row>
    <row r="456" ht="20" customHeight="1">
      <c r="A456" s="21" t="n">
        <v>4</v>
      </c>
      <c r="B456" s="21" t="n">
        <v>30</v>
      </c>
      <c r="C456" s="22" t="n">
        <v>90</v>
      </c>
      <c r="D456" s="22" t="n">
        <v>2</v>
      </c>
      <c r="E456" s="23" t="n">
        <v>8</v>
      </c>
      <c r="F456" s="22" t="n">
        <v>1.5</v>
      </c>
      <c r="G456" s="23" t="inlineStr">
        <is>
          <t>Non</t>
        </is>
      </c>
      <c r="H456" s="23" t="inlineStr">
        <is>
          <t>ON</t>
        </is>
      </c>
      <c r="I456" s="24" t="n">
        <v>718.2417398266504</v>
      </c>
      <c r="J456" s="24" t="n">
        <v>2366.073881799197</v>
      </c>
      <c r="K456" s="24" t="n">
        <v>1847.222222222222</v>
      </c>
      <c r="L456" s="24" t="n">
        <v>150</v>
      </c>
      <c r="M456" s="24">
        <f>I456+J456+K456+L456</f>
        <v/>
      </c>
      <c r="N456" s="24">
        <f>M456*'Dashboard &amp; Optimisation'!$B$18/('Dashboard &amp; Optimisation'!$B$16/3.6)</f>
        <v/>
      </c>
      <c r="O456" s="24" t="n">
        <v>548.360630885478</v>
      </c>
      <c r="P456" s="25" t="n">
        <v>0.05481967224812215</v>
      </c>
      <c r="Q456" s="26" t="n">
        <v>14.75401630298203</v>
      </c>
      <c r="R456" s="24" t="n">
        <v>3233.608649555843</v>
      </c>
      <c r="S456" s="24">
        <f>R456*IF(A456=4, 2.0, 3.0)</f>
        <v/>
      </c>
      <c r="T456" s="22">
        <f>'Dashboard &amp; Optimisation'!$B$18*U456</f>
        <v/>
      </c>
      <c r="U456" s="27">
        <f>MIN(1, S456/M456)</f>
        <v/>
      </c>
      <c r="V456" s="27">
        <f>N456/(N456+O456)</f>
        <v/>
      </c>
      <c r="W456" s="27">
        <f>U456*V456</f>
        <v/>
      </c>
      <c r="X456" s="25">
        <f>T456/N456</f>
        <v/>
      </c>
      <c r="Y456" s="28">
        <f>IF(W456=MAXIFS(W$2:W$3601, A$2:A$3601, A456, B$2:B$3601, B456), "OPTIMAL", "")</f>
        <v/>
      </c>
    </row>
    <row r="457" ht="20" customHeight="1">
      <c r="A457" s="29" t="n">
        <v>4</v>
      </c>
      <c r="B457" s="29" t="n">
        <v>30</v>
      </c>
      <c r="C457" s="30" t="n">
        <v>90</v>
      </c>
      <c r="D457" s="30" t="n">
        <v>2</v>
      </c>
      <c r="E457" s="6" t="n">
        <v>8</v>
      </c>
      <c r="F457" s="30" t="n">
        <v>1.5</v>
      </c>
      <c r="G457" s="6" t="inlineStr">
        <is>
          <t>Non</t>
        </is>
      </c>
      <c r="H457" s="6" t="inlineStr">
        <is>
          <t>OFF</t>
        </is>
      </c>
      <c r="I457" s="31" t="n">
        <v>718.2417398266504</v>
      </c>
      <c r="J457" s="31" t="n">
        <v>2366.073881799197</v>
      </c>
      <c r="K457" s="31" t="n">
        <v>1847.222222222222</v>
      </c>
      <c r="L457" s="31" t="n">
        <v>150</v>
      </c>
      <c r="M457" s="31">
        <f>I457+J457+K457+L457</f>
        <v/>
      </c>
      <c r="N457" s="31">
        <f>M457*'Dashboard &amp; Optimisation'!$B$18/('Dashboard &amp; Optimisation'!$B$16/3.6)</f>
        <v/>
      </c>
      <c r="O457" s="31" t="n">
        <v>548.360630885478</v>
      </c>
      <c r="P457" s="32" t="n">
        <v>0.2506177558378123</v>
      </c>
      <c r="Q457" s="33" t="n">
        <v>14.75401630298203</v>
      </c>
      <c r="R457" s="31" t="n">
        <v>707.3136767774021</v>
      </c>
      <c r="S457" s="31">
        <f>R457*IF(A457=4, 2.0, 3.0)</f>
        <v/>
      </c>
      <c r="T457" s="30">
        <f>'Dashboard &amp; Optimisation'!$B$18*U457</f>
        <v/>
      </c>
      <c r="U457" s="34">
        <f>MIN(1, S457/M457)</f>
        <v/>
      </c>
      <c r="V457" s="34">
        <f>N457/(N457+O457)</f>
        <v/>
      </c>
      <c r="W457" s="34">
        <f>U457*V457</f>
        <v/>
      </c>
      <c r="X457" s="32">
        <f>T457/N457</f>
        <v/>
      </c>
      <c r="Y457" s="35">
        <f>IF(W457=MAXIFS(W$2:W$3601, A$2:A$3601, A457, B$2:B$3601, B457), "OPTIMAL", "")</f>
        <v/>
      </c>
    </row>
    <row r="458" ht="20" customHeight="1">
      <c r="A458" s="21" t="n">
        <v>4</v>
      </c>
      <c r="B458" s="21" t="n">
        <v>30</v>
      </c>
      <c r="C458" s="22" t="n">
        <v>90</v>
      </c>
      <c r="D458" s="22" t="n">
        <v>2</v>
      </c>
      <c r="E458" s="23" t="n">
        <v>8</v>
      </c>
      <c r="F458" s="22" t="n">
        <v>2</v>
      </c>
      <c r="G458" s="23" t="inlineStr">
        <is>
          <t>Oui</t>
        </is>
      </c>
      <c r="H458" s="23" t="inlineStr">
        <is>
          <t>ON</t>
        </is>
      </c>
      <c r="I458" s="24" t="n">
        <v>718.2417398266504</v>
      </c>
      <c r="J458" s="24" t="n">
        <v>2366.073881799197</v>
      </c>
      <c r="K458" s="24" t="n">
        <v>1847.222222222222</v>
      </c>
      <c r="L458" s="24" t="n">
        <v>150</v>
      </c>
      <c r="M458" s="24">
        <f>I458+J458+K458+L458</f>
        <v/>
      </c>
      <c r="N458" s="24">
        <f>M458*'Dashboard &amp; Optimisation'!$B$18/('Dashboard &amp; Optimisation'!$B$16/3.6)</f>
        <v/>
      </c>
      <c r="O458" s="24" t="n">
        <v>659.7593418761642</v>
      </c>
      <c r="P458" s="25" t="n">
        <v>0.05730401653259074</v>
      </c>
      <c r="Q458" s="26" t="n">
        <v>19.60535507064271</v>
      </c>
      <c r="R458" s="24" t="n">
        <v>3174.36703663706</v>
      </c>
      <c r="S458" s="24">
        <f>R458*IF(A458=4, 2.0, 3.0)</f>
        <v/>
      </c>
      <c r="T458" s="22">
        <f>'Dashboard &amp; Optimisation'!$B$18*U458</f>
        <v/>
      </c>
      <c r="U458" s="27">
        <f>MIN(1, S458/M458)</f>
        <v/>
      </c>
      <c r="V458" s="27">
        <f>N458/(N458+O458)</f>
        <v/>
      </c>
      <c r="W458" s="27">
        <f>U458*V458</f>
        <v/>
      </c>
      <c r="X458" s="25">
        <f>T458/N458</f>
        <v/>
      </c>
      <c r="Y458" s="28">
        <f>IF(W458=MAXIFS(W$2:W$3601, A$2:A$3601, A458, B$2:B$3601, B458), "OPTIMAL", "")</f>
        <v/>
      </c>
    </row>
    <row r="459" ht="20" customHeight="1">
      <c r="A459" s="29" t="n">
        <v>4</v>
      </c>
      <c r="B459" s="29" t="n">
        <v>30</v>
      </c>
      <c r="C459" s="30" t="n">
        <v>90</v>
      </c>
      <c r="D459" s="30" t="n">
        <v>2</v>
      </c>
      <c r="E459" s="6" t="n">
        <v>8</v>
      </c>
      <c r="F459" s="30" t="n">
        <v>2</v>
      </c>
      <c r="G459" s="6" t="inlineStr">
        <is>
          <t>Oui</t>
        </is>
      </c>
      <c r="H459" s="6" t="inlineStr">
        <is>
          <t>OFF</t>
        </is>
      </c>
      <c r="I459" s="31" t="n">
        <v>718.2417398266504</v>
      </c>
      <c r="J459" s="31" t="n">
        <v>2366.073881799197</v>
      </c>
      <c r="K459" s="31" t="n">
        <v>1847.222222222222</v>
      </c>
      <c r="L459" s="31" t="n">
        <v>150</v>
      </c>
      <c r="M459" s="31">
        <f>I459+J459+K459+L459</f>
        <v/>
      </c>
      <c r="N459" s="31">
        <f>M459*'Dashboard &amp; Optimisation'!$B$18/('Dashboard &amp; Optimisation'!$B$16/3.6)</f>
        <v/>
      </c>
      <c r="O459" s="31" t="n">
        <v>659.7593418761642</v>
      </c>
      <c r="P459" s="32" t="n">
        <v>0.2546454449662799</v>
      </c>
      <c r="Q459" s="33" t="n">
        <v>19.60535507064271</v>
      </c>
      <c r="R459" s="31" t="n">
        <v>714.3421755376338</v>
      </c>
      <c r="S459" s="31">
        <f>R459*IF(A459=4, 2.0, 3.0)</f>
        <v/>
      </c>
      <c r="T459" s="30">
        <f>'Dashboard &amp; Optimisation'!$B$18*U459</f>
        <v/>
      </c>
      <c r="U459" s="34">
        <f>MIN(1, S459/M459)</f>
        <v/>
      </c>
      <c r="V459" s="34">
        <f>N459/(N459+O459)</f>
        <v/>
      </c>
      <c r="W459" s="34">
        <f>U459*V459</f>
        <v/>
      </c>
      <c r="X459" s="32">
        <f>T459/N459</f>
        <v/>
      </c>
      <c r="Y459" s="35">
        <f>IF(W459=MAXIFS(W$2:W$3601, A$2:A$3601, A459, B$2:B$3601, B459), "OPTIMAL", "")</f>
        <v/>
      </c>
    </row>
    <row r="460" ht="20" customHeight="1">
      <c r="A460" s="21" t="n">
        <v>4</v>
      </c>
      <c r="B460" s="21" t="n">
        <v>30</v>
      </c>
      <c r="C460" s="22" t="n">
        <v>90</v>
      </c>
      <c r="D460" s="22" t="n">
        <v>2</v>
      </c>
      <c r="E460" s="23" t="n">
        <v>8</v>
      </c>
      <c r="F460" s="22" t="n">
        <v>2</v>
      </c>
      <c r="G460" s="23" t="inlineStr">
        <is>
          <t>Non</t>
        </is>
      </c>
      <c r="H460" s="23" t="inlineStr">
        <is>
          <t>ON</t>
        </is>
      </c>
      <c r="I460" s="24" t="n">
        <v>718.2417398266504</v>
      </c>
      <c r="J460" s="24" t="n">
        <v>2366.073881799197</v>
      </c>
      <c r="K460" s="24" t="n">
        <v>1847.222222222222</v>
      </c>
      <c r="L460" s="24" t="n">
        <v>150</v>
      </c>
      <c r="M460" s="24">
        <f>I460+J460+K460+L460</f>
        <v/>
      </c>
      <c r="N460" s="24">
        <f>M460*'Dashboard &amp; Optimisation'!$B$18/('Dashboard &amp; Optimisation'!$B$16/3.6)</f>
        <v/>
      </c>
      <c r="O460" s="24" t="n">
        <v>659.7593418761642</v>
      </c>
      <c r="P460" s="25" t="n">
        <v>0.05376724001943751</v>
      </c>
      <c r="Q460" s="26" t="n">
        <v>19.60535507064271</v>
      </c>
      <c r="R460" s="24" t="n">
        <v>3383.174979452185</v>
      </c>
      <c r="S460" s="24">
        <f>R460*IF(A460=4, 2.0, 3.0)</f>
        <v/>
      </c>
      <c r="T460" s="22">
        <f>'Dashboard &amp; Optimisation'!$B$18*U460</f>
        <v/>
      </c>
      <c r="U460" s="27">
        <f>MIN(1, S460/M460)</f>
        <v/>
      </c>
      <c r="V460" s="27">
        <f>N460/(N460+O460)</f>
        <v/>
      </c>
      <c r="W460" s="27">
        <f>U460*V460</f>
        <v/>
      </c>
      <c r="X460" s="25">
        <f>T460/N460</f>
        <v/>
      </c>
      <c r="Y460" s="28">
        <f>IF(W460=MAXIFS(W$2:W$3601, A$2:A$3601, A460, B$2:B$3601, B460), "OPTIMAL", "")</f>
        <v/>
      </c>
    </row>
    <row r="461" ht="20" customHeight="1">
      <c r="A461" s="29" t="n">
        <v>4</v>
      </c>
      <c r="B461" s="29" t="n">
        <v>30</v>
      </c>
      <c r="C461" s="30" t="n">
        <v>90</v>
      </c>
      <c r="D461" s="30" t="n">
        <v>2</v>
      </c>
      <c r="E461" s="6" t="n">
        <v>8</v>
      </c>
      <c r="F461" s="30" t="n">
        <v>2</v>
      </c>
      <c r="G461" s="6" t="inlineStr">
        <is>
          <t>Non</t>
        </is>
      </c>
      <c r="H461" s="6" t="inlineStr">
        <is>
          <t>OFF</t>
        </is>
      </c>
      <c r="I461" s="31" t="n">
        <v>718.2417398266504</v>
      </c>
      <c r="J461" s="31" t="n">
        <v>2366.073881799197</v>
      </c>
      <c r="K461" s="31" t="n">
        <v>1847.222222222222</v>
      </c>
      <c r="L461" s="31" t="n">
        <v>150</v>
      </c>
      <c r="M461" s="31">
        <f>I461+J461+K461+L461</f>
        <v/>
      </c>
      <c r="N461" s="31">
        <f>M461*'Dashboard &amp; Optimisation'!$B$18/('Dashboard &amp; Optimisation'!$B$16/3.6)</f>
        <v/>
      </c>
      <c r="O461" s="31" t="n">
        <v>659.7593418761642</v>
      </c>
      <c r="P461" s="32" t="n">
        <v>0.2511086684531266</v>
      </c>
      <c r="Q461" s="33" t="n">
        <v>19.60535507064271</v>
      </c>
      <c r="R461" s="31" t="n">
        <v>724.4034316637557</v>
      </c>
      <c r="S461" s="31">
        <f>R461*IF(A461=4, 2.0, 3.0)</f>
        <v/>
      </c>
      <c r="T461" s="30">
        <f>'Dashboard &amp; Optimisation'!$B$18*U461</f>
        <v/>
      </c>
      <c r="U461" s="34">
        <f>MIN(1, S461/M461)</f>
        <v/>
      </c>
      <c r="V461" s="34">
        <f>N461/(N461+O461)</f>
        <v/>
      </c>
      <c r="W461" s="34">
        <f>U461*V461</f>
        <v/>
      </c>
      <c r="X461" s="32">
        <f>T461/N461</f>
        <v/>
      </c>
      <c r="Y461" s="35">
        <f>IF(W461=MAXIFS(W$2:W$3601, A$2:A$3601, A461, B$2:B$3601, B461), "OPTIMAL", "")</f>
        <v/>
      </c>
    </row>
    <row r="462" ht="20" customHeight="1">
      <c r="A462" s="21" t="n">
        <v>4</v>
      </c>
      <c r="B462" s="21" t="n">
        <v>30</v>
      </c>
      <c r="C462" s="22" t="n">
        <v>90</v>
      </c>
      <c r="D462" s="22" t="n">
        <v>3</v>
      </c>
      <c r="E462" s="23" t="n">
        <v>0</v>
      </c>
      <c r="F462" s="22" t="n">
        <v>0</v>
      </c>
      <c r="G462" s="23" t="inlineStr">
        <is>
          <t>Oui</t>
        </is>
      </c>
      <c r="H462" s="23" t="inlineStr">
        <is>
          <t>ON</t>
        </is>
      </c>
      <c r="I462" s="24" t="n">
        <v>718.2417398266504</v>
      </c>
      <c r="J462" s="24" t="n">
        <v>2366.073881799197</v>
      </c>
      <c r="K462" s="24" t="n">
        <v>1847.222222222222</v>
      </c>
      <c r="L462" s="24" t="n">
        <v>150</v>
      </c>
      <c r="M462" s="24">
        <f>I462+J462+K462+L462</f>
        <v/>
      </c>
      <c r="N462" s="24">
        <f>M462*'Dashboard &amp; Optimisation'!$B$18/('Dashboard &amp; Optimisation'!$B$16/3.6)</f>
        <v/>
      </c>
      <c r="O462" s="24" t="n">
        <v>382.1218854005322</v>
      </c>
      <c r="P462" s="25" t="n">
        <v>0.4898971107621382</v>
      </c>
      <c r="Q462" s="26" t="n">
        <v>0.2</v>
      </c>
      <c r="R462" s="24" t="n">
        <v>352.3245367379337</v>
      </c>
      <c r="S462" s="24">
        <f>R462*IF(A462=4, 2.0, 3.0)</f>
        <v/>
      </c>
      <c r="T462" s="22">
        <f>'Dashboard &amp; Optimisation'!$B$18*U462</f>
        <v/>
      </c>
      <c r="U462" s="27">
        <f>MIN(1, S462/M462)</f>
        <v/>
      </c>
      <c r="V462" s="27">
        <f>N462/(N462+O462)</f>
        <v/>
      </c>
      <c r="W462" s="27">
        <f>U462*V462</f>
        <v/>
      </c>
      <c r="X462" s="25">
        <f>T462/N462</f>
        <v/>
      </c>
      <c r="Y462" s="28">
        <f>IF(W462=MAXIFS(W$2:W$3601, A$2:A$3601, A462, B$2:B$3601, B462), "OPTIMAL", "")</f>
        <v/>
      </c>
    </row>
    <row r="463" ht="20" customHeight="1">
      <c r="A463" s="29" t="n">
        <v>4</v>
      </c>
      <c r="B463" s="29" t="n">
        <v>30</v>
      </c>
      <c r="C463" s="30" t="n">
        <v>90</v>
      </c>
      <c r="D463" s="30" t="n">
        <v>3</v>
      </c>
      <c r="E463" s="6" t="n">
        <v>0</v>
      </c>
      <c r="F463" s="30" t="n">
        <v>0</v>
      </c>
      <c r="G463" s="6" t="inlineStr">
        <is>
          <t>Oui</t>
        </is>
      </c>
      <c r="H463" s="6" t="inlineStr">
        <is>
          <t>OFF</t>
        </is>
      </c>
      <c r="I463" s="31" t="n">
        <v>718.2417398266504</v>
      </c>
      <c r="J463" s="31" t="n">
        <v>2366.073881799197</v>
      </c>
      <c r="K463" s="31" t="n">
        <v>1847.222222222222</v>
      </c>
      <c r="L463" s="31" t="n">
        <v>150</v>
      </c>
      <c r="M463" s="31">
        <f>I463+J463+K463+L463</f>
        <v/>
      </c>
      <c r="N463" s="31">
        <f>M463*'Dashboard &amp; Optimisation'!$B$18/('Dashboard &amp; Optimisation'!$B$16/3.6)</f>
        <v/>
      </c>
      <c r="O463" s="31" t="n">
        <v>382.1218854005322</v>
      </c>
      <c r="P463" s="32" t="n">
        <v>0.8435747620774612</v>
      </c>
      <c r="Q463" s="33" t="n">
        <v>0.2</v>
      </c>
      <c r="R463" s="31" t="n">
        <v>204.6087440708347</v>
      </c>
      <c r="S463" s="31">
        <f>R463*IF(A463=4, 2.0, 3.0)</f>
        <v/>
      </c>
      <c r="T463" s="30">
        <f>'Dashboard &amp; Optimisation'!$B$18*U463</f>
        <v/>
      </c>
      <c r="U463" s="34">
        <f>MIN(1, S463/M463)</f>
        <v/>
      </c>
      <c r="V463" s="34">
        <f>N463/(N463+O463)</f>
        <v/>
      </c>
      <c r="W463" s="34">
        <f>U463*V463</f>
        <v/>
      </c>
      <c r="X463" s="32">
        <f>T463/N463</f>
        <v/>
      </c>
      <c r="Y463" s="35">
        <f>IF(W463=MAXIFS(W$2:W$3601, A$2:A$3601, A463, B$2:B$3601, B463), "OPTIMAL", "")</f>
        <v/>
      </c>
    </row>
    <row r="464" ht="20" customHeight="1">
      <c r="A464" s="21" t="n">
        <v>4</v>
      </c>
      <c r="B464" s="21" t="n">
        <v>30</v>
      </c>
      <c r="C464" s="22" t="n">
        <v>90</v>
      </c>
      <c r="D464" s="22" t="n">
        <v>3</v>
      </c>
      <c r="E464" s="23" t="n">
        <v>0</v>
      </c>
      <c r="F464" s="22" t="n">
        <v>0</v>
      </c>
      <c r="G464" s="23" t="inlineStr">
        <is>
          <t>Non</t>
        </is>
      </c>
      <c r="H464" s="23" t="inlineStr">
        <is>
          <t>ON</t>
        </is>
      </c>
      <c r="I464" s="24" t="n">
        <v>718.2417398266504</v>
      </c>
      <c r="J464" s="24" t="n">
        <v>2366.073881799197</v>
      </c>
      <c r="K464" s="24" t="n">
        <v>1847.222222222222</v>
      </c>
      <c r="L464" s="24" t="n">
        <v>150</v>
      </c>
      <c r="M464" s="24">
        <f>I464+J464+K464+L464</f>
        <v/>
      </c>
      <c r="N464" s="24">
        <f>M464*'Dashboard &amp; Optimisation'!$B$18/('Dashboard &amp; Optimisation'!$B$16/3.6)</f>
        <v/>
      </c>
      <c r="O464" s="24" t="n">
        <v>382.1218854005322</v>
      </c>
      <c r="P464" s="25" t="n">
        <v>0.486360334248985</v>
      </c>
      <c r="Q464" s="26" t="n">
        <v>0.2</v>
      </c>
      <c r="R464" s="24" t="n">
        <v>354.8866148080264</v>
      </c>
      <c r="S464" s="24">
        <f>R464*IF(A464=4, 2.0, 3.0)</f>
        <v/>
      </c>
      <c r="T464" s="22">
        <f>'Dashboard &amp; Optimisation'!$B$18*U464</f>
        <v/>
      </c>
      <c r="U464" s="27">
        <f>MIN(1, S464/M464)</f>
        <v/>
      </c>
      <c r="V464" s="27">
        <f>N464/(N464+O464)</f>
        <v/>
      </c>
      <c r="W464" s="27">
        <f>U464*V464</f>
        <v/>
      </c>
      <c r="X464" s="25">
        <f>T464/N464</f>
        <v/>
      </c>
      <c r="Y464" s="28">
        <f>IF(W464=MAXIFS(W$2:W$3601, A$2:A$3601, A464, B$2:B$3601, B464), "OPTIMAL", "")</f>
        <v/>
      </c>
    </row>
    <row r="465" ht="20" customHeight="1">
      <c r="A465" s="29" t="n">
        <v>4</v>
      </c>
      <c r="B465" s="29" t="n">
        <v>30</v>
      </c>
      <c r="C465" s="30" t="n">
        <v>90</v>
      </c>
      <c r="D465" s="30" t="n">
        <v>3</v>
      </c>
      <c r="E465" s="6" t="n">
        <v>0</v>
      </c>
      <c r="F465" s="30" t="n">
        <v>0</v>
      </c>
      <c r="G465" s="6" t="inlineStr">
        <is>
          <t>Non</t>
        </is>
      </c>
      <c r="H465" s="6" t="inlineStr">
        <is>
          <t>OFF</t>
        </is>
      </c>
      <c r="I465" s="31" t="n">
        <v>718.2417398266504</v>
      </c>
      <c r="J465" s="31" t="n">
        <v>2366.073881799197</v>
      </c>
      <c r="K465" s="31" t="n">
        <v>1847.222222222222</v>
      </c>
      <c r="L465" s="31" t="n">
        <v>150</v>
      </c>
      <c r="M465" s="31">
        <f>I465+J465+K465+L465</f>
        <v/>
      </c>
      <c r="N465" s="31">
        <f>M465*'Dashboard &amp; Optimisation'!$B$18/('Dashboard &amp; Optimisation'!$B$16/3.6)</f>
        <v/>
      </c>
      <c r="O465" s="31" t="n">
        <v>382.1218854005322</v>
      </c>
      <c r="P465" s="32" t="n">
        <v>0.840037985564308</v>
      </c>
      <c r="Q465" s="33" t="n">
        <v>0.2</v>
      </c>
      <c r="R465" s="31" t="n">
        <v>205.4701996393343</v>
      </c>
      <c r="S465" s="31">
        <f>R465*IF(A465=4, 2.0, 3.0)</f>
        <v/>
      </c>
      <c r="T465" s="30">
        <f>'Dashboard &amp; Optimisation'!$B$18*U465</f>
        <v/>
      </c>
      <c r="U465" s="34">
        <f>MIN(1, S465/M465)</f>
        <v/>
      </c>
      <c r="V465" s="34">
        <f>N465/(N465+O465)</f>
        <v/>
      </c>
      <c r="W465" s="34">
        <f>U465*V465</f>
        <v/>
      </c>
      <c r="X465" s="32">
        <f>T465/N465</f>
        <v/>
      </c>
      <c r="Y465" s="35">
        <f>IF(W465=MAXIFS(W$2:W$3601, A$2:A$3601, A465, B$2:B$3601, B465), "OPTIMAL", "")</f>
        <v/>
      </c>
    </row>
    <row r="466" ht="20" customHeight="1">
      <c r="A466" s="21" t="n">
        <v>4</v>
      </c>
      <c r="B466" s="21" t="n">
        <v>30</v>
      </c>
      <c r="C466" s="22" t="n">
        <v>90</v>
      </c>
      <c r="D466" s="22" t="n">
        <v>3</v>
      </c>
      <c r="E466" s="23" t="n">
        <v>4</v>
      </c>
      <c r="F466" s="22" t="n">
        <v>1.5</v>
      </c>
      <c r="G466" s="23" t="inlineStr">
        <is>
          <t>Oui</t>
        </is>
      </c>
      <c r="H466" s="23" t="inlineStr">
        <is>
          <t>ON</t>
        </is>
      </c>
      <c r="I466" s="24" t="n">
        <v>718.2417398266504</v>
      </c>
      <c r="J466" s="24" t="n">
        <v>2366.073881799197</v>
      </c>
      <c r="K466" s="24" t="n">
        <v>1847.222222222222</v>
      </c>
      <c r="L466" s="24" t="n">
        <v>150</v>
      </c>
      <c r="M466" s="24">
        <f>I466+J466+K466+L466</f>
        <v/>
      </c>
      <c r="N466" s="24">
        <f>M466*'Dashboard &amp; Optimisation'!$B$18/('Dashboard &amp; Optimisation'!$B$16/3.6)</f>
        <v/>
      </c>
      <c r="O466" s="24" t="n">
        <v>537.5714200403676</v>
      </c>
      <c r="P466" s="25" t="n">
        <v>0.07737077298591719</v>
      </c>
      <c r="Q466" s="26" t="n">
        <v>7.65027025033604</v>
      </c>
      <c r="R466" s="24" t="n">
        <v>2315.070645331604</v>
      </c>
      <c r="S466" s="24">
        <f>R466*IF(A466=4, 2.0, 3.0)</f>
        <v/>
      </c>
      <c r="T466" s="22">
        <f>'Dashboard &amp; Optimisation'!$B$18*U466</f>
        <v/>
      </c>
      <c r="U466" s="27">
        <f>MIN(1, S466/M466)</f>
        <v/>
      </c>
      <c r="V466" s="27">
        <f>N466/(N466+O466)</f>
        <v/>
      </c>
      <c r="W466" s="27">
        <f>U466*V466</f>
        <v/>
      </c>
      <c r="X466" s="25">
        <f>T466/N466</f>
        <v/>
      </c>
      <c r="Y466" s="28">
        <f>IF(W466=MAXIFS(W$2:W$3601, A$2:A$3601, A466, B$2:B$3601, B466), "OPTIMAL", "")</f>
        <v/>
      </c>
    </row>
    <row r="467" ht="20" customHeight="1">
      <c r="A467" s="29" t="n">
        <v>4</v>
      </c>
      <c r="B467" s="29" t="n">
        <v>30</v>
      </c>
      <c r="C467" s="30" t="n">
        <v>90</v>
      </c>
      <c r="D467" s="30" t="n">
        <v>3</v>
      </c>
      <c r="E467" s="6" t="n">
        <v>4</v>
      </c>
      <c r="F467" s="30" t="n">
        <v>1.5</v>
      </c>
      <c r="G467" s="6" t="inlineStr">
        <is>
          <t>Oui</t>
        </is>
      </c>
      <c r="H467" s="6" t="inlineStr">
        <is>
          <t>OFF</t>
        </is>
      </c>
      <c r="I467" s="31" t="n">
        <v>718.2417398266504</v>
      </c>
      <c r="J467" s="31" t="n">
        <v>2366.073881799197</v>
      </c>
      <c r="K467" s="31" t="n">
        <v>1847.222222222222</v>
      </c>
      <c r="L467" s="31" t="n">
        <v>150</v>
      </c>
      <c r="M467" s="31">
        <f>I467+J467+K467+L467</f>
        <v/>
      </c>
      <c r="N467" s="31">
        <f>M467*'Dashboard &amp; Optimisation'!$B$18/('Dashboard &amp; Optimisation'!$B$16/3.6)</f>
        <v/>
      </c>
      <c r="O467" s="31" t="n">
        <v>537.5714200403676</v>
      </c>
      <c r="P467" s="32" t="n">
        <v>0.3294279943160268</v>
      </c>
      <c r="Q467" s="33" t="n">
        <v>7.65027025033604</v>
      </c>
      <c r="R467" s="31" t="n">
        <v>543.7267276516889</v>
      </c>
      <c r="S467" s="31">
        <f>R467*IF(A467=4, 2.0, 3.0)</f>
        <v/>
      </c>
      <c r="T467" s="30">
        <f>'Dashboard &amp; Optimisation'!$B$18*U467</f>
        <v/>
      </c>
      <c r="U467" s="34">
        <f>MIN(1, S467/M467)</f>
        <v/>
      </c>
      <c r="V467" s="34">
        <f>N467/(N467+O467)</f>
        <v/>
      </c>
      <c r="W467" s="34">
        <f>U467*V467</f>
        <v/>
      </c>
      <c r="X467" s="32">
        <f>T467/N467</f>
        <v/>
      </c>
      <c r="Y467" s="35">
        <f>IF(W467=MAXIFS(W$2:W$3601, A$2:A$3601, A467, B$2:B$3601, B467), "OPTIMAL", "")</f>
        <v/>
      </c>
    </row>
    <row r="468" ht="20" customHeight="1">
      <c r="A468" s="21" t="n">
        <v>4</v>
      </c>
      <c r="B468" s="21" t="n">
        <v>30</v>
      </c>
      <c r="C468" s="22" t="n">
        <v>90</v>
      </c>
      <c r="D468" s="22" t="n">
        <v>3</v>
      </c>
      <c r="E468" s="23" t="n">
        <v>4</v>
      </c>
      <c r="F468" s="22" t="n">
        <v>1.5</v>
      </c>
      <c r="G468" s="23" t="inlineStr">
        <is>
          <t>Non</t>
        </is>
      </c>
      <c r="H468" s="23" t="inlineStr">
        <is>
          <t>ON</t>
        </is>
      </c>
      <c r="I468" s="24" t="n">
        <v>718.2417398266504</v>
      </c>
      <c r="J468" s="24" t="n">
        <v>2366.073881799197</v>
      </c>
      <c r="K468" s="24" t="n">
        <v>1847.222222222222</v>
      </c>
      <c r="L468" s="24" t="n">
        <v>150</v>
      </c>
      <c r="M468" s="24">
        <f>I468+J468+K468+L468</f>
        <v/>
      </c>
      <c r="N468" s="24">
        <f>M468*'Dashboard &amp; Optimisation'!$B$18/('Dashboard &amp; Optimisation'!$B$16/3.6)</f>
        <v/>
      </c>
      <c r="O468" s="24" t="n">
        <v>537.5714200403676</v>
      </c>
      <c r="P468" s="25" t="n">
        <v>0.07383399647276395</v>
      </c>
      <c r="Q468" s="26" t="n">
        <v>7.65027025033604</v>
      </c>
      <c r="R468" s="24" t="n">
        <v>2425.966545267343</v>
      </c>
      <c r="S468" s="24">
        <f>R468*IF(A468=4, 2.0, 3.0)</f>
        <v/>
      </c>
      <c r="T468" s="22">
        <f>'Dashboard &amp; Optimisation'!$B$18*U468</f>
        <v/>
      </c>
      <c r="U468" s="27">
        <f>MIN(1, S468/M468)</f>
        <v/>
      </c>
      <c r="V468" s="27">
        <f>N468/(N468+O468)</f>
        <v/>
      </c>
      <c r="W468" s="27">
        <f>U468*V468</f>
        <v/>
      </c>
      <c r="X468" s="25">
        <f>T468/N468</f>
        <v/>
      </c>
      <c r="Y468" s="28">
        <f>IF(W468=MAXIFS(W$2:W$3601, A$2:A$3601, A468, B$2:B$3601, B468), "OPTIMAL", "")</f>
        <v/>
      </c>
    </row>
    <row r="469" ht="20" customHeight="1">
      <c r="A469" s="29" t="n">
        <v>4</v>
      </c>
      <c r="B469" s="29" t="n">
        <v>30</v>
      </c>
      <c r="C469" s="30" t="n">
        <v>90</v>
      </c>
      <c r="D469" s="30" t="n">
        <v>3</v>
      </c>
      <c r="E469" s="6" t="n">
        <v>4</v>
      </c>
      <c r="F469" s="30" t="n">
        <v>1.5</v>
      </c>
      <c r="G469" s="6" t="inlineStr">
        <is>
          <t>Non</t>
        </is>
      </c>
      <c r="H469" s="6" t="inlineStr">
        <is>
          <t>OFF</t>
        </is>
      </c>
      <c r="I469" s="31" t="n">
        <v>718.2417398266504</v>
      </c>
      <c r="J469" s="31" t="n">
        <v>2366.073881799197</v>
      </c>
      <c r="K469" s="31" t="n">
        <v>1847.222222222222</v>
      </c>
      <c r="L469" s="31" t="n">
        <v>150</v>
      </c>
      <c r="M469" s="31">
        <f>I469+J469+K469+L469</f>
        <v/>
      </c>
      <c r="N469" s="31">
        <f>M469*'Dashboard &amp; Optimisation'!$B$18/('Dashboard &amp; Optimisation'!$B$16/3.6)</f>
        <v/>
      </c>
      <c r="O469" s="31" t="n">
        <v>537.5714200403676</v>
      </c>
      <c r="P469" s="32" t="n">
        <v>0.3258912178028736</v>
      </c>
      <c r="Q469" s="33" t="n">
        <v>7.65027025033604</v>
      </c>
      <c r="R469" s="31" t="n">
        <v>549.6275921576337</v>
      </c>
      <c r="S469" s="31">
        <f>R469*IF(A469=4, 2.0, 3.0)</f>
        <v/>
      </c>
      <c r="T469" s="30">
        <f>'Dashboard &amp; Optimisation'!$B$18*U469</f>
        <v/>
      </c>
      <c r="U469" s="34">
        <f>MIN(1, S469/M469)</f>
        <v/>
      </c>
      <c r="V469" s="34">
        <f>N469/(N469+O469)</f>
        <v/>
      </c>
      <c r="W469" s="34">
        <f>U469*V469</f>
        <v/>
      </c>
      <c r="X469" s="32">
        <f>T469/N469</f>
        <v/>
      </c>
      <c r="Y469" s="35">
        <f>IF(W469=MAXIFS(W$2:W$3601, A$2:A$3601, A469, B$2:B$3601, B469), "OPTIMAL", "")</f>
        <v/>
      </c>
    </row>
    <row r="470" ht="20" customHeight="1">
      <c r="A470" s="21" t="n">
        <v>4</v>
      </c>
      <c r="B470" s="21" t="n">
        <v>30</v>
      </c>
      <c r="C470" s="22" t="n">
        <v>90</v>
      </c>
      <c r="D470" s="22" t="n">
        <v>3</v>
      </c>
      <c r="E470" s="23" t="n">
        <v>4</v>
      </c>
      <c r="F470" s="22" t="n">
        <v>2</v>
      </c>
      <c r="G470" s="23" t="inlineStr">
        <is>
          <t>Oui</t>
        </is>
      </c>
      <c r="H470" s="23" t="inlineStr">
        <is>
          <t>ON</t>
        </is>
      </c>
      <c r="I470" s="24" t="n">
        <v>718.2417398266504</v>
      </c>
      <c r="J470" s="24" t="n">
        <v>2366.073881799197</v>
      </c>
      <c r="K470" s="24" t="n">
        <v>1847.222222222222</v>
      </c>
      <c r="L470" s="24" t="n">
        <v>150</v>
      </c>
      <c r="M470" s="24">
        <f>I470+J470+K470+L470</f>
        <v/>
      </c>
      <c r="N470" s="24">
        <f>M470*'Dashboard &amp; Optimisation'!$B$18/('Dashboard &amp; Optimisation'!$B$16/3.6)</f>
        <v/>
      </c>
      <c r="O470" s="24" t="n">
        <v>592.0293802924485</v>
      </c>
      <c r="P470" s="25" t="n">
        <v>0.07505349321204312</v>
      </c>
      <c r="Q470" s="26" t="n">
        <v>10.13369366711472</v>
      </c>
      <c r="R470" s="24" t="n">
        <v>2416.963302200776</v>
      </c>
      <c r="S470" s="24">
        <f>R470*IF(A470=4, 2.0, 3.0)</f>
        <v/>
      </c>
      <c r="T470" s="22">
        <f>'Dashboard &amp; Optimisation'!$B$18*U470</f>
        <v/>
      </c>
      <c r="U470" s="27">
        <f>MIN(1, S470/M470)</f>
        <v/>
      </c>
      <c r="V470" s="27">
        <f>N470/(N470+O470)</f>
        <v/>
      </c>
      <c r="W470" s="27">
        <f>U470*V470</f>
        <v/>
      </c>
      <c r="X470" s="25">
        <f>T470/N470</f>
        <v/>
      </c>
      <c r="Y470" s="28">
        <f>IF(W470=MAXIFS(W$2:W$3601, A$2:A$3601, A470, B$2:B$3601, B470), "OPTIMAL", "")</f>
        <v/>
      </c>
    </row>
    <row r="471" ht="20" customHeight="1">
      <c r="A471" s="29" t="n">
        <v>4</v>
      </c>
      <c r="B471" s="29" t="n">
        <v>30</v>
      </c>
      <c r="C471" s="30" t="n">
        <v>90</v>
      </c>
      <c r="D471" s="30" t="n">
        <v>3</v>
      </c>
      <c r="E471" s="6" t="n">
        <v>4</v>
      </c>
      <c r="F471" s="30" t="n">
        <v>2</v>
      </c>
      <c r="G471" s="6" t="inlineStr">
        <is>
          <t>Oui</t>
        </is>
      </c>
      <c r="H471" s="6" t="inlineStr">
        <is>
          <t>OFF</t>
        </is>
      </c>
      <c r="I471" s="31" t="n">
        <v>718.2417398266504</v>
      </c>
      <c r="J471" s="31" t="n">
        <v>2366.073881799197</v>
      </c>
      <c r="K471" s="31" t="n">
        <v>1847.222222222222</v>
      </c>
      <c r="L471" s="31" t="n">
        <v>150</v>
      </c>
      <c r="M471" s="31">
        <f>I471+J471+K471+L471</f>
        <v/>
      </c>
      <c r="N471" s="31">
        <f>M471*'Dashboard &amp; Optimisation'!$B$18/('Dashboard &amp; Optimisation'!$B$16/3.6)</f>
        <v/>
      </c>
      <c r="O471" s="31" t="n">
        <v>592.0293802924485</v>
      </c>
      <c r="P471" s="32" t="n">
        <v>0.3283855657905198</v>
      </c>
      <c r="Q471" s="33" t="n">
        <v>10.13369366711472</v>
      </c>
      <c r="R471" s="31" t="n">
        <v>552.4041178813596</v>
      </c>
      <c r="S471" s="31">
        <f>R471*IF(A471=4, 2.0, 3.0)</f>
        <v/>
      </c>
      <c r="T471" s="30">
        <f>'Dashboard &amp; Optimisation'!$B$18*U471</f>
        <v/>
      </c>
      <c r="U471" s="34">
        <f>MIN(1, S471/M471)</f>
        <v/>
      </c>
      <c r="V471" s="34">
        <f>N471/(N471+O471)</f>
        <v/>
      </c>
      <c r="W471" s="34">
        <f>U471*V471</f>
        <v/>
      </c>
      <c r="X471" s="32">
        <f>T471/N471</f>
        <v/>
      </c>
      <c r="Y471" s="35">
        <f>IF(W471=MAXIFS(W$2:W$3601, A$2:A$3601, A471, B$2:B$3601, B471), "OPTIMAL", "")</f>
        <v/>
      </c>
    </row>
    <row r="472" ht="20" customHeight="1">
      <c r="A472" s="21" t="n">
        <v>4</v>
      </c>
      <c r="B472" s="21" t="n">
        <v>30</v>
      </c>
      <c r="C472" s="22" t="n">
        <v>90</v>
      </c>
      <c r="D472" s="22" t="n">
        <v>3</v>
      </c>
      <c r="E472" s="23" t="n">
        <v>4</v>
      </c>
      <c r="F472" s="22" t="n">
        <v>2</v>
      </c>
      <c r="G472" s="23" t="inlineStr">
        <is>
          <t>Non</t>
        </is>
      </c>
      <c r="H472" s="23" t="inlineStr">
        <is>
          <t>ON</t>
        </is>
      </c>
      <c r="I472" s="24" t="n">
        <v>718.2417398266504</v>
      </c>
      <c r="J472" s="24" t="n">
        <v>2366.073881799197</v>
      </c>
      <c r="K472" s="24" t="n">
        <v>1847.222222222222</v>
      </c>
      <c r="L472" s="24" t="n">
        <v>150</v>
      </c>
      <c r="M472" s="24">
        <f>I472+J472+K472+L472</f>
        <v/>
      </c>
      <c r="N472" s="24">
        <f>M472*'Dashboard &amp; Optimisation'!$B$18/('Dashboard &amp; Optimisation'!$B$16/3.6)</f>
        <v/>
      </c>
      <c r="O472" s="24" t="n">
        <v>592.0293802924485</v>
      </c>
      <c r="P472" s="25" t="n">
        <v>0.07151671669888988</v>
      </c>
      <c r="Q472" s="26" t="n">
        <v>10.13369366711472</v>
      </c>
      <c r="R472" s="24" t="n">
        <v>2536.491427021831</v>
      </c>
      <c r="S472" s="24">
        <f>R472*IF(A472=4, 2.0, 3.0)</f>
        <v/>
      </c>
      <c r="T472" s="22">
        <f>'Dashboard &amp; Optimisation'!$B$18*U472</f>
        <v/>
      </c>
      <c r="U472" s="27">
        <f>MIN(1, S472/M472)</f>
        <v/>
      </c>
      <c r="V472" s="27">
        <f>N472/(N472+O472)</f>
        <v/>
      </c>
      <c r="W472" s="27">
        <f>U472*V472</f>
        <v/>
      </c>
      <c r="X472" s="25">
        <f>T472/N472</f>
        <v/>
      </c>
      <c r="Y472" s="28">
        <f>IF(W472=MAXIFS(W$2:W$3601, A$2:A$3601, A472, B$2:B$3601, B472), "OPTIMAL", "")</f>
        <v/>
      </c>
    </row>
    <row r="473" ht="20" customHeight="1">
      <c r="A473" s="29" t="n">
        <v>4</v>
      </c>
      <c r="B473" s="29" t="n">
        <v>30</v>
      </c>
      <c r="C473" s="30" t="n">
        <v>90</v>
      </c>
      <c r="D473" s="30" t="n">
        <v>3</v>
      </c>
      <c r="E473" s="6" t="n">
        <v>4</v>
      </c>
      <c r="F473" s="30" t="n">
        <v>2</v>
      </c>
      <c r="G473" s="6" t="inlineStr">
        <is>
          <t>Non</t>
        </is>
      </c>
      <c r="H473" s="6" t="inlineStr">
        <is>
          <t>OFF</t>
        </is>
      </c>
      <c r="I473" s="31" t="n">
        <v>718.2417398266504</v>
      </c>
      <c r="J473" s="31" t="n">
        <v>2366.073881799197</v>
      </c>
      <c r="K473" s="31" t="n">
        <v>1847.222222222222</v>
      </c>
      <c r="L473" s="31" t="n">
        <v>150</v>
      </c>
      <c r="M473" s="31">
        <f>I473+J473+K473+L473</f>
        <v/>
      </c>
      <c r="N473" s="31">
        <f>M473*'Dashboard &amp; Optimisation'!$B$18/('Dashboard &amp; Optimisation'!$B$16/3.6)</f>
        <v/>
      </c>
      <c r="O473" s="31" t="n">
        <v>592.0293802924485</v>
      </c>
      <c r="P473" s="32" t="n">
        <v>0.3248487892773665</v>
      </c>
      <c r="Q473" s="33" t="n">
        <v>10.13369366711472</v>
      </c>
      <c r="R473" s="31" t="n">
        <v>558.4183927513322</v>
      </c>
      <c r="S473" s="31">
        <f>R473*IF(A473=4, 2.0, 3.0)</f>
        <v/>
      </c>
      <c r="T473" s="30">
        <f>'Dashboard &amp; Optimisation'!$B$18*U473</f>
        <v/>
      </c>
      <c r="U473" s="34">
        <f>MIN(1, S473/M473)</f>
        <v/>
      </c>
      <c r="V473" s="34">
        <f>N473/(N473+O473)</f>
        <v/>
      </c>
      <c r="W473" s="34">
        <f>U473*V473</f>
        <v/>
      </c>
      <c r="X473" s="32">
        <f>T473/N473</f>
        <v/>
      </c>
      <c r="Y473" s="35">
        <f>IF(W473=MAXIFS(W$2:W$3601, A$2:A$3601, A473, B$2:B$3601, B473), "OPTIMAL", "")</f>
        <v/>
      </c>
    </row>
    <row r="474" ht="20" customHeight="1">
      <c r="A474" s="21" t="n">
        <v>4</v>
      </c>
      <c r="B474" s="21" t="n">
        <v>30</v>
      </c>
      <c r="C474" s="22" t="n">
        <v>90</v>
      </c>
      <c r="D474" s="22" t="n">
        <v>3</v>
      </c>
      <c r="E474" s="23" t="n">
        <v>8</v>
      </c>
      <c r="F474" s="22" t="n">
        <v>1.5</v>
      </c>
      <c r="G474" s="23" t="inlineStr">
        <is>
          <t>Oui</t>
        </is>
      </c>
      <c r="H474" s="23" t="inlineStr">
        <is>
          <t>ON</t>
        </is>
      </c>
      <c r="I474" s="24" t="n">
        <v>718.2417398266504</v>
      </c>
      <c r="J474" s="24" t="n">
        <v>2366.073881799197</v>
      </c>
      <c r="K474" s="24" t="n">
        <v>1847.222222222222</v>
      </c>
      <c r="L474" s="24" t="n">
        <v>150</v>
      </c>
      <c r="M474" s="24">
        <f>I474+J474+K474+L474</f>
        <v/>
      </c>
      <c r="N474" s="24">
        <f>M474*'Dashboard &amp; Optimisation'!$B$18/('Dashboard &amp; Optimisation'!$B$16/3.6)</f>
        <v/>
      </c>
      <c r="O474" s="24" t="n">
        <v>705.2183674207048</v>
      </c>
      <c r="P474" s="25" t="n">
        <v>0.05825094544482953</v>
      </c>
      <c r="Q474" s="26" t="n">
        <v>15.10054050067208</v>
      </c>
      <c r="R474" s="24" t="n">
        <v>3195.589700853811</v>
      </c>
      <c r="S474" s="24">
        <f>R474*IF(A474=4, 2.0, 3.0)</f>
        <v/>
      </c>
      <c r="T474" s="22">
        <f>'Dashboard &amp; Optimisation'!$B$18*U474</f>
        <v/>
      </c>
      <c r="U474" s="27">
        <f>MIN(1, S474/M474)</f>
        <v/>
      </c>
      <c r="V474" s="27">
        <f>N474/(N474+O474)</f>
        <v/>
      </c>
      <c r="W474" s="27">
        <f>U474*V474</f>
        <v/>
      </c>
      <c r="X474" s="25">
        <f>T474/N474</f>
        <v/>
      </c>
      <c r="Y474" s="28">
        <f>IF(W474=MAXIFS(W$2:W$3601, A$2:A$3601, A474, B$2:B$3601, B474), "OPTIMAL", "")</f>
        <v/>
      </c>
    </row>
    <row r="475" ht="20" customHeight="1">
      <c r="A475" s="29" t="n">
        <v>4</v>
      </c>
      <c r="B475" s="29" t="n">
        <v>30</v>
      </c>
      <c r="C475" s="30" t="n">
        <v>90</v>
      </c>
      <c r="D475" s="30" t="n">
        <v>3</v>
      </c>
      <c r="E475" s="6" t="n">
        <v>8</v>
      </c>
      <c r="F475" s="30" t="n">
        <v>1.5</v>
      </c>
      <c r="G475" s="6" t="inlineStr">
        <is>
          <t>Oui</t>
        </is>
      </c>
      <c r="H475" s="6" t="inlineStr">
        <is>
          <t>OFF</t>
        </is>
      </c>
      <c r="I475" s="31" t="n">
        <v>718.2417398266504</v>
      </c>
      <c r="J475" s="31" t="n">
        <v>2366.073881799197</v>
      </c>
      <c r="K475" s="31" t="n">
        <v>1847.222222222222</v>
      </c>
      <c r="L475" s="31" t="n">
        <v>150</v>
      </c>
      <c r="M475" s="31">
        <f>I475+J475+K475+L475</f>
        <v/>
      </c>
      <c r="N475" s="31">
        <f>M475*'Dashboard &amp; Optimisation'!$B$18/('Dashboard &amp; Optimisation'!$B$16/3.6)</f>
        <v/>
      </c>
      <c r="O475" s="31" t="n">
        <v>705.2183674207048</v>
      </c>
      <c r="P475" s="32" t="n">
        <v>0.2540490290345196</v>
      </c>
      <c r="Q475" s="33" t="n">
        <v>15.10054050067208</v>
      </c>
      <c r="R475" s="31" t="n">
        <v>732.7173106542411</v>
      </c>
      <c r="S475" s="31">
        <f>R475*IF(A475=4, 2.0, 3.0)</f>
        <v/>
      </c>
      <c r="T475" s="30">
        <f>'Dashboard &amp; Optimisation'!$B$18*U475</f>
        <v/>
      </c>
      <c r="U475" s="34">
        <f>MIN(1, S475/M475)</f>
        <v/>
      </c>
      <c r="V475" s="34">
        <f>N475/(N475+O475)</f>
        <v/>
      </c>
      <c r="W475" s="34">
        <f>U475*V475</f>
        <v/>
      </c>
      <c r="X475" s="32">
        <f>T475/N475</f>
        <v/>
      </c>
      <c r="Y475" s="35">
        <f>IF(W475=MAXIFS(W$2:W$3601, A$2:A$3601, A475, B$2:B$3601, B475), "OPTIMAL", "")</f>
        <v/>
      </c>
    </row>
    <row r="476" ht="20" customHeight="1">
      <c r="A476" s="21" t="n">
        <v>4</v>
      </c>
      <c r="B476" s="21" t="n">
        <v>30</v>
      </c>
      <c r="C476" s="22" t="n">
        <v>90</v>
      </c>
      <c r="D476" s="22" t="n">
        <v>3</v>
      </c>
      <c r="E476" s="23" t="n">
        <v>8</v>
      </c>
      <c r="F476" s="22" t="n">
        <v>1.5</v>
      </c>
      <c r="G476" s="23" t="inlineStr">
        <is>
          <t>Non</t>
        </is>
      </c>
      <c r="H476" s="23" t="inlineStr">
        <is>
          <t>ON</t>
        </is>
      </c>
      <c r="I476" s="24" t="n">
        <v>718.2417398266504</v>
      </c>
      <c r="J476" s="24" t="n">
        <v>2366.073881799197</v>
      </c>
      <c r="K476" s="24" t="n">
        <v>1847.222222222222</v>
      </c>
      <c r="L476" s="24" t="n">
        <v>150</v>
      </c>
      <c r="M476" s="24">
        <f>I476+J476+K476+L476</f>
        <v/>
      </c>
      <c r="N476" s="24">
        <f>M476*'Dashboard &amp; Optimisation'!$B$18/('Dashboard &amp; Optimisation'!$B$16/3.6)</f>
        <v/>
      </c>
      <c r="O476" s="24" t="n">
        <v>705.2183674207048</v>
      </c>
      <c r="P476" s="25" t="n">
        <v>0.0547141689316763</v>
      </c>
      <c r="Q476" s="26" t="n">
        <v>15.10054050067208</v>
      </c>
      <c r="R476" s="24" t="n">
        <v>3402.155693179629</v>
      </c>
      <c r="S476" s="24">
        <f>R476*IF(A476=4, 2.0, 3.0)</f>
        <v/>
      </c>
      <c r="T476" s="22">
        <f>'Dashboard &amp; Optimisation'!$B$18*U476</f>
        <v/>
      </c>
      <c r="U476" s="27">
        <f>MIN(1, S476/M476)</f>
        <v/>
      </c>
      <c r="V476" s="27">
        <f>N476/(N476+O476)</f>
        <v/>
      </c>
      <c r="W476" s="27">
        <f>U476*V476</f>
        <v/>
      </c>
      <c r="X476" s="25">
        <f>T476/N476</f>
        <v/>
      </c>
      <c r="Y476" s="28">
        <f>IF(W476=MAXIFS(W$2:W$3601, A$2:A$3601, A476, B$2:B$3601, B476), "OPTIMAL", "")</f>
        <v/>
      </c>
    </row>
    <row r="477" ht="20" customHeight="1">
      <c r="A477" s="29" t="n">
        <v>4</v>
      </c>
      <c r="B477" s="29" t="n">
        <v>30</v>
      </c>
      <c r="C477" s="30" t="n">
        <v>90</v>
      </c>
      <c r="D477" s="30" t="n">
        <v>3</v>
      </c>
      <c r="E477" s="6" t="n">
        <v>8</v>
      </c>
      <c r="F477" s="30" t="n">
        <v>1.5</v>
      </c>
      <c r="G477" s="6" t="inlineStr">
        <is>
          <t>Non</t>
        </is>
      </c>
      <c r="H477" s="6" t="inlineStr">
        <is>
          <t>OFF</t>
        </is>
      </c>
      <c r="I477" s="31" t="n">
        <v>718.2417398266504</v>
      </c>
      <c r="J477" s="31" t="n">
        <v>2366.073881799197</v>
      </c>
      <c r="K477" s="31" t="n">
        <v>1847.222222222222</v>
      </c>
      <c r="L477" s="31" t="n">
        <v>150</v>
      </c>
      <c r="M477" s="31">
        <f>I477+J477+K477+L477</f>
        <v/>
      </c>
      <c r="N477" s="31">
        <f>M477*'Dashboard &amp; Optimisation'!$B$18/('Dashboard &amp; Optimisation'!$B$16/3.6)</f>
        <v/>
      </c>
      <c r="O477" s="31" t="n">
        <v>705.2183674207048</v>
      </c>
      <c r="P477" s="32" t="n">
        <v>0.2505122525213664</v>
      </c>
      <c r="Q477" s="33" t="n">
        <v>15.10054050067208</v>
      </c>
      <c r="R477" s="31" t="n">
        <v>743.0619438968075</v>
      </c>
      <c r="S477" s="31">
        <f>R477*IF(A477=4, 2.0, 3.0)</f>
        <v/>
      </c>
      <c r="T477" s="30">
        <f>'Dashboard &amp; Optimisation'!$B$18*U477</f>
        <v/>
      </c>
      <c r="U477" s="34">
        <f>MIN(1, S477/M477)</f>
        <v/>
      </c>
      <c r="V477" s="34">
        <f>N477/(N477+O477)</f>
        <v/>
      </c>
      <c r="W477" s="34">
        <f>U477*V477</f>
        <v/>
      </c>
      <c r="X477" s="32">
        <f>T477/N477</f>
        <v/>
      </c>
      <c r="Y477" s="35">
        <f>IF(W477=MAXIFS(W$2:W$3601, A$2:A$3601, A477, B$2:B$3601, B477), "OPTIMAL", "")</f>
        <v/>
      </c>
    </row>
    <row r="478" ht="20" customHeight="1">
      <c r="A478" s="21" t="n">
        <v>4</v>
      </c>
      <c r="B478" s="21" t="n">
        <v>30</v>
      </c>
      <c r="C478" s="22" t="n">
        <v>90</v>
      </c>
      <c r="D478" s="22" t="n">
        <v>3</v>
      </c>
      <c r="E478" s="23" t="n">
        <v>8</v>
      </c>
      <c r="F478" s="22" t="n">
        <v>2</v>
      </c>
      <c r="G478" s="23" t="inlineStr">
        <is>
          <t>Oui</t>
        </is>
      </c>
      <c r="H478" s="23" t="inlineStr">
        <is>
          <t>ON</t>
        </is>
      </c>
      <c r="I478" s="24" t="n">
        <v>718.2417398266504</v>
      </c>
      <c r="J478" s="24" t="n">
        <v>2366.073881799197</v>
      </c>
      <c r="K478" s="24" t="n">
        <v>1847.222222222222</v>
      </c>
      <c r="L478" s="24" t="n">
        <v>150</v>
      </c>
      <c r="M478" s="24">
        <f>I478+J478+K478+L478</f>
        <v/>
      </c>
      <c r="N478" s="24">
        <f>M478*'Dashboard &amp; Optimisation'!$B$18/('Dashboard &amp; Optimisation'!$B$16/3.6)</f>
        <v/>
      </c>
      <c r="O478" s="24" t="n">
        <v>824.4873244818747</v>
      </c>
      <c r="P478" s="25" t="n">
        <v>0.05722883101616391</v>
      </c>
      <c r="Q478" s="26" t="n">
        <v>20.06738733422944</v>
      </c>
      <c r="R478" s="24" t="n">
        <v>3340.022095556846</v>
      </c>
      <c r="S478" s="24">
        <f>R478*IF(A478=4, 2.0, 3.0)</f>
        <v/>
      </c>
      <c r="T478" s="22">
        <f>'Dashboard &amp; Optimisation'!$B$18*U478</f>
        <v/>
      </c>
      <c r="U478" s="27">
        <f>MIN(1, S478/M478)</f>
        <v/>
      </c>
      <c r="V478" s="27">
        <f>N478/(N478+O478)</f>
        <v/>
      </c>
      <c r="W478" s="27">
        <f>U478*V478</f>
        <v/>
      </c>
      <c r="X478" s="25">
        <f>T478/N478</f>
        <v/>
      </c>
      <c r="Y478" s="28">
        <f>IF(W478=MAXIFS(W$2:W$3601, A$2:A$3601, A478, B$2:B$3601, B478), "OPTIMAL", "")</f>
        <v/>
      </c>
    </row>
    <row r="479" ht="20" customHeight="1">
      <c r="A479" s="29" t="n">
        <v>4</v>
      </c>
      <c r="B479" s="29" t="n">
        <v>30</v>
      </c>
      <c r="C479" s="30" t="n">
        <v>90</v>
      </c>
      <c r="D479" s="30" t="n">
        <v>3</v>
      </c>
      <c r="E479" s="6" t="n">
        <v>8</v>
      </c>
      <c r="F479" s="30" t="n">
        <v>2</v>
      </c>
      <c r="G479" s="6" t="inlineStr">
        <is>
          <t>Oui</t>
        </is>
      </c>
      <c r="H479" s="6" t="inlineStr">
        <is>
          <t>OFF</t>
        </is>
      </c>
      <c r="I479" s="31" t="n">
        <v>718.2417398266504</v>
      </c>
      <c r="J479" s="31" t="n">
        <v>2366.073881799197</v>
      </c>
      <c r="K479" s="31" t="n">
        <v>1847.222222222222</v>
      </c>
      <c r="L479" s="31" t="n">
        <v>150</v>
      </c>
      <c r="M479" s="31">
        <f>I479+J479+K479+L479</f>
        <v/>
      </c>
      <c r="N479" s="31">
        <f>M479*'Dashboard &amp; Optimisation'!$B$18/('Dashboard &amp; Optimisation'!$B$16/3.6)</f>
        <v/>
      </c>
      <c r="O479" s="31" t="n">
        <v>824.4873244818747</v>
      </c>
      <c r="P479" s="32" t="n">
        <v>0.2545702594498531</v>
      </c>
      <c r="Q479" s="33" t="n">
        <v>20.06738733422944</v>
      </c>
      <c r="R479" s="31" t="n">
        <v>750.8558168183409</v>
      </c>
      <c r="S479" s="31">
        <f>R479*IF(A479=4, 2.0, 3.0)</f>
        <v/>
      </c>
      <c r="T479" s="30">
        <f>'Dashboard &amp; Optimisation'!$B$18*U479</f>
        <v/>
      </c>
      <c r="U479" s="34">
        <f>MIN(1, S479/M479)</f>
        <v/>
      </c>
      <c r="V479" s="34">
        <f>N479/(N479+O479)</f>
        <v/>
      </c>
      <c r="W479" s="34">
        <f>U479*V479</f>
        <v/>
      </c>
      <c r="X479" s="32">
        <f>T479/N479</f>
        <v/>
      </c>
      <c r="Y479" s="35">
        <f>IF(W479=MAXIFS(W$2:W$3601, A$2:A$3601, A479, B$2:B$3601, B479), "OPTIMAL", "")</f>
        <v/>
      </c>
    </row>
    <row r="480" ht="20" customHeight="1">
      <c r="A480" s="21" t="n">
        <v>4</v>
      </c>
      <c r="B480" s="21" t="n">
        <v>30</v>
      </c>
      <c r="C480" s="22" t="n">
        <v>90</v>
      </c>
      <c r="D480" s="22" t="n">
        <v>3</v>
      </c>
      <c r="E480" s="23" t="n">
        <v>8</v>
      </c>
      <c r="F480" s="22" t="n">
        <v>2</v>
      </c>
      <c r="G480" s="23" t="inlineStr">
        <is>
          <t>Non</t>
        </is>
      </c>
      <c r="H480" s="23" t="inlineStr">
        <is>
          <t>ON</t>
        </is>
      </c>
      <c r="I480" s="24" t="n">
        <v>718.2417398266504</v>
      </c>
      <c r="J480" s="24" t="n">
        <v>2366.073881799197</v>
      </c>
      <c r="K480" s="24" t="n">
        <v>1847.222222222222</v>
      </c>
      <c r="L480" s="24" t="n">
        <v>150</v>
      </c>
      <c r="M480" s="24">
        <f>I480+J480+K480+L480</f>
        <v/>
      </c>
      <c r="N480" s="24">
        <f>M480*'Dashboard &amp; Optimisation'!$B$18/('Dashboard &amp; Optimisation'!$B$16/3.6)</f>
        <v/>
      </c>
      <c r="O480" s="24" t="n">
        <v>824.4873244818747</v>
      </c>
      <c r="P480" s="25" t="n">
        <v>0.05369205450301068</v>
      </c>
      <c r="Q480" s="26" t="n">
        <v>20.06738733422944</v>
      </c>
      <c r="R480" s="24" t="n">
        <v>3560.034382483134</v>
      </c>
      <c r="S480" s="24">
        <f>R480*IF(A480=4, 2.0, 3.0)</f>
        <v/>
      </c>
      <c r="T480" s="22">
        <f>'Dashboard &amp; Optimisation'!$B$18*U480</f>
        <v/>
      </c>
      <c r="U480" s="27">
        <f>MIN(1, S480/M480)</f>
        <v/>
      </c>
      <c r="V480" s="27">
        <f>N480/(N480+O480)</f>
        <v/>
      </c>
      <c r="W480" s="27">
        <f>U480*V480</f>
        <v/>
      </c>
      <c r="X480" s="25">
        <f>T480/N480</f>
        <v/>
      </c>
      <c r="Y480" s="28">
        <f>IF(W480=MAXIFS(W$2:W$3601, A$2:A$3601, A480, B$2:B$3601, B480), "OPTIMAL", "")</f>
        <v/>
      </c>
    </row>
    <row r="481" ht="20" customHeight="1">
      <c r="A481" s="29" t="n">
        <v>4</v>
      </c>
      <c r="B481" s="29" t="n">
        <v>30</v>
      </c>
      <c r="C481" s="30" t="n">
        <v>90</v>
      </c>
      <c r="D481" s="30" t="n">
        <v>3</v>
      </c>
      <c r="E481" s="6" t="n">
        <v>8</v>
      </c>
      <c r="F481" s="30" t="n">
        <v>2</v>
      </c>
      <c r="G481" s="6" t="inlineStr">
        <is>
          <t>Non</t>
        </is>
      </c>
      <c r="H481" s="6" t="inlineStr">
        <is>
          <t>OFF</t>
        </is>
      </c>
      <c r="I481" s="31" t="n">
        <v>718.2417398266504</v>
      </c>
      <c r="J481" s="31" t="n">
        <v>2366.073881799197</v>
      </c>
      <c r="K481" s="31" t="n">
        <v>1847.222222222222</v>
      </c>
      <c r="L481" s="31" t="n">
        <v>150</v>
      </c>
      <c r="M481" s="31">
        <f>I481+J481+K481+L481</f>
        <v/>
      </c>
      <c r="N481" s="31">
        <f>M481*'Dashboard &amp; Optimisation'!$B$18/('Dashboard &amp; Optimisation'!$B$16/3.6)</f>
        <v/>
      </c>
      <c r="O481" s="31" t="n">
        <v>824.4873244818747</v>
      </c>
      <c r="P481" s="32" t="n">
        <v>0.2510334829366998</v>
      </c>
      <c r="Q481" s="33" t="n">
        <v>20.06738733422944</v>
      </c>
      <c r="R481" s="31" t="n">
        <v>761.4345220437202</v>
      </c>
      <c r="S481" s="31">
        <f>R481*IF(A481=4, 2.0, 3.0)</f>
        <v/>
      </c>
      <c r="T481" s="30">
        <f>'Dashboard &amp; Optimisation'!$B$18*U481</f>
        <v/>
      </c>
      <c r="U481" s="34">
        <f>MIN(1, S481/M481)</f>
        <v/>
      </c>
      <c r="V481" s="34">
        <f>N481/(N481+O481)</f>
        <v/>
      </c>
      <c r="W481" s="34">
        <f>U481*V481</f>
        <v/>
      </c>
      <c r="X481" s="32">
        <f>T481/N481</f>
        <v/>
      </c>
      <c r="Y481" s="35">
        <f>IF(W481=MAXIFS(W$2:W$3601, A$2:A$3601, A481, B$2:B$3601, B481), "OPTIMAL", "")</f>
        <v/>
      </c>
    </row>
    <row r="482" ht="20" customHeight="1">
      <c r="A482" s="21" t="n">
        <v>4</v>
      </c>
      <c r="B482" s="21" t="n">
        <v>30</v>
      </c>
      <c r="C482" s="22" t="n">
        <v>95</v>
      </c>
      <c r="D482" s="22" t="n">
        <v>2</v>
      </c>
      <c r="E482" s="23" t="n">
        <v>0</v>
      </c>
      <c r="F482" s="22" t="n">
        <v>0</v>
      </c>
      <c r="G482" s="23" t="inlineStr">
        <is>
          <t>Oui</t>
        </is>
      </c>
      <c r="H482" s="23" t="inlineStr">
        <is>
          <t>ON</t>
        </is>
      </c>
      <c r="I482" s="24" t="n">
        <v>718.2417398266504</v>
      </c>
      <c r="J482" s="24" t="n">
        <v>2366.073881799197</v>
      </c>
      <c r="K482" s="24" t="n">
        <v>1847.222222222222</v>
      </c>
      <c r="L482" s="24" t="n">
        <v>150</v>
      </c>
      <c r="M482" s="24">
        <f>I482+J482+K482+L482</f>
        <v/>
      </c>
      <c r="N482" s="24">
        <f>M482*'Dashboard &amp; Optimisation'!$B$18/('Dashboard &amp; Optimisation'!$B$16/3.6)</f>
        <v/>
      </c>
      <c r="O482" s="24" t="n">
        <v>232.0332036221144</v>
      </c>
      <c r="P482" s="25" t="n">
        <v>0.4850371448496216</v>
      </c>
      <c r="Q482" s="26" t="n">
        <v>0.2</v>
      </c>
      <c r="R482" s="24" t="n">
        <v>303.213515982803</v>
      </c>
      <c r="S482" s="24">
        <f>R482*IF(A482=4, 2.0, 3.0)</f>
        <v/>
      </c>
      <c r="T482" s="22">
        <f>'Dashboard &amp; Optimisation'!$B$18*U482</f>
        <v/>
      </c>
      <c r="U482" s="27">
        <f>MIN(1, S482/M482)</f>
        <v/>
      </c>
      <c r="V482" s="27">
        <f>N482/(N482+O482)</f>
        <v/>
      </c>
      <c r="W482" s="27">
        <f>U482*V482</f>
        <v/>
      </c>
      <c r="X482" s="25">
        <f>T482/N482</f>
        <v/>
      </c>
      <c r="Y482" s="28">
        <f>IF(W482=MAXIFS(W$2:W$3601, A$2:A$3601, A482, B$2:B$3601, B482), "OPTIMAL", "")</f>
        <v/>
      </c>
    </row>
    <row r="483" ht="20" customHeight="1">
      <c r="A483" s="29" t="n">
        <v>4</v>
      </c>
      <c r="B483" s="29" t="n">
        <v>30</v>
      </c>
      <c r="C483" s="30" t="n">
        <v>95</v>
      </c>
      <c r="D483" s="30" t="n">
        <v>2</v>
      </c>
      <c r="E483" s="6" t="n">
        <v>0</v>
      </c>
      <c r="F483" s="30" t="n">
        <v>0</v>
      </c>
      <c r="G483" s="6" t="inlineStr">
        <is>
          <t>Oui</t>
        </is>
      </c>
      <c r="H483" s="6" t="inlineStr">
        <is>
          <t>OFF</t>
        </is>
      </c>
      <c r="I483" s="31" t="n">
        <v>718.2417398266504</v>
      </c>
      <c r="J483" s="31" t="n">
        <v>2366.073881799197</v>
      </c>
      <c r="K483" s="31" t="n">
        <v>1847.222222222222</v>
      </c>
      <c r="L483" s="31" t="n">
        <v>150</v>
      </c>
      <c r="M483" s="31">
        <f>I483+J483+K483+L483</f>
        <v/>
      </c>
      <c r="N483" s="31">
        <f>M483*'Dashboard &amp; Optimisation'!$B$18/('Dashboard &amp; Optimisation'!$B$16/3.6)</f>
        <v/>
      </c>
      <c r="O483" s="31" t="n">
        <v>232.0332036221144</v>
      </c>
      <c r="P483" s="32" t="n">
        <v>0.8201001829378223</v>
      </c>
      <c r="Q483" s="33" t="n">
        <v>0.2</v>
      </c>
      <c r="R483" s="31" t="n">
        <v>179.3315269669489</v>
      </c>
      <c r="S483" s="31">
        <f>R483*IF(A483=4, 2.0, 3.0)</f>
        <v/>
      </c>
      <c r="T483" s="30">
        <f>'Dashboard &amp; Optimisation'!$B$18*U483</f>
        <v/>
      </c>
      <c r="U483" s="34">
        <f>MIN(1, S483/M483)</f>
        <v/>
      </c>
      <c r="V483" s="34">
        <f>N483/(N483+O483)</f>
        <v/>
      </c>
      <c r="W483" s="34">
        <f>U483*V483</f>
        <v/>
      </c>
      <c r="X483" s="32">
        <f>T483/N483</f>
        <v/>
      </c>
      <c r="Y483" s="35">
        <f>IF(W483=MAXIFS(W$2:W$3601, A$2:A$3601, A483, B$2:B$3601, B483), "OPTIMAL", "")</f>
        <v/>
      </c>
    </row>
    <row r="484" ht="20" customHeight="1">
      <c r="A484" s="21" t="n">
        <v>4</v>
      </c>
      <c r="B484" s="21" t="n">
        <v>30</v>
      </c>
      <c r="C484" s="22" t="n">
        <v>95</v>
      </c>
      <c r="D484" s="22" t="n">
        <v>2</v>
      </c>
      <c r="E484" s="23" t="n">
        <v>0</v>
      </c>
      <c r="F484" s="22" t="n">
        <v>0</v>
      </c>
      <c r="G484" s="23" t="inlineStr">
        <is>
          <t>Non</t>
        </is>
      </c>
      <c r="H484" s="23" t="inlineStr">
        <is>
          <t>ON</t>
        </is>
      </c>
      <c r="I484" s="24" t="n">
        <v>718.2417398266504</v>
      </c>
      <c r="J484" s="24" t="n">
        <v>2366.073881799197</v>
      </c>
      <c r="K484" s="24" t="n">
        <v>1847.222222222222</v>
      </c>
      <c r="L484" s="24" t="n">
        <v>150</v>
      </c>
      <c r="M484" s="24">
        <f>I484+J484+K484+L484</f>
        <v/>
      </c>
      <c r="N484" s="24">
        <f>M484*'Dashboard &amp; Optimisation'!$B$18/('Dashboard &amp; Optimisation'!$B$16/3.6)</f>
        <v/>
      </c>
      <c r="O484" s="24" t="n">
        <v>232.0332036221144</v>
      </c>
      <c r="P484" s="25" t="n">
        <v>0.4816865144687396</v>
      </c>
      <c r="Q484" s="26" t="n">
        <v>0.2</v>
      </c>
      <c r="R484" s="24" t="n">
        <v>305.3226811514947</v>
      </c>
      <c r="S484" s="24">
        <f>R484*IF(A484=4, 2.0, 3.0)</f>
        <v/>
      </c>
      <c r="T484" s="22">
        <f>'Dashboard &amp; Optimisation'!$B$18*U484</f>
        <v/>
      </c>
      <c r="U484" s="27">
        <f>MIN(1, S484/M484)</f>
        <v/>
      </c>
      <c r="V484" s="27">
        <f>N484/(N484+O484)</f>
        <v/>
      </c>
      <c r="W484" s="27">
        <f>U484*V484</f>
        <v/>
      </c>
      <c r="X484" s="25">
        <f>T484/N484</f>
        <v/>
      </c>
      <c r="Y484" s="28">
        <f>IF(W484=MAXIFS(W$2:W$3601, A$2:A$3601, A484, B$2:B$3601, B484), "OPTIMAL", "")</f>
        <v/>
      </c>
    </row>
    <row r="485" ht="20" customHeight="1">
      <c r="A485" s="29" t="n">
        <v>4</v>
      </c>
      <c r="B485" s="29" t="n">
        <v>30</v>
      </c>
      <c r="C485" s="30" t="n">
        <v>95</v>
      </c>
      <c r="D485" s="30" t="n">
        <v>2</v>
      </c>
      <c r="E485" s="6" t="n">
        <v>0</v>
      </c>
      <c r="F485" s="30" t="n">
        <v>0</v>
      </c>
      <c r="G485" s="6" t="inlineStr">
        <is>
          <t>Non</t>
        </is>
      </c>
      <c r="H485" s="6" t="inlineStr">
        <is>
          <t>OFF</t>
        </is>
      </c>
      <c r="I485" s="31" t="n">
        <v>718.2417398266504</v>
      </c>
      <c r="J485" s="31" t="n">
        <v>2366.073881799197</v>
      </c>
      <c r="K485" s="31" t="n">
        <v>1847.222222222222</v>
      </c>
      <c r="L485" s="31" t="n">
        <v>150</v>
      </c>
      <c r="M485" s="31">
        <f>I485+J485+K485+L485</f>
        <v/>
      </c>
      <c r="N485" s="31">
        <f>M485*'Dashboard &amp; Optimisation'!$B$18/('Dashboard &amp; Optimisation'!$B$16/3.6)</f>
        <v/>
      </c>
      <c r="O485" s="31" t="n">
        <v>232.0332036221144</v>
      </c>
      <c r="P485" s="32" t="n">
        <v>0.8167495525569404</v>
      </c>
      <c r="Q485" s="33" t="n">
        <v>0.2</v>
      </c>
      <c r="R485" s="31" t="n">
        <v>180.0672159680929</v>
      </c>
      <c r="S485" s="31">
        <f>R485*IF(A485=4, 2.0, 3.0)</f>
        <v/>
      </c>
      <c r="T485" s="30">
        <f>'Dashboard &amp; Optimisation'!$B$18*U485</f>
        <v/>
      </c>
      <c r="U485" s="34">
        <f>MIN(1, S485/M485)</f>
        <v/>
      </c>
      <c r="V485" s="34">
        <f>N485/(N485+O485)</f>
        <v/>
      </c>
      <c r="W485" s="34">
        <f>U485*V485</f>
        <v/>
      </c>
      <c r="X485" s="32">
        <f>T485/N485</f>
        <v/>
      </c>
      <c r="Y485" s="35">
        <f>IF(W485=MAXIFS(W$2:W$3601, A$2:A$3601, A485, B$2:B$3601, B485), "OPTIMAL", "")</f>
        <v/>
      </c>
    </row>
    <row r="486" ht="20" customHeight="1">
      <c r="A486" s="21" t="n">
        <v>4</v>
      </c>
      <c r="B486" s="21" t="n">
        <v>30</v>
      </c>
      <c r="C486" s="22" t="n">
        <v>95</v>
      </c>
      <c r="D486" s="22" t="n">
        <v>2</v>
      </c>
      <c r="E486" s="23" t="n">
        <v>4</v>
      </c>
      <c r="F486" s="22" t="n">
        <v>1.5</v>
      </c>
      <c r="G486" s="23" t="inlineStr">
        <is>
          <t>Oui</t>
        </is>
      </c>
      <c r="H486" s="23" t="inlineStr">
        <is>
          <t>ON</t>
        </is>
      </c>
      <c r="I486" s="24" t="n">
        <v>718.2417398266504</v>
      </c>
      <c r="J486" s="24" t="n">
        <v>2366.073881799197</v>
      </c>
      <c r="K486" s="24" t="n">
        <v>1847.222222222222</v>
      </c>
      <c r="L486" s="24" t="n">
        <v>150</v>
      </c>
      <c r="M486" s="24">
        <f>I486+J486+K486+L486</f>
        <v/>
      </c>
      <c r="N486" s="24">
        <f>M486*'Dashboard &amp; Optimisation'!$B$18/('Dashboard &amp; Optimisation'!$B$16/3.6)</f>
        <v/>
      </c>
      <c r="O486" s="24" t="n">
        <v>366.8128548730818</v>
      </c>
      <c r="P486" s="25" t="n">
        <v>0.07557959322797822</v>
      </c>
      <c r="Q486" s="26" t="n">
        <v>7.077172538771729</v>
      </c>
      <c r="R486" s="24" t="n">
        <v>2013.506661534128</v>
      </c>
      <c r="S486" s="24">
        <f>R486*IF(A486=4, 2.0, 3.0)</f>
        <v/>
      </c>
      <c r="T486" s="22">
        <f>'Dashboard &amp; Optimisation'!$B$18*U486</f>
        <v/>
      </c>
      <c r="U486" s="27">
        <f>MIN(1, S486/M486)</f>
        <v/>
      </c>
      <c r="V486" s="27">
        <f>N486/(N486+O486)</f>
        <v/>
      </c>
      <c r="W486" s="27">
        <f>U486*V486</f>
        <v/>
      </c>
      <c r="X486" s="25">
        <f>T486/N486</f>
        <v/>
      </c>
      <c r="Y486" s="28">
        <f>IF(W486=MAXIFS(W$2:W$3601, A$2:A$3601, A486, B$2:B$3601, B486), "OPTIMAL", "")</f>
        <v/>
      </c>
    </row>
    <row r="487" ht="20" customHeight="1">
      <c r="A487" s="29" t="n">
        <v>4</v>
      </c>
      <c r="B487" s="29" t="n">
        <v>30</v>
      </c>
      <c r="C487" s="30" t="n">
        <v>95</v>
      </c>
      <c r="D487" s="30" t="n">
        <v>2</v>
      </c>
      <c r="E487" s="6" t="n">
        <v>4</v>
      </c>
      <c r="F487" s="30" t="n">
        <v>1.5</v>
      </c>
      <c r="G487" s="6" t="inlineStr">
        <is>
          <t>Oui</t>
        </is>
      </c>
      <c r="H487" s="6" t="inlineStr">
        <is>
          <t>OFF</t>
        </is>
      </c>
      <c r="I487" s="31" t="n">
        <v>718.2417398266504</v>
      </c>
      <c r="J487" s="31" t="n">
        <v>2366.073881799197</v>
      </c>
      <c r="K487" s="31" t="n">
        <v>1847.222222222222</v>
      </c>
      <c r="L487" s="31" t="n">
        <v>150</v>
      </c>
      <c r="M487" s="31">
        <f>I487+J487+K487+L487</f>
        <v/>
      </c>
      <c r="N487" s="31">
        <f>M487*'Dashboard &amp; Optimisation'!$B$18/('Dashboard &amp; Optimisation'!$B$16/3.6)</f>
        <v/>
      </c>
      <c r="O487" s="31" t="n">
        <v>366.8128548730818</v>
      </c>
      <c r="P487" s="32" t="n">
        <v>0.3180372372232345</v>
      </c>
      <c r="Q487" s="33" t="n">
        <v>7.077172538771729</v>
      </c>
      <c r="R487" s="31" t="n">
        <v>478.4974733438419</v>
      </c>
      <c r="S487" s="31">
        <f>R487*IF(A487=4, 2.0, 3.0)</f>
        <v/>
      </c>
      <c r="T487" s="30">
        <f>'Dashboard &amp; Optimisation'!$B$18*U487</f>
        <v/>
      </c>
      <c r="U487" s="34">
        <f>MIN(1, S487/M487)</f>
        <v/>
      </c>
      <c r="V487" s="34">
        <f>N487/(N487+O487)</f>
        <v/>
      </c>
      <c r="W487" s="34">
        <f>U487*V487</f>
        <v/>
      </c>
      <c r="X487" s="32">
        <f>T487/N487</f>
        <v/>
      </c>
      <c r="Y487" s="35">
        <f>IF(W487=MAXIFS(W$2:W$3601, A$2:A$3601, A487, B$2:B$3601, B487), "OPTIMAL", "")</f>
        <v/>
      </c>
    </row>
    <row r="488" ht="20" customHeight="1">
      <c r="A488" s="21" t="n">
        <v>4</v>
      </c>
      <c r="B488" s="21" t="n">
        <v>30</v>
      </c>
      <c r="C488" s="22" t="n">
        <v>95</v>
      </c>
      <c r="D488" s="22" t="n">
        <v>2</v>
      </c>
      <c r="E488" s="23" t="n">
        <v>4</v>
      </c>
      <c r="F488" s="22" t="n">
        <v>1.5</v>
      </c>
      <c r="G488" s="23" t="inlineStr">
        <is>
          <t>Non</t>
        </is>
      </c>
      <c r="H488" s="23" t="inlineStr">
        <is>
          <t>ON</t>
        </is>
      </c>
      <c r="I488" s="24" t="n">
        <v>718.2417398266504</v>
      </c>
      <c r="J488" s="24" t="n">
        <v>2366.073881799197</v>
      </c>
      <c r="K488" s="24" t="n">
        <v>1847.222222222222</v>
      </c>
      <c r="L488" s="24" t="n">
        <v>150</v>
      </c>
      <c r="M488" s="24">
        <f>I488+J488+K488+L488</f>
        <v/>
      </c>
      <c r="N488" s="24">
        <f>M488*'Dashboard &amp; Optimisation'!$B$18/('Dashboard &amp; Optimisation'!$B$16/3.6)</f>
        <v/>
      </c>
      <c r="O488" s="24" t="n">
        <v>366.8128548730818</v>
      </c>
      <c r="P488" s="25" t="n">
        <v>0.07222896284709622</v>
      </c>
      <c r="Q488" s="26" t="n">
        <v>7.077172538771729</v>
      </c>
      <c r="R488" s="24" t="n">
        <v>2106.91125058418</v>
      </c>
      <c r="S488" s="24">
        <f>R488*IF(A488=4, 2.0, 3.0)</f>
        <v/>
      </c>
      <c r="T488" s="22">
        <f>'Dashboard &amp; Optimisation'!$B$18*U488</f>
        <v/>
      </c>
      <c r="U488" s="27">
        <f>MIN(1, S488/M488)</f>
        <v/>
      </c>
      <c r="V488" s="27">
        <f>N488/(N488+O488)</f>
        <v/>
      </c>
      <c r="W488" s="27">
        <f>U488*V488</f>
        <v/>
      </c>
      <c r="X488" s="25">
        <f>T488/N488</f>
        <v/>
      </c>
      <c r="Y488" s="28">
        <f>IF(W488=MAXIFS(W$2:W$3601, A$2:A$3601, A488, B$2:B$3601, B488), "OPTIMAL", "")</f>
        <v/>
      </c>
    </row>
    <row r="489" ht="20" customHeight="1">
      <c r="A489" s="29" t="n">
        <v>4</v>
      </c>
      <c r="B489" s="29" t="n">
        <v>30</v>
      </c>
      <c r="C489" s="30" t="n">
        <v>95</v>
      </c>
      <c r="D489" s="30" t="n">
        <v>2</v>
      </c>
      <c r="E489" s="6" t="n">
        <v>4</v>
      </c>
      <c r="F489" s="30" t="n">
        <v>1.5</v>
      </c>
      <c r="G489" s="6" t="inlineStr">
        <is>
          <t>Non</t>
        </is>
      </c>
      <c r="H489" s="6" t="inlineStr">
        <is>
          <t>OFF</t>
        </is>
      </c>
      <c r="I489" s="31" t="n">
        <v>718.2417398266504</v>
      </c>
      <c r="J489" s="31" t="n">
        <v>2366.073881799197</v>
      </c>
      <c r="K489" s="31" t="n">
        <v>1847.222222222222</v>
      </c>
      <c r="L489" s="31" t="n">
        <v>150</v>
      </c>
      <c r="M489" s="31">
        <f>I489+J489+K489+L489</f>
        <v/>
      </c>
      <c r="N489" s="31">
        <f>M489*'Dashboard &amp; Optimisation'!$B$18/('Dashboard &amp; Optimisation'!$B$16/3.6)</f>
        <v/>
      </c>
      <c r="O489" s="31" t="n">
        <v>366.8128548730818</v>
      </c>
      <c r="P489" s="32" t="n">
        <v>0.3146866068423525</v>
      </c>
      <c r="Q489" s="33" t="n">
        <v>7.077172538771729</v>
      </c>
      <c r="R489" s="31" t="n">
        <v>483.5922823903684</v>
      </c>
      <c r="S489" s="31">
        <f>R489*IF(A489=4, 2.0, 3.0)</f>
        <v/>
      </c>
      <c r="T489" s="30">
        <f>'Dashboard &amp; Optimisation'!$B$18*U489</f>
        <v/>
      </c>
      <c r="U489" s="34">
        <f>MIN(1, S489/M489)</f>
        <v/>
      </c>
      <c r="V489" s="34">
        <f>N489/(N489+O489)</f>
        <v/>
      </c>
      <c r="W489" s="34">
        <f>U489*V489</f>
        <v/>
      </c>
      <c r="X489" s="32">
        <f>T489/N489</f>
        <v/>
      </c>
      <c r="Y489" s="35">
        <f>IF(W489=MAXIFS(W$2:W$3601, A$2:A$3601, A489, B$2:B$3601, B489), "OPTIMAL", "")</f>
        <v/>
      </c>
    </row>
    <row r="490" ht="20" customHeight="1">
      <c r="A490" s="21" t="n">
        <v>4</v>
      </c>
      <c r="B490" s="21" t="n">
        <v>30</v>
      </c>
      <c r="C490" s="22" t="n">
        <v>95</v>
      </c>
      <c r="D490" s="22" t="n">
        <v>2</v>
      </c>
      <c r="E490" s="23" t="n">
        <v>4</v>
      </c>
      <c r="F490" s="22" t="n">
        <v>2</v>
      </c>
      <c r="G490" s="23" t="inlineStr">
        <is>
          <t>Oui</t>
        </is>
      </c>
      <c r="H490" s="23" t="inlineStr">
        <is>
          <t>ON</t>
        </is>
      </c>
      <c r="I490" s="24" t="n">
        <v>718.2417398266504</v>
      </c>
      <c r="J490" s="24" t="n">
        <v>2366.073881799197</v>
      </c>
      <c r="K490" s="24" t="n">
        <v>1847.222222222222</v>
      </c>
      <c r="L490" s="24" t="n">
        <v>150</v>
      </c>
      <c r="M490" s="24">
        <f>I490+J490+K490+L490</f>
        <v/>
      </c>
      <c r="N490" s="24">
        <f>M490*'Dashboard &amp; Optimisation'!$B$18/('Dashboard &amp; Optimisation'!$B$16/3.6)</f>
        <v/>
      </c>
      <c r="O490" s="24" t="n">
        <v>413.8451964892702</v>
      </c>
      <c r="P490" s="25" t="n">
        <v>0.07304296145994044</v>
      </c>
      <c r="Q490" s="26" t="n">
        <v>9.36956338502897</v>
      </c>
      <c r="R490" s="24" t="n">
        <v>2107.845186320131</v>
      </c>
      <c r="S490" s="24">
        <f>R490*IF(A490=4, 2.0, 3.0)</f>
        <v/>
      </c>
      <c r="T490" s="22">
        <f>'Dashboard &amp; Optimisation'!$B$18*U490</f>
        <v/>
      </c>
      <c r="U490" s="27">
        <f>MIN(1, S490/M490)</f>
        <v/>
      </c>
      <c r="V490" s="27">
        <f>N490/(N490+O490)</f>
        <v/>
      </c>
      <c r="W490" s="27">
        <f>U490*V490</f>
        <v/>
      </c>
      <c r="X490" s="25">
        <f>T490/N490</f>
        <v/>
      </c>
      <c r="Y490" s="28">
        <f>IF(W490=MAXIFS(W$2:W$3601, A$2:A$3601, A490, B$2:B$3601, B490), "OPTIMAL", "")</f>
        <v/>
      </c>
    </row>
    <row r="491" ht="20" customHeight="1">
      <c r="A491" s="29" t="n">
        <v>4</v>
      </c>
      <c r="B491" s="29" t="n">
        <v>30</v>
      </c>
      <c r="C491" s="30" t="n">
        <v>95</v>
      </c>
      <c r="D491" s="30" t="n">
        <v>2</v>
      </c>
      <c r="E491" s="6" t="n">
        <v>4</v>
      </c>
      <c r="F491" s="30" t="n">
        <v>2</v>
      </c>
      <c r="G491" s="6" t="inlineStr">
        <is>
          <t>Oui</t>
        </is>
      </c>
      <c r="H491" s="6" t="inlineStr">
        <is>
          <t>OFF</t>
        </is>
      </c>
      <c r="I491" s="31" t="n">
        <v>718.2417398266504</v>
      </c>
      <c r="J491" s="31" t="n">
        <v>2366.073881799197</v>
      </c>
      <c r="K491" s="31" t="n">
        <v>1847.222222222222</v>
      </c>
      <c r="L491" s="31" t="n">
        <v>150</v>
      </c>
      <c r="M491" s="31">
        <f>I491+J491+K491+L491</f>
        <v/>
      </c>
      <c r="N491" s="31">
        <f>M491*'Dashboard &amp; Optimisation'!$B$18/('Dashboard &amp; Optimisation'!$B$16/3.6)</f>
        <v/>
      </c>
      <c r="O491" s="31" t="n">
        <v>413.8451964892702</v>
      </c>
      <c r="P491" s="32" t="n">
        <v>0.316679947936384</v>
      </c>
      <c r="Q491" s="33" t="n">
        <v>9.36956338502897</v>
      </c>
      <c r="R491" s="31" t="n">
        <v>486.1793609326697</v>
      </c>
      <c r="S491" s="31">
        <f>R491*IF(A491=4, 2.0, 3.0)</f>
        <v/>
      </c>
      <c r="T491" s="30">
        <f>'Dashboard &amp; Optimisation'!$B$18*U491</f>
        <v/>
      </c>
      <c r="U491" s="34">
        <f>MIN(1, S491/M491)</f>
        <v/>
      </c>
      <c r="V491" s="34">
        <f>N491/(N491+O491)</f>
        <v/>
      </c>
      <c r="W491" s="34">
        <f>U491*V491</f>
        <v/>
      </c>
      <c r="X491" s="32">
        <f>T491/N491</f>
        <v/>
      </c>
      <c r="Y491" s="35">
        <f>IF(W491=MAXIFS(W$2:W$3601, A$2:A$3601, A491, B$2:B$3601, B491), "OPTIMAL", "")</f>
        <v/>
      </c>
    </row>
    <row r="492" ht="20" customHeight="1">
      <c r="A492" s="21" t="n">
        <v>4</v>
      </c>
      <c r="B492" s="21" t="n">
        <v>30</v>
      </c>
      <c r="C492" s="22" t="n">
        <v>95</v>
      </c>
      <c r="D492" s="22" t="n">
        <v>2</v>
      </c>
      <c r="E492" s="23" t="n">
        <v>4</v>
      </c>
      <c r="F492" s="22" t="n">
        <v>2</v>
      </c>
      <c r="G492" s="23" t="inlineStr">
        <is>
          <t>Non</t>
        </is>
      </c>
      <c r="H492" s="23" t="inlineStr">
        <is>
          <t>ON</t>
        </is>
      </c>
      <c r="I492" s="24" t="n">
        <v>718.2417398266504</v>
      </c>
      <c r="J492" s="24" t="n">
        <v>2366.073881799197</v>
      </c>
      <c r="K492" s="24" t="n">
        <v>1847.222222222222</v>
      </c>
      <c r="L492" s="24" t="n">
        <v>150</v>
      </c>
      <c r="M492" s="24">
        <f>I492+J492+K492+L492</f>
        <v/>
      </c>
      <c r="N492" s="24">
        <f>M492*'Dashboard &amp; Optimisation'!$B$18/('Dashboard &amp; Optimisation'!$B$16/3.6)</f>
        <v/>
      </c>
      <c r="O492" s="24" t="n">
        <v>413.8451964892702</v>
      </c>
      <c r="P492" s="25" t="n">
        <v>0.06969233107905842</v>
      </c>
      <c r="Q492" s="26" t="n">
        <v>9.36956338502897</v>
      </c>
      <c r="R492" s="24" t="n">
        <v>2209.18503261496</v>
      </c>
      <c r="S492" s="24">
        <f>R492*IF(A492=4, 2.0, 3.0)</f>
        <v/>
      </c>
      <c r="T492" s="22">
        <f>'Dashboard &amp; Optimisation'!$B$18*U492</f>
        <v/>
      </c>
      <c r="U492" s="27">
        <f>MIN(1, S492/M492)</f>
        <v/>
      </c>
      <c r="V492" s="27">
        <f>N492/(N492+O492)</f>
        <v/>
      </c>
      <c r="W492" s="27">
        <f>U492*V492</f>
        <v/>
      </c>
      <c r="X492" s="25">
        <f>T492/N492</f>
        <v/>
      </c>
      <c r="Y492" s="28">
        <f>IF(W492=MAXIFS(W$2:W$3601, A$2:A$3601, A492, B$2:B$3601, B492), "OPTIMAL", "")</f>
        <v/>
      </c>
    </row>
    <row r="493" ht="20" customHeight="1">
      <c r="A493" s="29" t="n">
        <v>4</v>
      </c>
      <c r="B493" s="29" t="n">
        <v>30</v>
      </c>
      <c r="C493" s="30" t="n">
        <v>95</v>
      </c>
      <c r="D493" s="30" t="n">
        <v>2</v>
      </c>
      <c r="E493" s="6" t="n">
        <v>4</v>
      </c>
      <c r="F493" s="30" t="n">
        <v>2</v>
      </c>
      <c r="G493" s="6" t="inlineStr">
        <is>
          <t>Non</t>
        </is>
      </c>
      <c r="H493" s="6" t="inlineStr">
        <is>
          <t>OFF</t>
        </is>
      </c>
      <c r="I493" s="31" t="n">
        <v>718.2417398266504</v>
      </c>
      <c r="J493" s="31" t="n">
        <v>2366.073881799197</v>
      </c>
      <c r="K493" s="31" t="n">
        <v>1847.222222222222</v>
      </c>
      <c r="L493" s="31" t="n">
        <v>150</v>
      </c>
      <c r="M493" s="31">
        <f>I493+J493+K493+L493</f>
        <v/>
      </c>
      <c r="N493" s="31">
        <f>M493*'Dashboard &amp; Optimisation'!$B$18/('Dashboard &amp; Optimisation'!$B$16/3.6)</f>
        <v/>
      </c>
      <c r="O493" s="31" t="n">
        <v>413.8451964892702</v>
      </c>
      <c r="P493" s="32" t="n">
        <v>0.313329317555502</v>
      </c>
      <c r="Q493" s="33" t="n">
        <v>9.36956338502897</v>
      </c>
      <c r="R493" s="31" t="n">
        <v>491.3783871521368</v>
      </c>
      <c r="S493" s="31">
        <f>R493*IF(A493=4, 2.0, 3.0)</f>
        <v/>
      </c>
      <c r="T493" s="30">
        <f>'Dashboard &amp; Optimisation'!$B$18*U493</f>
        <v/>
      </c>
      <c r="U493" s="34">
        <f>MIN(1, S493/M493)</f>
        <v/>
      </c>
      <c r="V493" s="34">
        <f>N493/(N493+O493)</f>
        <v/>
      </c>
      <c r="W493" s="34">
        <f>U493*V493</f>
        <v/>
      </c>
      <c r="X493" s="32">
        <f>T493/N493</f>
        <v/>
      </c>
      <c r="Y493" s="35">
        <f>IF(W493=MAXIFS(W$2:W$3601, A$2:A$3601, A493, B$2:B$3601, B493), "OPTIMAL", "")</f>
        <v/>
      </c>
    </row>
    <row r="494" ht="20" customHeight="1">
      <c r="A494" s="21" t="n">
        <v>4</v>
      </c>
      <c r="B494" s="21" t="n">
        <v>30</v>
      </c>
      <c r="C494" s="22" t="n">
        <v>95</v>
      </c>
      <c r="D494" s="22" t="n">
        <v>2</v>
      </c>
      <c r="E494" s="23" t="n">
        <v>8</v>
      </c>
      <c r="F494" s="22" t="n">
        <v>1.5</v>
      </c>
      <c r="G494" s="23" t="inlineStr">
        <is>
          <t>Oui</t>
        </is>
      </c>
      <c r="H494" s="23" t="inlineStr">
        <is>
          <t>ON</t>
        </is>
      </c>
      <c r="I494" s="24" t="n">
        <v>718.2417398266504</v>
      </c>
      <c r="J494" s="24" t="n">
        <v>2366.073881799197</v>
      </c>
      <c r="K494" s="24" t="n">
        <v>1847.222222222222</v>
      </c>
      <c r="L494" s="24" t="n">
        <v>150</v>
      </c>
      <c r="M494" s="24">
        <f>I494+J494+K494+L494</f>
        <v/>
      </c>
      <c r="N494" s="24">
        <f>M494*'Dashboard &amp; Optimisation'!$B$18/('Dashboard &amp; Optimisation'!$B$16/3.6)</f>
        <v/>
      </c>
      <c r="O494" s="24" t="n">
        <v>511.2959763939659</v>
      </c>
      <c r="P494" s="25" t="n">
        <v>0.05699087655301123</v>
      </c>
      <c r="Q494" s="26" t="n">
        <v>13.95434507754346</v>
      </c>
      <c r="R494" s="24" t="n">
        <v>2766.374712656212</v>
      </c>
      <c r="S494" s="24">
        <f>R494*IF(A494=4, 2.0, 3.0)</f>
        <v/>
      </c>
      <c r="T494" s="22">
        <f>'Dashboard &amp; Optimisation'!$B$18*U494</f>
        <v/>
      </c>
      <c r="U494" s="27">
        <f>MIN(1, S494/M494)</f>
        <v/>
      </c>
      <c r="V494" s="27">
        <f>N494/(N494+O494)</f>
        <v/>
      </c>
      <c r="W494" s="27">
        <f>U494*V494</f>
        <v/>
      </c>
      <c r="X494" s="25">
        <f>T494/N494</f>
        <v/>
      </c>
      <c r="Y494" s="28">
        <f>IF(W494=MAXIFS(W$2:W$3601, A$2:A$3601, A494, B$2:B$3601, B494), "OPTIMAL", "")</f>
        <v/>
      </c>
    </row>
    <row r="495" ht="20" customHeight="1">
      <c r="A495" s="29" t="n">
        <v>4</v>
      </c>
      <c r="B495" s="29" t="n">
        <v>30</v>
      </c>
      <c r="C495" s="30" t="n">
        <v>95</v>
      </c>
      <c r="D495" s="30" t="n">
        <v>2</v>
      </c>
      <c r="E495" s="6" t="n">
        <v>8</v>
      </c>
      <c r="F495" s="30" t="n">
        <v>1.5</v>
      </c>
      <c r="G495" s="6" t="inlineStr">
        <is>
          <t>Oui</t>
        </is>
      </c>
      <c r="H495" s="6" t="inlineStr">
        <is>
          <t>OFF</t>
        </is>
      </c>
      <c r="I495" s="31" t="n">
        <v>718.2417398266504</v>
      </c>
      <c r="J495" s="31" t="n">
        <v>2366.073881799197</v>
      </c>
      <c r="K495" s="31" t="n">
        <v>1847.222222222222</v>
      </c>
      <c r="L495" s="31" t="n">
        <v>150</v>
      </c>
      <c r="M495" s="31">
        <f>I495+J495+K495+L495</f>
        <v/>
      </c>
      <c r="N495" s="31">
        <f>M495*'Dashboard &amp; Optimisation'!$B$18/('Dashboard &amp; Optimisation'!$B$16/3.6)</f>
        <v/>
      </c>
      <c r="O495" s="31" t="n">
        <v>511.2959763939659</v>
      </c>
      <c r="P495" s="32" t="n">
        <v>0.2469467888801933</v>
      </c>
      <c r="Q495" s="33" t="n">
        <v>13.95434507754346</v>
      </c>
      <c r="R495" s="31" t="n">
        <v>638.4295194251349</v>
      </c>
      <c r="S495" s="31">
        <f>R495*IF(A495=4, 2.0, 3.0)</f>
        <v/>
      </c>
      <c r="T495" s="30">
        <f>'Dashboard &amp; Optimisation'!$B$18*U495</f>
        <v/>
      </c>
      <c r="U495" s="34">
        <f>MIN(1, S495/M495)</f>
        <v/>
      </c>
      <c r="V495" s="34">
        <f>N495/(N495+O495)</f>
        <v/>
      </c>
      <c r="W495" s="34">
        <f>U495*V495</f>
        <v/>
      </c>
      <c r="X495" s="32">
        <f>T495/N495</f>
        <v/>
      </c>
      <c r="Y495" s="35">
        <f>IF(W495=MAXIFS(W$2:W$3601, A$2:A$3601, A495, B$2:B$3601, B495), "OPTIMAL", "")</f>
        <v/>
      </c>
    </row>
    <row r="496" ht="20" customHeight="1">
      <c r="A496" s="21" t="n">
        <v>4</v>
      </c>
      <c r="B496" s="21" t="n">
        <v>30</v>
      </c>
      <c r="C496" s="22" t="n">
        <v>95</v>
      </c>
      <c r="D496" s="22" t="n">
        <v>2</v>
      </c>
      <c r="E496" s="23" t="n">
        <v>8</v>
      </c>
      <c r="F496" s="22" t="n">
        <v>1.5</v>
      </c>
      <c r="G496" s="23" t="inlineStr">
        <is>
          <t>Non</t>
        </is>
      </c>
      <c r="H496" s="23" t="inlineStr">
        <is>
          <t>ON</t>
        </is>
      </c>
      <c r="I496" s="24" t="n">
        <v>718.2417398266504</v>
      </c>
      <c r="J496" s="24" t="n">
        <v>2366.073881799197</v>
      </c>
      <c r="K496" s="24" t="n">
        <v>1847.222222222222</v>
      </c>
      <c r="L496" s="24" t="n">
        <v>150</v>
      </c>
      <c r="M496" s="24">
        <f>I496+J496+K496+L496</f>
        <v/>
      </c>
      <c r="N496" s="24">
        <f>M496*'Dashboard &amp; Optimisation'!$B$18/('Dashboard &amp; Optimisation'!$B$16/3.6)</f>
        <v/>
      </c>
      <c r="O496" s="24" t="n">
        <v>511.2959763939659</v>
      </c>
      <c r="P496" s="25" t="n">
        <v>0.05364024617212922</v>
      </c>
      <c r="Q496" s="26" t="n">
        <v>13.95434507754346</v>
      </c>
      <c r="R496" s="24" t="n">
        <v>2939.175917322304</v>
      </c>
      <c r="S496" s="24">
        <f>R496*IF(A496=4, 2.0, 3.0)</f>
        <v/>
      </c>
      <c r="T496" s="22">
        <f>'Dashboard &amp; Optimisation'!$B$18*U496</f>
        <v/>
      </c>
      <c r="U496" s="27">
        <f>MIN(1, S496/M496)</f>
        <v/>
      </c>
      <c r="V496" s="27">
        <f>N496/(N496+O496)</f>
        <v/>
      </c>
      <c r="W496" s="27">
        <f>U496*V496</f>
        <v/>
      </c>
      <c r="X496" s="25">
        <f>T496/N496</f>
        <v/>
      </c>
      <c r="Y496" s="28">
        <f>IF(W496=MAXIFS(W$2:W$3601, A$2:A$3601, A496, B$2:B$3601, B496), "OPTIMAL", "")</f>
        <v/>
      </c>
    </row>
    <row r="497" ht="20" customHeight="1">
      <c r="A497" s="29" t="n">
        <v>4</v>
      </c>
      <c r="B497" s="29" t="n">
        <v>30</v>
      </c>
      <c r="C497" s="30" t="n">
        <v>95</v>
      </c>
      <c r="D497" s="30" t="n">
        <v>2</v>
      </c>
      <c r="E497" s="6" t="n">
        <v>8</v>
      </c>
      <c r="F497" s="30" t="n">
        <v>1.5</v>
      </c>
      <c r="G497" s="6" t="inlineStr">
        <is>
          <t>Non</t>
        </is>
      </c>
      <c r="H497" s="6" t="inlineStr">
        <is>
          <t>OFF</t>
        </is>
      </c>
      <c r="I497" s="31" t="n">
        <v>718.2417398266504</v>
      </c>
      <c r="J497" s="31" t="n">
        <v>2366.073881799197</v>
      </c>
      <c r="K497" s="31" t="n">
        <v>1847.222222222222</v>
      </c>
      <c r="L497" s="31" t="n">
        <v>150</v>
      </c>
      <c r="M497" s="31">
        <f>I497+J497+K497+L497</f>
        <v/>
      </c>
      <c r="N497" s="31">
        <f>M497*'Dashboard &amp; Optimisation'!$B$18/('Dashboard &amp; Optimisation'!$B$16/3.6)</f>
        <v/>
      </c>
      <c r="O497" s="31" t="n">
        <v>511.2959763939659</v>
      </c>
      <c r="P497" s="32" t="n">
        <v>0.2435961584993113</v>
      </c>
      <c r="Q497" s="33" t="n">
        <v>13.95434507754346</v>
      </c>
      <c r="R497" s="31" t="n">
        <v>647.2110263134869</v>
      </c>
      <c r="S497" s="31">
        <f>R497*IF(A497=4, 2.0, 3.0)</f>
        <v/>
      </c>
      <c r="T497" s="30">
        <f>'Dashboard &amp; Optimisation'!$B$18*U497</f>
        <v/>
      </c>
      <c r="U497" s="34">
        <f>MIN(1, S497/M497)</f>
        <v/>
      </c>
      <c r="V497" s="34">
        <f>N497/(N497+O497)</f>
        <v/>
      </c>
      <c r="W497" s="34">
        <f>U497*V497</f>
        <v/>
      </c>
      <c r="X497" s="32">
        <f>T497/N497</f>
        <v/>
      </c>
      <c r="Y497" s="35">
        <f>IF(W497=MAXIFS(W$2:W$3601, A$2:A$3601, A497, B$2:B$3601, B497), "OPTIMAL", "")</f>
        <v/>
      </c>
    </row>
    <row r="498" ht="20" customHeight="1">
      <c r="A498" s="21" t="n">
        <v>4</v>
      </c>
      <c r="B498" s="21" t="n">
        <v>30</v>
      </c>
      <c r="C498" s="22" t="n">
        <v>95</v>
      </c>
      <c r="D498" s="22" t="n">
        <v>2</v>
      </c>
      <c r="E498" s="23" t="n">
        <v>8</v>
      </c>
      <c r="F498" s="22" t="n">
        <v>2</v>
      </c>
      <c r="G498" s="23" t="inlineStr">
        <is>
          <t>Oui</t>
        </is>
      </c>
      <c r="H498" s="23" t="inlineStr">
        <is>
          <t>ON</t>
        </is>
      </c>
      <c r="I498" s="24" t="n">
        <v>718.2417398266504</v>
      </c>
      <c r="J498" s="24" t="n">
        <v>2366.073881799197</v>
      </c>
      <c r="K498" s="24" t="n">
        <v>1847.222222222222</v>
      </c>
      <c r="L498" s="24" t="n">
        <v>150</v>
      </c>
      <c r="M498" s="24">
        <f>I498+J498+K498+L498</f>
        <v/>
      </c>
      <c r="N498" s="24">
        <f>M498*'Dashboard &amp; Optimisation'!$B$18/('Dashboard &amp; Optimisation'!$B$16/3.6)</f>
        <v/>
      </c>
      <c r="O498" s="24" t="n">
        <v>613.5390812930568</v>
      </c>
      <c r="P498" s="25" t="n">
        <v>0.05584601824581075</v>
      </c>
      <c r="Q498" s="26" t="n">
        <v>18.53912677005794</v>
      </c>
      <c r="R498" s="24" t="n">
        <v>2892.501413450569</v>
      </c>
      <c r="S498" s="24">
        <f>R498*IF(A498=4, 2.0, 3.0)</f>
        <v/>
      </c>
      <c r="T498" s="22">
        <f>'Dashboard &amp; Optimisation'!$B$18*U498</f>
        <v/>
      </c>
      <c r="U498" s="27">
        <f>MIN(1, S498/M498)</f>
        <v/>
      </c>
      <c r="V498" s="27">
        <f>N498/(N498+O498)</f>
        <v/>
      </c>
      <c r="W498" s="27">
        <f>U498*V498</f>
        <v/>
      </c>
      <c r="X498" s="25">
        <f>T498/N498</f>
        <v/>
      </c>
      <c r="Y498" s="28">
        <f>IF(W498=MAXIFS(W$2:W$3601, A$2:A$3601, A498, B$2:B$3601, B498), "OPTIMAL", "")</f>
        <v/>
      </c>
    </row>
    <row r="499" ht="20" customHeight="1">
      <c r="A499" s="29" t="n">
        <v>4</v>
      </c>
      <c r="B499" s="29" t="n">
        <v>30</v>
      </c>
      <c r="C499" s="30" t="n">
        <v>95</v>
      </c>
      <c r="D499" s="30" t="n">
        <v>2</v>
      </c>
      <c r="E499" s="6" t="n">
        <v>8</v>
      </c>
      <c r="F499" s="30" t="n">
        <v>2</v>
      </c>
      <c r="G499" s="6" t="inlineStr">
        <is>
          <t>Oui</t>
        </is>
      </c>
      <c r="H499" s="6" t="inlineStr">
        <is>
          <t>OFF</t>
        </is>
      </c>
      <c r="I499" s="31" t="n">
        <v>718.2417398266504</v>
      </c>
      <c r="J499" s="31" t="n">
        <v>2366.073881799197</v>
      </c>
      <c r="K499" s="31" t="n">
        <v>1847.222222222222</v>
      </c>
      <c r="L499" s="31" t="n">
        <v>150</v>
      </c>
      <c r="M499" s="31">
        <f>I499+J499+K499+L499</f>
        <v/>
      </c>
      <c r="N499" s="31">
        <f>M499*'Dashboard &amp; Optimisation'!$B$18/('Dashboard &amp; Optimisation'!$B$16/3.6)</f>
        <v/>
      </c>
      <c r="O499" s="31" t="n">
        <v>613.5390812930568</v>
      </c>
      <c r="P499" s="32" t="n">
        <v>0.2472541696165357</v>
      </c>
      <c r="Q499" s="33" t="n">
        <v>18.53912677005794</v>
      </c>
      <c r="R499" s="31" t="n">
        <v>653.3143079532958</v>
      </c>
      <c r="S499" s="31">
        <f>R499*IF(A499=4, 2.0, 3.0)</f>
        <v/>
      </c>
      <c r="T499" s="30">
        <f>'Dashboard &amp; Optimisation'!$B$18*U499</f>
        <v/>
      </c>
      <c r="U499" s="34">
        <f>MIN(1, S499/M499)</f>
        <v/>
      </c>
      <c r="V499" s="34">
        <f>N499/(N499+O499)</f>
        <v/>
      </c>
      <c r="W499" s="34">
        <f>U499*V499</f>
        <v/>
      </c>
      <c r="X499" s="32">
        <f>T499/N499</f>
        <v/>
      </c>
      <c r="Y499" s="35">
        <f>IF(W499=MAXIFS(W$2:W$3601, A$2:A$3601, A499, B$2:B$3601, B499), "OPTIMAL", "")</f>
        <v/>
      </c>
    </row>
    <row r="500" ht="20" customHeight="1">
      <c r="A500" s="21" t="n">
        <v>4</v>
      </c>
      <c r="B500" s="21" t="n">
        <v>30</v>
      </c>
      <c r="C500" s="22" t="n">
        <v>95</v>
      </c>
      <c r="D500" s="22" t="n">
        <v>2</v>
      </c>
      <c r="E500" s="23" t="n">
        <v>8</v>
      </c>
      <c r="F500" s="22" t="n">
        <v>2</v>
      </c>
      <c r="G500" s="23" t="inlineStr">
        <is>
          <t>Non</t>
        </is>
      </c>
      <c r="H500" s="23" t="inlineStr">
        <is>
          <t>ON</t>
        </is>
      </c>
      <c r="I500" s="24" t="n">
        <v>718.2417398266504</v>
      </c>
      <c r="J500" s="24" t="n">
        <v>2366.073881799197</v>
      </c>
      <c r="K500" s="24" t="n">
        <v>1847.222222222222</v>
      </c>
      <c r="L500" s="24" t="n">
        <v>150</v>
      </c>
      <c r="M500" s="24">
        <f>I500+J500+K500+L500</f>
        <v/>
      </c>
      <c r="N500" s="24">
        <f>M500*'Dashboard &amp; Optimisation'!$B$18/('Dashboard &amp; Optimisation'!$B$16/3.6)</f>
        <v/>
      </c>
      <c r="O500" s="24" t="n">
        <v>613.5390812930568</v>
      </c>
      <c r="P500" s="25" t="n">
        <v>0.05249538786492874</v>
      </c>
      <c r="Q500" s="26" t="n">
        <v>18.53912677005794</v>
      </c>
      <c r="R500" s="24" t="n">
        <v>3077.121501173104</v>
      </c>
      <c r="S500" s="24">
        <f>R500*IF(A500=4, 2.0, 3.0)</f>
        <v/>
      </c>
      <c r="T500" s="22">
        <f>'Dashboard &amp; Optimisation'!$B$18*U500</f>
        <v/>
      </c>
      <c r="U500" s="27">
        <f>MIN(1, S500/M500)</f>
        <v/>
      </c>
      <c r="V500" s="27">
        <f>N500/(N500+O500)</f>
        <v/>
      </c>
      <c r="W500" s="27">
        <f>U500*V500</f>
        <v/>
      </c>
      <c r="X500" s="25">
        <f>T500/N500</f>
        <v/>
      </c>
      <c r="Y500" s="28">
        <f>IF(W500=MAXIFS(W$2:W$3601, A$2:A$3601, A500, B$2:B$3601, B500), "OPTIMAL", "")</f>
        <v/>
      </c>
    </row>
    <row r="501" ht="20" customHeight="1">
      <c r="A501" s="29" t="n">
        <v>4</v>
      </c>
      <c r="B501" s="29" t="n">
        <v>30</v>
      </c>
      <c r="C501" s="30" t="n">
        <v>95</v>
      </c>
      <c r="D501" s="30" t="n">
        <v>2</v>
      </c>
      <c r="E501" s="6" t="n">
        <v>8</v>
      </c>
      <c r="F501" s="30" t="n">
        <v>2</v>
      </c>
      <c r="G501" s="6" t="inlineStr">
        <is>
          <t>Non</t>
        </is>
      </c>
      <c r="H501" s="6" t="inlineStr">
        <is>
          <t>OFF</t>
        </is>
      </c>
      <c r="I501" s="31" t="n">
        <v>718.2417398266504</v>
      </c>
      <c r="J501" s="31" t="n">
        <v>2366.073881799197</v>
      </c>
      <c r="K501" s="31" t="n">
        <v>1847.222222222222</v>
      </c>
      <c r="L501" s="31" t="n">
        <v>150</v>
      </c>
      <c r="M501" s="31">
        <f>I501+J501+K501+L501</f>
        <v/>
      </c>
      <c r="N501" s="31">
        <f>M501*'Dashboard &amp; Optimisation'!$B$18/('Dashboard &amp; Optimisation'!$B$16/3.6)</f>
        <v/>
      </c>
      <c r="O501" s="31" t="n">
        <v>613.5390812930568</v>
      </c>
      <c r="P501" s="32" t="n">
        <v>0.2439035392356537</v>
      </c>
      <c r="Q501" s="33" t="n">
        <v>18.53912677005794</v>
      </c>
      <c r="R501" s="31" t="n">
        <v>662.2892280194546</v>
      </c>
      <c r="S501" s="31">
        <f>R501*IF(A501=4, 2.0, 3.0)</f>
        <v/>
      </c>
      <c r="T501" s="30">
        <f>'Dashboard &amp; Optimisation'!$B$18*U501</f>
        <v/>
      </c>
      <c r="U501" s="34">
        <f>MIN(1, S501/M501)</f>
        <v/>
      </c>
      <c r="V501" s="34">
        <f>N501/(N501+O501)</f>
        <v/>
      </c>
      <c r="W501" s="34">
        <f>U501*V501</f>
        <v/>
      </c>
      <c r="X501" s="32">
        <f>T501/N501</f>
        <v/>
      </c>
      <c r="Y501" s="35">
        <f>IF(W501=MAXIFS(W$2:W$3601, A$2:A$3601, A501, B$2:B$3601, B501), "OPTIMAL", "")</f>
        <v/>
      </c>
    </row>
    <row r="502" ht="20" customHeight="1">
      <c r="A502" s="21" t="n">
        <v>4</v>
      </c>
      <c r="B502" s="21" t="n">
        <v>30</v>
      </c>
      <c r="C502" s="22" t="n">
        <v>95</v>
      </c>
      <c r="D502" s="22" t="n">
        <v>3</v>
      </c>
      <c r="E502" s="23" t="n">
        <v>0</v>
      </c>
      <c r="F502" s="22" t="n">
        <v>0</v>
      </c>
      <c r="G502" s="23" t="inlineStr">
        <is>
          <t>Oui</t>
        </is>
      </c>
      <c r="H502" s="23" t="inlineStr">
        <is>
          <t>ON</t>
        </is>
      </c>
      <c r="I502" s="24" t="n">
        <v>718.2417398266504</v>
      </c>
      <c r="J502" s="24" t="n">
        <v>2366.073881799197</v>
      </c>
      <c r="K502" s="24" t="n">
        <v>1847.222222222222</v>
      </c>
      <c r="L502" s="24" t="n">
        <v>150</v>
      </c>
      <c r="M502" s="24">
        <f>I502+J502+K502+L502</f>
        <v/>
      </c>
      <c r="N502" s="24">
        <f>M502*'Dashboard &amp; Optimisation'!$B$18/('Dashboard &amp; Optimisation'!$B$16/3.6)</f>
        <v/>
      </c>
      <c r="O502" s="24" t="n">
        <v>359.9556919864209</v>
      </c>
      <c r="P502" s="25" t="n">
        <v>0.4850543981280133</v>
      </c>
      <c r="Q502" s="26" t="n">
        <v>0.2</v>
      </c>
      <c r="R502" s="24" t="n">
        <v>316.9829331266766</v>
      </c>
      <c r="S502" s="24">
        <f>R502*IF(A502=4, 2.0, 3.0)</f>
        <v/>
      </c>
      <c r="T502" s="22">
        <f>'Dashboard &amp; Optimisation'!$B$18*U502</f>
        <v/>
      </c>
      <c r="U502" s="27">
        <f>MIN(1, S502/M502)</f>
        <v/>
      </c>
      <c r="V502" s="27">
        <f>N502/(N502+O502)</f>
        <v/>
      </c>
      <c r="W502" s="27">
        <f>U502*V502</f>
        <v/>
      </c>
      <c r="X502" s="25">
        <f>T502/N502</f>
        <v/>
      </c>
      <c r="Y502" s="28">
        <f>IF(W502=MAXIFS(W$2:W$3601, A$2:A$3601, A502, B$2:B$3601, B502), "OPTIMAL", "")</f>
        <v/>
      </c>
    </row>
    <row r="503" ht="20" customHeight="1">
      <c r="A503" s="29" t="n">
        <v>4</v>
      </c>
      <c r="B503" s="29" t="n">
        <v>30</v>
      </c>
      <c r="C503" s="30" t="n">
        <v>95</v>
      </c>
      <c r="D503" s="30" t="n">
        <v>3</v>
      </c>
      <c r="E503" s="6" t="n">
        <v>0</v>
      </c>
      <c r="F503" s="30" t="n">
        <v>0</v>
      </c>
      <c r="G503" s="6" t="inlineStr">
        <is>
          <t>Oui</t>
        </is>
      </c>
      <c r="H503" s="6" t="inlineStr">
        <is>
          <t>OFF</t>
        </is>
      </c>
      <c r="I503" s="31" t="n">
        <v>718.2417398266504</v>
      </c>
      <c r="J503" s="31" t="n">
        <v>2366.073881799197</v>
      </c>
      <c r="K503" s="31" t="n">
        <v>1847.222222222222</v>
      </c>
      <c r="L503" s="31" t="n">
        <v>150</v>
      </c>
      <c r="M503" s="31">
        <f>I503+J503+K503+L503</f>
        <v/>
      </c>
      <c r="N503" s="31">
        <f>M503*'Dashboard &amp; Optimisation'!$B$18/('Dashboard &amp; Optimisation'!$B$16/3.6)</f>
        <v/>
      </c>
      <c r="O503" s="31" t="n">
        <v>359.9556919864209</v>
      </c>
      <c r="P503" s="32" t="n">
        <v>0.820117436216214</v>
      </c>
      <c r="Q503" s="33" t="n">
        <v>0.2</v>
      </c>
      <c r="R503" s="31" t="n">
        <v>187.4779867551518</v>
      </c>
      <c r="S503" s="31">
        <f>R503*IF(A503=4, 2.0, 3.0)</f>
        <v/>
      </c>
      <c r="T503" s="30">
        <f>'Dashboard &amp; Optimisation'!$B$18*U503</f>
        <v/>
      </c>
      <c r="U503" s="34">
        <f>MIN(1, S503/M503)</f>
        <v/>
      </c>
      <c r="V503" s="34">
        <f>N503/(N503+O503)</f>
        <v/>
      </c>
      <c r="W503" s="34">
        <f>U503*V503</f>
        <v/>
      </c>
      <c r="X503" s="32">
        <f>T503/N503</f>
        <v/>
      </c>
      <c r="Y503" s="35">
        <f>IF(W503=MAXIFS(W$2:W$3601, A$2:A$3601, A503, B$2:B$3601, B503), "OPTIMAL", "")</f>
        <v/>
      </c>
    </row>
    <row r="504" ht="20" customHeight="1">
      <c r="A504" s="21" t="n">
        <v>4</v>
      </c>
      <c r="B504" s="21" t="n">
        <v>30</v>
      </c>
      <c r="C504" s="22" t="n">
        <v>95</v>
      </c>
      <c r="D504" s="22" t="n">
        <v>3</v>
      </c>
      <c r="E504" s="23" t="n">
        <v>0</v>
      </c>
      <c r="F504" s="22" t="n">
        <v>0</v>
      </c>
      <c r="G504" s="23" t="inlineStr">
        <is>
          <t>Non</t>
        </is>
      </c>
      <c r="H504" s="23" t="inlineStr">
        <is>
          <t>ON</t>
        </is>
      </c>
      <c r="I504" s="24" t="n">
        <v>718.2417398266504</v>
      </c>
      <c r="J504" s="24" t="n">
        <v>2366.073881799197</v>
      </c>
      <c r="K504" s="24" t="n">
        <v>1847.222222222222</v>
      </c>
      <c r="L504" s="24" t="n">
        <v>150</v>
      </c>
      <c r="M504" s="24">
        <f>I504+J504+K504+L504</f>
        <v/>
      </c>
      <c r="N504" s="24">
        <f>M504*'Dashboard &amp; Optimisation'!$B$18/('Dashboard &amp; Optimisation'!$B$16/3.6)</f>
        <v/>
      </c>
      <c r="O504" s="24" t="n">
        <v>359.9556919864209</v>
      </c>
      <c r="P504" s="25" t="n">
        <v>0.4817037677471313</v>
      </c>
      <c r="Q504" s="26" t="n">
        <v>0.2</v>
      </c>
      <c r="R504" s="24" t="n">
        <v>319.1877999287833</v>
      </c>
      <c r="S504" s="24">
        <f>R504*IF(A504=4, 2.0, 3.0)</f>
        <v/>
      </c>
      <c r="T504" s="22">
        <f>'Dashboard &amp; Optimisation'!$B$18*U504</f>
        <v/>
      </c>
      <c r="U504" s="27">
        <f>MIN(1, S504/M504)</f>
        <v/>
      </c>
      <c r="V504" s="27">
        <f>N504/(N504+O504)</f>
        <v/>
      </c>
      <c r="W504" s="27">
        <f>U504*V504</f>
        <v/>
      </c>
      <c r="X504" s="25">
        <f>T504/N504</f>
        <v/>
      </c>
      <c r="Y504" s="28">
        <f>IF(W504=MAXIFS(W$2:W$3601, A$2:A$3601, A504, B$2:B$3601, B504), "OPTIMAL", "")</f>
        <v/>
      </c>
    </row>
    <row r="505" ht="20" customHeight="1">
      <c r="A505" s="29" t="n">
        <v>4</v>
      </c>
      <c r="B505" s="29" t="n">
        <v>30</v>
      </c>
      <c r="C505" s="30" t="n">
        <v>95</v>
      </c>
      <c r="D505" s="30" t="n">
        <v>3</v>
      </c>
      <c r="E505" s="6" t="n">
        <v>0</v>
      </c>
      <c r="F505" s="30" t="n">
        <v>0</v>
      </c>
      <c r="G505" s="6" t="inlineStr">
        <is>
          <t>Non</t>
        </is>
      </c>
      <c r="H505" s="6" t="inlineStr">
        <is>
          <t>OFF</t>
        </is>
      </c>
      <c r="I505" s="31" t="n">
        <v>718.2417398266504</v>
      </c>
      <c r="J505" s="31" t="n">
        <v>2366.073881799197</v>
      </c>
      <c r="K505" s="31" t="n">
        <v>1847.222222222222</v>
      </c>
      <c r="L505" s="31" t="n">
        <v>150</v>
      </c>
      <c r="M505" s="31">
        <f>I505+J505+K505+L505</f>
        <v/>
      </c>
      <c r="N505" s="31">
        <f>M505*'Dashboard &amp; Optimisation'!$B$18/('Dashboard &amp; Optimisation'!$B$16/3.6)</f>
        <v/>
      </c>
      <c r="O505" s="31" t="n">
        <v>359.9556919864209</v>
      </c>
      <c r="P505" s="32" t="n">
        <v>0.816766805835332</v>
      </c>
      <c r="Q505" s="33" t="n">
        <v>0.2</v>
      </c>
      <c r="R505" s="31" t="n">
        <v>188.2470795166114</v>
      </c>
      <c r="S505" s="31">
        <f>R505*IF(A505=4, 2.0, 3.0)</f>
        <v/>
      </c>
      <c r="T505" s="30">
        <f>'Dashboard &amp; Optimisation'!$B$18*U505</f>
        <v/>
      </c>
      <c r="U505" s="34">
        <f>MIN(1, S505/M505)</f>
        <v/>
      </c>
      <c r="V505" s="34">
        <f>N505/(N505+O505)</f>
        <v/>
      </c>
      <c r="W505" s="34">
        <f>U505*V505</f>
        <v/>
      </c>
      <c r="X505" s="32">
        <f>T505/N505</f>
        <v/>
      </c>
      <c r="Y505" s="35">
        <f>IF(W505=MAXIFS(W$2:W$3601, A$2:A$3601, A505, B$2:B$3601, B505), "OPTIMAL", "")</f>
        <v/>
      </c>
    </row>
    <row r="506" ht="20" customHeight="1">
      <c r="A506" s="21" t="n">
        <v>4</v>
      </c>
      <c r="B506" s="21" t="n">
        <v>30</v>
      </c>
      <c r="C506" s="22" t="n">
        <v>95</v>
      </c>
      <c r="D506" s="22" t="n">
        <v>3</v>
      </c>
      <c r="E506" s="23" t="n">
        <v>4</v>
      </c>
      <c r="F506" s="22" t="n">
        <v>1.5</v>
      </c>
      <c r="G506" s="23" t="inlineStr">
        <is>
          <t>Oui</t>
        </is>
      </c>
      <c r="H506" s="23" t="inlineStr">
        <is>
          <t>ON</t>
        </is>
      </c>
      <c r="I506" s="24" t="n">
        <v>718.2417398266504</v>
      </c>
      <c r="J506" s="24" t="n">
        <v>2366.073881799197</v>
      </c>
      <c r="K506" s="24" t="n">
        <v>1847.222222222222</v>
      </c>
      <c r="L506" s="24" t="n">
        <v>150</v>
      </c>
      <c r="M506" s="24">
        <f>I506+J506+K506+L506</f>
        <v/>
      </c>
      <c r="N506" s="24">
        <f>M506*'Dashboard &amp; Optimisation'!$B$18/('Dashboard &amp; Optimisation'!$B$16/3.6)</f>
        <v/>
      </c>
      <c r="O506" s="24" t="n">
        <v>503.2704573074184</v>
      </c>
      <c r="P506" s="25" t="n">
        <v>0.07535655472626097</v>
      </c>
      <c r="Q506" s="26" t="n">
        <v>7.231715741890194</v>
      </c>
      <c r="R506" s="24" t="n">
        <v>2112.898323738979</v>
      </c>
      <c r="S506" s="24">
        <f>R506*IF(A506=4, 2.0, 3.0)</f>
        <v/>
      </c>
      <c r="T506" s="22">
        <f>'Dashboard &amp; Optimisation'!$B$18*U506</f>
        <v/>
      </c>
      <c r="U506" s="27">
        <f>MIN(1, S506/M506)</f>
        <v/>
      </c>
      <c r="V506" s="27">
        <f>N506/(N506+O506)</f>
        <v/>
      </c>
      <c r="W506" s="27">
        <f>U506*V506</f>
        <v/>
      </c>
      <c r="X506" s="25">
        <f>T506/N506</f>
        <v/>
      </c>
      <c r="Y506" s="28">
        <f>IF(W506=MAXIFS(W$2:W$3601, A$2:A$3601, A506, B$2:B$3601, B506), "OPTIMAL", "")</f>
        <v/>
      </c>
    </row>
    <row r="507" ht="20" customHeight="1">
      <c r="A507" s="29" t="n">
        <v>4</v>
      </c>
      <c r="B507" s="29" t="n">
        <v>30</v>
      </c>
      <c r="C507" s="30" t="n">
        <v>95</v>
      </c>
      <c r="D507" s="30" t="n">
        <v>3</v>
      </c>
      <c r="E507" s="6" t="n">
        <v>4</v>
      </c>
      <c r="F507" s="30" t="n">
        <v>1.5</v>
      </c>
      <c r="G507" s="6" t="inlineStr">
        <is>
          <t>Oui</t>
        </is>
      </c>
      <c r="H507" s="6" t="inlineStr">
        <is>
          <t>OFF</t>
        </is>
      </c>
      <c r="I507" s="31" t="n">
        <v>718.2417398266504</v>
      </c>
      <c r="J507" s="31" t="n">
        <v>2366.073881799197</v>
      </c>
      <c r="K507" s="31" t="n">
        <v>1847.222222222222</v>
      </c>
      <c r="L507" s="31" t="n">
        <v>150</v>
      </c>
      <c r="M507" s="31">
        <f>I507+J507+K507+L507</f>
        <v/>
      </c>
      <c r="N507" s="31">
        <f>M507*'Dashboard &amp; Optimisation'!$B$18/('Dashboard &amp; Optimisation'!$B$16/3.6)</f>
        <v/>
      </c>
      <c r="O507" s="31" t="n">
        <v>503.2704573074184</v>
      </c>
      <c r="P507" s="32" t="n">
        <v>0.3178141987215173</v>
      </c>
      <c r="Q507" s="33" t="n">
        <v>7.231715741890194</v>
      </c>
      <c r="R507" s="31" t="n">
        <v>500.9868621489049</v>
      </c>
      <c r="S507" s="31">
        <f>R507*IF(A507=4, 2.0, 3.0)</f>
        <v/>
      </c>
      <c r="T507" s="30">
        <f>'Dashboard &amp; Optimisation'!$B$18*U507</f>
        <v/>
      </c>
      <c r="U507" s="34">
        <f>MIN(1, S507/M507)</f>
        <v/>
      </c>
      <c r="V507" s="34">
        <f>N507/(N507+O507)</f>
        <v/>
      </c>
      <c r="W507" s="34">
        <f>U507*V507</f>
        <v/>
      </c>
      <c r="X507" s="32">
        <f>T507/N507</f>
        <v/>
      </c>
      <c r="Y507" s="35">
        <f>IF(W507=MAXIFS(W$2:W$3601, A$2:A$3601, A507, B$2:B$3601, B507), "OPTIMAL", "")</f>
        <v/>
      </c>
    </row>
    <row r="508" ht="20" customHeight="1">
      <c r="A508" s="21" t="n">
        <v>4</v>
      </c>
      <c r="B508" s="21" t="n">
        <v>30</v>
      </c>
      <c r="C508" s="22" t="n">
        <v>95</v>
      </c>
      <c r="D508" s="22" t="n">
        <v>3</v>
      </c>
      <c r="E508" s="23" t="n">
        <v>4</v>
      </c>
      <c r="F508" s="22" t="n">
        <v>1.5</v>
      </c>
      <c r="G508" s="23" t="inlineStr">
        <is>
          <t>Non</t>
        </is>
      </c>
      <c r="H508" s="23" t="inlineStr">
        <is>
          <t>ON</t>
        </is>
      </c>
      <c r="I508" s="24" t="n">
        <v>718.2417398266504</v>
      </c>
      <c r="J508" s="24" t="n">
        <v>2366.073881799197</v>
      </c>
      <c r="K508" s="24" t="n">
        <v>1847.222222222222</v>
      </c>
      <c r="L508" s="24" t="n">
        <v>150</v>
      </c>
      <c r="M508" s="24">
        <f>I508+J508+K508+L508</f>
        <v/>
      </c>
      <c r="N508" s="24">
        <f>M508*'Dashboard &amp; Optimisation'!$B$18/('Dashboard &amp; Optimisation'!$B$16/3.6)</f>
        <v/>
      </c>
      <c r="O508" s="24" t="n">
        <v>503.2704573074184</v>
      </c>
      <c r="P508" s="25" t="n">
        <v>0.07200592434537897</v>
      </c>
      <c r="Q508" s="26" t="n">
        <v>7.231715741890194</v>
      </c>
      <c r="R508" s="24" t="n">
        <v>2211.217196520574</v>
      </c>
      <c r="S508" s="24">
        <f>R508*IF(A508=4, 2.0, 3.0)</f>
        <v/>
      </c>
      <c r="T508" s="22">
        <f>'Dashboard &amp; Optimisation'!$B$18*U508</f>
        <v/>
      </c>
      <c r="U508" s="27">
        <f>MIN(1, S508/M508)</f>
        <v/>
      </c>
      <c r="V508" s="27">
        <f>N508/(N508+O508)</f>
        <v/>
      </c>
      <c r="W508" s="27">
        <f>U508*V508</f>
        <v/>
      </c>
      <c r="X508" s="25">
        <f>T508/N508</f>
        <v/>
      </c>
      <c r="Y508" s="28">
        <f>IF(W508=MAXIFS(W$2:W$3601, A$2:A$3601, A508, B$2:B$3601, B508), "OPTIMAL", "")</f>
        <v/>
      </c>
    </row>
    <row r="509" ht="20" customHeight="1">
      <c r="A509" s="29" t="n">
        <v>4</v>
      </c>
      <c r="B509" s="29" t="n">
        <v>30</v>
      </c>
      <c r="C509" s="30" t="n">
        <v>95</v>
      </c>
      <c r="D509" s="30" t="n">
        <v>3</v>
      </c>
      <c r="E509" s="6" t="n">
        <v>4</v>
      </c>
      <c r="F509" s="30" t="n">
        <v>1.5</v>
      </c>
      <c r="G509" s="6" t="inlineStr">
        <is>
          <t>Non</t>
        </is>
      </c>
      <c r="H509" s="6" t="inlineStr">
        <is>
          <t>OFF</t>
        </is>
      </c>
      <c r="I509" s="31" t="n">
        <v>718.2417398266504</v>
      </c>
      <c r="J509" s="31" t="n">
        <v>2366.073881799197</v>
      </c>
      <c r="K509" s="31" t="n">
        <v>1847.222222222222</v>
      </c>
      <c r="L509" s="31" t="n">
        <v>150</v>
      </c>
      <c r="M509" s="31">
        <f>I509+J509+K509+L509</f>
        <v/>
      </c>
      <c r="N509" s="31">
        <f>M509*'Dashboard &amp; Optimisation'!$B$18/('Dashboard &amp; Optimisation'!$B$16/3.6)</f>
        <v/>
      </c>
      <c r="O509" s="31" t="n">
        <v>503.2704573074184</v>
      </c>
      <c r="P509" s="32" t="n">
        <v>0.3144635683406353</v>
      </c>
      <c r="Q509" s="33" t="n">
        <v>7.231715741890194</v>
      </c>
      <c r="R509" s="31" t="n">
        <v>506.3249107171275</v>
      </c>
      <c r="S509" s="31">
        <f>R509*IF(A509=4, 2.0, 3.0)</f>
        <v/>
      </c>
      <c r="T509" s="30">
        <f>'Dashboard &amp; Optimisation'!$B$18*U509</f>
        <v/>
      </c>
      <c r="U509" s="34">
        <f>MIN(1, S509/M509)</f>
        <v/>
      </c>
      <c r="V509" s="34">
        <f>N509/(N509+O509)</f>
        <v/>
      </c>
      <c r="W509" s="34">
        <f>U509*V509</f>
        <v/>
      </c>
      <c r="X509" s="32">
        <f>T509/N509</f>
        <v/>
      </c>
      <c r="Y509" s="35">
        <f>IF(W509=MAXIFS(W$2:W$3601, A$2:A$3601, A509, B$2:B$3601, B509), "OPTIMAL", "")</f>
        <v/>
      </c>
    </row>
    <row r="510" ht="20" customHeight="1">
      <c r="A510" s="21" t="n">
        <v>4</v>
      </c>
      <c r="B510" s="21" t="n">
        <v>30</v>
      </c>
      <c r="C510" s="22" t="n">
        <v>95</v>
      </c>
      <c r="D510" s="22" t="n">
        <v>3</v>
      </c>
      <c r="E510" s="23" t="n">
        <v>4</v>
      </c>
      <c r="F510" s="22" t="n">
        <v>2</v>
      </c>
      <c r="G510" s="23" t="inlineStr">
        <is>
          <t>Oui</t>
        </is>
      </c>
      <c r="H510" s="23" t="inlineStr">
        <is>
          <t>ON</t>
        </is>
      </c>
      <c r="I510" s="24" t="n">
        <v>718.2417398266504</v>
      </c>
      <c r="J510" s="24" t="n">
        <v>2366.073881799197</v>
      </c>
      <c r="K510" s="24" t="n">
        <v>1847.222222222222</v>
      </c>
      <c r="L510" s="24" t="n">
        <v>150</v>
      </c>
      <c r="M510" s="24">
        <f>I510+J510+K510+L510</f>
        <v/>
      </c>
      <c r="N510" s="24">
        <f>M510*'Dashboard &amp; Optimisation'!$B$18/('Dashboard &amp; Optimisation'!$B$16/3.6)</f>
        <v/>
      </c>
      <c r="O510" s="24" t="n">
        <v>553.3339210477267</v>
      </c>
      <c r="P510" s="25" t="n">
        <v>0.072877449969957</v>
      </c>
      <c r="Q510" s="26" t="n">
        <v>9.575620989186925</v>
      </c>
      <c r="R510" s="24" t="n">
        <v>2210.977740613078</v>
      </c>
      <c r="S510" s="24">
        <f>R510*IF(A510=4, 2.0, 3.0)</f>
        <v/>
      </c>
      <c r="T510" s="22">
        <f>'Dashboard &amp; Optimisation'!$B$18*U510</f>
        <v/>
      </c>
      <c r="U510" s="27">
        <f>MIN(1, S510/M510)</f>
        <v/>
      </c>
      <c r="V510" s="27">
        <f>N510/(N510+O510)</f>
        <v/>
      </c>
      <c r="W510" s="27">
        <f>U510*V510</f>
        <v/>
      </c>
      <c r="X510" s="25">
        <f>T510/N510</f>
        <v/>
      </c>
      <c r="Y510" s="28">
        <f>IF(W510=MAXIFS(W$2:W$3601, A$2:A$3601, A510, B$2:B$3601, B510), "OPTIMAL", "")</f>
        <v/>
      </c>
    </row>
    <row r="511" ht="20" customHeight="1">
      <c r="A511" s="29" t="n">
        <v>4</v>
      </c>
      <c r="B511" s="29" t="n">
        <v>30</v>
      </c>
      <c r="C511" s="30" t="n">
        <v>95</v>
      </c>
      <c r="D511" s="30" t="n">
        <v>3</v>
      </c>
      <c r="E511" s="6" t="n">
        <v>4</v>
      </c>
      <c r="F511" s="30" t="n">
        <v>2</v>
      </c>
      <c r="G511" s="6" t="inlineStr">
        <is>
          <t>Oui</t>
        </is>
      </c>
      <c r="H511" s="6" t="inlineStr">
        <is>
          <t>OFF</t>
        </is>
      </c>
      <c r="I511" s="31" t="n">
        <v>718.2417398266504</v>
      </c>
      <c r="J511" s="31" t="n">
        <v>2366.073881799197</v>
      </c>
      <c r="K511" s="31" t="n">
        <v>1847.222222222222</v>
      </c>
      <c r="L511" s="31" t="n">
        <v>150</v>
      </c>
      <c r="M511" s="31">
        <f>I511+J511+K511+L511</f>
        <v/>
      </c>
      <c r="N511" s="31">
        <f>M511*'Dashboard &amp; Optimisation'!$B$18/('Dashboard &amp; Optimisation'!$B$16/3.6)</f>
        <v/>
      </c>
      <c r="O511" s="31" t="n">
        <v>553.3339210477267</v>
      </c>
      <c r="P511" s="32" t="n">
        <v>0.3165144364464006</v>
      </c>
      <c r="Q511" s="33" t="n">
        <v>9.575620989186925</v>
      </c>
      <c r="R511" s="31" t="n">
        <v>509.0776316090859</v>
      </c>
      <c r="S511" s="31">
        <f>R511*IF(A511=4, 2.0, 3.0)</f>
        <v/>
      </c>
      <c r="T511" s="30">
        <f>'Dashboard &amp; Optimisation'!$B$18*U511</f>
        <v/>
      </c>
      <c r="U511" s="34">
        <f>MIN(1, S511/M511)</f>
        <v/>
      </c>
      <c r="V511" s="34">
        <f>N511/(N511+O511)</f>
        <v/>
      </c>
      <c r="W511" s="34">
        <f>U511*V511</f>
        <v/>
      </c>
      <c r="X511" s="32">
        <f>T511/N511</f>
        <v/>
      </c>
      <c r="Y511" s="35">
        <f>IF(W511=MAXIFS(W$2:W$3601, A$2:A$3601, A511, B$2:B$3601, B511), "OPTIMAL", "")</f>
        <v/>
      </c>
    </row>
    <row r="512" ht="20" customHeight="1">
      <c r="A512" s="21" t="n">
        <v>4</v>
      </c>
      <c r="B512" s="21" t="n">
        <v>30</v>
      </c>
      <c r="C512" s="22" t="n">
        <v>95</v>
      </c>
      <c r="D512" s="22" t="n">
        <v>3</v>
      </c>
      <c r="E512" s="23" t="n">
        <v>4</v>
      </c>
      <c r="F512" s="22" t="n">
        <v>2</v>
      </c>
      <c r="G512" s="23" t="inlineStr">
        <is>
          <t>Non</t>
        </is>
      </c>
      <c r="H512" s="23" t="inlineStr">
        <is>
          <t>ON</t>
        </is>
      </c>
      <c r="I512" s="24" t="n">
        <v>718.2417398266504</v>
      </c>
      <c r="J512" s="24" t="n">
        <v>2366.073881799197</v>
      </c>
      <c r="K512" s="24" t="n">
        <v>1847.222222222222</v>
      </c>
      <c r="L512" s="24" t="n">
        <v>150</v>
      </c>
      <c r="M512" s="24">
        <f>I512+J512+K512+L512</f>
        <v/>
      </c>
      <c r="N512" s="24">
        <f>M512*'Dashboard &amp; Optimisation'!$B$18/('Dashboard &amp; Optimisation'!$B$16/3.6)</f>
        <v/>
      </c>
      <c r="O512" s="24" t="n">
        <v>553.3339210477267</v>
      </c>
      <c r="P512" s="25" t="n">
        <v>0.06952681958907499</v>
      </c>
      <c r="Q512" s="26" t="n">
        <v>9.575620989186925</v>
      </c>
      <c r="R512" s="24" t="n">
        <v>2317.528985628118</v>
      </c>
      <c r="S512" s="24">
        <f>R512*IF(A512=4, 2.0, 3.0)</f>
        <v/>
      </c>
      <c r="T512" s="22">
        <f>'Dashboard &amp; Optimisation'!$B$18*U512</f>
        <v/>
      </c>
      <c r="U512" s="27">
        <f>MIN(1, S512/M512)</f>
        <v/>
      </c>
      <c r="V512" s="27">
        <f>N512/(N512+O512)</f>
        <v/>
      </c>
      <c r="W512" s="27">
        <f>U512*V512</f>
        <v/>
      </c>
      <c r="X512" s="25">
        <f>T512/N512</f>
        <v/>
      </c>
      <c r="Y512" s="28">
        <f>IF(W512=MAXIFS(W$2:W$3601, A$2:A$3601, A512, B$2:B$3601, B512), "OPTIMAL", "")</f>
        <v/>
      </c>
    </row>
    <row r="513" ht="20" customHeight="1">
      <c r="A513" s="29" t="n">
        <v>4</v>
      </c>
      <c r="B513" s="29" t="n">
        <v>30</v>
      </c>
      <c r="C513" s="30" t="n">
        <v>95</v>
      </c>
      <c r="D513" s="30" t="n">
        <v>3</v>
      </c>
      <c r="E513" s="6" t="n">
        <v>4</v>
      </c>
      <c r="F513" s="30" t="n">
        <v>2</v>
      </c>
      <c r="G513" s="6" t="inlineStr">
        <is>
          <t>Non</t>
        </is>
      </c>
      <c r="H513" s="6" t="inlineStr">
        <is>
          <t>OFF</t>
        </is>
      </c>
      <c r="I513" s="31" t="n">
        <v>718.2417398266504</v>
      </c>
      <c r="J513" s="31" t="n">
        <v>2366.073881799197</v>
      </c>
      <c r="K513" s="31" t="n">
        <v>1847.222222222222</v>
      </c>
      <c r="L513" s="31" t="n">
        <v>150</v>
      </c>
      <c r="M513" s="31">
        <f>I513+J513+K513+L513</f>
        <v/>
      </c>
      <c r="N513" s="31">
        <f>M513*'Dashboard &amp; Optimisation'!$B$18/('Dashboard &amp; Optimisation'!$B$16/3.6)</f>
        <v/>
      </c>
      <c r="O513" s="31" t="n">
        <v>553.3339210477267</v>
      </c>
      <c r="P513" s="32" t="n">
        <v>0.3131638060655186</v>
      </c>
      <c r="Q513" s="33" t="n">
        <v>9.575620989186925</v>
      </c>
      <c r="R513" s="31" t="n">
        <v>514.5244008258964</v>
      </c>
      <c r="S513" s="31">
        <f>R513*IF(A513=4, 2.0, 3.0)</f>
        <v/>
      </c>
      <c r="T513" s="30">
        <f>'Dashboard &amp; Optimisation'!$B$18*U513</f>
        <v/>
      </c>
      <c r="U513" s="34">
        <f>MIN(1, S513/M513)</f>
        <v/>
      </c>
      <c r="V513" s="34">
        <f>N513/(N513+O513)</f>
        <v/>
      </c>
      <c r="W513" s="34">
        <f>U513*V513</f>
        <v/>
      </c>
      <c r="X513" s="32">
        <f>T513/N513</f>
        <v/>
      </c>
      <c r="Y513" s="35">
        <f>IF(W513=MAXIFS(W$2:W$3601, A$2:A$3601, A513, B$2:B$3601, B513), "OPTIMAL", "")</f>
        <v/>
      </c>
    </row>
    <row r="514" ht="20" customHeight="1">
      <c r="A514" s="21" t="n">
        <v>4</v>
      </c>
      <c r="B514" s="21" t="n">
        <v>30</v>
      </c>
      <c r="C514" s="22" t="n">
        <v>95</v>
      </c>
      <c r="D514" s="22" t="n">
        <v>3</v>
      </c>
      <c r="E514" s="23" t="n">
        <v>8</v>
      </c>
      <c r="F514" s="22" t="n">
        <v>1.5</v>
      </c>
      <c r="G514" s="23" t="inlineStr">
        <is>
          <t>Oui</t>
        </is>
      </c>
      <c r="H514" s="23" t="inlineStr">
        <is>
          <t>ON</t>
        </is>
      </c>
      <c r="I514" s="24" t="n">
        <v>718.2417398266504</v>
      </c>
      <c r="J514" s="24" t="n">
        <v>2366.073881799197</v>
      </c>
      <c r="K514" s="24" t="n">
        <v>1847.222222222222</v>
      </c>
      <c r="L514" s="24" t="n">
        <v>150</v>
      </c>
      <c r="M514" s="24">
        <f>I514+J514+K514+L514</f>
        <v/>
      </c>
      <c r="N514" s="24">
        <f>M514*'Dashboard &amp; Optimisation'!$B$18/('Dashboard &amp; Optimisation'!$B$16/3.6)</f>
        <v/>
      </c>
      <c r="O514" s="24" t="n">
        <v>657.1521390744068</v>
      </c>
      <c r="P514" s="25" t="n">
        <v>0.05688455314032285</v>
      </c>
      <c r="Q514" s="26" t="n">
        <v>14.26343148378039</v>
      </c>
      <c r="R514" s="24" t="n">
        <v>2902.204177637016</v>
      </c>
      <c r="S514" s="24">
        <f>R514*IF(A514=4, 2.0, 3.0)</f>
        <v/>
      </c>
      <c r="T514" s="22">
        <f>'Dashboard &amp; Optimisation'!$B$18*U514</f>
        <v/>
      </c>
      <c r="U514" s="27">
        <f>MIN(1, S514/M514)</f>
        <v/>
      </c>
      <c r="V514" s="27">
        <f>N514/(N514+O514)</f>
        <v/>
      </c>
      <c r="W514" s="27">
        <f>U514*V514</f>
        <v/>
      </c>
      <c r="X514" s="25">
        <f>T514/N514</f>
        <v/>
      </c>
      <c r="Y514" s="28">
        <f>IF(W514=MAXIFS(W$2:W$3601, A$2:A$3601, A514, B$2:B$3601, B514), "OPTIMAL", "")</f>
        <v/>
      </c>
    </row>
    <row r="515" ht="20" customHeight="1">
      <c r="A515" s="29" t="n">
        <v>4</v>
      </c>
      <c r="B515" s="29" t="n">
        <v>30</v>
      </c>
      <c r="C515" s="30" t="n">
        <v>95</v>
      </c>
      <c r="D515" s="30" t="n">
        <v>3</v>
      </c>
      <c r="E515" s="6" t="n">
        <v>8</v>
      </c>
      <c r="F515" s="30" t="n">
        <v>1.5</v>
      </c>
      <c r="G515" s="6" t="inlineStr">
        <is>
          <t>Oui</t>
        </is>
      </c>
      <c r="H515" s="6" t="inlineStr">
        <is>
          <t>OFF</t>
        </is>
      </c>
      <c r="I515" s="31" t="n">
        <v>718.2417398266504</v>
      </c>
      <c r="J515" s="31" t="n">
        <v>2366.073881799197</v>
      </c>
      <c r="K515" s="31" t="n">
        <v>1847.222222222222</v>
      </c>
      <c r="L515" s="31" t="n">
        <v>150</v>
      </c>
      <c r="M515" s="31">
        <f>I515+J515+K515+L515</f>
        <v/>
      </c>
      <c r="N515" s="31">
        <f>M515*'Dashboard &amp; Optimisation'!$B$18/('Dashboard &amp; Optimisation'!$B$16/3.6)</f>
        <v/>
      </c>
      <c r="O515" s="31" t="n">
        <v>657.1521390744068</v>
      </c>
      <c r="P515" s="32" t="n">
        <v>0.246840465467505</v>
      </c>
      <c r="Q515" s="33" t="n">
        <v>14.26343148378039</v>
      </c>
      <c r="R515" s="31" t="n">
        <v>668.8149264918356</v>
      </c>
      <c r="S515" s="31">
        <f>R515*IF(A515=4, 2.0, 3.0)</f>
        <v/>
      </c>
      <c r="T515" s="30">
        <f>'Dashboard &amp; Optimisation'!$B$18*U515</f>
        <v/>
      </c>
      <c r="U515" s="34">
        <f>MIN(1, S515/M515)</f>
        <v/>
      </c>
      <c r="V515" s="34">
        <f>N515/(N515+O515)</f>
        <v/>
      </c>
      <c r="W515" s="34">
        <f>U515*V515</f>
        <v/>
      </c>
      <c r="X515" s="32">
        <f>T515/N515</f>
        <v/>
      </c>
      <c r="Y515" s="35">
        <f>IF(W515=MAXIFS(W$2:W$3601, A$2:A$3601, A515, B$2:B$3601, B515), "OPTIMAL", "")</f>
        <v/>
      </c>
    </row>
    <row r="516" ht="20" customHeight="1">
      <c r="A516" s="21" t="n">
        <v>4</v>
      </c>
      <c r="B516" s="21" t="n">
        <v>30</v>
      </c>
      <c r="C516" s="22" t="n">
        <v>95</v>
      </c>
      <c r="D516" s="22" t="n">
        <v>3</v>
      </c>
      <c r="E516" s="23" t="n">
        <v>8</v>
      </c>
      <c r="F516" s="22" t="n">
        <v>1.5</v>
      </c>
      <c r="G516" s="23" t="inlineStr">
        <is>
          <t>Non</t>
        </is>
      </c>
      <c r="H516" s="23" t="inlineStr">
        <is>
          <t>ON</t>
        </is>
      </c>
      <c r="I516" s="24" t="n">
        <v>718.2417398266504</v>
      </c>
      <c r="J516" s="24" t="n">
        <v>2366.073881799197</v>
      </c>
      <c r="K516" s="24" t="n">
        <v>1847.222222222222</v>
      </c>
      <c r="L516" s="24" t="n">
        <v>150</v>
      </c>
      <c r="M516" s="24">
        <f>I516+J516+K516+L516</f>
        <v/>
      </c>
      <c r="N516" s="24">
        <f>M516*'Dashboard &amp; Optimisation'!$B$18/('Dashboard &amp; Optimisation'!$B$16/3.6)</f>
        <v/>
      </c>
      <c r="O516" s="24" t="n">
        <v>657.1521390744068</v>
      </c>
      <c r="P516" s="25" t="n">
        <v>0.05353392275944084</v>
      </c>
      <c r="Q516" s="26" t="n">
        <v>14.26343148378039</v>
      </c>
      <c r="R516" s="24" t="n">
        <v>3083.850001217138</v>
      </c>
      <c r="S516" s="24">
        <f>R516*IF(A516=4, 2.0, 3.0)</f>
        <v/>
      </c>
      <c r="T516" s="22">
        <f>'Dashboard &amp; Optimisation'!$B$18*U516</f>
        <v/>
      </c>
      <c r="U516" s="27">
        <f>MIN(1, S516/M516)</f>
        <v/>
      </c>
      <c r="V516" s="27">
        <f>N516/(N516+O516)</f>
        <v/>
      </c>
      <c r="W516" s="27">
        <f>U516*V516</f>
        <v/>
      </c>
      <c r="X516" s="25">
        <f>T516/N516</f>
        <v/>
      </c>
      <c r="Y516" s="28">
        <f>IF(W516=MAXIFS(W$2:W$3601, A$2:A$3601, A516, B$2:B$3601, B516), "OPTIMAL", "")</f>
        <v/>
      </c>
    </row>
    <row r="517" ht="20" customHeight="1">
      <c r="A517" s="29" t="n">
        <v>4</v>
      </c>
      <c r="B517" s="29" t="n">
        <v>30</v>
      </c>
      <c r="C517" s="30" t="n">
        <v>95</v>
      </c>
      <c r="D517" s="30" t="n">
        <v>3</v>
      </c>
      <c r="E517" s="6" t="n">
        <v>8</v>
      </c>
      <c r="F517" s="30" t="n">
        <v>1.5</v>
      </c>
      <c r="G517" s="6" t="inlineStr">
        <is>
          <t>Non</t>
        </is>
      </c>
      <c r="H517" s="6" t="inlineStr">
        <is>
          <t>OFF</t>
        </is>
      </c>
      <c r="I517" s="31" t="n">
        <v>718.2417398266504</v>
      </c>
      <c r="J517" s="31" t="n">
        <v>2366.073881799197</v>
      </c>
      <c r="K517" s="31" t="n">
        <v>1847.222222222222</v>
      </c>
      <c r="L517" s="31" t="n">
        <v>150</v>
      </c>
      <c r="M517" s="31">
        <f>I517+J517+K517+L517</f>
        <v/>
      </c>
      <c r="N517" s="31">
        <f>M517*'Dashboard &amp; Optimisation'!$B$18/('Dashboard &amp; Optimisation'!$B$16/3.6)</f>
        <v/>
      </c>
      <c r="O517" s="31" t="n">
        <v>657.1521390744068</v>
      </c>
      <c r="P517" s="32" t="n">
        <v>0.2434898350866229</v>
      </c>
      <c r="Q517" s="33" t="n">
        <v>14.26343148378039</v>
      </c>
      <c r="R517" s="31" t="n">
        <v>678.0183973927612</v>
      </c>
      <c r="S517" s="31">
        <f>R517*IF(A517=4, 2.0, 3.0)</f>
        <v/>
      </c>
      <c r="T517" s="30">
        <f>'Dashboard &amp; Optimisation'!$B$18*U517</f>
        <v/>
      </c>
      <c r="U517" s="34">
        <f>MIN(1, S517/M517)</f>
        <v/>
      </c>
      <c r="V517" s="34">
        <f>N517/(N517+O517)</f>
        <v/>
      </c>
      <c r="W517" s="34">
        <f>U517*V517</f>
        <v/>
      </c>
      <c r="X517" s="32">
        <f>T517/N517</f>
        <v/>
      </c>
      <c r="Y517" s="35">
        <f>IF(W517=MAXIFS(W$2:W$3601, A$2:A$3601, A517, B$2:B$3601, B517), "OPTIMAL", "")</f>
        <v/>
      </c>
    </row>
    <row r="518" ht="20" customHeight="1">
      <c r="A518" s="21" t="n">
        <v>4</v>
      </c>
      <c r="B518" s="21" t="n">
        <v>30</v>
      </c>
      <c r="C518" s="22" t="n">
        <v>95</v>
      </c>
      <c r="D518" s="22" t="n">
        <v>3</v>
      </c>
      <c r="E518" s="23" t="n">
        <v>8</v>
      </c>
      <c r="F518" s="22" t="n">
        <v>2</v>
      </c>
      <c r="G518" s="23" t="inlineStr">
        <is>
          <t>Oui</t>
        </is>
      </c>
      <c r="H518" s="23" t="inlineStr">
        <is>
          <t>ON</t>
        </is>
      </c>
      <c r="I518" s="24" t="n">
        <v>718.2417398266504</v>
      </c>
      <c r="J518" s="24" t="n">
        <v>2366.073881799197</v>
      </c>
      <c r="K518" s="24" t="n">
        <v>1847.222222222222</v>
      </c>
      <c r="L518" s="24" t="n">
        <v>150</v>
      </c>
      <c r="M518" s="24">
        <f>I518+J518+K518+L518</f>
        <v/>
      </c>
      <c r="N518" s="24">
        <f>M518*'Dashboard &amp; Optimisation'!$B$18/('Dashboard &amp; Optimisation'!$B$16/3.6)</f>
        <v/>
      </c>
      <c r="O518" s="24" t="n">
        <v>766.2021053499936</v>
      </c>
      <c r="P518" s="25" t="n">
        <v>0.0557699285087862</v>
      </c>
      <c r="Q518" s="26" t="n">
        <v>18.95124197837385</v>
      </c>
      <c r="R518" s="24" t="n">
        <v>3034.795391296059</v>
      </c>
      <c r="S518" s="24">
        <f>R518*IF(A518=4, 2.0, 3.0)</f>
        <v/>
      </c>
      <c r="T518" s="22">
        <f>'Dashboard &amp; Optimisation'!$B$18*U518</f>
        <v/>
      </c>
      <c r="U518" s="27">
        <f>MIN(1, S518/M518)</f>
        <v/>
      </c>
      <c r="V518" s="27">
        <f>N518/(N518+O518)</f>
        <v/>
      </c>
      <c r="W518" s="27">
        <f>U518*V518</f>
        <v/>
      </c>
      <c r="X518" s="25">
        <f>T518/N518</f>
        <v/>
      </c>
      <c r="Y518" s="28">
        <f>IF(W518=MAXIFS(W$2:W$3601, A$2:A$3601, A518, B$2:B$3601, B518), "OPTIMAL", "")</f>
        <v/>
      </c>
    </row>
    <row r="519" ht="20" customHeight="1">
      <c r="A519" s="29" t="n">
        <v>4</v>
      </c>
      <c r="B519" s="29" t="n">
        <v>30</v>
      </c>
      <c r="C519" s="30" t="n">
        <v>95</v>
      </c>
      <c r="D519" s="30" t="n">
        <v>3</v>
      </c>
      <c r="E519" s="6" t="n">
        <v>8</v>
      </c>
      <c r="F519" s="30" t="n">
        <v>2</v>
      </c>
      <c r="G519" s="6" t="inlineStr">
        <is>
          <t>Oui</t>
        </is>
      </c>
      <c r="H519" s="6" t="inlineStr">
        <is>
          <t>OFF</t>
        </is>
      </c>
      <c r="I519" s="31" t="n">
        <v>718.2417398266504</v>
      </c>
      <c r="J519" s="31" t="n">
        <v>2366.073881799197</v>
      </c>
      <c r="K519" s="31" t="n">
        <v>1847.222222222222</v>
      </c>
      <c r="L519" s="31" t="n">
        <v>150</v>
      </c>
      <c r="M519" s="31">
        <f>I519+J519+K519+L519</f>
        <v/>
      </c>
      <c r="N519" s="31">
        <f>M519*'Dashboard &amp; Optimisation'!$B$18/('Dashboard &amp; Optimisation'!$B$16/3.6)</f>
        <v/>
      </c>
      <c r="O519" s="31" t="n">
        <v>766.2021053499936</v>
      </c>
      <c r="P519" s="32" t="n">
        <v>0.2471780798795112</v>
      </c>
      <c r="Q519" s="33" t="n">
        <v>18.95124197837385</v>
      </c>
      <c r="R519" s="31" t="n">
        <v>684.7303049440201</v>
      </c>
      <c r="S519" s="31">
        <f>R519*IF(A519=4, 2.0, 3.0)</f>
        <v/>
      </c>
      <c r="T519" s="30">
        <f>'Dashboard &amp; Optimisation'!$B$18*U519</f>
        <v/>
      </c>
      <c r="U519" s="34">
        <f>MIN(1, S519/M519)</f>
        <v/>
      </c>
      <c r="V519" s="34">
        <f>N519/(N519+O519)</f>
        <v/>
      </c>
      <c r="W519" s="34">
        <f>U519*V519</f>
        <v/>
      </c>
      <c r="X519" s="32">
        <f>T519/N519</f>
        <v/>
      </c>
      <c r="Y519" s="35">
        <f>IF(W519=MAXIFS(W$2:W$3601, A$2:A$3601, A519, B$2:B$3601, B519), "OPTIMAL", "")</f>
        <v/>
      </c>
    </row>
    <row r="520" ht="20" customHeight="1">
      <c r="A520" s="21" t="n">
        <v>4</v>
      </c>
      <c r="B520" s="21" t="n">
        <v>30</v>
      </c>
      <c r="C520" s="22" t="n">
        <v>95</v>
      </c>
      <c r="D520" s="22" t="n">
        <v>3</v>
      </c>
      <c r="E520" s="23" t="n">
        <v>8</v>
      </c>
      <c r="F520" s="22" t="n">
        <v>2</v>
      </c>
      <c r="G520" s="23" t="inlineStr">
        <is>
          <t>Non</t>
        </is>
      </c>
      <c r="H520" s="23" t="inlineStr">
        <is>
          <t>ON</t>
        </is>
      </c>
      <c r="I520" s="24" t="n">
        <v>718.2417398266504</v>
      </c>
      <c r="J520" s="24" t="n">
        <v>2366.073881799197</v>
      </c>
      <c r="K520" s="24" t="n">
        <v>1847.222222222222</v>
      </c>
      <c r="L520" s="24" t="n">
        <v>150</v>
      </c>
      <c r="M520" s="24">
        <f>I520+J520+K520+L520</f>
        <v/>
      </c>
      <c r="N520" s="24">
        <f>M520*'Dashboard &amp; Optimisation'!$B$18/('Dashboard &amp; Optimisation'!$B$16/3.6)</f>
        <v/>
      </c>
      <c r="O520" s="24" t="n">
        <v>766.2021053499936</v>
      </c>
      <c r="P520" s="25" t="n">
        <v>0.05241929812790419</v>
      </c>
      <c r="Q520" s="26" t="n">
        <v>18.95124197837385</v>
      </c>
      <c r="R520" s="24" t="n">
        <v>3228.778866866945</v>
      </c>
      <c r="S520" s="24">
        <f>R520*IF(A520=4, 2.0, 3.0)</f>
        <v/>
      </c>
      <c r="T520" s="22">
        <f>'Dashboard &amp; Optimisation'!$B$18*U520</f>
        <v/>
      </c>
      <c r="U520" s="27">
        <f>MIN(1, S520/M520)</f>
        <v/>
      </c>
      <c r="V520" s="27">
        <f>N520/(N520+O520)</f>
        <v/>
      </c>
      <c r="W520" s="27">
        <f>U520*V520</f>
        <v/>
      </c>
      <c r="X520" s="25">
        <f>T520/N520</f>
        <v/>
      </c>
      <c r="Y520" s="28">
        <f>IF(W520=MAXIFS(W$2:W$3601, A$2:A$3601, A520, B$2:B$3601, B520), "OPTIMAL", "")</f>
        <v/>
      </c>
    </row>
    <row r="521" ht="20" customHeight="1">
      <c r="A521" s="29" t="n">
        <v>4</v>
      </c>
      <c r="B521" s="29" t="n">
        <v>30</v>
      </c>
      <c r="C521" s="30" t="n">
        <v>95</v>
      </c>
      <c r="D521" s="30" t="n">
        <v>3</v>
      </c>
      <c r="E521" s="6" t="n">
        <v>8</v>
      </c>
      <c r="F521" s="30" t="n">
        <v>2</v>
      </c>
      <c r="G521" s="6" t="inlineStr">
        <is>
          <t>Non</t>
        </is>
      </c>
      <c r="H521" s="6" t="inlineStr">
        <is>
          <t>OFF</t>
        </is>
      </c>
      <c r="I521" s="31" t="n">
        <v>718.2417398266504</v>
      </c>
      <c r="J521" s="31" t="n">
        <v>2366.073881799197</v>
      </c>
      <c r="K521" s="31" t="n">
        <v>1847.222222222222</v>
      </c>
      <c r="L521" s="31" t="n">
        <v>150</v>
      </c>
      <c r="M521" s="31">
        <f>I521+J521+K521+L521</f>
        <v/>
      </c>
      <c r="N521" s="31">
        <f>M521*'Dashboard &amp; Optimisation'!$B$18/('Dashboard &amp; Optimisation'!$B$16/3.6)</f>
        <v/>
      </c>
      <c r="O521" s="31" t="n">
        <v>766.2021053499936</v>
      </c>
      <c r="P521" s="32" t="n">
        <v>0.2438274494986292</v>
      </c>
      <c r="Q521" s="33" t="n">
        <v>18.95124197837385</v>
      </c>
      <c r="R521" s="31" t="n">
        <v>694.1397384067973</v>
      </c>
      <c r="S521" s="31">
        <f>R521*IF(A521=4, 2.0, 3.0)</f>
        <v/>
      </c>
      <c r="T521" s="30">
        <f>'Dashboard &amp; Optimisation'!$B$18*U521</f>
        <v/>
      </c>
      <c r="U521" s="34">
        <f>MIN(1, S521/M521)</f>
        <v/>
      </c>
      <c r="V521" s="34">
        <f>N521/(N521+O521)</f>
        <v/>
      </c>
      <c r="W521" s="34">
        <f>U521*V521</f>
        <v/>
      </c>
      <c r="X521" s="32">
        <f>T521/N521</f>
        <v/>
      </c>
      <c r="Y521" s="35">
        <f>IF(W521=MAXIFS(W$2:W$3601, A$2:A$3601, A521, B$2:B$3601, B521), "OPTIMAL", "")</f>
        <v/>
      </c>
    </row>
    <row r="522" ht="20" customHeight="1">
      <c r="A522" s="21" t="n">
        <v>4</v>
      </c>
      <c r="B522" s="21" t="n">
        <v>30</v>
      </c>
      <c r="C522" s="22" t="n">
        <v>100</v>
      </c>
      <c r="D522" s="22" t="n">
        <v>2</v>
      </c>
      <c r="E522" s="23" t="n">
        <v>0</v>
      </c>
      <c r="F522" s="22" t="n">
        <v>0</v>
      </c>
      <c r="G522" s="23" t="inlineStr">
        <is>
          <t>Oui</t>
        </is>
      </c>
      <c r="H522" s="23" t="inlineStr">
        <is>
          <t>ON</t>
        </is>
      </c>
      <c r="I522" s="24" t="n">
        <v>718.2417398266504</v>
      </c>
      <c r="J522" s="24" t="n">
        <v>2366.073881799197</v>
      </c>
      <c r="K522" s="24" t="n">
        <v>1847.222222222222</v>
      </c>
      <c r="L522" s="24" t="n">
        <v>150</v>
      </c>
      <c r="M522" s="24">
        <f>I522+J522+K522+L522</f>
        <v/>
      </c>
      <c r="N522" s="24">
        <f>M522*'Dashboard &amp; Optimisation'!$B$18/('Dashboard &amp; Optimisation'!$B$16/3.6)</f>
        <v/>
      </c>
      <c r="O522" s="24" t="n">
        <v>219.7017832487258</v>
      </c>
      <c r="P522" s="25" t="n">
        <v>0.4806796209288155</v>
      </c>
      <c r="Q522" s="26" t="n">
        <v>0.2</v>
      </c>
      <c r="R522" s="24" t="n">
        <v>274.9211574965312</v>
      </c>
      <c r="S522" s="24">
        <f>R522*IF(A522=4, 2.0, 3.0)</f>
        <v/>
      </c>
      <c r="T522" s="22">
        <f>'Dashboard &amp; Optimisation'!$B$18*U522</f>
        <v/>
      </c>
      <c r="U522" s="27">
        <f>MIN(1, S522/M522)</f>
        <v/>
      </c>
      <c r="V522" s="27">
        <f>N522/(N522+O522)</f>
        <v/>
      </c>
      <c r="W522" s="27">
        <f>U522*V522</f>
        <v/>
      </c>
      <c r="X522" s="25">
        <f>T522/N522</f>
        <v/>
      </c>
      <c r="Y522" s="28">
        <f>IF(W522=MAXIFS(W$2:W$3601, A$2:A$3601, A522, B$2:B$3601, B522), "OPTIMAL", "")</f>
        <v/>
      </c>
    </row>
    <row r="523" ht="20" customHeight="1">
      <c r="A523" s="29" t="n">
        <v>4</v>
      </c>
      <c r="B523" s="29" t="n">
        <v>30</v>
      </c>
      <c r="C523" s="30" t="n">
        <v>100</v>
      </c>
      <c r="D523" s="30" t="n">
        <v>2</v>
      </c>
      <c r="E523" s="6" t="n">
        <v>0</v>
      </c>
      <c r="F523" s="30" t="n">
        <v>0</v>
      </c>
      <c r="G523" s="6" t="inlineStr">
        <is>
          <t>Oui</t>
        </is>
      </c>
      <c r="H523" s="6" t="inlineStr">
        <is>
          <t>OFF</t>
        </is>
      </c>
      <c r="I523" s="31" t="n">
        <v>718.2417398266504</v>
      </c>
      <c r="J523" s="31" t="n">
        <v>2366.073881799197</v>
      </c>
      <c r="K523" s="31" t="n">
        <v>1847.222222222222</v>
      </c>
      <c r="L523" s="31" t="n">
        <v>150</v>
      </c>
      <c r="M523" s="31">
        <f>I523+J523+K523+L523</f>
        <v/>
      </c>
      <c r="N523" s="31">
        <f>M523*'Dashboard &amp; Optimisation'!$B$18/('Dashboard &amp; Optimisation'!$B$16/3.6)</f>
        <v/>
      </c>
      <c r="O523" s="31" t="n">
        <v>219.7017832487258</v>
      </c>
      <c r="P523" s="32" t="n">
        <v>0.7989895071126063</v>
      </c>
      <c r="Q523" s="33" t="n">
        <v>0.2</v>
      </c>
      <c r="R523" s="31" t="n">
        <v>165.3951605050543</v>
      </c>
      <c r="S523" s="31">
        <f>R523*IF(A523=4, 2.0, 3.0)</f>
        <v/>
      </c>
      <c r="T523" s="30">
        <f>'Dashboard &amp; Optimisation'!$B$18*U523</f>
        <v/>
      </c>
      <c r="U523" s="34">
        <f>MIN(1, S523/M523)</f>
        <v/>
      </c>
      <c r="V523" s="34">
        <f>N523/(N523+O523)</f>
        <v/>
      </c>
      <c r="W523" s="34">
        <f>U523*V523</f>
        <v/>
      </c>
      <c r="X523" s="32">
        <f>T523/N523</f>
        <v/>
      </c>
      <c r="Y523" s="35">
        <f>IF(W523=MAXIFS(W$2:W$3601, A$2:A$3601, A523, B$2:B$3601, B523), "OPTIMAL", "")</f>
        <v/>
      </c>
    </row>
    <row r="524" ht="20" customHeight="1">
      <c r="A524" s="21" t="n">
        <v>4</v>
      </c>
      <c r="B524" s="21" t="n">
        <v>30</v>
      </c>
      <c r="C524" s="22" t="n">
        <v>100</v>
      </c>
      <c r="D524" s="22" t="n">
        <v>2</v>
      </c>
      <c r="E524" s="23" t="n">
        <v>0</v>
      </c>
      <c r="F524" s="22" t="n">
        <v>0</v>
      </c>
      <c r="G524" s="23" t="inlineStr">
        <is>
          <t>Non</t>
        </is>
      </c>
      <c r="H524" s="23" t="inlineStr">
        <is>
          <t>ON</t>
        </is>
      </c>
      <c r="I524" s="24" t="n">
        <v>718.2417398266504</v>
      </c>
      <c r="J524" s="24" t="n">
        <v>2366.073881799197</v>
      </c>
      <c r="K524" s="24" t="n">
        <v>1847.222222222222</v>
      </c>
      <c r="L524" s="24" t="n">
        <v>150</v>
      </c>
      <c r="M524" s="24">
        <f>I524+J524+K524+L524</f>
        <v/>
      </c>
      <c r="N524" s="24">
        <f>M524*'Dashboard &amp; Optimisation'!$B$18/('Dashboard &amp; Optimisation'!$B$16/3.6)</f>
        <v/>
      </c>
      <c r="O524" s="24" t="n">
        <v>219.7017832487258</v>
      </c>
      <c r="P524" s="25" t="n">
        <v>0.4774965220669776</v>
      </c>
      <c r="Q524" s="26" t="n">
        <v>0.2</v>
      </c>
      <c r="R524" s="24" t="n">
        <v>276.7538435645558</v>
      </c>
      <c r="S524" s="24">
        <f>R524*IF(A524=4, 2.0, 3.0)</f>
        <v/>
      </c>
      <c r="T524" s="22">
        <f>'Dashboard &amp; Optimisation'!$B$18*U524</f>
        <v/>
      </c>
      <c r="U524" s="27">
        <f>MIN(1, S524/M524)</f>
        <v/>
      </c>
      <c r="V524" s="27">
        <f>N524/(N524+O524)</f>
        <v/>
      </c>
      <c r="W524" s="27">
        <f>U524*V524</f>
        <v/>
      </c>
      <c r="X524" s="25">
        <f>T524/N524</f>
        <v/>
      </c>
      <c r="Y524" s="28">
        <f>IF(W524=MAXIFS(W$2:W$3601, A$2:A$3601, A524, B$2:B$3601, B524), "OPTIMAL", "")</f>
        <v/>
      </c>
    </row>
    <row r="525" ht="20" customHeight="1">
      <c r="A525" s="29" t="n">
        <v>4</v>
      </c>
      <c r="B525" s="29" t="n">
        <v>30</v>
      </c>
      <c r="C525" s="30" t="n">
        <v>100</v>
      </c>
      <c r="D525" s="30" t="n">
        <v>2</v>
      </c>
      <c r="E525" s="6" t="n">
        <v>0</v>
      </c>
      <c r="F525" s="30" t="n">
        <v>0</v>
      </c>
      <c r="G525" s="6" t="inlineStr">
        <is>
          <t>Non</t>
        </is>
      </c>
      <c r="H525" s="6" t="inlineStr">
        <is>
          <t>OFF</t>
        </is>
      </c>
      <c r="I525" s="31" t="n">
        <v>718.2417398266504</v>
      </c>
      <c r="J525" s="31" t="n">
        <v>2366.073881799197</v>
      </c>
      <c r="K525" s="31" t="n">
        <v>1847.222222222222</v>
      </c>
      <c r="L525" s="31" t="n">
        <v>150</v>
      </c>
      <c r="M525" s="31">
        <f>I525+J525+K525+L525</f>
        <v/>
      </c>
      <c r="N525" s="31">
        <f>M525*'Dashboard &amp; Optimisation'!$B$18/('Dashboard &amp; Optimisation'!$B$16/3.6)</f>
        <v/>
      </c>
      <c r="O525" s="31" t="n">
        <v>219.7017832487258</v>
      </c>
      <c r="P525" s="32" t="n">
        <v>0.7958064082507683</v>
      </c>
      <c r="Q525" s="33" t="n">
        <v>0.2</v>
      </c>
      <c r="R525" s="31" t="n">
        <v>166.0567147997909</v>
      </c>
      <c r="S525" s="31">
        <f>R525*IF(A525=4, 2.0, 3.0)</f>
        <v/>
      </c>
      <c r="T525" s="30">
        <f>'Dashboard &amp; Optimisation'!$B$18*U525</f>
        <v/>
      </c>
      <c r="U525" s="34">
        <f>MIN(1, S525/M525)</f>
        <v/>
      </c>
      <c r="V525" s="34">
        <f>N525/(N525+O525)</f>
        <v/>
      </c>
      <c r="W525" s="34">
        <f>U525*V525</f>
        <v/>
      </c>
      <c r="X525" s="32">
        <f>T525/N525</f>
        <v/>
      </c>
      <c r="Y525" s="35">
        <f>IF(W525=MAXIFS(W$2:W$3601, A$2:A$3601, A525, B$2:B$3601, B525), "OPTIMAL", "")</f>
        <v/>
      </c>
    </row>
    <row r="526" ht="20" customHeight="1">
      <c r="A526" s="21" t="n">
        <v>4</v>
      </c>
      <c r="B526" s="21" t="n">
        <v>30</v>
      </c>
      <c r="C526" s="22" t="n">
        <v>100</v>
      </c>
      <c r="D526" s="22" t="n">
        <v>2</v>
      </c>
      <c r="E526" s="23" t="n">
        <v>4</v>
      </c>
      <c r="F526" s="22" t="n">
        <v>1.5</v>
      </c>
      <c r="G526" s="23" t="inlineStr">
        <is>
          <t>Oui</t>
        </is>
      </c>
      <c r="H526" s="23" t="inlineStr">
        <is>
          <t>ON</t>
        </is>
      </c>
      <c r="I526" s="24" t="n">
        <v>718.2417398266504</v>
      </c>
      <c r="J526" s="24" t="n">
        <v>2366.073881799197</v>
      </c>
      <c r="K526" s="24" t="n">
        <v>1847.222222222222</v>
      </c>
      <c r="L526" s="24" t="n">
        <v>150</v>
      </c>
      <c r="M526" s="24">
        <f>I526+J526+K526+L526</f>
        <v/>
      </c>
      <c r="N526" s="24">
        <f>M526*'Dashboard &amp; Optimisation'!$B$18/('Dashboard &amp; Optimisation'!$B$16/3.6)</f>
        <v/>
      </c>
      <c r="O526" s="24" t="n">
        <v>345.0030256221251</v>
      </c>
      <c r="P526" s="25" t="n">
        <v>0.07376163664698646</v>
      </c>
      <c r="Q526" s="26" t="n">
        <v>6.718986469044035</v>
      </c>
      <c r="R526" s="24" t="n">
        <v>1850.470438025114</v>
      </c>
      <c r="S526" s="24">
        <f>R526*IF(A526=4, 2.0, 3.0)</f>
        <v/>
      </c>
      <c r="T526" s="22">
        <f>'Dashboard &amp; Optimisation'!$B$18*U526</f>
        <v/>
      </c>
      <c r="U526" s="27">
        <f>MIN(1, S526/M526)</f>
        <v/>
      </c>
      <c r="V526" s="27">
        <f>N526/(N526+O526)</f>
        <v/>
      </c>
      <c r="W526" s="27">
        <f>U526*V526</f>
        <v/>
      </c>
      <c r="X526" s="25">
        <f>T526/N526</f>
        <v/>
      </c>
      <c r="Y526" s="28">
        <f>IF(W526=MAXIFS(W$2:W$3601, A$2:A$3601, A526, B$2:B$3601, B526), "OPTIMAL", "")</f>
        <v/>
      </c>
    </row>
    <row r="527" ht="20" customHeight="1">
      <c r="A527" s="29" t="n">
        <v>4</v>
      </c>
      <c r="B527" s="29" t="n">
        <v>30</v>
      </c>
      <c r="C527" s="30" t="n">
        <v>100</v>
      </c>
      <c r="D527" s="30" t="n">
        <v>2</v>
      </c>
      <c r="E527" s="6" t="n">
        <v>4</v>
      </c>
      <c r="F527" s="30" t="n">
        <v>1.5</v>
      </c>
      <c r="G527" s="6" t="inlineStr">
        <is>
          <t>Oui</t>
        </is>
      </c>
      <c r="H527" s="6" t="inlineStr">
        <is>
          <t>OFF</t>
        </is>
      </c>
      <c r="I527" s="31" t="n">
        <v>718.2417398266504</v>
      </c>
      <c r="J527" s="31" t="n">
        <v>2366.073881799197</v>
      </c>
      <c r="K527" s="31" t="n">
        <v>1847.222222222222</v>
      </c>
      <c r="L527" s="31" t="n">
        <v>150</v>
      </c>
      <c r="M527" s="31">
        <f>I527+J527+K527+L527</f>
        <v/>
      </c>
      <c r="N527" s="31">
        <f>M527*'Dashboard &amp; Optimisation'!$B$18/('Dashboard &amp; Optimisation'!$B$16/3.6)</f>
        <v/>
      </c>
      <c r="O527" s="31" t="n">
        <v>345.0030256221251</v>
      </c>
      <c r="P527" s="32" t="n">
        <v>0.3073240714228834</v>
      </c>
      <c r="Q527" s="33" t="n">
        <v>6.718986469044035</v>
      </c>
      <c r="R527" s="31" t="n">
        <v>444.1361441153775</v>
      </c>
      <c r="S527" s="31">
        <f>R527*IF(A527=4, 2.0, 3.0)</f>
        <v/>
      </c>
      <c r="T527" s="30">
        <f>'Dashboard &amp; Optimisation'!$B$18*U527</f>
        <v/>
      </c>
      <c r="U527" s="34">
        <f>MIN(1, S527/M527)</f>
        <v/>
      </c>
      <c r="V527" s="34">
        <f>N527/(N527+O527)</f>
        <v/>
      </c>
      <c r="W527" s="34">
        <f>U527*V527</f>
        <v/>
      </c>
      <c r="X527" s="32">
        <f>T527/N527</f>
        <v/>
      </c>
      <c r="Y527" s="35">
        <f>IF(W527=MAXIFS(W$2:W$3601, A$2:A$3601, A527, B$2:B$3601, B527), "OPTIMAL", "")</f>
        <v/>
      </c>
    </row>
    <row r="528" ht="20" customHeight="1">
      <c r="A528" s="21" t="n">
        <v>4</v>
      </c>
      <c r="B528" s="21" t="n">
        <v>30</v>
      </c>
      <c r="C528" s="22" t="n">
        <v>100</v>
      </c>
      <c r="D528" s="22" t="n">
        <v>2</v>
      </c>
      <c r="E528" s="23" t="n">
        <v>4</v>
      </c>
      <c r="F528" s="22" t="n">
        <v>1.5</v>
      </c>
      <c r="G528" s="23" t="inlineStr">
        <is>
          <t>Non</t>
        </is>
      </c>
      <c r="H528" s="23" t="inlineStr">
        <is>
          <t>ON</t>
        </is>
      </c>
      <c r="I528" s="24" t="n">
        <v>718.2417398266504</v>
      </c>
      <c r="J528" s="24" t="n">
        <v>2366.073881799197</v>
      </c>
      <c r="K528" s="24" t="n">
        <v>1847.222222222222</v>
      </c>
      <c r="L528" s="24" t="n">
        <v>150</v>
      </c>
      <c r="M528" s="24">
        <f>I528+J528+K528+L528</f>
        <v/>
      </c>
      <c r="N528" s="24">
        <f>M528*'Dashboard &amp; Optimisation'!$B$18/('Dashboard &amp; Optimisation'!$B$16/3.6)</f>
        <v/>
      </c>
      <c r="O528" s="24" t="n">
        <v>345.0030256221251</v>
      </c>
      <c r="P528" s="25" t="n">
        <v>0.07057853778514854</v>
      </c>
      <c r="Q528" s="26" t="n">
        <v>6.718986469044035</v>
      </c>
      <c r="R528" s="24" t="n">
        <v>1933.926833269135</v>
      </c>
      <c r="S528" s="24">
        <f>R528*IF(A528=4, 2.0, 3.0)</f>
        <v/>
      </c>
      <c r="T528" s="22">
        <f>'Dashboard &amp; Optimisation'!$B$18*U528</f>
        <v/>
      </c>
      <c r="U528" s="27">
        <f>MIN(1, S528/M528)</f>
        <v/>
      </c>
      <c r="V528" s="27">
        <f>N528/(N528+O528)</f>
        <v/>
      </c>
      <c r="W528" s="27">
        <f>U528*V528</f>
        <v/>
      </c>
      <c r="X528" s="25">
        <f>T528/N528</f>
        <v/>
      </c>
      <c r="Y528" s="28">
        <f>IF(W528=MAXIFS(W$2:W$3601, A$2:A$3601, A528, B$2:B$3601, B528), "OPTIMAL", "")</f>
        <v/>
      </c>
    </row>
    <row r="529" ht="20" customHeight="1">
      <c r="A529" s="29" t="n">
        <v>4</v>
      </c>
      <c r="B529" s="29" t="n">
        <v>30</v>
      </c>
      <c r="C529" s="30" t="n">
        <v>100</v>
      </c>
      <c r="D529" s="30" t="n">
        <v>2</v>
      </c>
      <c r="E529" s="6" t="n">
        <v>4</v>
      </c>
      <c r="F529" s="30" t="n">
        <v>1.5</v>
      </c>
      <c r="G529" s="6" t="inlineStr">
        <is>
          <t>Non</t>
        </is>
      </c>
      <c r="H529" s="6" t="inlineStr">
        <is>
          <t>OFF</t>
        </is>
      </c>
      <c r="I529" s="31" t="n">
        <v>718.2417398266504</v>
      </c>
      <c r="J529" s="31" t="n">
        <v>2366.073881799197</v>
      </c>
      <c r="K529" s="31" t="n">
        <v>1847.222222222222</v>
      </c>
      <c r="L529" s="31" t="n">
        <v>150</v>
      </c>
      <c r="M529" s="31">
        <f>I529+J529+K529+L529</f>
        <v/>
      </c>
      <c r="N529" s="31">
        <f>M529*'Dashboard &amp; Optimisation'!$B$18/('Dashboard &amp; Optimisation'!$B$16/3.6)</f>
        <v/>
      </c>
      <c r="O529" s="31" t="n">
        <v>345.0030256221251</v>
      </c>
      <c r="P529" s="32" t="n">
        <v>0.3041409725610454</v>
      </c>
      <c r="Q529" s="33" t="n">
        <v>6.718986469044035</v>
      </c>
      <c r="R529" s="31" t="n">
        <v>448.7844137744449</v>
      </c>
      <c r="S529" s="31">
        <f>R529*IF(A529=4, 2.0, 3.0)</f>
        <v/>
      </c>
      <c r="T529" s="30">
        <f>'Dashboard &amp; Optimisation'!$B$18*U529</f>
        <v/>
      </c>
      <c r="U529" s="34">
        <f>MIN(1, S529/M529)</f>
        <v/>
      </c>
      <c r="V529" s="34">
        <f>N529/(N529+O529)</f>
        <v/>
      </c>
      <c r="W529" s="34">
        <f>U529*V529</f>
        <v/>
      </c>
      <c r="X529" s="32">
        <f>T529/N529</f>
        <v/>
      </c>
      <c r="Y529" s="35">
        <f>IF(W529=MAXIFS(W$2:W$3601, A$2:A$3601, A529, B$2:B$3601, B529), "OPTIMAL", "")</f>
        <v/>
      </c>
    </row>
    <row r="530" ht="20" customHeight="1">
      <c r="A530" s="21" t="n">
        <v>4</v>
      </c>
      <c r="B530" s="21" t="n">
        <v>30</v>
      </c>
      <c r="C530" s="22" t="n">
        <v>100</v>
      </c>
      <c r="D530" s="22" t="n">
        <v>2</v>
      </c>
      <c r="E530" s="23" t="n">
        <v>4</v>
      </c>
      <c r="F530" s="22" t="n">
        <v>2</v>
      </c>
      <c r="G530" s="23" t="inlineStr">
        <is>
          <t>Oui</t>
        </is>
      </c>
      <c r="H530" s="23" t="inlineStr">
        <is>
          <t>ON</t>
        </is>
      </c>
      <c r="I530" s="24" t="n">
        <v>718.2417398266504</v>
      </c>
      <c r="J530" s="24" t="n">
        <v>2366.073881799197</v>
      </c>
      <c r="K530" s="24" t="n">
        <v>1847.222222222222</v>
      </c>
      <c r="L530" s="24" t="n">
        <v>150</v>
      </c>
      <c r="M530" s="24">
        <f>I530+J530+K530+L530</f>
        <v/>
      </c>
      <c r="N530" s="24">
        <f>M530*'Dashboard &amp; Optimisation'!$B$18/('Dashboard &amp; Optimisation'!$B$16/3.6)</f>
        <v/>
      </c>
      <c r="O530" s="24" t="n">
        <v>388.6213245140333</v>
      </c>
      <c r="P530" s="25" t="n">
        <v>0.07106618988155999</v>
      </c>
      <c r="Q530" s="26" t="n">
        <v>8.891981958725379</v>
      </c>
      <c r="R530" s="24" t="n">
        <v>1941.938373148611</v>
      </c>
      <c r="S530" s="24">
        <f>R530*IF(A530=4, 2.0, 3.0)</f>
        <v/>
      </c>
      <c r="T530" s="22">
        <f>'Dashboard &amp; Optimisation'!$B$18*U530</f>
        <v/>
      </c>
      <c r="U530" s="27">
        <f>MIN(1, S530/M530)</f>
        <v/>
      </c>
      <c r="V530" s="27">
        <f>N530/(N530+O530)</f>
        <v/>
      </c>
      <c r="W530" s="27">
        <f>U530*V530</f>
        <v/>
      </c>
      <c r="X530" s="25">
        <f>T530/N530</f>
        <v/>
      </c>
      <c r="Y530" s="28">
        <f>IF(W530=MAXIFS(W$2:W$3601, A$2:A$3601, A530, B$2:B$3601, B530), "OPTIMAL", "")</f>
        <v/>
      </c>
    </row>
    <row r="531" ht="20" customHeight="1">
      <c r="A531" s="29" t="n">
        <v>4</v>
      </c>
      <c r="B531" s="29" t="n">
        <v>30</v>
      </c>
      <c r="C531" s="30" t="n">
        <v>100</v>
      </c>
      <c r="D531" s="30" t="n">
        <v>2</v>
      </c>
      <c r="E531" s="6" t="n">
        <v>4</v>
      </c>
      <c r="F531" s="30" t="n">
        <v>2</v>
      </c>
      <c r="G531" s="6" t="inlineStr">
        <is>
          <t>Oui</t>
        </is>
      </c>
      <c r="H531" s="6" t="inlineStr">
        <is>
          <t>OFF</t>
        </is>
      </c>
      <c r="I531" s="31" t="n">
        <v>718.2417398266504</v>
      </c>
      <c r="J531" s="31" t="n">
        <v>2366.073881799197</v>
      </c>
      <c r="K531" s="31" t="n">
        <v>1847.222222222222</v>
      </c>
      <c r="L531" s="31" t="n">
        <v>150</v>
      </c>
      <c r="M531" s="31">
        <f>I531+J531+K531+L531</f>
        <v/>
      </c>
      <c r="N531" s="31">
        <f>M531*'Dashboard &amp; Optimisation'!$B$18/('Dashboard &amp; Optimisation'!$B$16/3.6)</f>
        <v/>
      </c>
      <c r="O531" s="31" t="n">
        <v>388.6213245140333</v>
      </c>
      <c r="P531" s="32" t="n">
        <v>0.3057228026390766</v>
      </c>
      <c r="Q531" s="33" t="n">
        <v>8.891981958725379</v>
      </c>
      <c r="R531" s="31" t="n">
        <v>451.4094466397756</v>
      </c>
      <c r="S531" s="31">
        <f>R531*IF(A531=4, 2.0, 3.0)</f>
        <v/>
      </c>
      <c r="T531" s="30">
        <f>'Dashboard &amp; Optimisation'!$B$18*U531</f>
        <v/>
      </c>
      <c r="U531" s="34">
        <f>MIN(1, S531/M531)</f>
        <v/>
      </c>
      <c r="V531" s="34">
        <f>N531/(N531+O531)</f>
        <v/>
      </c>
      <c r="W531" s="34">
        <f>U531*V531</f>
        <v/>
      </c>
      <c r="X531" s="32">
        <f>T531/N531</f>
        <v/>
      </c>
      <c r="Y531" s="35">
        <f>IF(W531=MAXIFS(W$2:W$3601, A$2:A$3601, A531, B$2:B$3601, B531), "OPTIMAL", "")</f>
        <v/>
      </c>
    </row>
    <row r="532" ht="20" customHeight="1">
      <c r="A532" s="21" t="n">
        <v>4</v>
      </c>
      <c r="B532" s="21" t="n">
        <v>30</v>
      </c>
      <c r="C532" s="22" t="n">
        <v>100</v>
      </c>
      <c r="D532" s="22" t="n">
        <v>2</v>
      </c>
      <c r="E532" s="23" t="n">
        <v>4</v>
      </c>
      <c r="F532" s="22" t="n">
        <v>2</v>
      </c>
      <c r="G532" s="23" t="inlineStr">
        <is>
          <t>Non</t>
        </is>
      </c>
      <c r="H532" s="23" t="inlineStr">
        <is>
          <t>ON</t>
        </is>
      </c>
      <c r="I532" s="24" t="n">
        <v>718.2417398266504</v>
      </c>
      <c r="J532" s="24" t="n">
        <v>2366.073881799197</v>
      </c>
      <c r="K532" s="24" t="n">
        <v>1847.222222222222</v>
      </c>
      <c r="L532" s="24" t="n">
        <v>150</v>
      </c>
      <c r="M532" s="24">
        <f>I532+J532+K532+L532</f>
        <v/>
      </c>
      <c r="N532" s="24">
        <f>M532*'Dashboard &amp; Optimisation'!$B$18/('Dashboard &amp; Optimisation'!$B$16/3.6)</f>
        <v/>
      </c>
      <c r="O532" s="24" t="n">
        <v>388.6213245140333</v>
      </c>
      <c r="P532" s="25" t="n">
        <v>0.06788309101972209</v>
      </c>
      <c r="Q532" s="26" t="n">
        <v>8.891981958725379</v>
      </c>
      <c r="R532" s="24" t="n">
        <v>2032.997600600891</v>
      </c>
      <c r="S532" s="24">
        <f>R532*IF(A532=4, 2.0, 3.0)</f>
        <v/>
      </c>
      <c r="T532" s="22">
        <f>'Dashboard &amp; Optimisation'!$B$18*U532</f>
        <v/>
      </c>
      <c r="U532" s="27">
        <f>MIN(1, S532/M532)</f>
        <v/>
      </c>
      <c r="V532" s="27">
        <f>N532/(N532+O532)</f>
        <v/>
      </c>
      <c r="W532" s="27">
        <f>U532*V532</f>
        <v/>
      </c>
      <c r="X532" s="25">
        <f>T532/N532</f>
        <v/>
      </c>
      <c r="Y532" s="28">
        <f>IF(W532=MAXIFS(W$2:W$3601, A$2:A$3601, A532, B$2:B$3601, B532), "OPTIMAL", "")</f>
        <v/>
      </c>
    </row>
    <row r="533" ht="20" customHeight="1">
      <c r="A533" s="29" t="n">
        <v>4</v>
      </c>
      <c r="B533" s="29" t="n">
        <v>30</v>
      </c>
      <c r="C533" s="30" t="n">
        <v>100</v>
      </c>
      <c r="D533" s="30" t="n">
        <v>2</v>
      </c>
      <c r="E533" s="6" t="n">
        <v>4</v>
      </c>
      <c r="F533" s="30" t="n">
        <v>2</v>
      </c>
      <c r="G533" s="6" t="inlineStr">
        <is>
          <t>Non</t>
        </is>
      </c>
      <c r="H533" s="6" t="inlineStr">
        <is>
          <t>OFF</t>
        </is>
      </c>
      <c r="I533" s="31" t="n">
        <v>718.2417398266504</v>
      </c>
      <c r="J533" s="31" t="n">
        <v>2366.073881799197</v>
      </c>
      <c r="K533" s="31" t="n">
        <v>1847.222222222222</v>
      </c>
      <c r="L533" s="31" t="n">
        <v>150</v>
      </c>
      <c r="M533" s="31">
        <f>I533+J533+K533+L533</f>
        <v/>
      </c>
      <c r="N533" s="31">
        <f>M533*'Dashboard &amp; Optimisation'!$B$18/('Dashboard &amp; Optimisation'!$B$16/3.6)</f>
        <v/>
      </c>
      <c r="O533" s="31" t="n">
        <v>388.6213245140333</v>
      </c>
      <c r="P533" s="32" t="n">
        <v>0.3025397037772387</v>
      </c>
      <c r="Q533" s="33" t="n">
        <v>8.891981958725379</v>
      </c>
      <c r="R533" s="31" t="n">
        <v>456.1588427616147</v>
      </c>
      <c r="S533" s="31">
        <f>R533*IF(A533=4, 2.0, 3.0)</f>
        <v/>
      </c>
      <c r="T533" s="30">
        <f>'Dashboard &amp; Optimisation'!$B$18*U533</f>
        <v/>
      </c>
      <c r="U533" s="34">
        <f>MIN(1, S533/M533)</f>
        <v/>
      </c>
      <c r="V533" s="34">
        <f>N533/(N533+O533)</f>
        <v/>
      </c>
      <c r="W533" s="34">
        <f>U533*V533</f>
        <v/>
      </c>
      <c r="X533" s="32">
        <f>T533/N533</f>
        <v/>
      </c>
      <c r="Y533" s="35">
        <f>IF(W533=MAXIFS(W$2:W$3601, A$2:A$3601, A533, B$2:B$3601, B533), "OPTIMAL", "")</f>
        <v/>
      </c>
    </row>
    <row r="534" ht="20" customHeight="1">
      <c r="A534" s="21" t="n">
        <v>4</v>
      </c>
      <c r="B534" s="21" t="n">
        <v>30</v>
      </c>
      <c r="C534" s="22" t="n">
        <v>100</v>
      </c>
      <c r="D534" s="22" t="n">
        <v>2</v>
      </c>
      <c r="E534" s="23" t="n">
        <v>8</v>
      </c>
      <c r="F534" s="22" t="n">
        <v>1.5</v>
      </c>
      <c r="G534" s="23" t="inlineStr">
        <is>
          <t>Oui</t>
        </is>
      </c>
      <c r="H534" s="23" t="inlineStr">
        <is>
          <t>ON</t>
        </is>
      </c>
      <c r="I534" s="24" t="n">
        <v>718.2417398266504</v>
      </c>
      <c r="J534" s="24" t="n">
        <v>2366.073881799197</v>
      </c>
      <c r="K534" s="24" t="n">
        <v>1847.222222222222</v>
      </c>
      <c r="L534" s="24" t="n">
        <v>150</v>
      </c>
      <c r="M534" s="24">
        <f>I534+J534+K534+L534</f>
        <v/>
      </c>
      <c r="N534" s="24">
        <f>M534*'Dashboard &amp; Optimisation'!$B$18/('Dashboard &amp; Optimisation'!$B$16/3.6)</f>
        <v/>
      </c>
      <c r="O534" s="24" t="n">
        <v>478.8235469800219</v>
      </c>
      <c r="P534" s="25" t="n">
        <v>0.05573050288457804</v>
      </c>
      <c r="Q534" s="26" t="n">
        <v>13.23797293808807</v>
      </c>
      <c r="R534" s="24" t="n">
        <v>2532.434680048469</v>
      </c>
      <c r="S534" s="24">
        <f>R534*IF(A534=4, 2.0, 3.0)</f>
        <v/>
      </c>
      <c r="T534" s="22">
        <f>'Dashboard &amp; Optimisation'!$B$18*U534</f>
        <v/>
      </c>
      <c r="U534" s="27">
        <f>MIN(1, S534/M534)</f>
        <v/>
      </c>
      <c r="V534" s="27">
        <f>N534/(N534+O534)</f>
        <v/>
      </c>
      <c r="W534" s="27">
        <f>U534*V534</f>
        <v/>
      </c>
      <c r="X534" s="25">
        <f>T534/N534</f>
        <v/>
      </c>
      <c r="Y534" s="28">
        <f>IF(W534=MAXIFS(W$2:W$3601, A$2:A$3601, A534, B$2:B$3601, B534), "OPTIMAL", "")</f>
        <v/>
      </c>
    </row>
    <row r="535" ht="20" customHeight="1">
      <c r="A535" s="29" t="n">
        <v>4</v>
      </c>
      <c r="B535" s="29" t="n">
        <v>30</v>
      </c>
      <c r="C535" s="30" t="n">
        <v>100</v>
      </c>
      <c r="D535" s="30" t="n">
        <v>2</v>
      </c>
      <c r="E535" s="6" t="n">
        <v>8</v>
      </c>
      <c r="F535" s="30" t="n">
        <v>1.5</v>
      </c>
      <c r="G535" s="6" t="inlineStr">
        <is>
          <t>Oui</t>
        </is>
      </c>
      <c r="H535" s="6" t="inlineStr">
        <is>
          <t>OFF</t>
        </is>
      </c>
      <c r="I535" s="31" t="n">
        <v>718.2417398266504</v>
      </c>
      <c r="J535" s="31" t="n">
        <v>2366.073881799197</v>
      </c>
      <c r="K535" s="31" t="n">
        <v>1847.222222222222</v>
      </c>
      <c r="L535" s="31" t="n">
        <v>150</v>
      </c>
      <c r="M535" s="31">
        <f>I535+J535+K535+L535</f>
        <v/>
      </c>
      <c r="N535" s="31">
        <f>M535*'Dashboard &amp; Optimisation'!$B$18/('Dashboard &amp; Optimisation'!$B$16/3.6)</f>
        <v/>
      </c>
      <c r="O535" s="31" t="n">
        <v>478.8235469800219</v>
      </c>
      <c r="P535" s="32" t="n">
        <v>0.2401827722650424</v>
      </c>
      <c r="Q535" s="33" t="n">
        <v>13.23797293808807</v>
      </c>
      <c r="R535" s="31" t="n">
        <v>587.6102474398331</v>
      </c>
      <c r="S535" s="31">
        <f>R535*IF(A535=4, 2.0, 3.0)</f>
        <v/>
      </c>
      <c r="T535" s="30">
        <f>'Dashboard &amp; Optimisation'!$B$18*U535</f>
        <v/>
      </c>
      <c r="U535" s="34">
        <f>MIN(1, S535/M535)</f>
        <v/>
      </c>
      <c r="V535" s="34">
        <f>N535/(N535+O535)</f>
        <v/>
      </c>
      <c r="W535" s="34">
        <f>U535*V535</f>
        <v/>
      </c>
      <c r="X535" s="32">
        <f>T535/N535</f>
        <v/>
      </c>
      <c r="Y535" s="35">
        <f>IF(W535=MAXIFS(W$2:W$3601, A$2:A$3601, A535, B$2:B$3601, B535), "OPTIMAL", "")</f>
        <v/>
      </c>
    </row>
    <row r="536" ht="20" customHeight="1">
      <c r="A536" s="21" t="n">
        <v>4</v>
      </c>
      <c r="B536" s="21" t="n">
        <v>30</v>
      </c>
      <c r="C536" s="22" t="n">
        <v>100</v>
      </c>
      <c r="D536" s="22" t="n">
        <v>2</v>
      </c>
      <c r="E536" s="23" t="n">
        <v>8</v>
      </c>
      <c r="F536" s="22" t="n">
        <v>1.5</v>
      </c>
      <c r="G536" s="23" t="inlineStr">
        <is>
          <t>Non</t>
        </is>
      </c>
      <c r="H536" s="23" t="inlineStr">
        <is>
          <t>ON</t>
        </is>
      </c>
      <c r="I536" s="24" t="n">
        <v>718.2417398266504</v>
      </c>
      <c r="J536" s="24" t="n">
        <v>2366.073881799197</v>
      </c>
      <c r="K536" s="24" t="n">
        <v>1847.222222222222</v>
      </c>
      <c r="L536" s="24" t="n">
        <v>150</v>
      </c>
      <c r="M536" s="24">
        <f>I536+J536+K536+L536</f>
        <v/>
      </c>
      <c r="N536" s="24">
        <f>M536*'Dashboard &amp; Optimisation'!$B$18/('Dashboard &amp; Optimisation'!$B$16/3.6)</f>
        <v/>
      </c>
      <c r="O536" s="24" t="n">
        <v>478.8235469800219</v>
      </c>
      <c r="P536" s="25" t="n">
        <v>0.05254740402274013</v>
      </c>
      <c r="Q536" s="26" t="n">
        <v>13.23797293808807</v>
      </c>
      <c r="R536" s="24" t="n">
        <v>2685.838831931075</v>
      </c>
      <c r="S536" s="24">
        <f>R536*IF(A536=4, 2.0, 3.0)</f>
        <v/>
      </c>
      <c r="T536" s="22">
        <f>'Dashboard &amp; Optimisation'!$B$18*U536</f>
        <v/>
      </c>
      <c r="U536" s="27">
        <f>MIN(1, S536/M536)</f>
        <v/>
      </c>
      <c r="V536" s="27">
        <f>N536/(N536+O536)</f>
        <v/>
      </c>
      <c r="W536" s="27">
        <f>U536*V536</f>
        <v/>
      </c>
      <c r="X536" s="25">
        <f>T536/N536</f>
        <v/>
      </c>
      <c r="Y536" s="28">
        <f>IF(W536=MAXIFS(W$2:W$3601, A$2:A$3601, A536, B$2:B$3601, B536), "OPTIMAL", "")</f>
        <v/>
      </c>
    </row>
    <row r="537" ht="20" customHeight="1">
      <c r="A537" s="29" t="n">
        <v>4</v>
      </c>
      <c r="B537" s="29" t="n">
        <v>30</v>
      </c>
      <c r="C537" s="30" t="n">
        <v>100</v>
      </c>
      <c r="D537" s="30" t="n">
        <v>2</v>
      </c>
      <c r="E537" s="6" t="n">
        <v>8</v>
      </c>
      <c r="F537" s="30" t="n">
        <v>1.5</v>
      </c>
      <c r="G537" s="6" t="inlineStr">
        <is>
          <t>Non</t>
        </is>
      </c>
      <c r="H537" s="6" t="inlineStr">
        <is>
          <t>OFF</t>
        </is>
      </c>
      <c r="I537" s="31" t="n">
        <v>718.2417398266504</v>
      </c>
      <c r="J537" s="31" t="n">
        <v>2366.073881799197</v>
      </c>
      <c r="K537" s="31" t="n">
        <v>1847.222222222222</v>
      </c>
      <c r="L537" s="31" t="n">
        <v>150</v>
      </c>
      <c r="M537" s="31">
        <f>I537+J537+K537+L537</f>
        <v/>
      </c>
      <c r="N537" s="31">
        <f>M537*'Dashboard &amp; Optimisation'!$B$18/('Dashboard &amp; Optimisation'!$B$16/3.6)</f>
        <v/>
      </c>
      <c r="O537" s="31" t="n">
        <v>478.8235469800219</v>
      </c>
      <c r="P537" s="32" t="n">
        <v>0.2369996734032044</v>
      </c>
      <c r="Q537" s="33" t="n">
        <v>13.23797293808807</v>
      </c>
      <c r="R537" s="31" t="n">
        <v>595.5023321966248</v>
      </c>
      <c r="S537" s="31">
        <f>R537*IF(A537=4, 2.0, 3.0)</f>
        <v/>
      </c>
      <c r="T537" s="30">
        <f>'Dashboard &amp; Optimisation'!$B$18*U537</f>
        <v/>
      </c>
      <c r="U537" s="34">
        <f>MIN(1, S537/M537)</f>
        <v/>
      </c>
      <c r="V537" s="34">
        <f>N537/(N537+O537)</f>
        <v/>
      </c>
      <c r="W537" s="34">
        <f>U537*V537</f>
        <v/>
      </c>
      <c r="X537" s="32">
        <f>T537/N537</f>
        <v/>
      </c>
      <c r="Y537" s="35">
        <f>IF(W537=MAXIFS(W$2:W$3601, A$2:A$3601, A537, B$2:B$3601, B537), "OPTIMAL", "")</f>
        <v/>
      </c>
    </row>
    <row r="538" ht="20" customHeight="1">
      <c r="A538" s="21" t="n">
        <v>4</v>
      </c>
      <c r="B538" s="21" t="n">
        <v>30</v>
      </c>
      <c r="C538" s="22" t="n">
        <v>100</v>
      </c>
      <c r="D538" s="22" t="n">
        <v>2</v>
      </c>
      <c r="E538" s="23" t="n">
        <v>8</v>
      </c>
      <c r="F538" s="22" t="n">
        <v>2</v>
      </c>
      <c r="G538" s="23" t="inlineStr">
        <is>
          <t>Oui</t>
        </is>
      </c>
      <c r="H538" s="23" t="inlineStr">
        <is>
          <t>ON</t>
        </is>
      </c>
      <c r="I538" s="24" t="n">
        <v>718.2417398266504</v>
      </c>
      <c r="J538" s="24" t="n">
        <v>2366.073881799197</v>
      </c>
      <c r="K538" s="24" t="n">
        <v>1847.222222222222</v>
      </c>
      <c r="L538" s="24" t="n">
        <v>150</v>
      </c>
      <c r="M538" s="24">
        <f>I538+J538+K538+L538</f>
        <v/>
      </c>
      <c r="N538" s="24">
        <f>M538*'Dashboard &amp; Optimisation'!$B$18/('Dashboard &amp; Optimisation'!$B$16/3.6)</f>
        <v/>
      </c>
      <c r="O538" s="24" t="n">
        <v>573.2091686187789</v>
      </c>
      <c r="P538" s="25" t="n">
        <v>0.05449488140602117</v>
      </c>
      <c r="Q538" s="26" t="n">
        <v>17.58396391745076</v>
      </c>
      <c r="R538" s="24" t="n">
        <v>2649.91147691199</v>
      </c>
      <c r="S538" s="24">
        <f>R538*IF(A538=4, 2.0, 3.0)</f>
        <v/>
      </c>
      <c r="T538" s="22">
        <f>'Dashboard &amp; Optimisation'!$B$18*U538</f>
        <v/>
      </c>
      <c r="U538" s="27">
        <f>MIN(1, S538/M538)</f>
        <v/>
      </c>
      <c r="V538" s="27">
        <f>N538/(N538+O538)</f>
        <v/>
      </c>
      <c r="W538" s="27">
        <f>U538*V538</f>
        <v/>
      </c>
      <c r="X538" s="25">
        <f>T538/N538</f>
        <v/>
      </c>
      <c r="Y538" s="28">
        <f>IF(W538=MAXIFS(W$2:W$3601, A$2:A$3601, A538, B$2:B$3601, B538), "OPTIMAL", "")</f>
        <v/>
      </c>
    </row>
    <row r="539" ht="20" customHeight="1">
      <c r="A539" s="29" t="n">
        <v>4</v>
      </c>
      <c r="B539" s="29" t="n">
        <v>30</v>
      </c>
      <c r="C539" s="30" t="n">
        <v>100</v>
      </c>
      <c r="D539" s="30" t="n">
        <v>2</v>
      </c>
      <c r="E539" s="6" t="n">
        <v>8</v>
      </c>
      <c r="F539" s="30" t="n">
        <v>2</v>
      </c>
      <c r="G539" s="6" t="inlineStr">
        <is>
          <t>Oui</t>
        </is>
      </c>
      <c r="H539" s="6" t="inlineStr">
        <is>
          <t>OFF</t>
        </is>
      </c>
      <c r="I539" s="31" t="n">
        <v>718.2417398266504</v>
      </c>
      <c r="J539" s="31" t="n">
        <v>2366.073881799197</v>
      </c>
      <c r="K539" s="31" t="n">
        <v>1847.222222222222</v>
      </c>
      <c r="L539" s="31" t="n">
        <v>150</v>
      </c>
      <c r="M539" s="31">
        <f>I539+J539+K539+L539</f>
        <v/>
      </c>
      <c r="N539" s="31">
        <f>M539*'Dashboard &amp; Optimisation'!$B$18/('Dashboard &amp; Optimisation'!$B$16/3.6)</f>
        <v/>
      </c>
      <c r="O539" s="31" t="n">
        <v>573.2091686187789</v>
      </c>
      <c r="P539" s="32" t="n">
        <v>0.2403161193409352</v>
      </c>
      <c r="Q539" s="33" t="n">
        <v>17.58396391745076</v>
      </c>
      <c r="R539" s="31" t="n">
        <v>600.9027279019282</v>
      </c>
      <c r="S539" s="31">
        <f>R539*IF(A539=4, 2.0, 3.0)</f>
        <v/>
      </c>
      <c r="T539" s="30">
        <f>'Dashboard &amp; Optimisation'!$B$18*U539</f>
        <v/>
      </c>
      <c r="U539" s="34">
        <f>MIN(1, S539/M539)</f>
        <v/>
      </c>
      <c r="V539" s="34">
        <f>N539/(N539+O539)</f>
        <v/>
      </c>
      <c r="W539" s="34">
        <f>U539*V539</f>
        <v/>
      </c>
      <c r="X539" s="32">
        <f>T539/N539</f>
        <v/>
      </c>
      <c r="Y539" s="35">
        <f>IF(W539=MAXIFS(W$2:W$3601, A$2:A$3601, A539, B$2:B$3601, B539), "OPTIMAL", "")</f>
        <v/>
      </c>
    </row>
    <row r="540" ht="20" customHeight="1">
      <c r="A540" s="21" t="n">
        <v>4</v>
      </c>
      <c r="B540" s="21" t="n">
        <v>30</v>
      </c>
      <c r="C540" s="22" t="n">
        <v>100</v>
      </c>
      <c r="D540" s="22" t="n">
        <v>2</v>
      </c>
      <c r="E540" s="23" t="n">
        <v>8</v>
      </c>
      <c r="F540" s="22" t="n">
        <v>2</v>
      </c>
      <c r="G540" s="23" t="inlineStr">
        <is>
          <t>Non</t>
        </is>
      </c>
      <c r="H540" s="23" t="inlineStr">
        <is>
          <t>ON</t>
        </is>
      </c>
      <c r="I540" s="24" t="n">
        <v>718.2417398266504</v>
      </c>
      <c r="J540" s="24" t="n">
        <v>2366.073881799197</v>
      </c>
      <c r="K540" s="24" t="n">
        <v>1847.222222222222</v>
      </c>
      <c r="L540" s="24" t="n">
        <v>150</v>
      </c>
      <c r="M540" s="24">
        <f>I540+J540+K540+L540</f>
        <v/>
      </c>
      <c r="N540" s="24">
        <f>M540*'Dashboard &amp; Optimisation'!$B$18/('Dashboard &amp; Optimisation'!$B$16/3.6)</f>
        <v/>
      </c>
      <c r="O540" s="24" t="n">
        <v>573.2091686187789</v>
      </c>
      <c r="P540" s="25" t="n">
        <v>0.05131178254418326</v>
      </c>
      <c r="Q540" s="26" t="n">
        <v>17.58396391745076</v>
      </c>
      <c r="R540" s="24" t="n">
        <v>2814.297311663817</v>
      </c>
      <c r="S540" s="24">
        <f>R540*IF(A540=4, 2.0, 3.0)</f>
        <v/>
      </c>
      <c r="T540" s="22">
        <f>'Dashboard &amp; Optimisation'!$B$18*U540</f>
        <v/>
      </c>
      <c r="U540" s="27">
        <f>MIN(1, S540/M540)</f>
        <v/>
      </c>
      <c r="V540" s="27">
        <f>N540/(N540+O540)</f>
        <v/>
      </c>
      <c r="W540" s="27">
        <f>U540*V540</f>
        <v/>
      </c>
      <c r="X540" s="25">
        <f>T540/N540</f>
        <v/>
      </c>
      <c r="Y540" s="28">
        <f>IF(W540=MAXIFS(W$2:W$3601, A$2:A$3601, A540, B$2:B$3601, B540), "OPTIMAL", "")</f>
        <v/>
      </c>
    </row>
    <row r="541" ht="20" customHeight="1">
      <c r="A541" s="29" t="n">
        <v>4</v>
      </c>
      <c r="B541" s="29" t="n">
        <v>30</v>
      </c>
      <c r="C541" s="30" t="n">
        <v>100</v>
      </c>
      <c r="D541" s="30" t="n">
        <v>2</v>
      </c>
      <c r="E541" s="6" t="n">
        <v>8</v>
      </c>
      <c r="F541" s="30" t="n">
        <v>2</v>
      </c>
      <c r="G541" s="6" t="inlineStr">
        <is>
          <t>Non</t>
        </is>
      </c>
      <c r="H541" s="6" t="inlineStr">
        <is>
          <t>OFF</t>
        </is>
      </c>
      <c r="I541" s="31" t="n">
        <v>718.2417398266504</v>
      </c>
      <c r="J541" s="31" t="n">
        <v>2366.073881799197</v>
      </c>
      <c r="K541" s="31" t="n">
        <v>1847.222222222222</v>
      </c>
      <c r="L541" s="31" t="n">
        <v>150</v>
      </c>
      <c r="M541" s="31">
        <f>I541+J541+K541+L541</f>
        <v/>
      </c>
      <c r="N541" s="31">
        <f>M541*'Dashboard &amp; Optimisation'!$B$18/('Dashboard &amp; Optimisation'!$B$16/3.6)</f>
        <v/>
      </c>
      <c r="O541" s="31" t="n">
        <v>573.2091686187789</v>
      </c>
      <c r="P541" s="32" t="n">
        <v>0.2371330204790973</v>
      </c>
      <c r="Q541" s="33" t="n">
        <v>17.58396391745076</v>
      </c>
      <c r="R541" s="31" t="n">
        <v>608.9688031595851</v>
      </c>
      <c r="S541" s="31">
        <f>R541*IF(A541=4, 2.0, 3.0)</f>
        <v/>
      </c>
      <c r="T541" s="30">
        <f>'Dashboard &amp; Optimisation'!$B$18*U541</f>
        <v/>
      </c>
      <c r="U541" s="34">
        <f>MIN(1, S541/M541)</f>
        <v/>
      </c>
      <c r="V541" s="34">
        <f>N541/(N541+O541)</f>
        <v/>
      </c>
      <c r="W541" s="34">
        <f>U541*V541</f>
        <v/>
      </c>
      <c r="X541" s="32">
        <f>T541/N541</f>
        <v/>
      </c>
      <c r="Y541" s="35">
        <f>IF(W541=MAXIFS(W$2:W$3601, A$2:A$3601, A541, B$2:B$3601, B541), "OPTIMAL", "")</f>
        <v/>
      </c>
    </row>
    <row r="542" ht="20" customHeight="1">
      <c r="A542" s="21" t="n">
        <v>4</v>
      </c>
      <c r="B542" s="21" t="n">
        <v>30</v>
      </c>
      <c r="C542" s="22" t="n">
        <v>100</v>
      </c>
      <c r="D542" s="22" t="n">
        <v>3</v>
      </c>
      <c r="E542" s="23" t="n">
        <v>0</v>
      </c>
      <c r="F542" s="22" t="n">
        <v>0</v>
      </c>
      <c r="G542" s="23" t="inlineStr">
        <is>
          <t>Oui</t>
        </is>
      </c>
      <c r="H542" s="23" t="inlineStr">
        <is>
          <t>ON</t>
        </is>
      </c>
      <c r="I542" s="24" t="n">
        <v>718.2417398266504</v>
      </c>
      <c r="J542" s="24" t="n">
        <v>2366.073881799197</v>
      </c>
      <c r="K542" s="24" t="n">
        <v>1847.222222222222</v>
      </c>
      <c r="L542" s="24" t="n">
        <v>150</v>
      </c>
      <c r="M542" s="24">
        <f>I542+J542+K542+L542</f>
        <v/>
      </c>
      <c r="N542" s="24">
        <f>M542*'Dashboard &amp; Optimisation'!$B$18/('Dashboard &amp; Optimisation'!$B$16/3.6)</f>
        <v/>
      </c>
      <c r="O542" s="24" t="n">
        <v>340.2179774855961</v>
      </c>
      <c r="P542" s="25" t="n">
        <v>0.4806959660709754</v>
      </c>
      <c r="Q542" s="26" t="n">
        <v>0.2</v>
      </c>
      <c r="R542" s="24" t="n">
        <v>286.7346349927146</v>
      </c>
      <c r="S542" s="24">
        <f>R542*IF(A542=4, 2.0, 3.0)</f>
        <v/>
      </c>
      <c r="T542" s="22">
        <f>'Dashboard &amp; Optimisation'!$B$18*U542</f>
        <v/>
      </c>
      <c r="U542" s="27">
        <f>MIN(1, S542/M542)</f>
        <v/>
      </c>
      <c r="V542" s="27">
        <f>N542/(N542+O542)</f>
        <v/>
      </c>
      <c r="W542" s="27">
        <f>U542*V542</f>
        <v/>
      </c>
      <c r="X542" s="25">
        <f>T542/N542</f>
        <v/>
      </c>
      <c r="Y542" s="28">
        <f>IF(W542=MAXIFS(W$2:W$3601, A$2:A$3601, A542, B$2:B$3601, B542), "OPTIMAL", "")</f>
        <v/>
      </c>
    </row>
    <row r="543" ht="20" customHeight="1">
      <c r="A543" s="29" t="n">
        <v>4</v>
      </c>
      <c r="B543" s="29" t="n">
        <v>30</v>
      </c>
      <c r="C543" s="30" t="n">
        <v>100</v>
      </c>
      <c r="D543" s="30" t="n">
        <v>3</v>
      </c>
      <c r="E543" s="6" t="n">
        <v>0</v>
      </c>
      <c r="F543" s="30" t="n">
        <v>0</v>
      </c>
      <c r="G543" s="6" t="inlineStr">
        <is>
          <t>Oui</t>
        </is>
      </c>
      <c r="H543" s="6" t="inlineStr">
        <is>
          <t>OFF</t>
        </is>
      </c>
      <c r="I543" s="31" t="n">
        <v>718.2417398266504</v>
      </c>
      <c r="J543" s="31" t="n">
        <v>2366.073881799197</v>
      </c>
      <c r="K543" s="31" t="n">
        <v>1847.222222222222</v>
      </c>
      <c r="L543" s="31" t="n">
        <v>150</v>
      </c>
      <c r="M543" s="31">
        <f>I543+J543+K543+L543</f>
        <v/>
      </c>
      <c r="N543" s="31">
        <f>M543*'Dashboard &amp; Optimisation'!$B$18/('Dashboard &amp; Optimisation'!$B$16/3.6)</f>
        <v/>
      </c>
      <c r="O543" s="31" t="n">
        <v>340.2179774855961</v>
      </c>
      <c r="P543" s="32" t="n">
        <v>0.7990058522547661</v>
      </c>
      <c r="Q543" s="33" t="n">
        <v>0.2</v>
      </c>
      <c r="R543" s="31" t="n">
        <v>172.5045967872124</v>
      </c>
      <c r="S543" s="31">
        <f>R543*IF(A543=4, 2.0, 3.0)</f>
        <v/>
      </c>
      <c r="T543" s="30">
        <f>'Dashboard &amp; Optimisation'!$B$18*U543</f>
        <v/>
      </c>
      <c r="U543" s="34">
        <f>MIN(1, S543/M543)</f>
        <v/>
      </c>
      <c r="V543" s="34">
        <f>N543/(N543+O543)</f>
        <v/>
      </c>
      <c r="W543" s="34">
        <f>U543*V543</f>
        <v/>
      </c>
      <c r="X543" s="32">
        <f>T543/N543</f>
        <v/>
      </c>
      <c r="Y543" s="35">
        <f>IF(W543=MAXIFS(W$2:W$3601, A$2:A$3601, A543, B$2:B$3601, B543), "OPTIMAL", "")</f>
        <v/>
      </c>
    </row>
    <row r="544" ht="20" customHeight="1">
      <c r="A544" s="21" t="n">
        <v>4</v>
      </c>
      <c r="B544" s="21" t="n">
        <v>30</v>
      </c>
      <c r="C544" s="22" t="n">
        <v>100</v>
      </c>
      <c r="D544" s="22" t="n">
        <v>3</v>
      </c>
      <c r="E544" s="23" t="n">
        <v>0</v>
      </c>
      <c r="F544" s="22" t="n">
        <v>0</v>
      </c>
      <c r="G544" s="23" t="inlineStr">
        <is>
          <t>Non</t>
        </is>
      </c>
      <c r="H544" s="23" t="inlineStr">
        <is>
          <t>ON</t>
        </is>
      </c>
      <c r="I544" s="24" t="n">
        <v>718.2417398266504</v>
      </c>
      <c r="J544" s="24" t="n">
        <v>2366.073881799197</v>
      </c>
      <c r="K544" s="24" t="n">
        <v>1847.222222222222</v>
      </c>
      <c r="L544" s="24" t="n">
        <v>150</v>
      </c>
      <c r="M544" s="24">
        <f>I544+J544+K544+L544</f>
        <v/>
      </c>
      <c r="N544" s="24">
        <f>M544*'Dashboard &amp; Optimisation'!$B$18/('Dashboard &amp; Optimisation'!$B$16/3.6)</f>
        <v/>
      </c>
      <c r="O544" s="24" t="n">
        <v>340.2179774855961</v>
      </c>
      <c r="P544" s="25" t="n">
        <v>0.4775128672091374</v>
      </c>
      <c r="Q544" s="26" t="n">
        <v>0.2</v>
      </c>
      <c r="R544" s="24" t="n">
        <v>288.6460069220811</v>
      </c>
      <c r="S544" s="24">
        <f>R544*IF(A544=4, 2.0, 3.0)</f>
        <v/>
      </c>
      <c r="T544" s="22">
        <f>'Dashboard &amp; Optimisation'!$B$18*U544</f>
        <v/>
      </c>
      <c r="U544" s="27">
        <f>MIN(1, S544/M544)</f>
        <v/>
      </c>
      <c r="V544" s="27">
        <f>N544/(N544+O544)</f>
        <v/>
      </c>
      <c r="W544" s="27">
        <f>U544*V544</f>
        <v/>
      </c>
      <c r="X544" s="25">
        <f>T544/N544</f>
        <v/>
      </c>
      <c r="Y544" s="28">
        <f>IF(W544=MAXIFS(W$2:W$3601, A$2:A$3601, A544, B$2:B$3601, B544), "OPTIMAL", "")</f>
        <v/>
      </c>
    </row>
    <row r="545" ht="20" customHeight="1">
      <c r="A545" s="29" t="n">
        <v>4</v>
      </c>
      <c r="B545" s="29" t="n">
        <v>30</v>
      </c>
      <c r="C545" s="30" t="n">
        <v>100</v>
      </c>
      <c r="D545" s="30" t="n">
        <v>3</v>
      </c>
      <c r="E545" s="6" t="n">
        <v>0</v>
      </c>
      <c r="F545" s="30" t="n">
        <v>0</v>
      </c>
      <c r="G545" s="6" t="inlineStr">
        <is>
          <t>Non</t>
        </is>
      </c>
      <c r="H545" s="6" t="inlineStr">
        <is>
          <t>OFF</t>
        </is>
      </c>
      <c r="I545" s="31" t="n">
        <v>718.2417398266504</v>
      </c>
      <c r="J545" s="31" t="n">
        <v>2366.073881799197</v>
      </c>
      <c r="K545" s="31" t="n">
        <v>1847.222222222222</v>
      </c>
      <c r="L545" s="31" t="n">
        <v>150</v>
      </c>
      <c r="M545" s="31">
        <f>I545+J545+K545+L545</f>
        <v/>
      </c>
      <c r="N545" s="31">
        <f>M545*'Dashboard &amp; Optimisation'!$B$18/('Dashboard &amp; Optimisation'!$B$16/3.6)</f>
        <v/>
      </c>
      <c r="O545" s="31" t="n">
        <v>340.2179774855961</v>
      </c>
      <c r="P545" s="32" t="n">
        <v>0.7958227533929282</v>
      </c>
      <c r="Q545" s="33" t="n">
        <v>0.2</v>
      </c>
      <c r="R545" s="31" t="n">
        <v>173.1945735230549</v>
      </c>
      <c r="S545" s="31">
        <f>R545*IF(A545=4, 2.0, 3.0)</f>
        <v/>
      </c>
      <c r="T545" s="30">
        <f>'Dashboard &amp; Optimisation'!$B$18*U545</f>
        <v/>
      </c>
      <c r="U545" s="34">
        <f>MIN(1, S545/M545)</f>
        <v/>
      </c>
      <c r="V545" s="34">
        <f>N545/(N545+O545)</f>
        <v/>
      </c>
      <c r="W545" s="34">
        <f>U545*V545</f>
        <v/>
      </c>
      <c r="X545" s="32">
        <f>T545/N545</f>
        <v/>
      </c>
      <c r="Y545" s="35">
        <f>IF(W545=MAXIFS(W$2:W$3601, A$2:A$3601, A545, B$2:B$3601, B545), "OPTIMAL", "")</f>
        <v/>
      </c>
    </row>
    <row r="546" ht="20" customHeight="1">
      <c r="A546" s="21" t="n">
        <v>4</v>
      </c>
      <c r="B546" s="21" t="n">
        <v>30</v>
      </c>
      <c r="C546" s="22" t="n">
        <v>100</v>
      </c>
      <c r="D546" s="22" t="n">
        <v>3</v>
      </c>
      <c r="E546" s="23" t="n">
        <v>4</v>
      </c>
      <c r="F546" s="22" t="n">
        <v>1.5</v>
      </c>
      <c r="G546" s="23" t="inlineStr">
        <is>
          <t>Oui</t>
        </is>
      </c>
      <c r="H546" s="23" t="inlineStr">
        <is>
          <t>ON</t>
        </is>
      </c>
      <c r="I546" s="24" t="n">
        <v>718.2417398266504</v>
      </c>
      <c r="J546" s="24" t="n">
        <v>2366.073881799197</v>
      </c>
      <c r="K546" s="24" t="n">
        <v>1847.222222222222</v>
      </c>
      <c r="L546" s="24" t="n">
        <v>150</v>
      </c>
      <c r="M546" s="24">
        <f>I546+J546+K546+L546</f>
        <v/>
      </c>
      <c r="N546" s="24">
        <f>M546*'Dashboard &amp; Optimisation'!$B$18/('Dashboard &amp; Optimisation'!$B$16/3.6)</f>
        <v/>
      </c>
      <c r="O546" s="24" t="n">
        <v>473.0454122710681</v>
      </c>
      <c r="P546" s="25" t="n">
        <v>0.0735384347268611</v>
      </c>
      <c r="Q546" s="26" t="n">
        <v>6.857688308810928</v>
      </c>
      <c r="R546" s="24" t="n">
        <v>1937.264756981705</v>
      </c>
      <c r="S546" s="24">
        <f>R546*IF(A546=4, 2.0, 3.0)</f>
        <v/>
      </c>
      <c r="T546" s="22">
        <f>'Dashboard &amp; Optimisation'!$B$18*U546</f>
        <v/>
      </c>
      <c r="U546" s="27">
        <f>MIN(1, S546/M546)</f>
        <v/>
      </c>
      <c r="V546" s="27">
        <f>N546/(N546+O546)</f>
        <v/>
      </c>
      <c r="W546" s="27">
        <f>U546*V546</f>
        <v/>
      </c>
      <c r="X546" s="25">
        <f>T546/N546</f>
        <v/>
      </c>
      <c r="Y546" s="28">
        <f>IF(W546=MAXIFS(W$2:W$3601, A$2:A$3601, A546, B$2:B$3601, B546), "OPTIMAL", "")</f>
        <v/>
      </c>
    </row>
    <row r="547" ht="20" customHeight="1">
      <c r="A547" s="29" t="n">
        <v>4</v>
      </c>
      <c r="B547" s="29" t="n">
        <v>30</v>
      </c>
      <c r="C547" s="30" t="n">
        <v>100</v>
      </c>
      <c r="D547" s="30" t="n">
        <v>3</v>
      </c>
      <c r="E547" s="6" t="n">
        <v>4</v>
      </c>
      <c r="F547" s="30" t="n">
        <v>1.5</v>
      </c>
      <c r="G547" s="6" t="inlineStr">
        <is>
          <t>Oui</t>
        </is>
      </c>
      <c r="H547" s="6" t="inlineStr">
        <is>
          <t>OFF</t>
        </is>
      </c>
      <c r="I547" s="31" t="n">
        <v>718.2417398266504</v>
      </c>
      <c r="J547" s="31" t="n">
        <v>2366.073881799197</v>
      </c>
      <c r="K547" s="31" t="n">
        <v>1847.222222222222</v>
      </c>
      <c r="L547" s="31" t="n">
        <v>150</v>
      </c>
      <c r="M547" s="31">
        <f>I547+J547+K547+L547</f>
        <v/>
      </c>
      <c r="N547" s="31">
        <f>M547*'Dashboard &amp; Optimisation'!$B$18/('Dashboard &amp; Optimisation'!$B$16/3.6)</f>
        <v/>
      </c>
      <c r="O547" s="31" t="n">
        <v>473.0454122710681</v>
      </c>
      <c r="P547" s="32" t="n">
        <v>0.307100869502758</v>
      </c>
      <c r="Q547" s="33" t="n">
        <v>6.857688308810928</v>
      </c>
      <c r="R547" s="31" t="n">
        <v>463.8978004543491</v>
      </c>
      <c r="S547" s="31">
        <f>R547*IF(A547=4, 2.0, 3.0)</f>
        <v/>
      </c>
      <c r="T547" s="30">
        <f>'Dashboard &amp; Optimisation'!$B$18*U547</f>
        <v/>
      </c>
      <c r="U547" s="34">
        <f>MIN(1, S547/M547)</f>
        <v/>
      </c>
      <c r="V547" s="34">
        <f>N547/(N547+O547)</f>
        <v/>
      </c>
      <c r="W547" s="34">
        <f>U547*V547</f>
        <v/>
      </c>
      <c r="X547" s="32">
        <f>T547/N547</f>
        <v/>
      </c>
      <c r="Y547" s="35">
        <f>IF(W547=MAXIFS(W$2:W$3601, A$2:A$3601, A547, B$2:B$3601, B547), "OPTIMAL", "")</f>
        <v/>
      </c>
    </row>
    <row r="548" ht="20" customHeight="1">
      <c r="A548" s="21" t="n">
        <v>4</v>
      </c>
      <c r="B548" s="21" t="n">
        <v>30</v>
      </c>
      <c r="C548" s="22" t="n">
        <v>100</v>
      </c>
      <c r="D548" s="22" t="n">
        <v>3</v>
      </c>
      <c r="E548" s="23" t="n">
        <v>4</v>
      </c>
      <c r="F548" s="22" t="n">
        <v>1.5</v>
      </c>
      <c r="G548" s="23" t="inlineStr">
        <is>
          <t>Non</t>
        </is>
      </c>
      <c r="H548" s="23" t="inlineStr">
        <is>
          <t>ON</t>
        </is>
      </c>
      <c r="I548" s="24" t="n">
        <v>718.2417398266504</v>
      </c>
      <c r="J548" s="24" t="n">
        <v>2366.073881799197</v>
      </c>
      <c r="K548" s="24" t="n">
        <v>1847.222222222222</v>
      </c>
      <c r="L548" s="24" t="n">
        <v>150</v>
      </c>
      <c r="M548" s="24">
        <f>I548+J548+K548+L548</f>
        <v/>
      </c>
      <c r="N548" s="24">
        <f>M548*'Dashboard &amp; Optimisation'!$B$18/('Dashboard &amp; Optimisation'!$B$16/3.6)</f>
        <v/>
      </c>
      <c r="O548" s="24" t="n">
        <v>473.0454122710681</v>
      </c>
      <c r="P548" s="25" t="n">
        <v>0.07035533586502318</v>
      </c>
      <c r="Q548" s="26" t="n">
        <v>6.857688308810928</v>
      </c>
      <c r="R548" s="24" t="n">
        <v>2024.912767856923</v>
      </c>
      <c r="S548" s="24">
        <f>R548*IF(A548=4, 2.0, 3.0)</f>
        <v/>
      </c>
      <c r="T548" s="22">
        <f>'Dashboard &amp; Optimisation'!$B$18*U548</f>
        <v/>
      </c>
      <c r="U548" s="27">
        <f>MIN(1, S548/M548)</f>
        <v/>
      </c>
      <c r="V548" s="27">
        <f>N548/(N548+O548)</f>
        <v/>
      </c>
      <c r="W548" s="27">
        <f>U548*V548</f>
        <v/>
      </c>
      <c r="X548" s="25">
        <f>T548/N548</f>
        <v/>
      </c>
      <c r="Y548" s="28">
        <f>IF(W548=MAXIFS(W$2:W$3601, A$2:A$3601, A548, B$2:B$3601, B548), "OPTIMAL", "")</f>
        <v/>
      </c>
    </row>
    <row r="549" ht="20" customHeight="1">
      <c r="A549" s="29" t="n">
        <v>4</v>
      </c>
      <c r="B549" s="29" t="n">
        <v>30</v>
      </c>
      <c r="C549" s="30" t="n">
        <v>100</v>
      </c>
      <c r="D549" s="30" t="n">
        <v>3</v>
      </c>
      <c r="E549" s="6" t="n">
        <v>4</v>
      </c>
      <c r="F549" s="30" t="n">
        <v>1.5</v>
      </c>
      <c r="G549" s="6" t="inlineStr">
        <is>
          <t>Non</t>
        </is>
      </c>
      <c r="H549" s="6" t="inlineStr">
        <is>
          <t>OFF</t>
        </is>
      </c>
      <c r="I549" s="31" t="n">
        <v>718.2417398266504</v>
      </c>
      <c r="J549" s="31" t="n">
        <v>2366.073881799197</v>
      </c>
      <c r="K549" s="31" t="n">
        <v>1847.222222222222</v>
      </c>
      <c r="L549" s="31" t="n">
        <v>150</v>
      </c>
      <c r="M549" s="31">
        <f>I549+J549+K549+L549</f>
        <v/>
      </c>
      <c r="N549" s="31">
        <f>M549*'Dashboard &amp; Optimisation'!$B$18/('Dashboard &amp; Optimisation'!$B$16/3.6)</f>
        <v/>
      </c>
      <c r="O549" s="31" t="n">
        <v>473.0454122710681</v>
      </c>
      <c r="P549" s="32" t="n">
        <v>0.3039177706409201</v>
      </c>
      <c r="Q549" s="33" t="n">
        <v>6.857688308810928</v>
      </c>
      <c r="R549" s="31" t="n">
        <v>468.7564586286354</v>
      </c>
      <c r="S549" s="31">
        <f>R549*IF(A549=4, 2.0, 3.0)</f>
        <v/>
      </c>
      <c r="T549" s="30">
        <f>'Dashboard &amp; Optimisation'!$B$18*U549</f>
        <v/>
      </c>
      <c r="U549" s="34">
        <f>MIN(1, S549/M549)</f>
        <v/>
      </c>
      <c r="V549" s="34">
        <f>N549/(N549+O549)</f>
        <v/>
      </c>
      <c r="W549" s="34">
        <f>U549*V549</f>
        <v/>
      </c>
      <c r="X549" s="32">
        <f>T549/N549</f>
        <v/>
      </c>
      <c r="Y549" s="35">
        <f>IF(W549=MAXIFS(W$2:W$3601, A$2:A$3601, A549, B$2:B$3601, B549), "OPTIMAL", "")</f>
        <v/>
      </c>
    </row>
    <row r="550" ht="20" customHeight="1">
      <c r="A550" s="21" t="n">
        <v>4</v>
      </c>
      <c r="B550" s="21" t="n">
        <v>30</v>
      </c>
      <c r="C550" s="22" t="n">
        <v>100</v>
      </c>
      <c r="D550" s="22" t="n">
        <v>3</v>
      </c>
      <c r="E550" s="23" t="n">
        <v>4</v>
      </c>
      <c r="F550" s="22" t="n">
        <v>2</v>
      </c>
      <c r="G550" s="23" t="inlineStr">
        <is>
          <t>Oui</t>
        </is>
      </c>
      <c r="H550" s="23" t="inlineStr">
        <is>
          <t>ON</t>
        </is>
      </c>
      <c r="I550" s="24" t="n">
        <v>718.2417398266504</v>
      </c>
      <c r="J550" s="24" t="n">
        <v>2366.073881799197</v>
      </c>
      <c r="K550" s="24" t="n">
        <v>1847.222222222222</v>
      </c>
      <c r="L550" s="24" t="n">
        <v>150</v>
      </c>
      <c r="M550" s="24">
        <f>I550+J550+K550+L550</f>
        <v/>
      </c>
      <c r="N550" s="24">
        <f>M550*'Dashboard &amp; Optimisation'!$B$18/('Dashboard &amp; Optimisation'!$B$16/3.6)</f>
        <v/>
      </c>
      <c r="O550" s="24" t="n">
        <v>519.3272801874277</v>
      </c>
      <c r="P550" s="25" t="n">
        <v>0.07090019831070833</v>
      </c>
      <c r="Q550" s="26" t="n">
        <v>9.076917745081236</v>
      </c>
      <c r="R550" s="24" t="n">
        <v>2032.111485740081</v>
      </c>
      <c r="S550" s="24">
        <f>R550*IF(A550=4, 2.0, 3.0)</f>
        <v/>
      </c>
      <c r="T550" s="22">
        <f>'Dashboard &amp; Optimisation'!$B$18*U550</f>
        <v/>
      </c>
      <c r="U550" s="27">
        <f>MIN(1, S550/M550)</f>
        <v/>
      </c>
      <c r="V550" s="27">
        <f>N550/(N550+O550)</f>
        <v/>
      </c>
      <c r="W550" s="27">
        <f>U550*V550</f>
        <v/>
      </c>
      <c r="X550" s="25">
        <f>T550/N550</f>
        <v/>
      </c>
      <c r="Y550" s="28">
        <f>IF(W550=MAXIFS(W$2:W$3601, A$2:A$3601, A550, B$2:B$3601, B550), "OPTIMAL", "")</f>
        <v/>
      </c>
    </row>
    <row r="551" ht="20" customHeight="1">
      <c r="A551" s="29" t="n">
        <v>4</v>
      </c>
      <c r="B551" s="29" t="n">
        <v>30</v>
      </c>
      <c r="C551" s="30" t="n">
        <v>100</v>
      </c>
      <c r="D551" s="30" t="n">
        <v>3</v>
      </c>
      <c r="E551" s="6" t="n">
        <v>4</v>
      </c>
      <c r="F551" s="30" t="n">
        <v>2</v>
      </c>
      <c r="G551" s="6" t="inlineStr">
        <is>
          <t>Oui</t>
        </is>
      </c>
      <c r="H551" s="6" t="inlineStr">
        <is>
          <t>OFF</t>
        </is>
      </c>
      <c r="I551" s="31" t="n">
        <v>718.2417398266504</v>
      </c>
      <c r="J551" s="31" t="n">
        <v>2366.073881799197</v>
      </c>
      <c r="K551" s="31" t="n">
        <v>1847.222222222222</v>
      </c>
      <c r="L551" s="31" t="n">
        <v>150</v>
      </c>
      <c r="M551" s="31">
        <f>I551+J551+K551+L551</f>
        <v/>
      </c>
      <c r="N551" s="31">
        <f>M551*'Dashboard &amp; Optimisation'!$B$18/('Dashboard &amp; Optimisation'!$B$16/3.6)</f>
        <v/>
      </c>
      <c r="O551" s="31" t="n">
        <v>519.3272801874277</v>
      </c>
      <c r="P551" s="32" t="n">
        <v>0.305556811068225</v>
      </c>
      <c r="Q551" s="33" t="n">
        <v>9.076917745081236</v>
      </c>
      <c r="R551" s="31" t="n">
        <v>471.5231410641676</v>
      </c>
      <c r="S551" s="31">
        <f>R551*IF(A551=4, 2.0, 3.0)</f>
        <v/>
      </c>
      <c r="T551" s="30">
        <f>'Dashboard &amp; Optimisation'!$B$18*U551</f>
        <v/>
      </c>
      <c r="U551" s="34">
        <f>MIN(1, S551/M551)</f>
        <v/>
      </c>
      <c r="V551" s="34">
        <f>N551/(N551+O551)</f>
        <v/>
      </c>
      <c r="W551" s="34">
        <f>U551*V551</f>
        <v/>
      </c>
      <c r="X551" s="32">
        <f>T551/N551</f>
        <v/>
      </c>
      <c r="Y551" s="35">
        <f>IF(W551=MAXIFS(W$2:W$3601, A$2:A$3601, A551, B$2:B$3601, B551), "OPTIMAL", "")</f>
        <v/>
      </c>
    </row>
    <row r="552" ht="20" customHeight="1">
      <c r="A552" s="21" t="n">
        <v>4</v>
      </c>
      <c r="B552" s="21" t="n">
        <v>30</v>
      </c>
      <c r="C552" s="22" t="n">
        <v>100</v>
      </c>
      <c r="D552" s="22" t="n">
        <v>3</v>
      </c>
      <c r="E552" s="23" t="n">
        <v>4</v>
      </c>
      <c r="F552" s="22" t="n">
        <v>2</v>
      </c>
      <c r="G552" s="23" t="inlineStr">
        <is>
          <t>Non</t>
        </is>
      </c>
      <c r="H552" s="23" t="inlineStr">
        <is>
          <t>ON</t>
        </is>
      </c>
      <c r="I552" s="24" t="n">
        <v>718.2417398266504</v>
      </c>
      <c r="J552" s="24" t="n">
        <v>2366.073881799197</v>
      </c>
      <c r="K552" s="24" t="n">
        <v>1847.222222222222</v>
      </c>
      <c r="L552" s="24" t="n">
        <v>150</v>
      </c>
      <c r="M552" s="24">
        <f>I552+J552+K552+L552</f>
        <v/>
      </c>
      <c r="N552" s="24">
        <f>M552*'Dashboard &amp; Optimisation'!$B$18/('Dashboard &amp; Optimisation'!$B$16/3.6)</f>
        <v/>
      </c>
      <c r="O552" s="24" t="n">
        <v>519.3272801874277</v>
      </c>
      <c r="P552" s="25" t="n">
        <v>0.06771709944887042</v>
      </c>
      <c r="Q552" s="26" t="n">
        <v>9.076917745081236</v>
      </c>
      <c r="R552" s="24" t="n">
        <v>2127.632584694872</v>
      </c>
      <c r="S552" s="24">
        <f>R552*IF(A552=4, 2.0, 3.0)</f>
        <v/>
      </c>
      <c r="T552" s="22">
        <f>'Dashboard &amp; Optimisation'!$B$18*U552</f>
        <v/>
      </c>
      <c r="U552" s="27">
        <f>MIN(1, S552/M552)</f>
        <v/>
      </c>
      <c r="V552" s="27">
        <f>N552/(N552+O552)</f>
        <v/>
      </c>
      <c r="W552" s="27">
        <f>U552*V552</f>
        <v/>
      </c>
      <c r="X552" s="25">
        <f>T552/N552</f>
        <v/>
      </c>
      <c r="Y552" s="28">
        <f>IF(W552=MAXIFS(W$2:W$3601, A$2:A$3601, A552, B$2:B$3601, B552), "OPTIMAL", "")</f>
        <v/>
      </c>
    </row>
    <row r="553" ht="20" customHeight="1">
      <c r="A553" s="29" t="n">
        <v>4</v>
      </c>
      <c r="B553" s="29" t="n">
        <v>30</v>
      </c>
      <c r="C553" s="30" t="n">
        <v>100</v>
      </c>
      <c r="D553" s="30" t="n">
        <v>3</v>
      </c>
      <c r="E553" s="6" t="n">
        <v>4</v>
      </c>
      <c r="F553" s="30" t="n">
        <v>2</v>
      </c>
      <c r="G553" s="6" t="inlineStr">
        <is>
          <t>Non</t>
        </is>
      </c>
      <c r="H553" s="6" t="inlineStr">
        <is>
          <t>OFF</t>
        </is>
      </c>
      <c r="I553" s="31" t="n">
        <v>718.2417398266504</v>
      </c>
      <c r="J553" s="31" t="n">
        <v>2366.073881799197</v>
      </c>
      <c r="K553" s="31" t="n">
        <v>1847.222222222222</v>
      </c>
      <c r="L553" s="31" t="n">
        <v>150</v>
      </c>
      <c r="M553" s="31">
        <f>I553+J553+K553+L553</f>
        <v/>
      </c>
      <c r="N553" s="31">
        <f>M553*'Dashboard &amp; Optimisation'!$B$18/('Dashboard &amp; Optimisation'!$B$16/3.6)</f>
        <v/>
      </c>
      <c r="O553" s="31" t="n">
        <v>519.3272801874277</v>
      </c>
      <c r="P553" s="32" t="n">
        <v>0.302373712206387</v>
      </c>
      <c r="Q553" s="33" t="n">
        <v>9.076917745081236</v>
      </c>
      <c r="R553" s="31" t="n">
        <v>476.4868820014987</v>
      </c>
      <c r="S553" s="31">
        <f>R553*IF(A553=4, 2.0, 3.0)</f>
        <v/>
      </c>
      <c r="T553" s="30">
        <f>'Dashboard &amp; Optimisation'!$B$18*U553</f>
        <v/>
      </c>
      <c r="U553" s="34">
        <f>MIN(1, S553/M553)</f>
        <v/>
      </c>
      <c r="V553" s="34">
        <f>N553/(N553+O553)</f>
        <v/>
      </c>
      <c r="W553" s="34">
        <f>U553*V553</f>
        <v/>
      </c>
      <c r="X553" s="32">
        <f>T553/N553</f>
        <v/>
      </c>
      <c r="Y553" s="35">
        <f>IF(W553=MAXIFS(W$2:W$3601, A$2:A$3601, A553, B$2:B$3601, B553), "OPTIMAL", "")</f>
        <v/>
      </c>
    </row>
    <row r="554" ht="20" customHeight="1">
      <c r="A554" s="21" t="n">
        <v>4</v>
      </c>
      <c r="B554" s="21" t="n">
        <v>30</v>
      </c>
      <c r="C554" s="22" t="n">
        <v>100</v>
      </c>
      <c r="D554" s="22" t="n">
        <v>3</v>
      </c>
      <c r="E554" s="23" t="n">
        <v>8</v>
      </c>
      <c r="F554" s="22" t="n">
        <v>1.5</v>
      </c>
      <c r="G554" s="23" t="inlineStr">
        <is>
          <t>Oui</t>
        </is>
      </c>
      <c r="H554" s="23" t="inlineStr">
        <is>
          <t>ON</t>
        </is>
      </c>
      <c r="I554" s="24" t="n">
        <v>718.2417398266504</v>
      </c>
      <c r="J554" s="24" t="n">
        <v>2366.073881799197</v>
      </c>
      <c r="K554" s="24" t="n">
        <v>1847.222222222222</v>
      </c>
      <c r="L554" s="24" t="n">
        <v>150</v>
      </c>
      <c r="M554" s="24">
        <f>I554+J554+K554+L554</f>
        <v/>
      </c>
      <c r="N554" s="24">
        <f>M554*'Dashboard &amp; Optimisation'!$B$18/('Dashboard &amp; Optimisation'!$B$16/3.6)</f>
        <v/>
      </c>
      <c r="O554" s="24" t="n">
        <v>615.1093449438368</v>
      </c>
      <c r="P554" s="25" t="n">
        <v>0.05562346576923688</v>
      </c>
      <c r="Q554" s="26" t="n">
        <v>13.51537661762185</v>
      </c>
      <c r="R554" s="24" t="n">
        <v>2650.260932862957</v>
      </c>
      <c r="S554" s="24">
        <f>R554*IF(A554=4, 2.0, 3.0)</f>
        <v/>
      </c>
      <c r="T554" s="22">
        <f>'Dashboard &amp; Optimisation'!$B$18*U554</f>
        <v/>
      </c>
      <c r="U554" s="27">
        <f>MIN(1, S554/M554)</f>
        <v/>
      </c>
      <c r="V554" s="27">
        <f>N554/(N554+O554)</f>
        <v/>
      </c>
      <c r="W554" s="27">
        <f>U554*V554</f>
        <v/>
      </c>
      <c r="X554" s="25">
        <f>T554/N554</f>
        <v/>
      </c>
      <c r="Y554" s="28">
        <f>IF(W554=MAXIFS(W$2:W$3601, A$2:A$3601, A554, B$2:B$3601, B554), "OPTIMAL", "")</f>
        <v/>
      </c>
    </row>
    <row r="555" ht="20" customHeight="1">
      <c r="A555" s="29" t="n">
        <v>4</v>
      </c>
      <c r="B555" s="29" t="n">
        <v>30</v>
      </c>
      <c r="C555" s="30" t="n">
        <v>100</v>
      </c>
      <c r="D555" s="30" t="n">
        <v>3</v>
      </c>
      <c r="E555" s="6" t="n">
        <v>8</v>
      </c>
      <c r="F555" s="30" t="n">
        <v>1.5</v>
      </c>
      <c r="G555" s="6" t="inlineStr">
        <is>
          <t>Oui</t>
        </is>
      </c>
      <c r="H555" s="6" t="inlineStr">
        <is>
          <t>OFF</t>
        </is>
      </c>
      <c r="I555" s="31" t="n">
        <v>718.2417398266504</v>
      </c>
      <c r="J555" s="31" t="n">
        <v>2366.073881799197</v>
      </c>
      <c r="K555" s="31" t="n">
        <v>1847.222222222222</v>
      </c>
      <c r="L555" s="31" t="n">
        <v>150</v>
      </c>
      <c r="M555" s="31">
        <f>I555+J555+K555+L555</f>
        <v/>
      </c>
      <c r="N555" s="31">
        <f>M555*'Dashboard &amp; Optimisation'!$B$18/('Dashboard &amp; Optimisation'!$B$16/3.6)</f>
        <v/>
      </c>
      <c r="O555" s="31" t="n">
        <v>615.1093449438368</v>
      </c>
      <c r="P555" s="32" t="n">
        <v>0.2400757351497012</v>
      </c>
      <c r="Q555" s="33" t="n">
        <v>13.51537661762185</v>
      </c>
      <c r="R555" s="31" t="n">
        <v>614.0424736665937</v>
      </c>
      <c r="S555" s="31">
        <f>R555*IF(A555=4, 2.0, 3.0)</f>
        <v/>
      </c>
      <c r="T555" s="30">
        <f>'Dashboard &amp; Optimisation'!$B$18*U555</f>
        <v/>
      </c>
      <c r="U555" s="34">
        <f>MIN(1, S555/M555)</f>
        <v/>
      </c>
      <c r="V555" s="34">
        <f>N555/(N555+O555)</f>
        <v/>
      </c>
      <c r="W555" s="34">
        <f>U555*V555</f>
        <v/>
      </c>
      <c r="X555" s="32">
        <f>T555/N555</f>
        <v/>
      </c>
      <c r="Y555" s="35">
        <f>IF(W555=MAXIFS(W$2:W$3601, A$2:A$3601, A555, B$2:B$3601, B555), "OPTIMAL", "")</f>
        <v/>
      </c>
    </row>
    <row r="556" ht="20" customHeight="1">
      <c r="A556" s="21" t="n">
        <v>4</v>
      </c>
      <c r="B556" s="21" t="n">
        <v>30</v>
      </c>
      <c r="C556" s="22" t="n">
        <v>100</v>
      </c>
      <c r="D556" s="22" t="n">
        <v>3</v>
      </c>
      <c r="E556" s="23" t="n">
        <v>8</v>
      </c>
      <c r="F556" s="22" t="n">
        <v>1.5</v>
      </c>
      <c r="G556" s="23" t="inlineStr">
        <is>
          <t>Non</t>
        </is>
      </c>
      <c r="H556" s="23" t="inlineStr">
        <is>
          <t>ON</t>
        </is>
      </c>
      <c r="I556" s="24" t="n">
        <v>718.2417398266504</v>
      </c>
      <c r="J556" s="24" t="n">
        <v>2366.073881799197</v>
      </c>
      <c r="K556" s="24" t="n">
        <v>1847.222222222222</v>
      </c>
      <c r="L556" s="24" t="n">
        <v>150</v>
      </c>
      <c r="M556" s="24">
        <f>I556+J556+K556+L556</f>
        <v/>
      </c>
      <c r="N556" s="24">
        <f>M556*'Dashboard &amp; Optimisation'!$B$18/('Dashboard &amp; Optimisation'!$B$16/3.6)</f>
        <v/>
      </c>
      <c r="O556" s="24" t="n">
        <v>615.1093449438368</v>
      </c>
      <c r="P556" s="25" t="n">
        <v>0.05244036690739898</v>
      </c>
      <c r="Q556" s="26" t="n">
        <v>13.51537661762185</v>
      </c>
      <c r="R556" s="24" t="n">
        <v>2811.130184099628</v>
      </c>
      <c r="S556" s="24">
        <f>R556*IF(A556=4, 2.0, 3.0)</f>
        <v/>
      </c>
      <c r="T556" s="22">
        <f>'Dashboard &amp; Optimisation'!$B$18*U556</f>
        <v/>
      </c>
      <c r="U556" s="27">
        <f>MIN(1, S556/M556)</f>
        <v/>
      </c>
      <c r="V556" s="27">
        <f>N556/(N556+O556)</f>
        <v/>
      </c>
      <c r="W556" s="27">
        <f>U556*V556</f>
        <v/>
      </c>
      <c r="X556" s="25">
        <f>T556/N556</f>
        <v/>
      </c>
      <c r="Y556" s="28">
        <f>IF(W556=MAXIFS(W$2:W$3601, A$2:A$3601, A556, B$2:B$3601, B556), "OPTIMAL", "")</f>
        <v/>
      </c>
    </row>
    <row r="557" ht="20" customHeight="1">
      <c r="A557" s="29" t="n">
        <v>4</v>
      </c>
      <c r="B557" s="29" t="n">
        <v>30</v>
      </c>
      <c r="C557" s="30" t="n">
        <v>100</v>
      </c>
      <c r="D557" s="30" t="n">
        <v>3</v>
      </c>
      <c r="E557" s="6" t="n">
        <v>8</v>
      </c>
      <c r="F557" s="30" t="n">
        <v>1.5</v>
      </c>
      <c r="G557" s="6" t="inlineStr">
        <is>
          <t>Non</t>
        </is>
      </c>
      <c r="H557" s="6" t="inlineStr">
        <is>
          <t>OFF</t>
        </is>
      </c>
      <c r="I557" s="31" t="n">
        <v>718.2417398266504</v>
      </c>
      <c r="J557" s="31" t="n">
        <v>2366.073881799197</v>
      </c>
      <c r="K557" s="31" t="n">
        <v>1847.222222222222</v>
      </c>
      <c r="L557" s="31" t="n">
        <v>150</v>
      </c>
      <c r="M557" s="31">
        <f>I557+J557+K557+L557</f>
        <v/>
      </c>
      <c r="N557" s="31">
        <f>M557*'Dashboard &amp; Optimisation'!$B$18/('Dashboard &amp; Optimisation'!$B$16/3.6)</f>
        <v/>
      </c>
      <c r="O557" s="31" t="n">
        <v>615.1093449438368</v>
      </c>
      <c r="P557" s="32" t="n">
        <v>0.2368926362878633</v>
      </c>
      <c r="Q557" s="33" t="n">
        <v>13.51537661762185</v>
      </c>
      <c r="R557" s="31" t="n">
        <v>622.2932911241408</v>
      </c>
      <c r="S557" s="31">
        <f>R557*IF(A557=4, 2.0, 3.0)</f>
        <v/>
      </c>
      <c r="T557" s="30">
        <f>'Dashboard &amp; Optimisation'!$B$18*U557</f>
        <v/>
      </c>
      <c r="U557" s="34">
        <f>MIN(1, S557/M557)</f>
        <v/>
      </c>
      <c r="V557" s="34">
        <f>N557/(N557+O557)</f>
        <v/>
      </c>
      <c r="W557" s="34">
        <f>U557*V557</f>
        <v/>
      </c>
      <c r="X557" s="32">
        <f>T557/N557</f>
        <v/>
      </c>
      <c r="Y557" s="35">
        <f>IF(W557=MAXIFS(W$2:W$3601, A$2:A$3601, A557, B$2:B$3601, B557), "OPTIMAL", "")</f>
        <v/>
      </c>
    </row>
    <row r="558" ht="20" customHeight="1">
      <c r="A558" s="21" t="n">
        <v>4</v>
      </c>
      <c r="B558" s="21" t="n">
        <v>30</v>
      </c>
      <c r="C558" s="22" t="n">
        <v>100</v>
      </c>
      <c r="D558" s="22" t="n">
        <v>3</v>
      </c>
      <c r="E558" s="23" t="n">
        <v>8</v>
      </c>
      <c r="F558" s="22" t="n">
        <v>2</v>
      </c>
      <c r="G558" s="23" t="inlineStr">
        <is>
          <t>Oui</t>
        </is>
      </c>
      <c r="H558" s="23" t="inlineStr">
        <is>
          <t>ON</t>
        </is>
      </c>
      <c r="I558" s="24" t="n">
        <v>718.2417398266504</v>
      </c>
      <c r="J558" s="24" t="n">
        <v>2366.073881799197</v>
      </c>
      <c r="K558" s="24" t="n">
        <v>1847.222222222222</v>
      </c>
      <c r="L558" s="24" t="n">
        <v>150</v>
      </c>
      <c r="M558" s="24">
        <f>I558+J558+K558+L558</f>
        <v/>
      </c>
      <c r="N558" s="24">
        <f>M558*'Dashboard &amp; Optimisation'!$B$18/('Dashboard &amp; Optimisation'!$B$16/3.6)</f>
        <v/>
      </c>
      <c r="O558" s="24" t="n">
        <v>715.4370763410178</v>
      </c>
      <c r="P558" s="25" t="n">
        <v>0.05441799410512958</v>
      </c>
      <c r="Q558" s="26" t="n">
        <v>17.95383549016247</v>
      </c>
      <c r="R558" s="24" t="n">
        <v>2773.251448564974</v>
      </c>
      <c r="S558" s="24">
        <f>R558*IF(A558=4, 2.0, 3.0)</f>
        <v/>
      </c>
      <c r="T558" s="22">
        <f>'Dashboard &amp; Optimisation'!$B$18*U558</f>
        <v/>
      </c>
      <c r="U558" s="27">
        <f>MIN(1, S558/M558)</f>
        <v/>
      </c>
      <c r="V558" s="27">
        <f>N558/(N558+O558)</f>
        <v/>
      </c>
      <c r="W558" s="27">
        <f>U558*V558</f>
        <v/>
      </c>
      <c r="X558" s="25">
        <f>T558/N558</f>
        <v/>
      </c>
      <c r="Y558" s="28">
        <f>IF(W558=MAXIFS(W$2:W$3601, A$2:A$3601, A558, B$2:B$3601, B558), "OPTIMAL", "")</f>
        <v/>
      </c>
    </row>
    <row r="559" ht="20" customHeight="1">
      <c r="A559" s="29" t="n">
        <v>4</v>
      </c>
      <c r="B559" s="29" t="n">
        <v>30</v>
      </c>
      <c r="C559" s="30" t="n">
        <v>100</v>
      </c>
      <c r="D559" s="30" t="n">
        <v>3</v>
      </c>
      <c r="E559" s="6" t="n">
        <v>8</v>
      </c>
      <c r="F559" s="30" t="n">
        <v>2</v>
      </c>
      <c r="G559" s="6" t="inlineStr">
        <is>
          <t>Oui</t>
        </is>
      </c>
      <c r="H559" s="6" t="inlineStr">
        <is>
          <t>OFF</t>
        </is>
      </c>
      <c r="I559" s="31" t="n">
        <v>718.2417398266504</v>
      </c>
      <c r="J559" s="31" t="n">
        <v>2366.073881799197</v>
      </c>
      <c r="K559" s="31" t="n">
        <v>1847.222222222222</v>
      </c>
      <c r="L559" s="31" t="n">
        <v>150</v>
      </c>
      <c r="M559" s="31">
        <f>I559+J559+K559+L559</f>
        <v/>
      </c>
      <c r="N559" s="31">
        <f>M559*'Dashboard &amp; Optimisation'!$B$18/('Dashboard &amp; Optimisation'!$B$16/3.6)</f>
        <v/>
      </c>
      <c r="O559" s="31" t="n">
        <v>715.4370763410178</v>
      </c>
      <c r="P559" s="32" t="n">
        <v>0.2402392320400437</v>
      </c>
      <c r="Q559" s="33" t="n">
        <v>17.95383549016247</v>
      </c>
      <c r="R559" s="31" t="n">
        <v>628.1854120932919</v>
      </c>
      <c r="S559" s="31">
        <f>R559*IF(A559=4, 2.0, 3.0)</f>
        <v/>
      </c>
      <c r="T559" s="30">
        <f>'Dashboard &amp; Optimisation'!$B$18*U559</f>
        <v/>
      </c>
      <c r="U559" s="34">
        <f>MIN(1, S559/M559)</f>
        <v/>
      </c>
      <c r="V559" s="34">
        <f>N559/(N559+O559)</f>
        <v/>
      </c>
      <c r="W559" s="34">
        <f>U559*V559</f>
        <v/>
      </c>
      <c r="X559" s="32">
        <f>T559/N559</f>
        <v/>
      </c>
      <c r="Y559" s="35">
        <f>IF(W559=MAXIFS(W$2:W$3601, A$2:A$3601, A559, B$2:B$3601, B559), "OPTIMAL", "")</f>
        <v/>
      </c>
    </row>
    <row r="560" ht="20" customHeight="1">
      <c r="A560" s="21" t="n">
        <v>4</v>
      </c>
      <c r="B560" s="21" t="n">
        <v>30</v>
      </c>
      <c r="C560" s="22" t="n">
        <v>100</v>
      </c>
      <c r="D560" s="22" t="n">
        <v>3</v>
      </c>
      <c r="E560" s="23" t="n">
        <v>8</v>
      </c>
      <c r="F560" s="22" t="n">
        <v>2</v>
      </c>
      <c r="G560" s="23" t="inlineStr">
        <is>
          <t>Non</t>
        </is>
      </c>
      <c r="H560" s="23" t="inlineStr">
        <is>
          <t>ON</t>
        </is>
      </c>
      <c r="I560" s="24" t="n">
        <v>718.2417398266504</v>
      </c>
      <c r="J560" s="24" t="n">
        <v>2366.073881799197</v>
      </c>
      <c r="K560" s="24" t="n">
        <v>1847.222222222222</v>
      </c>
      <c r="L560" s="24" t="n">
        <v>150</v>
      </c>
      <c r="M560" s="24">
        <f>I560+J560+K560+L560</f>
        <v/>
      </c>
      <c r="N560" s="24">
        <f>M560*'Dashboard &amp; Optimisation'!$B$18/('Dashboard &amp; Optimisation'!$B$16/3.6)</f>
        <v/>
      </c>
      <c r="O560" s="24" t="n">
        <v>715.4370763410178</v>
      </c>
      <c r="P560" s="25" t="n">
        <v>0.05123489524329167</v>
      </c>
      <c r="Q560" s="26" t="n">
        <v>17.95383549016247</v>
      </c>
      <c r="R560" s="24" t="n">
        <v>2945.546785319338</v>
      </c>
      <c r="S560" s="24">
        <f>R560*IF(A560=4, 2.0, 3.0)</f>
        <v/>
      </c>
      <c r="T560" s="22">
        <f>'Dashboard &amp; Optimisation'!$B$18*U560</f>
        <v/>
      </c>
      <c r="U560" s="27">
        <f>MIN(1, S560/M560)</f>
        <v/>
      </c>
      <c r="V560" s="27">
        <f>N560/(N560+O560)</f>
        <v/>
      </c>
      <c r="W560" s="27">
        <f>U560*V560</f>
        <v/>
      </c>
      <c r="X560" s="25">
        <f>T560/N560</f>
        <v/>
      </c>
      <c r="Y560" s="28">
        <f>IF(W560=MAXIFS(W$2:W$3601, A$2:A$3601, A560, B$2:B$3601, B560), "OPTIMAL", "")</f>
        <v/>
      </c>
    </row>
    <row r="561" ht="20" customHeight="1">
      <c r="A561" s="29" t="n">
        <v>4</v>
      </c>
      <c r="B561" s="29" t="n">
        <v>30</v>
      </c>
      <c r="C561" s="30" t="n">
        <v>100</v>
      </c>
      <c r="D561" s="30" t="n">
        <v>3</v>
      </c>
      <c r="E561" s="6" t="n">
        <v>8</v>
      </c>
      <c r="F561" s="30" t="n">
        <v>2</v>
      </c>
      <c r="G561" s="6" t="inlineStr">
        <is>
          <t>Non</t>
        </is>
      </c>
      <c r="H561" s="6" t="inlineStr">
        <is>
          <t>OFF</t>
        </is>
      </c>
      <c r="I561" s="31" t="n">
        <v>718.2417398266504</v>
      </c>
      <c r="J561" s="31" t="n">
        <v>2366.073881799197</v>
      </c>
      <c r="K561" s="31" t="n">
        <v>1847.222222222222</v>
      </c>
      <c r="L561" s="31" t="n">
        <v>150</v>
      </c>
      <c r="M561" s="31">
        <f>I561+J561+K561+L561</f>
        <v/>
      </c>
      <c r="N561" s="31">
        <f>M561*'Dashboard &amp; Optimisation'!$B$18/('Dashboard &amp; Optimisation'!$B$16/3.6)</f>
        <v/>
      </c>
      <c r="O561" s="31" t="n">
        <v>715.4370763410178</v>
      </c>
      <c r="P561" s="32" t="n">
        <v>0.2370561331782058</v>
      </c>
      <c r="Q561" s="33" t="n">
        <v>17.95383549016247</v>
      </c>
      <c r="R561" s="31" t="n">
        <v>636.6204449416265</v>
      </c>
      <c r="S561" s="31">
        <f>R561*IF(A561=4, 2.0, 3.0)</f>
        <v/>
      </c>
      <c r="T561" s="30">
        <f>'Dashboard &amp; Optimisation'!$B$18*U561</f>
        <v/>
      </c>
      <c r="U561" s="34">
        <f>MIN(1, S561/M561)</f>
        <v/>
      </c>
      <c r="V561" s="34">
        <f>N561/(N561+O561)</f>
        <v/>
      </c>
      <c r="W561" s="34">
        <f>U561*V561</f>
        <v/>
      </c>
      <c r="X561" s="32">
        <f>T561/N561</f>
        <v/>
      </c>
      <c r="Y561" s="35">
        <f>IF(W561=MAXIFS(W$2:W$3601, A$2:A$3601, A561, B$2:B$3601, B561), "OPTIMAL", "")</f>
        <v/>
      </c>
    </row>
    <row r="562" ht="20" customHeight="1">
      <c r="A562" s="21" t="n">
        <v>4</v>
      </c>
      <c r="B562" s="21" t="n">
        <v>30</v>
      </c>
      <c r="C562" s="22" t="n">
        <v>105</v>
      </c>
      <c r="D562" s="22" t="n">
        <v>2</v>
      </c>
      <c r="E562" s="23" t="n">
        <v>0</v>
      </c>
      <c r="F562" s="22" t="n">
        <v>0</v>
      </c>
      <c r="G562" s="23" t="inlineStr">
        <is>
          <t>Oui</t>
        </is>
      </c>
      <c r="H562" s="23" t="inlineStr">
        <is>
          <t>ON</t>
        </is>
      </c>
      <c r="I562" s="24" t="n">
        <v>718.2417398266504</v>
      </c>
      <c r="J562" s="24" t="n">
        <v>2366.073881799197</v>
      </c>
      <c r="K562" s="24" t="n">
        <v>1847.222222222222</v>
      </c>
      <c r="L562" s="24" t="n">
        <v>150</v>
      </c>
      <c r="M562" s="24">
        <f>I562+J562+K562+L562</f>
        <v/>
      </c>
      <c r="N562" s="24">
        <f>M562*'Dashboard &amp; Optimisation'!$B$18/('Dashboard &amp; Optimisation'!$B$16/3.6)</f>
        <v/>
      </c>
      <c r="O562" s="24" t="n">
        <v>208.6144799182214</v>
      </c>
      <c r="P562" s="25" t="n">
        <v>0.4767371025038626</v>
      </c>
      <c r="Q562" s="26" t="n">
        <v>0.2</v>
      </c>
      <c r="R562" s="24" t="n">
        <v>250.4290117333036</v>
      </c>
      <c r="S562" s="24">
        <f>R562*IF(A562=4, 2.0, 3.0)</f>
        <v/>
      </c>
      <c r="T562" s="22">
        <f>'Dashboard &amp; Optimisation'!$B$18*U562</f>
        <v/>
      </c>
      <c r="U562" s="27">
        <f>MIN(1, S562/M562)</f>
        <v/>
      </c>
      <c r="V562" s="27">
        <f>N562/(N562+O562)</f>
        <v/>
      </c>
      <c r="W562" s="27">
        <f>U562*V562</f>
        <v/>
      </c>
      <c r="X562" s="25">
        <f>T562/N562</f>
        <v/>
      </c>
      <c r="Y562" s="28">
        <f>IF(W562=MAXIFS(W$2:W$3601, A$2:A$3601, A562, B$2:B$3601, B562), "OPTIMAL", "")</f>
        <v/>
      </c>
    </row>
    <row r="563" ht="20" customHeight="1">
      <c r="A563" s="29" t="n">
        <v>4</v>
      </c>
      <c r="B563" s="29" t="n">
        <v>30</v>
      </c>
      <c r="C563" s="30" t="n">
        <v>105</v>
      </c>
      <c r="D563" s="30" t="n">
        <v>2</v>
      </c>
      <c r="E563" s="6" t="n">
        <v>0</v>
      </c>
      <c r="F563" s="30" t="n">
        <v>0</v>
      </c>
      <c r="G563" s="6" t="inlineStr">
        <is>
          <t>Oui</t>
        </is>
      </c>
      <c r="H563" s="6" t="inlineStr">
        <is>
          <t>OFF</t>
        </is>
      </c>
      <c r="I563" s="31" t="n">
        <v>718.2417398266504</v>
      </c>
      <c r="J563" s="31" t="n">
        <v>2366.073881799197</v>
      </c>
      <c r="K563" s="31" t="n">
        <v>1847.222222222222</v>
      </c>
      <c r="L563" s="31" t="n">
        <v>150</v>
      </c>
      <c r="M563" s="31">
        <f>I563+J563+K563+L563</f>
        <v/>
      </c>
      <c r="N563" s="31">
        <f>M563*'Dashboard &amp; Optimisation'!$B$18/('Dashboard &amp; Optimisation'!$B$16/3.6)</f>
        <v/>
      </c>
      <c r="O563" s="31" t="n">
        <v>208.6144799182214</v>
      </c>
      <c r="P563" s="32" t="n">
        <v>0.7798893750598538</v>
      </c>
      <c r="Q563" s="33" t="n">
        <v>0.2</v>
      </c>
      <c r="R563" s="31" t="n">
        <v>153.0842774047003</v>
      </c>
      <c r="S563" s="31">
        <f>R563*IF(A563=4, 2.0, 3.0)</f>
        <v/>
      </c>
      <c r="T563" s="30">
        <f>'Dashboard &amp; Optimisation'!$B$18*U563</f>
        <v/>
      </c>
      <c r="U563" s="34">
        <f>MIN(1, S563/M563)</f>
        <v/>
      </c>
      <c r="V563" s="34">
        <f>N563/(N563+O563)</f>
        <v/>
      </c>
      <c r="W563" s="34">
        <f>U563*V563</f>
        <v/>
      </c>
      <c r="X563" s="32">
        <f>T563/N563</f>
        <v/>
      </c>
      <c r="Y563" s="35">
        <f>IF(W563=MAXIFS(W$2:W$3601, A$2:A$3601, A563, B$2:B$3601, B563), "OPTIMAL", "")</f>
        <v/>
      </c>
    </row>
    <row r="564" ht="20" customHeight="1">
      <c r="A564" s="21" t="n">
        <v>4</v>
      </c>
      <c r="B564" s="21" t="n">
        <v>30</v>
      </c>
      <c r="C564" s="22" t="n">
        <v>105</v>
      </c>
      <c r="D564" s="22" t="n">
        <v>2</v>
      </c>
      <c r="E564" s="23" t="n">
        <v>0</v>
      </c>
      <c r="F564" s="22" t="n">
        <v>0</v>
      </c>
      <c r="G564" s="23" t="inlineStr">
        <is>
          <t>Non</t>
        </is>
      </c>
      <c r="H564" s="23" t="inlineStr">
        <is>
          <t>ON</t>
        </is>
      </c>
      <c r="I564" s="24" t="n">
        <v>718.2417398266504</v>
      </c>
      <c r="J564" s="24" t="n">
        <v>2366.073881799197</v>
      </c>
      <c r="K564" s="24" t="n">
        <v>1847.222222222222</v>
      </c>
      <c r="L564" s="24" t="n">
        <v>150</v>
      </c>
      <c r="M564" s="24">
        <f>I564+J564+K564+L564</f>
        <v/>
      </c>
      <c r="N564" s="24">
        <f>M564*'Dashboard &amp; Optimisation'!$B$18/('Dashboard &amp; Optimisation'!$B$16/3.6)</f>
        <v/>
      </c>
      <c r="O564" s="24" t="n">
        <v>208.6144799182214</v>
      </c>
      <c r="P564" s="25" t="n">
        <v>0.4737055797783027</v>
      </c>
      <c r="Q564" s="26" t="n">
        <v>0.2</v>
      </c>
      <c r="R564" s="24" t="n">
        <v>252.0316553850088</v>
      </c>
      <c r="S564" s="24">
        <f>R564*IF(A564=4, 2.0, 3.0)</f>
        <v/>
      </c>
      <c r="T564" s="22">
        <f>'Dashboard &amp; Optimisation'!$B$18*U564</f>
        <v/>
      </c>
      <c r="U564" s="27">
        <f>MIN(1, S564/M564)</f>
        <v/>
      </c>
      <c r="V564" s="27">
        <f>N564/(N564+O564)</f>
        <v/>
      </c>
      <c r="W564" s="27">
        <f>U564*V564</f>
        <v/>
      </c>
      <c r="X564" s="25">
        <f>T564/N564</f>
        <v/>
      </c>
      <c r="Y564" s="28">
        <f>IF(W564=MAXIFS(W$2:W$3601, A$2:A$3601, A564, B$2:B$3601, B564), "OPTIMAL", "")</f>
        <v/>
      </c>
    </row>
    <row r="565" ht="20" customHeight="1">
      <c r="A565" s="29" t="n">
        <v>4</v>
      </c>
      <c r="B565" s="29" t="n">
        <v>30</v>
      </c>
      <c r="C565" s="30" t="n">
        <v>105</v>
      </c>
      <c r="D565" s="30" t="n">
        <v>2</v>
      </c>
      <c r="E565" s="6" t="n">
        <v>0</v>
      </c>
      <c r="F565" s="30" t="n">
        <v>0</v>
      </c>
      <c r="G565" s="6" t="inlineStr">
        <is>
          <t>Non</t>
        </is>
      </c>
      <c r="H565" s="6" t="inlineStr">
        <is>
          <t>OFF</t>
        </is>
      </c>
      <c r="I565" s="31" t="n">
        <v>718.2417398266504</v>
      </c>
      <c r="J565" s="31" t="n">
        <v>2366.073881799197</v>
      </c>
      <c r="K565" s="31" t="n">
        <v>1847.222222222222</v>
      </c>
      <c r="L565" s="31" t="n">
        <v>150</v>
      </c>
      <c r="M565" s="31">
        <f>I565+J565+K565+L565</f>
        <v/>
      </c>
      <c r="N565" s="31">
        <f>M565*'Dashboard &amp; Optimisation'!$B$18/('Dashboard &amp; Optimisation'!$B$16/3.6)</f>
        <v/>
      </c>
      <c r="O565" s="31" t="n">
        <v>208.6144799182214</v>
      </c>
      <c r="P565" s="32" t="n">
        <v>0.7768578523342939</v>
      </c>
      <c r="Q565" s="33" t="n">
        <v>0.2</v>
      </c>
      <c r="R565" s="31" t="n">
        <v>153.6816562745718</v>
      </c>
      <c r="S565" s="31">
        <f>R565*IF(A565=4, 2.0, 3.0)</f>
        <v/>
      </c>
      <c r="T565" s="30">
        <f>'Dashboard &amp; Optimisation'!$B$18*U565</f>
        <v/>
      </c>
      <c r="U565" s="34">
        <f>MIN(1, S565/M565)</f>
        <v/>
      </c>
      <c r="V565" s="34">
        <f>N565/(N565+O565)</f>
        <v/>
      </c>
      <c r="W565" s="34">
        <f>U565*V565</f>
        <v/>
      </c>
      <c r="X565" s="32">
        <f>T565/N565</f>
        <v/>
      </c>
      <c r="Y565" s="35">
        <f>IF(W565=MAXIFS(W$2:W$3601, A$2:A$3601, A565, B$2:B$3601, B565), "OPTIMAL", "")</f>
        <v/>
      </c>
    </row>
    <row r="566" ht="20" customHeight="1">
      <c r="A566" s="21" t="n">
        <v>4</v>
      </c>
      <c r="B566" s="21" t="n">
        <v>30</v>
      </c>
      <c r="C566" s="22" t="n">
        <v>105</v>
      </c>
      <c r="D566" s="22" t="n">
        <v>2</v>
      </c>
      <c r="E566" s="23" t="n">
        <v>4</v>
      </c>
      <c r="F566" s="22" t="n">
        <v>1.5</v>
      </c>
      <c r="G566" s="23" t="inlineStr">
        <is>
          <t>Oui</t>
        </is>
      </c>
      <c r="H566" s="23" t="inlineStr">
        <is>
          <t>ON</t>
        </is>
      </c>
      <c r="I566" s="24" t="n">
        <v>718.2417398266504</v>
      </c>
      <c r="J566" s="24" t="n">
        <v>2366.073881799197</v>
      </c>
      <c r="K566" s="24" t="n">
        <v>1847.222222222222</v>
      </c>
      <c r="L566" s="24" t="n">
        <v>150</v>
      </c>
      <c r="M566" s="24">
        <f>I566+J566+K566+L566</f>
        <v/>
      </c>
      <c r="N566" s="24">
        <f>M566*'Dashboard &amp; Optimisation'!$B$18/('Dashboard &amp; Optimisation'!$B$16/3.6)</f>
        <v/>
      </c>
      <c r="O566" s="24" t="n">
        <v>325.6150901640788</v>
      </c>
      <c r="P566" s="25" t="n">
        <v>0.07211788842163316</v>
      </c>
      <c r="Q566" s="26" t="n">
        <v>6.39626436661611</v>
      </c>
      <c r="R566" s="24" t="n">
        <v>1707.11637886813</v>
      </c>
      <c r="S566" s="24">
        <f>R566*IF(A566=4, 2.0, 3.0)</f>
        <v/>
      </c>
      <c r="T566" s="22">
        <f>'Dashboard &amp; Optimisation'!$B$18*U566</f>
        <v/>
      </c>
      <c r="U566" s="27">
        <f>MIN(1, S566/M566)</f>
        <v/>
      </c>
      <c r="V566" s="27">
        <f>N566/(N566+O566)</f>
        <v/>
      </c>
      <c r="W566" s="27">
        <f>U566*V566</f>
        <v/>
      </c>
      <c r="X566" s="25">
        <f>T566/N566</f>
        <v/>
      </c>
      <c r="Y566" s="28">
        <f>IF(W566=MAXIFS(W$2:W$3601, A$2:A$3601, A566, B$2:B$3601, B566), "OPTIMAL", "")</f>
        <v/>
      </c>
    </row>
    <row r="567" ht="20" customHeight="1">
      <c r="A567" s="29" t="n">
        <v>4</v>
      </c>
      <c r="B567" s="29" t="n">
        <v>30</v>
      </c>
      <c r="C567" s="30" t="n">
        <v>105</v>
      </c>
      <c r="D567" s="30" t="n">
        <v>2</v>
      </c>
      <c r="E567" s="6" t="n">
        <v>4</v>
      </c>
      <c r="F567" s="30" t="n">
        <v>1.5</v>
      </c>
      <c r="G567" s="6" t="inlineStr">
        <is>
          <t>Oui</t>
        </is>
      </c>
      <c r="H567" s="6" t="inlineStr">
        <is>
          <t>OFF</t>
        </is>
      </c>
      <c r="I567" s="31" t="n">
        <v>718.2417398266504</v>
      </c>
      <c r="J567" s="31" t="n">
        <v>2366.073881799197</v>
      </c>
      <c r="K567" s="31" t="n">
        <v>1847.222222222222</v>
      </c>
      <c r="L567" s="31" t="n">
        <v>150</v>
      </c>
      <c r="M567" s="31">
        <f>I567+J567+K567+L567</f>
        <v/>
      </c>
      <c r="N567" s="31">
        <f>M567*'Dashboard &amp; Optimisation'!$B$18/('Dashboard &amp; Optimisation'!$B$16/3.6)</f>
        <v/>
      </c>
      <c r="O567" s="31" t="n">
        <v>325.6150901640788</v>
      </c>
      <c r="P567" s="32" t="n">
        <v>0.297414701598841</v>
      </c>
      <c r="Q567" s="33" t="n">
        <v>6.39626436661611</v>
      </c>
      <c r="R567" s="31" t="n">
        <v>413.9460082911853</v>
      </c>
      <c r="S567" s="31">
        <f>R567*IF(A567=4, 2.0, 3.0)</f>
        <v/>
      </c>
      <c r="T567" s="30">
        <f>'Dashboard &amp; Optimisation'!$B$18*U567</f>
        <v/>
      </c>
      <c r="U567" s="34">
        <f>MIN(1, S567/M567)</f>
        <v/>
      </c>
      <c r="V567" s="34">
        <f>N567/(N567+O567)</f>
        <v/>
      </c>
      <c r="W567" s="34">
        <f>U567*V567</f>
        <v/>
      </c>
      <c r="X567" s="32">
        <f>T567/N567</f>
        <v/>
      </c>
      <c r="Y567" s="35">
        <f>IF(W567=MAXIFS(W$2:W$3601, A$2:A$3601, A567, B$2:B$3601, B567), "OPTIMAL", "")</f>
        <v/>
      </c>
    </row>
    <row r="568" ht="20" customHeight="1">
      <c r="A568" s="21" t="n">
        <v>4</v>
      </c>
      <c r="B568" s="21" t="n">
        <v>30</v>
      </c>
      <c r="C568" s="22" t="n">
        <v>105</v>
      </c>
      <c r="D568" s="22" t="n">
        <v>2</v>
      </c>
      <c r="E568" s="23" t="n">
        <v>4</v>
      </c>
      <c r="F568" s="22" t="n">
        <v>1.5</v>
      </c>
      <c r="G568" s="23" t="inlineStr">
        <is>
          <t>Non</t>
        </is>
      </c>
      <c r="H568" s="23" t="inlineStr">
        <is>
          <t>ON</t>
        </is>
      </c>
      <c r="I568" s="24" t="n">
        <v>718.2417398266504</v>
      </c>
      <c r="J568" s="24" t="n">
        <v>2366.073881799197</v>
      </c>
      <c r="K568" s="24" t="n">
        <v>1847.222222222222</v>
      </c>
      <c r="L568" s="24" t="n">
        <v>150</v>
      </c>
      <c r="M568" s="24">
        <f>I568+J568+K568+L568</f>
        <v/>
      </c>
      <c r="N568" s="24">
        <f>M568*'Dashboard &amp; Optimisation'!$B$18/('Dashboard &amp; Optimisation'!$B$16/3.6)</f>
        <v/>
      </c>
      <c r="O568" s="24" t="n">
        <v>325.6150901640788</v>
      </c>
      <c r="P568" s="25" t="n">
        <v>0.06908636569607325</v>
      </c>
      <c r="Q568" s="26" t="n">
        <v>6.39626436661611</v>
      </c>
      <c r="R568" s="24" t="n">
        <v>1782.02496677216</v>
      </c>
      <c r="S568" s="24">
        <f>R568*IF(A568=4, 2.0, 3.0)</f>
        <v/>
      </c>
      <c r="T568" s="22">
        <f>'Dashboard &amp; Optimisation'!$B$18*U568</f>
        <v/>
      </c>
      <c r="U568" s="27">
        <f>MIN(1, S568/M568)</f>
        <v/>
      </c>
      <c r="V568" s="27">
        <f>N568/(N568+O568)</f>
        <v/>
      </c>
      <c r="W568" s="27">
        <f>U568*V568</f>
        <v/>
      </c>
      <c r="X568" s="25">
        <f>T568/N568</f>
        <v/>
      </c>
      <c r="Y568" s="28">
        <f>IF(W568=MAXIFS(W$2:W$3601, A$2:A$3601, A568, B$2:B$3601, B568), "OPTIMAL", "")</f>
        <v/>
      </c>
    </row>
    <row r="569" ht="20" customHeight="1">
      <c r="A569" s="29" t="n">
        <v>4</v>
      </c>
      <c r="B569" s="29" t="n">
        <v>30</v>
      </c>
      <c r="C569" s="30" t="n">
        <v>105</v>
      </c>
      <c r="D569" s="30" t="n">
        <v>2</v>
      </c>
      <c r="E569" s="6" t="n">
        <v>4</v>
      </c>
      <c r="F569" s="30" t="n">
        <v>1.5</v>
      </c>
      <c r="G569" s="6" t="inlineStr">
        <is>
          <t>Non</t>
        </is>
      </c>
      <c r="H569" s="6" t="inlineStr">
        <is>
          <t>OFF</t>
        </is>
      </c>
      <c r="I569" s="31" t="n">
        <v>718.2417398266504</v>
      </c>
      <c r="J569" s="31" t="n">
        <v>2366.073881799197</v>
      </c>
      <c r="K569" s="31" t="n">
        <v>1847.222222222222</v>
      </c>
      <c r="L569" s="31" t="n">
        <v>150</v>
      </c>
      <c r="M569" s="31">
        <f>I569+J569+K569+L569</f>
        <v/>
      </c>
      <c r="N569" s="31">
        <f>M569*'Dashboard &amp; Optimisation'!$B$18/('Dashboard &amp; Optimisation'!$B$16/3.6)</f>
        <v/>
      </c>
      <c r="O569" s="31" t="n">
        <v>325.6150901640788</v>
      </c>
      <c r="P569" s="32" t="n">
        <v>0.2943831788732811</v>
      </c>
      <c r="Q569" s="33" t="n">
        <v>6.39626436661611</v>
      </c>
      <c r="R569" s="31" t="n">
        <v>418.2087747172171</v>
      </c>
      <c r="S569" s="31">
        <f>R569*IF(A569=4, 2.0, 3.0)</f>
        <v/>
      </c>
      <c r="T569" s="30">
        <f>'Dashboard &amp; Optimisation'!$B$18*U569</f>
        <v/>
      </c>
      <c r="U569" s="34">
        <f>MIN(1, S569/M569)</f>
        <v/>
      </c>
      <c r="V569" s="34">
        <f>N569/(N569+O569)</f>
        <v/>
      </c>
      <c r="W569" s="34">
        <f>U569*V569</f>
        <v/>
      </c>
      <c r="X569" s="32">
        <f>T569/N569</f>
        <v/>
      </c>
      <c r="Y569" s="35">
        <f>IF(W569=MAXIFS(W$2:W$3601, A$2:A$3601, A569, B$2:B$3601, B569), "OPTIMAL", "")</f>
        <v/>
      </c>
    </row>
    <row r="570" ht="20" customHeight="1">
      <c r="A570" s="21" t="n">
        <v>4</v>
      </c>
      <c r="B570" s="21" t="n">
        <v>30</v>
      </c>
      <c r="C570" s="22" t="n">
        <v>105</v>
      </c>
      <c r="D570" s="22" t="n">
        <v>2</v>
      </c>
      <c r="E570" s="23" t="n">
        <v>4</v>
      </c>
      <c r="F570" s="22" t="n">
        <v>2</v>
      </c>
      <c r="G570" s="23" t="inlineStr">
        <is>
          <t>Oui</t>
        </is>
      </c>
      <c r="H570" s="23" t="inlineStr">
        <is>
          <t>ON</t>
        </is>
      </c>
      <c r="I570" s="24" t="n">
        <v>718.2417398266504</v>
      </c>
      <c r="J570" s="24" t="n">
        <v>2366.073881799197</v>
      </c>
      <c r="K570" s="24" t="n">
        <v>1847.222222222222</v>
      </c>
      <c r="L570" s="24" t="n">
        <v>150</v>
      </c>
      <c r="M570" s="24">
        <f>I570+J570+K570+L570</f>
        <v/>
      </c>
      <c r="N570" s="24">
        <f>M570*'Dashboard &amp; Optimisation'!$B$18/('Dashboard &amp; Optimisation'!$B$16/3.6)</f>
        <v/>
      </c>
      <c r="O570" s="24" t="n">
        <v>366.2547063776532</v>
      </c>
      <c r="P570" s="25" t="n">
        <v>0.06926604745833413</v>
      </c>
      <c r="Q570" s="26" t="n">
        <v>8.461685822154816</v>
      </c>
      <c r="R570" s="24" t="n">
        <v>1796.080972086577</v>
      </c>
      <c r="S570" s="24">
        <f>R570*IF(A570=4, 2.0, 3.0)</f>
        <v/>
      </c>
      <c r="T570" s="22">
        <f>'Dashboard &amp; Optimisation'!$B$18*U570</f>
        <v/>
      </c>
      <c r="U570" s="27">
        <f>MIN(1, S570/M570)</f>
        <v/>
      </c>
      <c r="V570" s="27">
        <f>N570/(N570+O570)</f>
        <v/>
      </c>
      <c r="W570" s="27">
        <f>U570*V570</f>
        <v/>
      </c>
      <c r="X570" s="25">
        <f>T570/N570</f>
        <v/>
      </c>
      <c r="Y570" s="28">
        <f>IF(W570=MAXIFS(W$2:W$3601, A$2:A$3601, A570, B$2:B$3601, B570), "OPTIMAL", "")</f>
        <v/>
      </c>
    </row>
    <row r="571" ht="20" customHeight="1">
      <c r="A571" s="29" t="n">
        <v>4</v>
      </c>
      <c r="B571" s="29" t="n">
        <v>30</v>
      </c>
      <c r="C571" s="30" t="n">
        <v>105</v>
      </c>
      <c r="D571" s="30" t="n">
        <v>2</v>
      </c>
      <c r="E571" s="6" t="n">
        <v>4</v>
      </c>
      <c r="F571" s="30" t="n">
        <v>2</v>
      </c>
      <c r="G571" s="6" t="inlineStr">
        <is>
          <t>Oui</t>
        </is>
      </c>
      <c r="H571" s="6" t="inlineStr">
        <is>
          <t>OFF</t>
        </is>
      </c>
      <c r="I571" s="31" t="n">
        <v>718.2417398266504</v>
      </c>
      <c r="J571" s="31" t="n">
        <v>2366.073881799197</v>
      </c>
      <c r="K571" s="31" t="n">
        <v>1847.222222222222</v>
      </c>
      <c r="L571" s="31" t="n">
        <v>150</v>
      </c>
      <c r="M571" s="31">
        <f>I571+J571+K571+L571</f>
        <v/>
      </c>
      <c r="N571" s="31">
        <f>M571*'Dashboard &amp; Optimisation'!$B$18/('Dashboard &amp; Optimisation'!$B$16/3.6)</f>
        <v/>
      </c>
      <c r="O571" s="31" t="n">
        <v>366.2547063776532</v>
      </c>
      <c r="P571" s="32" t="n">
        <v>0.2955807767744409</v>
      </c>
      <c r="Q571" s="33" t="n">
        <v>8.461685822154816</v>
      </c>
      <c r="R571" s="31" t="n">
        <v>420.8914774809446</v>
      </c>
      <c r="S571" s="31">
        <f>R571*IF(A571=4, 2.0, 3.0)</f>
        <v/>
      </c>
      <c r="T571" s="30">
        <f>'Dashboard &amp; Optimisation'!$B$18*U571</f>
        <v/>
      </c>
      <c r="U571" s="34">
        <f>MIN(1, S571/M571)</f>
        <v/>
      </c>
      <c r="V571" s="34">
        <f>N571/(N571+O571)</f>
        <v/>
      </c>
      <c r="W571" s="34">
        <f>U571*V571</f>
        <v/>
      </c>
      <c r="X571" s="32">
        <f>T571/N571</f>
        <v/>
      </c>
      <c r="Y571" s="35">
        <f>IF(W571=MAXIFS(W$2:W$3601, A$2:A$3601, A571, B$2:B$3601, B571), "OPTIMAL", "")</f>
        <v/>
      </c>
    </row>
    <row r="572" ht="20" customHeight="1">
      <c r="A572" s="21" t="n">
        <v>4</v>
      </c>
      <c r="B572" s="21" t="n">
        <v>30</v>
      </c>
      <c r="C572" s="22" t="n">
        <v>105</v>
      </c>
      <c r="D572" s="22" t="n">
        <v>2</v>
      </c>
      <c r="E572" s="23" t="n">
        <v>4</v>
      </c>
      <c r="F572" s="22" t="n">
        <v>2</v>
      </c>
      <c r="G572" s="23" t="inlineStr">
        <is>
          <t>Non</t>
        </is>
      </c>
      <c r="H572" s="23" t="inlineStr">
        <is>
          <t>ON</t>
        </is>
      </c>
      <c r="I572" s="24" t="n">
        <v>718.2417398266504</v>
      </c>
      <c r="J572" s="24" t="n">
        <v>2366.073881799197</v>
      </c>
      <c r="K572" s="24" t="n">
        <v>1847.222222222222</v>
      </c>
      <c r="L572" s="24" t="n">
        <v>150</v>
      </c>
      <c r="M572" s="24">
        <f>I572+J572+K572+L572</f>
        <v/>
      </c>
      <c r="N572" s="24">
        <f>M572*'Dashboard &amp; Optimisation'!$B$18/('Dashboard &amp; Optimisation'!$B$16/3.6)</f>
        <v/>
      </c>
      <c r="O572" s="24" t="n">
        <v>366.2547063776532</v>
      </c>
      <c r="P572" s="25" t="n">
        <v>0.06623452473277422</v>
      </c>
      <c r="Q572" s="26" t="n">
        <v>8.461685822154816</v>
      </c>
      <c r="R572" s="24" t="n">
        <v>1878.286744767723</v>
      </c>
      <c r="S572" s="24">
        <f>R572*IF(A572=4, 2.0, 3.0)</f>
        <v/>
      </c>
      <c r="T572" s="22">
        <f>'Dashboard &amp; Optimisation'!$B$18*U572</f>
        <v/>
      </c>
      <c r="U572" s="27">
        <f>MIN(1, S572/M572)</f>
        <v/>
      </c>
      <c r="V572" s="27">
        <f>N572/(N572+O572)</f>
        <v/>
      </c>
      <c r="W572" s="27">
        <f>U572*V572</f>
        <v/>
      </c>
      <c r="X572" s="25">
        <f>T572/N572</f>
        <v/>
      </c>
      <c r="Y572" s="28">
        <f>IF(W572=MAXIFS(W$2:W$3601, A$2:A$3601, A572, B$2:B$3601, B572), "OPTIMAL", "")</f>
        <v/>
      </c>
    </row>
    <row r="573" ht="20" customHeight="1">
      <c r="A573" s="29" t="n">
        <v>4</v>
      </c>
      <c r="B573" s="29" t="n">
        <v>30</v>
      </c>
      <c r="C573" s="30" t="n">
        <v>105</v>
      </c>
      <c r="D573" s="30" t="n">
        <v>2</v>
      </c>
      <c r="E573" s="6" t="n">
        <v>4</v>
      </c>
      <c r="F573" s="30" t="n">
        <v>2</v>
      </c>
      <c r="G573" s="6" t="inlineStr">
        <is>
          <t>Non</t>
        </is>
      </c>
      <c r="H573" s="6" t="inlineStr">
        <is>
          <t>OFF</t>
        </is>
      </c>
      <c r="I573" s="31" t="n">
        <v>718.2417398266504</v>
      </c>
      <c r="J573" s="31" t="n">
        <v>2366.073881799197</v>
      </c>
      <c r="K573" s="31" t="n">
        <v>1847.222222222222</v>
      </c>
      <c r="L573" s="31" t="n">
        <v>150</v>
      </c>
      <c r="M573" s="31">
        <f>I573+J573+K573+L573</f>
        <v/>
      </c>
      <c r="N573" s="31">
        <f>M573*'Dashboard &amp; Optimisation'!$B$18/('Dashboard &amp; Optimisation'!$B$16/3.6)</f>
        <v/>
      </c>
      <c r="O573" s="31" t="n">
        <v>366.2547063776532</v>
      </c>
      <c r="P573" s="32" t="n">
        <v>0.292549254048881</v>
      </c>
      <c r="Q573" s="33" t="n">
        <v>8.461685822154816</v>
      </c>
      <c r="R573" s="31" t="n">
        <v>425.2529381967692</v>
      </c>
      <c r="S573" s="31">
        <f>R573*IF(A573=4, 2.0, 3.0)</f>
        <v/>
      </c>
      <c r="T573" s="30">
        <f>'Dashboard &amp; Optimisation'!$B$18*U573</f>
        <v/>
      </c>
      <c r="U573" s="34">
        <f>MIN(1, S573/M573)</f>
        <v/>
      </c>
      <c r="V573" s="34">
        <f>N573/(N573+O573)</f>
        <v/>
      </c>
      <c r="W573" s="34">
        <f>U573*V573</f>
        <v/>
      </c>
      <c r="X573" s="32">
        <f>T573/N573</f>
        <v/>
      </c>
      <c r="Y573" s="35">
        <f>IF(W573=MAXIFS(W$2:W$3601, A$2:A$3601, A573, B$2:B$3601, B573), "OPTIMAL", "")</f>
        <v/>
      </c>
    </row>
    <row r="574" ht="20" customHeight="1">
      <c r="A574" s="21" t="n">
        <v>4</v>
      </c>
      <c r="B574" s="21" t="n">
        <v>30</v>
      </c>
      <c r="C574" s="22" t="n">
        <v>105</v>
      </c>
      <c r="D574" s="22" t="n">
        <v>2</v>
      </c>
      <c r="E574" s="23" t="n">
        <v>8</v>
      </c>
      <c r="F574" s="22" t="n">
        <v>1.5</v>
      </c>
      <c r="G574" s="23" t="inlineStr">
        <is>
          <t>Oui</t>
        </is>
      </c>
      <c r="H574" s="23" t="inlineStr">
        <is>
          <t>ON</t>
        </is>
      </c>
      <c r="I574" s="24" t="n">
        <v>718.2417398266504</v>
      </c>
      <c r="J574" s="24" t="n">
        <v>2366.073881799197</v>
      </c>
      <c r="K574" s="24" t="n">
        <v>1847.222222222222</v>
      </c>
      <c r="L574" s="24" t="n">
        <v>150</v>
      </c>
      <c r="M574" s="24">
        <f>I574+J574+K574+L574</f>
        <v/>
      </c>
      <c r="N574" s="24">
        <f>M574*'Dashboard &amp; Optimisation'!$B$18/('Dashboard &amp; Optimisation'!$B$16/3.6)</f>
        <v/>
      </c>
      <c r="O574" s="24" t="n">
        <v>450.1514442910415</v>
      </c>
      <c r="P574" s="25" t="n">
        <v>0.0545652421498049</v>
      </c>
      <c r="Q574" s="26" t="n">
        <v>12.59252873323222</v>
      </c>
      <c r="R574" s="24" t="n">
        <v>2328.925123170277</v>
      </c>
      <c r="S574" s="24">
        <f>R574*IF(A574=4, 2.0, 3.0)</f>
        <v/>
      </c>
      <c r="T574" s="22">
        <f>'Dashboard &amp; Optimisation'!$B$18*U574</f>
        <v/>
      </c>
      <c r="U574" s="27">
        <f>MIN(1, S574/M574)</f>
        <v/>
      </c>
      <c r="V574" s="27">
        <f>N574/(N574+O574)</f>
        <v/>
      </c>
      <c r="W574" s="27">
        <f>U574*V574</f>
        <v/>
      </c>
      <c r="X574" s="25">
        <f>T574/N574</f>
        <v/>
      </c>
      <c r="Y574" s="28">
        <f>IF(W574=MAXIFS(W$2:W$3601, A$2:A$3601, A574, B$2:B$3601, B574), "OPTIMAL", "")</f>
        <v/>
      </c>
    </row>
    <row r="575" ht="20" customHeight="1">
      <c r="A575" s="29" t="n">
        <v>4</v>
      </c>
      <c r="B575" s="29" t="n">
        <v>30</v>
      </c>
      <c r="C575" s="30" t="n">
        <v>105</v>
      </c>
      <c r="D575" s="30" t="n">
        <v>2</v>
      </c>
      <c r="E575" s="6" t="n">
        <v>8</v>
      </c>
      <c r="F575" s="30" t="n">
        <v>1.5</v>
      </c>
      <c r="G575" s="6" t="inlineStr">
        <is>
          <t>Oui</t>
        </is>
      </c>
      <c r="H575" s="6" t="inlineStr">
        <is>
          <t>OFF</t>
        </is>
      </c>
      <c r="I575" s="31" t="n">
        <v>718.2417398266504</v>
      </c>
      <c r="J575" s="31" t="n">
        <v>2366.073881799197</v>
      </c>
      <c r="K575" s="31" t="n">
        <v>1847.222222222222</v>
      </c>
      <c r="L575" s="31" t="n">
        <v>150</v>
      </c>
      <c r="M575" s="31">
        <f>I575+J575+K575+L575</f>
        <v/>
      </c>
      <c r="N575" s="31">
        <f>M575*'Dashboard &amp; Optimisation'!$B$18/('Dashboard &amp; Optimisation'!$B$16/3.6)</f>
        <v/>
      </c>
      <c r="O575" s="31" t="n">
        <v>450.1514442910415</v>
      </c>
      <c r="P575" s="32" t="n">
        <v>0.233823801442431</v>
      </c>
      <c r="Q575" s="33" t="n">
        <v>12.59252873323222</v>
      </c>
      <c r="R575" s="31" t="n">
        <v>543.4791604217329</v>
      </c>
      <c r="S575" s="31">
        <f>R575*IF(A575=4, 2.0, 3.0)</f>
        <v/>
      </c>
      <c r="T575" s="30">
        <f>'Dashboard &amp; Optimisation'!$B$18*U575</f>
        <v/>
      </c>
      <c r="U575" s="34">
        <f>MIN(1, S575/M575)</f>
        <v/>
      </c>
      <c r="V575" s="34">
        <f>N575/(N575+O575)</f>
        <v/>
      </c>
      <c r="W575" s="34">
        <f>U575*V575</f>
        <v/>
      </c>
      <c r="X575" s="32">
        <f>T575/N575</f>
        <v/>
      </c>
      <c r="Y575" s="35">
        <f>IF(W575=MAXIFS(W$2:W$3601, A$2:A$3601, A575, B$2:B$3601, B575), "OPTIMAL", "")</f>
        <v/>
      </c>
    </row>
    <row r="576" ht="20" customHeight="1">
      <c r="A576" s="21" t="n">
        <v>4</v>
      </c>
      <c r="B576" s="21" t="n">
        <v>30</v>
      </c>
      <c r="C576" s="22" t="n">
        <v>105</v>
      </c>
      <c r="D576" s="22" t="n">
        <v>2</v>
      </c>
      <c r="E576" s="23" t="n">
        <v>8</v>
      </c>
      <c r="F576" s="22" t="n">
        <v>1.5</v>
      </c>
      <c r="G576" s="23" t="inlineStr">
        <is>
          <t>Non</t>
        </is>
      </c>
      <c r="H576" s="23" t="inlineStr">
        <is>
          <t>ON</t>
        </is>
      </c>
      <c r="I576" s="24" t="n">
        <v>718.2417398266504</v>
      </c>
      <c r="J576" s="24" t="n">
        <v>2366.073881799197</v>
      </c>
      <c r="K576" s="24" t="n">
        <v>1847.222222222222</v>
      </c>
      <c r="L576" s="24" t="n">
        <v>150</v>
      </c>
      <c r="M576" s="24">
        <f>I576+J576+K576+L576</f>
        <v/>
      </c>
      <c r="N576" s="24">
        <f>M576*'Dashboard &amp; Optimisation'!$B$18/('Dashboard &amp; Optimisation'!$B$16/3.6)</f>
        <v/>
      </c>
      <c r="O576" s="24" t="n">
        <v>450.1514442910415</v>
      </c>
      <c r="P576" s="25" t="n">
        <v>0.05153371942424499</v>
      </c>
      <c r="Q576" s="26" t="n">
        <v>12.59252873323222</v>
      </c>
      <c r="R576" s="24" t="n">
        <v>2465.926479096015</v>
      </c>
      <c r="S576" s="24">
        <f>R576*IF(A576=4, 2.0, 3.0)</f>
        <v/>
      </c>
      <c r="T576" s="22">
        <f>'Dashboard &amp; Optimisation'!$B$18*U576</f>
        <v/>
      </c>
      <c r="U576" s="27">
        <f>MIN(1, S576/M576)</f>
        <v/>
      </c>
      <c r="V576" s="27">
        <f>N576/(N576+O576)</f>
        <v/>
      </c>
      <c r="W576" s="27">
        <f>U576*V576</f>
        <v/>
      </c>
      <c r="X576" s="25">
        <f>T576/N576</f>
        <v/>
      </c>
      <c r="Y576" s="28">
        <f>IF(W576=MAXIFS(W$2:W$3601, A$2:A$3601, A576, B$2:B$3601, B576), "OPTIMAL", "")</f>
        <v/>
      </c>
    </row>
    <row r="577" ht="20" customHeight="1">
      <c r="A577" s="29" t="n">
        <v>4</v>
      </c>
      <c r="B577" s="29" t="n">
        <v>30</v>
      </c>
      <c r="C577" s="30" t="n">
        <v>105</v>
      </c>
      <c r="D577" s="30" t="n">
        <v>2</v>
      </c>
      <c r="E577" s="6" t="n">
        <v>8</v>
      </c>
      <c r="F577" s="30" t="n">
        <v>1.5</v>
      </c>
      <c r="G577" s="6" t="inlineStr">
        <is>
          <t>Non</t>
        </is>
      </c>
      <c r="H577" s="6" t="inlineStr">
        <is>
          <t>OFF</t>
        </is>
      </c>
      <c r="I577" s="31" t="n">
        <v>718.2417398266504</v>
      </c>
      <c r="J577" s="31" t="n">
        <v>2366.073881799197</v>
      </c>
      <c r="K577" s="31" t="n">
        <v>1847.222222222222</v>
      </c>
      <c r="L577" s="31" t="n">
        <v>150</v>
      </c>
      <c r="M577" s="31">
        <f>I577+J577+K577+L577</f>
        <v/>
      </c>
      <c r="N577" s="31">
        <f>M577*'Dashboard &amp; Optimisation'!$B$18/('Dashboard &amp; Optimisation'!$B$16/3.6)</f>
        <v/>
      </c>
      <c r="O577" s="31" t="n">
        <v>450.1514442910415</v>
      </c>
      <c r="P577" s="32" t="n">
        <v>0.2307922787168711</v>
      </c>
      <c r="Q577" s="33" t="n">
        <v>12.59252873323222</v>
      </c>
      <c r="R577" s="31" t="n">
        <v>550.6179149539323</v>
      </c>
      <c r="S577" s="31">
        <f>R577*IF(A577=4, 2.0, 3.0)</f>
        <v/>
      </c>
      <c r="T577" s="30">
        <f>'Dashboard &amp; Optimisation'!$B$18*U577</f>
        <v/>
      </c>
      <c r="U577" s="34">
        <f>MIN(1, S577/M577)</f>
        <v/>
      </c>
      <c r="V577" s="34">
        <f>N577/(N577+O577)</f>
        <v/>
      </c>
      <c r="W577" s="34">
        <f>U577*V577</f>
        <v/>
      </c>
      <c r="X577" s="32">
        <f>T577/N577</f>
        <v/>
      </c>
      <c r="Y577" s="35">
        <f>IF(W577=MAXIFS(W$2:W$3601, A$2:A$3601, A577, B$2:B$3601, B577), "OPTIMAL", "")</f>
        <v/>
      </c>
    </row>
    <row r="578" ht="20" customHeight="1">
      <c r="A578" s="21" t="n">
        <v>4</v>
      </c>
      <c r="B578" s="21" t="n">
        <v>30</v>
      </c>
      <c r="C578" s="22" t="n">
        <v>105</v>
      </c>
      <c r="D578" s="22" t="n">
        <v>2</v>
      </c>
      <c r="E578" s="23" t="n">
        <v>8</v>
      </c>
      <c r="F578" s="22" t="n">
        <v>2</v>
      </c>
      <c r="G578" s="23" t="inlineStr">
        <is>
          <t>Oui</t>
        </is>
      </c>
      <c r="H578" s="23" t="inlineStr">
        <is>
          <t>ON</t>
        </is>
      </c>
      <c r="I578" s="24" t="n">
        <v>718.2417398266504</v>
      </c>
      <c r="J578" s="24" t="n">
        <v>2366.073881799197</v>
      </c>
      <c r="K578" s="24" t="n">
        <v>1847.222222222222</v>
      </c>
      <c r="L578" s="24" t="n">
        <v>150</v>
      </c>
      <c r="M578" s="24">
        <f>I578+J578+K578+L578</f>
        <v/>
      </c>
      <c r="N578" s="24">
        <f>M578*'Dashboard &amp; Optimisation'!$B$18/('Dashboard &amp; Optimisation'!$B$16/3.6)</f>
        <v/>
      </c>
      <c r="O578" s="24" t="n">
        <v>537.7296189084834</v>
      </c>
      <c r="P578" s="25" t="n">
        <v>0.05324035668794291</v>
      </c>
      <c r="Q578" s="26" t="n">
        <v>16.72337164430963</v>
      </c>
      <c r="R578" s="24" t="n">
        <v>2439.249225571073</v>
      </c>
      <c r="S578" s="24">
        <f>R578*IF(A578=4, 2.0, 3.0)</f>
        <v/>
      </c>
      <c r="T578" s="22">
        <f>'Dashboard &amp; Optimisation'!$B$18*U578</f>
        <v/>
      </c>
      <c r="U578" s="27">
        <f>MIN(1, S578/M578)</f>
        <v/>
      </c>
      <c r="V578" s="27">
        <f>N578/(N578+O578)</f>
        <v/>
      </c>
      <c r="W578" s="27">
        <f>U578*V578</f>
        <v/>
      </c>
      <c r="X578" s="25">
        <f>T578/N578</f>
        <v/>
      </c>
      <c r="Y578" s="28">
        <f>IF(W578=MAXIFS(W$2:W$3601, A$2:A$3601, A578, B$2:B$3601, B578), "OPTIMAL", "")</f>
        <v/>
      </c>
    </row>
    <row r="579" ht="20" customHeight="1">
      <c r="A579" s="29" t="n">
        <v>4</v>
      </c>
      <c r="B579" s="29" t="n">
        <v>30</v>
      </c>
      <c r="C579" s="30" t="n">
        <v>105</v>
      </c>
      <c r="D579" s="30" t="n">
        <v>2</v>
      </c>
      <c r="E579" s="6" t="n">
        <v>8</v>
      </c>
      <c r="F579" s="30" t="n">
        <v>2</v>
      </c>
      <c r="G579" s="6" t="inlineStr">
        <is>
          <t>Oui</t>
        </is>
      </c>
      <c r="H579" s="6" t="inlineStr">
        <is>
          <t>OFF</t>
        </is>
      </c>
      <c r="I579" s="31" t="n">
        <v>718.2417398266504</v>
      </c>
      <c r="J579" s="31" t="n">
        <v>2366.073881799197</v>
      </c>
      <c r="K579" s="31" t="n">
        <v>1847.222222222222</v>
      </c>
      <c r="L579" s="31" t="n">
        <v>150</v>
      </c>
      <c r="M579" s="31">
        <f>I579+J579+K579+L579</f>
        <v/>
      </c>
      <c r="N579" s="31">
        <f>M579*'Dashboard &amp; Optimisation'!$B$18/('Dashboard &amp; Optimisation'!$B$16/3.6)</f>
        <v/>
      </c>
      <c r="O579" s="31" t="n">
        <v>537.7296189084834</v>
      </c>
      <c r="P579" s="32" t="n">
        <v>0.2337915759821405</v>
      </c>
      <c r="Q579" s="33" t="n">
        <v>16.72337164430963</v>
      </c>
      <c r="R579" s="31" t="n">
        <v>555.4798040717817</v>
      </c>
      <c r="S579" s="31">
        <f>R579*IF(A579=4, 2.0, 3.0)</f>
        <v/>
      </c>
      <c r="T579" s="30">
        <f>'Dashboard &amp; Optimisation'!$B$18*U579</f>
        <v/>
      </c>
      <c r="U579" s="34">
        <f>MIN(1, S579/M579)</f>
        <v/>
      </c>
      <c r="V579" s="34">
        <f>N579/(N579+O579)</f>
        <v/>
      </c>
      <c r="W579" s="34">
        <f>U579*V579</f>
        <v/>
      </c>
      <c r="X579" s="32">
        <f>T579/N579</f>
        <v/>
      </c>
      <c r="Y579" s="35">
        <f>IF(W579=MAXIFS(W$2:W$3601, A$2:A$3601, A579, B$2:B$3601, B579), "OPTIMAL", "")</f>
        <v/>
      </c>
    </row>
    <row r="580" ht="20" customHeight="1">
      <c r="A580" s="21" t="n">
        <v>4</v>
      </c>
      <c r="B580" s="21" t="n">
        <v>30</v>
      </c>
      <c r="C580" s="22" t="n">
        <v>105</v>
      </c>
      <c r="D580" s="22" t="n">
        <v>2</v>
      </c>
      <c r="E580" s="23" t="n">
        <v>8</v>
      </c>
      <c r="F580" s="22" t="n">
        <v>2</v>
      </c>
      <c r="G580" s="23" t="inlineStr">
        <is>
          <t>Non</t>
        </is>
      </c>
      <c r="H580" s="23" t="inlineStr">
        <is>
          <t>ON</t>
        </is>
      </c>
      <c r="I580" s="24" t="n">
        <v>718.2417398266504</v>
      </c>
      <c r="J580" s="24" t="n">
        <v>2366.073881799197</v>
      </c>
      <c r="K580" s="24" t="n">
        <v>1847.222222222222</v>
      </c>
      <c r="L580" s="24" t="n">
        <v>150</v>
      </c>
      <c r="M580" s="24">
        <f>I580+J580+K580+L580</f>
        <v/>
      </c>
      <c r="N580" s="24">
        <f>M580*'Dashboard &amp; Optimisation'!$B$18/('Dashboard &amp; Optimisation'!$B$16/3.6)</f>
        <v/>
      </c>
      <c r="O580" s="24" t="n">
        <v>537.7296189084834</v>
      </c>
      <c r="P580" s="25" t="n">
        <v>0.05020883396238299</v>
      </c>
      <c r="Q580" s="26" t="n">
        <v>16.72337164430963</v>
      </c>
      <c r="R580" s="24" t="n">
        <v>2586.526883247077</v>
      </c>
      <c r="S580" s="24">
        <f>R580*IF(A580=4, 2.0, 3.0)</f>
        <v/>
      </c>
      <c r="T580" s="22">
        <f>'Dashboard &amp; Optimisation'!$B$18*U580</f>
        <v/>
      </c>
      <c r="U580" s="27">
        <f>MIN(1, S580/M580)</f>
        <v/>
      </c>
      <c r="V580" s="27">
        <f>N580/(N580+O580)</f>
        <v/>
      </c>
      <c r="W580" s="27">
        <f>U580*V580</f>
        <v/>
      </c>
      <c r="X580" s="25">
        <f>T580/N580</f>
        <v/>
      </c>
      <c r="Y580" s="28">
        <f>IF(W580=MAXIFS(W$2:W$3601, A$2:A$3601, A580, B$2:B$3601, B580), "OPTIMAL", "")</f>
        <v/>
      </c>
    </row>
    <row r="581" ht="20" customHeight="1">
      <c r="A581" s="29" t="n">
        <v>4</v>
      </c>
      <c r="B581" s="29" t="n">
        <v>30</v>
      </c>
      <c r="C581" s="30" t="n">
        <v>105</v>
      </c>
      <c r="D581" s="30" t="n">
        <v>2</v>
      </c>
      <c r="E581" s="6" t="n">
        <v>8</v>
      </c>
      <c r="F581" s="30" t="n">
        <v>2</v>
      </c>
      <c r="G581" s="6" t="inlineStr">
        <is>
          <t>Non</t>
        </is>
      </c>
      <c r="H581" s="6" t="inlineStr">
        <is>
          <t>OFF</t>
        </is>
      </c>
      <c r="I581" s="31" t="n">
        <v>718.2417398266504</v>
      </c>
      <c r="J581" s="31" t="n">
        <v>2366.073881799197</v>
      </c>
      <c r="K581" s="31" t="n">
        <v>1847.222222222222</v>
      </c>
      <c r="L581" s="31" t="n">
        <v>150</v>
      </c>
      <c r="M581" s="31">
        <f>I581+J581+K581+L581</f>
        <v/>
      </c>
      <c r="N581" s="31">
        <f>M581*'Dashboard &amp; Optimisation'!$B$18/('Dashboard &amp; Optimisation'!$B$16/3.6)</f>
        <v/>
      </c>
      <c r="O581" s="31" t="n">
        <v>537.7296189084834</v>
      </c>
      <c r="P581" s="32" t="n">
        <v>0.2307600532565806</v>
      </c>
      <c r="Q581" s="33" t="n">
        <v>16.72337164430963</v>
      </c>
      <c r="R581" s="31" t="n">
        <v>562.777209432322</v>
      </c>
      <c r="S581" s="31">
        <f>R581*IF(A581=4, 2.0, 3.0)</f>
        <v/>
      </c>
      <c r="T581" s="30">
        <f>'Dashboard &amp; Optimisation'!$B$18*U581</f>
        <v/>
      </c>
      <c r="U581" s="34">
        <f>MIN(1, S581/M581)</f>
        <v/>
      </c>
      <c r="V581" s="34">
        <f>N581/(N581+O581)</f>
        <v/>
      </c>
      <c r="W581" s="34">
        <f>U581*V581</f>
        <v/>
      </c>
      <c r="X581" s="32">
        <f>T581/N581</f>
        <v/>
      </c>
      <c r="Y581" s="35">
        <f>IF(W581=MAXIFS(W$2:W$3601, A$2:A$3601, A581, B$2:B$3601, B581), "OPTIMAL", "")</f>
        <v/>
      </c>
    </row>
    <row r="582" ht="20" customHeight="1">
      <c r="A582" s="21" t="n">
        <v>4</v>
      </c>
      <c r="B582" s="21" t="n">
        <v>30</v>
      </c>
      <c r="C582" s="22" t="n">
        <v>105</v>
      </c>
      <c r="D582" s="22" t="n">
        <v>3</v>
      </c>
      <c r="E582" s="23" t="n">
        <v>0</v>
      </c>
      <c r="F582" s="22" t="n">
        <v>0</v>
      </c>
      <c r="G582" s="23" t="inlineStr">
        <is>
          <t>Oui</t>
        </is>
      </c>
      <c r="H582" s="23" t="inlineStr">
        <is>
          <t>ON</t>
        </is>
      </c>
      <c r="I582" s="24" t="n">
        <v>718.2417398266504</v>
      </c>
      <c r="J582" s="24" t="n">
        <v>2366.073881799197</v>
      </c>
      <c r="K582" s="24" t="n">
        <v>1847.222222222222</v>
      </c>
      <c r="L582" s="24" t="n">
        <v>150</v>
      </c>
      <c r="M582" s="24">
        <f>I582+J582+K582+L582</f>
        <v/>
      </c>
      <c r="N582" s="24">
        <f>M582*'Dashboard &amp; Optimisation'!$B$18/('Dashboard &amp; Optimisation'!$B$16/3.6)</f>
        <v/>
      </c>
      <c r="O582" s="24" t="n">
        <v>322.5306664525054</v>
      </c>
      <c r="P582" s="25" t="n">
        <v>0.4767526303329919</v>
      </c>
      <c r="Q582" s="26" t="n">
        <v>0.2</v>
      </c>
      <c r="R582" s="24" t="n">
        <v>260.6410717817473</v>
      </c>
      <c r="S582" s="24">
        <f>R582*IF(A582=4, 2.0, 3.0)</f>
        <v/>
      </c>
      <c r="T582" s="22">
        <f>'Dashboard &amp; Optimisation'!$B$18*U582</f>
        <v/>
      </c>
      <c r="U582" s="27">
        <f>MIN(1, S582/M582)</f>
        <v/>
      </c>
      <c r="V582" s="27">
        <f>N582/(N582+O582)</f>
        <v/>
      </c>
      <c r="W582" s="27">
        <f>U582*V582</f>
        <v/>
      </c>
      <c r="X582" s="25">
        <f>T582/N582</f>
        <v/>
      </c>
      <c r="Y582" s="28">
        <f>IF(W582=MAXIFS(W$2:W$3601, A$2:A$3601, A582, B$2:B$3601, B582), "OPTIMAL", "")</f>
        <v/>
      </c>
    </row>
    <row r="583" ht="20" customHeight="1">
      <c r="A583" s="29" t="n">
        <v>4</v>
      </c>
      <c r="B583" s="29" t="n">
        <v>30</v>
      </c>
      <c r="C583" s="30" t="n">
        <v>105</v>
      </c>
      <c r="D583" s="30" t="n">
        <v>3</v>
      </c>
      <c r="E583" s="6" t="n">
        <v>0</v>
      </c>
      <c r="F583" s="30" t="n">
        <v>0</v>
      </c>
      <c r="G583" s="6" t="inlineStr">
        <is>
          <t>Oui</t>
        </is>
      </c>
      <c r="H583" s="6" t="inlineStr">
        <is>
          <t>OFF</t>
        </is>
      </c>
      <c r="I583" s="31" t="n">
        <v>718.2417398266504</v>
      </c>
      <c r="J583" s="31" t="n">
        <v>2366.073881799197</v>
      </c>
      <c r="K583" s="31" t="n">
        <v>1847.222222222222</v>
      </c>
      <c r="L583" s="31" t="n">
        <v>150</v>
      </c>
      <c r="M583" s="31">
        <f>I583+J583+K583+L583</f>
        <v/>
      </c>
      <c r="N583" s="31">
        <f>M583*'Dashboard &amp; Optimisation'!$B$18/('Dashboard &amp; Optimisation'!$B$16/3.6)</f>
        <v/>
      </c>
      <c r="O583" s="31" t="n">
        <v>322.5306664525054</v>
      </c>
      <c r="P583" s="32" t="n">
        <v>0.7799049028889831</v>
      </c>
      <c r="Q583" s="33" t="n">
        <v>0.2</v>
      </c>
      <c r="R583" s="31" t="n">
        <v>159.3288054536649</v>
      </c>
      <c r="S583" s="31">
        <f>R583*IF(A583=4, 2.0, 3.0)</f>
        <v/>
      </c>
      <c r="T583" s="30">
        <f>'Dashboard &amp; Optimisation'!$B$18*U583</f>
        <v/>
      </c>
      <c r="U583" s="34">
        <f>MIN(1, S583/M583)</f>
        <v/>
      </c>
      <c r="V583" s="34">
        <f>N583/(N583+O583)</f>
        <v/>
      </c>
      <c r="W583" s="34">
        <f>U583*V583</f>
        <v/>
      </c>
      <c r="X583" s="32">
        <f>T583/N583</f>
        <v/>
      </c>
      <c r="Y583" s="35">
        <f>IF(W583=MAXIFS(W$2:W$3601, A$2:A$3601, A583, B$2:B$3601, B583), "OPTIMAL", "")</f>
        <v/>
      </c>
    </row>
    <row r="584" ht="20" customHeight="1">
      <c r="A584" s="21" t="n">
        <v>4</v>
      </c>
      <c r="B584" s="21" t="n">
        <v>30</v>
      </c>
      <c r="C584" s="22" t="n">
        <v>105</v>
      </c>
      <c r="D584" s="22" t="n">
        <v>3</v>
      </c>
      <c r="E584" s="23" t="n">
        <v>0</v>
      </c>
      <c r="F584" s="22" t="n">
        <v>0</v>
      </c>
      <c r="G584" s="23" t="inlineStr">
        <is>
          <t>Non</t>
        </is>
      </c>
      <c r="H584" s="23" t="inlineStr">
        <is>
          <t>ON</t>
        </is>
      </c>
      <c r="I584" s="24" t="n">
        <v>718.2417398266504</v>
      </c>
      <c r="J584" s="24" t="n">
        <v>2366.073881799197</v>
      </c>
      <c r="K584" s="24" t="n">
        <v>1847.222222222222</v>
      </c>
      <c r="L584" s="24" t="n">
        <v>150</v>
      </c>
      <c r="M584" s="24">
        <f>I584+J584+K584+L584</f>
        <v/>
      </c>
      <c r="N584" s="24">
        <f>M584*'Dashboard &amp; Optimisation'!$B$18/('Dashboard &amp; Optimisation'!$B$16/3.6)</f>
        <v/>
      </c>
      <c r="O584" s="24" t="n">
        <v>322.5306664525054</v>
      </c>
      <c r="P584" s="25" t="n">
        <v>0.473721107607432</v>
      </c>
      <c r="Q584" s="26" t="n">
        <v>0.2</v>
      </c>
      <c r="R584" s="24" t="n">
        <v>262.3090137831314</v>
      </c>
      <c r="S584" s="24">
        <f>R584*IF(A584=4, 2.0, 3.0)</f>
        <v/>
      </c>
      <c r="T584" s="22">
        <f>'Dashboard &amp; Optimisation'!$B$18*U584</f>
        <v/>
      </c>
      <c r="U584" s="27">
        <f>MIN(1, S584/M584)</f>
        <v/>
      </c>
      <c r="V584" s="27">
        <f>N584/(N584+O584)</f>
        <v/>
      </c>
      <c r="W584" s="27">
        <f>U584*V584</f>
        <v/>
      </c>
      <c r="X584" s="25">
        <f>T584/N584</f>
        <v/>
      </c>
      <c r="Y584" s="28">
        <f>IF(W584=MAXIFS(W$2:W$3601, A$2:A$3601, A584, B$2:B$3601, B584), "OPTIMAL", "")</f>
        <v/>
      </c>
    </row>
    <row r="585" ht="20" customHeight="1">
      <c r="A585" s="29" t="n">
        <v>4</v>
      </c>
      <c r="B585" s="29" t="n">
        <v>30</v>
      </c>
      <c r="C585" s="30" t="n">
        <v>105</v>
      </c>
      <c r="D585" s="30" t="n">
        <v>3</v>
      </c>
      <c r="E585" s="6" t="n">
        <v>0</v>
      </c>
      <c r="F585" s="30" t="n">
        <v>0</v>
      </c>
      <c r="G585" s="6" t="inlineStr">
        <is>
          <t>Non</t>
        </is>
      </c>
      <c r="H585" s="6" t="inlineStr">
        <is>
          <t>OFF</t>
        </is>
      </c>
      <c r="I585" s="31" t="n">
        <v>718.2417398266504</v>
      </c>
      <c r="J585" s="31" t="n">
        <v>2366.073881799197</v>
      </c>
      <c r="K585" s="31" t="n">
        <v>1847.222222222222</v>
      </c>
      <c r="L585" s="31" t="n">
        <v>150</v>
      </c>
      <c r="M585" s="31">
        <f>I585+J585+K585+L585</f>
        <v/>
      </c>
      <c r="N585" s="31">
        <f>M585*'Dashboard &amp; Optimisation'!$B$18/('Dashboard &amp; Optimisation'!$B$16/3.6)</f>
        <v/>
      </c>
      <c r="O585" s="31" t="n">
        <v>322.5306664525054</v>
      </c>
      <c r="P585" s="32" t="n">
        <v>0.7768733801634231</v>
      </c>
      <c r="Q585" s="33" t="n">
        <v>0.2</v>
      </c>
      <c r="R585" s="31" t="n">
        <v>159.9505398403773</v>
      </c>
      <c r="S585" s="31">
        <f>R585*IF(A585=4, 2.0, 3.0)</f>
        <v/>
      </c>
      <c r="T585" s="30">
        <f>'Dashboard &amp; Optimisation'!$B$18*U585</f>
        <v/>
      </c>
      <c r="U585" s="34">
        <f>MIN(1, S585/M585)</f>
        <v/>
      </c>
      <c r="V585" s="34">
        <f>N585/(N585+O585)</f>
        <v/>
      </c>
      <c r="W585" s="34">
        <f>U585*V585</f>
        <v/>
      </c>
      <c r="X585" s="32">
        <f>T585/N585</f>
        <v/>
      </c>
      <c r="Y585" s="35">
        <f>IF(W585=MAXIFS(W$2:W$3601, A$2:A$3601, A585, B$2:B$3601, B585), "OPTIMAL", "")</f>
        <v/>
      </c>
    </row>
    <row r="586" ht="20" customHeight="1">
      <c r="A586" s="21" t="n">
        <v>4</v>
      </c>
      <c r="B586" s="21" t="n">
        <v>30</v>
      </c>
      <c r="C586" s="22" t="n">
        <v>105</v>
      </c>
      <c r="D586" s="22" t="n">
        <v>3</v>
      </c>
      <c r="E586" s="23" t="n">
        <v>4</v>
      </c>
      <c r="F586" s="22" t="n">
        <v>1.5</v>
      </c>
      <c r="G586" s="23" t="inlineStr">
        <is>
          <t>Oui</t>
        </is>
      </c>
      <c r="H586" s="23" t="inlineStr">
        <is>
          <t>ON</t>
        </is>
      </c>
      <c r="I586" s="24" t="n">
        <v>718.2417398266504</v>
      </c>
      <c r="J586" s="24" t="n">
        <v>2366.073881799197</v>
      </c>
      <c r="K586" s="24" t="n">
        <v>1847.222222222222</v>
      </c>
      <c r="L586" s="24" t="n">
        <v>150</v>
      </c>
      <c r="M586" s="24">
        <f>I586+J586+K586+L586</f>
        <v/>
      </c>
      <c r="N586" s="24">
        <f>M586*'Dashboard &amp; Optimisation'!$B$18/('Dashboard &amp; Optimisation'!$B$16/3.6)</f>
        <v/>
      </c>
      <c r="O586" s="24" t="n">
        <v>446.2153536470735</v>
      </c>
      <c r="P586" s="25" t="n">
        <v>0.07189461044958809</v>
      </c>
      <c r="Q586" s="26" t="n">
        <v>6.521441424527548</v>
      </c>
      <c r="R586" s="24" t="n">
        <v>1783.429601342193</v>
      </c>
      <c r="S586" s="24">
        <f>R586*IF(A586=4, 2.0, 3.0)</f>
        <v/>
      </c>
      <c r="T586" s="22">
        <f>'Dashboard &amp; Optimisation'!$B$18*U586</f>
        <v/>
      </c>
      <c r="U586" s="27">
        <f>MIN(1, S586/M586)</f>
        <v/>
      </c>
      <c r="V586" s="27">
        <f>N586/(N586+O586)</f>
        <v/>
      </c>
      <c r="W586" s="27">
        <f>U586*V586</f>
        <v/>
      </c>
      <c r="X586" s="25">
        <f>T586/N586</f>
        <v/>
      </c>
      <c r="Y586" s="28">
        <f>IF(W586=MAXIFS(W$2:W$3601, A$2:A$3601, A586, B$2:B$3601, B586), "OPTIMAL", "")</f>
        <v/>
      </c>
    </row>
    <row r="587" ht="20" customHeight="1">
      <c r="A587" s="29" t="n">
        <v>4</v>
      </c>
      <c r="B587" s="29" t="n">
        <v>30</v>
      </c>
      <c r="C587" s="30" t="n">
        <v>105</v>
      </c>
      <c r="D587" s="30" t="n">
        <v>3</v>
      </c>
      <c r="E587" s="6" t="n">
        <v>4</v>
      </c>
      <c r="F587" s="30" t="n">
        <v>1.5</v>
      </c>
      <c r="G587" s="6" t="inlineStr">
        <is>
          <t>Oui</t>
        </is>
      </c>
      <c r="H587" s="6" t="inlineStr">
        <is>
          <t>OFF</t>
        </is>
      </c>
      <c r="I587" s="31" t="n">
        <v>718.2417398266504</v>
      </c>
      <c r="J587" s="31" t="n">
        <v>2366.073881799197</v>
      </c>
      <c r="K587" s="31" t="n">
        <v>1847.222222222222</v>
      </c>
      <c r="L587" s="31" t="n">
        <v>150</v>
      </c>
      <c r="M587" s="31">
        <f>I587+J587+K587+L587</f>
        <v/>
      </c>
      <c r="N587" s="31">
        <f>M587*'Dashboard &amp; Optimisation'!$B$18/('Dashboard &amp; Optimisation'!$B$16/3.6)</f>
        <v/>
      </c>
      <c r="O587" s="31" t="n">
        <v>446.2153536470735</v>
      </c>
      <c r="P587" s="32" t="n">
        <v>0.297191423626796</v>
      </c>
      <c r="Q587" s="33" t="n">
        <v>6.521441424527548</v>
      </c>
      <c r="R587" s="31" t="n">
        <v>431.4356547979482</v>
      </c>
      <c r="S587" s="31">
        <f>R587*IF(A587=4, 2.0, 3.0)</f>
        <v/>
      </c>
      <c r="T587" s="30">
        <f>'Dashboard &amp; Optimisation'!$B$18*U587</f>
        <v/>
      </c>
      <c r="U587" s="34">
        <f>MIN(1, S587/M587)</f>
        <v/>
      </c>
      <c r="V587" s="34">
        <f>N587/(N587+O587)</f>
        <v/>
      </c>
      <c r="W587" s="34">
        <f>U587*V587</f>
        <v/>
      </c>
      <c r="X587" s="32">
        <f>T587/N587</f>
        <v/>
      </c>
      <c r="Y587" s="35">
        <f>IF(W587=MAXIFS(W$2:W$3601, A$2:A$3601, A587, B$2:B$3601, B587), "OPTIMAL", "")</f>
        <v/>
      </c>
    </row>
    <row r="588" ht="20" customHeight="1">
      <c r="A588" s="21" t="n">
        <v>4</v>
      </c>
      <c r="B588" s="21" t="n">
        <v>30</v>
      </c>
      <c r="C588" s="22" t="n">
        <v>105</v>
      </c>
      <c r="D588" s="22" t="n">
        <v>3</v>
      </c>
      <c r="E588" s="23" t="n">
        <v>4</v>
      </c>
      <c r="F588" s="22" t="n">
        <v>1.5</v>
      </c>
      <c r="G588" s="23" t="inlineStr">
        <is>
          <t>Non</t>
        </is>
      </c>
      <c r="H588" s="23" t="inlineStr">
        <is>
          <t>ON</t>
        </is>
      </c>
      <c r="I588" s="24" t="n">
        <v>718.2417398266504</v>
      </c>
      <c r="J588" s="24" t="n">
        <v>2366.073881799197</v>
      </c>
      <c r="K588" s="24" t="n">
        <v>1847.222222222222</v>
      </c>
      <c r="L588" s="24" t="n">
        <v>150</v>
      </c>
      <c r="M588" s="24">
        <f>I588+J588+K588+L588</f>
        <v/>
      </c>
      <c r="N588" s="24">
        <f>M588*'Dashboard &amp; Optimisation'!$B$18/('Dashboard &amp; Optimisation'!$B$16/3.6)</f>
        <v/>
      </c>
      <c r="O588" s="24" t="n">
        <v>446.2153536470735</v>
      </c>
      <c r="P588" s="25" t="n">
        <v>0.06886308772402817</v>
      </c>
      <c r="Q588" s="26" t="n">
        <v>6.521441424527548</v>
      </c>
      <c r="R588" s="24" t="n">
        <v>1861.94056482922</v>
      </c>
      <c r="S588" s="24">
        <f>R588*IF(A588=4, 2.0, 3.0)</f>
        <v/>
      </c>
      <c r="T588" s="22">
        <f>'Dashboard &amp; Optimisation'!$B$18*U588</f>
        <v/>
      </c>
      <c r="U588" s="27">
        <f>MIN(1, S588/M588)</f>
        <v/>
      </c>
      <c r="V588" s="27">
        <f>N588/(N588+O588)</f>
        <v/>
      </c>
      <c r="W588" s="27">
        <f>U588*V588</f>
        <v/>
      </c>
      <c r="X588" s="25">
        <f>T588/N588</f>
        <v/>
      </c>
      <c r="Y588" s="28">
        <f>IF(W588=MAXIFS(W$2:W$3601, A$2:A$3601, A588, B$2:B$3601, B588), "OPTIMAL", "")</f>
        <v/>
      </c>
    </row>
    <row r="589" ht="20" customHeight="1">
      <c r="A589" s="29" t="n">
        <v>4</v>
      </c>
      <c r="B589" s="29" t="n">
        <v>30</v>
      </c>
      <c r="C589" s="30" t="n">
        <v>105</v>
      </c>
      <c r="D589" s="30" t="n">
        <v>3</v>
      </c>
      <c r="E589" s="6" t="n">
        <v>4</v>
      </c>
      <c r="F589" s="30" t="n">
        <v>1.5</v>
      </c>
      <c r="G589" s="6" t="inlineStr">
        <is>
          <t>Non</t>
        </is>
      </c>
      <c r="H589" s="6" t="inlineStr">
        <is>
          <t>OFF</t>
        </is>
      </c>
      <c r="I589" s="31" t="n">
        <v>718.2417398266504</v>
      </c>
      <c r="J589" s="31" t="n">
        <v>2366.073881799197</v>
      </c>
      <c r="K589" s="31" t="n">
        <v>1847.222222222222</v>
      </c>
      <c r="L589" s="31" t="n">
        <v>150</v>
      </c>
      <c r="M589" s="31">
        <f>I589+J589+K589+L589</f>
        <v/>
      </c>
      <c r="N589" s="31">
        <f>M589*'Dashboard &amp; Optimisation'!$B$18/('Dashboard &amp; Optimisation'!$B$16/3.6)</f>
        <v/>
      </c>
      <c r="O589" s="31" t="n">
        <v>446.2153536470735</v>
      </c>
      <c r="P589" s="32" t="n">
        <v>0.2941599009012361</v>
      </c>
      <c r="Q589" s="33" t="n">
        <v>6.521441424527548</v>
      </c>
      <c r="R589" s="31" t="n">
        <v>435.8818998100307</v>
      </c>
      <c r="S589" s="31">
        <f>R589*IF(A589=4, 2.0, 3.0)</f>
        <v/>
      </c>
      <c r="T589" s="30">
        <f>'Dashboard &amp; Optimisation'!$B$18*U589</f>
        <v/>
      </c>
      <c r="U589" s="34">
        <f>MIN(1, S589/M589)</f>
        <v/>
      </c>
      <c r="V589" s="34">
        <f>N589/(N589+O589)</f>
        <v/>
      </c>
      <c r="W589" s="34">
        <f>U589*V589</f>
        <v/>
      </c>
      <c r="X589" s="32">
        <f>T589/N589</f>
        <v/>
      </c>
      <c r="Y589" s="35">
        <f>IF(W589=MAXIFS(W$2:W$3601, A$2:A$3601, A589, B$2:B$3601, B589), "OPTIMAL", "")</f>
        <v/>
      </c>
    </row>
    <row r="590" ht="20" customHeight="1">
      <c r="A590" s="21" t="n">
        <v>4</v>
      </c>
      <c r="B590" s="21" t="n">
        <v>30</v>
      </c>
      <c r="C590" s="22" t="n">
        <v>105</v>
      </c>
      <c r="D590" s="22" t="n">
        <v>3</v>
      </c>
      <c r="E590" s="23" t="n">
        <v>4</v>
      </c>
      <c r="F590" s="22" t="n">
        <v>2</v>
      </c>
      <c r="G590" s="23" t="inlineStr">
        <is>
          <t>Oui</t>
        </is>
      </c>
      <c r="H590" s="23" t="inlineStr">
        <is>
          <t>ON</t>
        </is>
      </c>
      <c r="I590" s="24" t="n">
        <v>718.2417398266504</v>
      </c>
      <c r="J590" s="24" t="n">
        <v>2366.073881799197</v>
      </c>
      <c r="K590" s="24" t="n">
        <v>1847.222222222222</v>
      </c>
      <c r="L590" s="24" t="n">
        <v>150</v>
      </c>
      <c r="M590" s="24">
        <f>I590+J590+K590+L590</f>
        <v/>
      </c>
      <c r="N590" s="24">
        <f>M590*'Dashboard &amp; Optimisation'!$B$18/('Dashboard &amp; Optimisation'!$B$16/3.6)</f>
        <v/>
      </c>
      <c r="O590" s="24" t="n">
        <v>489.2131670804303</v>
      </c>
      <c r="P590" s="25" t="n">
        <v>0.06909966512774487</v>
      </c>
      <c r="Q590" s="26" t="n">
        <v>8.628588566036731</v>
      </c>
      <c r="R590" s="24" t="n">
        <v>1875.476810261278</v>
      </c>
      <c r="S590" s="24">
        <f>R590*IF(A590=4, 2.0, 3.0)</f>
        <v/>
      </c>
      <c r="T590" s="22">
        <f>'Dashboard &amp; Optimisation'!$B$18*U590</f>
        <v/>
      </c>
      <c r="U590" s="27">
        <f>MIN(1, S590/M590)</f>
        <v/>
      </c>
      <c r="V590" s="27">
        <f>N590/(N590+O590)</f>
        <v/>
      </c>
      <c r="W590" s="27">
        <f>U590*V590</f>
        <v/>
      </c>
      <c r="X590" s="25">
        <f>T590/N590</f>
        <v/>
      </c>
      <c r="Y590" s="28">
        <f>IF(W590=MAXIFS(W$2:W$3601, A$2:A$3601, A590, B$2:B$3601, B590), "OPTIMAL", "")</f>
        <v/>
      </c>
    </row>
    <row r="591" ht="20" customHeight="1">
      <c r="A591" s="29" t="n">
        <v>4</v>
      </c>
      <c r="B591" s="29" t="n">
        <v>30</v>
      </c>
      <c r="C591" s="30" t="n">
        <v>105</v>
      </c>
      <c r="D591" s="30" t="n">
        <v>3</v>
      </c>
      <c r="E591" s="6" t="n">
        <v>4</v>
      </c>
      <c r="F591" s="30" t="n">
        <v>2</v>
      </c>
      <c r="G591" s="6" t="inlineStr">
        <is>
          <t>Oui</t>
        </is>
      </c>
      <c r="H591" s="6" t="inlineStr">
        <is>
          <t>OFF</t>
        </is>
      </c>
      <c r="I591" s="31" t="n">
        <v>718.2417398266504</v>
      </c>
      <c r="J591" s="31" t="n">
        <v>2366.073881799197</v>
      </c>
      <c r="K591" s="31" t="n">
        <v>1847.222222222222</v>
      </c>
      <c r="L591" s="31" t="n">
        <v>150</v>
      </c>
      <c r="M591" s="31">
        <f>I591+J591+K591+L591</f>
        <v/>
      </c>
      <c r="N591" s="31">
        <f>M591*'Dashboard &amp; Optimisation'!$B$18/('Dashboard &amp; Optimisation'!$B$16/3.6)</f>
        <v/>
      </c>
      <c r="O591" s="31" t="n">
        <v>489.2131670804303</v>
      </c>
      <c r="P591" s="32" t="n">
        <v>0.2954143944438517</v>
      </c>
      <c r="Q591" s="33" t="n">
        <v>8.628588566036731</v>
      </c>
      <c r="R591" s="31" t="n">
        <v>438.6882358521531</v>
      </c>
      <c r="S591" s="31">
        <f>R591*IF(A591=4, 2.0, 3.0)</f>
        <v/>
      </c>
      <c r="T591" s="30">
        <f>'Dashboard &amp; Optimisation'!$B$18*U591</f>
        <v/>
      </c>
      <c r="U591" s="34">
        <f>MIN(1, S591/M591)</f>
        <v/>
      </c>
      <c r="V591" s="34">
        <f>N591/(N591+O591)</f>
        <v/>
      </c>
      <c r="W591" s="34">
        <f>U591*V591</f>
        <v/>
      </c>
      <c r="X591" s="32">
        <f>T591/N591</f>
        <v/>
      </c>
      <c r="Y591" s="35">
        <f>IF(W591=MAXIFS(W$2:W$3601, A$2:A$3601, A591, B$2:B$3601, B591), "OPTIMAL", "")</f>
        <v/>
      </c>
    </row>
    <row r="592" ht="20" customHeight="1">
      <c r="A592" s="21" t="n">
        <v>4</v>
      </c>
      <c r="B592" s="21" t="n">
        <v>30</v>
      </c>
      <c r="C592" s="22" t="n">
        <v>105</v>
      </c>
      <c r="D592" s="22" t="n">
        <v>3</v>
      </c>
      <c r="E592" s="23" t="n">
        <v>4</v>
      </c>
      <c r="F592" s="22" t="n">
        <v>2</v>
      </c>
      <c r="G592" s="23" t="inlineStr">
        <is>
          <t>Non</t>
        </is>
      </c>
      <c r="H592" s="23" t="inlineStr">
        <is>
          <t>ON</t>
        </is>
      </c>
      <c r="I592" s="24" t="n">
        <v>718.2417398266504</v>
      </c>
      <c r="J592" s="24" t="n">
        <v>2366.073881799197</v>
      </c>
      <c r="K592" s="24" t="n">
        <v>1847.222222222222</v>
      </c>
      <c r="L592" s="24" t="n">
        <v>150</v>
      </c>
      <c r="M592" s="24">
        <f>I592+J592+K592+L592</f>
        <v/>
      </c>
      <c r="N592" s="24">
        <f>M592*'Dashboard &amp; Optimisation'!$B$18/('Dashboard &amp; Optimisation'!$B$16/3.6)</f>
        <v/>
      </c>
      <c r="O592" s="24" t="n">
        <v>489.2131670804303</v>
      </c>
      <c r="P592" s="25" t="n">
        <v>0.06606814240218496</v>
      </c>
      <c r="Q592" s="26" t="n">
        <v>8.628588566036731</v>
      </c>
      <c r="R592" s="24" t="n">
        <v>1961.532666606645</v>
      </c>
      <c r="S592" s="24">
        <f>R592*IF(A592=4, 2.0, 3.0)</f>
        <v/>
      </c>
      <c r="T592" s="22">
        <f>'Dashboard &amp; Optimisation'!$B$18*U592</f>
        <v/>
      </c>
      <c r="U592" s="27">
        <f>MIN(1, S592/M592)</f>
        <v/>
      </c>
      <c r="V592" s="27">
        <f>N592/(N592+O592)</f>
        <v/>
      </c>
      <c r="W592" s="27">
        <f>U592*V592</f>
        <v/>
      </c>
      <c r="X592" s="25">
        <f>T592/N592</f>
        <v/>
      </c>
      <c r="Y592" s="28">
        <f>IF(W592=MAXIFS(W$2:W$3601, A$2:A$3601, A592, B$2:B$3601, B592), "OPTIMAL", "")</f>
        <v/>
      </c>
    </row>
    <row r="593" ht="20" customHeight="1">
      <c r="A593" s="29" t="n">
        <v>4</v>
      </c>
      <c r="B593" s="29" t="n">
        <v>30</v>
      </c>
      <c r="C593" s="30" t="n">
        <v>105</v>
      </c>
      <c r="D593" s="30" t="n">
        <v>3</v>
      </c>
      <c r="E593" s="6" t="n">
        <v>4</v>
      </c>
      <c r="F593" s="30" t="n">
        <v>2</v>
      </c>
      <c r="G593" s="6" t="inlineStr">
        <is>
          <t>Non</t>
        </is>
      </c>
      <c r="H593" s="6" t="inlineStr">
        <is>
          <t>OFF</t>
        </is>
      </c>
      <c r="I593" s="31" t="n">
        <v>718.2417398266504</v>
      </c>
      <c r="J593" s="31" t="n">
        <v>2366.073881799197</v>
      </c>
      <c r="K593" s="31" t="n">
        <v>1847.222222222222</v>
      </c>
      <c r="L593" s="31" t="n">
        <v>150</v>
      </c>
      <c r="M593" s="31">
        <f>I593+J593+K593+L593</f>
        <v/>
      </c>
      <c r="N593" s="31">
        <f>M593*'Dashboard &amp; Optimisation'!$B$18/('Dashboard &amp; Optimisation'!$B$16/3.6)</f>
        <v/>
      </c>
      <c r="O593" s="31" t="n">
        <v>489.2131670804303</v>
      </c>
      <c r="P593" s="32" t="n">
        <v>0.2923828717182918</v>
      </c>
      <c r="Q593" s="33" t="n">
        <v>8.628588566036731</v>
      </c>
      <c r="R593" s="31" t="n">
        <v>443.2367011866851</v>
      </c>
      <c r="S593" s="31">
        <f>R593*IF(A593=4, 2.0, 3.0)</f>
        <v/>
      </c>
      <c r="T593" s="30">
        <f>'Dashboard &amp; Optimisation'!$B$18*U593</f>
        <v/>
      </c>
      <c r="U593" s="34">
        <f>MIN(1, S593/M593)</f>
        <v/>
      </c>
      <c r="V593" s="34">
        <f>N593/(N593+O593)</f>
        <v/>
      </c>
      <c r="W593" s="34">
        <f>U593*V593</f>
        <v/>
      </c>
      <c r="X593" s="32">
        <f>T593/N593</f>
        <v/>
      </c>
      <c r="Y593" s="35">
        <f>IF(W593=MAXIFS(W$2:W$3601, A$2:A$3601, A593, B$2:B$3601, B593), "OPTIMAL", "")</f>
        <v/>
      </c>
    </row>
    <row r="594" ht="20" customHeight="1">
      <c r="A594" s="21" t="n">
        <v>4</v>
      </c>
      <c r="B594" s="21" t="n">
        <v>30</v>
      </c>
      <c r="C594" s="22" t="n">
        <v>105</v>
      </c>
      <c r="D594" s="22" t="n">
        <v>3</v>
      </c>
      <c r="E594" s="23" t="n">
        <v>8</v>
      </c>
      <c r="F594" s="22" t="n">
        <v>1.5</v>
      </c>
      <c r="G594" s="23" t="inlineStr">
        <is>
          <t>Oui</t>
        </is>
      </c>
      <c r="H594" s="23" t="inlineStr">
        <is>
          <t>ON</t>
        </is>
      </c>
      <c r="I594" s="24" t="n">
        <v>718.2417398266504</v>
      </c>
      <c r="J594" s="24" t="n">
        <v>2366.073881799197</v>
      </c>
      <c r="K594" s="24" t="n">
        <v>1847.222222222222</v>
      </c>
      <c r="L594" s="24" t="n">
        <v>150</v>
      </c>
      <c r="M594" s="24">
        <f>I594+J594+K594+L594</f>
        <v/>
      </c>
      <c r="N594" s="24">
        <f>M594*'Dashboard &amp; Optimisation'!$B$18/('Dashboard &amp; Optimisation'!$B$16/3.6)</f>
        <v/>
      </c>
      <c r="O594" s="24" t="n">
        <v>578.0378138973987</v>
      </c>
      <c r="P594" s="25" t="n">
        <v>0.05445758169649494</v>
      </c>
      <c r="Q594" s="26" t="n">
        <v>12.84288284905509</v>
      </c>
      <c r="R594" s="24" t="n">
        <v>2431.930036530354</v>
      </c>
      <c r="S594" s="24">
        <f>R594*IF(A594=4, 2.0, 3.0)</f>
        <v/>
      </c>
      <c r="T594" s="22">
        <f>'Dashboard &amp; Optimisation'!$B$18*U594</f>
        <v/>
      </c>
      <c r="U594" s="27">
        <f>MIN(1, S594/M594)</f>
        <v/>
      </c>
      <c r="V594" s="27">
        <f>N594/(N594+O594)</f>
        <v/>
      </c>
      <c r="W594" s="27">
        <f>U594*V594</f>
        <v/>
      </c>
      <c r="X594" s="25">
        <f>T594/N594</f>
        <v/>
      </c>
      <c r="Y594" s="28">
        <f>IF(W594=MAXIFS(W$2:W$3601, A$2:A$3601, A594, B$2:B$3601, B594), "OPTIMAL", "")</f>
        <v/>
      </c>
    </row>
    <row r="595" ht="20" customHeight="1">
      <c r="A595" s="29" t="n">
        <v>4</v>
      </c>
      <c r="B595" s="29" t="n">
        <v>30</v>
      </c>
      <c r="C595" s="30" t="n">
        <v>105</v>
      </c>
      <c r="D595" s="30" t="n">
        <v>3</v>
      </c>
      <c r="E595" s="6" t="n">
        <v>8</v>
      </c>
      <c r="F595" s="30" t="n">
        <v>1.5</v>
      </c>
      <c r="G595" s="6" t="inlineStr">
        <is>
          <t>Oui</t>
        </is>
      </c>
      <c r="H595" s="6" t="inlineStr">
        <is>
          <t>OFF</t>
        </is>
      </c>
      <c r="I595" s="31" t="n">
        <v>718.2417398266504</v>
      </c>
      <c r="J595" s="31" t="n">
        <v>2366.073881799197</v>
      </c>
      <c r="K595" s="31" t="n">
        <v>1847.222222222222</v>
      </c>
      <c r="L595" s="31" t="n">
        <v>150</v>
      </c>
      <c r="M595" s="31">
        <f>I595+J595+K595+L595</f>
        <v/>
      </c>
      <c r="N595" s="31">
        <f>M595*'Dashboard &amp; Optimisation'!$B$18/('Dashboard &amp; Optimisation'!$B$16/3.6)</f>
        <v/>
      </c>
      <c r="O595" s="31" t="n">
        <v>578.0378138973987</v>
      </c>
      <c r="P595" s="32" t="n">
        <v>0.233716140989121</v>
      </c>
      <c r="Q595" s="33" t="n">
        <v>12.84288284905509</v>
      </c>
      <c r="R595" s="31" t="n">
        <v>566.6576047508687</v>
      </c>
      <c r="S595" s="31">
        <f>R595*IF(A595=4, 2.0, 3.0)</f>
        <v/>
      </c>
      <c r="T595" s="30">
        <f>'Dashboard &amp; Optimisation'!$B$18*U595</f>
        <v/>
      </c>
      <c r="U595" s="34">
        <f>MIN(1, S595/M595)</f>
        <v/>
      </c>
      <c r="V595" s="34">
        <f>N595/(N595+O595)</f>
        <v/>
      </c>
      <c r="W595" s="34">
        <f>U595*V595</f>
        <v/>
      </c>
      <c r="X595" s="32">
        <f>T595/N595</f>
        <v/>
      </c>
      <c r="Y595" s="35">
        <f>IF(W595=MAXIFS(W$2:W$3601, A$2:A$3601, A595, B$2:B$3601, B595), "OPTIMAL", "")</f>
        <v/>
      </c>
    </row>
    <row r="596" ht="20" customHeight="1">
      <c r="A596" s="21" t="n">
        <v>4</v>
      </c>
      <c r="B596" s="21" t="n">
        <v>30</v>
      </c>
      <c r="C596" s="22" t="n">
        <v>105</v>
      </c>
      <c r="D596" s="22" t="n">
        <v>3</v>
      </c>
      <c r="E596" s="23" t="n">
        <v>8</v>
      </c>
      <c r="F596" s="22" t="n">
        <v>1.5</v>
      </c>
      <c r="G596" s="23" t="inlineStr">
        <is>
          <t>Non</t>
        </is>
      </c>
      <c r="H596" s="23" t="inlineStr">
        <is>
          <t>ON</t>
        </is>
      </c>
      <c r="I596" s="24" t="n">
        <v>718.2417398266504</v>
      </c>
      <c r="J596" s="24" t="n">
        <v>2366.073881799197</v>
      </c>
      <c r="K596" s="24" t="n">
        <v>1847.222222222222</v>
      </c>
      <c r="L596" s="24" t="n">
        <v>150</v>
      </c>
      <c r="M596" s="24">
        <f>I596+J596+K596+L596</f>
        <v/>
      </c>
      <c r="N596" s="24">
        <f>M596*'Dashboard &amp; Optimisation'!$B$18/('Dashboard &amp; Optimisation'!$B$16/3.6)</f>
        <v/>
      </c>
      <c r="O596" s="24" t="n">
        <v>578.0378138973987</v>
      </c>
      <c r="P596" s="25" t="n">
        <v>0.05142605897093502</v>
      </c>
      <c r="Q596" s="26" t="n">
        <v>12.84288284905509</v>
      </c>
      <c r="R596" s="24" t="n">
        <v>2575.290257403594</v>
      </c>
      <c r="S596" s="24">
        <f>R596*IF(A596=4, 2.0, 3.0)</f>
        <v/>
      </c>
      <c r="T596" s="22">
        <f>'Dashboard &amp; Optimisation'!$B$18*U596</f>
        <v/>
      </c>
      <c r="U596" s="27">
        <f>MIN(1, S596/M596)</f>
        <v/>
      </c>
      <c r="V596" s="27">
        <f>N596/(N596+O596)</f>
        <v/>
      </c>
      <c r="W596" s="27">
        <f>U596*V596</f>
        <v/>
      </c>
      <c r="X596" s="25">
        <f>T596/N596</f>
        <v/>
      </c>
      <c r="Y596" s="28">
        <f>IF(W596=MAXIFS(W$2:W$3601, A$2:A$3601, A596, B$2:B$3601, B596), "OPTIMAL", "")</f>
        <v/>
      </c>
    </row>
    <row r="597" ht="20" customHeight="1">
      <c r="A597" s="29" t="n">
        <v>4</v>
      </c>
      <c r="B597" s="29" t="n">
        <v>30</v>
      </c>
      <c r="C597" s="30" t="n">
        <v>105</v>
      </c>
      <c r="D597" s="30" t="n">
        <v>3</v>
      </c>
      <c r="E597" s="6" t="n">
        <v>8</v>
      </c>
      <c r="F597" s="30" t="n">
        <v>1.5</v>
      </c>
      <c r="G597" s="6" t="inlineStr">
        <is>
          <t>Non</t>
        </is>
      </c>
      <c r="H597" s="6" t="inlineStr">
        <is>
          <t>OFF</t>
        </is>
      </c>
      <c r="I597" s="31" t="n">
        <v>718.2417398266504</v>
      </c>
      <c r="J597" s="31" t="n">
        <v>2366.073881799197</v>
      </c>
      <c r="K597" s="31" t="n">
        <v>1847.222222222222</v>
      </c>
      <c r="L597" s="31" t="n">
        <v>150</v>
      </c>
      <c r="M597" s="31">
        <f>I597+J597+K597+L597</f>
        <v/>
      </c>
      <c r="N597" s="31">
        <f>M597*'Dashboard &amp; Optimisation'!$B$18/('Dashboard &amp; Optimisation'!$B$16/3.6)</f>
        <v/>
      </c>
      <c r="O597" s="31" t="n">
        <v>578.0378138973987</v>
      </c>
      <c r="P597" s="32" t="n">
        <v>0.2306846182635611</v>
      </c>
      <c r="Q597" s="33" t="n">
        <v>12.84288284905509</v>
      </c>
      <c r="R597" s="31" t="n">
        <v>574.1042885364818</v>
      </c>
      <c r="S597" s="31">
        <f>R597*IF(A597=4, 2.0, 3.0)</f>
        <v/>
      </c>
      <c r="T597" s="30">
        <f>'Dashboard &amp; Optimisation'!$B$18*U597</f>
        <v/>
      </c>
      <c r="U597" s="34">
        <f>MIN(1, S597/M597)</f>
        <v/>
      </c>
      <c r="V597" s="34">
        <f>N597/(N597+O597)</f>
        <v/>
      </c>
      <c r="W597" s="34">
        <f>U597*V597</f>
        <v/>
      </c>
      <c r="X597" s="32">
        <f>T597/N597</f>
        <v/>
      </c>
      <c r="Y597" s="35">
        <f>IF(W597=MAXIFS(W$2:W$3601, A$2:A$3601, A597, B$2:B$3601, B597), "OPTIMAL", "")</f>
        <v/>
      </c>
    </row>
    <row r="598" ht="20" customHeight="1">
      <c r="A598" s="21" t="n">
        <v>4</v>
      </c>
      <c r="B598" s="21" t="n">
        <v>30</v>
      </c>
      <c r="C598" s="22" t="n">
        <v>105</v>
      </c>
      <c r="D598" s="22" t="n">
        <v>3</v>
      </c>
      <c r="E598" s="23" t="n">
        <v>8</v>
      </c>
      <c r="F598" s="22" t="n">
        <v>2</v>
      </c>
      <c r="G598" s="23" t="inlineStr">
        <is>
          <t>Oui</t>
        </is>
      </c>
      <c r="H598" s="23" t="inlineStr">
        <is>
          <t>ON</t>
        </is>
      </c>
      <c r="I598" s="24" t="n">
        <v>718.2417398266504</v>
      </c>
      <c r="J598" s="24" t="n">
        <v>2366.073881799197</v>
      </c>
      <c r="K598" s="24" t="n">
        <v>1847.222222222222</v>
      </c>
      <c r="L598" s="24" t="n">
        <v>150</v>
      </c>
      <c r="M598" s="24">
        <f>I598+J598+K598+L598</f>
        <v/>
      </c>
      <c r="N598" s="24">
        <f>M598*'Dashboard &amp; Optimisation'!$B$18/('Dashboard &amp; Optimisation'!$B$16/3.6)</f>
        <v/>
      </c>
      <c r="O598" s="24" t="n">
        <v>670.8459403233218</v>
      </c>
      <c r="P598" s="25" t="n">
        <v>0.05316276245002891</v>
      </c>
      <c r="Q598" s="26" t="n">
        <v>17.05717713207346</v>
      </c>
      <c r="R598" s="24" t="n">
        <v>2547.021539099867</v>
      </c>
      <c r="S598" s="24">
        <f>R598*IF(A598=4, 2.0, 3.0)</f>
        <v/>
      </c>
      <c r="T598" s="22">
        <f>'Dashboard &amp; Optimisation'!$B$18*U598</f>
        <v/>
      </c>
      <c r="U598" s="27">
        <f>MIN(1, S598/M598)</f>
        <v/>
      </c>
      <c r="V598" s="27">
        <f>N598/(N598+O598)</f>
        <v/>
      </c>
      <c r="W598" s="27">
        <f>U598*V598</f>
        <v/>
      </c>
      <c r="X598" s="25">
        <f>T598/N598</f>
        <v/>
      </c>
      <c r="Y598" s="28">
        <f>IF(W598=MAXIFS(W$2:W$3601, A$2:A$3601, A598, B$2:B$3601, B598), "OPTIMAL", "")</f>
        <v/>
      </c>
    </row>
    <row r="599" ht="20" customHeight="1">
      <c r="A599" s="29" t="n">
        <v>4</v>
      </c>
      <c r="B599" s="29" t="n">
        <v>30</v>
      </c>
      <c r="C599" s="30" t="n">
        <v>105</v>
      </c>
      <c r="D599" s="30" t="n">
        <v>3</v>
      </c>
      <c r="E599" s="6" t="n">
        <v>8</v>
      </c>
      <c r="F599" s="30" t="n">
        <v>2</v>
      </c>
      <c r="G599" s="6" t="inlineStr">
        <is>
          <t>Oui</t>
        </is>
      </c>
      <c r="H599" s="6" t="inlineStr">
        <is>
          <t>OFF</t>
        </is>
      </c>
      <c r="I599" s="31" t="n">
        <v>718.2417398266504</v>
      </c>
      <c r="J599" s="31" t="n">
        <v>2366.073881799197</v>
      </c>
      <c r="K599" s="31" t="n">
        <v>1847.222222222222</v>
      </c>
      <c r="L599" s="31" t="n">
        <v>150</v>
      </c>
      <c r="M599" s="31">
        <f>I599+J599+K599+L599</f>
        <v/>
      </c>
      <c r="N599" s="31">
        <f>M599*'Dashboard &amp; Optimisation'!$B$18/('Dashboard &amp; Optimisation'!$B$16/3.6)</f>
        <v/>
      </c>
      <c r="O599" s="31" t="n">
        <v>670.8459403233218</v>
      </c>
      <c r="P599" s="32" t="n">
        <v>0.2337139817442265</v>
      </c>
      <c r="Q599" s="33" t="n">
        <v>17.05717713207346</v>
      </c>
      <c r="R599" s="31" t="n">
        <v>579.3692787556911</v>
      </c>
      <c r="S599" s="31">
        <f>R599*IF(A599=4, 2.0, 3.0)</f>
        <v/>
      </c>
      <c r="T599" s="30">
        <f>'Dashboard &amp; Optimisation'!$B$18*U599</f>
        <v/>
      </c>
      <c r="U599" s="34">
        <f>MIN(1, S599/M599)</f>
        <v/>
      </c>
      <c r="V599" s="34">
        <f>N599/(N599+O599)</f>
        <v/>
      </c>
      <c r="W599" s="34">
        <f>U599*V599</f>
        <v/>
      </c>
      <c r="X599" s="32">
        <f>T599/N599</f>
        <v/>
      </c>
      <c r="Y599" s="35">
        <f>IF(W599=MAXIFS(W$2:W$3601, A$2:A$3601, A599, B$2:B$3601, B599), "OPTIMAL", "")</f>
        <v/>
      </c>
    </row>
    <row r="600" ht="20" customHeight="1">
      <c r="A600" s="21" t="n">
        <v>4</v>
      </c>
      <c r="B600" s="21" t="n">
        <v>30</v>
      </c>
      <c r="C600" s="22" t="n">
        <v>105</v>
      </c>
      <c r="D600" s="22" t="n">
        <v>3</v>
      </c>
      <c r="E600" s="23" t="n">
        <v>8</v>
      </c>
      <c r="F600" s="22" t="n">
        <v>2</v>
      </c>
      <c r="G600" s="23" t="inlineStr">
        <is>
          <t>Non</t>
        </is>
      </c>
      <c r="H600" s="23" t="inlineStr">
        <is>
          <t>ON</t>
        </is>
      </c>
      <c r="I600" s="24" t="n">
        <v>718.2417398266504</v>
      </c>
      <c r="J600" s="24" t="n">
        <v>2366.073881799197</v>
      </c>
      <c r="K600" s="24" t="n">
        <v>1847.222222222222</v>
      </c>
      <c r="L600" s="24" t="n">
        <v>150</v>
      </c>
      <c r="M600" s="24">
        <f>I600+J600+K600+L600</f>
        <v/>
      </c>
      <c r="N600" s="24">
        <f>M600*'Dashboard &amp; Optimisation'!$B$18/('Dashboard &amp; Optimisation'!$B$16/3.6)</f>
        <v/>
      </c>
      <c r="O600" s="24" t="n">
        <v>670.8459403233218</v>
      </c>
      <c r="P600" s="25" t="n">
        <v>0.050131239724469</v>
      </c>
      <c r="Q600" s="26" t="n">
        <v>17.05717713207346</v>
      </c>
      <c r="R600" s="24" t="n">
        <v>2701.044334480749</v>
      </c>
      <c r="S600" s="24">
        <f>R600*IF(A600=4, 2.0, 3.0)</f>
        <v/>
      </c>
      <c r="T600" s="22">
        <f>'Dashboard &amp; Optimisation'!$B$18*U600</f>
        <v/>
      </c>
      <c r="U600" s="27">
        <f>MIN(1, S600/M600)</f>
        <v/>
      </c>
      <c r="V600" s="27">
        <f>N600/(N600+O600)</f>
        <v/>
      </c>
      <c r="W600" s="27">
        <f>U600*V600</f>
        <v/>
      </c>
      <c r="X600" s="25">
        <f>T600/N600</f>
        <v/>
      </c>
      <c r="Y600" s="28">
        <f>IF(W600=MAXIFS(W$2:W$3601, A$2:A$3601, A600, B$2:B$3601, B600), "OPTIMAL", "")</f>
        <v/>
      </c>
    </row>
    <row r="601" ht="20" customHeight="1">
      <c r="A601" s="29" t="n">
        <v>4</v>
      </c>
      <c r="B601" s="29" t="n">
        <v>30</v>
      </c>
      <c r="C601" s="30" t="n">
        <v>105</v>
      </c>
      <c r="D601" s="30" t="n">
        <v>3</v>
      </c>
      <c r="E601" s="6" t="n">
        <v>8</v>
      </c>
      <c r="F601" s="30" t="n">
        <v>2</v>
      </c>
      <c r="G601" s="6" t="inlineStr">
        <is>
          <t>Non</t>
        </is>
      </c>
      <c r="H601" s="6" t="inlineStr">
        <is>
          <t>OFF</t>
        </is>
      </c>
      <c r="I601" s="31" t="n">
        <v>718.2417398266504</v>
      </c>
      <c r="J601" s="31" t="n">
        <v>2366.073881799197</v>
      </c>
      <c r="K601" s="31" t="n">
        <v>1847.222222222222</v>
      </c>
      <c r="L601" s="31" t="n">
        <v>150</v>
      </c>
      <c r="M601" s="31">
        <f>I601+J601+K601+L601</f>
        <v/>
      </c>
      <c r="N601" s="31">
        <f>M601*'Dashboard &amp; Optimisation'!$B$18/('Dashboard &amp; Optimisation'!$B$16/3.6)</f>
        <v/>
      </c>
      <c r="O601" s="31" t="n">
        <v>670.8459403233218</v>
      </c>
      <c r="P601" s="32" t="n">
        <v>0.2306824590186666</v>
      </c>
      <c r="Q601" s="33" t="n">
        <v>17.05717713207346</v>
      </c>
      <c r="R601" s="31" t="n">
        <v>586.9830832144731</v>
      </c>
      <c r="S601" s="31">
        <f>R601*IF(A601=4, 2.0, 3.0)</f>
        <v/>
      </c>
      <c r="T601" s="30">
        <f>'Dashboard &amp; Optimisation'!$B$18*U601</f>
        <v/>
      </c>
      <c r="U601" s="34">
        <f>MIN(1, S601/M601)</f>
        <v/>
      </c>
      <c r="V601" s="34">
        <f>N601/(N601+O601)</f>
        <v/>
      </c>
      <c r="W601" s="34">
        <f>U601*V601</f>
        <v/>
      </c>
      <c r="X601" s="32">
        <f>T601/N601</f>
        <v/>
      </c>
      <c r="Y601" s="35">
        <f>IF(W601=MAXIFS(W$2:W$3601, A$2:A$3601, A601, B$2:B$3601, B601), "OPTIMAL", "")</f>
        <v/>
      </c>
    </row>
    <row r="602" ht="20" customHeight="1">
      <c r="A602" s="21" t="n">
        <v>4</v>
      </c>
      <c r="B602" s="21" t="n">
        <v>30</v>
      </c>
      <c r="C602" s="22" t="n">
        <v>110</v>
      </c>
      <c r="D602" s="22" t="n">
        <v>2</v>
      </c>
      <c r="E602" s="23" t="n">
        <v>0</v>
      </c>
      <c r="F602" s="22" t="n">
        <v>0</v>
      </c>
      <c r="G602" s="23" t="inlineStr">
        <is>
          <t>Oui</t>
        </is>
      </c>
      <c r="H602" s="23" t="inlineStr">
        <is>
          <t>ON</t>
        </is>
      </c>
      <c r="I602" s="24" t="n">
        <v>718.2417398266504</v>
      </c>
      <c r="J602" s="24" t="n">
        <v>2366.073881799197</v>
      </c>
      <c r="K602" s="24" t="n">
        <v>1847.222222222222</v>
      </c>
      <c r="L602" s="24" t="n">
        <v>150</v>
      </c>
      <c r="M602" s="24">
        <f>I602+J602+K602+L602</f>
        <v/>
      </c>
      <c r="N602" s="24">
        <f>M602*'Dashboard &amp; Optimisation'!$B$18/('Dashboard &amp; Optimisation'!$B$16/3.6)</f>
        <v/>
      </c>
      <c r="O602" s="24" t="n">
        <v>198.5921132850925</v>
      </c>
      <c r="P602" s="25" t="n">
        <v>0.4731529974868604</v>
      </c>
      <c r="Q602" s="26" t="n">
        <v>0.2</v>
      </c>
      <c r="R602" s="24" t="n">
        <v>229.0830800139583</v>
      </c>
      <c r="S602" s="24">
        <f>R602*IF(A602=4, 2.0, 3.0)</f>
        <v/>
      </c>
      <c r="T602" s="22">
        <f>'Dashboard &amp; Optimisation'!$B$18*U602</f>
        <v/>
      </c>
      <c r="U602" s="27">
        <f>MIN(1, S602/M602)</f>
        <v/>
      </c>
      <c r="V602" s="27">
        <f>N602/(N602+O602)</f>
        <v/>
      </c>
      <c r="W602" s="27">
        <f>U602*V602</f>
        <v/>
      </c>
      <c r="X602" s="25">
        <f>T602/N602</f>
        <v/>
      </c>
      <c r="Y602" s="28">
        <f>IF(W602=MAXIFS(W$2:W$3601, A$2:A$3601, A602, B$2:B$3601, B602), "OPTIMAL", "")</f>
        <v/>
      </c>
    </row>
    <row r="603" ht="20" customHeight="1">
      <c r="A603" s="29" t="n">
        <v>4</v>
      </c>
      <c r="B603" s="29" t="n">
        <v>30</v>
      </c>
      <c r="C603" s="30" t="n">
        <v>110</v>
      </c>
      <c r="D603" s="30" t="n">
        <v>2</v>
      </c>
      <c r="E603" s="6" t="n">
        <v>0</v>
      </c>
      <c r="F603" s="30" t="n">
        <v>0</v>
      </c>
      <c r="G603" s="6" t="inlineStr">
        <is>
          <t>Oui</t>
        </is>
      </c>
      <c r="H603" s="6" t="inlineStr">
        <is>
          <t>OFF</t>
        </is>
      </c>
      <c r="I603" s="31" t="n">
        <v>718.2417398266504</v>
      </c>
      <c r="J603" s="31" t="n">
        <v>2366.073881799197</v>
      </c>
      <c r="K603" s="31" t="n">
        <v>1847.222222222222</v>
      </c>
      <c r="L603" s="31" t="n">
        <v>150</v>
      </c>
      <c r="M603" s="31">
        <f>I603+J603+K603+L603</f>
        <v/>
      </c>
      <c r="N603" s="31">
        <f>M603*'Dashboard &amp; Optimisation'!$B$18/('Dashboard &amp; Optimisation'!$B$16/3.6)</f>
        <v/>
      </c>
      <c r="O603" s="31" t="n">
        <v>198.5921132850925</v>
      </c>
      <c r="P603" s="32" t="n">
        <v>0.7625256212903064</v>
      </c>
      <c r="Q603" s="33" t="n">
        <v>0.2</v>
      </c>
      <c r="R603" s="31" t="n">
        <v>142.1478084876839</v>
      </c>
      <c r="S603" s="31">
        <f>R603*IF(A603=4, 2.0, 3.0)</f>
        <v/>
      </c>
      <c r="T603" s="30">
        <f>'Dashboard &amp; Optimisation'!$B$18*U603</f>
        <v/>
      </c>
      <c r="U603" s="34">
        <f>MIN(1, S603/M603)</f>
        <v/>
      </c>
      <c r="V603" s="34">
        <f>N603/(N603+O603)</f>
        <v/>
      </c>
      <c r="W603" s="34">
        <f>U603*V603</f>
        <v/>
      </c>
      <c r="X603" s="32">
        <f>T603/N603</f>
        <v/>
      </c>
      <c r="Y603" s="35">
        <f>IF(W603=MAXIFS(W$2:W$3601, A$2:A$3601, A603, B$2:B$3601, B603), "OPTIMAL", "")</f>
        <v/>
      </c>
    </row>
    <row r="604" ht="20" customHeight="1">
      <c r="A604" s="21" t="n">
        <v>4</v>
      </c>
      <c r="B604" s="21" t="n">
        <v>30</v>
      </c>
      <c r="C604" s="22" t="n">
        <v>110</v>
      </c>
      <c r="D604" s="22" t="n">
        <v>2</v>
      </c>
      <c r="E604" s="23" t="n">
        <v>0</v>
      </c>
      <c r="F604" s="22" t="n">
        <v>0</v>
      </c>
      <c r="G604" s="23" t="inlineStr">
        <is>
          <t>Non</t>
        </is>
      </c>
      <c r="H604" s="23" t="inlineStr">
        <is>
          <t>ON</t>
        </is>
      </c>
      <c r="I604" s="24" t="n">
        <v>718.2417398266504</v>
      </c>
      <c r="J604" s="24" t="n">
        <v>2366.073881799197</v>
      </c>
      <c r="K604" s="24" t="n">
        <v>1847.222222222222</v>
      </c>
      <c r="L604" s="24" t="n">
        <v>150</v>
      </c>
      <c r="M604" s="24">
        <f>I604+J604+K604+L604</f>
        <v/>
      </c>
      <c r="N604" s="24">
        <f>M604*'Dashboard &amp; Optimisation'!$B$18/('Dashboard &amp; Optimisation'!$B$16/3.6)</f>
        <v/>
      </c>
      <c r="O604" s="24" t="n">
        <v>198.5921132850925</v>
      </c>
      <c r="P604" s="25" t="n">
        <v>0.4702592712488259</v>
      </c>
      <c r="Q604" s="26" t="n">
        <v>0.2</v>
      </c>
      <c r="R604" s="24" t="n">
        <v>230.4927358354495</v>
      </c>
      <c r="S604" s="24">
        <f>R604*IF(A604=4, 2.0, 3.0)</f>
        <v/>
      </c>
      <c r="T604" s="22">
        <f>'Dashboard &amp; Optimisation'!$B$18*U604</f>
        <v/>
      </c>
      <c r="U604" s="27">
        <f>MIN(1, S604/M604)</f>
        <v/>
      </c>
      <c r="V604" s="27">
        <f>N604/(N604+O604)</f>
        <v/>
      </c>
      <c r="W604" s="27">
        <f>U604*V604</f>
        <v/>
      </c>
      <c r="X604" s="25">
        <f>T604/N604</f>
        <v/>
      </c>
      <c r="Y604" s="28">
        <f>IF(W604=MAXIFS(W$2:W$3601, A$2:A$3601, A604, B$2:B$3601, B604), "OPTIMAL", "")</f>
        <v/>
      </c>
    </row>
    <row r="605" ht="20" customHeight="1">
      <c r="A605" s="29" t="n">
        <v>4</v>
      </c>
      <c r="B605" s="29" t="n">
        <v>30</v>
      </c>
      <c r="C605" s="30" t="n">
        <v>110</v>
      </c>
      <c r="D605" s="30" t="n">
        <v>2</v>
      </c>
      <c r="E605" s="6" t="n">
        <v>0</v>
      </c>
      <c r="F605" s="30" t="n">
        <v>0</v>
      </c>
      <c r="G605" s="6" t="inlineStr">
        <is>
          <t>Non</t>
        </is>
      </c>
      <c r="H605" s="6" t="inlineStr">
        <is>
          <t>OFF</t>
        </is>
      </c>
      <c r="I605" s="31" t="n">
        <v>718.2417398266504</v>
      </c>
      <c r="J605" s="31" t="n">
        <v>2366.073881799197</v>
      </c>
      <c r="K605" s="31" t="n">
        <v>1847.222222222222</v>
      </c>
      <c r="L605" s="31" t="n">
        <v>150</v>
      </c>
      <c r="M605" s="31">
        <f>I605+J605+K605+L605</f>
        <v/>
      </c>
      <c r="N605" s="31">
        <f>M605*'Dashboard &amp; Optimisation'!$B$18/('Dashboard &amp; Optimisation'!$B$16/3.6)</f>
        <v/>
      </c>
      <c r="O605" s="31" t="n">
        <v>198.5921132850925</v>
      </c>
      <c r="P605" s="32" t="n">
        <v>0.759631895052272</v>
      </c>
      <c r="Q605" s="33" t="n">
        <v>0.2</v>
      </c>
      <c r="R605" s="31" t="n">
        <v>142.6893034483077</v>
      </c>
      <c r="S605" s="31">
        <f>R605*IF(A605=4, 2.0, 3.0)</f>
        <v/>
      </c>
      <c r="T605" s="30">
        <f>'Dashboard &amp; Optimisation'!$B$18*U605</f>
        <v/>
      </c>
      <c r="U605" s="34">
        <f>MIN(1, S605/M605)</f>
        <v/>
      </c>
      <c r="V605" s="34">
        <f>N605/(N605+O605)</f>
        <v/>
      </c>
      <c r="W605" s="34">
        <f>U605*V605</f>
        <v/>
      </c>
      <c r="X605" s="32">
        <f>T605/N605</f>
        <v/>
      </c>
      <c r="Y605" s="35">
        <f>IF(W605=MAXIFS(W$2:W$3601, A$2:A$3601, A605, B$2:B$3601, B605), "OPTIMAL", "")</f>
        <v/>
      </c>
    </row>
    <row r="606" ht="20" customHeight="1">
      <c r="A606" s="21" t="n">
        <v>4</v>
      </c>
      <c r="B606" s="21" t="n">
        <v>30</v>
      </c>
      <c r="C606" s="22" t="n">
        <v>110</v>
      </c>
      <c r="D606" s="22" t="n">
        <v>2</v>
      </c>
      <c r="E606" s="23" t="n">
        <v>4</v>
      </c>
      <c r="F606" s="22" t="n">
        <v>1.5</v>
      </c>
      <c r="G606" s="23" t="inlineStr">
        <is>
          <t>Oui</t>
        </is>
      </c>
      <c r="H606" s="23" t="inlineStr">
        <is>
          <t>ON</t>
        </is>
      </c>
      <c r="I606" s="24" t="n">
        <v>718.2417398266504</v>
      </c>
      <c r="J606" s="24" t="n">
        <v>2366.073881799197</v>
      </c>
      <c r="K606" s="24" t="n">
        <v>1847.222222222222</v>
      </c>
      <c r="L606" s="24" t="n">
        <v>150</v>
      </c>
      <c r="M606" s="24">
        <f>I606+J606+K606+L606</f>
        <v/>
      </c>
      <c r="N606" s="24">
        <f>M606*'Dashboard &amp; Optimisation'!$B$18/('Dashboard &amp; Optimisation'!$B$16/3.6)</f>
        <v/>
      </c>
      <c r="O606" s="24" t="n">
        <v>308.2698823431833</v>
      </c>
      <c r="P606" s="25" t="n">
        <v>0.07062967612279852</v>
      </c>
      <c r="Q606" s="26" t="n">
        <v>6.103987745549313</v>
      </c>
      <c r="R606" s="24" t="n">
        <v>1580.197138322774</v>
      </c>
      <c r="S606" s="24">
        <f>R606*IF(A606=4, 2.0, 3.0)</f>
        <v/>
      </c>
      <c r="T606" s="22">
        <f>'Dashboard &amp; Optimisation'!$B$18*U606</f>
        <v/>
      </c>
      <c r="U606" s="27">
        <f>MIN(1, S606/M606)</f>
        <v/>
      </c>
      <c r="V606" s="27">
        <f>N606/(N606+O606)</f>
        <v/>
      </c>
      <c r="W606" s="27">
        <f>U606*V606</f>
        <v/>
      </c>
      <c r="X606" s="25">
        <f>T606/N606</f>
        <v/>
      </c>
      <c r="Y606" s="28">
        <f>IF(W606=MAXIFS(W$2:W$3601, A$2:A$3601, A606, B$2:B$3601, B606), "OPTIMAL", "")</f>
        <v/>
      </c>
    </row>
    <row r="607" ht="20" customHeight="1">
      <c r="A607" s="29" t="n">
        <v>4</v>
      </c>
      <c r="B607" s="29" t="n">
        <v>30</v>
      </c>
      <c r="C607" s="30" t="n">
        <v>110</v>
      </c>
      <c r="D607" s="30" t="n">
        <v>2</v>
      </c>
      <c r="E607" s="6" t="n">
        <v>4</v>
      </c>
      <c r="F607" s="30" t="n">
        <v>1.5</v>
      </c>
      <c r="G607" s="6" t="inlineStr">
        <is>
          <t>Oui</t>
        </is>
      </c>
      <c r="H607" s="6" t="inlineStr">
        <is>
          <t>OFF</t>
        </is>
      </c>
      <c r="I607" s="31" t="n">
        <v>718.2417398266504</v>
      </c>
      <c r="J607" s="31" t="n">
        <v>2366.073881799197</v>
      </c>
      <c r="K607" s="31" t="n">
        <v>1847.222222222222</v>
      </c>
      <c r="L607" s="31" t="n">
        <v>150</v>
      </c>
      <c r="M607" s="31">
        <f>I607+J607+K607+L607</f>
        <v/>
      </c>
      <c r="N607" s="31">
        <f>M607*'Dashboard &amp; Optimisation'!$B$18/('Dashboard &amp; Optimisation'!$B$16/3.6)</f>
        <v/>
      </c>
      <c r="O607" s="31" t="n">
        <v>308.2698823431833</v>
      </c>
      <c r="P607" s="32" t="n">
        <v>0.2882258985719243</v>
      </c>
      <c r="Q607" s="33" t="n">
        <v>6.103987745549313</v>
      </c>
      <c r="R607" s="31" t="n">
        <v>387.2268683796281</v>
      </c>
      <c r="S607" s="31">
        <f>R607*IF(A607=4, 2.0, 3.0)</f>
        <v/>
      </c>
      <c r="T607" s="30">
        <f>'Dashboard &amp; Optimisation'!$B$18*U607</f>
        <v/>
      </c>
      <c r="U607" s="34">
        <f>MIN(1, S607/M607)</f>
        <v/>
      </c>
      <c r="V607" s="34">
        <f>N607/(N607+O607)</f>
        <v/>
      </c>
      <c r="W607" s="34">
        <f>U607*V607</f>
        <v/>
      </c>
      <c r="X607" s="32">
        <f>T607/N607</f>
        <v/>
      </c>
      <c r="Y607" s="35">
        <f>IF(W607=MAXIFS(W$2:W$3601, A$2:A$3601, A607, B$2:B$3601, B607), "OPTIMAL", "")</f>
        <v/>
      </c>
    </row>
    <row r="608" ht="20" customHeight="1">
      <c r="A608" s="21" t="n">
        <v>4</v>
      </c>
      <c r="B608" s="21" t="n">
        <v>30</v>
      </c>
      <c r="C608" s="22" t="n">
        <v>110</v>
      </c>
      <c r="D608" s="22" t="n">
        <v>2</v>
      </c>
      <c r="E608" s="23" t="n">
        <v>4</v>
      </c>
      <c r="F608" s="22" t="n">
        <v>1.5</v>
      </c>
      <c r="G608" s="23" t="inlineStr">
        <is>
          <t>Non</t>
        </is>
      </c>
      <c r="H608" s="23" t="inlineStr">
        <is>
          <t>ON</t>
        </is>
      </c>
      <c r="I608" s="24" t="n">
        <v>718.2417398266504</v>
      </c>
      <c r="J608" s="24" t="n">
        <v>2366.073881799197</v>
      </c>
      <c r="K608" s="24" t="n">
        <v>1847.222222222222</v>
      </c>
      <c r="L608" s="24" t="n">
        <v>150</v>
      </c>
      <c r="M608" s="24">
        <f>I608+J608+K608+L608</f>
        <v/>
      </c>
      <c r="N608" s="24">
        <f>M608*'Dashboard &amp; Optimisation'!$B$18/('Dashboard &amp; Optimisation'!$B$16/3.6)</f>
        <v/>
      </c>
      <c r="O608" s="24" t="n">
        <v>308.2698823431833</v>
      </c>
      <c r="P608" s="25" t="n">
        <v>0.06773594988476406</v>
      </c>
      <c r="Q608" s="26" t="n">
        <v>6.103987745549313</v>
      </c>
      <c r="R608" s="24" t="n">
        <v>1647.704243902762</v>
      </c>
      <c r="S608" s="24">
        <f>R608*IF(A608=4, 2.0, 3.0)</f>
        <v/>
      </c>
      <c r="T608" s="22">
        <f>'Dashboard &amp; Optimisation'!$B$18*U608</f>
        <v/>
      </c>
      <c r="U608" s="27">
        <f>MIN(1, S608/M608)</f>
        <v/>
      </c>
      <c r="V608" s="27">
        <f>N608/(N608+O608)</f>
        <v/>
      </c>
      <c r="W608" s="27">
        <f>U608*V608</f>
        <v/>
      </c>
      <c r="X608" s="25">
        <f>T608/N608</f>
        <v/>
      </c>
      <c r="Y608" s="28">
        <f>IF(W608=MAXIFS(W$2:W$3601, A$2:A$3601, A608, B$2:B$3601, B608), "OPTIMAL", "")</f>
        <v/>
      </c>
    </row>
    <row r="609" ht="20" customHeight="1">
      <c r="A609" s="29" t="n">
        <v>4</v>
      </c>
      <c r="B609" s="29" t="n">
        <v>30</v>
      </c>
      <c r="C609" s="30" t="n">
        <v>110</v>
      </c>
      <c r="D609" s="30" t="n">
        <v>2</v>
      </c>
      <c r="E609" s="6" t="n">
        <v>4</v>
      </c>
      <c r="F609" s="30" t="n">
        <v>1.5</v>
      </c>
      <c r="G609" s="6" t="inlineStr">
        <is>
          <t>Non</t>
        </is>
      </c>
      <c r="H609" s="6" t="inlineStr">
        <is>
          <t>OFF</t>
        </is>
      </c>
      <c r="I609" s="31" t="n">
        <v>718.2417398266504</v>
      </c>
      <c r="J609" s="31" t="n">
        <v>2366.073881799197</v>
      </c>
      <c r="K609" s="31" t="n">
        <v>1847.222222222222</v>
      </c>
      <c r="L609" s="31" t="n">
        <v>150</v>
      </c>
      <c r="M609" s="31">
        <f>I609+J609+K609+L609</f>
        <v/>
      </c>
      <c r="N609" s="31">
        <f>M609*'Dashboard &amp; Optimisation'!$B$18/('Dashboard &amp; Optimisation'!$B$16/3.6)</f>
        <v/>
      </c>
      <c r="O609" s="31" t="n">
        <v>308.2698823431833</v>
      </c>
      <c r="P609" s="32" t="n">
        <v>0.2853321723338898</v>
      </c>
      <c r="Q609" s="33" t="n">
        <v>6.103987745549313</v>
      </c>
      <c r="R609" s="31" t="n">
        <v>391.1539703952776</v>
      </c>
      <c r="S609" s="31">
        <f>R609*IF(A609=4, 2.0, 3.0)</f>
        <v/>
      </c>
      <c r="T609" s="30">
        <f>'Dashboard &amp; Optimisation'!$B$18*U609</f>
        <v/>
      </c>
      <c r="U609" s="34">
        <f>MIN(1, S609/M609)</f>
        <v/>
      </c>
      <c r="V609" s="34">
        <f>N609/(N609+O609)</f>
        <v/>
      </c>
      <c r="W609" s="34">
        <f>U609*V609</f>
        <v/>
      </c>
      <c r="X609" s="32">
        <f>T609/N609</f>
        <v/>
      </c>
      <c r="Y609" s="35">
        <f>IF(W609=MAXIFS(W$2:W$3601, A$2:A$3601, A609, B$2:B$3601, B609), "OPTIMAL", "")</f>
        <v/>
      </c>
    </row>
    <row r="610" ht="20" customHeight="1">
      <c r="A610" s="21" t="n">
        <v>4</v>
      </c>
      <c r="B610" s="21" t="n">
        <v>30</v>
      </c>
      <c r="C610" s="22" t="n">
        <v>110</v>
      </c>
      <c r="D610" s="22" t="n">
        <v>2</v>
      </c>
      <c r="E610" s="23" t="n">
        <v>4</v>
      </c>
      <c r="F610" s="22" t="n">
        <v>2</v>
      </c>
      <c r="G610" s="23" t="inlineStr">
        <is>
          <t>Oui</t>
        </is>
      </c>
      <c r="H610" s="23" t="inlineStr">
        <is>
          <t>ON</t>
        </is>
      </c>
      <c r="I610" s="24" t="n">
        <v>718.2417398266504</v>
      </c>
      <c r="J610" s="24" t="n">
        <v>2366.073881799197</v>
      </c>
      <c r="K610" s="24" t="n">
        <v>1847.222222222222</v>
      </c>
      <c r="L610" s="24" t="n">
        <v>150</v>
      </c>
      <c r="M610" s="24">
        <f>I610+J610+K610+L610</f>
        <v/>
      </c>
      <c r="N610" s="24">
        <f>M610*'Dashboard &amp; Optimisation'!$B$18/('Dashboard &amp; Optimisation'!$B$16/3.6)</f>
        <v/>
      </c>
      <c r="O610" s="24" t="n">
        <v>346.2905552784814</v>
      </c>
      <c r="P610" s="25" t="n">
        <v>0.06762363614121064</v>
      </c>
      <c r="Q610" s="26" t="n">
        <v>8.071983660732418</v>
      </c>
      <c r="R610" s="24" t="n">
        <v>1666.934503916184</v>
      </c>
      <c r="S610" s="24">
        <f>R610*IF(A610=4, 2.0, 3.0)</f>
        <v/>
      </c>
      <c r="T610" s="22">
        <f>'Dashboard &amp; Optimisation'!$B$18*U610</f>
        <v/>
      </c>
      <c r="U610" s="27">
        <f>MIN(1, S610/M610)</f>
        <v/>
      </c>
      <c r="V610" s="27">
        <f>N610/(N610+O610)</f>
        <v/>
      </c>
      <c r="W610" s="27">
        <f>U610*V610</f>
        <v/>
      </c>
      <c r="X610" s="25">
        <f>T610/N610</f>
        <v/>
      </c>
      <c r="Y610" s="28">
        <f>IF(W610=MAXIFS(W$2:W$3601, A$2:A$3601, A610, B$2:B$3601, B610), "OPTIMAL", "")</f>
        <v/>
      </c>
    </row>
    <row r="611" ht="20" customHeight="1">
      <c r="A611" s="29" t="n">
        <v>4</v>
      </c>
      <c r="B611" s="29" t="n">
        <v>30</v>
      </c>
      <c r="C611" s="30" t="n">
        <v>110</v>
      </c>
      <c r="D611" s="30" t="n">
        <v>2</v>
      </c>
      <c r="E611" s="6" t="n">
        <v>4</v>
      </c>
      <c r="F611" s="30" t="n">
        <v>2</v>
      </c>
      <c r="G611" s="6" t="inlineStr">
        <is>
          <t>Oui</t>
        </is>
      </c>
      <c r="H611" s="6" t="inlineStr">
        <is>
          <t>OFF</t>
        </is>
      </c>
      <c r="I611" s="31" t="n">
        <v>718.2417398266504</v>
      </c>
      <c r="J611" s="31" t="n">
        <v>2366.073881799197</v>
      </c>
      <c r="K611" s="31" t="n">
        <v>1847.222222222222</v>
      </c>
      <c r="L611" s="31" t="n">
        <v>150</v>
      </c>
      <c r="M611" s="31">
        <f>I611+J611+K611+L611</f>
        <v/>
      </c>
      <c r="N611" s="31">
        <f>M611*'Dashboard &amp; Optimisation'!$B$18/('Dashboard &amp; Optimisation'!$B$16/3.6)</f>
        <v/>
      </c>
      <c r="O611" s="31" t="n">
        <v>346.2905552784814</v>
      </c>
      <c r="P611" s="32" t="n">
        <v>0.2861692165887991</v>
      </c>
      <c r="Q611" s="33" t="n">
        <v>8.071983660732418</v>
      </c>
      <c r="R611" s="31" t="n">
        <v>393.9074010396883</v>
      </c>
      <c r="S611" s="31">
        <f>R611*IF(A611=4, 2.0, 3.0)</f>
        <v/>
      </c>
      <c r="T611" s="30">
        <f>'Dashboard &amp; Optimisation'!$B$18*U611</f>
        <v/>
      </c>
      <c r="U611" s="34">
        <f>MIN(1, S611/M611)</f>
        <v/>
      </c>
      <c r="V611" s="34">
        <f>N611/(N611+O611)</f>
        <v/>
      </c>
      <c r="W611" s="34">
        <f>U611*V611</f>
        <v/>
      </c>
      <c r="X611" s="32">
        <f>T611/N611</f>
        <v/>
      </c>
      <c r="Y611" s="35">
        <f>IF(W611=MAXIFS(W$2:W$3601, A$2:A$3601, A611, B$2:B$3601, B611), "OPTIMAL", "")</f>
        <v/>
      </c>
    </row>
    <row r="612" ht="20" customHeight="1">
      <c r="A612" s="21" t="n">
        <v>4</v>
      </c>
      <c r="B612" s="21" t="n">
        <v>30</v>
      </c>
      <c r="C612" s="22" t="n">
        <v>110</v>
      </c>
      <c r="D612" s="22" t="n">
        <v>2</v>
      </c>
      <c r="E612" s="23" t="n">
        <v>4</v>
      </c>
      <c r="F612" s="22" t="n">
        <v>2</v>
      </c>
      <c r="G612" s="23" t="inlineStr">
        <is>
          <t>Non</t>
        </is>
      </c>
      <c r="H612" s="23" t="inlineStr">
        <is>
          <t>ON</t>
        </is>
      </c>
      <c r="I612" s="24" t="n">
        <v>718.2417398266504</v>
      </c>
      <c r="J612" s="24" t="n">
        <v>2366.073881799197</v>
      </c>
      <c r="K612" s="24" t="n">
        <v>1847.222222222222</v>
      </c>
      <c r="L612" s="24" t="n">
        <v>150</v>
      </c>
      <c r="M612" s="24">
        <f>I612+J612+K612+L612</f>
        <v/>
      </c>
      <c r="N612" s="24">
        <f>M612*'Dashboard &amp; Optimisation'!$B$18/('Dashboard &amp; Optimisation'!$B$16/3.6)</f>
        <v/>
      </c>
      <c r="O612" s="24" t="n">
        <v>346.2905552784814</v>
      </c>
      <c r="P612" s="25" t="n">
        <v>0.06472990990317617</v>
      </c>
      <c r="Q612" s="26" t="n">
        <v>8.071983660732418</v>
      </c>
      <c r="R612" s="24" t="n">
        <v>1741.454182968457</v>
      </c>
      <c r="S612" s="24">
        <f>R612*IF(A612=4, 2.0, 3.0)</f>
        <v/>
      </c>
      <c r="T612" s="22">
        <f>'Dashboard &amp; Optimisation'!$B$18*U612</f>
        <v/>
      </c>
      <c r="U612" s="27">
        <f>MIN(1, S612/M612)</f>
        <v/>
      </c>
      <c r="V612" s="27">
        <f>N612/(N612+O612)</f>
        <v/>
      </c>
      <c r="W612" s="27">
        <f>U612*V612</f>
        <v/>
      </c>
      <c r="X612" s="25">
        <f>T612/N612</f>
        <v/>
      </c>
      <c r="Y612" s="28">
        <f>IF(W612=MAXIFS(W$2:W$3601, A$2:A$3601, A612, B$2:B$3601, B612), "OPTIMAL", "")</f>
        <v/>
      </c>
    </row>
    <row r="613" ht="20" customHeight="1">
      <c r="A613" s="29" t="n">
        <v>4</v>
      </c>
      <c r="B613" s="29" t="n">
        <v>30</v>
      </c>
      <c r="C613" s="30" t="n">
        <v>110</v>
      </c>
      <c r="D613" s="30" t="n">
        <v>2</v>
      </c>
      <c r="E613" s="6" t="n">
        <v>4</v>
      </c>
      <c r="F613" s="30" t="n">
        <v>2</v>
      </c>
      <c r="G613" s="6" t="inlineStr">
        <is>
          <t>Non</t>
        </is>
      </c>
      <c r="H613" s="6" t="inlineStr">
        <is>
          <t>OFF</t>
        </is>
      </c>
      <c r="I613" s="31" t="n">
        <v>718.2417398266504</v>
      </c>
      <c r="J613" s="31" t="n">
        <v>2366.073881799197</v>
      </c>
      <c r="K613" s="31" t="n">
        <v>1847.222222222222</v>
      </c>
      <c r="L613" s="31" t="n">
        <v>150</v>
      </c>
      <c r="M613" s="31">
        <f>I613+J613+K613+L613</f>
        <v/>
      </c>
      <c r="N613" s="31">
        <f>M613*'Dashboard &amp; Optimisation'!$B$18/('Dashboard &amp; Optimisation'!$B$16/3.6)</f>
        <v/>
      </c>
      <c r="O613" s="31" t="n">
        <v>346.2905552784814</v>
      </c>
      <c r="P613" s="32" t="n">
        <v>0.2832754903507647</v>
      </c>
      <c r="Q613" s="33" t="n">
        <v>8.071983660732418</v>
      </c>
      <c r="R613" s="31" t="n">
        <v>397.9312584526014</v>
      </c>
      <c r="S613" s="31">
        <f>R613*IF(A613=4, 2.0, 3.0)</f>
        <v/>
      </c>
      <c r="T613" s="30">
        <f>'Dashboard &amp; Optimisation'!$B$18*U613</f>
        <v/>
      </c>
      <c r="U613" s="34">
        <f>MIN(1, S613/M613)</f>
        <v/>
      </c>
      <c r="V613" s="34">
        <f>N613/(N613+O613)</f>
        <v/>
      </c>
      <c r="W613" s="34">
        <f>U613*V613</f>
        <v/>
      </c>
      <c r="X613" s="32">
        <f>T613/N613</f>
        <v/>
      </c>
      <c r="Y613" s="35">
        <f>IF(W613=MAXIFS(W$2:W$3601, A$2:A$3601, A613, B$2:B$3601, B613), "OPTIMAL", "")</f>
        <v/>
      </c>
    </row>
    <row r="614" ht="20" customHeight="1">
      <c r="A614" s="21" t="n">
        <v>4</v>
      </c>
      <c r="B614" s="21" t="n">
        <v>30</v>
      </c>
      <c r="C614" s="22" t="n">
        <v>110</v>
      </c>
      <c r="D614" s="22" t="n">
        <v>2</v>
      </c>
      <c r="E614" s="23" t="n">
        <v>8</v>
      </c>
      <c r="F614" s="22" t="n">
        <v>1.5</v>
      </c>
      <c r="G614" s="23" t="inlineStr">
        <is>
          <t>Oui</t>
        </is>
      </c>
      <c r="H614" s="23" t="inlineStr">
        <is>
          <t>ON</t>
        </is>
      </c>
      <c r="I614" s="24" t="n">
        <v>718.2417398266504</v>
      </c>
      <c r="J614" s="24" t="n">
        <v>2366.073881799197</v>
      </c>
      <c r="K614" s="24" t="n">
        <v>1847.222222222222</v>
      </c>
      <c r="L614" s="24" t="n">
        <v>150</v>
      </c>
      <c r="M614" s="24">
        <f>I614+J614+K614+L614</f>
        <v/>
      </c>
      <c r="N614" s="24">
        <f>M614*'Dashboard &amp; Optimisation'!$B$18/('Dashboard &amp; Optimisation'!$B$16/3.6)</f>
        <v/>
      </c>
      <c r="O614" s="24" t="n">
        <v>424.6581484399565</v>
      </c>
      <c r="P614" s="25" t="n">
        <v>0.05348631453507773</v>
      </c>
      <c r="Q614" s="26" t="n">
        <v>12.00797549109863</v>
      </c>
      <c r="R614" s="24" t="n">
        <v>2150.515245529257</v>
      </c>
      <c r="S614" s="24">
        <f>R614*IF(A614=4, 2.0, 3.0)</f>
        <v/>
      </c>
      <c r="T614" s="22">
        <f>'Dashboard &amp; Optimisation'!$B$18*U614</f>
        <v/>
      </c>
      <c r="U614" s="27">
        <f>MIN(1, S614/M614)</f>
        <v/>
      </c>
      <c r="V614" s="27">
        <f>N614/(N614+O614)</f>
        <v/>
      </c>
      <c r="W614" s="27">
        <f>U614*V614</f>
        <v/>
      </c>
      <c r="X614" s="25">
        <f>T614/N614</f>
        <v/>
      </c>
      <c r="Y614" s="28">
        <f>IF(W614=MAXIFS(W$2:W$3601, A$2:A$3601, A614, B$2:B$3601, B614), "OPTIMAL", "")</f>
        <v/>
      </c>
    </row>
    <row r="615" ht="20" customHeight="1">
      <c r="A615" s="29" t="n">
        <v>4</v>
      </c>
      <c r="B615" s="29" t="n">
        <v>30</v>
      </c>
      <c r="C615" s="30" t="n">
        <v>110</v>
      </c>
      <c r="D615" s="30" t="n">
        <v>2</v>
      </c>
      <c r="E615" s="6" t="n">
        <v>8</v>
      </c>
      <c r="F615" s="30" t="n">
        <v>1.5</v>
      </c>
      <c r="G615" s="6" t="inlineStr">
        <is>
          <t>Oui</t>
        </is>
      </c>
      <c r="H615" s="6" t="inlineStr">
        <is>
          <t>OFF</t>
        </is>
      </c>
      <c r="I615" s="31" t="n">
        <v>718.2417398266504</v>
      </c>
      <c r="J615" s="31" t="n">
        <v>2366.073881799197</v>
      </c>
      <c r="K615" s="31" t="n">
        <v>1847.222222222222</v>
      </c>
      <c r="L615" s="31" t="n">
        <v>150</v>
      </c>
      <c r="M615" s="31">
        <f>I615+J615+K615+L615</f>
        <v/>
      </c>
      <c r="N615" s="31">
        <f>M615*'Dashboard &amp; Optimisation'!$B$18/('Dashboard &amp; Optimisation'!$B$16/3.6)</f>
        <v/>
      </c>
      <c r="O615" s="31" t="n">
        <v>424.6581484399565</v>
      </c>
      <c r="P615" s="32" t="n">
        <v>0.2278356335097701</v>
      </c>
      <c r="Q615" s="33" t="n">
        <v>12.00797549109863</v>
      </c>
      <c r="R615" s="31" t="n">
        <v>504.8513837056367</v>
      </c>
      <c r="S615" s="31">
        <f>R615*IF(A615=4, 2.0, 3.0)</f>
        <v/>
      </c>
      <c r="T615" s="30">
        <f>'Dashboard &amp; Optimisation'!$B$18*U615</f>
        <v/>
      </c>
      <c r="U615" s="34">
        <f>MIN(1, S615/M615)</f>
        <v/>
      </c>
      <c r="V615" s="34">
        <f>N615/(N615+O615)</f>
        <v/>
      </c>
      <c r="W615" s="34">
        <f>U615*V615</f>
        <v/>
      </c>
      <c r="X615" s="32">
        <f>T615/N615</f>
        <v/>
      </c>
      <c r="Y615" s="35">
        <f>IF(W615=MAXIFS(W$2:W$3601, A$2:A$3601, A615, B$2:B$3601, B615), "OPTIMAL", "")</f>
        <v/>
      </c>
    </row>
    <row r="616" ht="20" customHeight="1">
      <c r="A616" s="21" t="n">
        <v>4</v>
      </c>
      <c r="B616" s="21" t="n">
        <v>30</v>
      </c>
      <c r="C616" s="22" t="n">
        <v>110</v>
      </c>
      <c r="D616" s="22" t="n">
        <v>2</v>
      </c>
      <c r="E616" s="23" t="n">
        <v>8</v>
      </c>
      <c r="F616" s="22" t="n">
        <v>1.5</v>
      </c>
      <c r="G616" s="23" t="inlineStr">
        <is>
          <t>Non</t>
        </is>
      </c>
      <c r="H616" s="23" t="inlineStr">
        <is>
          <t>ON</t>
        </is>
      </c>
      <c r="I616" s="24" t="n">
        <v>718.2417398266504</v>
      </c>
      <c r="J616" s="24" t="n">
        <v>2366.073881799197</v>
      </c>
      <c r="K616" s="24" t="n">
        <v>1847.222222222222</v>
      </c>
      <c r="L616" s="24" t="n">
        <v>150</v>
      </c>
      <c r="M616" s="24">
        <f>I616+J616+K616+L616</f>
        <v/>
      </c>
      <c r="N616" s="24">
        <f>M616*'Dashboard &amp; Optimisation'!$B$18/('Dashboard &amp; Optimisation'!$B$16/3.6)</f>
        <v/>
      </c>
      <c r="O616" s="24" t="n">
        <v>424.6581484399565</v>
      </c>
      <c r="P616" s="25" t="n">
        <v>0.05059258829704327</v>
      </c>
      <c r="Q616" s="26" t="n">
        <v>12.00797549109863</v>
      </c>
      <c r="R616" s="24" t="n">
        <v>2273.517499431432</v>
      </c>
      <c r="S616" s="24">
        <f>R616*IF(A616=4, 2.0, 3.0)</f>
        <v/>
      </c>
      <c r="T616" s="22">
        <f>'Dashboard &amp; Optimisation'!$B$18*U616</f>
        <v/>
      </c>
      <c r="U616" s="27">
        <f>MIN(1, S616/M616)</f>
        <v/>
      </c>
      <c r="V616" s="27">
        <f>N616/(N616+O616)</f>
        <v/>
      </c>
      <c r="W616" s="27">
        <f>U616*V616</f>
        <v/>
      </c>
      <c r="X616" s="25">
        <f>T616/N616</f>
        <v/>
      </c>
      <c r="Y616" s="28">
        <f>IF(W616=MAXIFS(W$2:W$3601, A$2:A$3601, A616, B$2:B$3601, B616), "OPTIMAL", "")</f>
        <v/>
      </c>
    </row>
    <row r="617" ht="20" customHeight="1">
      <c r="A617" s="29" t="n">
        <v>4</v>
      </c>
      <c r="B617" s="29" t="n">
        <v>30</v>
      </c>
      <c r="C617" s="30" t="n">
        <v>110</v>
      </c>
      <c r="D617" s="30" t="n">
        <v>2</v>
      </c>
      <c r="E617" s="6" t="n">
        <v>8</v>
      </c>
      <c r="F617" s="30" t="n">
        <v>1.5</v>
      </c>
      <c r="G617" s="6" t="inlineStr">
        <is>
          <t>Non</t>
        </is>
      </c>
      <c r="H617" s="6" t="inlineStr">
        <is>
          <t>OFF</t>
        </is>
      </c>
      <c r="I617" s="31" t="n">
        <v>718.2417398266504</v>
      </c>
      <c r="J617" s="31" t="n">
        <v>2366.073881799197</v>
      </c>
      <c r="K617" s="31" t="n">
        <v>1847.222222222222</v>
      </c>
      <c r="L617" s="31" t="n">
        <v>150</v>
      </c>
      <c r="M617" s="31">
        <f>I617+J617+K617+L617</f>
        <v/>
      </c>
      <c r="N617" s="31">
        <f>M617*'Dashboard &amp; Optimisation'!$B$18/('Dashboard &amp; Optimisation'!$B$16/3.6)</f>
        <v/>
      </c>
      <c r="O617" s="31" t="n">
        <v>424.6581484399565</v>
      </c>
      <c r="P617" s="32" t="n">
        <v>0.2249419072717356</v>
      </c>
      <c r="Q617" s="33" t="n">
        <v>12.00797549109863</v>
      </c>
      <c r="R617" s="31" t="n">
        <v>511.3459569625986</v>
      </c>
      <c r="S617" s="31">
        <f>R617*IF(A617=4, 2.0, 3.0)</f>
        <v/>
      </c>
      <c r="T617" s="30">
        <f>'Dashboard &amp; Optimisation'!$B$18*U617</f>
        <v/>
      </c>
      <c r="U617" s="34">
        <f>MIN(1, S617/M617)</f>
        <v/>
      </c>
      <c r="V617" s="34">
        <f>N617/(N617+O617)</f>
        <v/>
      </c>
      <c r="W617" s="34">
        <f>U617*V617</f>
        <v/>
      </c>
      <c r="X617" s="32">
        <f>T617/N617</f>
        <v/>
      </c>
      <c r="Y617" s="35">
        <f>IF(W617=MAXIFS(W$2:W$3601, A$2:A$3601, A617, B$2:B$3601, B617), "OPTIMAL", "")</f>
        <v/>
      </c>
    </row>
    <row r="618" ht="20" customHeight="1">
      <c r="A618" s="21" t="n">
        <v>4</v>
      </c>
      <c r="B618" s="21" t="n">
        <v>30</v>
      </c>
      <c r="C618" s="22" t="n">
        <v>110</v>
      </c>
      <c r="D618" s="22" t="n">
        <v>2</v>
      </c>
      <c r="E618" s="23" t="n">
        <v>8</v>
      </c>
      <c r="F618" s="22" t="n">
        <v>2</v>
      </c>
      <c r="G618" s="23" t="inlineStr">
        <is>
          <t>Oui</t>
        </is>
      </c>
      <c r="H618" s="23" t="inlineStr">
        <is>
          <t>ON</t>
        </is>
      </c>
      <c r="I618" s="24" t="n">
        <v>718.2417398266504</v>
      </c>
      <c r="J618" s="24" t="n">
        <v>2366.073881799197</v>
      </c>
      <c r="K618" s="24" t="n">
        <v>1847.222222222222</v>
      </c>
      <c r="L618" s="24" t="n">
        <v>150</v>
      </c>
      <c r="M618" s="24">
        <f>I618+J618+K618+L618</f>
        <v/>
      </c>
      <c r="N618" s="24">
        <f>M618*'Dashboard &amp; Optimisation'!$B$18/('Dashboard &amp; Optimisation'!$B$16/3.6)</f>
        <v/>
      </c>
      <c r="O618" s="24" t="n">
        <v>506.2888398700124</v>
      </c>
      <c r="P618" s="25" t="n">
        <v>0.05207352280953786</v>
      </c>
      <c r="Q618" s="26" t="n">
        <v>15.94396732146484</v>
      </c>
      <c r="R618" s="24" t="n">
        <v>2254.846916509401</v>
      </c>
      <c r="S618" s="24">
        <f>R618*IF(A618=4, 2.0, 3.0)</f>
        <v/>
      </c>
      <c r="T618" s="22">
        <f>'Dashboard &amp; Optimisation'!$B$18*U618</f>
        <v/>
      </c>
      <c r="U618" s="27">
        <f>MIN(1, S618/M618)</f>
        <v/>
      </c>
      <c r="V618" s="27">
        <f>N618/(N618+O618)</f>
        <v/>
      </c>
      <c r="W618" s="27">
        <f>U618*V618</f>
        <v/>
      </c>
      <c r="X618" s="25">
        <f>T618/N618</f>
        <v/>
      </c>
      <c r="Y618" s="28">
        <f>IF(W618=MAXIFS(W$2:W$3601, A$2:A$3601, A618, B$2:B$3601, B618), "OPTIMAL", "")</f>
        <v/>
      </c>
    </row>
    <row r="619" ht="20" customHeight="1">
      <c r="A619" s="29" t="n">
        <v>4</v>
      </c>
      <c r="B619" s="29" t="n">
        <v>30</v>
      </c>
      <c r="C619" s="30" t="n">
        <v>110</v>
      </c>
      <c r="D619" s="30" t="n">
        <v>2</v>
      </c>
      <c r="E619" s="6" t="n">
        <v>8</v>
      </c>
      <c r="F619" s="30" t="n">
        <v>2</v>
      </c>
      <c r="G619" s="6" t="inlineStr">
        <is>
          <t>Oui</t>
        </is>
      </c>
      <c r="H619" s="6" t="inlineStr">
        <is>
          <t>OFF</t>
        </is>
      </c>
      <c r="I619" s="31" t="n">
        <v>718.2417398266504</v>
      </c>
      <c r="J619" s="31" t="n">
        <v>2366.073881799197</v>
      </c>
      <c r="K619" s="31" t="n">
        <v>1847.222222222222</v>
      </c>
      <c r="L619" s="31" t="n">
        <v>150</v>
      </c>
      <c r="M619" s="31">
        <f>I619+J619+K619+L619</f>
        <v/>
      </c>
      <c r="N619" s="31">
        <f>M619*'Dashboard &amp; Optimisation'!$B$18/('Dashboard &amp; Optimisation'!$B$16/3.6)</f>
        <v/>
      </c>
      <c r="O619" s="31" t="n">
        <v>506.2888398700124</v>
      </c>
      <c r="P619" s="32" t="n">
        <v>0.2276454001773911</v>
      </c>
      <c r="Q619" s="33" t="n">
        <v>15.94396732146484</v>
      </c>
      <c r="R619" s="31" t="n">
        <v>515.7926417462044</v>
      </c>
      <c r="S619" s="31">
        <f>R619*IF(A619=4, 2.0, 3.0)</f>
        <v/>
      </c>
      <c r="T619" s="30">
        <f>'Dashboard &amp; Optimisation'!$B$18*U619</f>
        <v/>
      </c>
      <c r="U619" s="34">
        <f>MIN(1, S619/M619)</f>
        <v/>
      </c>
      <c r="V619" s="34">
        <f>N619/(N619+O619)</f>
        <v/>
      </c>
      <c r="W619" s="34">
        <f>U619*V619</f>
        <v/>
      </c>
      <c r="X619" s="32">
        <f>T619/N619</f>
        <v/>
      </c>
      <c r="Y619" s="35">
        <f>IF(W619=MAXIFS(W$2:W$3601, A$2:A$3601, A619, B$2:B$3601, B619), "OPTIMAL", "")</f>
        <v/>
      </c>
    </row>
    <row r="620" ht="20" customHeight="1">
      <c r="A620" s="21" t="n">
        <v>4</v>
      </c>
      <c r="B620" s="21" t="n">
        <v>30</v>
      </c>
      <c r="C620" s="22" t="n">
        <v>110</v>
      </c>
      <c r="D620" s="22" t="n">
        <v>2</v>
      </c>
      <c r="E620" s="23" t="n">
        <v>8</v>
      </c>
      <c r="F620" s="22" t="n">
        <v>2</v>
      </c>
      <c r="G620" s="23" t="inlineStr">
        <is>
          <t>Non</t>
        </is>
      </c>
      <c r="H620" s="23" t="inlineStr">
        <is>
          <t>ON</t>
        </is>
      </c>
      <c r="I620" s="24" t="n">
        <v>718.2417398266504</v>
      </c>
      <c r="J620" s="24" t="n">
        <v>2366.073881799197</v>
      </c>
      <c r="K620" s="24" t="n">
        <v>1847.222222222222</v>
      </c>
      <c r="L620" s="24" t="n">
        <v>150</v>
      </c>
      <c r="M620" s="24">
        <f>I620+J620+K620+L620</f>
        <v/>
      </c>
      <c r="N620" s="24">
        <f>M620*'Dashboard &amp; Optimisation'!$B$18/('Dashboard &amp; Optimisation'!$B$16/3.6)</f>
        <v/>
      </c>
      <c r="O620" s="24" t="n">
        <v>506.2888398700124</v>
      </c>
      <c r="P620" s="25" t="n">
        <v>0.0491797965715034</v>
      </c>
      <c r="Q620" s="26" t="n">
        <v>15.94396732146484</v>
      </c>
      <c r="R620" s="24" t="n">
        <v>2387.521513395292</v>
      </c>
      <c r="S620" s="24">
        <f>R620*IF(A620=4, 2.0, 3.0)</f>
        <v/>
      </c>
      <c r="T620" s="22">
        <f>'Dashboard &amp; Optimisation'!$B$18*U620</f>
        <v/>
      </c>
      <c r="U620" s="27">
        <f>MIN(1, S620/M620)</f>
        <v/>
      </c>
      <c r="V620" s="27">
        <f>N620/(N620+O620)</f>
        <v/>
      </c>
      <c r="W620" s="27">
        <f>U620*V620</f>
        <v/>
      </c>
      <c r="X620" s="25">
        <f>T620/N620</f>
        <v/>
      </c>
      <c r="Y620" s="28">
        <f>IF(W620=MAXIFS(W$2:W$3601, A$2:A$3601, A620, B$2:B$3601, B620), "OPTIMAL", "")</f>
        <v/>
      </c>
    </row>
    <row r="621" ht="20" customHeight="1">
      <c r="A621" s="29" t="n">
        <v>4</v>
      </c>
      <c r="B621" s="29" t="n">
        <v>30</v>
      </c>
      <c r="C621" s="30" t="n">
        <v>110</v>
      </c>
      <c r="D621" s="30" t="n">
        <v>2</v>
      </c>
      <c r="E621" s="6" t="n">
        <v>8</v>
      </c>
      <c r="F621" s="30" t="n">
        <v>2</v>
      </c>
      <c r="G621" s="6" t="inlineStr">
        <is>
          <t>Non</t>
        </is>
      </c>
      <c r="H621" s="6" t="inlineStr">
        <is>
          <t>OFF</t>
        </is>
      </c>
      <c r="I621" s="31" t="n">
        <v>718.2417398266504</v>
      </c>
      <c r="J621" s="31" t="n">
        <v>2366.073881799197</v>
      </c>
      <c r="K621" s="31" t="n">
        <v>1847.222222222222</v>
      </c>
      <c r="L621" s="31" t="n">
        <v>150</v>
      </c>
      <c r="M621" s="31">
        <f>I621+J621+K621+L621</f>
        <v/>
      </c>
      <c r="N621" s="31">
        <f>M621*'Dashboard &amp; Optimisation'!$B$18/('Dashboard &amp; Optimisation'!$B$16/3.6)</f>
        <v/>
      </c>
      <c r="O621" s="31" t="n">
        <v>506.2888398700124</v>
      </c>
      <c r="P621" s="32" t="n">
        <v>0.2247516739393566</v>
      </c>
      <c r="Q621" s="33" t="n">
        <v>15.94396732146484</v>
      </c>
      <c r="R621" s="31" t="n">
        <v>522.4335831667734</v>
      </c>
      <c r="S621" s="31">
        <f>R621*IF(A621=4, 2.0, 3.0)</f>
        <v/>
      </c>
      <c r="T621" s="30">
        <f>'Dashboard &amp; Optimisation'!$B$18*U621</f>
        <v/>
      </c>
      <c r="U621" s="34">
        <f>MIN(1, S621/M621)</f>
        <v/>
      </c>
      <c r="V621" s="34">
        <f>N621/(N621+O621)</f>
        <v/>
      </c>
      <c r="W621" s="34">
        <f>U621*V621</f>
        <v/>
      </c>
      <c r="X621" s="32">
        <f>T621/N621</f>
        <v/>
      </c>
      <c r="Y621" s="35">
        <f>IF(W621=MAXIFS(W$2:W$3601, A$2:A$3601, A621, B$2:B$3601, B621), "OPTIMAL", "")</f>
        <v/>
      </c>
    </row>
    <row r="622" ht="20" customHeight="1">
      <c r="A622" s="21" t="n">
        <v>4</v>
      </c>
      <c r="B622" s="21" t="n">
        <v>30</v>
      </c>
      <c r="C622" s="22" t="n">
        <v>110</v>
      </c>
      <c r="D622" s="22" t="n">
        <v>3</v>
      </c>
      <c r="E622" s="23" t="n">
        <v>0</v>
      </c>
      <c r="F622" s="22" t="n">
        <v>0</v>
      </c>
      <c r="G622" s="23" t="inlineStr">
        <is>
          <t>Oui</t>
        </is>
      </c>
      <c r="H622" s="23" t="inlineStr">
        <is>
          <t>ON</t>
        </is>
      </c>
      <c r="I622" s="24" t="n">
        <v>718.2417398266504</v>
      </c>
      <c r="J622" s="24" t="n">
        <v>2366.073881799197</v>
      </c>
      <c r="K622" s="24" t="n">
        <v>1847.222222222222</v>
      </c>
      <c r="L622" s="24" t="n">
        <v>150</v>
      </c>
      <c r="M622" s="24">
        <f>I622+J622+K622+L622</f>
        <v/>
      </c>
      <c r="N622" s="24">
        <f>M622*'Dashboard &amp; Optimisation'!$B$18/('Dashboard &amp; Optimisation'!$B$16/3.6)</f>
        <v/>
      </c>
      <c r="O622" s="24" t="n">
        <v>306.5902435964583</v>
      </c>
      <c r="P622" s="25" t="n">
        <v>0.4731677858497217</v>
      </c>
      <c r="Q622" s="26" t="n">
        <v>0.2</v>
      </c>
      <c r="R622" s="24" t="n">
        <v>237.9712500064915</v>
      </c>
      <c r="S622" s="24">
        <f>R622*IF(A622=4, 2.0, 3.0)</f>
        <v/>
      </c>
      <c r="T622" s="22">
        <f>'Dashboard &amp; Optimisation'!$B$18*U622</f>
        <v/>
      </c>
      <c r="U622" s="27">
        <f>MIN(1, S622/M622)</f>
        <v/>
      </c>
      <c r="V622" s="27">
        <f>N622/(N622+O622)</f>
        <v/>
      </c>
      <c r="W622" s="27">
        <f>U622*V622</f>
        <v/>
      </c>
      <c r="X622" s="25">
        <f>T622/N622</f>
        <v/>
      </c>
      <c r="Y622" s="28">
        <f>IF(W622=MAXIFS(W$2:W$3601, A$2:A$3601, A622, B$2:B$3601, B622), "OPTIMAL", "")</f>
        <v/>
      </c>
    </row>
    <row r="623" ht="20" customHeight="1">
      <c r="A623" s="29" t="n">
        <v>4</v>
      </c>
      <c r="B623" s="29" t="n">
        <v>30</v>
      </c>
      <c r="C623" s="30" t="n">
        <v>110</v>
      </c>
      <c r="D623" s="30" t="n">
        <v>3</v>
      </c>
      <c r="E623" s="6" t="n">
        <v>0</v>
      </c>
      <c r="F623" s="30" t="n">
        <v>0</v>
      </c>
      <c r="G623" s="6" t="inlineStr">
        <is>
          <t>Oui</t>
        </is>
      </c>
      <c r="H623" s="6" t="inlineStr">
        <is>
          <t>OFF</t>
        </is>
      </c>
      <c r="I623" s="31" t="n">
        <v>718.2417398266504</v>
      </c>
      <c r="J623" s="31" t="n">
        <v>2366.073881799197</v>
      </c>
      <c r="K623" s="31" t="n">
        <v>1847.222222222222</v>
      </c>
      <c r="L623" s="31" t="n">
        <v>150</v>
      </c>
      <c r="M623" s="31">
        <f>I623+J623+K623+L623</f>
        <v/>
      </c>
      <c r="N623" s="31">
        <f>M623*'Dashboard &amp; Optimisation'!$B$18/('Dashboard &amp; Optimisation'!$B$16/3.6)</f>
        <v/>
      </c>
      <c r="O623" s="31" t="n">
        <v>306.5902435964583</v>
      </c>
      <c r="P623" s="32" t="n">
        <v>0.7625404096531678</v>
      </c>
      <c r="Q623" s="33" t="n">
        <v>0.2</v>
      </c>
      <c r="R623" s="31" t="n">
        <v>147.6647375483708</v>
      </c>
      <c r="S623" s="31">
        <f>R623*IF(A623=4, 2.0, 3.0)</f>
        <v/>
      </c>
      <c r="T623" s="30">
        <f>'Dashboard &amp; Optimisation'!$B$18*U623</f>
        <v/>
      </c>
      <c r="U623" s="34">
        <f>MIN(1, S623/M623)</f>
        <v/>
      </c>
      <c r="V623" s="34">
        <f>N623/(N623+O623)</f>
        <v/>
      </c>
      <c r="W623" s="34">
        <f>U623*V623</f>
        <v/>
      </c>
      <c r="X623" s="32">
        <f>T623/N623</f>
        <v/>
      </c>
      <c r="Y623" s="35">
        <f>IF(W623=MAXIFS(W$2:W$3601, A$2:A$3601, A623, B$2:B$3601, B623), "OPTIMAL", "")</f>
        <v/>
      </c>
    </row>
    <row r="624" ht="20" customHeight="1">
      <c r="A624" s="21" t="n">
        <v>4</v>
      </c>
      <c r="B624" s="21" t="n">
        <v>30</v>
      </c>
      <c r="C624" s="22" t="n">
        <v>110</v>
      </c>
      <c r="D624" s="22" t="n">
        <v>3</v>
      </c>
      <c r="E624" s="23" t="n">
        <v>0</v>
      </c>
      <c r="F624" s="22" t="n">
        <v>0</v>
      </c>
      <c r="G624" s="23" t="inlineStr">
        <is>
          <t>Non</t>
        </is>
      </c>
      <c r="H624" s="23" t="inlineStr">
        <is>
          <t>ON</t>
        </is>
      </c>
      <c r="I624" s="24" t="n">
        <v>718.2417398266504</v>
      </c>
      <c r="J624" s="24" t="n">
        <v>2366.073881799197</v>
      </c>
      <c r="K624" s="24" t="n">
        <v>1847.222222222222</v>
      </c>
      <c r="L624" s="24" t="n">
        <v>150</v>
      </c>
      <c r="M624" s="24">
        <f>I624+J624+K624+L624</f>
        <v/>
      </c>
      <c r="N624" s="24">
        <f>M624*'Dashboard &amp; Optimisation'!$B$18/('Dashboard &amp; Optimisation'!$B$16/3.6)</f>
        <v/>
      </c>
      <c r="O624" s="24" t="n">
        <v>306.5902435964583</v>
      </c>
      <c r="P624" s="25" t="n">
        <v>0.4702740596116872</v>
      </c>
      <c r="Q624" s="26" t="n">
        <v>0.2</v>
      </c>
      <c r="R624" s="24" t="n">
        <v>239.4355528655739</v>
      </c>
      <c r="S624" s="24">
        <f>R624*IF(A624=4, 2.0, 3.0)</f>
        <v/>
      </c>
      <c r="T624" s="22">
        <f>'Dashboard &amp; Optimisation'!$B$18*U624</f>
        <v/>
      </c>
      <c r="U624" s="27">
        <f>MIN(1, S624/M624)</f>
        <v/>
      </c>
      <c r="V624" s="27">
        <f>N624/(N624+O624)</f>
        <v/>
      </c>
      <c r="W624" s="27">
        <f>U624*V624</f>
        <v/>
      </c>
      <c r="X624" s="25">
        <f>T624/N624</f>
        <v/>
      </c>
      <c r="Y624" s="28">
        <f>IF(W624=MAXIFS(W$2:W$3601, A$2:A$3601, A624, B$2:B$3601, B624), "OPTIMAL", "")</f>
        <v/>
      </c>
    </row>
    <row r="625" ht="20" customHeight="1">
      <c r="A625" s="29" t="n">
        <v>4</v>
      </c>
      <c r="B625" s="29" t="n">
        <v>30</v>
      </c>
      <c r="C625" s="30" t="n">
        <v>110</v>
      </c>
      <c r="D625" s="30" t="n">
        <v>3</v>
      </c>
      <c r="E625" s="6" t="n">
        <v>0</v>
      </c>
      <c r="F625" s="30" t="n">
        <v>0</v>
      </c>
      <c r="G625" s="6" t="inlineStr">
        <is>
          <t>Non</t>
        </is>
      </c>
      <c r="H625" s="6" t="inlineStr">
        <is>
          <t>OFF</t>
        </is>
      </c>
      <c r="I625" s="31" t="n">
        <v>718.2417398266504</v>
      </c>
      <c r="J625" s="31" t="n">
        <v>2366.073881799197</v>
      </c>
      <c r="K625" s="31" t="n">
        <v>1847.222222222222</v>
      </c>
      <c r="L625" s="31" t="n">
        <v>150</v>
      </c>
      <c r="M625" s="31">
        <f>I625+J625+K625+L625</f>
        <v/>
      </c>
      <c r="N625" s="31">
        <f>M625*'Dashboard &amp; Optimisation'!$B$18/('Dashboard &amp; Optimisation'!$B$16/3.6)</f>
        <v/>
      </c>
      <c r="O625" s="31" t="n">
        <v>306.5902435964583</v>
      </c>
      <c r="P625" s="32" t="n">
        <v>0.7596466834151334</v>
      </c>
      <c r="Q625" s="33" t="n">
        <v>0.2</v>
      </c>
      <c r="R625" s="31" t="n">
        <v>148.2272376353259</v>
      </c>
      <c r="S625" s="31">
        <f>R625*IF(A625=4, 2.0, 3.0)</f>
        <v/>
      </c>
      <c r="T625" s="30">
        <f>'Dashboard &amp; Optimisation'!$B$18*U625</f>
        <v/>
      </c>
      <c r="U625" s="34">
        <f>MIN(1, S625/M625)</f>
        <v/>
      </c>
      <c r="V625" s="34">
        <f>N625/(N625+O625)</f>
        <v/>
      </c>
      <c r="W625" s="34">
        <f>U625*V625</f>
        <v/>
      </c>
      <c r="X625" s="32">
        <f>T625/N625</f>
        <v/>
      </c>
      <c r="Y625" s="35">
        <f>IF(W625=MAXIFS(W$2:W$3601, A$2:A$3601, A625, B$2:B$3601, B625), "OPTIMAL", "")</f>
        <v/>
      </c>
    </row>
    <row r="626" ht="20" customHeight="1">
      <c r="A626" s="21" t="n">
        <v>4</v>
      </c>
      <c r="B626" s="21" t="n">
        <v>30</v>
      </c>
      <c r="C626" s="22" t="n">
        <v>110</v>
      </c>
      <c r="D626" s="22" t="n">
        <v>3</v>
      </c>
      <c r="E626" s="23" t="n">
        <v>4</v>
      </c>
      <c r="F626" s="22" t="n">
        <v>1.5</v>
      </c>
      <c r="G626" s="23" t="inlineStr">
        <is>
          <t>Oui</t>
        </is>
      </c>
      <c r="H626" s="23" t="inlineStr">
        <is>
          <t>ON</t>
        </is>
      </c>
      <c r="I626" s="24" t="n">
        <v>718.2417398266504</v>
      </c>
      <c r="J626" s="24" t="n">
        <v>2366.073881799197</v>
      </c>
      <c r="K626" s="24" t="n">
        <v>1847.222222222222</v>
      </c>
      <c r="L626" s="24" t="n">
        <v>150</v>
      </c>
      <c r="M626" s="24">
        <f>I626+J626+K626+L626</f>
        <v/>
      </c>
      <c r="N626" s="24">
        <f>M626*'Dashboard &amp; Optimisation'!$B$18/('Dashboard &amp; Optimisation'!$B$16/3.6)</f>
        <v/>
      </c>
      <c r="O626" s="24" t="n">
        <v>422.2422499182751</v>
      </c>
      <c r="P626" s="25" t="n">
        <v>0.07040639651024357</v>
      </c>
      <c r="Q626" s="26" t="n">
        <v>6.217525971425261</v>
      </c>
      <c r="R626" s="24" t="n">
        <v>1647.704792585631</v>
      </c>
      <c r="S626" s="24">
        <f>R626*IF(A626=4, 2.0, 3.0)</f>
        <v/>
      </c>
      <c r="T626" s="22">
        <f>'Dashboard &amp; Optimisation'!$B$18*U626</f>
        <v/>
      </c>
      <c r="U626" s="27">
        <f>MIN(1, S626/M626)</f>
        <v/>
      </c>
      <c r="V626" s="27">
        <f>N626/(N626+O626)</f>
        <v/>
      </c>
      <c r="W626" s="27">
        <f>U626*V626</f>
        <v/>
      </c>
      <c r="X626" s="25">
        <f>T626/N626</f>
        <v/>
      </c>
      <c r="Y626" s="28">
        <f>IF(W626=MAXIFS(W$2:W$3601, A$2:A$3601, A626, B$2:B$3601, B626), "OPTIMAL", "")</f>
        <v/>
      </c>
    </row>
    <row r="627" ht="20" customHeight="1">
      <c r="A627" s="29" t="n">
        <v>4</v>
      </c>
      <c r="B627" s="29" t="n">
        <v>30</v>
      </c>
      <c r="C627" s="30" t="n">
        <v>110</v>
      </c>
      <c r="D627" s="30" t="n">
        <v>3</v>
      </c>
      <c r="E627" s="6" t="n">
        <v>4</v>
      </c>
      <c r="F627" s="30" t="n">
        <v>1.5</v>
      </c>
      <c r="G627" s="6" t="inlineStr">
        <is>
          <t>Oui</t>
        </is>
      </c>
      <c r="H627" s="6" t="inlineStr">
        <is>
          <t>OFF</t>
        </is>
      </c>
      <c r="I627" s="31" t="n">
        <v>718.2417398266504</v>
      </c>
      <c r="J627" s="31" t="n">
        <v>2366.073881799197</v>
      </c>
      <c r="K627" s="31" t="n">
        <v>1847.222222222222</v>
      </c>
      <c r="L627" s="31" t="n">
        <v>150</v>
      </c>
      <c r="M627" s="31">
        <f>I627+J627+K627+L627</f>
        <v/>
      </c>
      <c r="N627" s="31">
        <f>M627*'Dashboard &amp; Optimisation'!$B$18/('Dashboard &amp; Optimisation'!$B$16/3.6)</f>
        <v/>
      </c>
      <c r="O627" s="31" t="n">
        <v>422.2422499182751</v>
      </c>
      <c r="P627" s="32" t="n">
        <v>0.2880026189593694</v>
      </c>
      <c r="Q627" s="33" t="n">
        <v>6.217525971425261</v>
      </c>
      <c r="R627" s="31" t="n">
        <v>402.8052153754157</v>
      </c>
      <c r="S627" s="31">
        <f>R627*IF(A627=4, 2.0, 3.0)</f>
        <v/>
      </c>
      <c r="T627" s="30">
        <f>'Dashboard &amp; Optimisation'!$B$18*U627</f>
        <v/>
      </c>
      <c r="U627" s="34">
        <f>MIN(1, S627/M627)</f>
        <v/>
      </c>
      <c r="V627" s="34">
        <f>N627/(N627+O627)</f>
        <v/>
      </c>
      <c r="W627" s="34">
        <f>U627*V627</f>
        <v/>
      </c>
      <c r="X627" s="32">
        <f>T627/N627</f>
        <v/>
      </c>
      <c r="Y627" s="35">
        <f>IF(W627=MAXIFS(W$2:W$3601, A$2:A$3601, A627, B$2:B$3601, B627), "OPTIMAL", "")</f>
        <v/>
      </c>
    </row>
    <row r="628" ht="20" customHeight="1">
      <c r="A628" s="21" t="n">
        <v>4</v>
      </c>
      <c r="B628" s="21" t="n">
        <v>30</v>
      </c>
      <c r="C628" s="22" t="n">
        <v>110</v>
      </c>
      <c r="D628" s="22" t="n">
        <v>3</v>
      </c>
      <c r="E628" s="23" t="n">
        <v>4</v>
      </c>
      <c r="F628" s="22" t="n">
        <v>1.5</v>
      </c>
      <c r="G628" s="23" t="inlineStr">
        <is>
          <t>Non</t>
        </is>
      </c>
      <c r="H628" s="23" t="inlineStr">
        <is>
          <t>ON</t>
        </is>
      </c>
      <c r="I628" s="24" t="n">
        <v>718.2417398266504</v>
      </c>
      <c r="J628" s="24" t="n">
        <v>2366.073881799197</v>
      </c>
      <c r="K628" s="24" t="n">
        <v>1847.222222222222</v>
      </c>
      <c r="L628" s="24" t="n">
        <v>150</v>
      </c>
      <c r="M628" s="24">
        <f>I628+J628+K628+L628</f>
        <v/>
      </c>
      <c r="N628" s="24">
        <f>M628*'Dashboard &amp; Optimisation'!$B$18/('Dashboard &amp; Optimisation'!$B$16/3.6)</f>
        <v/>
      </c>
      <c r="O628" s="24" t="n">
        <v>422.2422499182751</v>
      </c>
      <c r="P628" s="25" t="n">
        <v>0.06751267027220911</v>
      </c>
      <c r="Q628" s="26" t="n">
        <v>6.217525971425261</v>
      </c>
      <c r="R628" s="24" t="n">
        <v>1718.328670616462</v>
      </c>
      <c r="S628" s="24">
        <f>R628*IF(A628=4, 2.0, 3.0)</f>
        <v/>
      </c>
      <c r="T628" s="22">
        <f>'Dashboard &amp; Optimisation'!$B$18*U628</f>
        <v/>
      </c>
      <c r="U628" s="27">
        <f>MIN(1, S628/M628)</f>
        <v/>
      </c>
      <c r="V628" s="27">
        <f>N628/(N628+O628)</f>
        <v/>
      </c>
      <c r="W628" s="27">
        <f>U628*V628</f>
        <v/>
      </c>
      <c r="X628" s="25">
        <f>T628/N628</f>
        <v/>
      </c>
      <c r="Y628" s="28">
        <f>IF(W628=MAXIFS(W$2:W$3601, A$2:A$3601, A628, B$2:B$3601, B628), "OPTIMAL", "")</f>
        <v/>
      </c>
    </row>
    <row r="629" ht="20" customHeight="1">
      <c r="A629" s="29" t="n">
        <v>4</v>
      </c>
      <c r="B629" s="29" t="n">
        <v>30</v>
      </c>
      <c r="C629" s="30" t="n">
        <v>110</v>
      </c>
      <c r="D629" s="30" t="n">
        <v>3</v>
      </c>
      <c r="E629" s="6" t="n">
        <v>4</v>
      </c>
      <c r="F629" s="30" t="n">
        <v>1.5</v>
      </c>
      <c r="G629" s="6" t="inlineStr">
        <is>
          <t>Non</t>
        </is>
      </c>
      <c r="H629" s="6" t="inlineStr">
        <is>
          <t>OFF</t>
        </is>
      </c>
      <c r="I629" s="31" t="n">
        <v>718.2417398266504</v>
      </c>
      <c r="J629" s="31" t="n">
        <v>2366.073881799197</v>
      </c>
      <c r="K629" s="31" t="n">
        <v>1847.222222222222</v>
      </c>
      <c r="L629" s="31" t="n">
        <v>150</v>
      </c>
      <c r="M629" s="31">
        <f>I629+J629+K629+L629</f>
        <v/>
      </c>
      <c r="N629" s="31">
        <f>M629*'Dashboard &amp; Optimisation'!$B$18/('Dashboard &amp; Optimisation'!$B$16/3.6)</f>
        <v/>
      </c>
      <c r="O629" s="31" t="n">
        <v>422.2422499182751</v>
      </c>
      <c r="P629" s="32" t="n">
        <v>0.2851088927213349</v>
      </c>
      <c r="Q629" s="33" t="n">
        <v>6.217525971425261</v>
      </c>
      <c r="R629" s="31" t="n">
        <v>406.8935060261329</v>
      </c>
      <c r="S629" s="31">
        <f>R629*IF(A629=4, 2.0, 3.0)</f>
        <v/>
      </c>
      <c r="T629" s="30">
        <f>'Dashboard &amp; Optimisation'!$B$18*U629</f>
        <v/>
      </c>
      <c r="U629" s="34">
        <f>MIN(1, S629/M629)</f>
        <v/>
      </c>
      <c r="V629" s="34">
        <f>N629/(N629+O629)</f>
        <v/>
      </c>
      <c r="W629" s="34">
        <f>U629*V629</f>
        <v/>
      </c>
      <c r="X629" s="32">
        <f>T629/N629</f>
        <v/>
      </c>
      <c r="Y629" s="35">
        <f>IF(W629=MAXIFS(W$2:W$3601, A$2:A$3601, A629, B$2:B$3601, B629), "OPTIMAL", "")</f>
        <v/>
      </c>
    </row>
    <row r="630" ht="20" customHeight="1">
      <c r="A630" s="21" t="n">
        <v>4</v>
      </c>
      <c r="B630" s="21" t="n">
        <v>30</v>
      </c>
      <c r="C630" s="22" t="n">
        <v>110</v>
      </c>
      <c r="D630" s="22" t="n">
        <v>3</v>
      </c>
      <c r="E630" s="23" t="n">
        <v>4</v>
      </c>
      <c r="F630" s="22" t="n">
        <v>2</v>
      </c>
      <c r="G630" s="23" t="inlineStr">
        <is>
          <t>Oui</t>
        </is>
      </c>
      <c r="H630" s="23" t="inlineStr">
        <is>
          <t>ON</t>
        </is>
      </c>
      <c r="I630" s="24" t="n">
        <v>718.2417398266504</v>
      </c>
      <c r="J630" s="24" t="n">
        <v>2366.073881799197</v>
      </c>
      <c r="K630" s="24" t="n">
        <v>1847.222222222222</v>
      </c>
      <c r="L630" s="24" t="n">
        <v>150</v>
      </c>
      <c r="M630" s="24">
        <f>I630+J630+K630+L630</f>
        <v/>
      </c>
      <c r="N630" s="24">
        <f>M630*'Dashboard &amp; Optimisation'!$B$18/('Dashboard &amp; Optimisation'!$B$16/3.6)</f>
        <v/>
      </c>
      <c r="O630" s="24" t="n">
        <v>462.3647831841866</v>
      </c>
      <c r="P630" s="25" t="n">
        <v>0.06745693940259542</v>
      </c>
      <c r="Q630" s="26" t="n">
        <v>8.223367961900347</v>
      </c>
      <c r="R630" s="24" t="n">
        <v>1737.278550445115</v>
      </c>
      <c r="S630" s="24">
        <f>R630*IF(A630=4, 2.0, 3.0)</f>
        <v/>
      </c>
      <c r="T630" s="22">
        <f>'Dashboard &amp; Optimisation'!$B$18*U630</f>
        <v/>
      </c>
      <c r="U630" s="27">
        <f>MIN(1, S630/M630)</f>
        <v/>
      </c>
      <c r="V630" s="27">
        <f>N630/(N630+O630)</f>
        <v/>
      </c>
      <c r="W630" s="27">
        <f>U630*V630</f>
        <v/>
      </c>
      <c r="X630" s="25">
        <f>T630/N630</f>
        <v/>
      </c>
      <c r="Y630" s="28">
        <f>IF(W630=MAXIFS(W$2:W$3601, A$2:A$3601, A630, B$2:B$3601, B630), "OPTIMAL", "")</f>
        <v/>
      </c>
    </row>
    <row r="631" ht="20" customHeight="1">
      <c r="A631" s="29" t="n">
        <v>4</v>
      </c>
      <c r="B631" s="29" t="n">
        <v>30</v>
      </c>
      <c r="C631" s="30" t="n">
        <v>110</v>
      </c>
      <c r="D631" s="30" t="n">
        <v>3</v>
      </c>
      <c r="E631" s="6" t="n">
        <v>4</v>
      </c>
      <c r="F631" s="30" t="n">
        <v>2</v>
      </c>
      <c r="G631" s="6" t="inlineStr">
        <is>
          <t>Oui</t>
        </is>
      </c>
      <c r="H631" s="6" t="inlineStr">
        <is>
          <t>OFF</t>
        </is>
      </c>
      <c r="I631" s="31" t="n">
        <v>718.2417398266504</v>
      </c>
      <c r="J631" s="31" t="n">
        <v>2366.073881799197</v>
      </c>
      <c r="K631" s="31" t="n">
        <v>1847.222222222222</v>
      </c>
      <c r="L631" s="31" t="n">
        <v>150</v>
      </c>
      <c r="M631" s="31">
        <f>I631+J631+K631+L631</f>
        <v/>
      </c>
      <c r="N631" s="31">
        <f>M631*'Dashboard &amp; Optimisation'!$B$18/('Dashboard &amp; Optimisation'!$B$16/3.6)</f>
        <v/>
      </c>
      <c r="O631" s="31" t="n">
        <v>462.3647831841866</v>
      </c>
      <c r="P631" s="32" t="n">
        <v>0.286002519850184</v>
      </c>
      <c r="Q631" s="33" t="n">
        <v>8.223367961900347</v>
      </c>
      <c r="R631" s="31" t="n">
        <v>409.7568579612274</v>
      </c>
      <c r="S631" s="31">
        <f>R631*IF(A631=4, 2.0, 3.0)</f>
        <v/>
      </c>
      <c r="T631" s="30">
        <f>'Dashboard &amp; Optimisation'!$B$18*U631</f>
        <v/>
      </c>
      <c r="U631" s="34">
        <f>MIN(1, S631/M631)</f>
        <v/>
      </c>
      <c r="V631" s="34">
        <f>N631/(N631+O631)</f>
        <v/>
      </c>
      <c r="W631" s="34">
        <f>U631*V631</f>
        <v/>
      </c>
      <c r="X631" s="32">
        <f>T631/N631</f>
        <v/>
      </c>
      <c r="Y631" s="35">
        <f>IF(W631=MAXIFS(W$2:W$3601, A$2:A$3601, A631, B$2:B$3601, B631), "OPTIMAL", "")</f>
        <v/>
      </c>
    </row>
    <row r="632" ht="20" customHeight="1">
      <c r="A632" s="21" t="n">
        <v>4</v>
      </c>
      <c r="B632" s="21" t="n">
        <v>30</v>
      </c>
      <c r="C632" s="22" t="n">
        <v>110</v>
      </c>
      <c r="D632" s="22" t="n">
        <v>3</v>
      </c>
      <c r="E632" s="23" t="n">
        <v>4</v>
      </c>
      <c r="F632" s="22" t="n">
        <v>2</v>
      </c>
      <c r="G632" s="23" t="inlineStr">
        <is>
          <t>Non</t>
        </is>
      </c>
      <c r="H632" s="23" t="inlineStr">
        <is>
          <t>ON</t>
        </is>
      </c>
      <c r="I632" s="24" t="n">
        <v>718.2417398266504</v>
      </c>
      <c r="J632" s="24" t="n">
        <v>2366.073881799197</v>
      </c>
      <c r="K632" s="24" t="n">
        <v>1847.222222222222</v>
      </c>
      <c r="L632" s="24" t="n">
        <v>150</v>
      </c>
      <c r="M632" s="24">
        <f>I632+J632+K632+L632</f>
        <v/>
      </c>
      <c r="N632" s="24">
        <f>M632*'Dashboard &amp; Optimisation'!$B$18/('Dashboard &amp; Optimisation'!$B$16/3.6)</f>
        <v/>
      </c>
      <c r="O632" s="24" t="n">
        <v>462.3647831841866</v>
      </c>
      <c r="P632" s="25" t="n">
        <v>0.06456321316456097</v>
      </c>
      <c r="Q632" s="26" t="n">
        <v>8.223367961900347</v>
      </c>
      <c r="R632" s="24" t="n">
        <v>1815.14345644637</v>
      </c>
      <c r="S632" s="24">
        <f>R632*IF(A632=4, 2.0, 3.0)</f>
        <v/>
      </c>
      <c r="T632" s="22">
        <f>'Dashboard &amp; Optimisation'!$B$18*U632</f>
        <v/>
      </c>
      <c r="U632" s="27">
        <f>MIN(1, S632/M632)</f>
        <v/>
      </c>
      <c r="V632" s="27">
        <f>N632/(N632+O632)</f>
        <v/>
      </c>
      <c r="W632" s="27">
        <f>U632*V632</f>
        <v/>
      </c>
      <c r="X632" s="25">
        <f>T632/N632</f>
        <v/>
      </c>
      <c r="Y632" s="28">
        <f>IF(W632=MAXIFS(W$2:W$3601, A$2:A$3601, A632, B$2:B$3601, B632), "OPTIMAL", "")</f>
        <v/>
      </c>
    </row>
    <row r="633" ht="20" customHeight="1">
      <c r="A633" s="29" t="n">
        <v>4</v>
      </c>
      <c r="B633" s="29" t="n">
        <v>30</v>
      </c>
      <c r="C633" s="30" t="n">
        <v>110</v>
      </c>
      <c r="D633" s="30" t="n">
        <v>3</v>
      </c>
      <c r="E633" s="6" t="n">
        <v>4</v>
      </c>
      <c r="F633" s="30" t="n">
        <v>2</v>
      </c>
      <c r="G633" s="6" t="inlineStr">
        <is>
          <t>Non</t>
        </is>
      </c>
      <c r="H633" s="6" t="inlineStr">
        <is>
          <t>OFF</t>
        </is>
      </c>
      <c r="I633" s="31" t="n">
        <v>718.2417398266504</v>
      </c>
      <c r="J633" s="31" t="n">
        <v>2366.073881799197</v>
      </c>
      <c r="K633" s="31" t="n">
        <v>1847.222222222222</v>
      </c>
      <c r="L633" s="31" t="n">
        <v>150</v>
      </c>
      <c r="M633" s="31">
        <f>I633+J633+K633+L633</f>
        <v/>
      </c>
      <c r="N633" s="31">
        <f>M633*'Dashboard &amp; Optimisation'!$B$18/('Dashboard &amp; Optimisation'!$B$16/3.6)</f>
        <v/>
      </c>
      <c r="O633" s="31" t="n">
        <v>462.3647831841866</v>
      </c>
      <c r="P633" s="32" t="n">
        <v>0.2831087936121495</v>
      </c>
      <c r="Q633" s="33" t="n">
        <v>8.223367961900347</v>
      </c>
      <c r="R633" s="31" t="n">
        <v>413.94508594231</v>
      </c>
      <c r="S633" s="31">
        <f>R633*IF(A633=4, 2.0, 3.0)</f>
        <v/>
      </c>
      <c r="T633" s="30">
        <f>'Dashboard &amp; Optimisation'!$B$18*U633</f>
        <v/>
      </c>
      <c r="U633" s="34">
        <f>MIN(1, S633/M633)</f>
        <v/>
      </c>
      <c r="V633" s="34">
        <f>N633/(N633+O633)</f>
        <v/>
      </c>
      <c r="W633" s="34">
        <f>U633*V633</f>
        <v/>
      </c>
      <c r="X633" s="32">
        <f>T633/N633</f>
        <v/>
      </c>
      <c r="Y633" s="35">
        <f>IF(W633=MAXIFS(W$2:W$3601, A$2:A$3601, A633, B$2:B$3601, B633), "OPTIMAL", "")</f>
        <v/>
      </c>
    </row>
    <row r="634" ht="20" customHeight="1">
      <c r="A634" s="21" t="n">
        <v>4</v>
      </c>
      <c r="B634" s="21" t="n">
        <v>30</v>
      </c>
      <c r="C634" s="22" t="n">
        <v>110</v>
      </c>
      <c r="D634" s="22" t="n">
        <v>3</v>
      </c>
      <c r="E634" s="23" t="n">
        <v>8</v>
      </c>
      <c r="F634" s="22" t="n">
        <v>1.5</v>
      </c>
      <c r="G634" s="23" t="inlineStr">
        <is>
          <t>Oui</t>
        </is>
      </c>
      <c r="H634" s="23" t="inlineStr">
        <is>
          <t>ON</t>
        </is>
      </c>
      <c r="I634" s="24" t="n">
        <v>718.2417398266504</v>
      </c>
      <c r="J634" s="24" t="n">
        <v>2366.073881799197</v>
      </c>
      <c r="K634" s="24" t="n">
        <v>1847.222222222222</v>
      </c>
      <c r="L634" s="24" t="n">
        <v>150</v>
      </c>
      <c r="M634" s="24">
        <f>I634+J634+K634+L634</f>
        <v/>
      </c>
      <c r="N634" s="24">
        <f>M634*'Dashboard &amp; Optimisation'!$B$18/('Dashboard &amp; Optimisation'!$B$16/3.6)</f>
        <v/>
      </c>
      <c r="O634" s="24" t="n">
        <v>545.1148527095564</v>
      </c>
      <c r="P634" s="25" t="n">
        <v>0.05337810813348487</v>
      </c>
      <c r="Q634" s="26" t="n">
        <v>12.23505194285052</v>
      </c>
      <c r="R634" s="24" t="n">
        <v>2241.188424849496</v>
      </c>
      <c r="S634" s="24">
        <f>R634*IF(A634=4, 2.0, 3.0)</f>
        <v/>
      </c>
      <c r="T634" s="22">
        <f>'Dashboard &amp; Optimisation'!$B$18*U634</f>
        <v/>
      </c>
      <c r="U634" s="27">
        <f>MIN(1, S634/M634)</f>
        <v/>
      </c>
      <c r="V634" s="27">
        <f>N634/(N634+O634)</f>
        <v/>
      </c>
      <c r="W634" s="27">
        <f>U634*V634</f>
        <v/>
      </c>
      <c r="X634" s="25">
        <f>T634/N634</f>
        <v/>
      </c>
      <c r="Y634" s="28">
        <f>IF(W634=MAXIFS(W$2:W$3601, A$2:A$3601, A634, B$2:B$3601, B634), "OPTIMAL", "")</f>
        <v/>
      </c>
    </row>
    <row r="635" ht="20" customHeight="1">
      <c r="A635" s="29" t="n">
        <v>4</v>
      </c>
      <c r="B635" s="29" t="n">
        <v>30</v>
      </c>
      <c r="C635" s="30" t="n">
        <v>110</v>
      </c>
      <c r="D635" s="30" t="n">
        <v>3</v>
      </c>
      <c r="E635" s="6" t="n">
        <v>8</v>
      </c>
      <c r="F635" s="30" t="n">
        <v>1.5</v>
      </c>
      <c r="G635" s="6" t="inlineStr">
        <is>
          <t>Oui</t>
        </is>
      </c>
      <c r="H635" s="6" t="inlineStr">
        <is>
          <t>OFF</t>
        </is>
      </c>
      <c r="I635" s="31" t="n">
        <v>718.2417398266504</v>
      </c>
      <c r="J635" s="31" t="n">
        <v>2366.073881799197</v>
      </c>
      <c r="K635" s="31" t="n">
        <v>1847.222222222222</v>
      </c>
      <c r="L635" s="31" t="n">
        <v>150</v>
      </c>
      <c r="M635" s="31">
        <f>I635+J635+K635+L635</f>
        <v/>
      </c>
      <c r="N635" s="31">
        <f>M635*'Dashboard &amp; Optimisation'!$B$18/('Dashboard &amp; Optimisation'!$B$16/3.6)</f>
        <v/>
      </c>
      <c r="O635" s="31" t="n">
        <v>545.1148527095564</v>
      </c>
      <c r="P635" s="32" t="n">
        <v>0.2277274271081772</v>
      </c>
      <c r="Q635" s="33" t="n">
        <v>12.23505194285052</v>
      </c>
      <c r="R635" s="31" t="n">
        <v>525.3227492545421</v>
      </c>
      <c r="S635" s="31">
        <f>R635*IF(A635=4, 2.0, 3.0)</f>
        <v/>
      </c>
      <c r="T635" s="30">
        <f>'Dashboard &amp; Optimisation'!$B$18*U635</f>
        <v/>
      </c>
      <c r="U635" s="34">
        <f>MIN(1, S635/M635)</f>
        <v/>
      </c>
      <c r="V635" s="34">
        <f>N635/(N635+O635)</f>
        <v/>
      </c>
      <c r="W635" s="34">
        <f>U635*V635</f>
        <v/>
      </c>
      <c r="X635" s="32">
        <f>T635/N635</f>
        <v/>
      </c>
      <c r="Y635" s="35">
        <f>IF(W635=MAXIFS(W$2:W$3601, A$2:A$3601, A635, B$2:B$3601, B635), "OPTIMAL", "")</f>
        <v/>
      </c>
    </row>
    <row r="636" ht="20" customHeight="1">
      <c r="A636" s="21" t="n">
        <v>4</v>
      </c>
      <c r="B636" s="21" t="n">
        <v>30</v>
      </c>
      <c r="C636" s="22" t="n">
        <v>110</v>
      </c>
      <c r="D636" s="22" t="n">
        <v>3</v>
      </c>
      <c r="E636" s="23" t="n">
        <v>8</v>
      </c>
      <c r="F636" s="22" t="n">
        <v>1.5</v>
      </c>
      <c r="G636" s="23" t="inlineStr">
        <is>
          <t>Non</t>
        </is>
      </c>
      <c r="H636" s="23" t="inlineStr">
        <is>
          <t>ON</t>
        </is>
      </c>
      <c r="I636" s="24" t="n">
        <v>718.2417398266504</v>
      </c>
      <c r="J636" s="24" t="n">
        <v>2366.073881799197</v>
      </c>
      <c r="K636" s="24" t="n">
        <v>1847.222222222222</v>
      </c>
      <c r="L636" s="24" t="n">
        <v>150</v>
      </c>
      <c r="M636" s="24">
        <f>I636+J636+K636+L636</f>
        <v/>
      </c>
      <c r="N636" s="24">
        <f>M636*'Dashboard &amp; Optimisation'!$B$18/('Dashboard &amp; Optimisation'!$B$16/3.6)</f>
        <v/>
      </c>
      <c r="O636" s="24" t="n">
        <v>545.1148527095564</v>
      </c>
      <c r="P636" s="25" t="n">
        <v>0.05048438189545042</v>
      </c>
      <c r="Q636" s="26" t="n">
        <v>12.23505194285052</v>
      </c>
      <c r="R636" s="24" t="n">
        <v>2369.651634774436</v>
      </c>
      <c r="S636" s="24">
        <f>R636*IF(A636=4, 2.0, 3.0)</f>
        <v/>
      </c>
      <c r="T636" s="22">
        <f>'Dashboard &amp; Optimisation'!$B$18*U636</f>
        <v/>
      </c>
      <c r="U636" s="27">
        <f>MIN(1, S636/M636)</f>
        <v/>
      </c>
      <c r="V636" s="27">
        <f>N636/(N636+O636)</f>
        <v/>
      </c>
      <c r="W636" s="27">
        <f>U636*V636</f>
        <v/>
      </c>
      <c r="X636" s="25">
        <f>T636/N636</f>
        <v/>
      </c>
      <c r="Y636" s="28">
        <f>IF(W636=MAXIFS(W$2:W$3601, A$2:A$3601, A636, B$2:B$3601, B636), "OPTIMAL", "")</f>
        <v/>
      </c>
    </row>
    <row r="637" ht="20" customHeight="1">
      <c r="A637" s="29" t="n">
        <v>4</v>
      </c>
      <c r="B637" s="29" t="n">
        <v>30</v>
      </c>
      <c r="C637" s="30" t="n">
        <v>110</v>
      </c>
      <c r="D637" s="30" t="n">
        <v>3</v>
      </c>
      <c r="E637" s="6" t="n">
        <v>8</v>
      </c>
      <c r="F637" s="30" t="n">
        <v>1.5</v>
      </c>
      <c r="G637" s="6" t="inlineStr">
        <is>
          <t>Non</t>
        </is>
      </c>
      <c r="H637" s="6" t="inlineStr">
        <is>
          <t>OFF</t>
        </is>
      </c>
      <c r="I637" s="31" t="n">
        <v>718.2417398266504</v>
      </c>
      <c r="J637" s="31" t="n">
        <v>2366.073881799197</v>
      </c>
      <c r="K637" s="31" t="n">
        <v>1847.222222222222</v>
      </c>
      <c r="L637" s="31" t="n">
        <v>150</v>
      </c>
      <c r="M637" s="31">
        <f>I637+J637+K637+L637</f>
        <v/>
      </c>
      <c r="N637" s="31">
        <f>M637*'Dashboard &amp; Optimisation'!$B$18/('Dashboard &amp; Optimisation'!$B$16/3.6)</f>
        <v/>
      </c>
      <c r="O637" s="31" t="n">
        <v>545.1148527095564</v>
      </c>
      <c r="P637" s="32" t="n">
        <v>0.2248337008701428</v>
      </c>
      <c r="Q637" s="33" t="n">
        <v>12.23505194285052</v>
      </c>
      <c r="R637" s="31" t="n">
        <v>532.0839252573882</v>
      </c>
      <c r="S637" s="31">
        <f>R637*IF(A637=4, 2.0, 3.0)</f>
        <v/>
      </c>
      <c r="T637" s="30">
        <f>'Dashboard &amp; Optimisation'!$B$18*U637</f>
        <v/>
      </c>
      <c r="U637" s="34">
        <f>MIN(1, S637/M637)</f>
        <v/>
      </c>
      <c r="V637" s="34">
        <f>N637/(N637+O637)</f>
        <v/>
      </c>
      <c r="W637" s="34">
        <f>U637*V637</f>
        <v/>
      </c>
      <c r="X637" s="32">
        <f>T637/N637</f>
        <v/>
      </c>
      <c r="Y637" s="35">
        <f>IF(W637=MAXIFS(W$2:W$3601, A$2:A$3601, A637, B$2:B$3601, B637), "OPTIMAL", "")</f>
        <v/>
      </c>
    </row>
    <row r="638" ht="20" customHeight="1">
      <c r="A638" s="21" t="n">
        <v>4</v>
      </c>
      <c r="B638" s="21" t="n">
        <v>30</v>
      </c>
      <c r="C638" s="22" t="n">
        <v>110</v>
      </c>
      <c r="D638" s="22" t="n">
        <v>3</v>
      </c>
      <c r="E638" s="23" t="n">
        <v>8</v>
      </c>
      <c r="F638" s="22" t="n">
        <v>2</v>
      </c>
      <c r="G638" s="23" t="inlineStr">
        <is>
          <t>Oui</t>
        </is>
      </c>
      <c r="H638" s="23" t="inlineStr">
        <is>
          <t>ON</t>
        </is>
      </c>
      <c r="I638" s="24" t="n">
        <v>718.2417398266504</v>
      </c>
      <c r="J638" s="24" t="n">
        <v>2366.073881799197</v>
      </c>
      <c r="K638" s="24" t="n">
        <v>1847.222222222222</v>
      </c>
      <c r="L638" s="24" t="n">
        <v>150</v>
      </c>
      <c r="M638" s="24">
        <f>I638+J638+K638+L638</f>
        <v/>
      </c>
      <c r="N638" s="24">
        <f>M638*'Dashboard &amp; Optimisation'!$B$18/('Dashboard &amp; Optimisation'!$B$16/3.6)</f>
        <v/>
      </c>
      <c r="O638" s="24" t="n">
        <v>631.382393892565</v>
      </c>
      <c r="P638" s="25" t="n">
        <v>0.05199529928547215</v>
      </c>
      <c r="Q638" s="26" t="n">
        <v>16.2467359238007</v>
      </c>
      <c r="R638" s="24" t="n">
        <v>2349.692662232575</v>
      </c>
      <c r="S638" s="24">
        <f>R638*IF(A638=4, 2.0, 3.0)</f>
        <v/>
      </c>
      <c r="T638" s="22">
        <f>'Dashboard &amp; Optimisation'!$B$18*U638</f>
        <v/>
      </c>
      <c r="U638" s="27">
        <f>MIN(1, S638/M638)</f>
        <v/>
      </c>
      <c r="V638" s="27">
        <f>N638/(N638+O638)</f>
        <v/>
      </c>
      <c r="W638" s="27">
        <f>U638*V638</f>
        <v/>
      </c>
      <c r="X638" s="25">
        <f>T638/N638</f>
        <v/>
      </c>
      <c r="Y638" s="28">
        <f>IF(W638=MAXIFS(W$2:W$3601, A$2:A$3601, A638, B$2:B$3601, B638), "OPTIMAL", "")</f>
        <v/>
      </c>
    </row>
    <row r="639" ht="20" customHeight="1">
      <c r="A639" s="29" t="n">
        <v>4</v>
      </c>
      <c r="B639" s="29" t="n">
        <v>30</v>
      </c>
      <c r="C639" s="30" t="n">
        <v>110</v>
      </c>
      <c r="D639" s="30" t="n">
        <v>3</v>
      </c>
      <c r="E639" s="6" t="n">
        <v>8</v>
      </c>
      <c r="F639" s="30" t="n">
        <v>2</v>
      </c>
      <c r="G639" s="6" t="inlineStr">
        <is>
          <t>Oui</t>
        </is>
      </c>
      <c r="H639" s="6" t="inlineStr">
        <is>
          <t>OFF</t>
        </is>
      </c>
      <c r="I639" s="31" t="n">
        <v>718.2417398266504</v>
      </c>
      <c r="J639" s="31" t="n">
        <v>2366.073881799197</v>
      </c>
      <c r="K639" s="31" t="n">
        <v>1847.222222222222</v>
      </c>
      <c r="L639" s="31" t="n">
        <v>150</v>
      </c>
      <c r="M639" s="31">
        <f>I639+J639+K639+L639</f>
        <v/>
      </c>
      <c r="N639" s="31">
        <f>M639*'Dashboard &amp; Optimisation'!$B$18/('Dashboard &amp; Optimisation'!$B$16/3.6)</f>
        <v/>
      </c>
      <c r="O639" s="31" t="n">
        <v>631.382393892565</v>
      </c>
      <c r="P639" s="32" t="n">
        <v>0.2275671766533254</v>
      </c>
      <c r="Q639" s="33" t="n">
        <v>16.2467359238007</v>
      </c>
      <c r="R639" s="31" t="n">
        <v>536.865531305414</v>
      </c>
      <c r="S639" s="31">
        <f>R639*IF(A639=4, 2.0, 3.0)</f>
        <v/>
      </c>
      <c r="T639" s="30">
        <f>'Dashboard &amp; Optimisation'!$B$18*U639</f>
        <v/>
      </c>
      <c r="U639" s="34">
        <f>MIN(1, S639/M639)</f>
        <v/>
      </c>
      <c r="V639" s="34">
        <f>N639/(N639+O639)</f>
        <v/>
      </c>
      <c r="W639" s="34">
        <f>U639*V639</f>
        <v/>
      </c>
      <c r="X639" s="32">
        <f>T639/N639</f>
        <v/>
      </c>
      <c r="Y639" s="35">
        <f>IF(W639=MAXIFS(W$2:W$3601, A$2:A$3601, A639, B$2:B$3601, B639), "OPTIMAL", "")</f>
        <v/>
      </c>
    </row>
    <row r="640" ht="20" customHeight="1">
      <c r="A640" s="21" t="n">
        <v>4</v>
      </c>
      <c r="B640" s="21" t="n">
        <v>30</v>
      </c>
      <c r="C640" s="22" t="n">
        <v>110</v>
      </c>
      <c r="D640" s="22" t="n">
        <v>3</v>
      </c>
      <c r="E640" s="23" t="n">
        <v>8</v>
      </c>
      <c r="F640" s="22" t="n">
        <v>2</v>
      </c>
      <c r="G640" s="23" t="inlineStr">
        <is>
          <t>Non</t>
        </is>
      </c>
      <c r="H640" s="23" t="inlineStr">
        <is>
          <t>ON</t>
        </is>
      </c>
      <c r="I640" s="24" t="n">
        <v>718.2417398266504</v>
      </c>
      <c r="J640" s="24" t="n">
        <v>2366.073881799197</v>
      </c>
      <c r="K640" s="24" t="n">
        <v>1847.222222222222</v>
      </c>
      <c r="L640" s="24" t="n">
        <v>150</v>
      </c>
      <c r="M640" s="24">
        <f>I640+J640+K640+L640</f>
        <v/>
      </c>
      <c r="N640" s="24">
        <f>M640*'Dashboard &amp; Optimisation'!$B$18/('Dashboard &amp; Optimisation'!$B$16/3.6)</f>
        <v/>
      </c>
      <c r="O640" s="24" t="n">
        <v>631.382393892565</v>
      </c>
      <c r="P640" s="25" t="n">
        <v>0.04910157304743769</v>
      </c>
      <c r="Q640" s="26" t="n">
        <v>16.2467359238007</v>
      </c>
      <c r="R640" s="24" t="n">
        <v>2488.168211711417</v>
      </c>
      <c r="S640" s="24">
        <f>R640*IF(A640=4, 2.0, 3.0)</f>
        <v/>
      </c>
      <c r="T640" s="22">
        <f>'Dashboard &amp; Optimisation'!$B$18*U640</f>
        <v/>
      </c>
      <c r="U640" s="27">
        <f>MIN(1, S640/M640)</f>
        <v/>
      </c>
      <c r="V640" s="27">
        <f>N640/(N640+O640)</f>
        <v/>
      </c>
      <c r="W640" s="27">
        <f>U640*V640</f>
        <v/>
      </c>
      <c r="X640" s="25">
        <f>T640/N640</f>
        <v/>
      </c>
      <c r="Y640" s="28">
        <f>IF(W640=MAXIFS(W$2:W$3601, A$2:A$3601, A640, B$2:B$3601, B640), "OPTIMAL", "")</f>
        <v/>
      </c>
    </row>
    <row r="641" ht="20" customHeight="1">
      <c r="A641" s="29" t="n">
        <v>4</v>
      </c>
      <c r="B641" s="29" t="n">
        <v>30</v>
      </c>
      <c r="C641" s="30" t="n">
        <v>110</v>
      </c>
      <c r="D641" s="30" t="n">
        <v>3</v>
      </c>
      <c r="E641" s="6" t="n">
        <v>8</v>
      </c>
      <c r="F641" s="30" t="n">
        <v>2</v>
      </c>
      <c r="G641" s="6" t="inlineStr">
        <is>
          <t>Non</t>
        </is>
      </c>
      <c r="H641" s="6" t="inlineStr">
        <is>
          <t>OFF</t>
        </is>
      </c>
      <c r="I641" s="31" t="n">
        <v>718.2417398266504</v>
      </c>
      <c r="J641" s="31" t="n">
        <v>2366.073881799197</v>
      </c>
      <c r="K641" s="31" t="n">
        <v>1847.222222222222</v>
      </c>
      <c r="L641" s="31" t="n">
        <v>150</v>
      </c>
      <c r="M641" s="31">
        <f>I641+J641+K641+L641</f>
        <v/>
      </c>
      <c r="N641" s="31">
        <f>M641*'Dashboard &amp; Optimisation'!$B$18/('Dashboard &amp; Optimisation'!$B$16/3.6)</f>
        <v/>
      </c>
      <c r="O641" s="31" t="n">
        <v>631.382393892565</v>
      </c>
      <c r="P641" s="32" t="n">
        <v>0.2246734504152909</v>
      </c>
      <c r="Q641" s="33" t="n">
        <v>16.2467359238007</v>
      </c>
      <c r="R641" s="31" t="n">
        <v>543.7801973300965</v>
      </c>
      <c r="S641" s="31">
        <f>R641*IF(A641=4, 2.0, 3.0)</f>
        <v/>
      </c>
      <c r="T641" s="30">
        <f>'Dashboard &amp; Optimisation'!$B$18*U641</f>
        <v/>
      </c>
      <c r="U641" s="34">
        <f>MIN(1, S641/M641)</f>
        <v/>
      </c>
      <c r="V641" s="34">
        <f>N641/(N641+O641)</f>
        <v/>
      </c>
      <c r="W641" s="34">
        <f>U641*V641</f>
        <v/>
      </c>
      <c r="X641" s="32">
        <f>T641/N641</f>
        <v/>
      </c>
      <c r="Y641" s="35">
        <f>IF(W641=MAXIFS(W$2:W$3601, A$2:A$3601, A641, B$2:B$3601, B641), "OPTIMAL", "")</f>
        <v/>
      </c>
    </row>
    <row r="642" ht="20" customHeight="1">
      <c r="A642" s="21" t="n">
        <v>4</v>
      </c>
      <c r="B642" s="21" t="n">
        <v>30</v>
      </c>
      <c r="C642" s="22" t="n">
        <v>115</v>
      </c>
      <c r="D642" s="22" t="n">
        <v>2</v>
      </c>
      <c r="E642" s="23" t="n">
        <v>0</v>
      </c>
      <c r="F642" s="22" t="n">
        <v>0</v>
      </c>
      <c r="G642" s="23" t="inlineStr">
        <is>
          <t>Oui</t>
        </is>
      </c>
      <c r="H642" s="23" t="inlineStr">
        <is>
          <t>ON</t>
        </is>
      </c>
      <c r="I642" s="24" t="n">
        <v>718.2417398266504</v>
      </c>
      <c r="J642" s="24" t="n">
        <v>2366.073881799197</v>
      </c>
      <c r="K642" s="24" t="n">
        <v>1847.222222222222</v>
      </c>
      <c r="L642" s="24" t="n">
        <v>150</v>
      </c>
      <c r="M642" s="24">
        <f>I642+J642+K642+L642</f>
        <v/>
      </c>
      <c r="N642" s="24">
        <f>M642*'Dashboard &amp; Optimisation'!$B$18/('Dashboard &amp; Optimisation'!$B$16/3.6)</f>
        <v/>
      </c>
      <c r="O642" s="24" t="n">
        <v>189.4883256307786</v>
      </c>
      <c r="P642" s="25" t="n">
        <v>0.4698805559653013</v>
      </c>
      <c r="Q642" s="26" t="n">
        <v>0.2</v>
      </c>
      <c r="R642" s="24" t="n">
        <v>210.3647208266938</v>
      </c>
      <c r="S642" s="24">
        <f>R642*IF(A642=4, 2.0, 3.0)</f>
        <v/>
      </c>
      <c r="T642" s="22">
        <f>'Dashboard &amp; Optimisation'!$B$18*U642</f>
        <v/>
      </c>
      <c r="U642" s="27">
        <f>MIN(1, S642/M642)</f>
        <v/>
      </c>
      <c r="V642" s="27">
        <f>N642/(N642+O642)</f>
        <v/>
      </c>
      <c r="W642" s="27">
        <f>U642*V642</f>
        <v/>
      </c>
      <c r="X642" s="25">
        <f>T642/N642</f>
        <v/>
      </c>
      <c r="Y642" s="28">
        <f>IF(W642=MAXIFS(W$2:W$3601, A$2:A$3601, A642, B$2:B$3601, B642), "OPTIMAL", "")</f>
        <v/>
      </c>
    </row>
    <row r="643" ht="20" customHeight="1">
      <c r="A643" s="29" t="n">
        <v>4</v>
      </c>
      <c r="B643" s="29" t="n">
        <v>30</v>
      </c>
      <c r="C643" s="30" t="n">
        <v>115</v>
      </c>
      <c r="D643" s="30" t="n">
        <v>2</v>
      </c>
      <c r="E643" s="6" t="n">
        <v>0</v>
      </c>
      <c r="F643" s="30" t="n">
        <v>0</v>
      </c>
      <c r="G643" s="6" t="inlineStr">
        <is>
          <t>Oui</t>
        </is>
      </c>
      <c r="H643" s="6" t="inlineStr">
        <is>
          <t>OFF</t>
        </is>
      </c>
      <c r="I643" s="31" t="n">
        <v>718.2417398266504</v>
      </c>
      <c r="J643" s="31" t="n">
        <v>2366.073881799197</v>
      </c>
      <c r="K643" s="31" t="n">
        <v>1847.222222222222</v>
      </c>
      <c r="L643" s="31" t="n">
        <v>150</v>
      </c>
      <c r="M643" s="31">
        <f>I643+J643+K643+L643</f>
        <v/>
      </c>
      <c r="N643" s="31">
        <f>M643*'Dashboard &amp; Optimisation'!$B$18/('Dashboard &amp; Optimisation'!$B$16/3.6)</f>
        <v/>
      </c>
      <c r="O643" s="31" t="n">
        <v>189.4883256307786</v>
      </c>
      <c r="P643" s="32" t="n">
        <v>0.7466717613425105</v>
      </c>
      <c r="Q643" s="33" t="n">
        <v>0.2</v>
      </c>
      <c r="R643" s="31" t="n">
        <v>132.3825234796711</v>
      </c>
      <c r="S643" s="31">
        <f>R643*IF(A643=4, 2.0, 3.0)</f>
        <v/>
      </c>
      <c r="T643" s="30">
        <f>'Dashboard &amp; Optimisation'!$B$18*U643</f>
        <v/>
      </c>
      <c r="U643" s="34">
        <f>MIN(1, S643/M643)</f>
        <v/>
      </c>
      <c r="V643" s="34">
        <f>N643/(N643+O643)</f>
        <v/>
      </c>
      <c r="W643" s="34">
        <f>U643*V643</f>
        <v/>
      </c>
      <c r="X643" s="32">
        <f>T643/N643</f>
        <v/>
      </c>
      <c r="Y643" s="35">
        <f>IF(W643=MAXIFS(W$2:W$3601, A$2:A$3601, A643, B$2:B$3601, B643), "OPTIMAL", "")</f>
        <v/>
      </c>
    </row>
    <row r="644" ht="20" customHeight="1">
      <c r="A644" s="21" t="n">
        <v>4</v>
      </c>
      <c r="B644" s="21" t="n">
        <v>30</v>
      </c>
      <c r="C644" s="22" t="n">
        <v>115</v>
      </c>
      <c r="D644" s="22" t="n">
        <v>2</v>
      </c>
      <c r="E644" s="23" t="n">
        <v>0</v>
      </c>
      <c r="F644" s="22" t="n">
        <v>0</v>
      </c>
      <c r="G644" s="23" t="inlineStr">
        <is>
          <t>Non</t>
        </is>
      </c>
      <c r="H644" s="23" t="inlineStr">
        <is>
          <t>ON</t>
        </is>
      </c>
      <c r="I644" s="24" t="n">
        <v>718.2417398266504</v>
      </c>
      <c r="J644" s="24" t="n">
        <v>2366.073881799197</v>
      </c>
      <c r="K644" s="24" t="n">
        <v>1847.222222222222</v>
      </c>
      <c r="L644" s="24" t="n">
        <v>150</v>
      </c>
      <c r="M644" s="24">
        <f>I644+J644+K644+L644</f>
        <v/>
      </c>
      <c r="N644" s="24">
        <f>M644*'Dashboard &amp; Optimisation'!$B$18/('Dashboard &amp; Optimisation'!$B$16/3.6)</f>
        <v/>
      </c>
      <c r="O644" s="24" t="n">
        <v>189.4883256307786</v>
      </c>
      <c r="P644" s="25" t="n">
        <v>0.4671126439115292</v>
      </c>
      <c r="Q644" s="26" t="n">
        <v>0.2</v>
      </c>
      <c r="R644" s="24" t="n">
        <v>211.6112532296464</v>
      </c>
      <c r="S644" s="24">
        <f>R644*IF(A644=4, 2.0, 3.0)</f>
        <v/>
      </c>
      <c r="T644" s="22">
        <f>'Dashboard &amp; Optimisation'!$B$18*U644</f>
        <v/>
      </c>
      <c r="U644" s="27">
        <f>MIN(1, S644/M644)</f>
        <v/>
      </c>
      <c r="V644" s="27">
        <f>N644/(N644+O644)</f>
        <v/>
      </c>
      <c r="W644" s="27">
        <f>U644*V644</f>
        <v/>
      </c>
      <c r="X644" s="25">
        <f>T644/N644</f>
        <v/>
      </c>
      <c r="Y644" s="28">
        <f>IF(W644=MAXIFS(W$2:W$3601, A$2:A$3601, A644, B$2:B$3601, B644), "OPTIMAL", "")</f>
        <v/>
      </c>
    </row>
    <row r="645" ht="20" customHeight="1">
      <c r="A645" s="29" t="n">
        <v>4</v>
      </c>
      <c r="B645" s="29" t="n">
        <v>30</v>
      </c>
      <c r="C645" s="30" t="n">
        <v>115</v>
      </c>
      <c r="D645" s="30" t="n">
        <v>2</v>
      </c>
      <c r="E645" s="6" t="n">
        <v>0</v>
      </c>
      <c r="F645" s="30" t="n">
        <v>0</v>
      </c>
      <c r="G645" s="6" t="inlineStr">
        <is>
          <t>Non</t>
        </is>
      </c>
      <c r="H645" s="6" t="inlineStr">
        <is>
          <t>OFF</t>
        </is>
      </c>
      <c r="I645" s="31" t="n">
        <v>718.2417398266504</v>
      </c>
      <c r="J645" s="31" t="n">
        <v>2366.073881799197</v>
      </c>
      <c r="K645" s="31" t="n">
        <v>1847.222222222222</v>
      </c>
      <c r="L645" s="31" t="n">
        <v>150</v>
      </c>
      <c r="M645" s="31">
        <f>I645+J645+K645+L645</f>
        <v/>
      </c>
      <c r="N645" s="31">
        <f>M645*'Dashboard &amp; Optimisation'!$B$18/('Dashboard &amp; Optimisation'!$B$16/3.6)</f>
        <v/>
      </c>
      <c r="O645" s="31" t="n">
        <v>189.4883256307786</v>
      </c>
      <c r="P645" s="32" t="n">
        <v>0.7439038492887384</v>
      </c>
      <c r="Q645" s="33" t="n">
        <v>0.2</v>
      </c>
      <c r="R645" s="31" t="n">
        <v>132.8750914140869</v>
      </c>
      <c r="S645" s="31">
        <f>R645*IF(A645=4, 2.0, 3.0)</f>
        <v/>
      </c>
      <c r="T645" s="30">
        <f>'Dashboard &amp; Optimisation'!$B$18*U645</f>
        <v/>
      </c>
      <c r="U645" s="34">
        <f>MIN(1, S645/M645)</f>
        <v/>
      </c>
      <c r="V645" s="34">
        <f>N645/(N645+O645)</f>
        <v/>
      </c>
      <c r="W645" s="34">
        <f>U645*V645</f>
        <v/>
      </c>
      <c r="X645" s="32">
        <f>T645/N645</f>
        <v/>
      </c>
      <c r="Y645" s="35">
        <f>IF(W645=MAXIFS(W$2:W$3601, A$2:A$3601, A645, B$2:B$3601, B645), "OPTIMAL", "")</f>
        <v/>
      </c>
    </row>
    <row r="646" ht="20" customHeight="1">
      <c r="A646" s="21" t="n">
        <v>4</v>
      </c>
      <c r="B646" s="21" t="n">
        <v>30</v>
      </c>
      <c r="C646" s="22" t="n">
        <v>115</v>
      </c>
      <c r="D646" s="22" t="n">
        <v>2</v>
      </c>
      <c r="E646" s="23" t="n">
        <v>4</v>
      </c>
      <c r="F646" s="22" t="n">
        <v>1.5</v>
      </c>
      <c r="G646" s="23" t="inlineStr">
        <is>
          <t>Oui</t>
        </is>
      </c>
      <c r="H646" s="23" t="inlineStr">
        <is>
          <t>ON</t>
        </is>
      </c>
      <c r="I646" s="24" t="n">
        <v>718.2417398266504</v>
      </c>
      <c r="J646" s="24" t="n">
        <v>2366.073881799197</v>
      </c>
      <c r="K646" s="24" t="n">
        <v>1847.222222222222</v>
      </c>
      <c r="L646" s="24" t="n">
        <v>150</v>
      </c>
      <c r="M646" s="24">
        <f>I646+J646+K646+L646</f>
        <v/>
      </c>
      <c r="N646" s="24">
        <f>M646*'Dashboard &amp; Optimisation'!$B$18/('Dashboard &amp; Optimisation'!$B$16/3.6)</f>
        <v/>
      </c>
      <c r="O646" s="24" t="n">
        <v>292.6630026812914</v>
      </c>
      <c r="P646" s="25" t="n">
        <v>0.06928089920961758</v>
      </c>
      <c r="Q646" s="26" t="n">
        <v>5.838042351605651</v>
      </c>
      <c r="R646" s="24" t="n">
        <v>1467.136197517597</v>
      </c>
      <c r="S646" s="24">
        <f>R646*IF(A646=4, 2.0, 3.0)</f>
        <v/>
      </c>
      <c r="T646" s="22">
        <f>'Dashboard &amp; Optimisation'!$B$18*U646</f>
        <v/>
      </c>
      <c r="U646" s="27">
        <f>MIN(1, S646/M646)</f>
        <v/>
      </c>
      <c r="V646" s="27">
        <f>N646/(N646+O646)</f>
        <v/>
      </c>
      <c r="W646" s="27">
        <f>U646*V646</f>
        <v/>
      </c>
      <c r="X646" s="25">
        <f>T646/N646</f>
        <v/>
      </c>
      <c r="Y646" s="28">
        <f>IF(W646=MAXIFS(W$2:W$3601, A$2:A$3601, A646, B$2:B$3601, B646), "OPTIMAL", "")</f>
        <v/>
      </c>
    </row>
    <row r="647" ht="20" customHeight="1">
      <c r="A647" s="29" t="n">
        <v>4</v>
      </c>
      <c r="B647" s="29" t="n">
        <v>30</v>
      </c>
      <c r="C647" s="30" t="n">
        <v>115</v>
      </c>
      <c r="D647" s="30" t="n">
        <v>2</v>
      </c>
      <c r="E647" s="6" t="n">
        <v>4</v>
      </c>
      <c r="F647" s="30" t="n">
        <v>1.5</v>
      </c>
      <c r="G647" s="6" t="inlineStr">
        <is>
          <t>Oui</t>
        </is>
      </c>
      <c r="H647" s="6" t="inlineStr">
        <is>
          <t>OFF</t>
        </is>
      </c>
      <c r="I647" s="31" t="n">
        <v>718.2417398266504</v>
      </c>
      <c r="J647" s="31" t="n">
        <v>2366.073881799197</v>
      </c>
      <c r="K647" s="31" t="n">
        <v>1847.222222222222</v>
      </c>
      <c r="L647" s="31" t="n">
        <v>150</v>
      </c>
      <c r="M647" s="31">
        <f>I647+J647+K647+L647</f>
        <v/>
      </c>
      <c r="N647" s="31">
        <f>M647*'Dashboard &amp; Optimisation'!$B$18/('Dashboard &amp; Optimisation'!$B$16/3.6)</f>
        <v/>
      </c>
      <c r="O647" s="31" t="n">
        <v>292.6630026812914</v>
      </c>
      <c r="P647" s="32" t="n">
        <v>0.2796855393519176</v>
      </c>
      <c r="Q647" s="33" t="n">
        <v>5.838042351605651</v>
      </c>
      <c r="R647" s="31" t="n">
        <v>363.424277359949</v>
      </c>
      <c r="S647" s="31">
        <f>R647*IF(A647=4, 2.0, 3.0)</f>
        <v/>
      </c>
      <c r="T647" s="30">
        <f>'Dashboard &amp; Optimisation'!$B$18*U647</f>
        <v/>
      </c>
      <c r="U647" s="34">
        <f>MIN(1, S647/M647)</f>
        <v/>
      </c>
      <c r="V647" s="34">
        <f>N647/(N647+O647)</f>
        <v/>
      </c>
      <c r="W647" s="34">
        <f>U647*V647</f>
        <v/>
      </c>
      <c r="X647" s="32">
        <f>T647/N647</f>
        <v/>
      </c>
      <c r="Y647" s="35">
        <f>IF(W647=MAXIFS(W$2:W$3601, A$2:A$3601, A647, B$2:B$3601, B647), "OPTIMAL", "")</f>
        <v/>
      </c>
    </row>
    <row r="648" ht="20" customHeight="1">
      <c r="A648" s="21" t="n">
        <v>4</v>
      </c>
      <c r="B648" s="21" t="n">
        <v>30</v>
      </c>
      <c r="C648" s="22" t="n">
        <v>115</v>
      </c>
      <c r="D648" s="22" t="n">
        <v>2</v>
      </c>
      <c r="E648" s="23" t="n">
        <v>4</v>
      </c>
      <c r="F648" s="22" t="n">
        <v>1.5</v>
      </c>
      <c r="G648" s="23" t="inlineStr">
        <is>
          <t>Non</t>
        </is>
      </c>
      <c r="H648" s="23" t="inlineStr">
        <is>
          <t>ON</t>
        </is>
      </c>
      <c r="I648" s="24" t="n">
        <v>718.2417398266504</v>
      </c>
      <c r="J648" s="24" t="n">
        <v>2366.073881799197</v>
      </c>
      <c r="K648" s="24" t="n">
        <v>1847.222222222222</v>
      </c>
      <c r="L648" s="24" t="n">
        <v>150</v>
      </c>
      <c r="M648" s="24">
        <f>I648+J648+K648+L648</f>
        <v/>
      </c>
      <c r="N648" s="24">
        <f>M648*'Dashboard &amp; Optimisation'!$B$18/('Dashboard &amp; Optimisation'!$B$16/3.6)</f>
        <v/>
      </c>
      <c r="O648" s="24" t="n">
        <v>292.6630026812914</v>
      </c>
      <c r="P648" s="25" t="n">
        <v>0.06651298715584548</v>
      </c>
      <c r="Q648" s="26" t="n">
        <v>5.838042351605651</v>
      </c>
      <c r="R648" s="24" t="n">
        <v>1528.19049892973</v>
      </c>
      <c r="S648" s="24">
        <f>R648*IF(A648=4, 2.0, 3.0)</f>
        <v/>
      </c>
      <c r="T648" s="22">
        <f>'Dashboard &amp; Optimisation'!$B$18*U648</f>
        <v/>
      </c>
      <c r="U648" s="27">
        <f>MIN(1, S648/M648)</f>
        <v/>
      </c>
      <c r="V648" s="27">
        <f>N648/(N648+O648)</f>
        <v/>
      </c>
      <c r="W648" s="27">
        <f>U648*V648</f>
        <v/>
      </c>
      <c r="X648" s="25">
        <f>T648/N648</f>
        <v/>
      </c>
      <c r="Y648" s="28">
        <f>IF(W648=MAXIFS(W$2:W$3601, A$2:A$3601, A648, B$2:B$3601, B648), "OPTIMAL", "")</f>
        <v/>
      </c>
    </row>
    <row r="649" ht="20" customHeight="1">
      <c r="A649" s="29" t="n">
        <v>4</v>
      </c>
      <c r="B649" s="29" t="n">
        <v>30</v>
      </c>
      <c r="C649" s="30" t="n">
        <v>115</v>
      </c>
      <c r="D649" s="30" t="n">
        <v>2</v>
      </c>
      <c r="E649" s="6" t="n">
        <v>4</v>
      </c>
      <c r="F649" s="30" t="n">
        <v>1.5</v>
      </c>
      <c r="G649" s="6" t="inlineStr">
        <is>
          <t>Non</t>
        </is>
      </c>
      <c r="H649" s="6" t="inlineStr">
        <is>
          <t>OFF</t>
        </is>
      </c>
      <c r="I649" s="31" t="n">
        <v>718.2417398266504</v>
      </c>
      <c r="J649" s="31" t="n">
        <v>2366.073881799197</v>
      </c>
      <c r="K649" s="31" t="n">
        <v>1847.222222222222</v>
      </c>
      <c r="L649" s="31" t="n">
        <v>150</v>
      </c>
      <c r="M649" s="31">
        <f>I649+J649+K649+L649</f>
        <v/>
      </c>
      <c r="N649" s="31">
        <f>M649*'Dashboard &amp; Optimisation'!$B$18/('Dashboard &amp; Optimisation'!$B$16/3.6)</f>
        <v/>
      </c>
      <c r="O649" s="31" t="n">
        <v>292.6630026812914</v>
      </c>
      <c r="P649" s="32" t="n">
        <v>0.2769176272981455</v>
      </c>
      <c r="Q649" s="33" t="n">
        <v>5.838042351605651</v>
      </c>
      <c r="R649" s="31" t="n">
        <v>367.0568609832912</v>
      </c>
      <c r="S649" s="31">
        <f>R649*IF(A649=4, 2.0, 3.0)</f>
        <v/>
      </c>
      <c r="T649" s="30">
        <f>'Dashboard &amp; Optimisation'!$B$18*U649</f>
        <v/>
      </c>
      <c r="U649" s="34">
        <f>MIN(1, S649/M649)</f>
        <v/>
      </c>
      <c r="V649" s="34">
        <f>N649/(N649+O649)</f>
        <v/>
      </c>
      <c r="W649" s="34">
        <f>U649*V649</f>
        <v/>
      </c>
      <c r="X649" s="32">
        <f>T649/N649</f>
        <v/>
      </c>
      <c r="Y649" s="35">
        <f>IF(W649=MAXIFS(W$2:W$3601, A$2:A$3601, A649, B$2:B$3601, B649), "OPTIMAL", "")</f>
        <v/>
      </c>
    </row>
    <row r="650" ht="20" customHeight="1">
      <c r="A650" s="21" t="n">
        <v>4</v>
      </c>
      <c r="B650" s="21" t="n">
        <v>30</v>
      </c>
      <c r="C650" s="22" t="n">
        <v>115</v>
      </c>
      <c r="D650" s="22" t="n">
        <v>2</v>
      </c>
      <c r="E650" s="23" t="n">
        <v>4</v>
      </c>
      <c r="F650" s="22" t="n">
        <v>2</v>
      </c>
      <c r="G650" s="23" t="inlineStr">
        <is>
          <t>Oui</t>
        </is>
      </c>
      <c r="H650" s="23" t="inlineStr">
        <is>
          <t>ON</t>
        </is>
      </c>
      <c r="I650" s="24" t="n">
        <v>718.2417398266504</v>
      </c>
      <c r="J650" s="24" t="n">
        <v>2366.073881799197</v>
      </c>
      <c r="K650" s="24" t="n">
        <v>1847.222222222222</v>
      </c>
      <c r="L650" s="24" t="n">
        <v>150</v>
      </c>
      <c r="M650" s="24">
        <f>I650+J650+K650+L650</f>
        <v/>
      </c>
      <c r="N650" s="24">
        <f>M650*'Dashboard &amp; Optimisation'!$B$18/('Dashboard &amp; Optimisation'!$B$16/3.6)</f>
        <v/>
      </c>
      <c r="O650" s="24" t="n">
        <v>328.3650408872151</v>
      </c>
      <c r="P650" s="25" t="n">
        <v>0.06612266589584477</v>
      </c>
      <c r="Q650" s="26" t="n">
        <v>7.717389802140867</v>
      </c>
      <c r="R650" s="24" t="n">
        <v>1551.855123304988</v>
      </c>
      <c r="S650" s="24">
        <f>R650*IF(A650=4, 2.0, 3.0)</f>
        <v/>
      </c>
      <c r="T650" s="22">
        <f>'Dashboard &amp; Optimisation'!$B$18*U650</f>
        <v/>
      </c>
      <c r="U650" s="27">
        <f>MIN(1, S650/M650)</f>
        <v/>
      </c>
      <c r="V650" s="27">
        <f>N650/(N650+O650)</f>
        <v/>
      </c>
      <c r="W650" s="27">
        <f>U650*V650</f>
        <v/>
      </c>
      <c r="X650" s="25">
        <f>T650/N650</f>
        <v/>
      </c>
      <c r="Y650" s="28">
        <f>IF(W650=MAXIFS(W$2:W$3601, A$2:A$3601, A650, B$2:B$3601, B650), "OPTIMAL", "")</f>
        <v/>
      </c>
    </row>
    <row r="651" ht="20" customHeight="1">
      <c r="A651" s="29" t="n">
        <v>4</v>
      </c>
      <c r="B651" s="29" t="n">
        <v>30</v>
      </c>
      <c r="C651" s="30" t="n">
        <v>115</v>
      </c>
      <c r="D651" s="30" t="n">
        <v>2</v>
      </c>
      <c r="E651" s="6" t="n">
        <v>4</v>
      </c>
      <c r="F651" s="30" t="n">
        <v>2</v>
      </c>
      <c r="G651" s="6" t="inlineStr">
        <is>
          <t>Oui</t>
        </is>
      </c>
      <c r="H651" s="6" t="inlineStr">
        <is>
          <t>OFF</t>
        </is>
      </c>
      <c r="I651" s="31" t="n">
        <v>718.2417398266504</v>
      </c>
      <c r="J651" s="31" t="n">
        <v>2366.073881799197</v>
      </c>
      <c r="K651" s="31" t="n">
        <v>1847.222222222222</v>
      </c>
      <c r="L651" s="31" t="n">
        <v>150</v>
      </c>
      <c r="M651" s="31">
        <f>I651+J651+K651+L651</f>
        <v/>
      </c>
      <c r="N651" s="31">
        <f>M651*'Dashboard &amp; Optimisation'!$B$18/('Dashboard &amp; Optimisation'!$B$16/3.6)</f>
        <v/>
      </c>
      <c r="O651" s="31" t="n">
        <v>328.3650408872151</v>
      </c>
      <c r="P651" s="32" t="n">
        <v>0.2774148058870663</v>
      </c>
      <c r="Q651" s="33" t="n">
        <v>7.717389802140867</v>
      </c>
      <c r="R651" s="31" t="n">
        <v>369.8894062591011</v>
      </c>
      <c r="S651" s="31">
        <f>R651*IF(A651=4, 2.0, 3.0)</f>
        <v/>
      </c>
      <c r="T651" s="30">
        <f>'Dashboard &amp; Optimisation'!$B$18*U651</f>
        <v/>
      </c>
      <c r="U651" s="34">
        <f>MIN(1, S651/M651)</f>
        <v/>
      </c>
      <c r="V651" s="34">
        <f>N651/(N651+O651)</f>
        <v/>
      </c>
      <c r="W651" s="34">
        <f>U651*V651</f>
        <v/>
      </c>
      <c r="X651" s="32">
        <f>T651/N651</f>
        <v/>
      </c>
      <c r="Y651" s="35">
        <f>IF(W651=MAXIFS(W$2:W$3601, A$2:A$3601, A651, B$2:B$3601, B651), "OPTIMAL", "")</f>
        <v/>
      </c>
    </row>
    <row r="652" ht="20" customHeight="1">
      <c r="A652" s="21" t="n">
        <v>4</v>
      </c>
      <c r="B652" s="21" t="n">
        <v>30</v>
      </c>
      <c r="C652" s="22" t="n">
        <v>115</v>
      </c>
      <c r="D652" s="22" t="n">
        <v>2</v>
      </c>
      <c r="E652" s="23" t="n">
        <v>4</v>
      </c>
      <c r="F652" s="22" t="n">
        <v>2</v>
      </c>
      <c r="G652" s="23" t="inlineStr">
        <is>
          <t>Non</t>
        </is>
      </c>
      <c r="H652" s="23" t="inlineStr">
        <is>
          <t>ON</t>
        </is>
      </c>
      <c r="I652" s="24" t="n">
        <v>718.2417398266504</v>
      </c>
      <c r="J652" s="24" t="n">
        <v>2366.073881799197</v>
      </c>
      <c r="K652" s="24" t="n">
        <v>1847.222222222222</v>
      </c>
      <c r="L652" s="24" t="n">
        <v>150</v>
      </c>
      <c r="M652" s="24">
        <f>I652+J652+K652+L652</f>
        <v/>
      </c>
      <c r="N652" s="24">
        <f>M652*'Dashboard &amp; Optimisation'!$B$18/('Dashboard &amp; Optimisation'!$B$16/3.6)</f>
        <v/>
      </c>
      <c r="O652" s="24" t="n">
        <v>328.3650408872151</v>
      </c>
      <c r="P652" s="25" t="n">
        <v>0.06335475384207268</v>
      </c>
      <c r="Q652" s="26" t="n">
        <v>7.717389802140867</v>
      </c>
      <c r="R652" s="24" t="n">
        <v>1619.654273976636</v>
      </c>
      <c r="S652" s="24">
        <f>R652*IF(A652=4, 2.0, 3.0)</f>
        <v/>
      </c>
      <c r="T652" s="22">
        <f>'Dashboard &amp; Optimisation'!$B$18*U652</f>
        <v/>
      </c>
      <c r="U652" s="27">
        <f>MIN(1, S652/M652)</f>
        <v/>
      </c>
      <c r="V652" s="27">
        <f>N652/(N652+O652)</f>
        <v/>
      </c>
      <c r="W652" s="27">
        <f>U652*V652</f>
        <v/>
      </c>
      <c r="X652" s="25">
        <f>T652/N652</f>
        <v/>
      </c>
      <c r="Y652" s="28">
        <f>IF(W652=MAXIFS(W$2:W$3601, A$2:A$3601, A652, B$2:B$3601, B652), "OPTIMAL", "")</f>
        <v/>
      </c>
    </row>
    <row r="653" ht="20" customHeight="1">
      <c r="A653" s="29" t="n">
        <v>4</v>
      </c>
      <c r="B653" s="29" t="n">
        <v>30</v>
      </c>
      <c r="C653" s="30" t="n">
        <v>115</v>
      </c>
      <c r="D653" s="30" t="n">
        <v>2</v>
      </c>
      <c r="E653" s="6" t="n">
        <v>4</v>
      </c>
      <c r="F653" s="30" t="n">
        <v>2</v>
      </c>
      <c r="G653" s="6" t="inlineStr">
        <is>
          <t>Non</t>
        </is>
      </c>
      <c r="H653" s="6" t="inlineStr">
        <is>
          <t>OFF</t>
        </is>
      </c>
      <c r="I653" s="31" t="n">
        <v>718.2417398266504</v>
      </c>
      <c r="J653" s="31" t="n">
        <v>2366.073881799197</v>
      </c>
      <c r="K653" s="31" t="n">
        <v>1847.222222222222</v>
      </c>
      <c r="L653" s="31" t="n">
        <v>150</v>
      </c>
      <c r="M653" s="31">
        <f>I653+J653+K653+L653</f>
        <v/>
      </c>
      <c r="N653" s="31">
        <f>M653*'Dashboard &amp; Optimisation'!$B$18/('Dashboard &amp; Optimisation'!$B$16/3.6)</f>
        <v/>
      </c>
      <c r="O653" s="31" t="n">
        <v>328.3650408872151</v>
      </c>
      <c r="P653" s="32" t="n">
        <v>0.2746468938332942</v>
      </c>
      <c r="Q653" s="33" t="n">
        <v>7.717389802140867</v>
      </c>
      <c r="R653" s="31" t="n">
        <v>373.6171795168194</v>
      </c>
      <c r="S653" s="31">
        <f>R653*IF(A653=4, 2.0, 3.0)</f>
        <v/>
      </c>
      <c r="T653" s="30">
        <f>'Dashboard &amp; Optimisation'!$B$18*U653</f>
        <v/>
      </c>
      <c r="U653" s="34">
        <f>MIN(1, S653/M653)</f>
        <v/>
      </c>
      <c r="V653" s="34">
        <f>N653/(N653+O653)</f>
        <v/>
      </c>
      <c r="W653" s="34">
        <f>U653*V653</f>
        <v/>
      </c>
      <c r="X653" s="32">
        <f>T653/N653</f>
        <v/>
      </c>
      <c r="Y653" s="35">
        <f>IF(W653=MAXIFS(W$2:W$3601, A$2:A$3601, A653, B$2:B$3601, B653), "OPTIMAL", "")</f>
        <v/>
      </c>
    </row>
    <row r="654" ht="20" customHeight="1">
      <c r="A654" s="21" t="n">
        <v>4</v>
      </c>
      <c r="B654" s="21" t="n">
        <v>30</v>
      </c>
      <c r="C654" s="22" t="n">
        <v>115</v>
      </c>
      <c r="D654" s="22" t="n">
        <v>2</v>
      </c>
      <c r="E654" s="23" t="n">
        <v>8</v>
      </c>
      <c r="F654" s="22" t="n">
        <v>1.5</v>
      </c>
      <c r="G654" s="23" t="inlineStr">
        <is>
          <t>Oui</t>
        </is>
      </c>
      <c r="H654" s="23" t="inlineStr">
        <is>
          <t>ON</t>
        </is>
      </c>
      <c r="I654" s="24" t="n">
        <v>718.2417398266504</v>
      </c>
      <c r="J654" s="24" t="n">
        <v>2366.073881799197</v>
      </c>
      <c r="K654" s="24" t="n">
        <v>1847.222222222222</v>
      </c>
      <c r="L654" s="24" t="n">
        <v>150</v>
      </c>
      <c r="M654" s="24">
        <f>I654+J654+K654+L654</f>
        <v/>
      </c>
      <c r="N654" s="24">
        <f>M654*'Dashboard &amp; Optimisation'!$B$18/('Dashboard &amp; Optimisation'!$B$16/3.6)</f>
        <v/>
      </c>
      <c r="O654" s="24" t="n">
        <v>401.8493728905739</v>
      </c>
      <c r="P654" s="25" t="n">
        <v>0.05248603000184628</v>
      </c>
      <c r="Q654" s="26" t="n">
        <v>11.4760847032113</v>
      </c>
      <c r="R654" s="24" t="n">
        <v>1993.021429163419</v>
      </c>
      <c r="S654" s="24">
        <f>R654*IF(A654=4, 2.0, 3.0)</f>
        <v/>
      </c>
      <c r="T654" s="22">
        <f>'Dashboard &amp; Optimisation'!$B$18*U654</f>
        <v/>
      </c>
      <c r="U654" s="27">
        <f>MIN(1, S654/M654)</f>
        <v/>
      </c>
      <c r="V654" s="27">
        <f>N654/(N654+O654)</f>
        <v/>
      </c>
      <c r="W654" s="27">
        <f>U654*V654</f>
        <v/>
      </c>
      <c r="X654" s="25">
        <f>T654/N654</f>
        <v/>
      </c>
      <c r="Y654" s="28">
        <f>IF(W654=MAXIFS(W$2:W$3601, A$2:A$3601, A654, B$2:B$3601, B654), "OPTIMAL", "")</f>
        <v/>
      </c>
    </row>
    <row r="655" ht="20" customHeight="1">
      <c r="A655" s="29" t="n">
        <v>4</v>
      </c>
      <c r="B655" s="29" t="n">
        <v>30</v>
      </c>
      <c r="C655" s="30" t="n">
        <v>115</v>
      </c>
      <c r="D655" s="30" t="n">
        <v>2</v>
      </c>
      <c r="E655" s="6" t="n">
        <v>8</v>
      </c>
      <c r="F655" s="30" t="n">
        <v>1.5</v>
      </c>
      <c r="G655" s="6" t="inlineStr">
        <is>
          <t>Oui</t>
        </is>
      </c>
      <c r="H655" s="6" t="inlineStr">
        <is>
          <t>OFF</t>
        </is>
      </c>
      <c r="I655" s="31" t="n">
        <v>718.2417398266504</v>
      </c>
      <c r="J655" s="31" t="n">
        <v>2366.073881799197</v>
      </c>
      <c r="K655" s="31" t="n">
        <v>1847.222222222222</v>
      </c>
      <c r="L655" s="31" t="n">
        <v>150</v>
      </c>
      <c r="M655" s="31">
        <f>I655+J655+K655+L655</f>
        <v/>
      </c>
      <c r="N655" s="31">
        <f>M655*'Dashboard &amp; Optimisation'!$B$18/('Dashboard &amp; Optimisation'!$B$16/3.6)</f>
        <v/>
      </c>
      <c r="O655" s="31" t="n">
        <v>401.8493728905739</v>
      </c>
      <c r="P655" s="32" t="n">
        <v>0.2221878302428261</v>
      </c>
      <c r="Q655" s="33" t="n">
        <v>11.4760847032113</v>
      </c>
      <c r="R655" s="31" t="n">
        <v>470.7988840391102</v>
      </c>
      <c r="S655" s="31">
        <f>R655*IF(A655=4, 2.0, 3.0)</f>
        <v/>
      </c>
      <c r="T655" s="30">
        <f>'Dashboard &amp; Optimisation'!$B$18*U655</f>
        <v/>
      </c>
      <c r="U655" s="34">
        <f>MIN(1, S655/M655)</f>
        <v/>
      </c>
      <c r="V655" s="34">
        <f>N655/(N655+O655)</f>
        <v/>
      </c>
      <c r="W655" s="34">
        <f>U655*V655</f>
        <v/>
      </c>
      <c r="X655" s="32">
        <f>T655/N655</f>
        <v/>
      </c>
      <c r="Y655" s="35">
        <f>IF(W655=MAXIFS(W$2:W$3601, A$2:A$3601, A655, B$2:B$3601, B655), "OPTIMAL", "")</f>
        <v/>
      </c>
    </row>
    <row r="656" ht="20" customHeight="1">
      <c r="A656" s="21" t="n">
        <v>4</v>
      </c>
      <c r="B656" s="21" t="n">
        <v>30</v>
      </c>
      <c r="C656" s="22" t="n">
        <v>115</v>
      </c>
      <c r="D656" s="22" t="n">
        <v>2</v>
      </c>
      <c r="E656" s="23" t="n">
        <v>8</v>
      </c>
      <c r="F656" s="22" t="n">
        <v>1.5</v>
      </c>
      <c r="G656" s="23" t="inlineStr">
        <is>
          <t>Non</t>
        </is>
      </c>
      <c r="H656" s="23" t="inlineStr">
        <is>
          <t>ON</t>
        </is>
      </c>
      <c r="I656" s="24" t="n">
        <v>718.2417398266504</v>
      </c>
      <c r="J656" s="24" t="n">
        <v>2366.073881799197</v>
      </c>
      <c r="K656" s="24" t="n">
        <v>1847.222222222222</v>
      </c>
      <c r="L656" s="24" t="n">
        <v>150</v>
      </c>
      <c r="M656" s="24">
        <f>I656+J656+K656+L656</f>
        <v/>
      </c>
      <c r="N656" s="24">
        <f>M656*'Dashboard &amp; Optimisation'!$B$18/('Dashboard &amp; Optimisation'!$B$16/3.6)</f>
        <v/>
      </c>
      <c r="O656" s="24" t="n">
        <v>401.8493728905739</v>
      </c>
      <c r="P656" s="25" t="n">
        <v>0.04971811794807418</v>
      </c>
      <c r="Q656" s="26" t="n">
        <v>11.4760847032113</v>
      </c>
      <c r="R656" s="24" t="n">
        <v>2103.977118253843</v>
      </c>
      <c r="S656" s="24">
        <f>R656*IF(A656=4, 2.0, 3.0)</f>
        <v/>
      </c>
      <c r="T656" s="22">
        <f>'Dashboard &amp; Optimisation'!$B$18*U656</f>
        <v/>
      </c>
      <c r="U656" s="27">
        <f>MIN(1, S656/M656)</f>
        <v/>
      </c>
      <c r="V656" s="27">
        <f>N656/(N656+O656)</f>
        <v/>
      </c>
      <c r="W656" s="27">
        <f>U656*V656</f>
        <v/>
      </c>
      <c r="X656" s="25">
        <f>T656/N656</f>
        <v/>
      </c>
      <c r="Y656" s="28">
        <f>IF(W656=MAXIFS(W$2:W$3601, A$2:A$3601, A656, B$2:B$3601, B656), "OPTIMAL", "")</f>
        <v/>
      </c>
    </row>
    <row r="657" ht="20" customHeight="1">
      <c r="A657" s="29" t="n">
        <v>4</v>
      </c>
      <c r="B657" s="29" t="n">
        <v>30</v>
      </c>
      <c r="C657" s="30" t="n">
        <v>115</v>
      </c>
      <c r="D657" s="30" t="n">
        <v>2</v>
      </c>
      <c r="E657" s="6" t="n">
        <v>8</v>
      </c>
      <c r="F657" s="30" t="n">
        <v>1.5</v>
      </c>
      <c r="G657" s="6" t="inlineStr">
        <is>
          <t>Non</t>
        </is>
      </c>
      <c r="H657" s="6" t="inlineStr">
        <is>
          <t>OFF</t>
        </is>
      </c>
      <c r="I657" s="31" t="n">
        <v>718.2417398266504</v>
      </c>
      <c r="J657" s="31" t="n">
        <v>2366.073881799197</v>
      </c>
      <c r="K657" s="31" t="n">
        <v>1847.222222222222</v>
      </c>
      <c r="L657" s="31" t="n">
        <v>150</v>
      </c>
      <c r="M657" s="31">
        <f>I657+J657+K657+L657</f>
        <v/>
      </c>
      <c r="N657" s="31">
        <f>M657*'Dashboard &amp; Optimisation'!$B$18/('Dashboard &amp; Optimisation'!$B$16/3.6)</f>
        <v/>
      </c>
      <c r="O657" s="31" t="n">
        <v>401.8493728905739</v>
      </c>
      <c r="P657" s="32" t="n">
        <v>0.219419918189054</v>
      </c>
      <c r="Q657" s="33" t="n">
        <v>11.4760847032113</v>
      </c>
      <c r="R657" s="31" t="n">
        <v>476.7378613060304</v>
      </c>
      <c r="S657" s="31">
        <f>R657*IF(A657=4, 2.0, 3.0)</f>
        <v/>
      </c>
      <c r="T657" s="30">
        <f>'Dashboard &amp; Optimisation'!$B$18*U657</f>
        <v/>
      </c>
      <c r="U657" s="34">
        <f>MIN(1, S657/M657)</f>
        <v/>
      </c>
      <c r="V657" s="34">
        <f>N657/(N657+O657)</f>
        <v/>
      </c>
      <c r="W657" s="34">
        <f>U657*V657</f>
        <v/>
      </c>
      <c r="X657" s="32">
        <f>T657/N657</f>
        <v/>
      </c>
      <c r="Y657" s="35">
        <f>IF(W657=MAXIFS(W$2:W$3601, A$2:A$3601, A657, B$2:B$3601, B657), "OPTIMAL", "")</f>
        <v/>
      </c>
    </row>
    <row r="658" ht="20" customHeight="1">
      <c r="A658" s="21" t="n">
        <v>4</v>
      </c>
      <c r="B658" s="21" t="n">
        <v>30</v>
      </c>
      <c r="C658" s="22" t="n">
        <v>115</v>
      </c>
      <c r="D658" s="22" t="n">
        <v>2</v>
      </c>
      <c r="E658" s="23" t="n">
        <v>8</v>
      </c>
      <c r="F658" s="22" t="n">
        <v>2</v>
      </c>
      <c r="G658" s="23" t="inlineStr">
        <is>
          <t>Oui</t>
        </is>
      </c>
      <c r="H658" s="23" t="inlineStr">
        <is>
          <t>ON</t>
        </is>
      </c>
      <c r="I658" s="24" t="n">
        <v>718.2417398266504</v>
      </c>
      <c r="J658" s="24" t="n">
        <v>2366.073881799197</v>
      </c>
      <c r="K658" s="24" t="n">
        <v>1847.222222222222</v>
      </c>
      <c r="L658" s="24" t="n">
        <v>150</v>
      </c>
      <c r="M658" s="24">
        <f>I658+J658+K658+L658</f>
        <v/>
      </c>
      <c r="N658" s="24">
        <f>M658*'Dashboard &amp; Optimisation'!$B$18/('Dashboard &amp; Optimisation'!$B$16/3.6)</f>
        <v/>
      </c>
      <c r="O658" s="24" t="n">
        <v>478.2447249790001</v>
      </c>
      <c r="P658" s="25" t="n">
        <v>0.05098656696881766</v>
      </c>
      <c r="Q658" s="26" t="n">
        <v>15.23477960428174</v>
      </c>
      <c r="R658" s="24" t="n">
        <v>2092.271042553017</v>
      </c>
      <c r="S658" s="24">
        <f>R658*IF(A658=4, 2.0, 3.0)</f>
        <v/>
      </c>
      <c r="T658" s="22">
        <f>'Dashboard &amp; Optimisation'!$B$18*U658</f>
        <v/>
      </c>
      <c r="U658" s="27">
        <f>MIN(1, S658/M658)</f>
        <v/>
      </c>
      <c r="V658" s="27">
        <f>N658/(N658+O658)</f>
        <v/>
      </c>
      <c r="W658" s="27">
        <f>U658*V658</f>
        <v/>
      </c>
      <c r="X658" s="25">
        <f>T658/N658</f>
        <v/>
      </c>
      <c r="Y658" s="28">
        <f>IF(W658=MAXIFS(W$2:W$3601, A$2:A$3601, A658, B$2:B$3601, B658), "OPTIMAL", "")</f>
        <v/>
      </c>
    </row>
    <row r="659" ht="20" customHeight="1">
      <c r="A659" s="29" t="n">
        <v>4</v>
      </c>
      <c r="B659" s="29" t="n">
        <v>30</v>
      </c>
      <c r="C659" s="30" t="n">
        <v>115</v>
      </c>
      <c r="D659" s="30" t="n">
        <v>2</v>
      </c>
      <c r="E659" s="6" t="n">
        <v>8</v>
      </c>
      <c r="F659" s="30" t="n">
        <v>2</v>
      </c>
      <c r="G659" s="6" t="inlineStr">
        <is>
          <t>Oui</t>
        </is>
      </c>
      <c r="H659" s="6" t="inlineStr">
        <is>
          <t>OFF</t>
        </is>
      </c>
      <c r="I659" s="31" t="n">
        <v>718.2417398266504</v>
      </c>
      <c r="J659" s="31" t="n">
        <v>2366.073881799197</v>
      </c>
      <c r="K659" s="31" t="n">
        <v>1847.222222222222</v>
      </c>
      <c r="L659" s="31" t="n">
        <v>150</v>
      </c>
      <c r="M659" s="31">
        <f>I659+J659+K659+L659</f>
        <v/>
      </c>
      <c r="N659" s="31">
        <f>M659*'Dashboard &amp; Optimisation'!$B$18/('Dashboard &amp; Optimisation'!$B$16/3.6)</f>
        <v/>
      </c>
      <c r="O659" s="31" t="n">
        <v>478.2447249790001</v>
      </c>
      <c r="P659" s="32" t="n">
        <v>0.2218463755842228</v>
      </c>
      <c r="Q659" s="33" t="n">
        <v>15.23477960428174</v>
      </c>
      <c r="R659" s="31" t="n">
        <v>480.8630176946376</v>
      </c>
      <c r="S659" s="31">
        <f>R659*IF(A659=4, 2.0, 3.0)</f>
        <v/>
      </c>
      <c r="T659" s="30">
        <f>'Dashboard &amp; Optimisation'!$B$18*U659</f>
        <v/>
      </c>
      <c r="U659" s="34">
        <f>MIN(1, S659/M659)</f>
        <v/>
      </c>
      <c r="V659" s="34">
        <f>N659/(N659+O659)</f>
        <v/>
      </c>
      <c r="W659" s="34">
        <f>U659*V659</f>
        <v/>
      </c>
      <c r="X659" s="32">
        <f>T659/N659</f>
        <v/>
      </c>
      <c r="Y659" s="35">
        <f>IF(W659=MAXIFS(W$2:W$3601, A$2:A$3601, A659, B$2:B$3601, B659), "OPTIMAL", "")</f>
        <v/>
      </c>
    </row>
    <row r="660" ht="20" customHeight="1">
      <c r="A660" s="21" t="n">
        <v>4</v>
      </c>
      <c r="B660" s="21" t="n">
        <v>30</v>
      </c>
      <c r="C660" s="22" t="n">
        <v>115</v>
      </c>
      <c r="D660" s="22" t="n">
        <v>2</v>
      </c>
      <c r="E660" s="23" t="n">
        <v>8</v>
      </c>
      <c r="F660" s="22" t="n">
        <v>2</v>
      </c>
      <c r="G660" s="23" t="inlineStr">
        <is>
          <t>Non</t>
        </is>
      </c>
      <c r="H660" s="23" t="inlineStr">
        <is>
          <t>ON</t>
        </is>
      </c>
      <c r="I660" s="24" t="n">
        <v>718.2417398266504</v>
      </c>
      <c r="J660" s="24" t="n">
        <v>2366.073881799197</v>
      </c>
      <c r="K660" s="24" t="n">
        <v>1847.222222222222</v>
      </c>
      <c r="L660" s="24" t="n">
        <v>150</v>
      </c>
      <c r="M660" s="24">
        <f>I660+J660+K660+L660</f>
        <v/>
      </c>
      <c r="N660" s="24">
        <f>M660*'Dashboard &amp; Optimisation'!$B$18/('Dashboard &amp; Optimisation'!$B$16/3.6)</f>
        <v/>
      </c>
      <c r="O660" s="24" t="n">
        <v>478.2447249790001</v>
      </c>
      <c r="P660" s="25" t="n">
        <v>0.04821865491504557</v>
      </c>
      <c r="Q660" s="26" t="n">
        <v>15.23477960428174</v>
      </c>
      <c r="R660" s="24" t="n">
        <v>2212.37439775121</v>
      </c>
      <c r="S660" s="24">
        <f>R660*IF(A660=4, 2.0, 3.0)</f>
        <v/>
      </c>
      <c r="T660" s="22">
        <f>'Dashboard &amp; Optimisation'!$B$18*U660</f>
        <v/>
      </c>
      <c r="U660" s="27">
        <f>MIN(1, S660/M660)</f>
        <v/>
      </c>
      <c r="V660" s="27">
        <f>N660/(N660+O660)</f>
        <v/>
      </c>
      <c r="W660" s="27">
        <f>U660*V660</f>
        <v/>
      </c>
      <c r="X660" s="25">
        <f>T660/N660</f>
        <v/>
      </c>
      <c r="Y660" s="28">
        <f>IF(W660=MAXIFS(W$2:W$3601, A$2:A$3601, A660, B$2:B$3601, B660), "OPTIMAL", "")</f>
        <v/>
      </c>
    </row>
    <row r="661" ht="20" customHeight="1">
      <c r="A661" s="29" t="n">
        <v>4</v>
      </c>
      <c r="B661" s="29" t="n">
        <v>30</v>
      </c>
      <c r="C661" s="30" t="n">
        <v>115</v>
      </c>
      <c r="D661" s="30" t="n">
        <v>2</v>
      </c>
      <c r="E661" s="6" t="n">
        <v>8</v>
      </c>
      <c r="F661" s="30" t="n">
        <v>2</v>
      </c>
      <c r="G661" s="6" t="inlineStr">
        <is>
          <t>Non</t>
        </is>
      </c>
      <c r="H661" s="6" t="inlineStr">
        <is>
          <t>OFF</t>
        </is>
      </c>
      <c r="I661" s="31" t="n">
        <v>718.2417398266504</v>
      </c>
      <c r="J661" s="31" t="n">
        <v>2366.073881799197</v>
      </c>
      <c r="K661" s="31" t="n">
        <v>1847.222222222222</v>
      </c>
      <c r="L661" s="31" t="n">
        <v>150</v>
      </c>
      <c r="M661" s="31">
        <f>I661+J661+K661+L661</f>
        <v/>
      </c>
      <c r="N661" s="31">
        <f>M661*'Dashboard &amp; Optimisation'!$B$18/('Dashboard &amp; Optimisation'!$B$16/3.6)</f>
        <v/>
      </c>
      <c r="O661" s="31" t="n">
        <v>478.2447249790001</v>
      </c>
      <c r="P661" s="32" t="n">
        <v>0.2190784635304507</v>
      </c>
      <c r="Q661" s="33" t="n">
        <v>15.23477960428174</v>
      </c>
      <c r="R661" s="31" t="n">
        <v>486.9384051217783</v>
      </c>
      <c r="S661" s="31">
        <f>R661*IF(A661=4, 2.0, 3.0)</f>
        <v/>
      </c>
      <c r="T661" s="30">
        <f>'Dashboard &amp; Optimisation'!$B$18*U661</f>
        <v/>
      </c>
      <c r="U661" s="34">
        <f>MIN(1, S661/M661)</f>
        <v/>
      </c>
      <c r="V661" s="34">
        <f>N661/(N661+O661)</f>
        <v/>
      </c>
      <c r="W661" s="34">
        <f>U661*V661</f>
        <v/>
      </c>
      <c r="X661" s="32">
        <f>T661/N661</f>
        <v/>
      </c>
      <c r="Y661" s="35">
        <f>IF(W661=MAXIFS(W$2:W$3601, A$2:A$3601, A661, B$2:B$3601, B661), "OPTIMAL", "")</f>
        <v/>
      </c>
    </row>
    <row r="662" ht="20" customHeight="1">
      <c r="A662" s="21" t="n">
        <v>4</v>
      </c>
      <c r="B662" s="21" t="n">
        <v>30</v>
      </c>
      <c r="C662" s="22" t="n">
        <v>115</v>
      </c>
      <c r="D662" s="22" t="n">
        <v>3</v>
      </c>
      <c r="E662" s="23" t="n">
        <v>0</v>
      </c>
      <c r="F662" s="22" t="n">
        <v>0</v>
      </c>
      <c r="G662" s="23" t="inlineStr">
        <is>
          <t>Oui</t>
        </is>
      </c>
      <c r="H662" s="23" t="inlineStr">
        <is>
          <t>ON</t>
        </is>
      </c>
      <c r="I662" s="24" t="n">
        <v>718.2417398266504</v>
      </c>
      <c r="J662" s="24" t="n">
        <v>2366.073881799197</v>
      </c>
      <c r="K662" s="24" t="n">
        <v>1847.222222222222</v>
      </c>
      <c r="L662" s="24" t="n">
        <v>150</v>
      </c>
      <c r="M662" s="24">
        <f>I662+J662+K662+L662</f>
        <v/>
      </c>
      <c r="N662" s="24">
        <f>M662*'Dashboard &amp; Optimisation'!$B$18/('Dashboard &amp; Optimisation'!$B$16/3.6)</f>
        <v/>
      </c>
      <c r="O662" s="24" t="n">
        <v>292.1502472500278</v>
      </c>
      <c r="P662" s="25" t="n">
        <v>0.4698946720919304</v>
      </c>
      <c r="Q662" s="26" t="n">
        <v>0.2</v>
      </c>
      <c r="R662" s="24" t="n">
        <v>218.1487973917376</v>
      </c>
      <c r="S662" s="24">
        <f>R662*IF(A662=4, 2.0, 3.0)</f>
        <v/>
      </c>
      <c r="T662" s="22">
        <f>'Dashboard &amp; Optimisation'!$B$18*U662</f>
        <v/>
      </c>
      <c r="U662" s="27">
        <f>MIN(1, S662/M662)</f>
        <v/>
      </c>
      <c r="V662" s="27">
        <f>N662/(N662+O662)</f>
        <v/>
      </c>
      <c r="W662" s="27">
        <f>U662*V662</f>
        <v/>
      </c>
      <c r="X662" s="25">
        <f>T662/N662</f>
        <v/>
      </c>
      <c r="Y662" s="28">
        <f>IF(W662=MAXIFS(W$2:W$3601, A$2:A$3601, A662, B$2:B$3601, B662), "OPTIMAL", "")</f>
        <v/>
      </c>
    </row>
    <row r="663" ht="20" customHeight="1">
      <c r="A663" s="29" t="n">
        <v>4</v>
      </c>
      <c r="B663" s="29" t="n">
        <v>30</v>
      </c>
      <c r="C663" s="30" t="n">
        <v>115</v>
      </c>
      <c r="D663" s="30" t="n">
        <v>3</v>
      </c>
      <c r="E663" s="6" t="n">
        <v>0</v>
      </c>
      <c r="F663" s="30" t="n">
        <v>0</v>
      </c>
      <c r="G663" s="6" t="inlineStr">
        <is>
          <t>Oui</t>
        </is>
      </c>
      <c r="H663" s="6" t="inlineStr">
        <is>
          <t>OFF</t>
        </is>
      </c>
      <c r="I663" s="31" t="n">
        <v>718.2417398266504</v>
      </c>
      <c r="J663" s="31" t="n">
        <v>2366.073881799197</v>
      </c>
      <c r="K663" s="31" t="n">
        <v>1847.222222222222</v>
      </c>
      <c r="L663" s="31" t="n">
        <v>150</v>
      </c>
      <c r="M663" s="31">
        <f>I663+J663+K663+L663</f>
        <v/>
      </c>
      <c r="N663" s="31">
        <f>M663*'Dashboard &amp; Optimisation'!$B$18/('Dashboard &amp; Optimisation'!$B$16/3.6)</f>
        <v/>
      </c>
      <c r="O663" s="31" t="n">
        <v>292.1502472500278</v>
      </c>
      <c r="P663" s="32" t="n">
        <v>0.7466858774691396</v>
      </c>
      <c r="Q663" s="33" t="n">
        <v>0.2</v>
      </c>
      <c r="R663" s="31" t="n">
        <v>137.2825718427708</v>
      </c>
      <c r="S663" s="31">
        <f>R663*IF(A663=4, 2.0, 3.0)</f>
        <v/>
      </c>
      <c r="T663" s="30">
        <f>'Dashboard &amp; Optimisation'!$B$18*U663</f>
        <v/>
      </c>
      <c r="U663" s="34">
        <f>MIN(1, S663/M663)</f>
        <v/>
      </c>
      <c r="V663" s="34">
        <f>N663/(N663+O663)</f>
        <v/>
      </c>
      <c r="W663" s="34">
        <f>U663*V663</f>
        <v/>
      </c>
      <c r="X663" s="32">
        <f>T663/N663</f>
        <v/>
      </c>
      <c r="Y663" s="35">
        <f>IF(W663=MAXIFS(W$2:W$3601, A$2:A$3601, A663, B$2:B$3601, B663), "OPTIMAL", "")</f>
        <v/>
      </c>
    </row>
    <row r="664" ht="20" customHeight="1">
      <c r="A664" s="21" t="n">
        <v>4</v>
      </c>
      <c r="B664" s="21" t="n">
        <v>30</v>
      </c>
      <c r="C664" s="22" t="n">
        <v>115</v>
      </c>
      <c r="D664" s="22" t="n">
        <v>3</v>
      </c>
      <c r="E664" s="23" t="n">
        <v>0</v>
      </c>
      <c r="F664" s="22" t="n">
        <v>0</v>
      </c>
      <c r="G664" s="23" t="inlineStr">
        <is>
          <t>Non</t>
        </is>
      </c>
      <c r="H664" s="23" t="inlineStr">
        <is>
          <t>ON</t>
        </is>
      </c>
      <c r="I664" s="24" t="n">
        <v>718.2417398266504</v>
      </c>
      <c r="J664" s="24" t="n">
        <v>2366.073881799197</v>
      </c>
      <c r="K664" s="24" t="n">
        <v>1847.222222222222</v>
      </c>
      <c r="L664" s="24" t="n">
        <v>150</v>
      </c>
      <c r="M664" s="24">
        <f>I664+J664+K664+L664</f>
        <v/>
      </c>
      <c r="N664" s="24">
        <f>M664*'Dashboard &amp; Optimisation'!$B$18/('Dashboard &amp; Optimisation'!$B$16/3.6)</f>
        <v/>
      </c>
      <c r="O664" s="24" t="n">
        <v>292.1502472500278</v>
      </c>
      <c r="P664" s="25" t="n">
        <v>0.4671267600381582</v>
      </c>
      <c r="Q664" s="26" t="n">
        <v>0.2</v>
      </c>
      <c r="R664" s="24" t="n">
        <v>219.4414158787777</v>
      </c>
      <c r="S664" s="24">
        <f>R664*IF(A664=4, 2.0, 3.0)</f>
        <v/>
      </c>
      <c r="T664" s="22">
        <f>'Dashboard &amp; Optimisation'!$B$18*U664</f>
        <v/>
      </c>
      <c r="U664" s="27">
        <f>MIN(1, S664/M664)</f>
        <v/>
      </c>
      <c r="V664" s="27">
        <f>N664/(N664+O664)</f>
        <v/>
      </c>
      <c r="W664" s="27">
        <f>U664*V664</f>
        <v/>
      </c>
      <c r="X664" s="25">
        <f>T664/N664</f>
        <v/>
      </c>
      <c r="Y664" s="28">
        <f>IF(W664=MAXIFS(W$2:W$3601, A$2:A$3601, A664, B$2:B$3601, B664), "OPTIMAL", "")</f>
        <v/>
      </c>
    </row>
    <row r="665" ht="20" customHeight="1">
      <c r="A665" s="29" t="n">
        <v>4</v>
      </c>
      <c r="B665" s="29" t="n">
        <v>30</v>
      </c>
      <c r="C665" s="30" t="n">
        <v>115</v>
      </c>
      <c r="D665" s="30" t="n">
        <v>3</v>
      </c>
      <c r="E665" s="6" t="n">
        <v>0</v>
      </c>
      <c r="F665" s="30" t="n">
        <v>0</v>
      </c>
      <c r="G665" s="6" t="inlineStr">
        <is>
          <t>Non</t>
        </is>
      </c>
      <c r="H665" s="6" t="inlineStr">
        <is>
          <t>OFF</t>
        </is>
      </c>
      <c r="I665" s="31" t="n">
        <v>718.2417398266504</v>
      </c>
      <c r="J665" s="31" t="n">
        <v>2366.073881799197</v>
      </c>
      <c r="K665" s="31" t="n">
        <v>1847.222222222222</v>
      </c>
      <c r="L665" s="31" t="n">
        <v>150</v>
      </c>
      <c r="M665" s="31">
        <f>I665+J665+K665+L665</f>
        <v/>
      </c>
      <c r="N665" s="31">
        <f>M665*'Dashboard &amp; Optimisation'!$B$18/('Dashboard &amp; Optimisation'!$B$16/3.6)</f>
        <v/>
      </c>
      <c r="O665" s="31" t="n">
        <v>292.1502472500278</v>
      </c>
      <c r="P665" s="32" t="n">
        <v>0.7439179654153676</v>
      </c>
      <c r="Q665" s="33" t="n">
        <v>0.2</v>
      </c>
      <c r="R665" s="31" t="n">
        <v>137.7933621490168</v>
      </c>
      <c r="S665" s="31">
        <f>R665*IF(A665=4, 2.0, 3.0)</f>
        <v/>
      </c>
      <c r="T665" s="30">
        <f>'Dashboard &amp; Optimisation'!$B$18*U665</f>
        <v/>
      </c>
      <c r="U665" s="34">
        <f>MIN(1, S665/M665)</f>
        <v/>
      </c>
      <c r="V665" s="34">
        <f>N665/(N665+O665)</f>
        <v/>
      </c>
      <c r="W665" s="34">
        <f>U665*V665</f>
        <v/>
      </c>
      <c r="X665" s="32">
        <f>T665/N665</f>
        <v/>
      </c>
      <c r="Y665" s="35">
        <f>IF(W665=MAXIFS(W$2:W$3601, A$2:A$3601, A665, B$2:B$3601, B665), "OPTIMAL", "")</f>
        <v/>
      </c>
    </row>
    <row r="666" ht="20" customHeight="1">
      <c r="A666" s="21" t="n">
        <v>4</v>
      </c>
      <c r="B666" s="21" t="n">
        <v>30</v>
      </c>
      <c r="C666" s="22" t="n">
        <v>115</v>
      </c>
      <c r="D666" s="22" t="n">
        <v>3</v>
      </c>
      <c r="E666" s="23" t="n">
        <v>4</v>
      </c>
      <c r="F666" s="22" t="n">
        <v>1.5</v>
      </c>
      <c r="G666" s="23" t="inlineStr">
        <is>
          <t>Oui</t>
        </is>
      </c>
      <c r="H666" s="23" t="inlineStr">
        <is>
          <t>ON</t>
        </is>
      </c>
      <c r="I666" s="24" t="n">
        <v>718.2417398266504</v>
      </c>
      <c r="J666" s="24" t="n">
        <v>2366.073881799197</v>
      </c>
      <c r="K666" s="24" t="n">
        <v>1847.222222222222</v>
      </c>
      <c r="L666" s="24" t="n">
        <v>150</v>
      </c>
      <c r="M666" s="24">
        <f>I666+J666+K666+L666</f>
        <v/>
      </c>
      <c r="N666" s="24">
        <f>M666*'Dashboard &amp; Optimisation'!$B$18/('Dashboard &amp; Optimisation'!$B$16/3.6)</f>
        <v/>
      </c>
      <c r="O666" s="24" t="n">
        <v>400.6955033060303</v>
      </c>
      <c r="P666" s="25" t="n">
        <v>0.06905768177243103</v>
      </c>
      <c r="Q666" s="26" t="n">
        <v>5.941492669983736</v>
      </c>
      <c r="R666" s="24" t="n">
        <v>1527.181160460111</v>
      </c>
      <c r="S666" s="24">
        <f>R666*IF(A666=4, 2.0, 3.0)</f>
        <v/>
      </c>
      <c r="T666" s="22">
        <f>'Dashboard &amp; Optimisation'!$B$18*U666</f>
        <v/>
      </c>
      <c r="U666" s="27">
        <f>MIN(1, S666/M666)</f>
        <v/>
      </c>
      <c r="V666" s="27">
        <f>N666/(N666+O666)</f>
        <v/>
      </c>
      <c r="W666" s="27">
        <f>U666*V666</f>
        <v/>
      </c>
      <c r="X666" s="25">
        <f>T666/N666</f>
        <v/>
      </c>
      <c r="Y666" s="28">
        <f>IF(W666=MAXIFS(W$2:W$3601, A$2:A$3601, A666, B$2:B$3601, B666), "OPTIMAL", "")</f>
        <v/>
      </c>
    </row>
    <row r="667" ht="20" customHeight="1">
      <c r="A667" s="29" t="n">
        <v>4</v>
      </c>
      <c r="B667" s="29" t="n">
        <v>30</v>
      </c>
      <c r="C667" s="30" t="n">
        <v>115</v>
      </c>
      <c r="D667" s="30" t="n">
        <v>3</v>
      </c>
      <c r="E667" s="6" t="n">
        <v>4</v>
      </c>
      <c r="F667" s="30" t="n">
        <v>1.5</v>
      </c>
      <c r="G667" s="6" t="inlineStr">
        <is>
          <t>Oui</t>
        </is>
      </c>
      <c r="H667" s="6" t="inlineStr">
        <is>
          <t>OFF</t>
        </is>
      </c>
      <c r="I667" s="31" t="n">
        <v>718.2417398266504</v>
      </c>
      <c r="J667" s="31" t="n">
        <v>2366.073881799197</v>
      </c>
      <c r="K667" s="31" t="n">
        <v>1847.222222222222</v>
      </c>
      <c r="L667" s="31" t="n">
        <v>150</v>
      </c>
      <c r="M667" s="31">
        <f>I667+J667+K667+L667</f>
        <v/>
      </c>
      <c r="N667" s="31">
        <f>M667*'Dashboard &amp; Optimisation'!$B$18/('Dashboard &amp; Optimisation'!$B$16/3.6)</f>
        <v/>
      </c>
      <c r="O667" s="31" t="n">
        <v>400.6955033060303</v>
      </c>
      <c r="P667" s="32" t="n">
        <v>0.2794623219147311</v>
      </c>
      <c r="Q667" s="33" t="n">
        <v>5.941492669983736</v>
      </c>
      <c r="R667" s="31" t="n">
        <v>377.3803561973019</v>
      </c>
      <c r="S667" s="31">
        <f>R667*IF(A667=4, 2.0, 3.0)</f>
        <v/>
      </c>
      <c r="T667" s="30">
        <f>'Dashboard &amp; Optimisation'!$B$18*U667</f>
        <v/>
      </c>
      <c r="U667" s="34">
        <f>MIN(1, S667/M667)</f>
        <v/>
      </c>
      <c r="V667" s="34">
        <f>N667/(N667+O667)</f>
        <v/>
      </c>
      <c r="W667" s="34">
        <f>U667*V667</f>
        <v/>
      </c>
      <c r="X667" s="32">
        <f>T667/N667</f>
        <v/>
      </c>
      <c r="Y667" s="35">
        <f>IF(W667=MAXIFS(W$2:W$3601, A$2:A$3601, A667, B$2:B$3601, B667), "OPTIMAL", "")</f>
        <v/>
      </c>
    </row>
    <row r="668" ht="20" customHeight="1">
      <c r="A668" s="21" t="n">
        <v>4</v>
      </c>
      <c r="B668" s="21" t="n">
        <v>30</v>
      </c>
      <c r="C668" s="22" t="n">
        <v>115</v>
      </c>
      <c r="D668" s="22" t="n">
        <v>3</v>
      </c>
      <c r="E668" s="23" t="n">
        <v>4</v>
      </c>
      <c r="F668" s="22" t="n">
        <v>1.5</v>
      </c>
      <c r="G668" s="23" t="inlineStr">
        <is>
          <t>Non</t>
        </is>
      </c>
      <c r="H668" s="23" t="inlineStr">
        <is>
          <t>ON</t>
        </is>
      </c>
      <c r="I668" s="24" t="n">
        <v>718.2417398266504</v>
      </c>
      <c r="J668" s="24" t="n">
        <v>2366.073881799197</v>
      </c>
      <c r="K668" s="24" t="n">
        <v>1847.222222222222</v>
      </c>
      <c r="L668" s="24" t="n">
        <v>150</v>
      </c>
      <c r="M668" s="24">
        <f>I668+J668+K668+L668</f>
        <v/>
      </c>
      <c r="N668" s="24">
        <f>M668*'Dashboard &amp; Optimisation'!$B$18/('Dashboard &amp; Optimisation'!$B$16/3.6)</f>
        <v/>
      </c>
      <c r="O668" s="24" t="n">
        <v>400.6955033060303</v>
      </c>
      <c r="P668" s="25" t="n">
        <v>0.06628976971865894</v>
      </c>
      <c r="Q668" s="26" t="n">
        <v>5.941492669983736</v>
      </c>
      <c r="R668" s="24" t="n">
        <v>1590.948211700015</v>
      </c>
      <c r="S668" s="24">
        <f>R668*IF(A668=4, 2.0, 3.0)</f>
        <v/>
      </c>
      <c r="T668" s="22">
        <f>'Dashboard &amp; Optimisation'!$B$18*U668</f>
        <v/>
      </c>
      <c r="U668" s="27">
        <f>MIN(1, S668/M668)</f>
        <v/>
      </c>
      <c r="V668" s="27">
        <f>N668/(N668+O668)</f>
        <v/>
      </c>
      <c r="W668" s="27">
        <f>U668*V668</f>
        <v/>
      </c>
      <c r="X668" s="25">
        <f>T668/N668</f>
        <v/>
      </c>
      <c r="Y668" s="28">
        <f>IF(W668=MAXIFS(W$2:W$3601, A$2:A$3601, A668, B$2:B$3601, B668), "OPTIMAL", "")</f>
        <v/>
      </c>
    </row>
    <row r="669" ht="20" customHeight="1">
      <c r="A669" s="29" t="n">
        <v>4</v>
      </c>
      <c r="B669" s="29" t="n">
        <v>30</v>
      </c>
      <c r="C669" s="30" t="n">
        <v>115</v>
      </c>
      <c r="D669" s="30" t="n">
        <v>3</v>
      </c>
      <c r="E669" s="6" t="n">
        <v>4</v>
      </c>
      <c r="F669" s="30" t="n">
        <v>1.5</v>
      </c>
      <c r="G669" s="6" t="inlineStr">
        <is>
          <t>Non</t>
        </is>
      </c>
      <c r="H669" s="6" t="inlineStr">
        <is>
          <t>OFF</t>
        </is>
      </c>
      <c r="I669" s="31" t="n">
        <v>718.2417398266504</v>
      </c>
      <c r="J669" s="31" t="n">
        <v>2366.073881799197</v>
      </c>
      <c r="K669" s="31" t="n">
        <v>1847.222222222222</v>
      </c>
      <c r="L669" s="31" t="n">
        <v>150</v>
      </c>
      <c r="M669" s="31">
        <f>I669+J669+K669+L669</f>
        <v/>
      </c>
      <c r="N669" s="31">
        <f>M669*'Dashboard &amp; Optimisation'!$B$18/('Dashboard &amp; Optimisation'!$B$16/3.6)</f>
        <v/>
      </c>
      <c r="O669" s="31" t="n">
        <v>400.6955033060303</v>
      </c>
      <c r="P669" s="32" t="n">
        <v>0.276694409860959</v>
      </c>
      <c r="Q669" s="33" t="n">
        <v>5.941492669983736</v>
      </c>
      <c r="R669" s="31" t="n">
        <v>381.1554799423035</v>
      </c>
      <c r="S669" s="31">
        <f>R669*IF(A669=4, 2.0, 3.0)</f>
        <v/>
      </c>
      <c r="T669" s="30">
        <f>'Dashboard &amp; Optimisation'!$B$18*U669</f>
        <v/>
      </c>
      <c r="U669" s="34">
        <f>MIN(1, S669/M669)</f>
        <v/>
      </c>
      <c r="V669" s="34">
        <f>N669/(N669+O669)</f>
        <v/>
      </c>
      <c r="W669" s="34">
        <f>U669*V669</f>
        <v/>
      </c>
      <c r="X669" s="32">
        <f>T669/N669</f>
        <v/>
      </c>
      <c r="Y669" s="35">
        <f>IF(W669=MAXIFS(W$2:W$3601, A$2:A$3601, A669, B$2:B$3601, B669), "OPTIMAL", "")</f>
        <v/>
      </c>
    </row>
    <row r="670" ht="20" customHeight="1">
      <c r="A670" s="21" t="n">
        <v>4</v>
      </c>
      <c r="B670" s="21" t="n">
        <v>30</v>
      </c>
      <c r="C670" s="22" t="n">
        <v>115</v>
      </c>
      <c r="D670" s="22" t="n">
        <v>3</v>
      </c>
      <c r="E670" s="23" t="n">
        <v>4</v>
      </c>
      <c r="F670" s="22" t="n">
        <v>2</v>
      </c>
      <c r="G670" s="23" t="inlineStr">
        <is>
          <t>Oui</t>
        </is>
      </c>
      <c r="H670" s="23" t="inlineStr">
        <is>
          <t>ON</t>
        </is>
      </c>
      <c r="I670" s="24" t="n">
        <v>718.2417398266504</v>
      </c>
      <c r="J670" s="24" t="n">
        <v>2366.073881799197</v>
      </c>
      <c r="K670" s="24" t="n">
        <v>1847.222222222222</v>
      </c>
      <c r="L670" s="24" t="n">
        <v>150</v>
      </c>
      <c r="M670" s="24">
        <f>I670+J670+K670+L670</f>
        <v/>
      </c>
      <c r="N670" s="24">
        <f>M670*'Dashboard &amp; Optimisation'!$B$18/('Dashboard &amp; Optimisation'!$B$16/3.6)</f>
        <v/>
      </c>
      <c r="O670" s="24" t="n">
        <v>438.2822286857414</v>
      </c>
      <c r="P670" s="25" t="n">
        <v>0.06595572049116703</v>
      </c>
      <c r="Q670" s="26" t="n">
        <v>7.855323559978315</v>
      </c>
      <c r="R670" s="24" t="n">
        <v>1614.528713856735</v>
      </c>
      <c r="S670" s="24">
        <f>R670*IF(A670=4, 2.0, 3.0)</f>
        <v/>
      </c>
      <c r="T670" s="22">
        <f>'Dashboard &amp; Optimisation'!$B$18*U670</f>
        <v/>
      </c>
      <c r="U670" s="27">
        <f>MIN(1, S670/M670)</f>
        <v/>
      </c>
      <c r="V670" s="27">
        <f>N670/(N670+O670)</f>
        <v/>
      </c>
      <c r="W670" s="27">
        <f>U670*V670</f>
        <v/>
      </c>
      <c r="X670" s="25">
        <f>T670/N670</f>
        <v/>
      </c>
      <c r="Y670" s="28">
        <f>IF(W670=MAXIFS(W$2:W$3601, A$2:A$3601, A670, B$2:B$3601, B670), "OPTIMAL", "")</f>
        <v/>
      </c>
    </row>
    <row r="671" ht="20" customHeight="1">
      <c r="A671" s="29" t="n">
        <v>4</v>
      </c>
      <c r="B671" s="29" t="n">
        <v>30</v>
      </c>
      <c r="C671" s="30" t="n">
        <v>115</v>
      </c>
      <c r="D671" s="30" t="n">
        <v>3</v>
      </c>
      <c r="E671" s="6" t="n">
        <v>4</v>
      </c>
      <c r="F671" s="30" t="n">
        <v>2</v>
      </c>
      <c r="G671" s="6" t="inlineStr">
        <is>
          <t>Oui</t>
        </is>
      </c>
      <c r="H671" s="6" t="inlineStr">
        <is>
          <t>OFF</t>
        </is>
      </c>
      <c r="I671" s="31" t="n">
        <v>718.2417398266504</v>
      </c>
      <c r="J671" s="31" t="n">
        <v>2366.073881799197</v>
      </c>
      <c r="K671" s="31" t="n">
        <v>1847.222222222222</v>
      </c>
      <c r="L671" s="31" t="n">
        <v>150</v>
      </c>
      <c r="M671" s="31">
        <f>I671+J671+K671+L671</f>
        <v/>
      </c>
      <c r="N671" s="31">
        <f>M671*'Dashboard &amp; Optimisation'!$B$18/('Dashboard &amp; Optimisation'!$B$16/3.6)</f>
        <v/>
      </c>
      <c r="O671" s="31" t="n">
        <v>438.2822286857414</v>
      </c>
      <c r="P671" s="32" t="n">
        <v>0.2772478604823886</v>
      </c>
      <c r="Q671" s="33" t="n">
        <v>7.855323559978315</v>
      </c>
      <c r="R671" s="31" t="n">
        <v>384.0873808397254</v>
      </c>
      <c r="S671" s="31">
        <f>R671*IF(A671=4, 2.0, 3.0)</f>
        <v/>
      </c>
      <c r="T671" s="30">
        <f>'Dashboard &amp; Optimisation'!$B$18*U671</f>
        <v/>
      </c>
      <c r="U671" s="34">
        <f>MIN(1, S671/M671)</f>
        <v/>
      </c>
      <c r="V671" s="34">
        <f>N671/(N671+O671)</f>
        <v/>
      </c>
      <c r="W671" s="34">
        <f>U671*V671</f>
        <v/>
      </c>
      <c r="X671" s="32">
        <f>T671/N671</f>
        <v/>
      </c>
      <c r="Y671" s="35">
        <f>IF(W671=MAXIFS(W$2:W$3601, A$2:A$3601, A671, B$2:B$3601, B671), "OPTIMAL", "")</f>
        <v/>
      </c>
    </row>
    <row r="672" ht="20" customHeight="1">
      <c r="A672" s="21" t="n">
        <v>4</v>
      </c>
      <c r="B672" s="21" t="n">
        <v>30</v>
      </c>
      <c r="C672" s="22" t="n">
        <v>115</v>
      </c>
      <c r="D672" s="22" t="n">
        <v>3</v>
      </c>
      <c r="E672" s="23" t="n">
        <v>4</v>
      </c>
      <c r="F672" s="22" t="n">
        <v>2</v>
      </c>
      <c r="G672" s="23" t="inlineStr">
        <is>
          <t>Non</t>
        </is>
      </c>
      <c r="H672" s="23" t="inlineStr">
        <is>
          <t>ON</t>
        </is>
      </c>
      <c r="I672" s="24" t="n">
        <v>718.2417398266504</v>
      </c>
      <c r="J672" s="24" t="n">
        <v>2366.073881799197</v>
      </c>
      <c r="K672" s="24" t="n">
        <v>1847.222222222222</v>
      </c>
      <c r="L672" s="24" t="n">
        <v>150</v>
      </c>
      <c r="M672" s="24">
        <f>I672+J672+K672+L672</f>
        <v/>
      </c>
      <c r="N672" s="24">
        <f>M672*'Dashboard &amp; Optimisation'!$B$18/('Dashboard &amp; Optimisation'!$B$16/3.6)</f>
        <v/>
      </c>
      <c r="O672" s="24" t="n">
        <v>438.2822286857414</v>
      </c>
      <c r="P672" s="25" t="n">
        <v>0.06318780843739494</v>
      </c>
      <c r="Q672" s="26" t="n">
        <v>7.855323559978315</v>
      </c>
      <c r="R672" s="24" t="n">
        <v>1685.252380316427</v>
      </c>
      <c r="S672" s="24">
        <f>R672*IF(A672=4, 2.0, 3.0)</f>
        <v/>
      </c>
      <c r="T672" s="22">
        <f>'Dashboard &amp; Optimisation'!$B$18*U672</f>
        <v/>
      </c>
      <c r="U672" s="27">
        <f>MIN(1, S672/M672)</f>
        <v/>
      </c>
      <c r="V672" s="27">
        <f>N672/(N672+O672)</f>
        <v/>
      </c>
      <c r="W672" s="27">
        <f>U672*V672</f>
        <v/>
      </c>
      <c r="X672" s="25">
        <f>T672/N672</f>
        <v/>
      </c>
      <c r="Y672" s="28">
        <f>IF(W672=MAXIFS(W$2:W$3601, A$2:A$3601, A672, B$2:B$3601, B672), "OPTIMAL", "")</f>
        <v/>
      </c>
    </row>
    <row r="673" ht="20" customHeight="1">
      <c r="A673" s="29" t="n">
        <v>4</v>
      </c>
      <c r="B673" s="29" t="n">
        <v>30</v>
      </c>
      <c r="C673" s="30" t="n">
        <v>115</v>
      </c>
      <c r="D673" s="30" t="n">
        <v>3</v>
      </c>
      <c r="E673" s="6" t="n">
        <v>4</v>
      </c>
      <c r="F673" s="30" t="n">
        <v>2</v>
      </c>
      <c r="G673" s="6" t="inlineStr">
        <is>
          <t>Non</t>
        </is>
      </c>
      <c r="H673" s="6" t="inlineStr">
        <is>
          <t>OFF</t>
        </is>
      </c>
      <c r="I673" s="31" t="n">
        <v>718.2417398266504</v>
      </c>
      <c r="J673" s="31" t="n">
        <v>2366.073881799197</v>
      </c>
      <c r="K673" s="31" t="n">
        <v>1847.222222222222</v>
      </c>
      <c r="L673" s="31" t="n">
        <v>150</v>
      </c>
      <c r="M673" s="31">
        <f>I673+J673+K673+L673</f>
        <v/>
      </c>
      <c r="N673" s="31">
        <f>M673*'Dashboard &amp; Optimisation'!$B$18/('Dashboard &amp; Optimisation'!$B$16/3.6)</f>
        <v/>
      </c>
      <c r="O673" s="31" t="n">
        <v>438.2822286857414</v>
      </c>
      <c r="P673" s="32" t="n">
        <v>0.2744799484286165</v>
      </c>
      <c r="Q673" s="33" t="n">
        <v>7.855323559978315</v>
      </c>
      <c r="R673" s="31" t="n">
        <v>387.9605967056359</v>
      </c>
      <c r="S673" s="31">
        <f>R673*IF(A673=4, 2.0, 3.0)</f>
        <v/>
      </c>
      <c r="T673" s="30">
        <f>'Dashboard &amp; Optimisation'!$B$18*U673</f>
        <v/>
      </c>
      <c r="U673" s="34">
        <f>MIN(1, S673/M673)</f>
        <v/>
      </c>
      <c r="V673" s="34">
        <f>N673/(N673+O673)</f>
        <v/>
      </c>
      <c r="W673" s="34">
        <f>U673*V673</f>
        <v/>
      </c>
      <c r="X673" s="32">
        <f>T673/N673</f>
        <v/>
      </c>
      <c r="Y673" s="35">
        <f>IF(W673=MAXIFS(W$2:W$3601, A$2:A$3601, A673, B$2:B$3601, B673), "OPTIMAL", "")</f>
        <v/>
      </c>
    </row>
    <row r="674" ht="20" customHeight="1">
      <c r="A674" s="21" t="n">
        <v>4</v>
      </c>
      <c r="B674" s="21" t="n">
        <v>30</v>
      </c>
      <c r="C674" s="22" t="n">
        <v>115</v>
      </c>
      <c r="D674" s="22" t="n">
        <v>3</v>
      </c>
      <c r="E674" s="23" t="n">
        <v>8</v>
      </c>
      <c r="F674" s="22" t="n">
        <v>1.5</v>
      </c>
      <c r="G674" s="23" t="inlineStr">
        <is>
          <t>Oui</t>
        </is>
      </c>
      <c r="H674" s="23" t="inlineStr">
        <is>
          <t>ON</t>
        </is>
      </c>
      <c r="I674" s="24" t="n">
        <v>718.2417398266504</v>
      </c>
      <c r="J674" s="24" t="n">
        <v>2366.073881799197</v>
      </c>
      <c r="K674" s="24" t="n">
        <v>1847.222222222222</v>
      </c>
      <c r="L674" s="24" t="n">
        <v>150</v>
      </c>
      <c r="M674" s="24">
        <f>I674+J674+K674+L674</f>
        <v/>
      </c>
      <c r="N674" s="24">
        <f>M674*'Dashboard &amp; Optimisation'!$B$18/('Dashboard &amp; Optimisation'!$B$16/3.6)</f>
        <v/>
      </c>
      <c r="O674" s="24" t="n">
        <v>515.6883221190205</v>
      </c>
      <c r="P674" s="25" t="n">
        <v>0.05237734442636455</v>
      </c>
      <c r="Q674" s="26" t="n">
        <v>11.68298533996747</v>
      </c>
      <c r="R674" s="24" t="n">
        <v>2073.336249721061</v>
      </c>
      <c r="S674" s="24">
        <f>R674*IF(A674=4, 2.0, 3.0)</f>
        <v/>
      </c>
      <c r="T674" s="22">
        <f>'Dashboard &amp; Optimisation'!$B$18*U674</f>
        <v/>
      </c>
      <c r="U674" s="27">
        <f>MIN(1, S674/M674)</f>
        <v/>
      </c>
      <c r="V674" s="27">
        <f>N674/(N674+O674)</f>
        <v/>
      </c>
      <c r="W674" s="27">
        <f>U674*V674</f>
        <v/>
      </c>
      <c r="X674" s="25">
        <f>T674/N674</f>
        <v/>
      </c>
      <c r="Y674" s="28">
        <f>IF(W674=MAXIFS(W$2:W$3601, A$2:A$3601, A674, B$2:B$3601, B674), "OPTIMAL", "")</f>
        <v/>
      </c>
    </row>
    <row r="675" ht="20" customHeight="1">
      <c r="A675" s="29" t="n">
        <v>4</v>
      </c>
      <c r="B675" s="29" t="n">
        <v>30</v>
      </c>
      <c r="C675" s="30" t="n">
        <v>115</v>
      </c>
      <c r="D675" s="30" t="n">
        <v>3</v>
      </c>
      <c r="E675" s="6" t="n">
        <v>8</v>
      </c>
      <c r="F675" s="30" t="n">
        <v>1.5</v>
      </c>
      <c r="G675" s="6" t="inlineStr">
        <is>
          <t>Oui</t>
        </is>
      </c>
      <c r="H675" s="6" t="inlineStr">
        <is>
          <t>OFF</t>
        </is>
      </c>
      <c r="I675" s="31" t="n">
        <v>718.2417398266504</v>
      </c>
      <c r="J675" s="31" t="n">
        <v>2366.073881799197</v>
      </c>
      <c r="K675" s="31" t="n">
        <v>1847.222222222222</v>
      </c>
      <c r="L675" s="31" t="n">
        <v>150</v>
      </c>
      <c r="M675" s="31">
        <f>I675+J675+K675+L675</f>
        <v/>
      </c>
      <c r="N675" s="31">
        <f>M675*'Dashboard &amp; Optimisation'!$B$18/('Dashboard &amp; Optimisation'!$B$16/3.6)</f>
        <v/>
      </c>
      <c r="O675" s="31" t="n">
        <v>515.6883221190205</v>
      </c>
      <c r="P675" s="32" t="n">
        <v>0.2220791446673444</v>
      </c>
      <c r="Q675" s="33" t="n">
        <v>11.68298533996747</v>
      </c>
      <c r="R675" s="31" t="n">
        <v>488.9961505659361</v>
      </c>
      <c r="S675" s="31">
        <f>R675*IF(A675=4, 2.0, 3.0)</f>
        <v/>
      </c>
      <c r="T675" s="30">
        <f>'Dashboard &amp; Optimisation'!$B$18*U675</f>
        <v/>
      </c>
      <c r="U675" s="34">
        <f>MIN(1, S675/M675)</f>
        <v/>
      </c>
      <c r="V675" s="34">
        <f>N675/(N675+O675)</f>
        <v/>
      </c>
      <c r="W675" s="34">
        <f>U675*V675</f>
        <v/>
      </c>
      <c r="X675" s="32">
        <f>T675/N675</f>
        <v/>
      </c>
      <c r="Y675" s="35">
        <f>IF(W675=MAXIFS(W$2:W$3601, A$2:A$3601, A675, B$2:B$3601, B675), "OPTIMAL", "")</f>
        <v/>
      </c>
    </row>
    <row r="676" ht="20" customHeight="1">
      <c r="A676" s="21" t="n">
        <v>4</v>
      </c>
      <c r="B676" s="21" t="n">
        <v>30</v>
      </c>
      <c r="C676" s="22" t="n">
        <v>115</v>
      </c>
      <c r="D676" s="22" t="n">
        <v>3</v>
      </c>
      <c r="E676" s="23" t="n">
        <v>8</v>
      </c>
      <c r="F676" s="22" t="n">
        <v>1.5</v>
      </c>
      <c r="G676" s="23" t="inlineStr">
        <is>
          <t>Non</t>
        </is>
      </c>
      <c r="H676" s="23" t="inlineStr">
        <is>
          <t>ON</t>
        </is>
      </c>
      <c r="I676" s="24" t="n">
        <v>718.2417398266504</v>
      </c>
      <c r="J676" s="24" t="n">
        <v>2366.073881799197</v>
      </c>
      <c r="K676" s="24" t="n">
        <v>1847.222222222222</v>
      </c>
      <c r="L676" s="24" t="n">
        <v>150</v>
      </c>
      <c r="M676" s="24">
        <f>I676+J676+K676+L676</f>
        <v/>
      </c>
      <c r="N676" s="24">
        <f>M676*'Dashboard &amp; Optimisation'!$B$18/('Dashboard &amp; Optimisation'!$B$16/3.6)</f>
        <v/>
      </c>
      <c r="O676" s="24" t="n">
        <v>515.6883221190205</v>
      </c>
      <c r="P676" s="25" t="n">
        <v>0.04960943237259246</v>
      </c>
      <c r="Q676" s="26" t="n">
        <v>11.68298533996747</v>
      </c>
      <c r="R676" s="24" t="n">
        <v>2189.016113865124</v>
      </c>
      <c r="S676" s="24">
        <f>R676*IF(A676=4, 2.0, 3.0)</f>
        <v/>
      </c>
      <c r="T676" s="22">
        <f>'Dashboard &amp; Optimisation'!$B$18*U676</f>
        <v/>
      </c>
      <c r="U676" s="27">
        <f>MIN(1, S676/M676)</f>
        <v/>
      </c>
      <c r="V676" s="27">
        <f>N676/(N676+O676)</f>
        <v/>
      </c>
      <c r="W676" s="27">
        <f>U676*V676</f>
        <v/>
      </c>
      <c r="X676" s="25">
        <f>T676/N676</f>
        <v/>
      </c>
      <c r="Y676" s="28">
        <f>IF(W676=MAXIFS(W$2:W$3601, A$2:A$3601, A676, B$2:B$3601, B676), "OPTIMAL", "")</f>
        <v/>
      </c>
    </row>
    <row r="677" ht="20" customHeight="1">
      <c r="A677" s="29" t="n">
        <v>4</v>
      </c>
      <c r="B677" s="29" t="n">
        <v>30</v>
      </c>
      <c r="C677" s="30" t="n">
        <v>115</v>
      </c>
      <c r="D677" s="30" t="n">
        <v>3</v>
      </c>
      <c r="E677" s="6" t="n">
        <v>8</v>
      </c>
      <c r="F677" s="30" t="n">
        <v>1.5</v>
      </c>
      <c r="G677" s="6" t="inlineStr">
        <is>
          <t>Non</t>
        </is>
      </c>
      <c r="H677" s="6" t="inlineStr">
        <is>
          <t>OFF</t>
        </is>
      </c>
      <c r="I677" s="31" t="n">
        <v>718.2417398266504</v>
      </c>
      <c r="J677" s="31" t="n">
        <v>2366.073881799197</v>
      </c>
      <c r="K677" s="31" t="n">
        <v>1847.222222222222</v>
      </c>
      <c r="L677" s="31" t="n">
        <v>150</v>
      </c>
      <c r="M677" s="31">
        <f>I677+J677+K677+L677</f>
        <v/>
      </c>
      <c r="N677" s="31">
        <f>M677*'Dashboard &amp; Optimisation'!$B$18/('Dashboard &amp; Optimisation'!$B$16/3.6)</f>
        <v/>
      </c>
      <c r="O677" s="31" t="n">
        <v>515.6883221190205</v>
      </c>
      <c r="P677" s="32" t="n">
        <v>0.2193112326135723</v>
      </c>
      <c r="Q677" s="33" t="n">
        <v>11.68298533996747</v>
      </c>
      <c r="R677" s="31" t="n">
        <v>495.167737507789</v>
      </c>
      <c r="S677" s="31">
        <f>R677*IF(A677=4, 2.0, 3.0)</f>
        <v/>
      </c>
      <c r="T677" s="30">
        <f>'Dashboard &amp; Optimisation'!$B$18*U677</f>
        <v/>
      </c>
      <c r="U677" s="34">
        <f>MIN(1, S677/M677)</f>
        <v/>
      </c>
      <c r="V677" s="34">
        <f>N677/(N677+O677)</f>
        <v/>
      </c>
      <c r="W677" s="34">
        <f>U677*V677</f>
        <v/>
      </c>
      <c r="X677" s="32">
        <f>T677/N677</f>
        <v/>
      </c>
      <c r="Y677" s="35">
        <f>IF(W677=MAXIFS(W$2:W$3601, A$2:A$3601, A677, B$2:B$3601, B677), "OPTIMAL", "")</f>
        <v/>
      </c>
    </row>
    <row r="678" ht="20" customHeight="1">
      <c r="A678" s="21" t="n">
        <v>4</v>
      </c>
      <c r="B678" s="21" t="n">
        <v>30</v>
      </c>
      <c r="C678" s="22" t="n">
        <v>115</v>
      </c>
      <c r="D678" s="22" t="n">
        <v>3</v>
      </c>
      <c r="E678" s="23" t="n">
        <v>8</v>
      </c>
      <c r="F678" s="22" t="n">
        <v>2</v>
      </c>
      <c r="G678" s="23" t="inlineStr">
        <is>
          <t>Oui</t>
        </is>
      </c>
      <c r="H678" s="23" t="inlineStr">
        <is>
          <t>ON</t>
        </is>
      </c>
      <c r="I678" s="24" t="n">
        <v>718.2417398266504</v>
      </c>
      <c r="J678" s="24" t="n">
        <v>2366.073881799197</v>
      </c>
      <c r="K678" s="24" t="n">
        <v>1847.222222222222</v>
      </c>
      <c r="L678" s="24" t="n">
        <v>150</v>
      </c>
      <c r="M678" s="24">
        <f>I678+J678+K678+L678</f>
        <v/>
      </c>
      <c r="N678" s="24">
        <f>M678*'Dashboard &amp; Optimisation'!$B$18/('Dashboard &amp; Optimisation'!$B$16/3.6)</f>
        <v/>
      </c>
      <c r="O678" s="24" t="n">
        <v>596.2216028150098</v>
      </c>
      <c r="P678" s="25" t="n">
        <v>0.05090778119320737</v>
      </c>
      <c r="Q678" s="26" t="n">
        <v>15.51064711995663</v>
      </c>
      <c r="R678" s="24" t="n">
        <v>2176.27771446781</v>
      </c>
      <c r="S678" s="24">
        <f>R678*IF(A678=4, 2.0, 3.0)</f>
        <v/>
      </c>
      <c r="T678" s="22">
        <f>'Dashboard &amp; Optimisation'!$B$18*U678</f>
        <v/>
      </c>
      <c r="U678" s="27">
        <f>MIN(1, S678/M678)</f>
        <v/>
      </c>
      <c r="V678" s="27">
        <f>N678/(N678+O678)</f>
        <v/>
      </c>
      <c r="W678" s="27">
        <f>U678*V678</f>
        <v/>
      </c>
      <c r="X678" s="25">
        <f>T678/N678</f>
        <v/>
      </c>
      <c r="Y678" s="28">
        <f>IF(W678=MAXIFS(W$2:W$3601, A$2:A$3601, A678, B$2:B$3601, B678), "OPTIMAL", "")</f>
        <v/>
      </c>
    </row>
    <row r="679" ht="20" customHeight="1">
      <c r="A679" s="29" t="n">
        <v>4</v>
      </c>
      <c r="B679" s="29" t="n">
        <v>30</v>
      </c>
      <c r="C679" s="30" t="n">
        <v>115</v>
      </c>
      <c r="D679" s="30" t="n">
        <v>3</v>
      </c>
      <c r="E679" s="6" t="n">
        <v>8</v>
      </c>
      <c r="F679" s="30" t="n">
        <v>2</v>
      </c>
      <c r="G679" s="6" t="inlineStr">
        <is>
          <t>Oui</t>
        </is>
      </c>
      <c r="H679" s="6" t="inlineStr">
        <is>
          <t>OFF</t>
        </is>
      </c>
      <c r="I679" s="31" t="n">
        <v>718.2417398266504</v>
      </c>
      <c r="J679" s="31" t="n">
        <v>2366.073881799197</v>
      </c>
      <c r="K679" s="31" t="n">
        <v>1847.222222222222</v>
      </c>
      <c r="L679" s="31" t="n">
        <v>150</v>
      </c>
      <c r="M679" s="31">
        <f>I679+J679+K679+L679</f>
        <v/>
      </c>
      <c r="N679" s="31">
        <f>M679*'Dashboard &amp; Optimisation'!$B$18/('Dashboard &amp; Optimisation'!$B$16/3.6)</f>
        <v/>
      </c>
      <c r="O679" s="31" t="n">
        <v>596.2216028150098</v>
      </c>
      <c r="P679" s="32" t="n">
        <v>0.2217675898086125</v>
      </c>
      <c r="Q679" s="33" t="n">
        <v>15.51064711995663</v>
      </c>
      <c r="R679" s="31" t="n">
        <v>499.5746664307125</v>
      </c>
      <c r="S679" s="31">
        <f>R679*IF(A679=4, 2.0, 3.0)</f>
        <v/>
      </c>
      <c r="T679" s="30">
        <f>'Dashboard &amp; Optimisation'!$B$18*U679</f>
        <v/>
      </c>
      <c r="U679" s="34">
        <f>MIN(1, S679/M679)</f>
        <v/>
      </c>
      <c r="V679" s="34">
        <f>N679/(N679+O679)</f>
        <v/>
      </c>
      <c r="W679" s="34">
        <f>U679*V679</f>
        <v/>
      </c>
      <c r="X679" s="32">
        <f>T679/N679</f>
        <v/>
      </c>
      <c r="Y679" s="35">
        <f>IF(W679=MAXIFS(W$2:W$3601, A$2:A$3601, A679, B$2:B$3601, B679), "OPTIMAL", "")</f>
        <v/>
      </c>
    </row>
    <row r="680" ht="20" customHeight="1">
      <c r="A680" s="21" t="n">
        <v>4</v>
      </c>
      <c r="B680" s="21" t="n">
        <v>30</v>
      </c>
      <c r="C680" s="22" t="n">
        <v>115</v>
      </c>
      <c r="D680" s="22" t="n">
        <v>3</v>
      </c>
      <c r="E680" s="23" t="n">
        <v>8</v>
      </c>
      <c r="F680" s="22" t="n">
        <v>2</v>
      </c>
      <c r="G680" s="23" t="inlineStr">
        <is>
          <t>Non</t>
        </is>
      </c>
      <c r="H680" s="23" t="inlineStr">
        <is>
          <t>ON</t>
        </is>
      </c>
      <c r="I680" s="24" t="n">
        <v>718.2417398266504</v>
      </c>
      <c r="J680" s="24" t="n">
        <v>2366.073881799197</v>
      </c>
      <c r="K680" s="24" t="n">
        <v>1847.222222222222</v>
      </c>
      <c r="L680" s="24" t="n">
        <v>150</v>
      </c>
      <c r="M680" s="24">
        <f>I680+J680+K680+L680</f>
        <v/>
      </c>
      <c r="N680" s="24">
        <f>M680*'Dashboard &amp; Optimisation'!$B$18/('Dashboard &amp; Optimisation'!$B$16/3.6)</f>
        <v/>
      </c>
      <c r="O680" s="24" t="n">
        <v>596.2216028150098</v>
      </c>
      <c r="P680" s="25" t="n">
        <v>0.04813986913943527</v>
      </c>
      <c r="Q680" s="26" t="n">
        <v>15.51064711995663</v>
      </c>
      <c r="R680" s="24" t="n">
        <v>2301.407787023335</v>
      </c>
      <c r="S680" s="24">
        <f>R680*IF(A680=4, 2.0, 3.0)</f>
        <v/>
      </c>
      <c r="T680" s="22">
        <f>'Dashboard &amp; Optimisation'!$B$18*U680</f>
        <v/>
      </c>
      <c r="U680" s="27">
        <f>MIN(1, S680/M680)</f>
        <v/>
      </c>
      <c r="V680" s="27">
        <f>N680/(N680+O680)</f>
        <v/>
      </c>
      <c r="W680" s="27">
        <f>U680*V680</f>
        <v/>
      </c>
      <c r="X680" s="25">
        <f>T680/N680</f>
        <v/>
      </c>
      <c r="Y680" s="28">
        <f>IF(W680=MAXIFS(W$2:W$3601, A$2:A$3601, A680, B$2:B$3601, B680), "OPTIMAL", "")</f>
        <v/>
      </c>
    </row>
    <row r="681" ht="20" customHeight="1">
      <c r="A681" s="29" t="n">
        <v>4</v>
      </c>
      <c r="B681" s="29" t="n">
        <v>30</v>
      </c>
      <c r="C681" s="30" t="n">
        <v>115</v>
      </c>
      <c r="D681" s="30" t="n">
        <v>3</v>
      </c>
      <c r="E681" s="6" t="n">
        <v>8</v>
      </c>
      <c r="F681" s="30" t="n">
        <v>2</v>
      </c>
      <c r="G681" s="6" t="inlineStr">
        <is>
          <t>Non</t>
        </is>
      </c>
      <c r="H681" s="6" t="inlineStr">
        <is>
          <t>OFF</t>
        </is>
      </c>
      <c r="I681" s="31" t="n">
        <v>718.2417398266504</v>
      </c>
      <c r="J681" s="31" t="n">
        <v>2366.073881799197</v>
      </c>
      <c r="K681" s="31" t="n">
        <v>1847.222222222222</v>
      </c>
      <c r="L681" s="31" t="n">
        <v>150</v>
      </c>
      <c r="M681" s="31">
        <f>I681+J681+K681+L681</f>
        <v/>
      </c>
      <c r="N681" s="31">
        <f>M681*'Dashboard &amp; Optimisation'!$B$18/('Dashboard &amp; Optimisation'!$B$16/3.6)</f>
        <v/>
      </c>
      <c r="O681" s="31" t="n">
        <v>596.2216028150098</v>
      </c>
      <c r="P681" s="32" t="n">
        <v>0.2189996777548404</v>
      </c>
      <c r="Q681" s="33" t="n">
        <v>15.51064711995663</v>
      </c>
      <c r="R681" s="31" t="n">
        <v>505.8887338994358</v>
      </c>
      <c r="S681" s="31">
        <f>R681*IF(A681=4, 2.0, 3.0)</f>
        <v/>
      </c>
      <c r="T681" s="30">
        <f>'Dashboard &amp; Optimisation'!$B$18*U681</f>
        <v/>
      </c>
      <c r="U681" s="34">
        <f>MIN(1, S681/M681)</f>
        <v/>
      </c>
      <c r="V681" s="34">
        <f>N681/(N681+O681)</f>
        <v/>
      </c>
      <c r="W681" s="34">
        <f>U681*V681</f>
        <v/>
      </c>
      <c r="X681" s="32">
        <f>T681/N681</f>
        <v/>
      </c>
      <c r="Y681" s="35">
        <f>IF(W681=MAXIFS(W$2:W$3601, A$2:A$3601, A681, B$2:B$3601, B681), "OPTIMAL", "")</f>
        <v/>
      </c>
    </row>
    <row r="682" ht="20" customHeight="1">
      <c r="A682" s="21" t="n">
        <v>4</v>
      </c>
      <c r="B682" s="21" t="n">
        <v>30</v>
      </c>
      <c r="C682" s="22" t="n">
        <v>120</v>
      </c>
      <c r="D682" s="22" t="n">
        <v>2</v>
      </c>
      <c r="E682" s="23" t="n">
        <v>0</v>
      </c>
      <c r="F682" s="22" t="n">
        <v>0</v>
      </c>
      <c r="G682" s="23" t="inlineStr">
        <is>
          <t>Oui</t>
        </is>
      </c>
      <c r="H682" s="23" t="inlineStr">
        <is>
          <t>ON</t>
        </is>
      </c>
      <c r="I682" s="24" t="n">
        <v>718.2417398266504</v>
      </c>
      <c r="J682" s="24" t="n">
        <v>2366.073881799197</v>
      </c>
      <c r="K682" s="24" t="n">
        <v>1847.222222222222</v>
      </c>
      <c r="L682" s="24" t="n">
        <v>150</v>
      </c>
      <c r="M682" s="24">
        <f>I682+J682+K682+L682</f>
        <v/>
      </c>
      <c r="N682" s="24">
        <f>M682*'Dashboard &amp; Optimisation'!$B$18/('Dashboard &amp; Optimisation'!$B$16/3.6)</f>
        <v/>
      </c>
      <c r="O682" s="24" t="n">
        <v>181.1823970958941</v>
      </c>
      <c r="P682" s="25" t="n">
        <v>0.4668808197339223</v>
      </c>
      <c r="Q682" s="26" t="n">
        <v>0.2</v>
      </c>
      <c r="R682" s="24" t="n">
        <v>193.8582681655436</v>
      </c>
      <c r="S682" s="24">
        <f>R682*IF(A682=4, 2.0, 3.0)</f>
        <v/>
      </c>
      <c r="T682" s="22">
        <f>'Dashboard &amp; Optimisation'!$B$18*U682</f>
        <v/>
      </c>
      <c r="U682" s="27">
        <f>MIN(1, S682/M682)</f>
        <v/>
      </c>
      <c r="V682" s="27">
        <f>N682/(N682+O682)</f>
        <v/>
      </c>
      <c r="W682" s="27">
        <f>U682*V682</f>
        <v/>
      </c>
      <c r="X682" s="25">
        <f>T682/N682</f>
        <v/>
      </c>
      <c r="Y682" s="28">
        <f>IF(W682=MAXIFS(W$2:W$3601, A$2:A$3601, A682, B$2:B$3601, B682), "OPTIMAL", "")</f>
        <v/>
      </c>
    </row>
    <row r="683" ht="20" customHeight="1">
      <c r="A683" s="29" t="n">
        <v>4</v>
      </c>
      <c r="B683" s="29" t="n">
        <v>30</v>
      </c>
      <c r="C683" s="30" t="n">
        <v>120</v>
      </c>
      <c r="D683" s="30" t="n">
        <v>2</v>
      </c>
      <c r="E683" s="6" t="n">
        <v>0</v>
      </c>
      <c r="F683" s="30" t="n">
        <v>0</v>
      </c>
      <c r="G683" s="6" t="inlineStr">
        <is>
          <t>Oui</t>
        </is>
      </c>
      <c r="H683" s="6" t="inlineStr">
        <is>
          <t>OFF</t>
        </is>
      </c>
      <c r="I683" s="31" t="n">
        <v>718.2417398266504</v>
      </c>
      <c r="J683" s="31" t="n">
        <v>2366.073881799197</v>
      </c>
      <c r="K683" s="31" t="n">
        <v>1847.222222222222</v>
      </c>
      <c r="L683" s="31" t="n">
        <v>150</v>
      </c>
      <c r="M683" s="31">
        <f>I683+J683+K683+L683</f>
        <v/>
      </c>
      <c r="N683" s="31">
        <f>M683*'Dashboard &amp; Optimisation'!$B$18/('Dashboard &amp; Optimisation'!$B$16/3.6)</f>
        <v/>
      </c>
      <c r="O683" s="31" t="n">
        <v>181.1823970958941</v>
      </c>
      <c r="P683" s="32" t="n">
        <v>0.7321390582204146</v>
      </c>
      <c r="Q683" s="33" t="n">
        <v>0.2</v>
      </c>
      <c r="R683" s="31" t="n">
        <v>123.6222902426814</v>
      </c>
      <c r="S683" s="31">
        <f>R683*IF(A683=4, 2.0, 3.0)</f>
        <v/>
      </c>
      <c r="T683" s="30">
        <f>'Dashboard &amp; Optimisation'!$B$18*U683</f>
        <v/>
      </c>
      <c r="U683" s="34">
        <f>MIN(1, S683/M683)</f>
        <v/>
      </c>
      <c r="V683" s="34">
        <f>N683/(N683+O683)</f>
        <v/>
      </c>
      <c r="W683" s="34">
        <f>U683*V683</f>
        <v/>
      </c>
      <c r="X683" s="32">
        <f>T683/N683</f>
        <v/>
      </c>
      <c r="Y683" s="35">
        <f>IF(W683=MAXIFS(W$2:W$3601, A$2:A$3601, A683, B$2:B$3601, B683), "OPTIMAL", "")</f>
        <v/>
      </c>
    </row>
    <row r="684" ht="20" customHeight="1">
      <c r="A684" s="21" t="n">
        <v>4</v>
      </c>
      <c r="B684" s="21" t="n">
        <v>30</v>
      </c>
      <c r="C684" s="22" t="n">
        <v>120</v>
      </c>
      <c r="D684" s="22" t="n">
        <v>2</v>
      </c>
      <c r="E684" s="23" t="n">
        <v>0</v>
      </c>
      <c r="F684" s="22" t="n">
        <v>0</v>
      </c>
      <c r="G684" s="23" t="inlineStr">
        <is>
          <t>Non</t>
        </is>
      </c>
      <c r="H684" s="23" t="inlineStr">
        <is>
          <t>ON</t>
        </is>
      </c>
      <c r="I684" s="24" t="n">
        <v>718.2417398266504</v>
      </c>
      <c r="J684" s="24" t="n">
        <v>2366.073881799197</v>
      </c>
      <c r="K684" s="24" t="n">
        <v>1847.222222222222</v>
      </c>
      <c r="L684" s="24" t="n">
        <v>150</v>
      </c>
      <c r="M684" s="24">
        <f>I684+J684+K684+L684</f>
        <v/>
      </c>
      <c r="N684" s="24">
        <f>M684*'Dashboard &amp; Optimisation'!$B$18/('Dashboard &amp; Optimisation'!$B$16/3.6)</f>
        <v/>
      </c>
      <c r="O684" s="24" t="n">
        <v>181.1823970958941</v>
      </c>
      <c r="P684" s="25" t="n">
        <v>0.4642282373490574</v>
      </c>
      <c r="Q684" s="26" t="n">
        <v>0.2</v>
      </c>
      <c r="R684" s="24" t="n">
        <v>194.9659668919993</v>
      </c>
      <c r="S684" s="24">
        <f>R684*IF(A684=4, 2.0, 3.0)</f>
        <v/>
      </c>
      <c r="T684" s="22">
        <f>'Dashboard &amp; Optimisation'!$B$18*U684</f>
        <v/>
      </c>
      <c r="U684" s="27">
        <f>MIN(1, S684/M684)</f>
        <v/>
      </c>
      <c r="V684" s="27">
        <f>N684/(N684+O684)</f>
        <v/>
      </c>
      <c r="W684" s="27">
        <f>U684*V684</f>
        <v/>
      </c>
      <c r="X684" s="25">
        <f>T684/N684</f>
        <v/>
      </c>
      <c r="Y684" s="28">
        <f>IF(W684=MAXIFS(W$2:W$3601, A$2:A$3601, A684, B$2:B$3601, B684), "OPTIMAL", "")</f>
        <v/>
      </c>
    </row>
    <row r="685" ht="20" customHeight="1">
      <c r="A685" s="29" t="n">
        <v>4</v>
      </c>
      <c r="B685" s="29" t="n">
        <v>30</v>
      </c>
      <c r="C685" s="30" t="n">
        <v>120</v>
      </c>
      <c r="D685" s="30" t="n">
        <v>2</v>
      </c>
      <c r="E685" s="6" t="n">
        <v>0</v>
      </c>
      <c r="F685" s="30" t="n">
        <v>0</v>
      </c>
      <c r="G685" s="6" t="inlineStr">
        <is>
          <t>Non</t>
        </is>
      </c>
      <c r="H685" s="6" t="inlineStr">
        <is>
          <t>OFF</t>
        </is>
      </c>
      <c r="I685" s="31" t="n">
        <v>718.2417398266504</v>
      </c>
      <c r="J685" s="31" t="n">
        <v>2366.073881799197</v>
      </c>
      <c r="K685" s="31" t="n">
        <v>1847.222222222222</v>
      </c>
      <c r="L685" s="31" t="n">
        <v>150</v>
      </c>
      <c r="M685" s="31">
        <f>I685+J685+K685+L685</f>
        <v/>
      </c>
      <c r="N685" s="31">
        <f>M685*'Dashboard &amp; Optimisation'!$B$18/('Dashboard &amp; Optimisation'!$B$16/3.6)</f>
        <v/>
      </c>
      <c r="O685" s="31" t="n">
        <v>181.1823970958941</v>
      </c>
      <c r="P685" s="32" t="n">
        <v>0.7294864758355497</v>
      </c>
      <c r="Q685" s="33" t="n">
        <v>0.2</v>
      </c>
      <c r="R685" s="31" t="n">
        <v>124.071809624242</v>
      </c>
      <c r="S685" s="31">
        <f>R685*IF(A685=4, 2.0, 3.0)</f>
        <v/>
      </c>
      <c r="T685" s="30">
        <f>'Dashboard &amp; Optimisation'!$B$18*U685</f>
        <v/>
      </c>
      <c r="U685" s="34">
        <f>MIN(1, S685/M685)</f>
        <v/>
      </c>
      <c r="V685" s="34">
        <f>N685/(N685+O685)</f>
        <v/>
      </c>
      <c r="W685" s="34">
        <f>U685*V685</f>
        <v/>
      </c>
      <c r="X685" s="32">
        <f>T685/N685</f>
        <v/>
      </c>
      <c r="Y685" s="35">
        <f>IF(W685=MAXIFS(W$2:W$3601, A$2:A$3601, A685, B$2:B$3601, B685), "OPTIMAL", "")</f>
        <v/>
      </c>
    </row>
    <row r="686" ht="20" customHeight="1">
      <c r="A686" s="21" t="n">
        <v>4</v>
      </c>
      <c r="B686" s="21" t="n">
        <v>30</v>
      </c>
      <c r="C686" s="22" t="n">
        <v>120</v>
      </c>
      <c r="D686" s="22" t="n">
        <v>2</v>
      </c>
      <c r="E686" s="23" t="n">
        <v>4</v>
      </c>
      <c r="F686" s="22" t="n">
        <v>1.5</v>
      </c>
      <c r="G686" s="23" t="inlineStr">
        <is>
          <t>Oui</t>
        </is>
      </c>
      <c r="H686" s="23" t="inlineStr">
        <is>
          <t>ON</t>
        </is>
      </c>
      <c r="I686" s="24" t="n">
        <v>718.2417398266504</v>
      </c>
      <c r="J686" s="24" t="n">
        <v>2366.073881799197</v>
      </c>
      <c r="K686" s="24" t="n">
        <v>1847.222222222222</v>
      </c>
      <c r="L686" s="24" t="n">
        <v>150</v>
      </c>
      <c r="M686" s="24">
        <f>I686+J686+K686+L686</f>
        <v/>
      </c>
      <c r="N686" s="24">
        <f>M686*'Dashboard &amp; Optimisation'!$B$18/('Dashboard &amp; Optimisation'!$B$16/3.6)</f>
        <v/>
      </c>
      <c r="O686" s="24" t="n">
        <v>278.547339040556</v>
      </c>
      <c r="P686" s="25" t="n">
        <v>0.06805759746267123</v>
      </c>
      <c r="Q686" s="26" t="n">
        <v>5.595023284726097</v>
      </c>
      <c r="R686" s="24" t="n">
        <v>1365.864780752287</v>
      </c>
      <c r="S686" s="24">
        <f>R686*IF(A686=4, 2.0, 3.0)</f>
        <v/>
      </c>
      <c r="T686" s="22">
        <f>'Dashboard &amp; Optimisation'!$B$18*U686</f>
        <v/>
      </c>
      <c r="U686" s="27">
        <f>MIN(1, S686/M686)</f>
        <v/>
      </c>
      <c r="V686" s="27">
        <f>N686/(N686+O686)</f>
        <v/>
      </c>
      <c r="W686" s="27">
        <f>U686*V686</f>
        <v/>
      </c>
      <c r="X686" s="25">
        <f>T686/N686</f>
        <v/>
      </c>
      <c r="Y686" s="28">
        <f>IF(W686=MAXIFS(W$2:W$3601, A$2:A$3601, A686, B$2:B$3601, B686), "OPTIMAL", "")</f>
        <v/>
      </c>
    </row>
    <row r="687" ht="20" customHeight="1">
      <c r="A687" s="29" t="n">
        <v>4</v>
      </c>
      <c r="B687" s="29" t="n">
        <v>30</v>
      </c>
      <c r="C687" s="30" t="n">
        <v>120</v>
      </c>
      <c r="D687" s="30" t="n">
        <v>2</v>
      </c>
      <c r="E687" s="6" t="n">
        <v>4</v>
      </c>
      <c r="F687" s="30" t="n">
        <v>1.5</v>
      </c>
      <c r="G687" s="6" t="inlineStr">
        <is>
          <t>Oui</t>
        </is>
      </c>
      <c r="H687" s="6" t="inlineStr">
        <is>
          <t>OFF</t>
        </is>
      </c>
      <c r="I687" s="31" t="n">
        <v>718.2417398266504</v>
      </c>
      <c r="J687" s="31" t="n">
        <v>2366.073881799197</v>
      </c>
      <c r="K687" s="31" t="n">
        <v>1847.222222222222</v>
      </c>
      <c r="L687" s="31" t="n">
        <v>150</v>
      </c>
      <c r="M687" s="31">
        <f>I687+J687+K687+L687</f>
        <v/>
      </c>
      <c r="N687" s="31">
        <f>M687*'Dashboard &amp; Optimisation'!$B$18/('Dashboard &amp; Optimisation'!$B$16/3.6)</f>
        <v/>
      </c>
      <c r="O687" s="31" t="n">
        <v>278.547339040556</v>
      </c>
      <c r="P687" s="32" t="n">
        <v>0.2717308104184109</v>
      </c>
      <c r="Q687" s="33" t="n">
        <v>5.595023284726097</v>
      </c>
      <c r="R687" s="31" t="n">
        <v>342.0939837250808</v>
      </c>
      <c r="S687" s="31">
        <f>R687*IF(A687=4, 2.0, 3.0)</f>
        <v/>
      </c>
      <c r="T687" s="30">
        <f>'Dashboard &amp; Optimisation'!$B$18*U687</f>
        <v/>
      </c>
      <c r="U687" s="34">
        <f>MIN(1, S687/M687)</f>
        <v/>
      </c>
      <c r="V687" s="34">
        <f>N687/(N687+O687)</f>
        <v/>
      </c>
      <c r="W687" s="34">
        <f>U687*V687</f>
        <v/>
      </c>
      <c r="X687" s="32">
        <f>T687/N687</f>
        <v/>
      </c>
      <c r="Y687" s="35">
        <f>IF(W687=MAXIFS(W$2:W$3601, A$2:A$3601, A687, B$2:B$3601, B687), "OPTIMAL", "")</f>
        <v/>
      </c>
    </row>
    <row r="688" ht="20" customHeight="1">
      <c r="A688" s="21" t="n">
        <v>4</v>
      </c>
      <c r="B688" s="21" t="n">
        <v>30</v>
      </c>
      <c r="C688" s="22" t="n">
        <v>120</v>
      </c>
      <c r="D688" s="22" t="n">
        <v>2</v>
      </c>
      <c r="E688" s="23" t="n">
        <v>4</v>
      </c>
      <c r="F688" s="22" t="n">
        <v>1.5</v>
      </c>
      <c r="G688" s="23" t="inlineStr">
        <is>
          <t>Non</t>
        </is>
      </c>
      <c r="H688" s="23" t="inlineStr">
        <is>
          <t>ON</t>
        </is>
      </c>
      <c r="I688" s="24" t="n">
        <v>718.2417398266504</v>
      </c>
      <c r="J688" s="24" t="n">
        <v>2366.073881799197</v>
      </c>
      <c r="K688" s="24" t="n">
        <v>1847.222222222222</v>
      </c>
      <c r="L688" s="24" t="n">
        <v>150</v>
      </c>
      <c r="M688" s="24">
        <f>I688+J688+K688+L688</f>
        <v/>
      </c>
      <c r="N688" s="24">
        <f>M688*'Dashboard &amp; Optimisation'!$B$18/('Dashboard &amp; Optimisation'!$B$16/3.6)</f>
        <v/>
      </c>
      <c r="O688" s="24" t="n">
        <v>278.547339040556</v>
      </c>
      <c r="P688" s="25" t="n">
        <v>0.0654050150778063</v>
      </c>
      <c r="Q688" s="26" t="n">
        <v>5.595023284726097</v>
      </c>
      <c r="R688" s="24" t="n">
        <v>1421.259139322817</v>
      </c>
      <c r="S688" s="24">
        <f>R688*IF(A688=4, 2.0, 3.0)</f>
        <v/>
      </c>
      <c r="T688" s="22">
        <f>'Dashboard &amp; Optimisation'!$B$18*U688</f>
        <v/>
      </c>
      <c r="U688" s="27">
        <f>MIN(1, S688/M688)</f>
        <v/>
      </c>
      <c r="V688" s="27">
        <f>N688/(N688+O688)</f>
        <v/>
      </c>
      <c r="W688" s="27">
        <f>U688*V688</f>
        <v/>
      </c>
      <c r="X688" s="25">
        <f>T688/N688</f>
        <v/>
      </c>
      <c r="Y688" s="28">
        <f>IF(W688=MAXIFS(W$2:W$3601, A$2:A$3601, A688, B$2:B$3601, B688), "OPTIMAL", "")</f>
        <v/>
      </c>
    </row>
    <row r="689" ht="20" customHeight="1">
      <c r="A689" s="29" t="n">
        <v>4</v>
      </c>
      <c r="B689" s="29" t="n">
        <v>30</v>
      </c>
      <c r="C689" s="30" t="n">
        <v>120</v>
      </c>
      <c r="D689" s="30" t="n">
        <v>2</v>
      </c>
      <c r="E689" s="6" t="n">
        <v>4</v>
      </c>
      <c r="F689" s="30" t="n">
        <v>1.5</v>
      </c>
      <c r="G689" s="6" t="inlineStr">
        <is>
          <t>Non</t>
        </is>
      </c>
      <c r="H689" s="6" t="inlineStr">
        <is>
          <t>OFF</t>
        </is>
      </c>
      <c r="I689" s="31" t="n">
        <v>718.2417398266504</v>
      </c>
      <c r="J689" s="31" t="n">
        <v>2366.073881799197</v>
      </c>
      <c r="K689" s="31" t="n">
        <v>1847.222222222222</v>
      </c>
      <c r="L689" s="31" t="n">
        <v>150</v>
      </c>
      <c r="M689" s="31">
        <f>I689+J689+K689+L689</f>
        <v/>
      </c>
      <c r="N689" s="31">
        <f>M689*'Dashboard &amp; Optimisation'!$B$18/('Dashboard &amp; Optimisation'!$B$16/3.6)</f>
        <v/>
      </c>
      <c r="O689" s="31" t="n">
        <v>278.547339040556</v>
      </c>
      <c r="P689" s="32" t="n">
        <v>0.2690782280335459</v>
      </c>
      <c r="Q689" s="33" t="n">
        <v>5.595023284726097</v>
      </c>
      <c r="R689" s="31" t="n">
        <v>345.4663579295233</v>
      </c>
      <c r="S689" s="31">
        <f>R689*IF(A689=4, 2.0, 3.0)</f>
        <v/>
      </c>
      <c r="T689" s="30">
        <f>'Dashboard &amp; Optimisation'!$B$18*U689</f>
        <v/>
      </c>
      <c r="U689" s="34">
        <f>MIN(1, S689/M689)</f>
        <v/>
      </c>
      <c r="V689" s="34">
        <f>N689/(N689+O689)</f>
        <v/>
      </c>
      <c r="W689" s="34">
        <f>U689*V689</f>
        <v/>
      </c>
      <c r="X689" s="32">
        <f>T689/N689</f>
        <v/>
      </c>
      <c r="Y689" s="35">
        <f>IF(W689=MAXIFS(W$2:W$3601, A$2:A$3601, A689, B$2:B$3601, B689), "OPTIMAL", "")</f>
        <v/>
      </c>
    </row>
    <row r="690" ht="20" customHeight="1">
      <c r="A690" s="21" t="n">
        <v>4</v>
      </c>
      <c r="B690" s="21" t="n">
        <v>30</v>
      </c>
      <c r="C690" s="22" t="n">
        <v>120</v>
      </c>
      <c r="D690" s="22" t="n">
        <v>2</v>
      </c>
      <c r="E690" s="23" t="n">
        <v>4</v>
      </c>
      <c r="F690" s="22" t="n">
        <v>2</v>
      </c>
      <c r="G690" s="23" t="inlineStr">
        <is>
          <t>Oui</t>
        </is>
      </c>
      <c r="H690" s="23" t="inlineStr">
        <is>
          <t>ON</t>
        </is>
      </c>
      <c r="I690" s="24" t="n">
        <v>718.2417398266504</v>
      </c>
      <c r="J690" s="24" t="n">
        <v>2366.073881799197</v>
      </c>
      <c r="K690" s="24" t="n">
        <v>1847.222222222222</v>
      </c>
      <c r="L690" s="24" t="n">
        <v>150</v>
      </c>
      <c r="M690" s="24">
        <f>I690+J690+K690+L690</f>
        <v/>
      </c>
      <c r="N690" s="24">
        <f>M690*'Dashboard &amp; Optimisation'!$B$18/('Dashboard &amp; Optimisation'!$B$16/3.6)</f>
        <v/>
      </c>
      <c r="O690" s="24" t="n">
        <v>312.1837602866783</v>
      </c>
      <c r="P690" s="25" t="n">
        <v>0.06474901627983365</v>
      </c>
      <c r="Q690" s="26" t="n">
        <v>7.393364379634797</v>
      </c>
      <c r="R690" s="24" t="n">
        <v>1448.723866974601</v>
      </c>
      <c r="S690" s="24">
        <f>R690*IF(A690=4, 2.0, 3.0)</f>
        <v/>
      </c>
      <c r="T690" s="22">
        <f>'Dashboard &amp; Optimisation'!$B$18*U690</f>
        <v/>
      </c>
      <c r="U690" s="27">
        <f>MIN(1, S690/M690)</f>
        <v/>
      </c>
      <c r="V690" s="27">
        <f>N690/(N690+O690)</f>
        <v/>
      </c>
      <c r="W690" s="27">
        <f>U690*V690</f>
        <v/>
      </c>
      <c r="X690" s="25">
        <f>T690/N690</f>
        <v/>
      </c>
      <c r="Y690" s="28">
        <f>IF(W690=MAXIFS(W$2:W$3601, A$2:A$3601, A690, B$2:B$3601, B690), "OPTIMAL", "")</f>
        <v/>
      </c>
    </row>
    <row r="691" ht="20" customHeight="1">
      <c r="A691" s="29" t="n">
        <v>4</v>
      </c>
      <c r="B691" s="29" t="n">
        <v>30</v>
      </c>
      <c r="C691" s="30" t="n">
        <v>120</v>
      </c>
      <c r="D691" s="30" t="n">
        <v>2</v>
      </c>
      <c r="E691" s="6" t="n">
        <v>4</v>
      </c>
      <c r="F691" s="30" t="n">
        <v>2</v>
      </c>
      <c r="G691" s="6" t="inlineStr">
        <is>
          <t>Oui</t>
        </is>
      </c>
      <c r="H691" s="6" t="inlineStr">
        <is>
          <t>OFF</t>
        </is>
      </c>
      <c r="I691" s="31" t="n">
        <v>718.2417398266504</v>
      </c>
      <c r="J691" s="31" t="n">
        <v>2366.073881799197</v>
      </c>
      <c r="K691" s="31" t="n">
        <v>1847.222222222222</v>
      </c>
      <c r="L691" s="31" t="n">
        <v>150</v>
      </c>
      <c r="M691" s="31">
        <f>I691+J691+K691+L691</f>
        <v/>
      </c>
      <c r="N691" s="31">
        <f>M691*'Dashboard &amp; Optimisation'!$B$18/('Dashboard &amp; Optimisation'!$B$16/3.6)</f>
        <v/>
      </c>
      <c r="O691" s="31" t="n">
        <v>312.1837602866783</v>
      </c>
      <c r="P691" s="32" t="n">
        <v>0.269253725510994</v>
      </c>
      <c r="Q691" s="33" t="n">
        <v>7.393364379634797</v>
      </c>
      <c r="R691" s="31" t="n">
        <v>348.3830913377347</v>
      </c>
      <c r="S691" s="31">
        <f>R691*IF(A691=4, 2.0, 3.0)</f>
        <v/>
      </c>
      <c r="T691" s="30">
        <f>'Dashboard &amp; Optimisation'!$B$18*U691</f>
        <v/>
      </c>
      <c r="U691" s="34">
        <f>MIN(1, S691/M691)</f>
        <v/>
      </c>
      <c r="V691" s="34">
        <f>N691/(N691+O691)</f>
        <v/>
      </c>
      <c r="W691" s="34">
        <f>U691*V691</f>
        <v/>
      </c>
      <c r="X691" s="32">
        <f>T691/N691</f>
        <v/>
      </c>
      <c r="Y691" s="35">
        <f>IF(W691=MAXIFS(W$2:W$3601, A$2:A$3601, A691, B$2:B$3601, B691), "OPTIMAL", "")</f>
        <v/>
      </c>
    </row>
    <row r="692" ht="20" customHeight="1">
      <c r="A692" s="21" t="n">
        <v>4</v>
      </c>
      <c r="B692" s="21" t="n">
        <v>30</v>
      </c>
      <c r="C692" s="22" t="n">
        <v>120</v>
      </c>
      <c r="D692" s="22" t="n">
        <v>2</v>
      </c>
      <c r="E692" s="23" t="n">
        <v>4</v>
      </c>
      <c r="F692" s="22" t="n">
        <v>2</v>
      </c>
      <c r="G692" s="23" t="inlineStr">
        <is>
          <t>Non</t>
        </is>
      </c>
      <c r="H692" s="23" t="inlineStr">
        <is>
          <t>ON</t>
        </is>
      </c>
      <c r="I692" s="24" t="n">
        <v>718.2417398266504</v>
      </c>
      <c r="J692" s="24" t="n">
        <v>2366.073881799197</v>
      </c>
      <c r="K692" s="24" t="n">
        <v>1847.222222222222</v>
      </c>
      <c r="L692" s="24" t="n">
        <v>150</v>
      </c>
      <c r="M692" s="24">
        <f>I692+J692+K692+L692</f>
        <v/>
      </c>
      <c r="N692" s="24">
        <f>M692*'Dashboard &amp; Optimisation'!$B$18/('Dashboard &amp; Optimisation'!$B$16/3.6)</f>
        <v/>
      </c>
      <c r="O692" s="24" t="n">
        <v>312.1837602866783</v>
      </c>
      <c r="P692" s="25" t="n">
        <v>0.06209643389496873</v>
      </c>
      <c r="Q692" s="26" t="n">
        <v>7.393364379634797</v>
      </c>
      <c r="R692" s="24" t="n">
        <v>1510.609214796186</v>
      </c>
      <c r="S692" s="24">
        <f>R692*IF(A692=4, 2.0, 3.0)</f>
        <v/>
      </c>
      <c r="T692" s="22">
        <f>'Dashboard &amp; Optimisation'!$B$18*U692</f>
        <v/>
      </c>
      <c r="U692" s="27">
        <f>MIN(1, S692/M692)</f>
        <v/>
      </c>
      <c r="V692" s="27">
        <f>N692/(N692+O692)</f>
        <v/>
      </c>
      <c r="W692" s="27">
        <f>U692*V692</f>
        <v/>
      </c>
      <c r="X692" s="25">
        <f>T692/N692</f>
        <v/>
      </c>
      <c r="Y692" s="28">
        <f>IF(W692=MAXIFS(W$2:W$3601, A$2:A$3601, A692, B$2:B$3601, B692), "OPTIMAL", "")</f>
        <v/>
      </c>
    </row>
    <row r="693" ht="20" customHeight="1">
      <c r="A693" s="29" t="n">
        <v>4</v>
      </c>
      <c r="B693" s="29" t="n">
        <v>30</v>
      </c>
      <c r="C693" s="30" t="n">
        <v>120</v>
      </c>
      <c r="D693" s="30" t="n">
        <v>2</v>
      </c>
      <c r="E693" s="6" t="n">
        <v>4</v>
      </c>
      <c r="F693" s="30" t="n">
        <v>2</v>
      </c>
      <c r="G693" s="6" t="inlineStr">
        <is>
          <t>Non</t>
        </is>
      </c>
      <c r="H693" s="6" t="inlineStr">
        <is>
          <t>OFF</t>
        </is>
      </c>
      <c r="I693" s="31" t="n">
        <v>718.2417398266504</v>
      </c>
      <c r="J693" s="31" t="n">
        <v>2366.073881799197</v>
      </c>
      <c r="K693" s="31" t="n">
        <v>1847.222222222222</v>
      </c>
      <c r="L693" s="31" t="n">
        <v>150</v>
      </c>
      <c r="M693" s="31">
        <f>I693+J693+K693+L693</f>
        <v/>
      </c>
      <c r="N693" s="31">
        <f>M693*'Dashboard &amp; Optimisation'!$B$18/('Dashboard &amp; Optimisation'!$B$16/3.6)</f>
        <v/>
      </c>
      <c r="O693" s="31" t="n">
        <v>312.1837602866783</v>
      </c>
      <c r="P693" s="32" t="n">
        <v>0.2666011431261291</v>
      </c>
      <c r="Q693" s="33" t="n">
        <v>7.393364379634797</v>
      </c>
      <c r="R693" s="31" t="n">
        <v>351.8493737415955</v>
      </c>
      <c r="S693" s="31">
        <f>R693*IF(A693=4, 2.0, 3.0)</f>
        <v/>
      </c>
      <c r="T693" s="30">
        <f>'Dashboard &amp; Optimisation'!$B$18*U693</f>
        <v/>
      </c>
      <c r="U693" s="34">
        <f>MIN(1, S693/M693)</f>
        <v/>
      </c>
      <c r="V693" s="34">
        <f>N693/(N693+O693)</f>
        <v/>
      </c>
      <c r="W693" s="34">
        <f>U693*V693</f>
        <v/>
      </c>
      <c r="X693" s="32">
        <f>T693/N693</f>
        <v/>
      </c>
      <c r="Y693" s="35">
        <f>IF(W693=MAXIFS(W$2:W$3601, A$2:A$3601, A693, B$2:B$3601, B693), "OPTIMAL", "")</f>
        <v/>
      </c>
    </row>
    <row r="694" ht="20" customHeight="1">
      <c r="A694" s="21" t="n">
        <v>4</v>
      </c>
      <c r="B694" s="21" t="n">
        <v>30</v>
      </c>
      <c r="C694" s="22" t="n">
        <v>120</v>
      </c>
      <c r="D694" s="22" t="n">
        <v>2</v>
      </c>
      <c r="E694" s="23" t="n">
        <v>8</v>
      </c>
      <c r="F694" s="22" t="n">
        <v>1.5</v>
      </c>
      <c r="G694" s="23" t="inlineStr">
        <is>
          <t>Oui</t>
        </is>
      </c>
      <c r="H694" s="23" t="inlineStr">
        <is>
          <t>ON</t>
        </is>
      </c>
      <c r="I694" s="24" t="n">
        <v>718.2417398266504</v>
      </c>
      <c r="J694" s="24" t="n">
        <v>2366.073881799197</v>
      </c>
      <c r="K694" s="24" t="n">
        <v>1847.222222222222</v>
      </c>
      <c r="L694" s="24" t="n">
        <v>150</v>
      </c>
      <c r="M694" s="24">
        <f>I694+J694+K694+L694</f>
        <v/>
      </c>
      <c r="N694" s="24">
        <f>M694*'Dashboard &amp; Optimisation'!$B$18/('Dashboard &amp; Optimisation'!$B$16/3.6)</f>
        <v/>
      </c>
      <c r="O694" s="24" t="n">
        <v>381.3273240757313</v>
      </c>
      <c r="P694" s="25" t="n">
        <v>0.05155761606859751</v>
      </c>
      <c r="Q694" s="26" t="n">
        <v>10.9900465694522</v>
      </c>
      <c r="R694" s="24" t="n">
        <v>1853.119704978628</v>
      </c>
      <c r="S694" s="24">
        <f>R694*IF(A694=4, 2.0, 3.0)</f>
        <v/>
      </c>
      <c r="T694" s="22">
        <f>'Dashboard &amp; Optimisation'!$B$18*U694</f>
        <v/>
      </c>
      <c r="U694" s="27">
        <f>MIN(1, S694/M694)</f>
        <v/>
      </c>
      <c r="V694" s="27">
        <f>N694/(N694+O694)</f>
        <v/>
      </c>
      <c r="W694" s="27">
        <f>U694*V694</f>
        <v/>
      </c>
      <c r="X694" s="25">
        <f>T694/N694</f>
        <v/>
      </c>
      <c r="Y694" s="28">
        <f>IF(W694=MAXIFS(W$2:W$3601, A$2:A$3601, A694, B$2:B$3601, B694), "OPTIMAL", "")</f>
        <v/>
      </c>
    </row>
    <row r="695" ht="20" customHeight="1">
      <c r="A695" s="29" t="n">
        <v>4</v>
      </c>
      <c r="B695" s="29" t="n">
        <v>30</v>
      </c>
      <c r="C695" s="30" t="n">
        <v>120</v>
      </c>
      <c r="D695" s="30" t="n">
        <v>2</v>
      </c>
      <c r="E695" s="6" t="n">
        <v>8</v>
      </c>
      <c r="F695" s="30" t="n">
        <v>1.5</v>
      </c>
      <c r="G695" s="6" t="inlineStr">
        <is>
          <t>Oui</t>
        </is>
      </c>
      <c r="H695" s="6" t="inlineStr">
        <is>
          <t>OFF</t>
        </is>
      </c>
      <c r="I695" s="31" t="n">
        <v>718.2417398266504</v>
      </c>
      <c r="J695" s="31" t="n">
        <v>2366.073881799197</v>
      </c>
      <c r="K695" s="31" t="n">
        <v>1847.222222222222</v>
      </c>
      <c r="L695" s="31" t="n">
        <v>150</v>
      </c>
      <c r="M695" s="31">
        <f>I695+J695+K695+L695</f>
        <v/>
      </c>
      <c r="N695" s="31">
        <f>M695*'Dashboard &amp; Optimisation'!$B$18/('Dashboard &amp; Optimisation'!$B$16/3.6)</f>
        <v/>
      </c>
      <c r="O695" s="31" t="n">
        <v>381.3273240757313</v>
      </c>
      <c r="P695" s="32" t="n">
        <v>0.216853233443705</v>
      </c>
      <c r="Q695" s="33" t="n">
        <v>10.9900465694522</v>
      </c>
      <c r="R695" s="31" t="n">
        <v>440.5857028792867</v>
      </c>
      <c r="S695" s="31">
        <f>R695*IF(A695=4, 2.0, 3.0)</f>
        <v/>
      </c>
      <c r="T695" s="30">
        <f>'Dashboard &amp; Optimisation'!$B$18*U695</f>
        <v/>
      </c>
      <c r="U695" s="34">
        <f>MIN(1, S695/M695)</f>
        <v/>
      </c>
      <c r="V695" s="34">
        <f>N695/(N695+O695)</f>
        <v/>
      </c>
      <c r="W695" s="34">
        <f>U695*V695</f>
        <v/>
      </c>
      <c r="X695" s="32">
        <f>T695/N695</f>
        <v/>
      </c>
      <c r="Y695" s="35">
        <f>IF(W695=MAXIFS(W$2:W$3601, A$2:A$3601, A695, B$2:B$3601, B695), "OPTIMAL", "")</f>
        <v/>
      </c>
    </row>
    <row r="696" ht="20" customHeight="1">
      <c r="A696" s="21" t="n">
        <v>4</v>
      </c>
      <c r="B696" s="21" t="n">
        <v>30</v>
      </c>
      <c r="C696" s="22" t="n">
        <v>120</v>
      </c>
      <c r="D696" s="22" t="n">
        <v>2</v>
      </c>
      <c r="E696" s="23" t="n">
        <v>8</v>
      </c>
      <c r="F696" s="22" t="n">
        <v>1.5</v>
      </c>
      <c r="G696" s="23" t="inlineStr">
        <is>
          <t>Non</t>
        </is>
      </c>
      <c r="H696" s="23" t="inlineStr">
        <is>
          <t>ON</t>
        </is>
      </c>
      <c r="I696" s="24" t="n">
        <v>718.2417398266504</v>
      </c>
      <c r="J696" s="24" t="n">
        <v>2366.073881799197</v>
      </c>
      <c r="K696" s="24" t="n">
        <v>1847.222222222222</v>
      </c>
      <c r="L696" s="24" t="n">
        <v>150</v>
      </c>
      <c r="M696" s="24">
        <f>I696+J696+K696+L696</f>
        <v/>
      </c>
      <c r="N696" s="24">
        <f>M696*'Dashboard &amp; Optimisation'!$B$18/('Dashboard &amp; Optimisation'!$B$16/3.6)</f>
        <v/>
      </c>
      <c r="O696" s="24" t="n">
        <v>381.3273240757313</v>
      </c>
      <c r="P696" s="25" t="n">
        <v>0.04890503368373258</v>
      </c>
      <c r="Q696" s="26" t="n">
        <v>10.9900465694522</v>
      </c>
      <c r="R696" s="24" t="n">
        <v>1953.631908247133</v>
      </c>
      <c r="S696" s="24">
        <f>R696*IF(A696=4, 2.0, 3.0)</f>
        <v/>
      </c>
      <c r="T696" s="22">
        <f>'Dashboard &amp; Optimisation'!$B$18*U696</f>
        <v/>
      </c>
      <c r="U696" s="27">
        <f>MIN(1, S696/M696)</f>
        <v/>
      </c>
      <c r="V696" s="27">
        <f>N696/(N696+O696)</f>
        <v/>
      </c>
      <c r="W696" s="27">
        <f>U696*V696</f>
        <v/>
      </c>
      <c r="X696" s="25">
        <f>T696/N696</f>
        <v/>
      </c>
      <c r="Y696" s="28">
        <f>IF(W696=MAXIFS(W$2:W$3601, A$2:A$3601, A696, B$2:B$3601, B696), "OPTIMAL", "")</f>
        <v/>
      </c>
    </row>
    <row r="697" ht="20" customHeight="1">
      <c r="A697" s="29" t="n">
        <v>4</v>
      </c>
      <c r="B697" s="29" t="n">
        <v>30</v>
      </c>
      <c r="C697" s="30" t="n">
        <v>120</v>
      </c>
      <c r="D697" s="30" t="n">
        <v>2</v>
      </c>
      <c r="E697" s="6" t="n">
        <v>8</v>
      </c>
      <c r="F697" s="30" t="n">
        <v>1.5</v>
      </c>
      <c r="G697" s="6" t="inlineStr">
        <is>
          <t>Non</t>
        </is>
      </c>
      <c r="H697" s="6" t="inlineStr">
        <is>
          <t>OFF</t>
        </is>
      </c>
      <c r="I697" s="31" t="n">
        <v>718.2417398266504</v>
      </c>
      <c r="J697" s="31" t="n">
        <v>2366.073881799197</v>
      </c>
      <c r="K697" s="31" t="n">
        <v>1847.222222222222</v>
      </c>
      <c r="L697" s="31" t="n">
        <v>150</v>
      </c>
      <c r="M697" s="31">
        <f>I697+J697+K697+L697</f>
        <v/>
      </c>
      <c r="N697" s="31">
        <f>M697*'Dashboard &amp; Optimisation'!$B$18/('Dashboard &amp; Optimisation'!$B$16/3.6)</f>
        <v/>
      </c>
      <c r="O697" s="31" t="n">
        <v>381.3273240757313</v>
      </c>
      <c r="P697" s="32" t="n">
        <v>0.2142006510588401</v>
      </c>
      <c r="Q697" s="33" t="n">
        <v>10.9900465694522</v>
      </c>
      <c r="R697" s="31" t="n">
        <v>446.0417548039836</v>
      </c>
      <c r="S697" s="31">
        <f>R697*IF(A697=4, 2.0, 3.0)</f>
        <v/>
      </c>
      <c r="T697" s="30">
        <f>'Dashboard &amp; Optimisation'!$B$18*U697</f>
        <v/>
      </c>
      <c r="U697" s="34">
        <f>MIN(1, S697/M697)</f>
        <v/>
      </c>
      <c r="V697" s="34">
        <f>N697/(N697+O697)</f>
        <v/>
      </c>
      <c r="W697" s="34">
        <f>U697*V697</f>
        <v/>
      </c>
      <c r="X697" s="32">
        <f>T697/N697</f>
        <v/>
      </c>
      <c r="Y697" s="35">
        <f>IF(W697=MAXIFS(W$2:W$3601, A$2:A$3601, A697, B$2:B$3601, B697), "OPTIMAL", "")</f>
        <v/>
      </c>
    </row>
    <row r="698" ht="20" customHeight="1">
      <c r="A698" s="21" t="n">
        <v>4</v>
      </c>
      <c r="B698" s="21" t="n">
        <v>30</v>
      </c>
      <c r="C698" s="22" t="n">
        <v>120</v>
      </c>
      <c r="D698" s="22" t="n">
        <v>2</v>
      </c>
      <c r="E698" s="23" t="n">
        <v>8</v>
      </c>
      <c r="F698" s="22" t="n">
        <v>2</v>
      </c>
      <c r="G698" s="23" t="inlineStr">
        <is>
          <t>Oui</t>
        </is>
      </c>
      <c r="H698" s="23" t="inlineStr">
        <is>
          <t>ON</t>
        </is>
      </c>
      <c r="I698" s="24" t="n">
        <v>718.2417398266504</v>
      </c>
      <c r="J698" s="24" t="n">
        <v>2366.073881799197</v>
      </c>
      <c r="K698" s="24" t="n">
        <v>1847.222222222222</v>
      </c>
      <c r="L698" s="24" t="n">
        <v>150</v>
      </c>
      <c r="M698" s="24">
        <f>I698+J698+K698+L698</f>
        <v/>
      </c>
      <c r="N698" s="24">
        <f>M698*'Dashboard &amp; Optimisation'!$B$18/('Dashboard &amp; Optimisation'!$B$16/3.6)</f>
        <v/>
      </c>
      <c r="O698" s="24" t="n">
        <v>453.0829686593652</v>
      </c>
      <c r="P698" s="25" t="n">
        <v>0.04997260972227939</v>
      </c>
      <c r="Q698" s="26" t="n">
        <v>14.58672875926959</v>
      </c>
      <c r="R698" s="24" t="n">
        <v>1948.00949470289</v>
      </c>
      <c r="S698" s="24">
        <f>R698*IF(A698=4, 2.0, 3.0)</f>
        <v/>
      </c>
      <c r="T698" s="22">
        <f>'Dashboard &amp; Optimisation'!$B$18*U698</f>
        <v/>
      </c>
      <c r="U698" s="27">
        <f>MIN(1, S698/M698)</f>
        <v/>
      </c>
      <c r="V698" s="27">
        <f>N698/(N698+O698)</f>
        <v/>
      </c>
      <c r="W698" s="27">
        <f>U698*V698</f>
        <v/>
      </c>
      <c r="X698" s="25">
        <f>T698/N698</f>
        <v/>
      </c>
      <c r="Y698" s="28">
        <f>IF(W698=MAXIFS(W$2:W$3601, A$2:A$3601, A698, B$2:B$3601, B698), "OPTIMAL", "")</f>
        <v/>
      </c>
    </row>
    <row r="699" ht="20" customHeight="1">
      <c r="A699" s="29" t="n">
        <v>4</v>
      </c>
      <c r="B699" s="29" t="n">
        <v>30</v>
      </c>
      <c r="C699" s="30" t="n">
        <v>120</v>
      </c>
      <c r="D699" s="30" t="n">
        <v>2</v>
      </c>
      <c r="E699" s="6" t="n">
        <v>8</v>
      </c>
      <c r="F699" s="30" t="n">
        <v>2</v>
      </c>
      <c r="G699" s="6" t="inlineStr">
        <is>
          <t>Oui</t>
        </is>
      </c>
      <c r="H699" s="6" t="inlineStr">
        <is>
          <t>OFF</t>
        </is>
      </c>
      <c r="I699" s="31" t="n">
        <v>718.2417398266504</v>
      </c>
      <c r="J699" s="31" t="n">
        <v>2366.073881799197</v>
      </c>
      <c r="K699" s="31" t="n">
        <v>1847.222222222222</v>
      </c>
      <c r="L699" s="31" t="n">
        <v>150</v>
      </c>
      <c r="M699" s="31">
        <f>I699+J699+K699+L699</f>
        <v/>
      </c>
      <c r="N699" s="31">
        <f>M699*'Dashboard &amp; Optimisation'!$B$18/('Dashboard &amp; Optimisation'!$B$16/3.6)</f>
        <v/>
      </c>
      <c r="O699" s="31" t="n">
        <v>453.0829686593652</v>
      </c>
      <c r="P699" s="32" t="n">
        <v>0.2163666659525478</v>
      </c>
      <c r="Q699" s="33" t="n">
        <v>14.58672875926959</v>
      </c>
      <c r="R699" s="31" t="n">
        <v>449.9173557327529</v>
      </c>
      <c r="S699" s="31">
        <f>R699*IF(A699=4, 2.0, 3.0)</f>
        <v/>
      </c>
      <c r="T699" s="30">
        <f>'Dashboard &amp; Optimisation'!$B$18*U699</f>
        <v/>
      </c>
      <c r="U699" s="34">
        <f>MIN(1, S699/M699)</f>
        <v/>
      </c>
      <c r="V699" s="34">
        <f>N699/(N699+O699)</f>
        <v/>
      </c>
      <c r="W699" s="34">
        <f>U699*V699</f>
        <v/>
      </c>
      <c r="X699" s="32">
        <f>T699/N699</f>
        <v/>
      </c>
      <c r="Y699" s="35">
        <f>IF(W699=MAXIFS(W$2:W$3601, A$2:A$3601, A699, B$2:B$3601, B699), "OPTIMAL", "")</f>
        <v/>
      </c>
    </row>
    <row r="700" ht="20" customHeight="1">
      <c r="A700" s="21" t="n">
        <v>4</v>
      </c>
      <c r="B700" s="21" t="n">
        <v>30</v>
      </c>
      <c r="C700" s="22" t="n">
        <v>120</v>
      </c>
      <c r="D700" s="22" t="n">
        <v>2</v>
      </c>
      <c r="E700" s="23" t="n">
        <v>8</v>
      </c>
      <c r="F700" s="22" t="n">
        <v>2</v>
      </c>
      <c r="G700" s="23" t="inlineStr">
        <is>
          <t>Non</t>
        </is>
      </c>
      <c r="H700" s="23" t="inlineStr">
        <is>
          <t>ON</t>
        </is>
      </c>
      <c r="I700" s="24" t="n">
        <v>718.2417398266504</v>
      </c>
      <c r="J700" s="24" t="n">
        <v>2366.073881799197</v>
      </c>
      <c r="K700" s="24" t="n">
        <v>1847.222222222222</v>
      </c>
      <c r="L700" s="24" t="n">
        <v>150</v>
      </c>
      <c r="M700" s="24">
        <f>I700+J700+K700+L700</f>
        <v/>
      </c>
      <c r="N700" s="24">
        <f>M700*'Dashboard &amp; Optimisation'!$B$18/('Dashboard &amp; Optimisation'!$B$16/3.6)</f>
        <v/>
      </c>
      <c r="O700" s="24" t="n">
        <v>453.0829686593652</v>
      </c>
      <c r="P700" s="25" t="n">
        <v>0.04732002733741447</v>
      </c>
      <c r="Q700" s="26" t="n">
        <v>14.58672875926959</v>
      </c>
      <c r="R700" s="24" t="n">
        <v>2057.207564990413</v>
      </c>
      <c r="S700" s="24">
        <f>R700*IF(A700=4, 2.0, 3.0)</f>
        <v/>
      </c>
      <c r="T700" s="22">
        <f>'Dashboard &amp; Optimisation'!$B$18*U700</f>
        <v/>
      </c>
      <c r="U700" s="27">
        <f>MIN(1, S700/M700)</f>
        <v/>
      </c>
      <c r="V700" s="27">
        <f>N700/(N700+O700)</f>
        <v/>
      </c>
      <c r="W700" s="27">
        <f>U700*V700</f>
        <v/>
      </c>
      <c r="X700" s="25">
        <f>T700/N700</f>
        <v/>
      </c>
      <c r="Y700" s="28">
        <f>IF(W700=MAXIFS(W$2:W$3601, A$2:A$3601, A700, B$2:B$3601, B700), "OPTIMAL", "")</f>
        <v/>
      </c>
    </row>
    <row r="701" ht="20" customHeight="1">
      <c r="A701" s="29" t="n">
        <v>4</v>
      </c>
      <c r="B701" s="29" t="n">
        <v>30</v>
      </c>
      <c r="C701" s="30" t="n">
        <v>120</v>
      </c>
      <c r="D701" s="30" t="n">
        <v>2</v>
      </c>
      <c r="E701" s="6" t="n">
        <v>8</v>
      </c>
      <c r="F701" s="30" t="n">
        <v>2</v>
      </c>
      <c r="G701" s="6" t="inlineStr">
        <is>
          <t>Non</t>
        </is>
      </c>
      <c r="H701" s="6" t="inlineStr">
        <is>
          <t>OFF</t>
        </is>
      </c>
      <c r="I701" s="31" t="n">
        <v>718.2417398266504</v>
      </c>
      <c r="J701" s="31" t="n">
        <v>2366.073881799197</v>
      </c>
      <c r="K701" s="31" t="n">
        <v>1847.222222222222</v>
      </c>
      <c r="L701" s="31" t="n">
        <v>150</v>
      </c>
      <c r="M701" s="31">
        <f>I701+J701+K701+L701</f>
        <v/>
      </c>
      <c r="N701" s="31">
        <f>M701*'Dashboard &amp; Optimisation'!$B$18/('Dashboard &amp; Optimisation'!$B$16/3.6)</f>
        <v/>
      </c>
      <c r="O701" s="31" t="n">
        <v>453.0829686593652</v>
      </c>
      <c r="P701" s="32" t="n">
        <v>0.2137140835676829</v>
      </c>
      <c r="Q701" s="33" t="n">
        <v>14.58672875926959</v>
      </c>
      <c r="R701" s="31" t="n">
        <v>455.5016524367357</v>
      </c>
      <c r="S701" s="31">
        <f>R701*IF(A701=4, 2.0, 3.0)</f>
        <v/>
      </c>
      <c r="T701" s="30">
        <f>'Dashboard &amp; Optimisation'!$B$18*U701</f>
        <v/>
      </c>
      <c r="U701" s="34">
        <f>MIN(1, S701/M701)</f>
        <v/>
      </c>
      <c r="V701" s="34">
        <f>N701/(N701+O701)</f>
        <v/>
      </c>
      <c r="W701" s="34">
        <f>U701*V701</f>
        <v/>
      </c>
      <c r="X701" s="32">
        <f>T701/N701</f>
        <v/>
      </c>
      <c r="Y701" s="35">
        <f>IF(W701=MAXIFS(W$2:W$3601, A$2:A$3601, A701, B$2:B$3601, B701), "OPTIMAL", "")</f>
        <v/>
      </c>
    </row>
    <row r="702" ht="20" customHeight="1">
      <c r="A702" s="21" t="n">
        <v>4</v>
      </c>
      <c r="B702" s="21" t="n">
        <v>30</v>
      </c>
      <c r="C702" s="22" t="n">
        <v>120</v>
      </c>
      <c r="D702" s="22" t="n">
        <v>3</v>
      </c>
      <c r="E702" s="23" t="n">
        <v>0</v>
      </c>
      <c r="F702" s="22" t="n">
        <v>0</v>
      </c>
      <c r="G702" s="23" t="inlineStr">
        <is>
          <t>Oui</t>
        </is>
      </c>
      <c r="H702" s="23" t="inlineStr">
        <is>
          <t>ON</t>
        </is>
      </c>
      <c r="I702" s="24" t="n">
        <v>718.2417398266504</v>
      </c>
      <c r="J702" s="24" t="n">
        <v>2366.073881799197</v>
      </c>
      <c r="K702" s="24" t="n">
        <v>1847.222222222222</v>
      </c>
      <c r="L702" s="24" t="n">
        <v>150</v>
      </c>
      <c r="M702" s="24">
        <f>I702+J702+K702+L702</f>
        <v/>
      </c>
      <c r="N702" s="24">
        <f>M702*'Dashboard &amp; Optimisation'!$B$18/('Dashboard &amp; Optimisation'!$B$16/3.6)</f>
        <v/>
      </c>
      <c r="O702" s="24" t="n">
        <v>279.0084718694881</v>
      </c>
      <c r="P702" s="25" t="n">
        <v>0.4668943220842715</v>
      </c>
      <c r="Q702" s="26" t="n">
        <v>0.2</v>
      </c>
      <c r="R702" s="24" t="n">
        <v>200.7141749981175</v>
      </c>
      <c r="S702" s="24">
        <f>R702*IF(A702=4, 2.0, 3.0)</f>
        <v/>
      </c>
      <c r="T702" s="22">
        <f>'Dashboard &amp; Optimisation'!$B$18*U702</f>
        <v/>
      </c>
      <c r="U702" s="27">
        <f>MIN(1, S702/M702)</f>
        <v/>
      </c>
      <c r="V702" s="27">
        <f>N702/(N702+O702)</f>
        <v/>
      </c>
      <c r="W702" s="27">
        <f>U702*V702</f>
        <v/>
      </c>
      <c r="X702" s="25">
        <f>T702/N702</f>
        <v/>
      </c>
      <c r="Y702" s="28">
        <f>IF(W702=MAXIFS(W$2:W$3601, A$2:A$3601, A702, B$2:B$3601, B702), "OPTIMAL", "")</f>
        <v/>
      </c>
    </row>
    <row r="703" ht="20" customHeight="1">
      <c r="A703" s="29" t="n">
        <v>4</v>
      </c>
      <c r="B703" s="29" t="n">
        <v>30</v>
      </c>
      <c r="C703" s="30" t="n">
        <v>120</v>
      </c>
      <c r="D703" s="30" t="n">
        <v>3</v>
      </c>
      <c r="E703" s="6" t="n">
        <v>0</v>
      </c>
      <c r="F703" s="30" t="n">
        <v>0</v>
      </c>
      <c r="G703" s="6" t="inlineStr">
        <is>
          <t>Oui</t>
        </is>
      </c>
      <c r="H703" s="6" t="inlineStr">
        <is>
          <t>OFF</t>
        </is>
      </c>
      <c r="I703" s="31" t="n">
        <v>718.2417398266504</v>
      </c>
      <c r="J703" s="31" t="n">
        <v>2366.073881799197</v>
      </c>
      <c r="K703" s="31" t="n">
        <v>1847.222222222222</v>
      </c>
      <c r="L703" s="31" t="n">
        <v>150</v>
      </c>
      <c r="M703" s="31">
        <f>I703+J703+K703+L703</f>
        <v/>
      </c>
      <c r="N703" s="31">
        <f>M703*'Dashboard &amp; Optimisation'!$B$18/('Dashboard &amp; Optimisation'!$B$16/3.6)</f>
        <v/>
      </c>
      <c r="O703" s="31" t="n">
        <v>279.0084718694881</v>
      </c>
      <c r="P703" s="32" t="n">
        <v>0.7321525605707637</v>
      </c>
      <c r="Q703" s="33" t="n">
        <v>0.2</v>
      </c>
      <c r="R703" s="31" t="n">
        <v>127.9956032597832</v>
      </c>
      <c r="S703" s="31">
        <f>R703*IF(A703=4, 2.0, 3.0)</f>
        <v/>
      </c>
      <c r="T703" s="30">
        <f>'Dashboard &amp; Optimisation'!$B$18*U703</f>
        <v/>
      </c>
      <c r="U703" s="34">
        <f>MIN(1, S703/M703)</f>
        <v/>
      </c>
      <c r="V703" s="34">
        <f>N703/(N703+O703)</f>
        <v/>
      </c>
      <c r="W703" s="34">
        <f>U703*V703</f>
        <v/>
      </c>
      <c r="X703" s="32">
        <f>T703/N703</f>
        <v/>
      </c>
      <c r="Y703" s="35">
        <f>IF(W703=MAXIFS(W$2:W$3601, A$2:A$3601, A703, B$2:B$3601, B703), "OPTIMAL", "")</f>
        <v/>
      </c>
    </row>
    <row r="704" ht="20" customHeight="1">
      <c r="A704" s="21" t="n">
        <v>4</v>
      </c>
      <c r="B704" s="21" t="n">
        <v>30</v>
      </c>
      <c r="C704" s="22" t="n">
        <v>120</v>
      </c>
      <c r="D704" s="22" t="n">
        <v>3</v>
      </c>
      <c r="E704" s="23" t="n">
        <v>0</v>
      </c>
      <c r="F704" s="22" t="n">
        <v>0</v>
      </c>
      <c r="G704" s="23" t="inlineStr">
        <is>
          <t>Non</t>
        </is>
      </c>
      <c r="H704" s="23" t="inlineStr">
        <is>
          <t>ON</t>
        </is>
      </c>
      <c r="I704" s="24" t="n">
        <v>718.2417398266504</v>
      </c>
      <c r="J704" s="24" t="n">
        <v>2366.073881799197</v>
      </c>
      <c r="K704" s="24" t="n">
        <v>1847.222222222222</v>
      </c>
      <c r="L704" s="24" t="n">
        <v>150</v>
      </c>
      <c r="M704" s="24">
        <f>I704+J704+K704+L704</f>
        <v/>
      </c>
      <c r="N704" s="24">
        <f>M704*'Dashboard &amp; Optimisation'!$B$18/('Dashboard &amp; Optimisation'!$B$16/3.6)</f>
        <v/>
      </c>
      <c r="O704" s="24" t="n">
        <v>279.0084718694881</v>
      </c>
      <c r="P704" s="25" t="n">
        <v>0.4642417396994065</v>
      </c>
      <c r="Q704" s="26" t="n">
        <v>0.2</v>
      </c>
      <c r="R704" s="24" t="n">
        <v>201.8610147573719</v>
      </c>
      <c r="S704" s="24">
        <f>R704*IF(A704=4, 2.0, 3.0)</f>
        <v/>
      </c>
      <c r="T704" s="22">
        <f>'Dashboard &amp; Optimisation'!$B$18*U704</f>
        <v/>
      </c>
      <c r="U704" s="27">
        <f>MIN(1, S704/M704)</f>
        <v/>
      </c>
      <c r="V704" s="27">
        <f>N704/(N704+O704)</f>
        <v/>
      </c>
      <c r="W704" s="27">
        <f>U704*V704</f>
        <v/>
      </c>
      <c r="X704" s="25">
        <f>T704/N704</f>
        <v/>
      </c>
      <c r="Y704" s="28">
        <f>IF(W704=MAXIFS(W$2:W$3601, A$2:A$3601, A704, B$2:B$3601, B704), "OPTIMAL", "")</f>
        <v/>
      </c>
    </row>
    <row r="705" ht="20" customHeight="1">
      <c r="A705" s="29" t="n">
        <v>4</v>
      </c>
      <c r="B705" s="29" t="n">
        <v>30</v>
      </c>
      <c r="C705" s="30" t="n">
        <v>120</v>
      </c>
      <c r="D705" s="30" t="n">
        <v>3</v>
      </c>
      <c r="E705" s="6" t="n">
        <v>0</v>
      </c>
      <c r="F705" s="30" t="n">
        <v>0</v>
      </c>
      <c r="G705" s="6" t="inlineStr">
        <is>
          <t>Non</t>
        </is>
      </c>
      <c r="H705" s="6" t="inlineStr">
        <is>
          <t>OFF</t>
        </is>
      </c>
      <c r="I705" s="31" t="n">
        <v>718.2417398266504</v>
      </c>
      <c r="J705" s="31" t="n">
        <v>2366.073881799197</v>
      </c>
      <c r="K705" s="31" t="n">
        <v>1847.222222222222</v>
      </c>
      <c r="L705" s="31" t="n">
        <v>150</v>
      </c>
      <c r="M705" s="31">
        <f>I705+J705+K705+L705</f>
        <v/>
      </c>
      <c r="N705" s="31">
        <f>M705*'Dashboard &amp; Optimisation'!$B$18/('Dashboard &amp; Optimisation'!$B$16/3.6)</f>
        <v/>
      </c>
      <c r="O705" s="31" t="n">
        <v>279.0084718694881</v>
      </c>
      <c r="P705" s="32" t="n">
        <v>0.7294999781858988</v>
      </c>
      <c r="Q705" s="33" t="n">
        <v>0.2</v>
      </c>
      <c r="R705" s="31" t="n">
        <v>128.4610164094743</v>
      </c>
      <c r="S705" s="31">
        <f>R705*IF(A705=4, 2.0, 3.0)</f>
        <v/>
      </c>
      <c r="T705" s="30">
        <f>'Dashboard &amp; Optimisation'!$B$18*U705</f>
        <v/>
      </c>
      <c r="U705" s="34">
        <f>MIN(1, S705/M705)</f>
        <v/>
      </c>
      <c r="V705" s="34">
        <f>N705/(N705+O705)</f>
        <v/>
      </c>
      <c r="W705" s="34">
        <f>U705*V705</f>
        <v/>
      </c>
      <c r="X705" s="32">
        <f>T705/N705</f>
        <v/>
      </c>
      <c r="Y705" s="35">
        <f>IF(W705=MAXIFS(W$2:W$3601, A$2:A$3601, A705, B$2:B$3601, B705), "OPTIMAL", "")</f>
        <v/>
      </c>
    </row>
    <row r="706" ht="20" customHeight="1">
      <c r="A706" s="21" t="n">
        <v>4</v>
      </c>
      <c r="B706" s="21" t="n">
        <v>30</v>
      </c>
      <c r="C706" s="22" t="n">
        <v>120</v>
      </c>
      <c r="D706" s="22" t="n">
        <v>3</v>
      </c>
      <c r="E706" s="23" t="n">
        <v>4</v>
      </c>
      <c r="F706" s="22" t="n">
        <v>1.5</v>
      </c>
      <c r="G706" s="23" t="inlineStr">
        <is>
          <t>Oui</t>
        </is>
      </c>
      <c r="H706" s="23" t="inlineStr">
        <is>
          <t>ON</t>
        </is>
      </c>
      <c r="I706" s="24" t="n">
        <v>718.2417398266504</v>
      </c>
      <c r="J706" s="24" t="n">
        <v>2366.073881799197</v>
      </c>
      <c r="K706" s="24" t="n">
        <v>1847.222222222222</v>
      </c>
      <c r="L706" s="24" t="n">
        <v>150</v>
      </c>
      <c r="M706" s="24">
        <f>I706+J706+K706+L706</f>
        <v/>
      </c>
      <c r="N706" s="24">
        <f>M706*'Dashboard &amp; Optimisation'!$B$18/('Dashboard &amp; Optimisation'!$B$16/3.6)</f>
        <v/>
      </c>
      <c r="O706" s="24" t="n">
        <v>381.2265126168526</v>
      </c>
      <c r="P706" s="25" t="n">
        <v>0.06783449726767998</v>
      </c>
      <c r="Q706" s="26" t="n">
        <v>5.689672816037082</v>
      </c>
      <c r="R706" s="24" t="n">
        <v>1419.535234434192</v>
      </c>
      <c r="S706" s="24">
        <f>R706*IF(A706=4, 2.0, 3.0)</f>
        <v/>
      </c>
      <c r="T706" s="22">
        <f>'Dashboard &amp; Optimisation'!$B$18*U706</f>
        <v/>
      </c>
      <c r="U706" s="27">
        <f>MIN(1, S706/M706)</f>
        <v/>
      </c>
      <c r="V706" s="27">
        <f>N706/(N706+O706)</f>
        <v/>
      </c>
      <c r="W706" s="27">
        <f>U706*V706</f>
        <v/>
      </c>
      <c r="X706" s="25">
        <f>T706/N706</f>
        <v/>
      </c>
      <c r="Y706" s="28">
        <f>IF(W706=MAXIFS(W$2:W$3601, A$2:A$3601, A706, B$2:B$3601, B706), "OPTIMAL", "")</f>
        <v/>
      </c>
    </row>
    <row r="707" ht="20" customHeight="1">
      <c r="A707" s="29" t="n">
        <v>4</v>
      </c>
      <c r="B707" s="29" t="n">
        <v>30</v>
      </c>
      <c r="C707" s="30" t="n">
        <v>120</v>
      </c>
      <c r="D707" s="30" t="n">
        <v>3</v>
      </c>
      <c r="E707" s="6" t="n">
        <v>4</v>
      </c>
      <c r="F707" s="30" t="n">
        <v>1.5</v>
      </c>
      <c r="G707" s="6" t="inlineStr">
        <is>
          <t>Oui</t>
        </is>
      </c>
      <c r="H707" s="6" t="inlineStr">
        <is>
          <t>OFF</t>
        </is>
      </c>
      <c r="I707" s="31" t="n">
        <v>718.2417398266504</v>
      </c>
      <c r="J707" s="31" t="n">
        <v>2366.073881799197</v>
      </c>
      <c r="K707" s="31" t="n">
        <v>1847.222222222222</v>
      </c>
      <c r="L707" s="31" t="n">
        <v>150</v>
      </c>
      <c r="M707" s="31">
        <f>I707+J707+K707+L707</f>
        <v/>
      </c>
      <c r="N707" s="31">
        <f>M707*'Dashboard &amp; Optimisation'!$B$18/('Dashboard &amp; Optimisation'!$B$16/3.6)</f>
        <v/>
      </c>
      <c r="O707" s="31" t="n">
        <v>381.2265126168526</v>
      </c>
      <c r="P707" s="32" t="n">
        <v>0.2715077102234196</v>
      </c>
      <c r="Q707" s="33" t="n">
        <v>5.689672816037082</v>
      </c>
      <c r="R707" s="31" t="n">
        <v>354.6619685399109</v>
      </c>
      <c r="S707" s="31">
        <f>R707*IF(A707=4, 2.0, 3.0)</f>
        <v/>
      </c>
      <c r="T707" s="30">
        <f>'Dashboard &amp; Optimisation'!$B$18*U707</f>
        <v/>
      </c>
      <c r="U707" s="34">
        <f>MIN(1, S707/M707)</f>
        <v/>
      </c>
      <c r="V707" s="34">
        <f>N707/(N707+O707)</f>
        <v/>
      </c>
      <c r="W707" s="34">
        <f>U707*V707</f>
        <v/>
      </c>
      <c r="X707" s="32">
        <f>T707/N707</f>
        <v/>
      </c>
      <c r="Y707" s="35">
        <f>IF(W707=MAXIFS(W$2:W$3601, A$2:A$3601, A707, B$2:B$3601, B707), "OPTIMAL", "")</f>
        <v/>
      </c>
    </row>
    <row r="708" ht="20" customHeight="1">
      <c r="A708" s="21" t="n">
        <v>4</v>
      </c>
      <c r="B708" s="21" t="n">
        <v>30</v>
      </c>
      <c r="C708" s="22" t="n">
        <v>120</v>
      </c>
      <c r="D708" s="22" t="n">
        <v>3</v>
      </c>
      <c r="E708" s="23" t="n">
        <v>4</v>
      </c>
      <c r="F708" s="22" t="n">
        <v>1.5</v>
      </c>
      <c r="G708" s="23" t="inlineStr">
        <is>
          <t>Non</t>
        </is>
      </c>
      <c r="H708" s="23" t="inlineStr">
        <is>
          <t>ON</t>
        </is>
      </c>
      <c r="I708" s="24" t="n">
        <v>718.2417398266504</v>
      </c>
      <c r="J708" s="24" t="n">
        <v>2366.073881799197</v>
      </c>
      <c r="K708" s="24" t="n">
        <v>1847.222222222222</v>
      </c>
      <c r="L708" s="24" t="n">
        <v>150</v>
      </c>
      <c r="M708" s="24">
        <f>I708+J708+K708+L708</f>
        <v/>
      </c>
      <c r="N708" s="24">
        <f>M708*'Dashboard &amp; Optimisation'!$B$18/('Dashboard &amp; Optimisation'!$B$16/3.6)</f>
        <v/>
      </c>
      <c r="O708" s="24" t="n">
        <v>381.2265126168526</v>
      </c>
      <c r="P708" s="25" t="n">
        <v>0.06518191488281506</v>
      </c>
      <c r="Q708" s="26" t="n">
        <v>5.689672816037082</v>
      </c>
      <c r="R708" s="24" t="n">
        <v>1477.303315723685</v>
      </c>
      <c r="S708" s="24">
        <f>R708*IF(A708=4, 2.0, 3.0)</f>
        <v/>
      </c>
      <c r="T708" s="22">
        <f>'Dashboard &amp; Optimisation'!$B$18*U708</f>
        <v/>
      </c>
      <c r="U708" s="27">
        <f>MIN(1, S708/M708)</f>
        <v/>
      </c>
      <c r="V708" s="27">
        <f>N708/(N708+O708)</f>
        <v/>
      </c>
      <c r="W708" s="27">
        <f>U708*V708</f>
        <v/>
      </c>
      <c r="X708" s="25">
        <f>T708/N708</f>
        <v/>
      </c>
      <c r="Y708" s="28">
        <f>IF(W708=MAXIFS(W$2:W$3601, A$2:A$3601, A708, B$2:B$3601, B708), "OPTIMAL", "")</f>
        <v/>
      </c>
    </row>
    <row r="709" ht="20" customHeight="1">
      <c r="A709" s="29" t="n">
        <v>4</v>
      </c>
      <c r="B709" s="29" t="n">
        <v>30</v>
      </c>
      <c r="C709" s="30" t="n">
        <v>120</v>
      </c>
      <c r="D709" s="30" t="n">
        <v>3</v>
      </c>
      <c r="E709" s="6" t="n">
        <v>4</v>
      </c>
      <c r="F709" s="30" t="n">
        <v>1.5</v>
      </c>
      <c r="G709" s="6" t="inlineStr">
        <is>
          <t>Non</t>
        </is>
      </c>
      <c r="H709" s="6" t="inlineStr">
        <is>
          <t>OFF</t>
        </is>
      </c>
      <c r="I709" s="31" t="n">
        <v>718.2417398266504</v>
      </c>
      <c r="J709" s="31" t="n">
        <v>2366.073881799197</v>
      </c>
      <c r="K709" s="31" t="n">
        <v>1847.222222222222</v>
      </c>
      <c r="L709" s="31" t="n">
        <v>150</v>
      </c>
      <c r="M709" s="31">
        <f>I709+J709+K709+L709</f>
        <v/>
      </c>
      <c r="N709" s="31">
        <f>M709*'Dashboard &amp; Optimisation'!$B$18/('Dashboard &amp; Optimisation'!$B$16/3.6)</f>
        <v/>
      </c>
      <c r="O709" s="31" t="n">
        <v>381.2265126168526</v>
      </c>
      <c r="P709" s="32" t="n">
        <v>0.2688551278385546</v>
      </c>
      <c r="Q709" s="33" t="n">
        <v>5.689672816037082</v>
      </c>
      <c r="R709" s="31" t="n">
        <v>358.1611396284215</v>
      </c>
      <c r="S709" s="31">
        <f>R709*IF(A709=4, 2.0, 3.0)</f>
        <v/>
      </c>
      <c r="T709" s="30">
        <f>'Dashboard &amp; Optimisation'!$B$18*U709</f>
        <v/>
      </c>
      <c r="U709" s="34">
        <f>MIN(1, S709/M709)</f>
        <v/>
      </c>
      <c r="V709" s="34">
        <f>N709/(N709+O709)</f>
        <v/>
      </c>
      <c r="W709" s="34">
        <f>U709*V709</f>
        <v/>
      </c>
      <c r="X709" s="32">
        <f>T709/N709</f>
        <v/>
      </c>
      <c r="Y709" s="35">
        <f>IF(W709=MAXIFS(W$2:W$3601, A$2:A$3601, A709, B$2:B$3601, B709), "OPTIMAL", "")</f>
        <v/>
      </c>
    </row>
    <row r="710" ht="20" customHeight="1">
      <c r="A710" s="21" t="n">
        <v>4</v>
      </c>
      <c r="B710" s="21" t="n">
        <v>30</v>
      </c>
      <c r="C710" s="22" t="n">
        <v>120</v>
      </c>
      <c r="D710" s="22" t="n">
        <v>3</v>
      </c>
      <c r="E710" s="23" t="n">
        <v>4</v>
      </c>
      <c r="F710" s="22" t="n">
        <v>2</v>
      </c>
      <c r="G710" s="23" t="inlineStr">
        <is>
          <t>Oui</t>
        </is>
      </c>
      <c r="H710" s="23" t="inlineStr">
        <is>
          <t>ON</t>
        </is>
      </c>
      <c r="I710" s="24" t="n">
        <v>718.2417398266504</v>
      </c>
      <c r="J710" s="24" t="n">
        <v>2366.073881799197</v>
      </c>
      <c r="K710" s="24" t="n">
        <v>1847.222222222222</v>
      </c>
      <c r="L710" s="24" t="n">
        <v>150</v>
      </c>
      <c r="M710" s="24">
        <f>I710+J710+K710+L710</f>
        <v/>
      </c>
      <c r="N710" s="24">
        <f>M710*'Dashboard &amp; Optimisation'!$B$18/('Dashboard &amp; Optimisation'!$B$16/3.6)</f>
        <v/>
      </c>
      <c r="O710" s="24" t="n">
        <v>416.5620883715711</v>
      </c>
      <c r="P710" s="25" t="n">
        <v>0.06458187918791126</v>
      </c>
      <c r="Q710" s="26" t="n">
        <v>7.519563754716109</v>
      </c>
      <c r="R710" s="24" t="n">
        <v>1504.845221936881</v>
      </c>
      <c r="S710" s="24">
        <f>R710*IF(A710=4, 2.0, 3.0)</f>
        <v/>
      </c>
      <c r="T710" s="22">
        <f>'Dashboard &amp; Optimisation'!$B$18*U710</f>
        <v/>
      </c>
      <c r="U710" s="27">
        <f>MIN(1, S710/M710)</f>
        <v/>
      </c>
      <c r="V710" s="27">
        <f>N710/(N710+O710)</f>
        <v/>
      </c>
      <c r="W710" s="27">
        <f>U710*V710</f>
        <v/>
      </c>
      <c r="X710" s="25">
        <f>T710/N710</f>
        <v/>
      </c>
      <c r="Y710" s="28">
        <f>IF(W710=MAXIFS(W$2:W$3601, A$2:A$3601, A710, B$2:B$3601, B710), "OPTIMAL", "")</f>
        <v/>
      </c>
    </row>
    <row r="711" ht="20" customHeight="1">
      <c r="A711" s="29" t="n">
        <v>4</v>
      </c>
      <c r="B711" s="29" t="n">
        <v>30</v>
      </c>
      <c r="C711" s="30" t="n">
        <v>120</v>
      </c>
      <c r="D711" s="30" t="n">
        <v>3</v>
      </c>
      <c r="E711" s="6" t="n">
        <v>4</v>
      </c>
      <c r="F711" s="30" t="n">
        <v>2</v>
      </c>
      <c r="G711" s="6" t="inlineStr">
        <is>
          <t>Oui</t>
        </is>
      </c>
      <c r="H711" s="6" t="inlineStr">
        <is>
          <t>OFF</t>
        </is>
      </c>
      <c r="I711" s="31" t="n">
        <v>718.2417398266504</v>
      </c>
      <c r="J711" s="31" t="n">
        <v>2366.073881799197</v>
      </c>
      <c r="K711" s="31" t="n">
        <v>1847.222222222222</v>
      </c>
      <c r="L711" s="31" t="n">
        <v>150</v>
      </c>
      <c r="M711" s="31">
        <f>I711+J711+K711+L711</f>
        <v/>
      </c>
      <c r="N711" s="31">
        <f>M711*'Dashboard &amp; Optimisation'!$B$18/('Dashboard &amp; Optimisation'!$B$16/3.6)</f>
        <v/>
      </c>
      <c r="O711" s="31" t="n">
        <v>416.5620883715711</v>
      </c>
      <c r="P711" s="32" t="n">
        <v>0.2690865884190716</v>
      </c>
      <c r="Q711" s="33" t="n">
        <v>7.519563754716109</v>
      </c>
      <c r="R711" s="31" t="n">
        <v>361.1689935593427</v>
      </c>
      <c r="S711" s="31">
        <f>R711*IF(A711=4, 2.0, 3.0)</f>
        <v/>
      </c>
      <c r="T711" s="30">
        <f>'Dashboard &amp; Optimisation'!$B$18*U711</f>
        <v/>
      </c>
      <c r="U711" s="34">
        <f>MIN(1, S711/M711)</f>
        <v/>
      </c>
      <c r="V711" s="34">
        <f>N711/(N711+O711)</f>
        <v/>
      </c>
      <c r="W711" s="34">
        <f>U711*V711</f>
        <v/>
      </c>
      <c r="X711" s="32">
        <f>T711/N711</f>
        <v/>
      </c>
      <c r="Y711" s="35">
        <f>IF(W711=MAXIFS(W$2:W$3601, A$2:A$3601, A711, B$2:B$3601, B711), "OPTIMAL", "")</f>
        <v/>
      </c>
    </row>
    <row r="712" ht="20" customHeight="1">
      <c r="A712" s="21" t="n">
        <v>4</v>
      </c>
      <c r="B712" s="21" t="n">
        <v>30</v>
      </c>
      <c r="C712" s="22" t="n">
        <v>120</v>
      </c>
      <c r="D712" s="22" t="n">
        <v>3</v>
      </c>
      <c r="E712" s="23" t="n">
        <v>4</v>
      </c>
      <c r="F712" s="22" t="n">
        <v>2</v>
      </c>
      <c r="G712" s="23" t="inlineStr">
        <is>
          <t>Non</t>
        </is>
      </c>
      <c r="H712" s="23" t="inlineStr">
        <is>
          <t>ON</t>
        </is>
      </c>
      <c r="I712" s="24" t="n">
        <v>718.2417398266504</v>
      </c>
      <c r="J712" s="24" t="n">
        <v>2366.073881799197</v>
      </c>
      <c r="K712" s="24" t="n">
        <v>1847.222222222222</v>
      </c>
      <c r="L712" s="24" t="n">
        <v>150</v>
      </c>
      <c r="M712" s="24">
        <f>I712+J712+K712+L712</f>
        <v/>
      </c>
      <c r="N712" s="24">
        <f>M712*'Dashboard &amp; Optimisation'!$B$18/('Dashboard &amp; Optimisation'!$B$16/3.6)</f>
        <v/>
      </c>
      <c r="O712" s="24" t="n">
        <v>416.5620883715711</v>
      </c>
      <c r="P712" s="25" t="n">
        <v>0.06192929680304634</v>
      </c>
      <c r="Q712" s="26" t="n">
        <v>7.519563754716109</v>
      </c>
      <c r="R712" s="24" t="n">
        <v>1569.30140235102</v>
      </c>
      <c r="S712" s="24">
        <f>R712*IF(A712=4, 2.0, 3.0)</f>
        <v/>
      </c>
      <c r="T712" s="22">
        <f>'Dashboard &amp; Optimisation'!$B$18*U712</f>
        <v/>
      </c>
      <c r="U712" s="27">
        <f>MIN(1, S712/M712)</f>
        <v/>
      </c>
      <c r="V712" s="27">
        <f>N712/(N712+O712)</f>
        <v/>
      </c>
      <c r="W712" s="27">
        <f>U712*V712</f>
        <v/>
      </c>
      <c r="X712" s="25">
        <f>T712/N712</f>
        <v/>
      </c>
      <c r="Y712" s="28">
        <f>IF(W712=MAXIFS(W$2:W$3601, A$2:A$3601, A712, B$2:B$3601, B712), "OPTIMAL", "")</f>
        <v/>
      </c>
    </row>
    <row r="713" ht="20" customHeight="1">
      <c r="A713" s="29" t="n">
        <v>4</v>
      </c>
      <c r="B713" s="29" t="n">
        <v>30</v>
      </c>
      <c r="C713" s="30" t="n">
        <v>120</v>
      </c>
      <c r="D713" s="30" t="n">
        <v>3</v>
      </c>
      <c r="E713" s="6" t="n">
        <v>4</v>
      </c>
      <c r="F713" s="30" t="n">
        <v>2</v>
      </c>
      <c r="G713" s="6" t="inlineStr">
        <is>
          <t>Non</t>
        </is>
      </c>
      <c r="H713" s="6" t="inlineStr">
        <is>
          <t>OFF</t>
        </is>
      </c>
      <c r="I713" s="31" t="n">
        <v>718.2417398266504</v>
      </c>
      <c r="J713" s="31" t="n">
        <v>2366.073881799197</v>
      </c>
      <c r="K713" s="31" t="n">
        <v>1847.222222222222</v>
      </c>
      <c r="L713" s="31" t="n">
        <v>150</v>
      </c>
      <c r="M713" s="31">
        <f>I713+J713+K713+L713</f>
        <v/>
      </c>
      <c r="N713" s="31">
        <f>M713*'Dashboard &amp; Optimisation'!$B$18/('Dashboard &amp; Optimisation'!$B$16/3.6)</f>
        <v/>
      </c>
      <c r="O713" s="31" t="n">
        <v>416.5620883715711</v>
      </c>
      <c r="P713" s="32" t="n">
        <v>0.2664340060342067</v>
      </c>
      <c r="Q713" s="33" t="n">
        <v>7.519563754716109</v>
      </c>
      <c r="R713" s="31" t="n">
        <v>364.7647451848011</v>
      </c>
      <c r="S713" s="31">
        <f>R713*IF(A713=4, 2.0, 3.0)</f>
        <v/>
      </c>
      <c r="T713" s="30">
        <f>'Dashboard &amp; Optimisation'!$B$18*U713</f>
        <v/>
      </c>
      <c r="U713" s="34">
        <f>MIN(1, S713/M713)</f>
        <v/>
      </c>
      <c r="V713" s="34">
        <f>N713/(N713+O713)</f>
        <v/>
      </c>
      <c r="W713" s="34">
        <f>U713*V713</f>
        <v/>
      </c>
      <c r="X713" s="32">
        <f>T713/N713</f>
        <v/>
      </c>
      <c r="Y713" s="35">
        <f>IF(W713=MAXIFS(W$2:W$3601, A$2:A$3601, A713, B$2:B$3601, B713), "OPTIMAL", "")</f>
        <v/>
      </c>
    </row>
    <row r="714" ht="20" customHeight="1">
      <c r="A714" s="21" t="n">
        <v>4</v>
      </c>
      <c r="B714" s="21" t="n">
        <v>30</v>
      </c>
      <c r="C714" s="22" t="n">
        <v>120</v>
      </c>
      <c r="D714" s="22" t="n">
        <v>3</v>
      </c>
      <c r="E714" s="23" t="n">
        <v>8</v>
      </c>
      <c r="F714" s="22" t="n">
        <v>1.5</v>
      </c>
      <c r="G714" s="23" t="inlineStr">
        <is>
          <t>Oui</t>
        </is>
      </c>
      <c r="H714" s="23" t="inlineStr">
        <is>
          <t>ON</t>
        </is>
      </c>
      <c r="I714" s="24" t="n">
        <v>718.2417398266504</v>
      </c>
      <c r="J714" s="24" t="n">
        <v>2366.073881799197</v>
      </c>
      <c r="K714" s="24" t="n">
        <v>1847.222222222222</v>
      </c>
      <c r="L714" s="24" t="n">
        <v>150</v>
      </c>
      <c r="M714" s="24">
        <f>I714+J714+K714+L714</f>
        <v/>
      </c>
      <c r="N714" s="24">
        <f>M714*'Dashboard &amp; Optimisation'!$B$18/('Dashboard &amp; Optimisation'!$B$16/3.6)</f>
        <v/>
      </c>
      <c r="O714" s="24" t="n">
        <v>489.2348918751393</v>
      </c>
      <c r="P714" s="25" t="n">
        <v>0.05144850932496671</v>
      </c>
      <c r="Q714" s="26" t="n">
        <v>11.17934563207417</v>
      </c>
      <c r="R714" s="24" t="n">
        <v>1924.658747997725</v>
      </c>
      <c r="S714" s="24">
        <f>R714*IF(A714=4, 2.0, 3.0)</f>
        <v/>
      </c>
      <c r="T714" s="22">
        <f>'Dashboard &amp; Optimisation'!$B$18*U714</f>
        <v/>
      </c>
      <c r="U714" s="27">
        <f>MIN(1, S714/M714)</f>
        <v/>
      </c>
      <c r="V714" s="27">
        <f>N714/(N714+O714)</f>
        <v/>
      </c>
      <c r="W714" s="27">
        <f>U714*V714</f>
        <v/>
      </c>
      <c r="X714" s="25">
        <f>T714/N714</f>
        <v/>
      </c>
      <c r="Y714" s="28">
        <f>IF(W714=MAXIFS(W$2:W$3601, A$2:A$3601, A714, B$2:B$3601, B714), "OPTIMAL", "")</f>
        <v/>
      </c>
    </row>
    <row r="715" ht="20" customHeight="1">
      <c r="A715" s="29" t="n">
        <v>4</v>
      </c>
      <c r="B715" s="29" t="n">
        <v>30</v>
      </c>
      <c r="C715" s="30" t="n">
        <v>120</v>
      </c>
      <c r="D715" s="30" t="n">
        <v>3</v>
      </c>
      <c r="E715" s="6" t="n">
        <v>8</v>
      </c>
      <c r="F715" s="30" t="n">
        <v>1.5</v>
      </c>
      <c r="G715" s="6" t="inlineStr">
        <is>
          <t>Oui</t>
        </is>
      </c>
      <c r="H715" s="6" t="inlineStr">
        <is>
          <t>OFF</t>
        </is>
      </c>
      <c r="I715" s="31" t="n">
        <v>718.2417398266504</v>
      </c>
      <c r="J715" s="31" t="n">
        <v>2366.073881799197</v>
      </c>
      <c r="K715" s="31" t="n">
        <v>1847.222222222222</v>
      </c>
      <c r="L715" s="31" t="n">
        <v>150</v>
      </c>
      <c r="M715" s="31">
        <f>I715+J715+K715+L715</f>
        <v/>
      </c>
      <c r="N715" s="31">
        <f>M715*'Dashboard &amp; Optimisation'!$B$18/('Dashboard &amp; Optimisation'!$B$16/3.6)</f>
        <v/>
      </c>
      <c r="O715" s="31" t="n">
        <v>489.2348918751393</v>
      </c>
      <c r="P715" s="32" t="n">
        <v>0.2167441267000743</v>
      </c>
      <c r="Q715" s="33" t="n">
        <v>11.17934563207417</v>
      </c>
      <c r="R715" s="31" t="n">
        <v>456.855856033241</v>
      </c>
      <c r="S715" s="31">
        <f>R715*IF(A715=4, 2.0, 3.0)</f>
        <v/>
      </c>
      <c r="T715" s="30">
        <f>'Dashboard &amp; Optimisation'!$B$18*U715</f>
        <v/>
      </c>
      <c r="U715" s="34">
        <f>MIN(1, S715/M715)</f>
        <v/>
      </c>
      <c r="V715" s="34">
        <f>N715/(N715+O715)</f>
        <v/>
      </c>
      <c r="W715" s="34">
        <f>U715*V715</f>
        <v/>
      </c>
      <c r="X715" s="32">
        <f>T715/N715</f>
        <v/>
      </c>
      <c r="Y715" s="35">
        <f>IF(W715=MAXIFS(W$2:W$3601, A$2:A$3601, A715, B$2:B$3601, B715), "OPTIMAL", "")</f>
        <v/>
      </c>
    </row>
    <row r="716" ht="20" customHeight="1">
      <c r="A716" s="21" t="n">
        <v>4</v>
      </c>
      <c r="B716" s="21" t="n">
        <v>30</v>
      </c>
      <c r="C716" s="22" t="n">
        <v>120</v>
      </c>
      <c r="D716" s="22" t="n">
        <v>3</v>
      </c>
      <c r="E716" s="23" t="n">
        <v>8</v>
      </c>
      <c r="F716" s="22" t="n">
        <v>1.5</v>
      </c>
      <c r="G716" s="23" t="inlineStr">
        <is>
          <t>Non</t>
        </is>
      </c>
      <c r="H716" s="23" t="inlineStr">
        <is>
          <t>ON</t>
        </is>
      </c>
      <c r="I716" s="24" t="n">
        <v>718.2417398266504</v>
      </c>
      <c r="J716" s="24" t="n">
        <v>2366.073881799197</v>
      </c>
      <c r="K716" s="24" t="n">
        <v>1847.222222222222</v>
      </c>
      <c r="L716" s="24" t="n">
        <v>150</v>
      </c>
      <c r="M716" s="24">
        <f>I716+J716+K716+L716</f>
        <v/>
      </c>
      <c r="N716" s="24">
        <f>M716*'Dashboard &amp; Optimisation'!$B$18/('Dashboard &amp; Optimisation'!$B$16/3.6)</f>
        <v/>
      </c>
      <c r="O716" s="24" t="n">
        <v>489.2348918751393</v>
      </c>
      <c r="P716" s="25" t="n">
        <v>0.04879592694010178</v>
      </c>
      <c r="Q716" s="26" t="n">
        <v>11.17934563207417</v>
      </c>
      <c r="R716" s="24" t="n">
        <v>2029.28460945706</v>
      </c>
      <c r="S716" s="24">
        <f>R716*IF(A716=4, 2.0, 3.0)</f>
        <v/>
      </c>
      <c r="T716" s="22">
        <f>'Dashboard &amp; Optimisation'!$B$18*U716</f>
        <v/>
      </c>
      <c r="U716" s="27">
        <f>MIN(1, S716/M716)</f>
        <v/>
      </c>
      <c r="V716" s="27">
        <f>N716/(N716+O716)</f>
        <v/>
      </c>
      <c r="W716" s="27">
        <f>U716*V716</f>
        <v/>
      </c>
      <c r="X716" s="25">
        <f>T716/N716</f>
        <v/>
      </c>
      <c r="Y716" s="28">
        <f>IF(W716=MAXIFS(W$2:W$3601, A$2:A$3601, A716, B$2:B$3601, B716), "OPTIMAL", "")</f>
        <v/>
      </c>
    </row>
    <row r="717" ht="20" customHeight="1">
      <c r="A717" s="29" t="n">
        <v>4</v>
      </c>
      <c r="B717" s="29" t="n">
        <v>30</v>
      </c>
      <c r="C717" s="30" t="n">
        <v>120</v>
      </c>
      <c r="D717" s="30" t="n">
        <v>3</v>
      </c>
      <c r="E717" s="6" t="n">
        <v>8</v>
      </c>
      <c r="F717" s="30" t="n">
        <v>1.5</v>
      </c>
      <c r="G717" s="6" t="inlineStr">
        <is>
          <t>Non</t>
        </is>
      </c>
      <c r="H717" s="6" t="inlineStr">
        <is>
          <t>OFF</t>
        </is>
      </c>
      <c r="I717" s="31" t="n">
        <v>718.2417398266504</v>
      </c>
      <c r="J717" s="31" t="n">
        <v>2366.073881799197</v>
      </c>
      <c r="K717" s="31" t="n">
        <v>1847.222222222222</v>
      </c>
      <c r="L717" s="31" t="n">
        <v>150</v>
      </c>
      <c r="M717" s="31">
        <f>I717+J717+K717+L717</f>
        <v/>
      </c>
      <c r="N717" s="31">
        <f>M717*'Dashboard &amp; Optimisation'!$B$18/('Dashboard &amp; Optimisation'!$B$16/3.6)</f>
        <v/>
      </c>
      <c r="O717" s="31" t="n">
        <v>489.2348918751393</v>
      </c>
      <c r="P717" s="32" t="n">
        <v>0.2140915443152093</v>
      </c>
      <c r="Q717" s="33" t="n">
        <v>11.17934563207417</v>
      </c>
      <c r="R717" s="31" t="n">
        <v>462.5162748041569</v>
      </c>
      <c r="S717" s="31">
        <f>R717*IF(A717=4, 2.0, 3.0)</f>
        <v/>
      </c>
      <c r="T717" s="30">
        <f>'Dashboard &amp; Optimisation'!$B$18*U717</f>
        <v/>
      </c>
      <c r="U717" s="34">
        <f>MIN(1, S717/M717)</f>
        <v/>
      </c>
      <c r="V717" s="34">
        <f>N717/(N717+O717)</f>
        <v/>
      </c>
      <c r="W717" s="34">
        <f>U717*V717</f>
        <v/>
      </c>
      <c r="X717" s="32">
        <f>T717/N717</f>
        <v/>
      </c>
      <c r="Y717" s="35">
        <f>IF(W717=MAXIFS(W$2:W$3601, A$2:A$3601, A717, B$2:B$3601, B717), "OPTIMAL", "")</f>
        <v/>
      </c>
    </row>
    <row r="718" ht="20" customHeight="1">
      <c r="A718" s="21" t="n">
        <v>4</v>
      </c>
      <c r="B718" s="21" t="n">
        <v>30</v>
      </c>
      <c r="C718" s="22" t="n">
        <v>120</v>
      </c>
      <c r="D718" s="22" t="n">
        <v>3</v>
      </c>
      <c r="E718" s="23" t="n">
        <v>8</v>
      </c>
      <c r="F718" s="22" t="n">
        <v>2</v>
      </c>
      <c r="G718" s="23" t="inlineStr">
        <is>
          <t>Oui</t>
        </is>
      </c>
      <c r="H718" s="23" t="inlineStr">
        <is>
          <t>ON</t>
        </is>
      </c>
      <c r="I718" s="24" t="n">
        <v>718.2417398266504</v>
      </c>
      <c r="J718" s="24" t="n">
        <v>2366.073881799197</v>
      </c>
      <c r="K718" s="24" t="n">
        <v>1847.222222222222</v>
      </c>
      <c r="L718" s="24" t="n">
        <v>150</v>
      </c>
      <c r="M718" s="24">
        <f>I718+J718+K718+L718</f>
        <v/>
      </c>
      <c r="N718" s="24">
        <f>M718*'Dashboard &amp; Optimisation'!$B$18/('Dashboard &amp; Optimisation'!$B$16/3.6)</f>
        <v/>
      </c>
      <c r="O718" s="24" t="n">
        <v>564.7049754474803</v>
      </c>
      <c r="P718" s="25" t="n">
        <v>0.04989331996011</v>
      </c>
      <c r="Q718" s="26" t="n">
        <v>14.83912750943222</v>
      </c>
      <c r="R718" s="24" t="n">
        <v>2022.84694889845</v>
      </c>
      <c r="S718" s="24">
        <f>R718*IF(A718=4, 2.0, 3.0)</f>
        <v/>
      </c>
      <c r="T718" s="22">
        <f>'Dashboard &amp; Optimisation'!$B$18*U718</f>
        <v/>
      </c>
      <c r="U718" s="27">
        <f>MIN(1, S718/M718)</f>
        <v/>
      </c>
      <c r="V718" s="27">
        <f>N718/(N718+O718)</f>
        <v/>
      </c>
      <c r="W718" s="27">
        <f>U718*V718</f>
        <v/>
      </c>
      <c r="X718" s="25">
        <f>T718/N718</f>
        <v/>
      </c>
      <c r="Y718" s="28">
        <f>IF(W718=MAXIFS(W$2:W$3601, A$2:A$3601, A718, B$2:B$3601, B718), "OPTIMAL", "")</f>
        <v/>
      </c>
    </row>
    <row r="719" ht="20" customHeight="1">
      <c r="A719" s="29" t="n">
        <v>4</v>
      </c>
      <c r="B719" s="29" t="n">
        <v>30</v>
      </c>
      <c r="C719" s="30" t="n">
        <v>120</v>
      </c>
      <c r="D719" s="30" t="n">
        <v>3</v>
      </c>
      <c r="E719" s="6" t="n">
        <v>8</v>
      </c>
      <c r="F719" s="30" t="n">
        <v>2</v>
      </c>
      <c r="G719" s="6" t="inlineStr">
        <is>
          <t>Oui</t>
        </is>
      </c>
      <c r="H719" s="6" t="inlineStr">
        <is>
          <t>OFF</t>
        </is>
      </c>
      <c r="I719" s="31" t="n">
        <v>718.2417398266504</v>
      </c>
      <c r="J719" s="31" t="n">
        <v>2366.073881799197</v>
      </c>
      <c r="K719" s="31" t="n">
        <v>1847.222222222222</v>
      </c>
      <c r="L719" s="31" t="n">
        <v>150</v>
      </c>
      <c r="M719" s="31">
        <f>I719+J719+K719+L719</f>
        <v/>
      </c>
      <c r="N719" s="31">
        <f>M719*'Dashboard &amp; Optimisation'!$B$18/('Dashboard &amp; Optimisation'!$B$16/3.6)</f>
        <v/>
      </c>
      <c r="O719" s="31" t="n">
        <v>564.7049754474803</v>
      </c>
      <c r="P719" s="32" t="n">
        <v>0.2162873761903785</v>
      </c>
      <c r="Q719" s="33" t="n">
        <v>14.83912750943222</v>
      </c>
      <c r="R719" s="31" t="n">
        <v>466.63171854693</v>
      </c>
      <c r="S719" s="31">
        <f>R719*IF(A719=4, 2.0, 3.0)</f>
        <v/>
      </c>
      <c r="T719" s="30">
        <f>'Dashboard &amp; Optimisation'!$B$18*U719</f>
        <v/>
      </c>
      <c r="U719" s="34">
        <f>MIN(1, S719/M719)</f>
        <v/>
      </c>
      <c r="V719" s="34">
        <f>N719/(N719+O719)</f>
        <v/>
      </c>
      <c r="W719" s="34">
        <f>U719*V719</f>
        <v/>
      </c>
      <c r="X719" s="32">
        <f>T719/N719</f>
        <v/>
      </c>
      <c r="Y719" s="35">
        <f>IF(W719=MAXIFS(W$2:W$3601, A$2:A$3601, A719, B$2:B$3601, B719), "OPTIMAL", "")</f>
        <v/>
      </c>
    </row>
    <row r="720" ht="20" customHeight="1">
      <c r="A720" s="21" t="n">
        <v>4</v>
      </c>
      <c r="B720" s="21" t="n">
        <v>30</v>
      </c>
      <c r="C720" s="22" t="n">
        <v>120</v>
      </c>
      <c r="D720" s="22" t="n">
        <v>3</v>
      </c>
      <c r="E720" s="23" t="n">
        <v>8</v>
      </c>
      <c r="F720" s="22" t="n">
        <v>2</v>
      </c>
      <c r="G720" s="23" t="inlineStr">
        <is>
          <t>Non</t>
        </is>
      </c>
      <c r="H720" s="23" t="inlineStr">
        <is>
          <t>ON</t>
        </is>
      </c>
      <c r="I720" s="24" t="n">
        <v>718.2417398266504</v>
      </c>
      <c r="J720" s="24" t="n">
        <v>2366.073881799197</v>
      </c>
      <c r="K720" s="24" t="n">
        <v>1847.222222222222</v>
      </c>
      <c r="L720" s="24" t="n">
        <v>150</v>
      </c>
      <c r="M720" s="24">
        <f>I720+J720+K720+L720</f>
        <v/>
      </c>
      <c r="N720" s="24">
        <f>M720*'Dashboard &amp; Optimisation'!$B$18/('Dashboard &amp; Optimisation'!$B$16/3.6)</f>
        <v/>
      </c>
      <c r="O720" s="24" t="n">
        <v>564.7049754474803</v>
      </c>
      <c r="P720" s="25" t="n">
        <v>0.04724073757524508</v>
      </c>
      <c r="Q720" s="26" t="n">
        <v>14.83912750943222</v>
      </c>
      <c r="R720" s="24" t="n">
        <v>2136.430446094682</v>
      </c>
      <c r="S720" s="24">
        <f>R720*IF(A720=4, 2.0, 3.0)</f>
        <v/>
      </c>
      <c r="T720" s="22">
        <f>'Dashboard &amp; Optimisation'!$B$18*U720</f>
        <v/>
      </c>
      <c r="U720" s="27">
        <f>MIN(1, S720/M720)</f>
        <v/>
      </c>
      <c r="V720" s="27">
        <f>N720/(N720+O720)</f>
        <v/>
      </c>
      <c r="W720" s="27">
        <f>U720*V720</f>
        <v/>
      </c>
      <c r="X720" s="25">
        <f>T720/N720</f>
        <v/>
      </c>
      <c r="Y720" s="28">
        <f>IF(W720=MAXIFS(W$2:W$3601, A$2:A$3601, A720, B$2:B$3601, B720), "OPTIMAL", "")</f>
        <v/>
      </c>
    </row>
    <row r="721" ht="20" customHeight="1">
      <c r="A721" s="29" t="n">
        <v>4</v>
      </c>
      <c r="B721" s="29" t="n">
        <v>30</v>
      </c>
      <c r="C721" s="30" t="n">
        <v>120</v>
      </c>
      <c r="D721" s="30" t="n">
        <v>3</v>
      </c>
      <c r="E721" s="6" t="n">
        <v>8</v>
      </c>
      <c r="F721" s="30" t="n">
        <v>2</v>
      </c>
      <c r="G721" s="6" t="inlineStr">
        <is>
          <t>Non</t>
        </is>
      </c>
      <c r="H721" s="6" t="inlineStr">
        <is>
          <t>OFF</t>
        </is>
      </c>
      <c r="I721" s="31" t="n">
        <v>718.2417398266504</v>
      </c>
      <c r="J721" s="31" t="n">
        <v>2366.073881799197</v>
      </c>
      <c r="K721" s="31" t="n">
        <v>1847.222222222222</v>
      </c>
      <c r="L721" s="31" t="n">
        <v>150</v>
      </c>
      <c r="M721" s="31">
        <f>I721+J721+K721+L721</f>
        <v/>
      </c>
      <c r="N721" s="31">
        <f>M721*'Dashboard &amp; Optimisation'!$B$18/('Dashboard &amp; Optimisation'!$B$16/3.6)</f>
        <v/>
      </c>
      <c r="O721" s="31" t="n">
        <v>564.7049754474803</v>
      </c>
      <c r="P721" s="32" t="n">
        <v>0.2136347938055135</v>
      </c>
      <c r="Q721" s="33" t="n">
        <v>14.83912750943222</v>
      </c>
      <c r="R721" s="31" t="n">
        <v>472.4256206299572</v>
      </c>
      <c r="S721" s="31">
        <f>R721*IF(A721=4, 2.0, 3.0)</f>
        <v/>
      </c>
      <c r="T721" s="30">
        <f>'Dashboard &amp; Optimisation'!$B$18*U721</f>
        <v/>
      </c>
      <c r="U721" s="34">
        <f>MIN(1, S721/M721)</f>
        <v/>
      </c>
      <c r="V721" s="34">
        <f>N721/(N721+O721)</f>
        <v/>
      </c>
      <c r="W721" s="34">
        <f>U721*V721</f>
        <v/>
      </c>
      <c r="X721" s="32">
        <f>T721/N721</f>
        <v/>
      </c>
      <c r="Y721" s="35">
        <f>IF(W721=MAXIFS(W$2:W$3601, A$2:A$3601, A721, B$2:B$3601, B721), "OPTIMAL", "")</f>
        <v/>
      </c>
    </row>
    <row r="722" ht="20" customHeight="1">
      <c r="A722" s="21" t="n">
        <v>4</v>
      </c>
      <c r="B722" s="21" t="n">
        <v>35</v>
      </c>
      <c r="C722" s="22" t="n">
        <v>80</v>
      </c>
      <c r="D722" s="22" t="n">
        <v>2</v>
      </c>
      <c r="E722" s="23" t="n">
        <v>0</v>
      </c>
      <c r="F722" s="22" t="n">
        <v>0</v>
      </c>
      <c r="G722" s="23" t="inlineStr">
        <is>
          <t>Oui</t>
        </is>
      </c>
      <c r="H722" s="23" t="inlineStr">
        <is>
          <t>ON</t>
        </is>
      </c>
      <c r="I722" s="24" t="n">
        <v>856.3651513317755</v>
      </c>
      <c r="J722" s="24" t="n">
        <v>3449.488235315031</v>
      </c>
      <c r="K722" s="24" t="n">
        <v>2287.037037037037</v>
      </c>
      <c r="L722" s="24" t="n">
        <v>150</v>
      </c>
      <c r="M722" s="24">
        <f>I722+J722+K722+L722</f>
        <v/>
      </c>
      <c r="N722" s="24">
        <f>M722*'Dashboard &amp; Optimisation'!$B$18/('Dashboard &amp; Optimisation'!$B$16/3.6)</f>
        <v/>
      </c>
      <c r="O722" s="24" t="n">
        <v>370.2272050129558</v>
      </c>
      <c r="P722" s="25" t="n">
        <v>0.5013778930875155</v>
      </c>
      <c r="Q722" s="26" t="n">
        <v>0.2</v>
      </c>
      <c r="R722" s="24" t="n">
        <v>558.039463083959</v>
      </c>
      <c r="S722" s="24">
        <f>R722*IF(A722=4, 2.0, 3.0)</f>
        <v/>
      </c>
      <c r="T722" s="22">
        <f>'Dashboard &amp; Optimisation'!$B$18*U722</f>
        <v/>
      </c>
      <c r="U722" s="27">
        <f>MIN(1, S722/M722)</f>
        <v/>
      </c>
      <c r="V722" s="27">
        <f>N722/(N722+O722)</f>
        <v/>
      </c>
      <c r="W722" s="27">
        <f>U722*V722</f>
        <v/>
      </c>
      <c r="X722" s="25">
        <f>T722/N722</f>
        <v/>
      </c>
      <c r="Y722" s="28">
        <f>IF(W722=MAXIFS(W$2:W$3601, A$2:A$3601, A722, B$2:B$3601, B722), "OPTIMAL", "")</f>
        <v/>
      </c>
    </row>
    <row r="723" ht="20" customHeight="1">
      <c r="A723" s="29" t="n">
        <v>4</v>
      </c>
      <c r="B723" s="29" t="n">
        <v>35</v>
      </c>
      <c r="C723" s="30" t="n">
        <v>80</v>
      </c>
      <c r="D723" s="30" t="n">
        <v>2</v>
      </c>
      <c r="E723" s="6" t="n">
        <v>0</v>
      </c>
      <c r="F723" s="30" t="n">
        <v>0</v>
      </c>
      <c r="G723" s="6" t="inlineStr">
        <is>
          <t>Oui</t>
        </is>
      </c>
      <c r="H723" s="6" t="inlineStr">
        <is>
          <t>OFF</t>
        </is>
      </c>
      <c r="I723" s="31" t="n">
        <v>856.3651513317755</v>
      </c>
      <c r="J723" s="31" t="n">
        <v>3449.488235315031</v>
      </c>
      <c r="K723" s="31" t="n">
        <v>2287.037037037037</v>
      </c>
      <c r="L723" s="31" t="n">
        <v>150</v>
      </c>
      <c r="M723" s="31">
        <f>I723+J723+K723+L723</f>
        <v/>
      </c>
      <c r="N723" s="31">
        <f>M723*'Dashboard &amp; Optimisation'!$B$18/('Dashboard &amp; Optimisation'!$B$16/3.6)</f>
        <v/>
      </c>
      <c r="O723" s="31" t="n">
        <v>370.2272050129558</v>
      </c>
      <c r="P723" s="32" t="n">
        <v>0.8992652508172538</v>
      </c>
      <c r="Q723" s="33" t="n">
        <v>0.2</v>
      </c>
      <c r="R723" s="31" t="n">
        <v>311.1302810894242</v>
      </c>
      <c r="S723" s="31">
        <f>R723*IF(A723=4, 2.0, 3.0)</f>
        <v/>
      </c>
      <c r="T723" s="30">
        <f>'Dashboard &amp; Optimisation'!$B$18*U723</f>
        <v/>
      </c>
      <c r="U723" s="34">
        <f>MIN(1, S723/M723)</f>
        <v/>
      </c>
      <c r="V723" s="34">
        <f>N723/(N723+O723)</f>
        <v/>
      </c>
      <c r="W723" s="34">
        <f>U723*V723</f>
        <v/>
      </c>
      <c r="X723" s="32">
        <f>T723/N723</f>
        <v/>
      </c>
      <c r="Y723" s="35">
        <f>IF(W723=MAXIFS(W$2:W$3601, A$2:A$3601, A723, B$2:B$3601, B723), "OPTIMAL", "")</f>
        <v/>
      </c>
    </row>
    <row r="724" ht="20" customHeight="1">
      <c r="A724" s="21" t="n">
        <v>4</v>
      </c>
      <c r="B724" s="21" t="n">
        <v>35</v>
      </c>
      <c r="C724" s="22" t="n">
        <v>80</v>
      </c>
      <c r="D724" s="22" t="n">
        <v>2</v>
      </c>
      <c r="E724" s="23" t="n">
        <v>0</v>
      </c>
      <c r="F724" s="22" t="n">
        <v>0</v>
      </c>
      <c r="G724" s="23" t="inlineStr">
        <is>
          <t>Non</t>
        </is>
      </c>
      <c r="H724" s="23" t="inlineStr">
        <is>
          <t>ON</t>
        </is>
      </c>
      <c r="I724" s="24" t="n">
        <v>856.3651513317755</v>
      </c>
      <c r="J724" s="24" t="n">
        <v>3449.488235315031</v>
      </c>
      <c r="K724" s="24" t="n">
        <v>2287.037037037037</v>
      </c>
      <c r="L724" s="24" t="n">
        <v>150</v>
      </c>
      <c r="M724" s="24">
        <f>I724+J724+K724+L724</f>
        <v/>
      </c>
      <c r="N724" s="24">
        <f>M724*'Dashboard &amp; Optimisation'!$B$18/('Dashboard &amp; Optimisation'!$B$16/3.6)</f>
        <v/>
      </c>
      <c r="O724" s="24" t="n">
        <v>370.2272050129558</v>
      </c>
      <c r="P724" s="25" t="n">
        <v>0.4973990195102181</v>
      </c>
      <c r="Q724" s="26" t="n">
        <v>0.2</v>
      </c>
      <c r="R724" s="24" t="n">
        <v>562.5034213702868</v>
      </c>
      <c r="S724" s="24">
        <f>R724*IF(A724=4, 2.0, 3.0)</f>
        <v/>
      </c>
      <c r="T724" s="22">
        <f>'Dashboard &amp; Optimisation'!$B$18*U724</f>
        <v/>
      </c>
      <c r="U724" s="27">
        <f>MIN(1, S724/M724)</f>
        <v/>
      </c>
      <c r="V724" s="27">
        <f>N724/(N724+O724)</f>
        <v/>
      </c>
      <c r="W724" s="27">
        <f>U724*V724</f>
        <v/>
      </c>
      <c r="X724" s="25">
        <f>T724/N724</f>
        <v/>
      </c>
      <c r="Y724" s="28">
        <f>IF(W724=MAXIFS(W$2:W$3601, A$2:A$3601, A724, B$2:B$3601, B724), "OPTIMAL", "")</f>
        <v/>
      </c>
    </row>
    <row r="725" ht="20" customHeight="1">
      <c r="A725" s="29" t="n">
        <v>4</v>
      </c>
      <c r="B725" s="29" t="n">
        <v>35</v>
      </c>
      <c r="C725" s="30" t="n">
        <v>80</v>
      </c>
      <c r="D725" s="30" t="n">
        <v>2</v>
      </c>
      <c r="E725" s="6" t="n">
        <v>0</v>
      </c>
      <c r="F725" s="30" t="n">
        <v>0</v>
      </c>
      <c r="G725" s="6" t="inlineStr">
        <is>
          <t>Non</t>
        </is>
      </c>
      <c r="H725" s="6" t="inlineStr">
        <is>
          <t>OFF</t>
        </is>
      </c>
      <c r="I725" s="31" t="n">
        <v>856.3651513317755</v>
      </c>
      <c r="J725" s="31" t="n">
        <v>3449.488235315031</v>
      </c>
      <c r="K725" s="31" t="n">
        <v>2287.037037037037</v>
      </c>
      <c r="L725" s="31" t="n">
        <v>150</v>
      </c>
      <c r="M725" s="31">
        <f>I725+J725+K725+L725</f>
        <v/>
      </c>
      <c r="N725" s="31">
        <f>M725*'Dashboard &amp; Optimisation'!$B$18/('Dashboard &amp; Optimisation'!$B$16/3.6)</f>
        <v/>
      </c>
      <c r="O725" s="31" t="n">
        <v>370.2272050129558</v>
      </c>
      <c r="P725" s="32" t="n">
        <v>0.8952863772399564</v>
      </c>
      <c r="Q725" s="33" t="n">
        <v>0.2</v>
      </c>
      <c r="R725" s="31" t="n">
        <v>312.5130208316955</v>
      </c>
      <c r="S725" s="31">
        <f>R725*IF(A725=4, 2.0, 3.0)</f>
        <v/>
      </c>
      <c r="T725" s="30">
        <f>'Dashboard &amp; Optimisation'!$B$18*U725</f>
        <v/>
      </c>
      <c r="U725" s="34">
        <f>MIN(1, S725/M725)</f>
        <v/>
      </c>
      <c r="V725" s="34">
        <f>N725/(N725+O725)</f>
        <v/>
      </c>
      <c r="W725" s="34">
        <f>U725*V725</f>
        <v/>
      </c>
      <c r="X725" s="32">
        <f>T725/N725</f>
        <v/>
      </c>
      <c r="Y725" s="35">
        <f>IF(W725=MAXIFS(W$2:W$3601, A$2:A$3601, A725, B$2:B$3601, B725), "OPTIMAL", "")</f>
        <v/>
      </c>
    </row>
    <row r="726" ht="20" customHeight="1">
      <c r="A726" s="21" t="n">
        <v>4</v>
      </c>
      <c r="B726" s="21" t="n">
        <v>35</v>
      </c>
      <c r="C726" s="22" t="n">
        <v>80</v>
      </c>
      <c r="D726" s="22" t="n">
        <v>2</v>
      </c>
      <c r="E726" s="23" t="n">
        <v>4</v>
      </c>
      <c r="F726" s="22" t="n">
        <v>1.5</v>
      </c>
      <c r="G726" s="23" t="inlineStr">
        <is>
          <t>Oui</t>
        </is>
      </c>
      <c r="H726" s="23" t="inlineStr">
        <is>
          <t>ON</t>
        </is>
      </c>
      <c r="I726" s="24" t="n">
        <v>856.3651513317755</v>
      </c>
      <c r="J726" s="24" t="n">
        <v>3449.488235315031</v>
      </c>
      <c r="K726" s="24" t="n">
        <v>2287.037037037037</v>
      </c>
      <c r="L726" s="24" t="n">
        <v>150</v>
      </c>
      <c r="M726" s="24">
        <f>I726+J726+K726+L726</f>
        <v/>
      </c>
      <c r="N726" s="24">
        <f>M726*'Dashboard &amp; Optimisation'!$B$18/('Dashboard &amp; Optimisation'!$B$16/3.6)</f>
        <v/>
      </c>
      <c r="O726" s="24" t="n">
        <v>600.1361755357084</v>
      </c>
      <c r="P726" s="25" t="n">
        <v>0.08231647342522849</v>
      </c>
      <c r="Q726" s="26" t="n">
        <v>8.434509224055622</v>
      </c>
      <c r="R726" s="24" t="n">
        <v>3541.32686615247</v>
      </c>
      <c r="S726" s="24">
        <f>R726*IF(A726=4, 2.0, 3.0)</f>
        <v/>
      </c>
      <c r="T726" s="22">
        <f>'Dashboard &amp; Optimisation'!$B$18*U726</f>
        <v/>
      </c>
      <c r="U726" s="27">
        <f>MIN(1, S726/M726)</f>
        <v/>
      </c>
      <c r="V726" s="27">
        <f>N726/(N726+O726)</f>
        <v/>
      </c>
      <c r="W726" s="27">
        <f>U726*V726</f>
        <v/>
      </c>
      <c r="X726" s="25">
        <f>T726/N726</f>
        <v/>
      </c>
      <c r="Y726" s="28">
        <f>IF(W726=MAXIFS(W$2:W$3601, A$2:A$3601, A726, B$2:B$3601, B726), "OPTIMAL", "")</f>
        <v/>
      </c>
    </row>
    <row r="727" ht="20" customHeight="1">
      <c r="A727" s="29" t="n">
        <v>4</v>
      </c>
      <c r="B727" s="29" t="n">
        <v>35</v>
      </c>
      <c r="C727" s="30" t="n">
        <v>80</v>
      </c>
      <c r="D727" s="30" t="n">
        <v>2</v>
      </c>
      <c r="E727" s="6" t="n">
        <v>4</v>
      </c>
      <c r="F727" s="30" t="n">
        <v>1.5</v>
      </c>
      <c r="G727" s="6" t="inlineStr">
        <is>
          <t>Oui</t>
        </is>
      </c>
      <c r="H727" s="6" t="inlineStr">
        <is>
          <t>OFF</t>
        </is>
      </c>
      <c r="I727" s="31" t="n">
        <v>856.3651513317755</v>
      </c>
      <c r="J727" s="31" t="n">
        <v>3449.488235315031</v>
      </c>
      <c r="K727" s="31" t="n">
        <v>2287.037037037037</v>
      </c>
      <c r="L727" s="31" t="n">
        <v>150</v>
      </c>
      <c r="M727" s="31">
        <f>I727+J727+K727+L727</f>
        <v/>
      </c>
      <c r="N727" s="31">
        <f>M727*'Dashboard &amp; Optimisation'!$B$18/('Dashboard &amp; Optimisation'!$B$16/3.6)</f>
        <v/>
      </c>
      <c r="O727" s="31" t="n">
        <v>600.1361755357084</v>
      </c>
      <c r="P727" s="32" t="n">
        <v>0.3560493820000729</v>
      </c>
      <c r="Q727" s="33" t="n">
        <v>8.434509224055622</v>
      </c>
      <c r="R727" s="31" t="n">
        <v>818.7334499224826</v>
      </c>
      <c r="S727" s="31">
        <f>R727*IF(A727=4, 2.0, 3.0)</f>
        <v/>
      </c>
      <c r="T727" s="30">
        <f>'Dashboard &amp; Optimisation'!$B$18*U727</f>
        <v/>
      </c>
      <c r="U727" s="34">
        <f>MIN(1, S727/M727)</f>
        <v/>
      </c>
      <c r="V727" s="34">
        <f>N727/(N727+O727)</f>
        <v/>
      </c>
      <c r="W727" s="34">
        <f>U727*V727</f>
        <v/>
      </c>
      <c r="X727" s="32">
        <f>T727/N727</f>
        <v/>
      </c>
      <c r="Y727" s="35">
        <f>IF(W727=MAXIFS(W$2:W$3601, A$2:A$3601, A727, B$2:B$3601, B727), "OPTIMAL", "")</f>
        <v/>
      </c>
    </row>
    <row r="728" ht="20" customHeight="1">
      <c r="A728" s="21" t="n">
        <v>4</v>
      </c>
      <c r="B728" s="21" t="n">
        <v>35</v>
      </c>
      <c r="C728" s="22" t="n">
        <v>80</v>
      </c>
      <c r="D728" s="22" t="n">
        <v>2</v>
      </c>
      <c r="E728" s="23" t="n">
        <v>4</v>
      </c>
      <c r="F728" s="22" t="n">
        <v>1.5</v>
      </c>
      <c r="G728" s="23" t="inlineStr">
        <is>
          <t>Non</t>
        </is>
      </c>
      <c r="H728" s="23" t="inlineStr">
        <is>
          <t>ON</t>
        </is>
      </c>
      <c r="I728" s="24" t="n">
        <v>856.3651513317755</v>
      </c>
      <c r="J728" s="24" t="n">
        <v>3449.488235315031</v>
      </c>
      <c r="K728" s="24" t="n">
        <v>2287.037037037037</v>
      </c>
      <c r="L728" s="24" t="n">
        <v>150</v>
      </c>
      <c r="M728" s="24">
        <f>I728+J728+K728+L728</f>
        <v/>
      </c>
      <c r="N728" s="24">
        <f>M728*'Dashboard &amp; Optimisation'!$B$18/('Dashboard &amp; Optimisation'!$B$16/3.6)</f>
        <v/>
      </c>
      <c r="O728" s="24" t="n">
        <v>600.1361755357084</v>
      </c>
      <c r="P728" s="25" t="n">
        <v>0.07833759984793112</v>
      </c>
      <c r="Q728" s="26" t="n">
        <v>8.434509224055622</v>
      </c>
      <c r="R728" s="24" t="n">
        <v>3721.195689344141</v>
      </c>
      <c r="S728" s="24">
        <f>R728*IF(A728=4, 2.0, 3.0)</f>
        <v/>
      </c>
      <c r="T728" s="22">
        <f>'Dashboard &amp; Optimisation'!$B$18*U728</f>
        <v/>
      </c>
      <c r="U728" s="27">
        <f>MIN(1, S728/M728)</f>
        <v/>
      </c>
      <c r="V728" s="27">
        <f>N728/(N728+O728)</f>
        <v/>
      </c>
      <c r="W728" s="27">
        <f>U728*V728</f>
        <v/>
      </c>
      <c r="X728" s="25">
        <f>T728/N728</f>
        <v/>
      </c>
      <c r="Y728" s="28">
        <f>IF(W728=MAXIFS(W$2:W$3601, A$2:A$3601, A728, B$2:B$3601, B728), "OPTIMAL", "")</f>
        <v/>
      </c>
    </row>
    <row r="729" ht="20" customHeight="1">
      <c r="A729" s="29" t="n">
        <v>4</v>
      </c>
      <c r="B729" s="29" t="n">
        <v>35</v>
      </c>
      <c r="C729" s="30" t="n">
        <v>80</v>
      </c>
      <c r="D729" s="30" t="n">
        <v>2</v>
      </c>
      <c r="E729" s="6" t="n">
        <v>4</v>
      </c>
      <c r="F729" s="30" t="n">
        <v>1.5</v>
      </c>
      <c r="G729" s="6" t="inlineStr">
        <is>
          <t>Non</t>
        </is>
      </c>
      <c r="H729" s="6" t="inlineStr">
        <is>
          <t>OFF</t>
        </is>
      </c>
      <c r="I729" s="31" t="n">
        <v>856.3651513317755</v>
      </c>
      <c r="J729" s="31" t="n">
        <v>3449.488235315031</v>
      </c>
      <c r="K729" s="31" t="n">
        <v>2287.037037037037</v>
      </c>
      <c r="L729" s="31" t="n">
        <v>150</v>
      </c>
      <c r="M729" s="31">
        <f>I729+J729+K729+L729</f>
        <v/>
      </c>
      <c r="N729" s="31">
        <f>M729*'Dashboard &amp; Optimisation'!$B$18/('Dashboard &amp; Optimisation'!$B$16/3.6)</f>
        <v/>
      </c>
      <c r="O729" s="31" t="n">
        <v>600.1361755357084</v>
      </c>
      <c r="P729" s="32" t="n">
        <v>0.3520705084227755</v>
      </c>
      <c r="Q729" s="33" t="n">
        <v>8.434509224055622</v>
      </c>
      <c r="R729" s="31" t="n">
        <v>827.9862467708748</v>
      </c>
      <c r="S729" s="31">
        <f>R729*IF(A729=4, 2.0, 3.0)</f>
        <v/>
      </c>
      <c r="T729" s="30">
        <f>'Dashboard &amp; Optimisation'!$B$18*U729</f>
        <v/>
      </c>
      <c r="U729" s="34">
        <f>MIN(1, S729/M729)</f>
        <v/>
      </c>
      <c r="V729" s="34">
        <f>N729/(N729+O729)</f>
        <v/>
      </c>
      <c r="W729" s="34">
        <f>U729*V729</f>
        <v/>
      </c>
      <c r="X729" s="32">
        <f>T729/N729</f>
        <v/>
      </c>
      <c r="Y729" s="35">
        <f>IF(W729=MAXIFS(W$2:W$3601, A$2:A$3601, A729, B$2:B$3601, B729), "OPTIMAL", "")</f>
        <v/>
      </c>
    </row>
    <row r="730" ht="20" customHeight="1">
      <c r="A730" s="21" t="n">
        <v>4</v>
      </c>
      <c r="B730" s="21" t="n">
        <v>35</v>
      </c>
      <c r="C730" s="22" t="n">
        <v>80</v>
      </c>
      <c r="D730" s="22" t="n">
        <v>2</v>
      </c>
      <c r="E730" s="23" t="n">
        <v>4</v>
      </c>
      <c r="F730" s="22" t="n">
        <v>2</v>
      </c>
      <c r="G730" s="23" t="inlineStr">
        <is>
          <t>Oui</t>
        </is>
      </c>
      <c r="H730" s="23" t="inlineStr">
        <is>
          <t>ON</t>
        </is>
      </c>
      <c r="I730" s="24" t="n">
        <v>856.3651513317755</v>
      </c>
      <c r="J730" s="24" t="n">
        <v>3449.488235315031</v>
      </c>
      <c r="K730" s="24" t="n">
        <v>2287.037037037037</v>
      </c>
      <c r="L730" s="24" t="n">
        <v>150</v>
      </c>
      <c r="M730" s="24">
        <f>I730+J730+K730+L730</f>
        <v/>
      </c>
      <c r="N730" s="24">
        <f>M730*'Dashboard &amp; Optimisation'!$B$18/('Dashboard &amp; Optimisation'!$B$16/3.6)</f>
        <v/>
      </c>
      <c r="O730" s="24" t="n">
        <v>681.1137117303778</v>
      </c>
      <c r="P730" s="25" t="n">
        <v>0.08027381372050572</v>
      </c>
      <c r="Q730" s="26" t="n">
        <v>11.17934563207416</v>
      </c>
      <c r="R730" s="24" t="n">
        <v>3682.867494374841</v>
      </c>
      <c r="S730" s="24">
        <f>R730*IF(A730=4, 2.0, 3.0)</f>
        <v/>
      </c>
      <c r="T730" s="22">
        <f>'Dashboard &amp; Optimisation'!$B$18*U730</f>
        <v/>
      </c>
      <c r="U730" s="27">
        <f>MIN(1, S730/M730)</f>
        <v/>
      </c>
      <c r="V730" s="27">
        <f>N730/(N730+O730)</f>
        <v/>
      </c>
      <c r="W730" s="27">
        <f>U730*V730</f>
        <v/>
      </c>
      <c r="X730" s="25">
        <f>T730/N730</f>
        <v/>
      </c>
      <c r="Y730" s="28">
        <f>IF(W730=MAXIFS(W$2:W$3601, A$2:A$3601, A730, B$2:B$3601, B730), "OPTIMAL", "")</f>
        <v/>
      </c>
    </row>
    <row r="731" ht="20" customHeight="1">
      <c r="A731" s="29" t="n">
        <v>4</v>
      </c>
      <c r="B731" s="29" t="n">
        <v>35</v>
      </c>
      <c r="C731" s="30" t="n">
        <v>80</v>
      </c>
      <c r="D731" s="30" t="n">
        <v>2</v>
      </c>
      <c r="E731" s="6" t="n">
        <v>4</v>
      </c>
      <c r="F731" s="30" t="n">
        <v>2</v>
      </c>
      <c r="G731" s="6" t="inlineStr">
        <is>
          <t>Oui</t>
        </is>
      </c>
      <c r="H731" s="6" t="inlineStr">
        <is>
          <t>OFF</t>
        </is>
      </c>
      <c r="I731" s="31" t="n">
        <v>856.3651513317755</v>
      </c>
      <c r="J731" s="31" t="n">
        <v>3449.488235315031</v>
      </c>
      <c r="K731" s="31" t="n">
        <v>2287.037037037037</v>
      </c>
      <c r="L731" s="31" t="n">
        <v>150</v>
      </c>
      <c r="M731" s="31">
        <f>I731+J731+K731+L731</f>
        <v/>
      </c>
      <c r="N731" s="31">
        <f>M731*'Dashboard &amp; Optimisation'!$B$18/('Dashboard &amp; Optimisation'!$B$16/3.6)</f>
        <v/>
      </c>
      <c r="O731" s="31" t="n">
        <v>681.1137117303778</v>
      </c>
      <c r="P731" s="32" t="n">
        <v>0.355510990994127</v>
      </c>
      <c r="Q731" s="33" t="n">
        <v>11.17934563207416</v>
      </c>
      <c r="R731" s="31" t="n">
        <v>831.5855956353132</v>
      </c>
      <c r="S731" s="31">
        <f>R731*IF(A731=4, 2.0, 3.0)</f>
        <v/>
      </c>
      <c r="T731" s="30">
        <f>'Dashboard &amp; Optimisation'!$B$18*U731</f>
        <v/>
      </c>
      <c r="U731" s="34">
        <f>MIN(1, S731/M731)</f>
        <v/>
      </c>
      <c r="V731" s="34">
        <f>N731/(N731+O731)</f>
        <v/>
      </c>
      <c r="W731" s="34">
        <f>U731*V731</f>
        <v/>
      </c>
      <c r="X731" s="32">
        <f>T731/N731</f>
        <v/>
      </c>
      <c r="Y731" s="35">
        <f>IF(W731=MAXIFS(W$2:W$3601, A$2:A$3601, A731, B$2:B$3601, B731), "OPTIMAL", "")</f>
        <v/>
      </c>
    </row>
    <row r="732" ht="20" customHeight="1">
      <c r="A732" s="21" t="n">
        <v>4</v>
      </c>
      <c r="B732" s="21" t="n">
        <v>35</v>
      </c>
      <c r="C732" s="22" t="n">
        <v>80</v>
      </c>
      <c r="D732" s="22" t="n">
        <v>2</v>
      </c>
      <c r="E732" s="23" t="n">
        <v>4</v>
      </c>
      <c r="F732" s="22" t="n">
        <v>2</v>
      </c>
      <c r="G732" s="23" t="inlineStr">
        <is>
          <t>Non</t>
        </is>
      </c>
      <c r="H732" s="23" t="inlineStr">
        <is>
          <t>ON</t>
        </is>
      </c>
      <c r="I732" s="24" t="n">
        <v>856.3651513317755</v>
      </c>
      <c r="J732" s="24" t="n">
        <v>3449.488235315031</v>
      </c>
      <c r="K732" s="24" t="n">
        <v>2287.037037037037</v>
      </c>
      <c r="L732" s="24" t="n">
        <v>150</v>
      </c>
      <c r="M732" s="24">
        <f>I732+J732+K732+L732</f>
        <v/>
      </c>
      <c r="N732" s="24">
        <f>M732*'Dashboard &amp; Optimisation'!$B$18/('Dashboard &amp; Optimisation'!$B$16/3.6)</f>
        <v/>
      </c>
      <c r="O732" s="24" t="n">
        <v>681.1137117303778</v>
      </c>
      <c r="P732" s="25" t="n">
        <v>0.07629494014320834</v>
      </c>
      <c r="Q732" s="26" t="n">
        <v>11.17934563207416</v>
      </c>
      <c r="R732" s="24" t="n">
        <v>3874.933496845647</v>
      </c>
      <c r="S732" s="24">
        <f>R732*IF(A732=4, 2.0, 3.0)</f>
        <v/>
      </c>
      <c r="T732" s="22">
        <f>'Dashboard &amp; Optimisation'!$B$18*U732</f>
        <v/>
      </c>
      <c r="U732" s="27">
        <f>MIN(1, S732/M732)</f>
        <v/>
      </c>
      <c r="V732" s="27">
        <f>N732/(N732+O732)</f>
        <v/>
      </c>
      <c r="W732" s="27">
        <f>U732*V732</f>
        <v/>
      </c>
      <c r="X732" s="25">
        <f>T732/N732</f>
        <v/>
      </c>
      <c r="Y732" s="28">
        <f>IF(W732=MAXIFS(W$2:W$3601, A$2:A$3601, A732, B$2:B$3601, B732), "OPTIMAL", "")</f>
        <v/>
      </c>
    </row>
    <row r="733" ht="20" customHeight="1">
      <c r="A733" s="29" t="n">
        <v>4</v>
      </c>
      <c r="B733" s="29" t="n">
        <v>35</v>
      </c>
      <c r="C733" s="30" t="n">
        <v>80</v>
      </c>
      <c r="D733" s="30" t="n">
        <v>2</v>
      </c>
      <c r="E733" s="6" t="n">
        <v>4</v>
      </c>
      <c r="F733" s="30" t="n">
        <v>2</v>
      </c>
      <c r="G733" s="6" t="inlineStr">
        <is>
          <t>Non</t>
        </is>
      </c>
      <c r="H733" s="6" t="inlineStr">
        <is>
          <t>OFF</t>
        </is>
      </c>
      <c r="I733" s="31" t="n">
        <v>856.3651513317755</v>
      </c>
      <c r="J733" s="31" t="n">
        <v>3449.488235315031</v>
      </c>
      <c r="K733" s="31" t="n">
        <v>2287.037037037037</v>
      </c>
      <c r="L733" s="31" t="n">
        <v>150</v>
      </c>
      <c r="M733" s="31">
        <f>I733+J733+K733+L733</f>
        <v/>
      </c>
      <c r="N733" s="31">
        <f>M733*'Dashboard &amp; Optimisation'!$B$18/('Dashboard &amp; Optimisation'!$B$16/3.6)</f>
        <v/>
      </c>
      <c r="O733" s="31" t="n">
        <v>681.1137117303778</v>
      </c>
      <c r="P733" s="32" t="n">
        <v>0.3515321174168297</v>
      </c>
      <c r="Q733" s="33" t="n">
        <v>11.17934563207416</v>
      </c>
      <c r="R733" s="31" t="n">
        <v>840.998032763529</v>
      </c>
      <c r="S733" s="31">
        <f>R733*IF(A733=4, 2.0, 3.0)</f>
        <v/>
      </c>
      <c r="T733" s="30">
        <f>'Dashboard &amp; Optimisation'!$B$18*U733</f>
        <v/>
      </c>
      <c r="U733" s="34">
        <f>MIN(1, S733/M733)</f>
        <v/>
      </c>
      <c r="V733" s="34">
        <f>N733/(N733+O733)</f>
        <v/>
      </c>
      <c r="W733" s="34">
        <f>U733*V733</f>
        <v/>
      </c>
      <c r="X733" s="32">
        <f>T733/N733</f>
        <v/>
      </c>
      <c r="Y733" s="35">
        <f>IF(W733=MAXIFS(W$2:W$3601, A$2:A$3601, A733, B$2:B$3601, B733), "OPTIMAL", "")</f>
        <v/>
      </c>
    </row>
    <row r="734" ht="20" customHeight="1">
      <c r="A734" s="21" t="n">
        <v>4</v>
      </c>
      <c r="B734" s="21" t="n">
        <v>35</v>
      </c>
      <c r="C734" s="22" t="n">
        <v>80</v>
      </c>
      <c r="D734" s="22" t="n">
        <v>2</v>
      </c>
      <c r="E734" s="23" t="n">
        <v>8</v>
      </c>
      <c r="F734" s="22" t="n">
        <v>1.5</v>
      </c>
      <c r="G734" s="23" t="inlineStr">
        <is>
          <t>Oui</t>
        </is>
      </c>
      <c r="H734" s="23" t="inlineStr">
        <is>
          <t>ON</t>
        </is>
      </c>
      <c r="I734" s="24" t="n">
        <v>856.3651513317755</v>
      </c>
      <c r="J734" s="24" t="n">
        <v>3449.488235315031</v>
      </c>
      <c r="K734" s="24" t="n">
        <v>2287.037037037037</v>
      </c>
      <c r="L734" s="24" t="n">
        <v>150</v>
      </c>
      <c r="M734" s="24">
        <f>I734+J734+K734+L734</f>
        <v/>
      </c>
      <c r="N734" s="24">
        <f>M734*'Dashboard &amp; Optimisation'!$B$18/('Dashboard &amp; Optimisation'!$B$16/3.6)</f>
        <v/>
      </c>
      <c r="O734" s="24" t="n">
        <v>850.1500435412061</v>
      </c>
      <c r="P734" s="25" t="n">
        <v>0.06145178783543291</v>
      </c>
      <c r="Q734" s="26" t="n">
        <v>16.66901844811125</v>
      </c>
      <c r="R734" s="24" t="n">
        <v>4951.123428160267</v>
      </c>
      <c r="S734" s="24">
        <f>R734*IF(A734=4, 2.0, 3.0)</f>
        <v/>
      </c>
      <c r="T734" s="22">
        <f>'Dashboard &amp; Optimisation'!$B$18*U734</f>
        <v/>
      </c>
      <c r="U734" s="27">
        <f>MIN(1, S734/M734)</f>
        <v/>
      </c>
      <c r="V734" s="27">
        <f>N734/(N734+O734)</f>
        <v/>
      </c>
      <c r="W734" s="27">
        <f>U734*V734</f>
        <v/>
      </c>
      <c r="X734" s="25">
        <f>T734/N734</f>
        <v/>
      </c>
      <c r="Y734" s="28">
        <f>IF(W734=MAXIFS(W$2:W$3601, A$2:A$3601, A734, B$2:B$3601, B734), "OPTIMAL", "")</f>
        <v/>
      </c>
    </row>
    <row r="735" ht="20" customHeight="1">
      <c r="A735" s="29" t="n">
        <v>4</v>
      </c>
      <c r="B735" s="29" t="n">
        <v>35</v>
      </c>
      <c r="C735" s="30" t="n">
        <v>80</v>
      </c>
      <c r="D735" s="30" t="n">
        <v>2</v>
      </c>
      <c r="E735" s="6" t="n">
        <v>8</v>
      </c>
      <c r="F735" s="30" t="n">
        <v>1.5</v>
      </c>
      <c r="G735" s="6" t="inlineStr">
        <is>
          <t>Oui</t>
        </is>
      </c>
      <c r="H735" s="6" t="inlineStr">
        <is>
          <t>OFF</t>
        </is>
      </c>
      <c r="I735" s="31" t="n">
        <v>856.3651513317755</v>
      </c>
      <c r="J735" s="31" t="n">
        <v>3449.488235315031</v>
      </c>
      <c r="K735" s="31" t="n">
        <v>2287.037037037037</v>
      </c>
      <c r="L735" s="31" t="n">
        <v>150</v>
      </c>
      <c r="M735" s="31">
        <f>I735+J735+K735+L735</f>
        <v/>
      </c>
      <c r="N735" s="31">
        <f>M735*'Dashboard &amp; Optimisation'!$B$18/('Dashboard &amp; Optimisation'!$B$16/3.6)</f>
        <v/>
      </c>
      <c r="O735" s="31" t="n">
        <v>850.1500435412061</v>
      </c>
      <c r="P735" s="32" t="n">
        <v>0.2700829218988253</v>
      </c>
      <c r="Q735" s="33" t="n">
        <v>16.66901844811125</v>
      </c>
      <c r="R735" s="31" t="n">
        <v>1126.5258251624</v>
      </c>
      <c r="S735" s="31">
        <f>R735*IF(A735=4, 2.0, 3.0)</f>
        <v/>
      </c>
      <c r="T735" s="30">
        <f>'Dashboard &amp; Optimisation'!$B$18*U735</f>
        <v/>
      </c>
      <c r="U735" s="34">
        <f>MIN(1, S735/M735)</f>
        <v/>
      </c>
      <c r="V735" s="34">
        <f>N735/(N735+O735)</f>
        <v/>
      </c>
      <c r="W735" s="34">
        <f>U735*V735</f>
        <v/>
      </c>
      <c r="X735" s="32">
        <f>T735/N735</f>
        <v/>
      </c>
      <c r="Y735" s="35">
        <f>IF(W735=MAXIFS(W$2:W$3601, A$2:A$3601, A735, B$2:B$3601, B735), "OPTIMAL", "")</f>
        <v/>
      </c>
    </row>
    <row r="736" ht="20" customHeight="1">
      <c r="A736" s="21" t="n">
        <v>4</v>
      </c>
      <c r="B736" s="21" t="n">
        <v>35</v>
      </c>
      <c r="C736" s="22" t="n">
        <v>80</v>
      </c>
      <c r="D736" s="22" t="n">
        <v>2</v>
      </c>
      <c r="E736" s="23" t="n">
        <v>8</v>
      </c>
      <c r="F736" s="22" t="n">
        <v>1.5</v>
      </c>
      <c r="G736" s="23" t="inlineStr">
        <is>
          <t>Non</t>
        </is>
      </c>
      <c r="H736" s="23" t="inlineStr">
        <is>
          <t>ON</t>
        </is>
      </c>
      <c r="I736" s="24" t="n">
        <v>856.3651513317755</v>
      </c>
      <c r="J736" s="24" t="n">
        <v>3449.488235315031</v>
      </c>
      <c r="K736" s="24" t="n">
        <v>2287.037037037037</v>
      </c>
      <c r="L736" s="24" t="n">
        <v>150</v>
      </c>
      <c r="M736" s="24">
        <f>I736+J736+K736+L736</f>
        <v/>
      </c>
      <c r="N736" s="24">
        <f>M736*'Dashboard &amp; Optimisation'!$B$18/('Dashboard &amp; Optimisation'!$B$16/3.6)</f>
        <v/>
      </c>
      <c r="O736" s="24" t="n">
        <v>850.1500435412061</v>
      </c>
      <c r="P736" s="25" t="n">
        <v>0.05747291425813553</v>
      </c>
      <c r="Q736" s="26" t="n">
        <v>16.66901844811125</v>
      </c>
      <c r="R736" s="24" t="n">
        <v>5293.891746776655</v>
      </c>
      <c r="S736" s="24">
        <f>R736*IF(A736=4, 2.0, 3.0)</f>
        <v/>
      </c>
      <c r="T736" s="22">
        <f>'Dashboard &amp; Optimisation'!$B$18*U736</f>
        <v/>
      </c>
      <c r="U736" s="27">
        <f>MIN(1, S736/M736)</f>
        <v/>
      </c>
      <c r="V736" s="27">
        <f>N736/(N736+O736)</f>
        <v/>
      </c>
      <c r="W736" s="27">
        <f>U736*V736</f>
        <v/>
      </c>
      <c r="X736" s="25">
        <f>T736/N736</f>
        <v/>
      </c>
      <c r="Y736" s="28">
        <f>IF(W736=MAXIFS(W$2:W$3601, A$2:A$3601, A736, B$2:B$3601, B736), "OPTIMAL", "")</f>
        <v/>
      </c>
    </row>
    <row r="737" ht="20" customHeight="1">
      <c r="A737" s="29" t="n">
        <v>4</v>
      </c>
      <c r="B737" s="29" t="n">
        <v>35</v>
      </c>
      <c r="C737" s="30" t="n">
        <v>80</v>
      </c>
      <c r="D737" s="30" t="n">
        <v>2</v>
      </c>
      <c r="E737" s="6" t="n">
        <v>8</v>
      </c>
      <c r="F737" s="30" t="n">
        <v>1.5</v>
      </c>
      <c r="G737" s="6" t="inlineStr">
        <is>
          <t>Non</t>
        </is>
      </c>
      <c r="H737" s="6" t="inlineStr">
        <is>
          <t>OFF</t>
        </is>
      </c>
      <c r="I737" s="31" t="n">
        <v>856.3651513317755</v>
      </c>
      <c r="J737" s="31" t="n">
        <v>3449.488235315031</v>
      </c>
      <c r="K737" s="31" t="n">
        <v>2287.037037037037</v>
      </c>
      <c r="L737" s="31" t="n">
        <v>150</v>
      </c>
      <c r="M737" s="31">
        <f>I737+J737+K737+L737</f>
        <v/>
      </c>
      <c r="N737" s="31">
        <f>M737*'Dashboard &amp; Optimisation'!$B$18/('Dashboard &amp; Optimisation'!$B$16/3.6)</f>
        <v/>
      </c>
      <c r="O737" s="31" t="n">
        <v>850.1500435412061</v>
      </c>
      <c r="P737" s="32" t="n">
        <v>0.2661040483215279</v>
      </c>
      <c r="Q737" s="33" t="n">
        <v>16.66901844811125</v>
      </c>
      <c r="R737" s="31" t="n">
        <v>1143.37000272435</v>
      </c>
      <c r="S737" s="31">
        <f>R737*IF(A737=4, 2.0, 3.0)</f>
        <v/>
      </c>
      <c r="T737" s="30">
        <f>'Dashboard &amp; Optimisation'!$B$18*U737</f>
        <v/>
      </c>
      <c r="U737" s="34">
        <f>MIN(1, S737/M737)</f>
        <v/>
      </c>
      <c r="V737" s="34">
        <f>N737/(N737+O737)</f>
        <v/>
      </c>
      <c r="W737" s="34">
        <f>U737*V737</f>
        <v/>
      </c>
      <c r="X737" s="32">
        <f>T737/N737</f>
        <v/>
      </c>
      <c r="Y737" s="35">
        <f>IF(W737=MAXIFS(W$2:W$3601, A$2:A$3601, A737, B$2:B$3601, B737), "OPTIMAL", "")</f>
        <v/>
      </c>
    </row>
    <row r="738" ht="20" customHeight="1">
      <c r="A738" s="21" t="n">
        <v>4</v>
      </c>
      <c r="B738" s="21" t="n">
        <v>35</v>
      </c>
      <c r="C738" s="22" t="n">
        <v>80</v>
      </c>
      <c r="D738" s="22" t="n">
        <v>2</v>
      </c>
      <c r="E738" s="23" t="n">
        <v>8</v>
      </c>
      <c r="F738" s="22" t="n">
        <v>2</v>
      </c>
      <c r="G738" s="23" t="inlineStr">
        <is>
          <t>Oui</t>
        </is>
      </c>
      <c r="H738" s="23" t="inlineStr">
        <is>
          <t>ON</t>
        </is>
      </c>
      <c r="I738" s="24" t="n">
        <v>856.3651513317755</v>
      </c>
      <c r="J738" s="24" t="n">
        <v>3449.488235315031</v>
      </c>
      <c r="K738" s="24" t="n">
        <v>2287.037037037037</v>
      </c>
      <c r="L738" s="24" t="n">
        <v>150</v>
      </c>
      <c r="M738" s="24">
        <f>I738+J738+K738+L738</f>
        <v/>
      </c>
      <c r="N738" s="24">
        <f>M738*'Dashboard &amp; Optimisation'!$B$18/('Dashboard &amp; Optimisation'!$B$16/3.6)</f>
        <v/>
      </c>
      <c r="O738" s="24" t="n">
        <v>1029.336752879742</v>
      </c>
      <c r="P738" s="25" t="n">
        <v>0.06058998977604487</v>
      </c>
      <c r="Q738" s="26" t="n">
        <v>22.15869126414833</v>
      </c>
      <c r="R738" s="24" t="n">
        <v>5172.313559067294</v>
      </c>
      <c r="S738" s="24">
        <f>R738*IF(A738=4, 2.0, 3.0)</f>
        <v/>
      </c>
      <c r="T738" s="22">
        <f>'Dashboard &amp; Optimisation'!$B$18*U738</f>
        <v/>
      </c>
      <c r="U738" s="27">
        <f>MIN(1, S738/M738)</f>
        <v/>
      </c>
      <c r="V738" s="27">
        <f>N738/(N738+O738)</f>
        <v/>
      </c>
      <c r="W738" s="27">
        <f>U738*V738</f>
        <v/>
      </c>
      <c r="X738" s="25">
        <f>T738/N738</f>
        <v/>
      </c>
      <c r="Y738" s="28">
        <f>IF(W738=MAXIFS(W$2:W$3601, A$2:A$3601, A738, B$2:B$3601, B738), "OPTIMAL", "")</f>
        <v/>
      </c>
    </row>
    <row r="739" ht="20" customHeight="1">
      <c r="A739" s="29" t="n">
        <v>4</v>
      </c>
      <c r="B739" s="29" t="n">
        <v>35</v>
      </c>
      <c r="C739" s="30" t="n">
        <v>80</v>
      </c>
      <c r="D739" s="30" t="n">
        <v>2</v>
      </c>
      <c r="E739" s="6" t="n">
        <v>8</v>
      </c>
      <c r="F739" s="30" t="n">
        <v>2</v>
      </c>
      <c r="G739" s="6" t="inlineStr">
        <is>
          <t>Oui</t>
        </is>
      </c>
      <c r="H739" s="6" t="inlineStr">
        <is>
          <t>OFF</t>
        </is>
      </c>
      <c r="I739" s="31" t="n">
        <v>856.3651513317755</v>
      </c>
      <c r="J739" s="31" t="n">
        <v>3449.488235315031</v>
      </c>
      <c r="K739" s="31" t="n">
        <v>2287.037037037037</v>
      </c>
      <c r="L739" s="31" t="n">
        <v>150</v>
      </c>
      <c r="M739" s="31">
        <f>I739+J739+K739+L739</f>
        <v/>
      </c>
      <c r="N739" s="31">
        <f>M739*'Dashboard &amp; Optimisation'!$B$18/('Dashboard &amp; Optimisation'!$B$16/3.6)</f>
        <v/>
      </c>
      <c r="O739" s="31" t="n">
        <v>1029.336752879742</v>
      </c>
      <c r="P739" s="32" t="n">
        <v>0.2709744149858122</v>
      </c>
      <c r="Q739" s="33" t="n">
        <v>22.15869126414833</v>
      </c>
      <c r="R739" s="31" t="n">
        <v>1156.531422639271</v>
      </c>
      <c r="S739" s="31">
        <f>R739*IF(A739=4, 2.0, 3.0)</f>
        <v/>
      </c>
      <c r="T739" s="30">
        <f>'Dashboard &amp; Optimisation'!$B$18*U739</f>
        <v/>
      </c>
      <c r="U739" s="34">
        <f>MIN(1, S739/M739)</f>
        <v/>
      </c>
      <c r="V739" s="34">
        <f>N739/(N739+O739)</f>
        <v/>
      </c>
      <c r="W739" s="34">
        <f>U739*V739</f>
        <v/>
      </c>
      <c r="X739" s="32">
        <f>T739/N739</f>
        <v/>
      </c>
      <c r="Y739" s="35">
        <f>IF(W739=MAXIFS(W$2:W$3601, A$2:A$3601, A739, B$2:B$3601, B739), "OPTIMAL", "")</f>
        <v/>
      </c>
    </row>
    <row r="740" ht="20" customHeight="1">
      <c r="A740" s="21" t="n">
        <v>4</v>
      </c>
      <c r="B740" s="21" t="n">
        <v>35</v>
      </c>
      <c r="C740" s="22" t="n">
        <v>80</v>
      </c>
      <c r="D740" s="22" t="n">
        <v>2</v>
      </c>
      <c r="E740" s="23" t="n">
        <v>8</v>
      </c>
      <c r="F740" s="22" t="n">
        <v>2</v>
      </c>
      <c r="G740" s="23" t="inlineStr">
        <is>
          <t>Non</t>
        </is>
      </c>
      <c r="H740" s="23" t="inlineStr">
        <is>
          <t>ON</t>
        </is>
      </c>
      <c r="I740" s="24" t="n">
        <v>856.3651513317755</v>
      </c>
      <c r="J740" s="24" t="n">
        <v>3449.488235315031</v>
      </c>
      <c r="K740" s="24" t="n">
        <v>2287.037037037037</v>
      </c>
      <c r="L740" s="24" t="n">
        <v>150</v>
      </c>
      <c r="M740" s="24">
        <f>I740+J740+K740+L740</f>
        <v/>
      </c>
      <c r="N740" s="24">
        <f>M740*'Dashboard &amp; Optimisation'!$B$18/('Dashboard &amp; Optimisation'!$B$16/3.6)</f>
        <v/>
      </c>
      <c r="O740" s="24" t="n">
        <v>1029.336752879742</v>
      </c>
      <c r="P740" s="25" t="n">
        <v>0.05661111619874749</v>
      </c>
      <c r="Q740" s="26" t="n">
        <v>22.15869126414833</v>
      </c>
      <c r="R740" s="24" t="n">
        <v>5535.84607945461</v>
      </c>
      <c r="S740" s="24">
        <f>R740*IF(A740=4, 2.0, 3.0)</f>
        <v/>
      </c>
      <c r="T740" s="22">
        <f>'Dashboard &amp; Optimisation'!$B$18*U740</f>
        <v/>
      </c>
      <c r="U740" s="27">
        <f>MIN(1, S740/M740)</f>
        <v/>
      </c>
      <c r="V740" s="27">
        <f>N740/(N740+O740)</f>
        <v/>
      </c>
      <c r="W740" s="27">
        <f>U740*V740</f>
        <v/>
      </c>
      <c r="X740" s="25">
        <f>T740/N740</f>
        <v/>
      </c>
      <c r="Y740" s="28">
        <f>IF(W740=MAXIFS(W$2:W$3601, A$2:A$3601, A740, B$2:B$3601, B740), "OPTIMAL", "")</f>
        <v/>
      </c>
    </row>
    <row r="741" ht="20" customHeight="1">
      <c r="A741" s="29" t="n">
        <v>4</v>
      </c>
      <c r="B741" s="29" t="n">
        <v>35</v>
      </c>
      <c r="C741" s="30" t="n">
        <v>80</v>
      </c>
      <c r="D741" s="30" t="n">
        <v>2</v>
      </c>
      <c r="E741" s="6" t="n">
        <v>8</v>
      </c>
      <c r="F741" s="30" t="n">
        <v>2</v>
      </c>
      <c r="G741" s="6" t="inlineStr">
        <is>
          <t>Non</t>
        </is>
      </c>
      <c r="H741" s="6" t="inlineStr">
        <is>
          <t>OFF</t>
        </is>
      </c>
      <c r="I741" s="31" t="n">
        <v>856.3651513317755</v>
      </c>
      <c r="J741" s="31" t="n">
        <v>3449.488235315031</v>
      </c>
      <c r="K741" s="31" t="n">
        <v>2287.037037037037</v>
      </c>
      <c r="L741" s="31" t="n">
        <v>150</v>
      </c>
      <c r="M741" s="31">
        <f>I741+J741+K741+L741</f>
        <v/>
      </c>
      <c r="N741" s="31">
        <f>M741*'Dashboard &amp; Optimisation'!$B$18/('Dashboard &amp; Optimisation'!$B$16/3.6)</f>
        <v/>
      </c>
      <c r="O741" s="31" t="n">
        <v>1029.336752879742</v>
      </c>
      <c r="P741" s="32" t="n">
        <v>0.2669955414085148</v>
      </c>
      <c r="Q741" s="33" t="n">
        <v>22.15869126414833</v>
      </c>
      <c r="R741" s="31" t="n">
        <v>1173.766513137703</v>
      </c>
      <c r="S741" s="31">
        <f>R741*IF(A741=4, 2.0, 3.0)</f>
        <v/>
      </c>
      <c r="T741" s="30">
        <f>'Dashboard &amp; Optimisation'!$B$18*U741</f>
        <v/>
      </c>
      <c r="U741" s="34">
        <f>MIN(1, S741/M741)</f>
        <v/>
      </c>
      <c r="V741" s="34">
        <f>N741/(N741+O741)</f>
        <v/>
      </c>
      <c r="W741" s="34">
        <f>U741*V741</f>
        <v/>
      </c>
      <c r="X741" s="32">
        <f>T741/N741</f>
        <v/>
      </c>
      <c r="Y741" s="35">
        <f>IF(W741=MAXIFS(W$2:W$3601, A$2:A$3601, A741, B$2:B$3601, B741), "OPTIMAL", "")</f>
        <v/>
      </c>
    </row>
    <row r="742" ht="20" customHeight="1">
      <c r="A742" s="21" t="n">
        <v>4</v>
      </c>
      <c r="B742" s="21" t="n">
        <v>35</v>
      </c>
      <c r="C742" s="22" t="n">
        <v>80</v>
      </c>
      <c r="D742" s="22" t="n">
        <v>3</v>
      </c>
      <c r="E742" s="23" t="n">
        <v>0</v>
      </c>
      <c r="F742" s="22" t="n">
        <v>0</v>
      </c>
      <c r="G742" s="23" t="inlineStr">
        <is>
          <t>Oui</t>
        </is>
      </c>
      <c r="H742" s="23" t="inlineStr">
        <is>
          <t>ON</t>
        </is>
      </c>
      <c r="I742" s="24" t="n">
        <v>856.3651513317755</v>
      </c>
      <c r="J742" s="24" t="n">
        <v>3449.488235315031</v>
      </c>
      <c r="K742" s="24" t="n">
        <v>2287.037037037037</v>
      </c>
      <c r="L742" s="24" t="n">
        <v>150</v>
      </c>
      <c r="M742" s="24">
        <f>I742+J742+K742+L742</f>
        <v/>
      </c>
      <c r="N742" s="24">
        <f>M742*'Dashboard &amp; Optimisation'!$B$18/('Dashboard &amp; Optimisation'!$B$16/3.6)</f>
        <v/>
      </c>
      <c r="O742" s="24" t="n">
        <v>578.2550776954059</v>
      </c>
      <c r="P742" s="25" t="n">
        <v>0.5013985973965238</v>
      </c>
      <c r="Q742" s="26" t="n">
        <v>0.2</v>
      </c>
      <c r="R742" s="24" t="n">
        <v>588.5870784015092</v>
      </c>
      <c r="S742" s="24">
        <f>R742*IF(A742=4, 2.0, 3.0)</f>
        <v/>
      </c>
      <c r="T742" s="22">
        <f>'Dashboard &amp; Optimisation'!$B$18*U742</f>
        <v/>
      </c>
      <c r="U742" s="27">
        <f>MIN(1, S742/M742)</f>
        <v/>
      </c>
      <c r="V742" s="27">
        <f>N742/(N742+O742)</f>
        <v/>
      </c>
      <c r="W742" s="27">
        <f>U742*V742</f>
        <v/>
      </c>
      <c r="X742" s="25">
        <f>T742/N742</f>
        <v/>
      </c>
      <c r="Y742" s="28">
        <f>IF(W742=MAXIFS(W$2:W$3601, A$2:A$3601, A742, B$2:B$3601, B742), "OPTIMAL", "")</f>
        <v/>
      </c>
    </row>
    <row r="743" ht="20" customHeight="1">
      <c r="A743" s="29" t="n">
        <v>4</v>
      </c>
      <c r="B743" s="29" t="n">
        <v>35</v>
      </c>
      <c r="C743" s="30" t="n">
        <v>80</v>
      </c>
      <c r="D743" s="30" t="n">
        <v>3</v>
      </c>
      <c r="E743" s="6" t="n">
        <v>0</v>
      </c>
      <c r="F743" s="30" t="n">
        <v>0</v>
      </c>
      <c r="G743" s="6" t="inlineStr">
        <is>
          <t>Oui</t>
        </is>
      </c>
      <c r="H743" s="6" t="inlineStr">
        <is>
          <t>OFF</t>
        </is>
      </c>
      <c r="I743" s="31" t="n">
        <v>856.3651513317755</v>
      </c>
      <c r="J743" s="31" t="n">
        <v>3449.488235315031</v>
      </c>
      <c r="K743" s="31" t="n">
        <v>2287.037037037037</v>
      </c>
      <c r="L743" s="31" t="n">
        <v>150</v>
      </c>
      <c r="M743" s="31">
        <f>I743+J743+K743+L743</f>
        <v/>
      </c>
      <c r="N743" s="31">
        <f>M743*'Dashboard &amp; Optimisation'!$B$18/('Dashboard &amp; Optimisation'!$B$16/3.6)</f>
        <v/>
      </c>
      <c r="O743" s="31" t="n">
        <v>578.2550776954059</v>
      </c>
      <c r="P743" s="32" t="n">
        <v>0.8992859551262622</v>
      </c>
      <c r="Q743" s="33" t="n">
        <v>0.2</v>
      </c>
      <c r="R743" s="31" t="n">
        <v>328.167846805524</v>
      </c>
      <c r="S743" s="31">
        <f>R743*IF(A743=4, 2.0, 3.0)</f>
        <v/>
      </c>
      <c r="T743" s="30">
        <f>'Dashboard &amp; Optimisation'!$B$18*U743</f>
        <v/>
      </c>
      <c r="U743" s="34">
        <f>MIN(1, S743/M743)</f>
        <v/>
      </c>
      <c r="V743" s="34">
        <f>N743/(N743+O743)</f>
        <v/>
      </c>
      <c r="W743" s="34">
        <f>U743*V743</f>
        <v/>
      </c>
      <c r="X743" s="32">
        <f>T743/N743</f>
        <v/>
      </c>
      <c r="Y743" s="35">
        <f>IF(W743=MAXIFS(W$2:W$3601, A$2:A$3601, A743, B$2:B$3601, B743), "OPTIMAL", "")</f>
        <v/>
      </c>
    </row>
    <row r="744" ht="20" customHeight="1">
      <c r="A744" s="21" t="n">
        <v>4</v>
      </c>
      <c r="B744" s="21" t="n">
        <v>35</v>
      </c>
      <c r="C744" s="22" t="n">
        <v>80</v>
      </c>
      <c r="D744" s="22" t="n">
        <v>3</v>
      </c>
      <c r="E744" s="23" t="n">
        <v>0</v>
      </c>
      <c r="F744" s="22" t="n">
        <v>0</v>
      </c>
      <c r="G744" s="23" t="inlineStr">
        <is>
          <t>Non</t>
        </is>
      </c>
      <c r="H744" s="23" t="inlineStr">
        <is>
          <t>ON</t>
        </is>
      </c>
      <c r="I744" s="24" t="n">
        <v>856.3651513317755</v>
      </c>
      <c r="J744" s="24" t="n">
        <v>3449.488235315031</v>
      </c>
      <c r="K744" s="24" t="n">
        <v>2287.037037037037</v>
      </c>
      <c r="L744" s="24" t="n">
        <v>150</v>
      </c>
      <c r="M744" s="24">
        <f>I744+J744+K744+L744</f>
        <v/>
      </c>
      <c r="N744" s="24">
        <f>M744*'Dashboard &amp; Optimisation'!$B$18/('Dashboard &amp; Optimisation'!$B$16/3.6)</f>
        <v/>
      </c>
      <c r="O744" s="24" t="n">
        <v>578.2550776954059</v>
      </c>
      <c r="P744" s="25" t="n">
        <v>0.4974197238192265</v>
      </c>
      <c r="Q744" s="26" t="n">
        <v>0.2</v>
      </c>
      <c r="R744" s="24" t="n">
        <v>593.2952020685987</v>
      </c>
      <c r="S744" s="24">
        <f>R744*IF(A744=4, 2.0, 3.0)</f>
        <v/>
      </c>
      <c r="T744" s="22">
        <f>'Dashboard &amp; Optimisation'!$B$18*U744</f>
        <v/>
      </c>
      <c r="U744" s="27">
        <f>MIN(1, S744/M744)</f>
        <v/>
      </c>
      <c r="V744" s="27">
        <f>N744/(N744+O744)</f>
        <v/>
      </c>
      <c r="W744" s="27">
        <f>U744*V744</f>
        <v/>
      </c>
      <c r="X744" s="25">
        <f>T744/N744</f>
        <v/>
      </c>
      <c r="Y744" s="28">
        <f>IF(W744=MAXIFS(W$2:W$3601, A$2:A$3601, A744, B$2:B$3601, B744), "OPTIMAL", "")</f>
        <v/>
      </c>
    </row>
    <row r="745" ht="20" customHeight="1">
      <c r="A745" s="29" t="n">
        <v>4</v>
      </c>
      <c r="B745" s="29" t="n">
        <v>35</v>
      </c>
      <c r="C745" s="30" t="n">
        <v>80</v>
      </c>
      <c r="D745" s="30" t="n">
        <v>3</v>
      </c>
      <c r="E745" s="6" t="n">
        <v>0</v>
      </c>
      <c r="F745" s="30" t="n">
        <v>0</v>
      </c>
      <c r="G745" s="6" t="inlineStr">
        <is>
          <t>Non</t>
        </is>
      </c>
      <c r="H745" s="6" t="inlineStr">
        <is>
          <t>OFF</t>
        </is>
      </c>
      <c r="I745" s="31" t="n">
        <v>856.3651513317755</v>
      </c>
      <c r="J745" s="31" t="n">
        <v>3449.488235315031</v>
      </c>
      <c r="K745" s="31" t="n">
        <v>2287.037037037037</v>
      </c>
      <c r="L745" s="31" t="n">
        <v>150</v>
      </c>
      <c r="M745" s="31">
        <f>I745+J745+K745+L745</f>
        <v/>
      </c>
      <c r="N745" s="31">
        <f>M745*'Dashboard &amp; Optimisation'!$B$18/('Dashboard &amp; Optimisation'!$B$16/3.6)</f>
        <v/>
      </c>
      <c r="O745" s="31" t="n">
        <v>578.2550776954059</v>
      </c>
      <c r="P745" s="32" t="n">
        <v>0.8953070815489648</v>
      </c>
      <c r="Q745" s="33" t="n">
        <v>0.2</v>
      </c>
      <c r="R745" s="31" t="n">
        <v>329.626271966547</v>
      </c>
      <c r="S745" s="31">
        <f>R745*IF(A745=4, 2.0, 3.0)</f>
        <v/>
      </c>
      <c r="T745" s="30">
        <f>'Dashboard &amp; Optimisation'!$B$18*U745</f>
        <v/>
      </c>
      <c r="U745" s="34">
        <f>MIN(1, S745/M745)</f>
        <v/>
      </c>
      <c r="V745" s="34">
        <f>N745/(N745+O745)</f>
        <v/>
      </c>
      <c r="W745" s="34">
        <f>U745*V745</f>
        <v/>
      </c>
      <c r="X745" s="32">
        <f>T745/N745</f>
        <v/>
      </c>
      <c r="Y745" s="35">
        <f>IF(W745=MAXIFS(W$2:W$3601, A$2:A$3601, A745, B$2:B$3601, B745), "OPTIMAL", "")</f>
        <v/>
      </c>
    </row>
    <row r="746" ht="20" customHeight="1">
      <c r="A746" s="21" t="n">
        <v>4</v>
      </c>
      <c r="B746" s="21" t="n">
        <v>35</v>
      </c>
      <c r="C746" s="22" t="n">
        <v>80</v>
      </c>
      <c r="D746" s="22" t="n">
        <v>3</v>
      </c>
      <c r="E746" s="23" t="n">
        <v>4</v>
      </c>
      <c r="F746" s="22" t="n">
        <v>1.5</v>
      </c>
      <c r="G746" s="23" t="inlineStr">
        <is>
          <t>Oui</t>
        </is>
      </c>
      <c r="H746" s="23" t="inlineStr">
        <is>
          <t>ON</t>
        </is>
      </c>
      <c r="I746" s="24" t="n">
        <v>856.3651513317755</v>
      </c>
      <c r="J746" s="24" t="n">
        <v>3449.488235315031</v>
      </c>
      <c r="K746" s="24" t="n">
        <v>2287.037037037037</v>
      </c>
      <c r="L746" s="24" t="n">
        <v>150</v>
      </c>
      <c r="M746" s="24">
        <f>I746+J746+K746+L746</f>
        <v/>
      </c>
      <c r="N746" s="24">
        <f>M746*'Dashboard &amp; Optimisation'!$B$18/('Dashboard &amp; Optimisation'!$B$16/3.6)</f>
        <v/>
      </c>
      <c r="O746" s="24" t="n">
        <v>825.5742974465527</v>
      </c>
      <c r="P746" s="25" t="n">
        <v>0.08209463084427607</v>
      </c>
      <c r="Q746" s="26" t="n">
        <v>8.657063527408475</v>
      </c>
      <c r="R746" s="24" t="n">
        <v>3749.676097325472</v>
      </c>
      <c r="S746" s="24">
        <f>R746*IF(A746=4, 2.0, 3.0)</f>
        <v/>
      </c>
      <c r="T746" s="22">
        <f>'Dashboard &amp; Optimisation'!$B$18*U746</f>
        <v/>
      </c>
      <c r="U746" s="27">
        <f>MIN(1, S746/M746)</f>
        <v/>
      </c>
      <c r="V746" s="27">
        <f>N746/(N746+O746)</f>
        <v/>
      </c>
      <c r="W746" s="27">
        <f>U746*V746</f>
        <v/>
      </c>
      <c r="X746" s="25">
        <f>T746/N746</f>
        <v/>
      </c>
      <c r="Y746" s="28">
        <f>IF(W746=MAXIFS(W$2:W$3601, A$2:A$3601, A746, B$2:B$3601, B746), "OPTIMAL", "")</f>
        <v/>
      </c>
    </row>
    <row r="747" ht="20" customHeight="1">
      <c r="A747" s="29" t="n">
        <v>4</v>
      </c>
      <c r="B747" s="29" t="n">
        <v>35</v>
      </c>
      <c r="C747" s="30" t="n">
        <v>80</v>
      </c>
      <c r="D747" s="30" t="n">
        <v>3</v>
      </c>
      <c r="E747" s="6" t="n">
        <v>4</v>
      </c>
      <c r="F747" s="30" t="n">
        <v>1.5</v>
      </c>
      <c r="G747" s="6" t="inlineStr">
        <is>
          <t>Oui</t>
        </is>
      </c>
      <c r="H747" s="6" t="inlineStr">
        <is>
          <t>OFF</t>
        </is>
      </c>
      <c r="I747" s="31" t="n">
        <v>856.3651513317755</v>
      </c>
      <c r="J747" s="31" t="n">
        <v>3449.488235315031</v>
      </c>
      <c r="K747" s="31" t="n">
        <v>2287.037037037037</v>
      </c>
      <c r="L747" s="31" t="n">
        <v>150</v>
      </c>
      <c r="M747" s="31">
        <f>I747+J747+K747+L747</f>
        <v/>
      </c>
      <c r="N747" s="31">
        <f>M747*'Dashboard &amp; Optimisation'!$B$18/('Dashboard &amp; Optimisation'!$B$16/3.6)</f>
        <v/>
      </c>
      <c r="O747" s="31" t="n">
        <v>825.5742974465527</v>
      </c>
      <c r="P747" s="32" t="n">
        <v>0.3558275394191204</v>
      </c>
      <c r="Q747" s="33" t="n">
        <v>8.657063527408475</v>
      </c>
      <c r="R747" s="31" t="n">
        <v>865.1052571649243</v>
      </c>
      <c r="S747" s="31">
        <f>R747*IF(A747=4, 2.0, 3.0)</f>
        <v/>
      </c>
      <c r="T747" s="30">
        <f>'Dashboard &amp; Optimisation'!$B$18*U747</f>
        <v/>
      </c>
      <c r="U747" s="34">
        <f>MIN(1, S747/M747)</f>
        <v/>
      </c>
      <c r="V747" s="34">
        <f>N747/(N747+O747)</f>
        <v/>
      </c>
      <c r="W747" s="34">
        <f>U747*V747</f>
        <v/>
      </c>
      <c r="X747" s="32">
        <f>T747/N747</f>
        <v/>
      </c>
      <c r="Y747" s="35">
        <f>IF(W747=MAXIFS(W$2:W$3601, A$2:A$3601, A747, B$2:B$3601, B747), "OPTIMAL", "")</f>
        <v/>
      </c>
    </row>
    <row r="748" ht="20" customHeight="1">
      <c r="A748" s="21" t="n">
        <v>4</v>
      </c>
      <c r="B748" s="21" t="n">
        <v>35</v>
      </c>
      <c r="C748" s="22" t="n">
        <v>80</v>
      </c>
      <c r="D748" s="22" t="n">
        <v>3</v>
      </c>
      <c r="E748" s="23" t="n">
        <v>4</v>
      </c>
      <c r="F748" s="22" t="n">
        <v>1.5</v>
      </c>
      <c r="G748" s="23" t="inlineStr">
        <is>
          <t>Non</t>
        </is>
      </c>
      <c r="H748" s="23" t="inlineStr">
        <is>
          <t>ON</t>
        </is>
      </c>
      <c r="I748" s="24" t="n">
        <v>856.3651513317755</v>
      </c>
      <c r="J748" s="24" t="n">
        <v>3449.488235315031</v>
      </c>
      <c r="K748" s="24" t="n">
        <v>2287.037037037037</v>
      </c>
      <c r="L748" s="24" t="n">
        <v>150</v>
      </c>
      <c r="M748" s="24">
        <f>I748+J748+K748+L748</f>
        <v/>
      </c>
      <c r="N748" s="24">
        <f>M748*'Dashboard &amp; Optimisation'!$B$18/('Dashboard &amp; Optimisation'!$B$16/3.6)</f>
        <v/>
      </c>
      <c r="O748" s="24" t="n">
        <v>825.5742974465527</v>
      </c>
      <c r="P748" s="25" t="n">
        <v>0.07811575726697868</v>
      </c>
      <c r="Q748" s="26" t="n">
        <v>8.657063527408475</v>
      </c>
      <c r="R748" s="24" t="n">
        <v>3940.668128498915</v>
      </c>
      <c r="S748" s="24">
        <f>R748*IF(A748=4, 2.0, 3.0)</f>
        <v/>
      </c>
      <c r="T748" s="22">
        <f>'Dashboard &amp; Optimisation'!$B$18*U748</f>
        <v/>
      </c>
      <c r="U748" s="27">
        <f>MIN(1, S748/M748)</f>
        <v/>
      </c>
      <c r="V748" s="27">
        <f>N748/(N748+O748)</f>
        <v/>
      </c>
      <c r="W748" s="27">
        <f>U748*V748</f>
        <v/>
      </c>
      <c r="X748" s="25">
        <f>T748/N748</f>
        <v/>
      </c>
      <c r="Y748" s="28">
        <f>IF(W748=MAXIFS(W$2:W$3601, A$2:A$3601, A748, B$2:B$3601, B748), "OPTIMAL", "")</f>
        <v/>
      </c>
    </row>
    <row r="749" ht="20" customHeight="1">
      <c r="A749" s="29" t="n">
        <v>4</v>
      </c>
      <c r="B749" s="29" t="n">
        <v>35</v>
      </c>
      <c r="C749" s="30" t="n">
        <v>80</v>
      </c>
      <c r="D749" s="30" t="n">
        <v>3</v>
      </c>
      <c r="E749" s="6" t="n">
        <v>4</v>
      </c>
      <c r="F749" s="30" t="n">
        <v>1.5</v>
      </c>
      <c r="G749" s="6" t="inlineStr">
        <is>
          <t>Non</t>
        </is>
      </c>
      <c r="H749" s="6" t="inlineStr">
        <is>
          <t>OFF</t>
        </is>
      </c>
      <c r="I749" s="31" t="n">
        <v>856.3651513317755</v>
      </c>
      <c r="J749" s="31" t="n">
        <v>3449.488235315031</v>
      </c>
      <c r="K749" s="31" t="n">
        <v>2287.037037037037</v>
      </c>
      <c r="L749" s="31" t="n">
        <v>150</v>
      </c>
      <c r="M749" s="31">
        <f>I749+J749+K749+L749</f>
        <v/>
      </c>
      <c r="N749" s="31">
        <f>M749*'Dashboard &amp; Optimisation'!$B$18/('Dashboard &amp; Optimisation'!$B$16/3.6)</f>
        <v/>
      </c>
      <c r="O749" s="31" t="n">
        <v>825.5742974465527</v>
      </c>
      <c r="P749" s="32" t="n">
        <v>0.3518486658418231</v>
      </c>
      <c r="Q749" s="33" t="n">
        <v>8.657063527408475</v>
      </c>
      <c r="R749" s="31" t="n">
        <v>874.8882826059303</v>
      </c>
      <c r="S749" s="31">
        <f>R749*IF(A749=4, 2.0, 3.0)</f>
        <v/>
      </c>
      <c r="T749" s="30">
        <f>'Dashboard &amp; Optimisation'!$B$18*U749</f>
        <v/>
      </c>
      <c r="U749" s="34">
        <f>MIN(1, S749/M749)</f>
        <v/>
      </c>
      <c r="V749" s="34">
        <f>N749/(N749+O749)</f>
        <v/>
      </c>
      <c r="W749" s="34">
        <f>U749*V749</f>
        <v/>
      </c>
      <c r="X749" s="32">
        <f>T749/N749</f>
        <v/>
      </c>
      <c r="Y749" s="35">
        <f>IF(W749=MAXIFS(W$2:W$3601, A$2:A$3601, A749, B$2:B$3601, B749), "OPTIMAL", "")</f>
        <v/>
      </c>
    </row>
    <row r="750" ht="20" customHeight="1">
      <c r="A750" s="21" t="n">
        <v>4</v>
      </c>
      <c r="B750" s="21" t="n">
        <v>35</v>
      </c>
      <c r="C750" s="22" t="n">
        <v>80</v>
      </c>
      <c r="D750" s="22" t="n">
        <v>3</v>
      </c>
      <c r="E750" s="23" t="n">
        <v>4</v>
      </c>
      <c r="F750" s="22" t="n">
        <v>2</v>
      </c>
      <c r="G750" s="23" t="inlineStr">
        <is>
          <t>Oui</t>
        </is>
      </c>
      <c r="H750" s="23" t="inlineStr">
        <is>
          <t>ON</t>
        </is>
      </c>
      <c r="I750" s="24" t="n">
        <v>856.3651513317755</v>
      </c>
      <c r="J750" s="24" t="n">
        <v>3449.488235315031</v>
      </c>
      <c r="K750" s="24" t="n">
        <v>2287.037037037037</v>
      </c>
      <c r="L750" s="24" t="n">
        <v>150</v>
      </c>
      <c r="M750" s="24">
        <f>I750+J750+K750+L750</f>
        <v/>
      </c>
      <c r="N750" s="24">
        <f>M750*'Dashboard &amp; Optimisation'!$B$18/('Dashboard &amp; Optimisation'!$B$16/3.6)</f>
        <v/>
      </c>
      <c r="O750" s="24" t="n">
        <v>912.8175650763895</v>
      </c>
      <c r="P750" s="25" t="n">
        <v>0.08011046001180847</v>
      </c>
      <c r="Q750" s="26" t="n">
        <v>11.4760847032113</v>
      </c>
      <c r="R750" s="24" t="n">
        <v>3898.521405370035</v>
      </c>
      <c r="S750" s="24">
        <f>R750*IF(A750=4, 2.0, 3.0)</f>
        <v/>
      </c>
      <c r="T750" s="22">
        <f>'Dashboard &amp; Optimisation'!$B$18*U750</f>
        <v/>
      </c>
      <c r="U750" s="27">
        <f>MIN(1, S750/M750)</f>
        <v/>
      </c>
      <c r="V750" s="27">
        <f>N750/(N750+O750)</f>
        <v/>
      </c>
      <c r="W750" s="27">
        <f>U750*V750</f>
        <v/>
      </c>
      <c r="X750" s="25">
        <f>T750/N750</f>
        <v/>
      </c>
      <c r="Y750" s="28">
        <f>IF(W750=MAXIFS(W$2:W$3601, A$2:A$3601, A750, B$2:B$3601, B750), "OPTIMAL", "")</f>
        <v/>
      </c>
    </row>
    <row r="751" ht="20" customHeight="1">
      <c r="A751" s="29" t="n">
        <v>4</v>
      </c>
      <c r="B751" s="29" t="n">
        <v>35</v>
      </c>
      <c r="C751" s="30" t="n">
        <v>80</v>
      </c>
      <c r="D751" s="30" t="n">
        <v>3</v>
      </c>
      <c r="E751" s="6" t="n">
        <v>4</v>
      </c>
      <c r="F751" s="30" t="n">
        <v>2</v>
      </c>
      <c r="G751" s="6" t="inlineStr">
        <is>
          <t>Oui</t>
        </is>
      </c>
      <c r="H751" s="6" t="inlineStr">
        <is>
          <t>OFF</t>
        </is>
      </c>
      <c r="I751" s="31" t="n">
        <v>856.3651513317755</v>
      </c>
      <c r="J751" s="31" t="n">
        <v>3449.488235315031</v>
      </c>
      <c r="K751" s="31" t="n">
        <v>2287.037037037037</v>
      </c>
      <c r="L751" s="31" t="n">
        <v>150</v>
      </c>
      <c r="M751" s="31">
        <f>I751+J751+K751+L751</f>
        <v/>
      </c>
      <c r="N751" s="31">
        <f>M751*'Dashboard &amp; Optimisation'!$B$18/('Dashboard &amp; Optimisation'!$B$16/3.6)</f>
        <v/>
      </c>
      <c r="O751" s="31" t="n">
        <v>912.8175650763895</v>
      </c>
      <c r="P751" s="32" t="n">
        <v>0.3553476372854298</v>
      </c>
      <c r="Q751" s="33" t="n">
        <v>11.4760847032113</v>
      </c>
      <c r="R751" s="31" t="n">
        <v>878.8924151456041</v>
      </c>
      <c r="S751" s="31">
        <f>R751*IF(A751=4, 2.0, 3.0)</f>
        <v/>
      </c>
      <c r="T751" s="30">
        <f>'Dashboard &amp; Optimisation'!$B$18*U751</f>
        <v/>
      </c>
      <c r="U751" s="34">
        <f>MIN(1, S751/M751)</f>
        <v/>
      </c>
      <c r="V751" s="34">
        <f>N751/(N751+O751)</f>
        <v/>
      </c>
      <c r="W751" s="34">
        <f>U751*V751</f>
        <v/>
      </c>
      <c r="X751" s="32">
        <f>T751/N751</f>
        <v/>
      </c>
      <c r="Y751" s="35">
        <f>IF(W751=MAXIFS(W$2:W$3601, A$2:A$3601, A751, B$2:B$3601, B751), "OPTIMAL", "")</f>
        <v/>
      </c>
    </row>
    <row r="752" ht="20" customHeight="1">
      <c r="A752" s="21" t="n">
        <v>4</v>
      </c>
      <c r="B752" s="21" t="n">
        <v>35</v>
      </c>
      <c r="C752" s="22" t="n">
        <v>80</v>
      </c>
      <c r="D752" s="22" t="n">
        <v>3</v>
      </c>
      <c r="E752" s="23" t="n">
        <v>4</v>
      </c>
      <c r="F752" s="22" t="n">
        <v>2</v>
      </c>
      <c r="G752" s="23" t="inlineStr">
        <is>
          <t>Non</t>
        </is>
      </c>
      <c r="H752" s="23" t="inlineStr">
        <is>
          <t>ON</t>
        </is>
      </c>
      <c r="I752" s="24" t="n">
        <v>856.3651513317755</v>
      </c>
      <c r="J752" s="24" t="n">
        <v>3449.488235315031</v>
      </c>
      <c r="K752" s="24" t="n">
        <v>2287.037037037037</v>
      </c>
      <c r="L752" s="24" t="n">
        <v>150</v>
      </c>
      <c r="M752" s="24">
        <f>I752+J752+K752+L752</f>
        <v/>
      </c>
      <c r="N752" s="24">
        <f>M752*'Dashboard &amp; Optimisation'!$B$18/('Dashboard &amp; Optimisation'!$B$16/3.6)</f>
        <v/>
      </c>
      <c r="O752" s="24" t="n">
        <v>912.8175650763895</v>
      </c>
      <c r="P752" s="25" t="n">
        <v>0.07613158643451108</v>
      </c>
      <c r="Q752" s="26" t="n">
        <v>11.4760847032113</v>
      </c>
      <c r="R752" s="24" t="n">
        <v>4102.270263588015</v>
      </c>
      <c r="S752" s="24">
        <f>R752*IF(A752=4, 2.0, 3.0)</f>
        <v/>
      </c>
      <c r="T752" s="22">
        <f>'Dashboard &amp; Optimisation'!$B$18*U752</f>
        <v/>
      </c>
      <c r="U752" s="27">
        <f>MIN(1, S752/M752)</f>
        <v/>
      </c>
      <c r="V752" s="27">
        <f>N752/(N752+O752)</f>
        <v/>
      </c>
      <c r="W752" s="27">
        <f>U752*V752</f>
        <v/>
      </c>
      <c r="X752" s="25">
        <f>T752/N752</f>
        <v/>
      </c>
      <c r="Y752" s="28">
        <f>IF(W752=MAXIFS(W$2:W$3601, A$2:A$3601, A752, B$2:B$3601, B752), "OPTIMAL", "")</f>
        <v/>
      </c>
    </row>
    <row r="753" ht="20" customHeight="1">
      <c r="A753" s="29" t="n">
        <v>4</v>
      </c>
      <c r="B753" s="29" t="n">
        <v>35</v>
      </c>
      <c r="C753" s="30" t="n">
        <v>80</v>
      </c>
      <c r="D753" s="30" t="n">
        <v>3</v>
      </c>
      <c r="E753" s="6" t="n">
        <v>4</v>
      </c>
      <c r="F753" s="30" t="n">
        <v>2</v>
      </c>
      <c r="G753" s="6" t="inlineStr">
        <is>
          <t>Non</t>
        </is>
      </c>
      <c r="H753" s="6" t="inlineStr">
        <is>
          <t>OFF</t>
        </is>
      </c>
      <c r="I753" s="31" t="n">
        <v>856.3651513317755</v>
      </c>
      <c r="J753" s="31" t="n">
        <v>3449.488235315031</v>
      </c>
      <c r="K753" s="31" t="n">
        <v>2287.037037037037</v>
      </c>
      <c r="L753" s="31" t="n">
        <v>150</v>
      </c>
      <c r="M753" s="31">
        <f>I753+J753+K753+L753</f>
        <v/>
      </c>
      <c r="N753" s="31">
        <f>M753*'Dashboard &amp; Optimisation'!$B$18/('Dashboard &amp; Optimisation'!$B$16/3.6)</f>
        <v/>
      </c>
      <c r="O753" s="31" t="n">
        <v>912.8175650763895</v>
      </c>
      <c r="P753" s="32" t="n">
        <v>0.3513687637081325</v>
      </c>
      <c r="Q753" s="33" t="n">
        <v>11.4760847032113</v>
      </c>
      <c r="R753" s="31" t="n">
        <v>888.8449270621578</v>
      </c>
      <c r="S753" s="31">
        <f>R753*IF(A753=4, 2.0, 3.0)</f>
        <v/>
      </c>
      <c r="T753" s="30">
        <f>'Dashboard &amp; Optimisation'!$B$18*U753</f>
        <v/>
      </c>
      <c r="U753" s="34">
        <f>MIN(1, S753/M753)</f>
        <v/>
      </c>
      <c r="V753" s="34">
        <f>N753/(N753+O753)</f>
        <v/>
      </c>
      <c r="W753" s="34">
        <f>U753*V753</f>
        <v/>
      </c>
      <c r="X753" s="32">
        <f>T753/N753</f>
        <v/>
      </c>
      <c r="Y753" s="35">
        <f>IF(W753=MAXIFS(W$2:W$3601, A$2:A$3601, A753, B$2:B$3601, B753), "OPTIMAL", "")</f>
        <v/>
      </c>
    </row>
    <row r="754" ht="20" customHeight="1">
      <c r="A754" s="21" t="n">
        <v>4</v>
      </c>
      <c r="B754" s="21" t="n">
        <v>35</v>
      </c>
      <c r="C754" s="22" t="n">
        <v>80</v>
      </c>
      <c r="D754" s="22" t="n">
        <v>3</v>
      </c>
      <c r="E754" s="23" t="n">
        <v>8</v>
      </c>
      <c r="F754" s="22" t="n">
        <v>1.5</v>
      </c>
      <c r="G754" s="23" t="inlineStr">
        <is>
          <t>Oui</t>
        </is>
      </c>
      <c r="H754" s="23" t="inlineStr">
        <is>
          <t>ON</t>
        </is>
      </c>
      <c r="I754" s="24" t="n">
        <v>856.3651513317755</v>
      </c>
      <c r="J754" s="24" t="n">
        <v>3449.488235315031</v>
      </c>
      <c r="K754" s="24" t="n">
        <v>2287.037037037037</v>
      </c>
      <c r="L754" s="24" t="n">
        <v>150</v>
      </c>
      <c r="M754" s="24">
        <f>I754+J754+K754+L754</f>
        <v/>
      </c>
      <c r="N754" s="24">
        <f>M754*'Dashboard &amp; Optimisation'!$B$18/('Dashboard &amp; Optimisation'!$B$16/3.6)</f>
        <v/>
      </c>
      <c r="O754" s="24" t="n">
        <v>1095.158036825472</v>
      </c>
      <c r="P754" s="25" t="n">
        <v>0.06134832938702932</v>
      </c>
      <c r="Q754" s="26" t="n">
        <v>17.11412705481695</v>
      </c>
      <c r="R754" s="24" t="n">
        <v>5243.568223962858</v>
      </c>
      <c r="S754" s="24">
        <f>R754*IF(A754=4, 2.0, 3.0)</f>
        <v/>
      </c>
      <c r="T754" s="22">
        <f>'Dashboard &amp; Optimisation'!$B$18*U754</f>
        <v/>
      </c>
      <c r="U754" s="27">
        <f>MIN(1, S754/M754)</f>
        <v/>
      </c>
      <c r="V754" s="27">
        <f>N754/(N754+O754)</f>
        <v/>
      </c>
      <c r="W754" s="27">
        <f>U754*V754</f>
        <v/>
      </c>
      <c r="X754" s="25">
        <f>T754/N754</f>
        <v/>
      </c>
      <c r="Y754" s="28">
        <f>IF(W754=MAXIFS(W$2:W$3601, A$2:A$3601, A754, B$2:B$3601, B754), "OPTIMAL", "")</f>
        <v/>
      </c>
    </row>
    <row r="755" ht="20" customHeight="1">
      <c r="A755" s="29" t="n">
        <v>4</v>
      </c>
      <c r="B755" s="29" t="n">
        <v>35</v>
      </c>
      <c r="C755" s="30" t="n">
        <v>80</v>
      </c>
      <c r="D755" s="30" t="n">
        <v>3</v>
      </c>
      <c r="E755" s="6" t="n">
        <v>8</v>
      </c>
      <c r="F755" s="30" t="n">
        <v>1.5</v>
      </c>
      <c r="G755" s="6" t="inlineStr">
        <is>
          <t>Oui</t>
        </is>
      </c>
      <c r="H755" s="6" t="inlineStr">
        <is>
          <t>OFF</t>
        </is>
      </c>
      <c r="I755" s="31" t="n">
        <v>856.3651513317755</v>
      </c>
      <c r="J755" s="31" t="n">
        <v>3449.488235315031</v>
      </c>
      <c r="K755" s="31" t="n">
        <v>2287.037037037037</v>
      </c>
      <c r="L755" s="31" t="n">
        <v>150</v>
      </c>
      <c r="M755" s="31">
        <f>I755+J755+K755+L755</f>
        <v/>
      </c>
      <c r="N755" s="31">
        <f>M755*'Dashboard &amp; Optimisation'!$B$18/('Dashboard &amp; Optimisation'!$B$16/3.6)</f>
        <v/>
      </c>
      <c r="O755" s="31" t="n">
        <v>1095.158036825472</v>
      </c>
      <c r="P755" s="32" t="n">
        <v>0.2699794634504217</v>
      </c>
      <c r="Q755" s="33" t="n">
        <v>17.11412705481695</v>
      </c>
      <c r="R755" s="31" t="n">
        <v>1191.513407930403</v>
      </c>
      <c r="S755" s="31">
        <f>R755*IF(A755=4, 2.0, 3.0)</f>
        <v/>
      </c>
      <c r="T755" s="30">
        <f>'Dashboard &amp; Optimisation'!$B$18*U755</f>
        <v/>
      </c>
      <c r="U755" s="34">
        <f>MIN(1, S755/M755)</f>
        <v/>
      </c>
      <c r="V755" s="34">
        <f>N755/(N755+O755)</f>
        <v/>
      </c>
      <c r="W755" s="34">
        <f>U755*V755</f>
        <v/>
      </c>
      <c r="X755" s="32">
        <f>T755/N755</f>
        <v/>
      </c>
      <c r="Y755" s="35">
        <f>IF(W755=MAXIFS(W$2:W$3601, A$2:A$3601, A755, B$2:B$3601, B755), "OPTIMAL", "")</f>
        <v/>
      </c>
    </row>
    <row r="756" ht="20" customHeight="1">
      <c r="A756" s="21" t="n">
        <v>4</v>
      </c>
      <c r="B756" s="21" t="n">
        <v>35</v>
      </c>
      <c r="C756" s="22" t="n">
        <v>80</v>
      </c>
      <c r="D756" s="22" t="n">
        <v>3</v>
      </c>
      <c r="E756" s="23" t="n">
        <v>8</v>
      </c>
      <c r="F756" s="22" t="n">
        <v>1.5</v>
      </c>
      <c r="G756" s="23" t="inlineStr">
        <is>
          <t>Non</t>
        </is>
      </c>
      <c r="H756" s="23" t="inlineStr">
        <is>
          <t>ON</t>
        </is>
      </c>
      <c r="I756" s="24" t="n">
        <v>856.3651513317755</v>
      </c>
      <c r="J756" s="24" t="n">
        <v>3449.488235315031</v>
      </c>
      <c r="K756" s="24" t="n">
        <v>2287.037037037037</v>
      </c>
      <c r="L756" s="24" t="n">
        <v>150</v>
      </c>
      <c r="M756" s="24">
        <f>I756+J756+K756+L756</f>
        <v/>
      </c>
      <c r="N756" s="24">
        <f>M756*'Dashboard &amp; Optimisation'!$B$18/('Dashboard &amp; Optimisation'!$B$16/3.6)</f>
        <v/>
      </c>
      <c r="O756" s="24" t="n">
        <v>1095.158036825472</v>
      </c>
      <c r="P756" s="25" t="n">
        <v>0.05736945580973193</v>
      </c>
      <c r="Q756" s="26" t="n">
        <v>17.11412705481695</v>
      </c>
      <c r="R756" s="24" t="n">
        <v>5607.237266358459</v>
      </c>
      <c r="S756" s="24">
        <f>R756*IF(A756=4, 2.0, 3.0)</f>
        <v/>
      </c>
      <c r="T756" s="22">
        <f>'Dashboard &amp; Optimisation'!$B$18*U756</f>
        <v/>
      </c>
      <c r="U756" s="27">
        <f>MIN(1, S756/M756)</f>
        <v/>
      </c>
      <c r="V756" s="27">
        <f>N756/(N756+O756)</f>
        <v/>
      </c>
      <c r="W756" s="27">
        <f>U756*V756</f>
        <v/>
      </c>
      <c r="X756" s="25">
        <f>T756/N756</f>
        <v/>
      </c>
      <c r="Y756" s="28">
        <f>IF(W756=MAXIFS(W$2:W$3601, A$2:A$3601, A756, B$2:B$3601, B756), "OPTIMAL", "")</f>
        <v/>
      </c>
    </row>
    <row r="757" ht="20" customHeight="1">
      <c r="A757" s="29" t="n">
        <v>4</v>
      </c>
      <c r="B757" s="29" t="n">
        <v>35</v>
      </c>
      <c r="C757" s="30" t="n">
        <v>80</v>
      </c>
      <c r="D757" s="30" t="n">
        <v>3</v>
      </c>
      <c r="E757" s="6" t="n">
        <v>8</v>
      </c>
      <c r="F757" s="30" t="n">
        <v>1.5</v>
      </c>
      <c r="G757" s="6" t="inlineStr">
        <is>
          <t>Non</t>
        </is>
      </c>
      <c r="H757" s="6" t="inlineStr">
        <is>
          <t>OFF</t>
        </is>
      </c>
      <c r="I757" s="31" t="n">
        <v>856.3651513317755</v>
      </c>
      <c r="J757" s="31" t="n">
        <v>3449.488235315031</v>
      </c>
      <c r="K757" s="31" t="n">
        <v>2287.037037037037</v>
      </c>
      <c r="L757" s="31" t="n">
        <v>150</v>
      </c>
      <c r="M757" s="31">
        <f>I757+J757+K757+L757</f>
        <v/>
      </c>
      <c r="N757" s="31">
        <f>M757*'Dashboard &amp; Optimisation'!$B$18/('Dashboard &amp; Optimisation'!$B$16/3.6)</f>
        <v/>
      </c>
      <c r="O757" s="31" t="n">
        <v>1095.158036825472</v>
      </c>
      <c r="P757" s="32" t="n">
        <v>0.2660005898731243</v>
      </c>
      <c r="Q757" s="33" t="n">
        <v>17.11412705481695</v>
      </c>
      <c r="R757" s="31" t="n">
        <v>1209.336230120652</v>
      </c>
      <c r="S757" s="31">
        <f>R757*IF(A757=4, 2.0, 3.0)</f>
        <v/>
      </c>
      <c r="T757" s="30">
        <f>'Dashboard &amp; Optimisation'!$B$18*U757</f>
        <v/>
      </c>
      <c r="U757" s="34">
        <f>MIN(1, S757/M757)</f>
        <v/>
      </c>
      <c r="V757" s="34">
        <f>N757/(N757+O757)</f>
        <v/>
      </c>
      <c r="W757" s="34">
        <f>U757*V757</f>
        <v/>
      </c>
      <c r="X757" s="32">
        <f>T757/N757</f>
        <v/>
      </c>
      <c r="Y757" s="35">
        <f>IF(W757=MAXIFS(W$2:W$3601, A$2:A$3601, A757, B$2:B$3601, B757), "OPTIMAL", "")</f>
        <v/>
      </c>
    </row>
    <row r="758" ht="20" customHeight="1">
      <c r="A758" s="21" t="n">
        <v>4</v>
      </c>
      <c r="B758" s="21" t="n">
        <v>35</v>
      </c>
      <c r="C758" s="22" t="n">
        <v>80</v>
      </c>
      <c r="D758" s="22" t="n">
        <v>3</v>
      </c>
      <c r="E758" s="23" t="n">
        <v>8</v>
      </c>
      <c r="F758" s="22" t="n">
        <v>2</v>
      </c>
      <c r="G758" s="23" t="inlineStr">
        <is>
          <t>Oui</t>
        </is>
      </c>
      <c r="H758" s="23" t="inlineStr">
        <is>
          <t>ON</t>
        </is>
      </c>
      <c r="I758" s="24" t="n">
        <v>856.3651513317755</v>
      </c>
      <c r="J758" s="24" t="n">
        <v>3449.488235315031</v>
      </c>
      <c r="K758" s="24" t="n">
        <v>2287.037037037037</v>
      </c>
      <c r="L758" s="24" t="n">
        <v>150</v>
      </c>
      <c r="M758" s="24">
        <f>I758+J758+K758+L758</f>
        <v/>
      </c>
      <c r="N758" s="24">
        <f>M758*'Dashboard &amp; Optimisation'!$B$18/('Dashboard &amp; Optimisation'!$B$16/3.6)</f>
        <v/>
      </c>
      <c r="O758" s="24" t="n">
        <v>1288.780325195193</v>
      </c>
      <c r="P758" s="25" t="n">
        <v>0.060517018169736</v>
      </c>
      <c r="Q758" s="26" t="n">
        <v>22.7521694064226</v>
      </c>
      <c r="R758" s="24" t="n">
        <v>5480.04219136457</v>
      </c>
      <c r="S758" s="24">
        <f>R758*IF(A758=4, 2.0, 3.0)</f>
        <v/>
      </c>
      <c r="T758" s="22">
        <f>'Dashboard &amp; Optimisation'!$B$18*U758</f>
        <v/>
      </c>
      <c r="U758" s="27">
        <f>MIN(1, S758/M758)</f>
        <v/>
      </c>
      <c r="V758" s="27">
        <f>N758/(N758+O758)</f>
        <v/>
      </c>
      <c r="W758" s="27">
        <f>U758*V758</f>
        <v/>
      </c>
      <c r="X758" s="25">
        <f>T758/N758</f>
        <v/>
      </c>
      <c r="Y758" s="28">
        <f>IF(W758=MAXIFS(W$2:W$3601, A$2:A$3601, A758, B$2:B$3601, B758), "OPTIMAL", "")</f>
        <v/>
      </c>
    </row>
    <row r="759" ht="20" customHeight="1">
      <c r="A759" s="29" t="n">
        <v>4</v>
      </c>
      <c r="B759" s="29" t="n">
        <v>35</v>
      </c>
      <c r="C759" s="30" t="n">
        <v>80</v>
      </c>
      <c r="D759" s="30" t="n">
        <v>3</v>
      </c>
      <c r="E759" s="6" t="n">
        <v>8</v>
      </c>
      <c r="F759" s="30" t="n">
        <v>2</v>
      </c>
      <c r="G759" s="6" t="inlineStr">
        <is>
          <t>Oui</t>
        </is>
      </c>
      <c r="H759" s="6" t="inlineStr">
        <is>
          <t>OFF</t>
        </is>
      </c>
      <c r="I759" s="31" t="n">
        <v>856.3651513317755</v>
      </c>
      <c r="J759" s="31" t="n">
        <v>3449.488235315031</v>
      </c>
      <c r="K759" s="31" t="n">
        <v>2287.037037037037</v>
      </c>
      <c r="L759" s="31" t="n">
        <v>150</v>
      </c>
      <c r="M759" s="31">
        <f>I759+J759+K759+L759</f>
        <v/>
      </c>
      <c r="N759" s="31">
        <f>M759*'Dashboard &amp; Optimisation'!$B$18/('Dashboard &amp; Optimisation'!$B$16/3.6)</f>
        <v/>
      </c>
      <c r="O759" s="31" t="n">
        <v>1288.780325195193</v>
      </c>
      <c r="P759" s="32" t="n">
        <v>0.2709014433795033</v>
      </c>
      <c r="Q759" s="33" t="n">
        <v>22.7521694064226</v>
      </c>
      <c r="R759" s="31" t="n">
        <v>1224.193598707202</v>
      </c>
      <c r="S759" s="31">
        <f>R759*IF(A759=4, 2.0, 3.0)</f>
        <v/>
      </c>
      <c r="T759" s="30">
        <f>'Dashboard &amp; Optimisation'!$B$18*U759</f>
        <v/>
      </c>
      <c r="U759" s="34">
        <f>MIN(1, S759/M759)</f>
        <v/>
      </c>
      <c r="V759" s="34">
        <f>N759/(N759+O759)</f>
        <v/>
      </c>
      <c r="W759" s="34">
        <f>U759*V759</f>
        <v/>
      </c>
      <c r="X759" s="32">
        <f>T759/N759</f>
        <v/>
      </c>
      <c r="Y759" s="35">
        <f>IF(W759=MAXIFS(W$2:W$3601, A$2:A$3601, A759, B$2:B$3601, B759), "OPTIMAL", "")</f>
        <v/>
      </c>
    </row>
    <row r="760" ht="20" customHeight="1">
      <c r="A760" s="21" t="n">
        <v>4</v>
      </c>
      <c r="B760" s="21" t="n">
        <v>35</v>
      </c>
      <c r="C760" s="22" t="n">
        <v>80</v>
      </c>
      <c r="D760" s="22" t="n">
        <v>3</v>
      </c>
      <c r="E760" s="23" t="n">
        <v>8</v>
      </c>
      <c r="F760" s="22" t="n">
        <v>2</v>
      </c>
      <c r="G760" s="23" t="inlineStr">
        <is>
          <t>Non</t>
        </is>
      </c>
      <c r="H760" s="23" t="inlineStr">
        <is>
          <t>ON</t>
        </is>
      </c>
      <c r="I760" s="24" t="n">
        <v>856.3651513317755</v>
      </c>
      <c r="J760" s="24" t="n">
        <v>3449.488235315031</v>
      </c>
      <c r="K760" s="24" t="n">
        <v>2287.037037037037</v>
      </c>
      <c r="L760" s="24" t="n">
        <v>150</v>
      </c>
      <c r="M760" s="24">
        <f>I760+J760+K760+L760</f>
        <v/>
      </c>
      <c r="N760" s="24">
        <f>M760*'Dashboard &amp; Optimisation'!$B$18/('Dashboard &amp; Optimisation'!$B$16/3.6)</f>
        <v/>
      </c>
      <c r="O760" s="24" t="n">
        <v>1288.780325195193</v>
      </c>
      <c r="P760" s="25" t="n">
        <v>0.05653814459243862</v>
      </c>
      <c r="Q760" s="26" t="n">
        <v>22.7521694064226</v>
      </c>
      <c r="R760" s="24" t="n">
        <v>5865.700320666031</v>
      </c>
      <c r="S760" s="24">
        <f>R760*IF(A760=4, 2.0, 3.0)</f>
        <v/>
      </c>
      <c r="T760" s="22">
        <f>'Dashboard &amp; Optimisation'!$B$18*U760</f>
        <v/>
      </c>
      <c r="U760" s="27">
        <f>MIN(1, S760/M760)</f>
        <v/>
      </c>
      <c r="V760" s="27">
        <f>N760/(N760+O760)</f>
        <v/>
      </c>
      <c r="W760" s="27">
        <f>U760*V760</f>
        <v/>
      </c>
      <c r="X760" s="25">
        <f>T760/N760</f>
        <v/>
      </c>
      <c r="Y760" s="28">
        <f>IF(W760=MAXIFS(W$2:W$3601, A$2:A$3601, A760, B$2:B$3601, B760), "OPTIMAL", "")</f>
        <v/>
      </c>
    </row>
    <row r="761" ht="20" customHeight="1">
      <c r="A761" s="29" t="n">
        <v>4</v>
      </c>
      <c r="B761" s="29" t="n">
        <v>35</v>
      </c>
      <c r="C761" s="30" t="n">
        <v>80</v>
      </c>
      <c r="D761" s="30" t="n">
        <v>3</v>
      </c>
      <c r="E761" s="6" t="n">
        <v>8</v>
      </c>
      <c r="F761" s="30" t="n">
        <v>2</v>
      </c>
      <c r="G761" s="6" t="inlineStr">
        <is>
          <t>Non</t>
        </is>
      </c>
      <c r="H761" s="6" t="inlineStr">
        <is>
          <t>OFF</t>
        </is>
      </c>
      <c r="I761" s="31" t="n">
        <v>856.3651513317755</v>
      </c>
      <c r="J761" s="31" t="n">
        <v>3449.488235315031</v>
      </c>
      <c r="K761" s="31" t="n">
        <v>2287.037037037037</v>
      </c>
      <c r="L761" s="31" t="n">
        <v>150</v>
      </c>
      <c r="M761" s="31">
        <f>I761+J761+K761+L761</f>
        <v/>
      </c>
      <c r="N761" s="31">
        <f>M761*'Dashboard &amp; Optimisation'!$B$18/('Dashboard &amp; Optimisation'!$B$16/3.6)</f>
        <v/>
      </c>
      <c r="O761" s="31" t="n">
        <v>1288.780325195193</v>
      </c>
      <c r="P761" s="32" t="n">
        <v>0.266922569802206</v>
      </c>
      <c r="Q761" s="33" t="n">
        <v>22.7521694064226</v>
      </c>
      <c r="R761" s="31" t="n">
        <v>1242.442005228247</v>
      </c>
      <c r="S761" s="31">
        <f>R761*IF(A761=4, 2.0, 3.0)</f>
        <v/>
      </c>
      <c r="T761" s="30">
        <f>'Dashboard &amp; Optimisation'!$B$18*U761</f>
        <v/>
      </c>
      <c r="U761" s="34">
        <f>MIN(1, S761/M761)</f>
        <v/>
      </c>
      <c r="V761" s="34">
        <f>N761/(N761+O761)</f>
        <v/>
      </c>
      <c r="W761" s="34">
        <f>U761*V761</f>
        <v/>
      </c>
      <c r="X761" s="32">
        <f>T761/N761</f>
        <v/>
      </c>
      <c r="Y761" s="35">
        <f>IF(W761=MAXIFS(W$2:W$3601, A$2:A$3601, A761, B$2:B$3601, B761), "OPTIMAL", "")</f>
        <v/>
      </c>
    </row>
    <row r="762" ht="20" customHeight="1">
      <c r="A762" s="21" t="n">
        <v>4</v>
      </c>
      <c r="B762" s="21" t="n">
        <v>35</v>
      </c>
      <c r="C762" s="22" t="n">
        <v>85</v>
      </c>
      <c r="D762" s="22" t="n">
        <v>2</v>
      </c>
      <c r="E762" s="23" t="n">
        <v>0</v>
      </c>
      <c r="F762" s="22" t="n">
        <v>0</v>
      </c>
      <c r="G762" s="23" t="inlineStr">
        <is>
          <t>Oui</t>
        </is>
      </c>
      <c r="H762" s="23" t="inlineStr">
        <is>
          <t>ON</t>
        </is>
      </c>
      <c r="I762" s="24" t="n">
        <v>856.3651513317755</v>
      </c>
      <c r="J762" s="24" t="n">
        <v>3449.488235315031</v>
      </c>
      <c r="K762" s="24" t="n">
        <v>2287.037037037037</v>
      </c>
      <c r="L762" s="24" t="n">
        <v>150</v>
      </c>
      <c r="M762" s="24">
        <f>I762+J762+K762+L762</f>
        <v/>
      </c>
      <c r="N762" s="24">
        <f>M762*'Dashboard &amp; Optimisation'!$B$18/('Dashboard &amp; Optimisation'!$B$16/3.6)</f>
        <v/>
      </c>
      <c r="O762" s="24" t="n">
        <v>346.8238579579632</v>
      </c>
      <c r="P762" s="25" t="n">
        <v>0.4952901571326194</v>
      </c>
      <c r="Q762" s="26" t="n">
        <v>0.2</v>
      </c>
      <c r="R762" s="24" t="n">
        <v>497.3104012777706</v>
      </c>
      <c r="S762" s="24">
        <f>R762*IF(A762=4, 2.0, 3.0)</f>
        <v/>
      </c>
      <c r="T762" s="22">
        <f>'Dashboard &amp; Optimisation'!$B$18*U762</f>
        <v/>
      </c>
      <c r="U762" s="27">
        <f>MIN(1, S762/M762)</f>
        <v/>
      </c>
      <c r="V762" s="27">
        <f>N762/(N762+O762)</f>
        <v/>
      </c>
      <c r="W762" s="27">
        <f>U762*V762</f>
        <v/>
      </c>
      <c r="X762" s="25">
        <f>T762/N762</f>
        <v/>
      </c>
      <c r="Y762" s="28">
        <f>IF(W762=MAXIFS(W$2:W$3601, A$2:A$3601, A762, B$2:B$3601, B762), "OPTIMAL", "")</f>
        <v/>
      </c>
    </row>
    <row r="763" ht="20" customHeight="1">
      <c r="A763" s="29" t="n">
        <v>4</v>
      </c>
      <c r="B763" s="29" t="n">
        <v>35</v>
      </c>
      <c r="C763" s="30" t="n">
        <v>85</v>
      </c>
      <c r="D763" s="30" t="n">
        <v>2</v>
      </c>
      <c r="E763" s="6" t="n">
        <v>0</v>
      </c>
      <c r="F763" s="30" t="n">
        <v>0</v>
      </c>
      <c r="G763" s="6" t="inlineStr">
        <is>
          <t>Oui</t>
        </is>
      </c>
      <c r="H763" s="6" t="inlineStr">
        <is>
          <t>OFF</t>
        </is>
      </c>
      <c r="I763" s="31" t="n">
        <v>856.3651513317755</v>
      </c>
      <c r="J763" s="31" t="n">
        <v>3449.488235315031</v>
      </c>
      <c r="K763" s="31" t="n">
        <v>2287.037037037037</v>
      </c>
      <c r="L763" s="31" t="n">
        <v>150</v>
      </c>
      <c r="M763" s="31">
        <f>I763+J763+K763+L763</f>
        <v/>
      </c>
      <c r="N763" s="31">
        <f>M763*'Dashboard &amp; Optimisation'!$B$18/('Dashboard &amp; Optimisation'!$B$16/3.6)</f>
        <v/>
      </c>
      <c r="O763" s="31" t="n">
        <v>346.8238579579632</v>
      </c>
      <c r="P763" s="32" t="n">
        <v>0.869772376172373</v>
      </c>
      <c r="Q763" s="33" t="n">
        <v>0.2</v>
      </c>
      <c r="R763" s="31" t="n">
        <v>283.1924231446714</v>
      </c>
      <c r="S763" s="31">
        <f>R763*IF(A763=4, 2.0, 3.0)</f>
        <v/>
      </c>
      <c r="T763" s="30">
        <f>'Dashboard &amp; Optimisation'!$B$18*U763</f>
        <v/>
      </c>
      <c r="U763" s="34">
        <f>MIN(1, S763/M763)</f>
        <v/>
      </c>
      <c r="V763" s="34">
        <f>N763/(N763+O763)</f>
        <v/>
      </c>
      <c r="W763" s="34">
        <f>U763*V763</f>
        <v/>
      </c>
      <c r="X763" s="32">
        <f>T763/N763</f>
        <v/>
      </c>
      <c r="Y763" s="35">
        <f>IF(W763=MAXIFS(W$2:W$3601, A$2:A$3601, A763, B$2:B$3601, B763), "OPTIMAL", "")</f>
        <v/>
      </c>
    </row>
    <row r="764" ht="20" customHeight="1">
      <c r="A764" s="21" t="n">
        <v>4</v>
      </c>
      <c r="B764" s="21" t="n">
        <v>35</v>
      </c>
      <c r="C764" s="22" t="n">
        <v>85</v>
      </c>
      <c r="D764" s="22" t="n">
        <v>2</v>
      </c>
      <c r="E764" s="23" t="n">
        <v>0</v>
      </c>
      <c r="F764" s="22" t="n">
        <v>0</v>
      </c>
      <c r="G764" s="23" t="inlineStr">
        <is>
          <t>Non</t>
        </is>
      </c>
      <c r="H764" s="23" t="inlineStr">
        <is>
          <t>ON</t>
        </is>
      </c>
      <c r="I764" s="24" t="n">
        <v>856.3651513317755</v>
      </c>
      <c r="J764" s="24" t="n">
        <v>3449.488235315031</v>
      </c>
      <c r="K764" s="24" t="n">
        <v>2287.037037037037</v>
      </c>
      <c r="L764" s="24" t="n">
        <v>150</v>
      </c>
      <c r="M764" s="24">
        <f>I764+J764+K764+L764</f>
        <v/>
      </c>
      <c r="N764" s="24">
        <f>M764*'Dashboard &amp; Optimisation'!$B$18/('Dashboard &amp; Optimisation'!$B$16/3.6)</f>
        <v/>
      </c>
      <c r="O764" s="24" t="n">
        <v>346.8238579579632</v>
      </c>
      <c r="P764" s="25" t="n">
        <v>0.4915453349422219</v>
      </c>
      <c r="Q764" s="26" t="n">
        <v>0.2</v>
      </c>
      <c r="R764" s="24" t="n">
        <v>501.0991444390486</v>
      </c>
      <c r="S764" s="24">
        <f>R764*IF(A764=4, 2.0, 3.0)</f>
        <v/>
      </c>
      <c r="T764" s="22">
        <f>'Dashboard &amp; Optimisation'!$B$18*U764</f>
        <v/>
      </c>
      <c r="U764" s="27">
        <f>MIN(1, S764/M764)</f>
        <v/>
      </c>
      <c r="V764" s="27">
        <f>N764/(N764+O764)</f>
        <v/>
      </c>
      <c r="W764" s="27">
        <f>U764*V764</f>
        <v/>
      </c>
      <c r="X764" s="25">
        <f>T764/N764</f>
        <v/>
      </c>
      <c r="Y764" s="28">
        <f>IF(W764=MAXIFS(W$2:W$3601, A$2:A$3601, A764, B$2:B$3601, B764), "OPTIMAL", "")</f>
        <v/>
      </c>
    </row>
    <row r="765" ht="20" customHeight="1">
      <c r="A765" s="29" t="n">
        <v>4</v>
      </c>
      <c r="B765" s="29" t="n">
        <v>35</v>
      </c>
      <c r="C765" s="30" t="n">
        <v>85</v>
      </c>
      <c r="D765" s="30" t="n">
        <v>2</v>
      </c>
      <c r="E765" s="6" t="n">
        <v>0</v>
      </c>
      <c r="F765" s="30" t="n">
        <v>0</v>
      </c>
      <c r="G765" s="6" t="inlineStr">
        <is>
          <t>Non</t>
        </is>
      </c>
      <c r="H765" s="6" t="inlineStr">
        <is>
          <t>OFF</t>
        </is>
      </c>
      <c r="I765" s="31" t="n">
        <v>856.3651513317755</v>
      </c>
      <c r="J765" s="31" t="n">
        <v>3449.488235315031</v>
      </c>
      <c r="K765" s="31" t="n">
        <v>2287.037037037037</v>
      </c>
      <c r="L765" s="31" t="n">
        <v>150</v>
      </c>
      <c r="M765" s="31">
        <f>I765+J765+K765+L765</f>
        <v/>
      </c>
      <c r="N765" s="31">
        <f>M765*'Dashboard &amp; Optimisation'!$B$18/('Dashboard &amp; Optimisation'!$B$16/3.6)</f>
        <v/>
      </c>
      <c r="O765" s="31" t="n">
        <v>346.8238579579632</v>
      </c>
      <c r="P765" s="32" t="n">
        <v>0.8660275539819755</v>
      </c>
      <c r="Q765" s="33" t="n">
        <v>0.2</v>
      </c>
      <c r="R765" s="31" t="n">
        <v>284.4169861109054</v>
      </c>
      <c r="S765" s="31">
        <f>R765*IF(A765=4, 2.0, 3.0)</f>
        <v/>
      </c>
      <c r="T765" s="30">
        <f>'Dashboard &amp; Optimisation'!$B$18*U765</f>
        <v/>
      </c>
      <c r="U765" s="34">
        <f>MIN(1, S765/M765)</f>
        <v/>
      </c>
      <c r="V765" s="34">
        <f>N765/(N765+O765)</f>
        <v/>
      </c>
      <c r="W765" s="34">
        <f>U765*V765</f>
        <v/>
      </c>
      <c r="X765" s="32">
        <f>T765/N765</f>
        <v/>
      </c>
      <c r="Y765" s="35">
        <f>IF(W765=MAXIFS(W$2:W$3601, A$2:A$3601, A765, B$2:B$3601, B765), "OPTIMAL", "")</f>
        <v/>
      </c>
    </row>
    <row r="766" ht="20" customHeight="1">
      <c r="A766" s="21" t="n">
        <v>4</v>
      </c>
      <c r="B766" s="21" t="n">
        <v>35</v>
      </c>
      <c r="C766" s="22" t="n">
        <v>85</v>
      </c>
      <c r="D766" s="22" t="n">
        <v>2</v>
      </c>
      <c r="E766" s="23" t="n">
        <v>4</v>
      </c>
      <c r="F766" s="22" t="n">
        <v>1.5</v>
      </c>
      <c r="G766" s="23" t="inlineStr">
        <is>
          <t>Oui</t>
        </is>
      </c>
      <c r="H766" s="23" t="inlineStr">
        <is>
          <t>ON</t>
        </is>
      </c>
      <c r="I766" s="24" t="n">
        <v>856.3651513317755</v>
      </c>
      <c r="J766" s="24" t="n">
        <v>3449.488235315031</v>
      </c>
      <c r="K766" s="24" t="n">
        <v>2287.037037037037</v>
      </c>
      <c r="L766" s="24" t="n">
        <v>150</v>
      </c>
      <c r="M766" s="24">
        <f>I766+J766+K766+L766</f>
        <v/>
      </c>
      <c r="N766" s="24">
        <f>M766*'Dashboard &amp; Optimisation'!$B$18/('Dashboard &amp; Optimisation'!$B$16/3.6)</f>
        <v/>
      </c>
      <c r="O766" s="24" t="n">
        <v>556.9748634389224</v>
      </c>
      <c r="P766" s="25" t="n">
        <v>0.07982907988340278</v>
      </c>
      <c r="Q766" s="26" t="n">
        <v>7.926206185533672</v>
      </c>
      <c r="R766" s="24" t="n">
        <v>3206.470078070619</v>
      </c>
      <c r="S766" s="24">
        <f>R766*IF(A766=4, 2.0, 3.0)</f>
        <v/>
      </c>
      <c r="T766" s="22">
        <f>'Dashboard &amp; Optimisation'!$B$18*U766</f>
        <v/>
      </c>
      <c r="U766" s="27">
        <f>MIN(1, S766/M766)</f>
        <v/>
      </c>
      <c r="V766" s="27">
        <f>N766/(N766+O766)</f>
        <v/>
      </c>
      <c r="W766" s="27">
        <f>U766*V766</f>
        <v/>
      </c>
      <c r="X766" s="25">
        <f>T766/N766</f>
        <v/>
      </c>
      <c r="Y766" s="28">
        <f>IF(W766=MAXIFS(W$2:W$3601, A$2:A$3601, A766, B$2:B$3601, B766), "OPTIMAL", "")</f>
        <v/>
      </c>
    </row>
    <row r="767" ht="20" customHeight="1">
      <c r="A767" s="29" t="n">
        <v>4</v>
      </c>
      <c r="B767" s="29" t="n">
        <v>35</v>
      </c>
      <c r="C767" s="30" t="n">
        <v>85</v>
      </c>
      <c r="D767" s="30" t="n">
        <v>2</v>
      </c>
      <c r="E767" s="6" t="n">
        <v>4</v>
      </c>
      <c r="F767" s="30" t="n">
        <v>1.5</v>
      </c>
      <c r="G767" s="6" t="inlineStr">
        <is>
          <t>Oui</t>
        </is>
      </c>
      <c r="H767" s="6" t="inlineStr">
        <is>
          <t>OFF</t>
        </is>
      </c>
      <c r="I767" s="31" t="n">
        <v>856.3651513317755</v>
      </c>
      <c r="J767" s="31" t="n">
        <v>3449.488235315031</v>
      </c>
      <c r="K767" s="31" t="n">
        <v>2287.037037037037</v>
      </c>
      <c r="L767" s="31" t="n">
        <v>150</v>
      </c>
      <c r="M767" s="31">
        <f>I767+J767+K767+L767</f>
        <v/>
      </c>
      <c r="N767" s="31">
        <f>M767*'Dashboard &amp; Optimisation'!$B$18/('Dashboard &amp; Optimisation'!$B$16/3.6)</f>
        <v/>
      </c>
      <c r="O767" s="31" t="n">
        <v>556.9748634389224</v>
      </c>
      <c r="P767" s="32" t="n">
        <v>0.3422773582181225</v>
      </c>
      <c r="Q767" s="33" t="n">
        <v>7.926206185533672</v>
      </c>
      <c r="R767" s="31" t="n">
        <v>747.8425021701813</v>
      </c>
      <c r="S767" s="31">
        <f>R767*IF(A767=4, 2.0, 3.0)</f>
        <v/>
      </c>
      <c r="T767" s="30">
        <f>'Dashboard &amp; Optimisation'!$B$18*U767</f>
        <v/>
      </c>
      <c r="U767" s="34">
        <f>MIN(1, S767/M767)</f>
        <v/>
      </c>
      <c r="V767" s="34">
        <f>N767/(N767+O767)</f>
        <v/>
      </c>
      <c r="W767" s="34">
        <f>U767*V767</f>
        <v/>
      </c>
      <c r="X767" s="32">
        <f>T767/N767</f>
        <v/>
      </c>
      <c r="Y767" s="35">
        <f>IF(W767=MAXIFS(W$2:W$3601, A$2:A$3601, A767, B$2:B$3601, B767), "OPTIMAL", "")</f>
        <v/>
      </c>
    </row>
    <row r="768" ht="20" customHeight="1">
      <c r="A768" s="36" t="n">
        <v>4</v>
      </c>
      <c r="B768" s="36" t="n">
        <v>35</v>
      </c>
      <c r="C768" s="37" t="n">
        <v>85</v>
      </c>
      <c r="D768" s="37" t="n">
        <v>2</v>
      </c>
      <c r="E768" s="38" t="n">
        <v>4</v>
      </c>
      <c r="F768" s="37" t="n">
        <v>1.5</v>
      </c>
      <c r="G768" s="38" t="inlineStr">
        <is>
          <t>Non</t>
        </is>
      </c>
      <c r="H768" s="38" t="inlineStr">
        <is>
          <t>ON</t>
        </is>
      </c>
      <c r="I768" s="39" t="n">
        <v>856.3651513317755</v>
      </c>
      <c r="J768" s="39" t="n">
        <v>3449.488235315031</v>
      </c>
      <c r="K768" s="39" t="n">
        <v>2287.037037037037</v>
      </c>
      <c r="L768" s="39" t="n">
        <v>150</v>
      </c>
      <c r="M768" s="39">
        <f>I768+J768+K768+L768</f>
        <v/>
      </c>
      <c r="N768" s="39">
        <f>M768*'Dashboard &amp; Optimisation'!$B$18/('Dashboard &amp; Optimisation'!$B$16/3.6)</f>
        <v/>
      </c>
      <c r="O768" s="39" t="n">
        <v>556.9748634389224</v>
      </c>
      <c r="P768" s="40" t="n">
        <v>0.07608425769300524</v>
      </c>
      <c r="Q768" s="41" t="n">
        <v>7.926206185533672</v>
      </c>
      <c r="R768" s="39" t="n">
        <v>3364.290639975221</v>
      </c>
      <c r="S768" s="39">
        <f>R768*IF(A768=4, 2.0, 3.0)</f>
        <v/>
      </c>
      <c r="T768" s="37">
        <f>'Dashboard &amp; Optimisation'!$B$18*U768</f>
        <v/>
      </c>
      <c r="U768" s="42">
        <f>MIN(1, S768/M768)</f>
        <v/>
      </c>
      <c r="V768" s="42">
        <f>N768/(N768+O768)</f>
        <v/>
      </c>
      <c r="W768" s="42">
        <f>U768*V768</f>
        <v/>
      </c>
      <c r="X768" s="40">
        <f>T768/N768</f>
        <v/>
      </c>
      <c r="Y768" s="15">
        <f>IF(W768=MAXIFS(W$2:W$3601, A$2:A$3601, A768, B$2:B$3601, B768), "OPTIMAL", "")</f>
        <v/>
      </c>
    </row>
    <row r="769" ht="20" customHeight="1">
      <c r="A769" s="29" t="n">
        <v>4</v>
      </c>
      <c r="B769" s="29" t="n">
        <v>35</v>
      </c>
      <c r="C769" s="30" t="n">
        <v>85</v>
      </c>
      <c r="D769" s="30" t="n">
        <v>2</v>
      </c>
      <c r="E769" s="6" t="n">
        <v>4</v>
      </c>
      <c r="F769" s="30" t="n">
        <v>1.5</v>
      </c>
      <c r="G769" s="6" t="inlineStr">
        <is>
          <t>Non</t>
        </is>
      </c>
      <c r="H769" s="6" t="inlineStr">
        <is>
          <t>OFF</t>
        </is>
      </c>
      <c r="I769" s="31" t="n">
        <v>856.3651513317755</v>
      </c>
      <c r="J769" s="31" t="n">
        <v>3449.488235315031</v>
      </c>
      <c r="K769" s="31" t="n">
        <v>2287.037037037037</v>
      </c>
      <c r="L769" s="31" t="n">
        <v>150</v>
      </c>
      <c r="M769" s="31">
        <f>I769+J769+K769+L769</f>
        <v/>
      </c>
      <c r="N769" s="31">
        <f>M769*'Dashboard &amp; Optimisation'!$B$18/('Dashboard &amp; Optimisation'!$B$16/3.6)</f>
        <v/>
      </c>
      <c r="O769" s="31" t="n">
        <v>556.9748634389224</v>
      </c>
      <c r="P769" s="32" t="n">
        <v>0.338532536027725</v>
      </c>
      <c r="Q769" s="33" t="n">
        <v>7.926206185533672</v>
      </c>
      <c r="R769" s="31" t="n">
        <v>756.1150813140067</v>
      </c>
      <c r="S769" s="31">
        <f>R769*IF(A769=4, 2.0, 3.0)</f>
        <v/>
      </c>
      <c r="T769" s="30">
        <f>'Dashboard &amp; Optimisation'!$B$18*U769</f>
        <v/>
      </c>
      <c r="U769" s="34">
        <f>MIN(1, S769/M769)</f>
        <v/>
      </c>
      <c r="V769" s="34">
        <f>N769/(N769+O769)</f>
        <v/>
      </c>
      <c r="W769" s="34">
        <f>U769*V769</f>
        <v/>
      </c>
      <c r="X769" s="32">
        <f>T769/N769</f>
        <v/>
      </c>
      <c r="Y769" s="35">
        <f>IF(W769=MAXIFS(W$2:W$3601, A$2:A$3601, A769, B$2:B$3601, B769), "OPTIMAL", "")</f>
        <v/>
      </c>
    </row>
    <row r="770" ht="20" customHeight="1">
      <c r="A770" s="21" t="n">
        <v>4</v>
      </c>
      <c r="B770" s="21" t="n">
        <v>35</v>
      </c>
      <c r="C770" s="22" t="n">
        <v>85</v>
      </c>
      <c r="D770" s="22" t="n">
        <v>2</v>
      </c>
      <c r="E770" s="23" t="n">
        <v>4</v>
      </c>
      <c r="F770" s="22" t="n">
        <v>2</v>
      </c>
      <c r="G770" s="23" t="inlineStr">
        <is>
          <t>Oui</t>
        </is>
      </c>
      <c r="H770" s="23" t="inlineStr">
        <is>
          <t>ON</t>
        </is>
      </c>
      <c r="I770" s="24" t="n">
        <v>856.3651513317755</v>
      </c>
      <c r="J770" s="24" t="n">
        <v>3449.488235315031</v>
      </c>
      <c r="K770" s="24" t="n">
        <v>2287.037037037037</v>
      </c>
      <c r="L770" s="24" t="n">
        <v>150</v>
      </c>
      <c r="M770" s="24">
        <f>I770+J770+K770+L770</f>
        <v/>
      </c>
      <c r="N770" s="24">
        <f>M770*'Dashboard &amp; Optimisation'!$B$18/('Dashboard &amp; Optimisation'!$B$16/3.6)</f>
        <v/>
      </c>
      <c r="O770" s="24" t="n">
        <v>630.7354149353081</v>
      </c>
      <c r="P770" s="25" t="n">
        <v>0.07761847907948814</v>
      </c>
      <c r="Q770" s="26" t="n">
        <v>10.50160824737823</v>
      </c>
      <c r="R770" s="24" t="n">
        <v>3341.458326299958</v>
      </c>
      <c r="S770" s="24">
        <f>R770*IF(A770=4, 2.0, 3.0)</f>
        <v/>
      </c>
      <c r="T770" s="22">
        <f>'Dashboard &amp; Optimisation'!$B$18*U770</f>
        <v/>
      </c>
      <c r="U770" s="27">
        <f>MIN(1, S770/M770)</f>
        <v/>
      </c>
      <c r="V770" s="27">
        <f>N770/(N770+O770)</f>
        <v/>
      </c>
      <c r="W770" s="27">
        <f>U770*V770</f>
        <v/>
      </c>
      <c r="X770" s="25">
        <f>T770/N770</f>
        <v/>
      </c>
      <c r="Y770" s="28">
        <f>IF(W770=MAXIFS(W$2:W$3601, A$2:A$3601, A770, B$2:B$3601, B770), "OPTIMAL", "")</f>
        <v/>
      </c>
    </row>
    <row r="771" ht="20" customHeight="1">
      <c r="A771" s="29" t="n">
        <v>4</v>
      </c>
      <c r="B771" s="29" t="n">
        <v>35</v>
      </c>
      <c r="C771" s="30" t="n">
        <v>85</v>
      </c>
      <c r="D771" s="30" t="n">
        <v>2</v>
      </c>
      <c r="E771" s="6" t="n">
        <v>4</v>
      </c>
      <c r="F771" s="30" t="n">
        <v>2</v>
      </c>
      <c r="G771" s="6" t="inlineStr">
        <is>
          <t>Oui</t>
        </is>
      </c>
      <c r="H771" s="6" t="inlineStr">
        <is>
          <t>OFF</t>
        </is>
      </c>
      <c r="I771" s="31" t="n">
        <v>856.3651513317755</v>
      </c>
      <c r="J771" s="31" t="n">
        <v>3449.488235315031</v>
      </c>
      <c r="K771" s="31" t="n">
        <v>2287.037037037037</v>
      </c>
      <c r="L771" s="31" t="n">
        <v>150</v>
      </c>
      <c r="M771" s="31">
        <f>I771+J771+K771+L771</f>
        <v/>
      </c>
      <c r="N771" s="31">
        <f>M771*'Dashboard &amp; Optimisation'!$B$18/('Dashboard &amp; Optimisation'!$B$16/3.6)</f>
        <v/>
      </c>
      <c r="O771" s="31" t="n">
        <v>630.7354149353081</v>
      </c>
      <c r="P771" s="32" t="n">
        <v>0.3414492073746781</v>
      </c>
      <c r="Q771" s="33" t="n">
        <v>10.50160824737823</v>
      </c>
      <c r="R771" s="31" t="n">
        <v>759.5827068659607</v>
      </c>
      <c r="S771" s="31">
        <f>R771*IF(A771=4, 2.0, 3.0)</f>
        <v/>
      </c>
      <c r="T771" s="30">
        <f>'Dashboard &amp; Optimisation'!$B$18*U771</f>
        <v/>
      </c>
      <c r="U771" s="34">
        <f>MIN(1, S771/M771)</f>
        <v/>
      </c>
      <c r="V771" s="34">
        <f>N771/(N771+O771)</f>
        <v/>
      </c>
      <c r="W771" s="34">
        <f>U771*V771</f>
        <v/>
      </c>
      <c r="X771" s="32">
        <f>T771/N771</f>
        <v/>
      </c>
      <c r="Y771" s="35">
        <f>IF(W771=MAXIFS(W$2:W$3601, A$2:A$3601, A771, B$2:B$3601, B771), "OPTIMAL", "")</f>
        <v/>
      </c>
    </row>
    <row r="772" ht="20" customHeight="1">
      <c r="A772" s="21" t="n">
        <v>4</v>
      </c>
      <c r="B772" s="21" t="n">
        <v>35</v>
      </c>
      <c r="C772" s="22" t="n">
        <v>85</v>
      </c>
      <c r="D772" s="22" t="n">
        <v>2</v>
      </c>
      <c r="E772" s="23" t="n">
        <v>4</v>
      </c>
      <c r="F772" s="22" t="n">
        <v>2</v>
      </c>
      <c r="G772" s="23" t="inlineStr">
        <is>
          <t>Non</t>
        </is>
      </c>
      <c r="H772" s="23" t="inlineStr">
        <is>
          <t>ON</t>
        </is>
      </c>
      <c r="I772" s="24" t="n">
        <v>856.3651513317755</v>
      </c>
      <c r="J772" s="24" t="n">
        <v>3449.488235315031</v>
      </c>
      <c r="K772" s="24" t="n">
        <v>2287.037037037037</v>
      </c>
      <c r="L772" s="24" t="n">
        <v>150</v>
      </c>
      <c r="M772" s="24">
        <f>I772+J772+K772+L772</f>
        <v/>
      </c>
      <c r="N772" s="24">
        <f>M772*'Dashboard &amp; Optimisation'!$B$18/('Dashboard &amp; Optimisation'!$B$16/3.6)</f>
        <v/>
      </c>
      <c r="O772" s="24" t="n">
        <v>630.7354149353081</v>
      </c>
      <c r="P772" s="25" t="n">
        <v>0.0738736568890906</v>
      </c>
      <c r="Q772" s="26" t="n">
        <v>10.50160824737823</v>
      </c>
      <c r="R772" s="24" t="n">
        <v>3510.844381025842</v>
      </c>
      <c r="S772" s="24">
        <f>R772*IF(A772=4, 2.0, 3.0)</f>
        <v/>
      </c>
      <c r="T772" s="22">
        <f>'Dashboard &amp; Optimisation'!$B$18*U772</f>
        <v/>
      </c>
      <c r="U772" s="27">
        <f>MIN(1, S772/M772)</f>
        <v/>
      </c>
      <c r="V772" s="27">
        <f>N772/(N772+O772)</f>
        <v/>
      </c>
      <c r="W772" s="27">
        <f>U772*V772</f>
        <v/>
      </c>
      <c r="X772" s="25">
        <f>T772/N772</f>
        <v/>
      </c>
      <c r="Y772" s="28">
        <f>IF(W772=MAXIFS(W$2:W$3601, A$2:A$3601, A772, B$2:B$3601, B772), "OPTIMAL", "")</f>
        <v/>
      </c>
    </row>
    <row r="773" ht="20" customHeight="1">
      <c r="A773" s="29" t="n">
        <v>4</v>
      </c>
      <c r="B773" s="29" t="n">
        <v>35</v>
      </c>
      <c r="C773" s="30" t="n">
        <v>85</v>
      </c>
      <c r="D773" s="30" t="n">
        <v>2</v>
      </c>
      <c r="E773" s="6" t="n">
        <v>4</v>
      </c>
      <c r="F773" s="30" t="n">
        <v>2</v>
      </c>
      <c r="G773" s="6" t="inlineStr">
        <is>
          <t>Non</t>
        </is>
      </c>
      <c r="H773" s="6" t="inlineStr">
        <is>
          <t>OFF</t>
        </is>
      </c>
      <c r="I773" s="31" t="n">
        <v>856.3651513317755</v>
      </c>
      <c r="J773" s="31" t="n">
        <v>3449.488235315031</v>
      </c>
      <c r="K773" s="31" t="n">
        <v>2287.037037037037</v>
      </c>
      <c r="L773" s="31" t="n">
        <v>150</v>
      </c>
      <c r="M773" s="31">
        <f>I773+J773+K773+L773</f>
        <v/>
      </c>
      <c r="N773" s="31">
        <f>M773*'Dashboard &amp; Optimisation'!$B$18/('Dashboard &amp; Optimisation'!$B$16/3.6)</f>
        <v/>
      </c>
      <c r="O773" s="31" t="n">
        <v>630.7354149353081</v>
      </c>
      <c r="P773" s="32" t="n">
        <v>0.3377043851842806</v>
      </c>
      <c r="Q773" s="33" t="n">
        <v>10.50160824737823</v>
      </c>
      <c r="R773" s="31" t="n">
        <v>768.0057605807108</v>
      </c>
      <c r="S773" s="31">
        <f>R773*IF(A773=4, 2.0, 3.0)</f>
        <v/>
      </c>
      <c r="T773" s="30">
        <f>'Dashboard &amp; Optimisation'!$B$18*U773</f>
        <v/>
      </c>
      <c r="U773" s="34">
        <f>MIN(1, S773/M773)</f>
        <v/>
      </c>
      <c r="V773" s="34">
        <f>N773/(N773+O773)</f>
        <v/>
      </c>
      <c r="W773" s="34">
        <f>U773*V773</f>
        <v/>
      </c>
      <c r="X773" s="32">
        <f>T773/N773</f>
        <v/>
      </c>
      <c r="Y773" s="35">
        <f>IF(W773=MAXIFS(W$2:W$3601, A$2:A$3601, A773, B$2:B$3601, B773), "OPTIMAL", "")</f>
        <v/>
      </c>
    </row>
    <row r="774" ht="20" customHeight="1">
      <c r="A774" s="21" t="n">
        <v>4</v>
      </c>
      <c r="B774" s="21" t="n">
        <v>35</v>
      </c>
      <c r="C774" s="22" t="n">
        <v>85</v>
      </c>
      <c r="D774" s="22" t="n">
        <v>2</v>
      </c>
      <c r="E774" s="23" t="n">
        <v>8</v>
      </c>
      <c r="F774" s="22" t="n">
        <v>1.5</v>
      </c>
      <c r="G774" s="23" t="inlineStr">
        <is>
          <t>Oui</t>
        </is>
      </c>
      <c r="H774" s="23" t="inlineStr">
        <is>
          <t>ON</t>
        </is>
      </c>
      <c r="I774" s="24" t="n">
        <v>856.3651513317755</v>
      </c>
      <c r="J774" s="24" t="n">
        <v>3449.488235315031</v>
      </c>
      <c r="K774" s="24" t="n">
        <v>2287.037037037037</v>
      </c>
      <c r="L774" s="24" t="n">
        <v>150</v>
      </c>
      <c r="M774" s="24">
        <f>I774+J774+K774+L774</f>
        <v/>
      </c>
      <c r="N774" s="24">
        <f>M774*'Dashboard &amp; Optimisation'!$B$18/('Dashboard &amp; Optimisation'!$B$16/3.6)</f>
        <v/>
      </c>
      <c r="O774" s="24" t="n">
        <v>784.2760213857795</v>
      </c>
      <c r="P774" s="25" t="n">
        <v>0.05983888553171247</v>
      </c>
      <c r="Q774" s="26" t="n">
        <v>15.65241237106734</v>
      </c>
      <c r="R774" s="24" t="n">
        <v>4452.192354073508</v>
      </c>
      <c r="S774" s="24">
        <f>R774*IF(A774=4, 2.0, 3.0)</f>
        <v/>
      </c>
      <c r="T774" s="22">
        <f>'Dashboard &amp; Optimisation'!$B$18*U774</f>
        <v/>
      </c>
      <c r="U774" s="27">
        <f>MIN(1, S774/M774)</f>
        <v/>
      </c>
      <c r="V774" s="27">
        <f>N774/(N774+O774)</f>
        <v/>
      </c>
      <c r="W774" s="27">
        <f>U774*V774</f>
        <v/>
      </c>
      <c r="X774" s="25">
        <f>T774/N774</f>
        <v/>
      </c>
      <c r="Y774" s="28">
        <f>IF(W774=MAXIFS(W$2:W$3601, A$2:A$3601, A774, B$2:B$3601, B774), "OPTIMAL", "")</f>
        <v/>
      </c>
    </row>
    <row r="775" ht="20" customHeight="1">
      <c r="A775" s="29" t="n">
        <v>4</v>
      </c>
      <c r="B775" s="29" t="n">
        <v>35</v>
      </c>
      <c r="C775" s="30" t="n">
        <v>85</v>
      </c>
      <c r="D775" s="30" t="n">
        <v>2</v>
      </c>
      <c r="E775" s="6" t="n">
        <v>8</v>
      </c>
      <c r="F775" s="30" t="n">
        <v>1.5</v>
      </c>
      <c r="G775" s="6" t="inlineStr">
        <is>
          <t>Oui</t>
        </is>
      </c>
      <c r="H775" s="6" t="inlineStr">
        <is>
          <t>OFF</t>
        </is>
      </c>
      <c r="I775" s="31" t="n">
        <v>856.3651513317755</v>
      </c>
      <c r="J775" s="31" t="n">
        <v>3449.488235315031</v>
      </c>
      <c r="K775" s="31" t="n">
        <v>2287.037037037037</v>
      </c>
      <c r="L775" s="31" t="n">
        <v>150</v>
      </c>
      <c r="M775" s="31">
        <f>I775+J775+K775+L775</f>
        <v/>
      </c>
      <c r="N775" s="31">
        <f>M775*'Dashboard &amp; Optimisation'!$B$18/('Dashboard &amp; Optimisation'!$B$16/3.6)</f>
        <v/>
      </c>
      <c r="O775" s="31" t="n">
        <v>784.2760213857795</v>
      </c>
      <c r="P775" s="32" t="n">
        <v>0.261849893463025</v>
      </c>
      <c r="Q775" s="33" t="n">
        <v>15.65241237106734</v>
      </c>
      <c r="R775" s="31" t="n">
        <v>1017.431113364916</v>
      </c>
      <c r="S775" s="31">
        <f>R775*IF(A775=4, 2.0, 3.0)</f>
        <v/>
      </c>
      <c r="T775" s="30">
        <f>'Dashboard &amp; Optimisation'!$B$18*U775</f>
        <v/>
      </c>
      <c r="U775" s="34">
        <f>MIN(1, S775/M775)</f>
        <v/>
      </c>
      <c r="V775" s="34">
        <f>N775/(N775+O775)</f>
        <v/>
      </c>
      <c r="W775" s="34">
        <f>U775*V775</f>
        <v/>
      </c>
      <c r="X775" s="32">
        <f>T775/N775</f>
        <v/>
      </c>
      <c r="Y775" s="35">
        <f>IF(W775=MAXIFS(W$2:W$3601, A$2:A$3601, A775, B$2:B$3601, B775), "OPTIMAL", "")</f>
        <v/>
      </c>
    </row>
    <row r="776" ht="20" customHeight="1">
      <c r="A776" s="21" t="n">
        <v>4</v>
      </c>
      <c r="B776" s="21" t="n">
        <v>35</v>
      </c>
      <c r="C776" s="22" t="n">
        <v>85</v>
      </c>
      <c r="D776" s="22" t="n">
        <v>2</v>
      </c>
      <c r="E776" s="23" t="n">
        <v>8</v>
      </c>
      <c r="F776" s="22" t="n">
        <v>1.5</v>
      </c>
      <c r="G776" s="23" t="inlineStr">
        <is>
          <t>Non</t>
        </is>
      </c>
      <c r="H776" s="23" t="inlineStr">
        <is>
          <t>ON</t>
        </is>
      </c>
      <c r="I776" s="24" t="n">
        <v>856.3651513317755</v>
      </c>
      <c r="J776" s="24" t="n">
        <v>3449.488235315031</v>
      </c>
      <c r="K776" s="24" t="n">
        <v>2287.037037037037</v>
      </c>
      <c r="L776" s="24" t="n">
        <v>150</v>
      </c>
      <c r="M776" s="24">
        <f>I776+J776+K776+L776</f>
        <v/>
      </c>
      <c r="N776" s="24">
        <f>M776*'Dashboard &amp; Optimisation'!$B$18/('Dashboard &amp; Optimisation'!$B$16/3.6)</f>
        <v/>
      </c>
      <c r="O776" s="24" t="n">
        <v>784.2760213857795</v>
      </c>
      <c r="P776" s="25" t="n">
        <v>0.05609406334131493</v>
      </c>
      <c r="Q776" s="26" t="n">
        <v>15.65241237106734</v>
      </c>
      <c r="R776" s="24" t="n">
        <v>4749.419328379233</v>
      </c>
      <c r="S776" s="24">
        <f>R776*IF(A776=4, 2.0, 3.0)</f>
        <v/>
      </c>
      <c r="T776" s="22">
        <f>'Dashboard &amp; Optimisation'!$B$18*U776</f>
        <v/>
      </c>
      <c r="U776" s="27">
        <f>MIN(1, S776/M776)</f>
        <v/>
      </c>
      <c r="V776" s="27">
        <f>N776/(N776+O776)</f>
        <v/>
      </c>
      <c r="W776" s="27">
        <f>U776*V776</f>
        <v/>
      </c>
      <c r="X776" s="25">
        <f>T776/N776</f>
        <v/>
      </c>
      <c r="Y776" s="28">
        <f>IF(W776=MAXIFS(W$2:W$3601, A$2:A$3601, A776, B$2:B$3601, B776), "OPTIMAL", "")</f>
        <v/>
      </c>
    </row>
    <row r="777" ht="20" customHeight="1">
      <c r="A777" s="29" t="n">
        <v>4</v>
      </c>
      <c r="B777" s="29" t="n">
        <v>35</v>
      </c>
      <c r="C777" s="30" t="n">
        <v>85</v>
      </c>
      <c r="D777" s="30" t="n">
        <v>2</v>
      </c>
      <c r="E777" s="6" t="n">
        <v>8</v>
      </c>
      <c r="F777" s="30" t="n">
        <v>1.5</v>
      </c>
      <c r="G777" s="6" t="inlineStr">
        <is>
          <t>Non</t>
        </is>
      </c>
      <c r="H777" s="6" t="inlineStr">
        <is>
          <t>OFF</t>
        </is>
      </c>
      <c r="I777" s="31" t="n">
        <v>856.3651513317755</v>
      </c>
      <c r="J777" s="31" t="n">
        <v>3449.488235315031</v>
      </c>
      <c r="K777" s="31" t="n">
        <v>2287.037037037037</v>
      </c>
      <c r="L777" s="31" t="n">
        <v>150</v>
      </c>
      <c r="M777" s="31">
        <f>I777+J777+K777+L777</f>
        <v/>
      </c>
      <c r="N777" s="31">
        <f>M777*'Dashboard &amp; Optimisation'!$B$18/('Dashboard &amp; Optimisation'!$B$16/3.6)</f>
        <v/>
      </c>
      <c r="O777" s="31" t="n">
        <v>784.2760213857795</v>
      </c>
      <c r="P777" s="32" t="n">
        <v>0.2581050712726274</v>
      </c>
      <c r="Q777" s="33" t="n">
        <v>15.65241237106734</v>
      </c>
      <c r="R777" s="31" t="n">
        <v>1032.192925644479</v>
      </c>
      <c r="S777" s="31">
        <f>R777*IF(A777=4, 2.0, 3.0)</f>
        <v/>
      </c>
      <c r="T777" s="30">
        <f>'Dashboard &amp; Optimisation'!$B$18*U777</f>
        <v/>
      </c>
      <c r="U777" s="34">
        <f>MIN(1, S777/M777)</f>
        <v/>
      </c>
      <c r="V777" s="34">
        <f>N777/(N777+O777)</f>
        <v/>
      </c>
      <c r="W777" s="34">
        <f>U777*V777</f>
        <v/>
      </c>
      <c r="X777" s="32">
        <f>T777/N777</f>
        <v/>
      </c>
      <c r="Y777" s="35">
        <f>IF(W777=MAXIFS(W$2:W$3601, A$2:A$3601, A777, B$2:B$3601, B777), "OPTIMAL", "")</f>
        <v/>
      </c>
    </row>
    <row r="778" ht="20" customHeight="1">
      <c r="A778" s="21" t="n">
        <v>4</v>
      </c>
      <c r="B778" s="21" t="n">
        <v>35</v>
      </c>
      <c r="C778" s="22" t="n">
        <v>85</v>
      </c>
      <c r="D778" s="22" t="n">
        <v>2</v>
      </c>
      <c r="E778" s="23" t="n">
        <v>8</v>
      </c>
      <c r="F778" s="22" t="n">
        <v>2</v>
      </c>
      <c r="G778" s="23" t="inlineStr">
        <is>
          <t>Oui</t>
        </is>
      </c>
      <c r="H778" s="23" t="inlineStr">
        <is>
          <t>ON</t>
        </is>
      </c>
      <c r="I778" s="24" t="n">
        <v>856.3651513317755</v>
      </c>
      <c r="J778" s="24" t="n">
        <v>3449.488235315031</v>
      </c>
      <c r="K778" s="24" t="n">
        <v>2287.037037037037</v>
      </c>
      <c r="L778" s="24" t="n">
        <v>150</v>
      </c>
      <c r="M778" s="24">
        <f>I778+J778+K778+L778</f>
        <v/>
      </c>
      <c r="N778" s="24">
        <f>M778*'Dashboard &amp; Optimisation'!$B$18/('Dashboard &amp; Optimisation'!$B$16/3.6)</f>
        <v/>
      </c>
      <c r="O778" s="24" t="n">
        <v>946.4037222882699</v>
      </c>
      <c r="P778" s="25" t="n">
        <v>0.0588807326139491</v>
      </c>
      <c r="Q778" s="26" t="n">
        <v>20.80321649475646</v>
      </c>
      <c r="R778" s="24" t="n">
        <v>4651.167128630545</v>
      </c>
      <c r="S778" s="24">
        <f>R778*IF(A778=4, 2.0, 3.0)</f>
        <v/>
      </c>
      <c r="T778" s="22">
        <f>'Dashboard &amp; Optimisation'!$B$18*U778</f>
        <v/>
      </c>
      <c r="U778" s="27">
        <f>MIN(1, S778/M778)</f>
        <v/>
      </c>
      <c r="V778" s="27">
        <f>N778/(N778+O778)</f>
        <v/>
      </c>
      <c r="W778" s="27">
        <f>U778*V778</f>
        <v/>
      </c>
      <c r="X778" s="25">
        <f>T778/N778</f>
        <v/>
      </c>
      <c r="Y778" s="28">
        <f>IF(W778=MAXIFS(W$2:W$3601, A$2:A$3601, A778, B$2:B$3601, B778), "OPTIMAL", "")</f>
        <v/>
      </c>
    </row>
    <row r="779" ht="20" customHeight="1">
      <c r="A779" s="29" t="n">
        <v>4</v>
      </c>
      <c r="B779" s="29" t="n">
        <v>35</v>
      </c>
      <c r="C779" s="30" t="n">
        <v>85</v>
      </c>
      <c r="D779" s="30" t="n">
        <v>2</v>
      </c>
      <c r="E779" s="6" t="n">
        <v>8</v>
      </c>
      <c r="F779" s="30" t="n">
        <v>2</v>
      </c>
      <c r="G779" s="6" t="inlineStr">
        <is>
          <t>Oui</t>
        </is>
      </c>
      <c r="H779" s="6" t="inlineStr">
        <is>
          <t>OFF</t>
        </is>
      </c>
      <c r="I779" s="31" t="n">
        <v>856.3651513317755</v>
      </c>
      <c r="J779" s="31" t="n">
        <v>3449.488235315031</v>
      </c>
      <c r="K779" s="31" t="n">
        <v>2287.037037037037</v>
      </c>
      <c r="L779" s="31" t="n">
        <v>150</v>
      </c>
      <c r="M779" s="31">
        <f>I779+J779+K779+L779</f>
        <v/>
      </c>
      <c r="N779" s="31">
        <f>M779*'Dashboard &amp; Optimisation'!$B$18/('Dashboard &amp; Optimisation'!$B$16/3.6)</f>
        <v/>
      </c>
      <c r="O779" s="31" t="n">
        <v>946.4037222882699</v>
      </c>
      <c r="P779" s="32" t="n">
        <v>0.2625350412538471</v>
      </c>
      <c r="Q779" s="33" t="n">
        <v>20.80321649475646</v>
      </c>
      <c r="R779" s="31" t="n">
        <v>1043.152665395562</v>
      </c>
      <c r="S779" s="31">
        <f>R779*IF(A779=4, 2.0, 3.0)</f>
        <v/>
      </c>
      <c r="T779" s="30">
        <f>'Dashboard &amp; Optimisation'!$B$18*U779</f>
        <v/>
      </c>
      <c r="U779" s="34">
        <f>MIN(1, S779/M779)</f>
        <v/>
      </c>
      <c r="V779" s="34">
        <f>N779/(N779+O779)</f>
        <v/>
      </c>
      <c r="W779" s="34">
        <f>U779*V779</f>
        <v/>
      </c>
      <c r="X779" s="32">
        <f>T779/N779</f>
        <v/>
      </c>
      <c r="Y779" s="35">
        <f>IF(W779=MAXIFS(W$2:W$3601, A$2:A$3601, A779, B$2:B$3601, B779), "OPTIMAL", "")</f>
        <v/>
      </c>
    </row>
    <row r="780" ht="20" customHeight="1">
      <c r="A780" s="21" t="n">
        <v>4</v>
      </c>
      <c r="B780" s="21" t="n">
        <v>35</v>
      </c>
      <c r="C780" s="22" t="n">
        <v>85</v>
      </c>
      <c r="D780" s="22" t="n">
        <v>2</v>
      </c>
      <c r="E780" s="23" t="n">
        <v>8</v>
      </c>
      <c r="F780" s="22" t="n">
        <v>2</v>
      </c>
      <c r="G780" s="23" t="inlineStr">
        <is>
          <t>Non</t>
        </is>
      </c>
      <c r="H780" s="23" t="inlineStr">
        <is>
          <t>ON</t>
        </is>
      </c>
      <c r="I780" s="24" t="n">
        <v>856.3651513317755</v>
      </c>
      <c r="J780" s="24" t="n">
        <v>3449.488235315031</v>
      </c>
      <c r="K780" s="24" t="n">
        <v>2287.037037037037</v>
      </c>
      <c r="L780" s="24" t="n">
        <v>150</v>
      </c>
      <c r="M780" s="24">
        <f>I780+J780+K780+L780</f>
        <v/>
      </c>
      <c r="N780" s="24">
        <f>M780*'Dashboard &amp; Optimisation'!$B$18/('Dashboard &amp; Optimisation'!$B$16/3.6)</f>
        <v/>
      </c>
      <c r="O780" s="24" t="n">
        <v>946.4037222882699</v>
      </c>
      <c r="P780" s="25" t="n">
        <v>0.05513591042355157</v>
      </c>
      <c r="Q780" s="26" t="n">
        <v>20.80321649475646</v>
      </c>
      <c r="R780" s="24" t="n">
        <v>4967.073653810605</v>
      </c>
      <c r="S780" s="24">
        <f>R780*IF(A780=4, 2.0, 3.0)</f>
        <v/>
      </c>
      <c r="T780" s="22">
        <f>'Dashboard &amp; Optimisation'!$B$18*U780</f>
        <v/>
      </c>
      <c r="U780" s="27">
        <f>MIN(1, S780/M780)</f>
        <v/>
      </c>
      <c r="V780" s="27">
        <f>N780/(N780+O780)</f>
        <v/>
      </c>
      <c r="W780" s="27">
        <f>U780*V780</f>
        <v/>
      </c>
      <c r="X780" s="25">
        <f>T780/N780</f>
        <v/>
      </c>
      <c r="Y780" s="28">
        <f>IF(W780=MAXIFS(W$2:W$3601, A$2:A$3601, A780, B$2:B$3601, B780), "OPTIMAL", "")</f>
        <v/>
      </c>
    </row>
    <row r="781" ht="20" customHeight="1">
      <c r="A781" s="29" t="n">
        <v>4</v>
      </c>
      <c r="B781" s="29" t="n">
        <v>35</v>
      </c>
      <c r="C781" s="30" t="n">
        <v>85</v>
      </c>
      <c r="D781" s="30" t="n">
        <v>2</v>
      </c>
      <c r="E781" s="6" t="n">
        <v>8</v>
      </c>
      <c r="F781" s="30" t="n">
        <v>2</v>
      </c>
      <c r="G781" s="6" t="inlineStr">
        <is>
          <t>Non</t>
        </is>
      </c>
      <c r="H781" s="6" t="inlineStr">
        <is>
          <t>OFF</t>
        </is>
      </c>
      <c r="I781" s="31" t="n">
        <v>856.3651513317755</v>
      </c>
      <c r="J781" s="31" t="n">
        <v>3449.488235315031</v>
      </c>
      <c r="K781" s="31" t="n">
        <v>2287.037037037037</v>
      </c>
      <c r="L781" s="31" t="n">
        <v>150</v>
      </c>
      <c r="M781" s="31">
        <f>I781+J781+K781+L781</f>
        <v/>
      </c>
      <c r="N781" s="31">
        <f>M781*'Dashboard &amp; Optimisation'!$B$18/('Dashboard &amp; Optimisation'!$B$16/3.6)</f>
        <v/>
      </c>
      <c r="O781" s="31" t="n">
        <v>946.4037222882699</v>
      </c>
      <c r="P781" s="32" t="n">
        <v>0.2587902190634496</v>
      </c>
      <c r="Q781" s="33" t="n">
        <v>20.80321649475646</v>
      </c>
      <c r="R781" s="31" t="n">
        <v>1058.247599290216</v>
      </c>
      <c r="S781" s="31">
        <f>R781*IF(A781=4, 2.0, 3.0)</f>
        <v/>
      </c>
      <c r="T781" s="30">
        <f>'Dashboard &amp; Optimisation'!$B$18*U781</f>
        <v/>
      </c>
      <c r="U781" s="34">
        <f>MIN(1, S781/M781)</f>
        <v/>
      </c>
      <c r="V781" s="34">
        <f>N781/(N781+O781)</f>
        <v/>
      </c>
      <c r="W781" s="34">
        <f>U781*V781</f>
        <v/>
      </c>
      <c r="X781" s="32">
        <f>T781/N781</f>
        <v/>
      </c>
      <c r="Y781" s="35">
        <f>IF(W781=MAXIFS(W$2:W$3601, A$2:A$3601, A781, B$2:B$3601, B781), "OPTIMAL", "")</f>
        <v/>
      </c>
    </row>
    <row r="782" ht="20" customHeight="1">
      <c r="A782" s="21" t="n">
        <v>4</v>
      </c>
      <c r="B782" s="21" t="n">
        <v>35</v>
      </c>
      <c r="C782" s="22" t="n">
        <v>85</v>
      </c>
      <c r="D782" s="22" t="n">
        <v>3</v>
      </c>
      <c r="E782" s="23" t="n">
        <v>0</v>
      </c>
      <c r="F782" s="22" t="n">
        <v>0</v>
      </c>
      <c r="G782" s="23" t="inlineStr">
        <is>
          <t>Oui</t>
        </is>
      </c>
      <c r="H782" s="23" t="inlineStr">
        <is>
          <t>ON</t>
        </is>
      </c>
      <c r="I782" s="24" t="n">
        <v>856.3651513317755</v>
      </c>
      <c r="J782" s="24" t="n">
        <v>3449.488235315031</v>
      </c>
      <c r="K782" s="24" t="n">
        <v>2287.037037037037</v>
      </c>
      <c r="L782" s="24" t="n">
        <v>150</v>
      </c>
      <c r="M782" s="24">
        <f>I782+J782+K782+L782</f>
        <v/>
      </c>
      <c r="N782" s="24">
        <f>M782*'Dashboard &amp; Optimisation'!$B$18/('Dashboard &amp; Optimisation'!$B$16/3.6)</f>
        <v/>
      </c>
      <c r="O782" s="24" t="n">
        <v>540.3209901171423</v>
      </c>
      <c r="P782" s="25" t="n">
        <v>0.4953095672830083</v>
      </c>
      <c r="Q782" s="26" t="n">
        <v>0.2</v>
      </c>
      <c r="R782" s="24" t="n">
        <v>522.7889245871606</v>
      </c>
      <c r="S782" s="24">
        <f>R782*IF(A782=4, 2.0, 3.0)</f>
        <v/>
      </c>
      <c r="T782" s="22">
        <f>'Dashboard &amp; Optimisation'!$B$18*U782</f>
        <v/>
      </c>
      <c r="U782" s="27">
        <f>MIN(1, S782/M782)</f>
        <v/>
      </c>
      <c r="V782" s="27">
        <f>N782/(N782+O782)</f>
        <v/>
      </c>
      <c r="W782" s="27">
        <f>U782*V782</f>
        <v/>
      </c>
      <c r="X782" s="25">
        <f>T782/N782</f>
        <v/>
      </c>
      <c r="Y782" s="28">
        <f>IF(W782=MAXIFS(W$2:W$3601, A$2:A$3601, A782, B$2:B$3601, B782), "OPTIMAL", "")</f>
        <v/>
      </c>
    </row>
    <row r="783" ht="20" customHeight="1">
      <c r="A783" s="29" t="n">
        <v>4</v>
      </c>
      <c r="B783" s="29" t="n">
        <v>35</v>
      </c>
      <c r="C783" s="30" t="n">
        <v>85</v>
      </c>
      <c r="D783" s="30" t="n">
        <v>3</v>
      </c>
      <c r="E783" s="6" t="n">
        <v>0</v>
      </c>
      <c r="F783" s="30" t="n">
        <v>0</v>
      </c>
      <c r="G783" s="6" t="inlineStr">
        <is>
          <t>Oui</t>
        </is>
      </c>
      <c r="H783" s="6" t="inlineStr">
        <is>
          <t>OFF</t>
        </is>
      </c>
      <c r="I783" s="31" t="n">
        <v>856.3651513317755</v>
      </c>
      <c r="J783" s="31" t="n">
        <v>3449.488235315031</v>
      </c>
      <c r="K783" s="31" t="n">
        <v>2287.037037037037</v>
      </c>
      <c r="L783" s="31" t="n">
        <v>150</v>
      </c>
      <c r="M783" s="31">
        <f>I783+J783+K783+L783</f>
        <v/>
      </c>
      <c r="N783" s="31">
        <f>M783*'Dashboard &amp; Optimisation'!$B$18/('Dashboard &amp; Optimisation'!$B$16/3.6)</f>
        <v/>
      </c>
      <c r="O783" s="31" t="n">
        <v>540.3209901171423</v>
      </c>
      <c r="P783" s="32" t="n">
        <v>0.869791786322762</v>
      </c>
      <c r="Q783" s="33" t="n">
        <v>0.2</v>
      </c>
      <c r="R783" s="31" t="n">
        <v>297.7061408137137</v>
      </c>
      <c r="S783" s="31">
        <f>R783*IF(A783=4, 2.0, 3.0)</f>
        <v/>
      </c>
      <c r="T783" s="30">
        <f>'Dashboard &amp; Optimisation'!$B$18*U783</f>
        <v/>
      </c>
      <c r="U783" s="34">
        <f>MIN(1, S783/M783)</f>
        <v/>
      </c>
      <c r="V783" s="34">
        <f>N783/(N783+O783)</f>
        <v/>
      </c>
      <c r="W783" s="34">
        <f>U783*V783</f>
        <v/>
      </c>
      <c r="X783" s="32">
        <f>T783/N783</f>
        <v/>
      </c>
      <c r="Y783" s="35">
        <f>IF(W783=MAXIFS(W$2:W$3601, A$2:A$3601, A783, B$2:B$3601, B783), "OPTIMAL", "")</f>
        <v/>
      </c>
    </row>
    <row r="784" ht="20" customHeight="1">
      <c r="A784" s="21" t="n">
        <v>4</v>
      </c>
      <c r="B784" s="21" t="n">
        <v>35</v>
      </c>
      <c r="C784" s="22" t="n">
        <v>85</v>
      </c>
      <c r="D784" s="22" t="n">
        <v>3</v>
      </c>
      <c r="E784" s="23" t="n">
        <v>0</v>
      </c>
      <c r="F784" s="22" t="n">
        <v>0</v>
      </c>
      <c r="G784" s="23" t="inlineStr">
        <is>
          <t>Non</t>
        </is>
      </c>
      <c r="H784" s="23" t="inlineStr">
        <is>
          <t>ON</t>
        </is>
      </c>
      <c r="I784" s="24" t="n">
        <v>856.3651513317755</v>
      </c>
      <c r="J784" s="24" t="n">
        <v>3449.488235315031</v>
      </c>
      <c r="K784" s="24" t="n">
        <v>2287.037037037037</v>
      </c>
      <c r="L784" s="24" t="n">
        <v>150</v>
      </c>
      <c r="M784" s="24">
        <f>I784+J784+K784+L784</f>
        <v/>
      </c>
      <c r="N784" s="24">
        <f>M784*'Dashboard &amp; Optimisation'!$B$18/('Dashboard &amp; Optimisation'!$B$16/3.6)</f>
        <v/>
      </c>
      <c r="O784" s="24" t="n">
        <v>540.3209901171423</v>
      </c>
      <c r="P784" s="25" t="n">
        <v>0.4915647450926108</v>
      </c>
      <c r="Q784" s="26" t="n">
        <v>0.2</v>
      </c>
      <c r="R784" s="24" t="n">
        <v>526.7716177831896</v>
      </c>
      <c r="S784" s="24">
        <f>R784*IF(A784=4, 2.0, 3.0)</f>
        <v/>
      </c>
      <c r="T784" s="22">
        <f>'Dashboard &amp; Optimisation'!$B$18*U784</f>
        <v/>
      </c>
      <c r="U784" s="27">
        <f>MIN(1, S784/M784)</f>
        <v/>
      </c>
      <c r="V784" s="27">
        <f>N784/(N784+O784)</f>
        <v/>
      </c>
      <c r="W784" s="27">
        <f>U784*V784</f>
        <v/>
      </c>
      <c r="X784" s="25">
        <f>T784/N784</f>
        <v/>
      </c>
      <c r="Y784" s="28">
        <f>IF(W784=MAXIFS(W$2:W$3601, A$2:A$3601, A784, B$2:B$3601, B784), "OPTIMAL", "")</f>
        <v/>
      </c>
    </row>
    <row r="785" ht="20" customHeight="1">
      <c r="A785" s="29" t="n">
        <v>4</v>
      </c>
      <c r="B785" s="29" t="n">
        <v>35</v>
      </c>
      <c r="C785" s="30" t="n">
        <v>85</v>
      </c>
      <c r="D785" s="30" t="n">
        <v>3</v>
      </c>
      <c r="E785" s="6" t="n">
        <v>0</v>
      </c>
      <c r="F785" s="30" t="n">
        <v>0</v>
      </c>
      <c r="G785" s="6" t="inlineStr">
        <is>
          <t>Non</t>
        </is>
      </c>
      <c r="H785" s="6" t="inlineStr">
        <is>
          <t>OFF</t>
        </is>
      </c>
      <c r="I785" s="31" t="n">
        <v>856.3651513317755</v>
      </c>
      <c r="J785" s="31" t="n">
        <v>3449.488235315031</v>
      </c>
      <c r="K785" s="31" t="n">
        <v>2287.037037037037</v>
      </c>
      <c r="L785" s="31" t="n">
        <v>150</v>
      </c>
      <c r="M785" s="31">
        <f>I785+J785+K785+L785</f>
        <v/>
      </c>
      <c r="N785" s="31">
        <f>M785*'Dashboard &amp; Optimisation'!$B$18/('Dashboard &amp; Optimisation'!$B$16/3.6)</f>
        <v/>
      </c>
      <c r="O785" s="31" t="n">
        <v>540.3209901171423</v>
      </c>
      <c r="P785" s="32" t="n">
        <v>0.8660469641323645</v>
      </c>
      <c r="Q785" s="33" t="n">
        <v>0.2</v>
      </c>
      <c r="R785" s="31" t="n">
        <v>298.9934342383304</v>
      </c>
      <c r="S785" s="31">
        <f>R785*IF(A785=4, 2.0, 3.0)</f>
        <v/>
      </c>
      <c r="T785" s="30">
        <f>'Dashboard &amp; Optimisation'!$B$18*U785</f>
        <v/>
      </c>
      <c r="U785" s="34">
        <f>MIN(1, S785/M785)</f>
        <v/>
      </c>
      <c r="V785" s="34">
        <f>N785/(N785+O785)</f>
        <v/>
      </c>
      <c r="W785" s="34">
        <f>U785*V785</f>
        <v/>
      </c>
      <c r="X785" s="32">
        <f>T785/N785</f>
        <v/>
      </c>
      <c r="Y785" s="35">
        <f>IF(W785=MAXIFS(W$2:W$3601, A$2:A$3601, A785, B$2:B$3601, B785), "OPTIMAL", "")</f>
        <v/>
      </c>
    </row>
    <row r="786" ht="20" customHeight="1">
      <c r="A786" s="21" t="n">
        <v>4</v>
      </c>
      <c r="B786" s="21" t="n">
        <v>35</v>
      </c>
      <c r="C786" s="22" t="n">
        <v>85</v>
      </c>
      <c r="D786" s="22" t="n">
        <v>3</v>
      </c>
      <c r="E786" s="23" t="n">
        <v>4</v>
      </c>
      <c r="F786" s="22" t="n">
        <v>1.5</v>
      </c>
      <c r="G786" s="23" t="inlineStr">
        <is>
          <t>Oui</t>
        </is>
      </c>
      <c r="H786" s="23" t="inlineStr">
        <is>
          <t>ON</t>
        </is>
      </c>
      <c r="I786" s="24" t="n">
        <v>856.3651513317755</v>
      </c>
      <c r="J786" s="24" t="n">
        <v>3449.488235315031</v>
      </c>
      <c r="K786" s="24" t="n">
        <v>2287.037037037037</v>
      </c>
      <c r="L786" s="24" t="n">
        <v>150</v>
      </c>
      <c r="M786" s="24">
        <f>I786+J786+K786+L786</f>
        <v/>
      </c>
      <c r="N786" s="24">
        <f>M786*'Dashboard &amp; Optimisation'!$B$18/('Dashboard &amp; Optimisation'!$B$16/3.6)</f>
        <v/>
      </c>
      <c r="O786" s="24" t="n">
        <v>765.4082776844565</v>
      </c>
      <c r="P786" s="25" t="n">
        <v>0.07960669836162382</v>
      </c>
      <c r="Q786" s="26" t="n">
        <v>8.12180634212946</v>
      </c>
      <c r="R786" s="24" t="n">
        <v>3383.653001881783</v>
      </c>
      <c r="S786" s="24">
        <f>R786*IF(A786=4, 2.0, 3.0)</f>
        <v/>
      </c>
      <c r="T786" s="22">
        <f>'Dashboard &amp; Optimisation'!$B$18*U786</f>
        <v/>
      </c>
      <c r="U786" s="27">
        <f>MIN(1, S786/M786)</f>
        <v/>
      </c>
      <c r="V786" s="27">
        <f>N786/(N786+O786)</f>
        <v/>
      </c>
      <c r="W786" s="27">
        <f>U786*V786</f>
        <v/>
      </c>
      <c r="X786" s="25">
        <f>T786/N786</f>
        <v/>
      </c>
      <c r="Y786" s="28">
        <f>IF(W786=MAXIFS(W$2:W$3601, A$2:A$3601, A786, B$2:B$3601, B786), "OPTIMAL", "")</f>
        <v/>
      </c>
    </row>
    <row r="787" ht="20" customHeight="1">
      <c r="A787" s="29" t="n">
        <v>4</v>
      </c>
      <c r="B787" s="29" t="n">
        <v>35</v>
      </c>
      <c r="C787" s="30" t="n">
        <v>85</v>
      </c>
      <c r="D787" s="30" t="n">
        <v>3</v>
      </c>
      <c r="E787" s="6" t="n">
        <v>4</v>
      </c>
      <c r="F787" s="30" t="n">
        <v>1.5</v>
      </c>
      <c r="G787" s="6" t="inlineStr">
        <is>
          <t>Oui</t>
        </is>
      </c>
      <c r="H787" s="6" t="inlineStr">
        <is>
          <t>OFF</t>
        </is>
      </c>
      <c r="I787" s="31" t="n">
        <v>856.3651513317755</v>
      </c>
      <c r="J787" s="31" t="n">
        <v>3449.488235315031</v>
      </c>
      <c r="K787" s="31" t="n">
        <v>2287.037037037037</v>
      </c>
      <c r="L787" s="31" t="n">
        <v>150</v>
      </c>
      <c r="M787" s="31">
        <f>I787+J787+K787+L787</f>
        <v/>
      </c>
      <c r="N787" s="31">
        <f>M787*'Dashboard &amp; Optimisation'!$B$18/('Dashboard &amp; Optimisation'!$B$16/3.6)</f>
        <v/>
      </c>
      <c r="O787" s="31" t="n">
        <v>765.4082776844565</v>
      </c>
      <c r="P787" s="32" t="n">
        <v>0.3420549766963435</v>
      </c>
      <c r="Q787" s="33" t="n">
        <v>8.12180634212946</v>
      </c>
      <c r="R787" s="31" t="n">
        <v>787.4799731983712</v>
      </c>
      <c r="S787" s="31">
        <f>R787*IF(A787=4, 2.0, 3.0)</f>
        <v/>
      </c>
      <c r="T787" s="30">
        <f>'Dashboard &amp; Optimisation'!$B$18*U787</f>
        <v/>
      </c>
      <c r="U787" s="34">
        <f>MIN(1, S787/M787)</f>
        <v/>
      </c>
      <c r="V787" s="34">
        <f>N787/(N787+O787)</f>
        <v/>
      </c>
      <c r="W787" s="34">
        <f>U787*V787</f>
        <v/>
      </c>
      <c r="X787" s="32">
        <f>T787/N787</f>
        <v/>
      </c>
      <c r="Y787" s="35">
        <f>IF(W787=MAXIFS(W$2:W$3601, A$2:A$3601, A787, B$2:B$3601, B787), "OPTIMAL", "")</f>
        <v/>
      </c>
    </row>
    <row r="788" ht="20" customHeight="1">
      <c r="A788" s="21" t="n">
        <v>4</v>
      </c>
      <c r="B788" s="21" t="n">
        <v>35</v>
      </c>
      <c r="C788" s="22" t="n">
        <v>85</v>
      </c>
      <c r="D788" s="22" t="n">
        <v>3</v>
      </c>
      <c r="E788" s="23" t="n">
        <v>4</v>
      </c>
      <c r="F788" s="22" t="n">
        <v>1.5</v>
      </c>
      <c r="G788" s="23" t="inlineStr">
        <is>
          <t>Non</t>
        </is>
      </c>
      <c r="H788" s="23" t="inlineStr">
        <is>
          <t>ON</t>
        </is>
      </c>
      <c r="I788" s="24" t="n">
        <v>856.3651513317755</v>
      </c>
      <c r="J788" s="24" t="n">
        <v>3449.488235315031</v>
      </c>
      <c r="K788" s="24" t="n">
        <v>2287.037037037037</v>
      </c>
      <c r="L788" s="24" t="n">
        <v>150</v>
      </c>
      <c r="M788" s="24">
        <f>I788+J788+K788+L788</f>
        <v/>
      </c>
      <c r="N788" s="24">
        <f>M788*'Dashboard &amp; Optimisation'!$B$18/('Dashboard &amp; Optimisation'!$B$16/3.6)</f>
        <v/>
      </c>
      <c r="O788" s="24" t="n">
        <v>765.4082776844565</v>
      </c>
      <c r="P788" s="25" t="n">
        <v>0.07586187617122628</v>
      </c>
      <c r="Q788" s="26" t="n">
        <v>8.12180634212946</v>
      </c>
      <c r="R788" s="24" t="n">
        <v>3550.68260206531</v>
      </c>
      <c r="S788" s="24">
        <f>R788*IF(A788=4, 2.0, 3.0)</f>
        <v/>
      </c>
      <c r="T788" s="22">
        <f>'Dashboard &amp; Optimisation'!$B$18*U788</f>
        <v/>
      </c>
      <c r="U788" s="27">
        <f>MIN(1, S788/M788)</f>
        <v/>
      </c>
      <c r="V788" s="27">
        <f>N788/(N788+O788)</f>
        <v/>
      </c>
      <c r="W788" s="27">
        <f>U788*V788</f>
        <v/>
      </c>
      <c r="X788" s="25">
        <f>T788/N788</f>
        <v/>
      </c>
      <c r="Y788" s="28">
        <f>IF(W788=MAXIFS(W$2:W$3601, A$2:A$3601, A788, B$2:B$3601, B788), "OPTIMAL", "")</f>
        <v/>
      </c>
    </row>
    <row r="789" ht="20" customHeight="1">
      <c r="A789" s="29" t="n">
        <v>4</v>
      </c>
      <c r="B789" s="29" t="n">
        <v>35</v>
      </c>
      <c r="C789" s="30" t="n">
        <v>85</v>
      </c>
      <c r="D789" s="30" t="n">
        <v>3</v>
      </c>
      <c r="E789" s="6" t="n">
        <v>4</v>
      </c>
      <c r="F789" s="30" t="n">
        <v>1.5</v>
      </c>
      <c r="G789" s="6" t="inlineStr">
        <is>
          <t>Non</t>
        </is>
      </c>
      <c r="H789" s="6" t="inlineStr">
        <is>
          <t>OFF</t>
        </is>
      </c>
      <c r="I789" s="31" t="n">
        <v>856.3651513317755</v>
      </c>
      <c r="J789" s="31" t="n">
        <v>3449.488235315031</v>
      </c>
      <c r="K789" s="31" t="n">
        <v>2287.037037037037</v>
      </c>
      <c r="L789" s="31" t="n">
        <v>150</v>
      </c>
      <c r="M789" s="31">
        <f>I789+J789+K789+L789</f>
        <v/>
      </c>
      <c r="N789" s="31">
        <f>M789*'Dashboard &amp; Optimisation'!$B$18/('Dashboard &amp; Optimisation'!$B$16/3.6)</f>
        <v/>
      </c>
      <c r="O789" s="31" t="n">
        <v>765.4082776844565</v>
      </c>
      <c r="P789" s="32" t="n">
        <v>0.338310154505946</v>
      </c>
      <c r="Q789" s="33" t="n">
        <v>8.12180634212946</v>
      </c>
      <c r="R789" s="31" t="n">
        <v>796.1967451865885</v>
      </c>
      <c r="S789" s="31">
        <f>R789*IF(A789=4, 2.0, 3.0)</f>
        <v/>
      </c>
      <c r="T789" s="30">
        <f>'Dashboard &amp; Optimisation'!$B$18*U789</f>
        <v/>
      </c>
      <c r="U789" s="34">
        <f>MIN(1, S789/M789)</f>
        <v/>
      </c>
      <c r="V789" s="34">
        <f>N789/(N789+O789)</f>
        <v/>
      </c>
      <c r="W789" s="34">
        <f>U789*V789</f>
        <v/>
      </c>
      <c r="X789" s="32">
        <f>T789/N789</f>
        <v/>
      </c>
      <c r="Y789" s="35">
        <f>IF(W789=MAXIFS(W$2:W$3601, A$2:A$3601, A789, B$2:B$3601, B789), "OPTIMAL", "")</f>
        <v/>
      </c>
    </row>
    <row r="790" ht="20" customHeight="1">
      <c r="A790" s="21" t="n">
        <v>4</v>
      </c>
      <c r="B790" s="21" t="n">
        <v>35</v>
      </c>
      <c r="C790" s="22" t="n">
        <v>85</v>
      </c>
      <c r="D790" s="22" t="n">
        <v>3</v>
      </c>
      <c r="E790" s="23" t="n">
        <v>4</v>
      </c>
      <c r="F790" s="22" t="n">
        <v>2</v>
      </c>
      <c r="G790" s="23" t="inlineStr">
        <is>
          <t>Oui</t>
        </is>
      </c>
      <c r="H790" s="23" t="inlineStr">
        <is>
          <t>ON</t>
        </is>
      </c>
      <c r="I790" s="24" t="n">
        <v>856.3651513317755</v>
      </c>
      <c r="J790" s="24" t="n">
        <v>3449.488235315031</v>
      </c>
      <c r="K790" s="24" t="n">
        <v>2287.037037037037</v>
      </c>
      <c r="L790" s="24" t="n">
        <v>150</v>
      </c>
      <c r="M790" s="24">
        <f>I790+J790+K790+L790</f>
        <v/>
      </c>
      <c r="N790" s="24">
        <f>M790*'Dashboard &amp; Optimisation'!$B$18/('Dashboard &amp; Optimisation'!$B$16/3.6)</f>
        <v/>
      </c>
      <c r="O790" s="24" t="n">
        <v>844.5173662451784</v>
      </c>
      <c r="P790" s="25" t="n">
        <v>0.07745426381627818</v>
      </c>
      <c r="Q790" s="26" t="n">
        <v>10.76240845617261</v>
      </c>
      <c r="R790" s="24" t="n">
        <v>3524.961944060303</v>
      </c>
      <c r="S790" s="24">
        <f>R790*IF(A790=4, 2.0, 3.0)</f>
        <v/>
      </c>
      <c r="T790" s="22">
        <f>'Dashboard &amp; Optimisation'!$B$18*U790</f>
        <v/>
      </c>
      <c r="U790" s="27">
        <f>MIN(1, S790/M790)</f>
        <v/>
      </c>
      <c r="V790" s="27">
        <f>N790/(N790+O790)</f>
        <v/>
      </c>
      <c r="W790" s="27">
        <f>U790*V790</f>
        <v/>
      </c>
      <c r="X790" s="25">
        <f>T790/N790</f>
        <v/>
      </c>
      <c r="Y790" s="28">
        <f>IF(W790=MAXIFS(W$2:W$3601, A$2:A$3601, A790, B$2:B$3601, B790), "OPTIMAL", "")</f>
        <v/>
      </c>
    </row>
    <row r="791" ht="20" customHeight="1">
      <c r="A791" s="29" t="n">
        <v>4</v>
      </c>
      <c r="B791" s="29" t="n">
        <v>35</v>
      </c>
      <c r="C791" s="30" t="n">
        <v>85</v>
      </c>
      <c r="D791" s="30" t="n">
        <v>3</v>
      </c>
      <c r="E791" s="6" t="n">
        <v>4</v>
      </c>
      <c r="F791" s="30" t="n">
        <v>2</v>
      </c>
      <c r="G791" s="6" t="inlineStr">
        <is>
          <t>Oui</t>
        </is>
      </c>
      <c r="H791" s="6" t="inlineStr">
        <is>
          <t>OFF</t>
        </is>
      </c>
      <c r="I791" s="31" t="n">
        <v>856.3651513317755</v>
      </c>
      <c r="J791" s="31" t="n">
        <v>3449.488235315031</v>
      </c>
      <c r="K791" s="31" t="n">
        <v>2287.037037037037</v>
      </c>
      <c r="L791" s="31" t="n">
        <v>150</v>
      </c>
      <c r="M791" s="31">
        <f>I791+J791+K791+L791</f>
        <v/>
      </c>
      <c r="N791" s="31">
        <f>M791*'Dashboard &amp; Optimisation'!$B$18/('Dashboard &amp; Optimisation'!$B$16/3.6)</f>
        <v/>
      </c>
      <c r="O791" s="31" t="n">
        <v>844.5173662451784</v>
      </c>
      <c r="P791" s="32" t="n">
        <v>0.3412849921114681</v>
      </c>
      <c r="Q791" s="33" t="n">
        <v>10.76240845617261</v>
      </c>
      <c r="R791" s="31" t="n">
        <v>799.9863418207811</v>
      </c>
      <c r="S791" s="31">
        <f>R791*IF(A791=4, 2.0, 3.0)</f>
        <v/>
      </c>
      <c r="T791" s="30">
        <f>'Dashboard &amp; Optimisation'!$B$18*U791</f>
        <v/>
      </c>
      <c r="U791" s="34">
        <f>MIN(1, S791/M791)</f>
        <v/>
      </c>
      <c r="V791" s="34">
        <f>N791/(N791+O791)</f>
        <v/>
      </c>
      <c r="W791" s="34">
        <f>U791*V791</f>
        <v/>
      </c>
      <c r="X791" s="32">
        <f>T791/N791</f>
        <v/>
      </c>
      <c r="Y791" s="35">
        <f>IF(W791=MAXIFS(W$2:W$3601, A$2:A$3601, A791, B$2:B$3601, B791), "OPTIMAL", "")</f>
        <v/>
      </c>
    </row>
    <row r="792" ht="20" customHeight="1">
      <c r="A792" s="21" t="n">
        <v>4</v>
      </c>
      <c r="B792" s="21" t="n">
        <v>35</v>
      </c>
      <c r="C792" s="22" t="n">
        <v>85</v>
      </c>
      <c r="D792" s="22" t="n">
        <v>3</v>
      </c>
      <c r="E792" s="23" t="n">
        <v>4</v>
      </c>
      <c r="F792" s="22" t="n">
        <v>2</v>
      </c>
      <c r="G792" s="23" t="inlineStr">
        <is>
          <t>Non</t>
        </is>
      </c>
      <c r="H792" s="23" t="inlineStr">
        <is>
          <t>ON</t>
        </is>
      </c>
      <c r="I792" s="24" t="n">
        <v>856.3651513317755</v>
      </c>
      <c r="J792" s="24" t="n">
        <v>3449.488235315031</v>
      </c>
      <c r="K792" s="24" t="n">
        <v>2287.037037037037</v>
      </c>
      <c r="L792" s="24" t="n">
        <v>150</v>
      </c>
      <c r="M792" s="24">
        <f>I792+J792+K792+L792</f>
        <v/>
      </c>
      <c r="N792" s="24">
        <f>M792*'Dashboard &amp; Optimisation'!$B$18/('Dashboard &amp; Optimisation'!$B$16/3.6)</f>
        <v/>
      </c>
      <c r="O792" s="24" t="n">
        <v>844.5173662451784</v>
      </c>
      <c r="P792" s="25" t="n">
        <v>0.07370944162588064</v>
      </c>
      <c r="Q792" s="26" t="n">
        <v>10.76240845617261</v>
      </c>
      <c r="R792" s="24" t="n">
        <v>3704.048305552818</v>
      </c>
      <c r="S792" s="24">
        <f>R792*IF(A792=4, 2.0, 3.0)</f>
        <v/>
      </c>
      <c r="T792" s="22">
        <f>'Dashboard &amp; Optimisation'!$B$18*U792</f>
        <v/>
      </c>
      <c r="U792" s="27">
        <f>MIN(1, S792/M792)</f>
        <v/>
      </c>
      <c r="V792" s="27">
        <f>N792/(N792+O792)</f>
        <v/>
      </c>
      <c r="W792" s="27">
        <f>U792*V792</f>
        <v/>
      </c>
      <c r="X792" s="25">
        <f>T792/N792</f>
        <v/>
      </c>
      <c r="Y792" s="28">
        <f>IF(W792=MAXIFS(W$2:W$3601, A$2:A$3601, A792, B$2:B$3601, B792), "OPTIMAL", "")</f>
        <v/>
      </c>
    </row>
    <row r="793" ht="20" customHeight="1">
      <c r="A793" s="29" t="n">
        <v>4</v>
      </c>
      <c r="B793" s="29" t="n">
        <v>35</v>
      </c>
      <c r="C793" s="30" t="n">
        <v>85</v>
      </c>
      <c r="D793" s="30" t="n">
        <v>3</v>
      </c>
      <c r="E793" s="6" t="n">
        <v>4</v>
      </c>
      <c r="F793" s="30" t="n">
        <v>2</v>
      </c>
      <c r="G793" s="6" t="inlineStr">
        <is>
          <t>Non</t>
        </is>
      </c>
      <c r="H793" s="6" t="inlineStr">
        <is>
          <t>OFF</t>
        </is>
      </c>
      <c r="I793" s="31" t="n">
        <v>856.3651513317755</v>
      </c>
      <c r="J793" s="31" t="n">
        <v>3449.488235315031</v>
      </c>
      <c r="K793" s="31" t="n">
        <v>2287.037037037037</v>
      </c>
      <c r="L793" s="31" t="n">
        <v>150</v>
      </c>
      <c r="M793" s="31">
        <f>I793+J793+K793+L793</f>
        <v/>
      </c>
      <c r="N793" s="31">
        <f>M793*'Dashboard &amp; Optimisation'!$B$18/('Dashboard &amp; Optimisation'!$B$16/3.6)</f>
        <v/>
      </c>
      <c r="O793" s="31" t="n">
        <v>844.5173662451784</v>
      </c>
      <c r="P793" s="32" t="n">
        <v>0.3375401699210706</v>
      </c>
      <c r="Q793" s="33" t="n">
        <v>10.76240845617261</v>
      </c>
      <c r="R793" s="31" t="n">
        <v>808.8617494665317</v>
      </c>
      <c r="S793" s="31">
        <f>R793*IF(A793=4, 2.0, 3.0)</f>
        <v/>
      </c>
      <c r="T793" s="30">
        <f>'Dashboard &amp; Optimisation'!$B$18*U793</f>
        <v/>
      </c>
      <c r="U793" s="34">
        <f>MIN(1, S793/M793)</f>
        <v/>
      </c>
      <c r="V793" s="34">
        <f>N793/(N793+O793)</f>
        <v/>
      </c>
      <c r="W793" s="34">
        <f>U793*V793</f>
        <v/>
      </c>
      <c r="X793" s="32">
        <f>T793/N793</f>
        <v/>
      </c>
      <c r="Y793" s="35">
        <f>IF(W793=MAXIFS(W$2:W$3601, A$2:A$3601, A793, B$2:B$3601, B793), "OPTIMAL", "")</f>
        <v/>
      </c>
    </row>
    <row r="794" ht="20" customHeight="1">
      <c r="A794" s="21" t="n">
        <v>4</v>
      </c>
      <c r="B794" s="21" t="n">
        <v>35</v>
      </c>
      <c r="C794" s="22" t="n">
        <v>85</v>
      </c>
      <c r="D794" s="22" t="n">
        <v>3</v>
      </c>
      <c r="E794" s="23" t="n">
        <v>8</v>
      </c>
      <c r="F794" s="22" t="n">
        <v>1.5</v>
      </c>
      <c r="G794" s="23" t="inlineStr">
        <is>
          <t>Oui</t>
        </is>
      </c>
      <c r="H794" s="23" t="inlineStr">
        <is>
          <t>ON</t>
        </is>
      </c>
      <c r="I794" s="24" t="n">
        <v>856.3651513317755</v>
      </c>
      <c r="J794" s="24" t="n">
        <v>3449.488235315031</v>
      </c>
      <c r="K794" s="24" t="n">
        <v>2287.037037037037</v>
      </c>
      <c r="L794" s="24" t="n">
        <v>150</v>
      </c>
      <c r="M794" s="24">
        <f>I794+J794+K794+L794</f>
        <v/>
      </c>
      <c r="N794" s="24">
        <f>M794*'Dashboard &amp; Optimisation'!$B$18/('Dashboard &amp; Optimisation'!$B$16/3.6)</f>
        <v/>
      </c>
      <c r="O794" s="24" t="n">
        <v>1009.368681186232</v>
      </c>
      <c r="P794" s="25" t="n">
        <v>0.05973432874252066</v>
      </c>
      <c r="Q794" s="26" t="n">
        <v>16.04361268425892</v>
      </c>
      <c r="R794" s="24" t="n">
        <v>4698.372898722986</v>
      </c>
      <c r="S794" s="24">
        <f>R794*IF(A794=4, 2.0, 3.0)</f>
        <v/>
      </c>
      <c r="T794" s="22">
        <f>'Dashboard &amp; Optimisation'!$B$18*U794</f>
        <v/>
      </c>
      <c r="U794" s="27">
        <f>MIN(1, S794/M794)</f>
        <v/>
      </c>
      <c r="V794" s="27">
        <f>N794/(N794+O794)</f>
        <v/>
      </c>
      <c r="W794" s="27">
        <f>U794*V794</f>
        <v/>
      </c>
      <c r="X794" s="25">
        <f>T794/N794</f>
        <v/>
      </c>
      <c r="Y794" s="28">
        <f>IF(W794=MAXIFS(W$2:W$3601, A$2:A$3601, A794, B$2:B$3601, B794), "OPTIMAL", "")</f>
        <v/>
      </c>
    </row>
    <row r="795" ht="20" customHeight="1">
      <c r="A795" s="29" t="n">
        <v>4</v>
      </c>
      <c r="B795" s="29" t="n">
        <v>35</v>
      </c>
      <c r="C795" s="30" t="n">
        <v>85</v>
      </c>
      <c r="D795" s="30" t="n">
        <v>3</v>
      </c>
      <c r="E795" s="6" t="n">
        <v>8</v>
      </c>
      <c r="F795" s="30" t="n">
        <v>1.5</v>
      </c>
      <c r="G795" s="6" t="inlineStr">
        <is>
          <t>Oui</t>
        </is>
      </c>
      <c r="H795" s="6" t="inlineStr">
        <is>
          <t>OFF</t>
        </is>
      </c>
      <c r="I795" s="31" t="n">
        <v>856.3651513317755</v>
      </c>
      <c r="J795" s="31" t="n">
        <v>3449.488235315031</v>
      </c>
      <c r="K795" s="31" t="n">
        <v>2287.037037037037</v>
      </c>
      <c r="L795" s="31" t="n">
        <v>150</v>
      </c>
      <c r="M795" s="31">
        <f>I795+J795+K795+L795</f>
        <v/>
      </c>
      <c r="N795" s="31">
        <f>M795*'Dashboard &amp; Optimisation'!$B$18/('Dashboard &amp; Optimisation'!$B$16/3.6)</f>
        <v/>
      </c>
      <c r="O795" s="31" t="n">
        <v>1009.368681186232</v>
      </c>
      <c r="P795" s="32" t="n">
        <v>0.2617453366738331</v>
      </c>
      <c r="Q795" s="33" t="n">
        <v>16.04361268425892</v>
      </c>
      <c r="R795" s="31" t="n">
        <v>1072.241266468094</v>
      </c>
      <c r="S795" s="31">
        <f>R795*IF(A795=4, 2.0, 3.0)</f>
        <v/>
      </c>
      <c r="T795" s="30">
        <f>'Dashboard &amp; Optimisation'!$B$18*U795</f>
        <v/>
      </c>
      <c r="U795" s="34">
        <f>MIN(1, S795/M795)</f>
        <v/>
      </c>
      <c r="V795" s="34">
        <f>N795/(N795+O795)</f>
        <v/>
      </c>
      <c r="W795" s="34">
        <f>U795*V795</f>
        <v/>
      </c>
      <c r="X795" s="32">
        <f>T795/N795</f>
        <v/>
      </c>
      <c r="Y795" s="35">
        <f>IF(W795=MAXIFS(W$2:W$3601, A$2:A$3601, A795, B$2:B$3601, B795), "OPTIMAL", "")</f>
        <v/>
      </c>
    </row>
    <row r="796" ht="20" customHeight="1">
      <c r="A796" s="21" t="n">
        <v>4</v>
      </c>
      <c r="B796" s="21" t="n">
        <v>35</v>
      </c>
      <c r="C796" s="22" t="n">
        <v>85</v>
      </c>
      <c r="D796" s="22" t="n">
        <v>3</v>
      </c>
      <c r="E796" s="23" t="n">
        <v>8</v>
      </c>
      <c r="F796" s="22" t="n">
        <v>1.5</v>
      </c>
      <c r="G796" s="23" t="inlineStr">
        <is>
          <t>Non</t>
        </is>
      </c>
      <c r="H796" s="23" t="inlineStr">
        <is>
          <t>ON</t>
        </is>
      </c>
      <c r="I796" s="24" t="n">
        <v>856.3651513317755</v>
      </c>
      <c r="J796" s="24" t="n">
        <v>3449.488235315031</v>
      </c>
      <c r="K796" s="24" t="n">
        <v>2287.037037037037</v>
      </c>
      <c r="L796" s="24" t="n">
        <v>150</v>
      </c>
      <c r="M796" s="24">
        <f>I796+J796+K796+L796</f>
        <v/>
      </c>
      <c r="N796" s="24">
        <f>M796*'Dashboard &amp; Optimisation'!$B$18/('Dashboard &amp; Optimisation'!$B$16/3.6)</f>
        <v/>
      </c>
      <c r="O796" s="24" t="n">
        <v>1009.368681186232</v>
      </c>
      <c r="P796" s="25" t="n">
        <v>0.05598950655212312</v>
      </c>
      <c r="Q796" s="26" t="n">
        <v>16.04361268425892</v>
      </c>
      <c r="R796" s="24" t="n">
        <v>5012.620552852974</v>
      </c>
      <c r="S796" s="24">
        <f>R796*IF(A796=4, 2.0, 3.0)</f>
        <v/>
      </c>
      <c r="T796" s="22">
        <f>'Dashboard &amp; Optimisation'!$B$18*U796</f>
        <v/>
      </c>
      <c r="U796" s="27">
        <f>MIN(1, S796/M796)</f>
        <v/>
      </c>
      <c r="V796" s="27">
        <f>N796/(N796+O796)</f>
        <v/>
      </c>
      <c r="W796" s="27">
        <f>U796*V796</f>
        <v/>
      </c>
      <c r="X796" s="25">
        <f>T796/N796</f>
        <v/>
      </c>
      <c r="Y796" s="28">
        <f>IF(W796=MAXIFS(W$2:W$3601, A$2:A$3601, A796, B$2:B$3601, B796), "OPTIMAL", "")</f>
        <v/>
      </c>
    </row>
    <row r="797" ht="20" customHeight="1">
      <c r="A797" s="29" t="n">
        <v>4</v>
      </c>
      <c r="B797" s="29" t="n">
        <v>35</v>
      </c>
      <c r="C797" s="30" t="n">
        <v>85</v>
      </c>
      <c r="D797" s="30" t="n">
        <v>3</v>
      </c>
      <c r="E797" s="6" t="n">
        <v>8</v>
      </c>
      <c r="F797" s="30" t="n">
        <v>1.5</v>
      </c>
      <c r="G797" s="6" t="inlineStr">
        <is>
          <t>Non</t>
        </is>
      </c>
      <c r="H797" s="6" t="inlineStr">
        <is>
          <t>OFF</t>
        </is>
      </c>
      <c r="I797" s="31" t="n">
        <v>856.3651513317755</v>
      </c>
      <c r="J797" s="31" t="n">
        <v>3449.488235315031</v>
      </c>
      <c r="K797" s="31" t="n">
        <v>2287.037037037037</v>
      </c>
      <c r="L797" s="31" t="n">
        <v>150</v>
      </c>
      <c r="M797" s="31">
        <f>I797+J797+K797+L797</f>
        <v/>
      </c>
      <c r="N797" s="31">
        <f>M797*'Dashboard &amp; Optimisation'!$B$18/('Dashboard &amp; Optimisation'!$B$16/3.6)</f>
        <v/>
      </c>
      <c r="O797" s="31" t="n">
        <v>1009.368681186232</v>
      </c>
      <c r="P797" s="32" t="n">
        <v>0.2580005144834356</v>
      </c>
      <c r="Q797" s="33" t="n">
        <v>16.04361268425892</v>
      </c>
      <c r="R797" s="31" t="n">
        <v>1087.804618720198</v>
      </c>
      <c r="S797" s="31">
        <f>R797*IF(A797=4, 2.0, 3.0)</f>
        <v/>
      </c>
      <c r="T797" s="30">
        <f>'Dashboard &amp; Optimisation'!$B$18*U797</f>
        <v/>
      </c>
      <c r="U797" s="34">
        <f>MIN(1, S797/M797)</f>
        <v/>
      </c>
      <c r="V797" s="34">
        <f>N797/(N797+O797)</f>
        <v/>
      </c>
      <c r="W797" s="34">
        <f>U797*V797</f>
        <v/>
      </c>
      <c r="X797" s="32">
        <f>T797/N797</f>
        <v/>
      </c>
      <c r="Y797" s="35">
        <f>IF(W797=MAXIFS(W$2:W$3601, A$2:A$3601, A797, B$2:B$3601, B797), "OPTIMAL", "")</f>
        <v/>
      </c>
    </row>
    <row r="798" ht="20" customHeight="1">
      <c r="A798" s="21" t="n">
        <v>4</v>
      </c>
      <c r="B798" s="21" t="n">
        <v>35</v>
      </c>
      <c r="C798" s="22" t="n">
        <v>85</v>
      </c>
      <c r="D798" s="22" t="n">
        <v>3</v>
      </c>
      <c r="E798" s="23" t="n">
        <v>8</v>
      </c>
      <c r="F798" s="22" t="n">
        <v>2</v>
      </c>
      <c r="G798" s="23" t="inlineStr">
        <is>
          <t>Oui</t>
        </is>
      </c>
      <c r="H798" s="23" t="inlineStr">
        <is>
          <t>ON</t>
        </is>
      </c>
      <c r="I798" s="24" t="n">
        <v>856.3651513317755</v>
      </c>
      <c r="J798" s="24" t="n">
        <v>3449.488235315031</v>
      </c>
      <c r="K798" s="24" t="n">
        <v>2287.037037037037</v>
      </c>
      <c r="L798" s="24" t="n">
        <v>150</v>
      </c>
      <c r="M798" s="24">
        <f>I798+J798+K798+L798</f>
        <v/>
      </c>
      <c r="N798" s="24">
        <f>M798*'Dashboard &amp; Optimisation'!$B$18/('Dashboard &amp; Optimisation'!$B$16/3.6)</f>
        <v/>
      </c>
      <c r="O798" s="24" t="n">
        <v>1183.699920925366</v>
      </c>
      <c r="P798" s="25" t="n">
        <v>0.05880657801325698</v>
      </c>
      <c r="Q798" s="26" t="n">
        <v>21.32481691234523</v>
      </c>
      <c r="R798" s="24" t="n">
        <v>4909.719238120751</v>
      </c>
      <c r="S798" s="24">
        <f>R798*IF(A798=4, 2.0, 3.0)</f>
        <v/>
      </c>
      <c r="T798" s="22">
        <f>'Dashboard &amp; Optimisation'!$B$18*U798</f>
        <v/>
      </c>
      <c r="U798" s="27">
        <f>MIN(1, S798/M798)</f>
        <v/>
      </c>
      <c r="V798" s="27">
        <f>N798/(N798+O798)</f>
        <v/>
      </c>
      <c r="W798" s="27">
        <f>U798*V798</f>
        <v/>
      </c>
      <c r="X798" s="25">
        <f>T798/N798</f>
        <v/>
      </c>
      <c r="Y798" s="28">
        <f>IF(W798=MAXIFS(W$2:W$3601, A$2:A$3601, A798, B$2:B$3601, B798), "OPTIMAL", "")</f>
        <v/>
      </c>
    </row>
    <row r="799" ht="20" customHeight="1">
      <c r="A799" s="29" t="n">
        <v>4</v>
      </c>
      <c r="B799" s="29" t="n">
        <v>35</v>
      </c>
      <c r="C799" s="30" t="n">
        <v>85</v>
      </c>
      <c r="D799" s="30" t="n">
        <v>3</v>
      </c>
      <c r="E799" s="6" t="n">
        <v>8</v>
      </c>
      <c r="F799" s="30" t="n">
        <v>2</v>
      </c>
      <c r="G799" s="6" t="inlineStr">
        <is>
          <t>Oui</t>
        </is>
      </c>
      <c r="H799" s="6" t="inlineStr">
        <is>
          <t>OFF</t>
        </is>
      </c>
      <c r="I799" s="31" t="n">
        <v>856.3651513317755</v>
      </c>
      <c r="J799" s="31" t="n">
        <v>3449.488235315031</v>
      </c>
      <c r="K799" s="31" t="n">
        <v>2287.037037037037</v>
      </c>
      <c r="L799" s="31" t="n">
        <v>150</v>
      </c>
      <c r="M799" s="31">
        <f>I799+J799+K799+L799</f>
        <v/>
      </c>
      <c r="N799" s="31">
        <f>M799*'Dashboard &amp; Optimisation'!$B$18/('Dashboard &amp; Optimisation'!$B$16/3.6)</f>
        <v/>
      </c>
      <c r="O799" s="31" t="n">
        <v>1183.699920925366</v>
      </c>
      <c r="P799" s="32" t="n">
        <v>0.2624608866531549</v>
      </c>
      <c r="Q799" s="33" t="n">
        <v>21.32481691234523</v>
      </c>
      <c r="R799" s="31" t="n">
        <v>1100.064055568357</v>
      </c>
      <c r="S799" s="31">
        <f>R799*IF(A799=4, 2.0, 3.0)</f>
        <v/>
      </c>
      <c r="T799" s="30">
        <f>'Dashboard &amp; Optimisation'!$B$18*U799</f>
        <v/>
      </c>
      <c r="U799" s="34">
        <f>MIN(1, S799/M799)</f>
        <v/>
      </c>
      <c r="V799" s="34">
        <f>N799/(N799+O799)</f>
        <v/>
      </c>
      <c r="W799" s="34">
        <f>U799*V799</f>
        <v/>
      </c>
      <c r="X799" s="32">
        <f>T799/N799</f>
        <v/>
      </c>
      <c r="Y799" s="35">
        <f>IF(W799=MAXIFS(W$2:W$3601, A$2:A$3601, A799, B$2:B$3601, B799), "OPTIMAL", "")</f>
        <v/>
      </c>
    </row>
    <row r="800" ht="20" customHeight="1">
      <c r="A800" s="21" t="n">
        <v>4</v>
      </c>
      <c r="B800" s="21" t="n">
        <v>35</v>
      </c>
      <c r="C800" s="22" t="n">
        <v>85</v>
      </c>
      <c r="D800" s="22" t="n">
        <v>3</v>
      </c>
      <c r="E800" s="23" t="n">
        <v>8</v>
      </c>
      <c r="F800" s="22" t="n">
        <v>2</v>
      </c>
      <c r="G800" s="23" t="inlineStr">
        <is>
          <t>Non</t>
        </is>
      </c>
      <c r="H800" s="23" t="inlineStr">
        <is>
          <t>ON</t>
        </is>
      </c>
      <c r="I800" s="24" t="n">
        <v>856.3651513317755</v>
      </c>
      <c r="J800" s="24" t="n">
        <v>3449.488235315031</v>
      </c>
      <c r="K800" s="24" t="n">
        <v>2287.037037037037</v>
      </c>
      <c r="L800" s="24" t="n">
        <v>150</v>
      </c>
      <c r="M800" s="24">
        <f>I800+J800+K800+L800</f>
        <v/>
      </c>
      <c r="N800" s="24">
        <f>M800*'Dashboard &amp; Optimisation'!$B$18/('Dashboard &amp; Optimisation'!$B$16/3.6)</f>
        <v/>
      </c>
      <c r="O800" s="24" t="n">
        <v>1183.699920925366</v>
      </c>
      <c r="P800" s="25" t="n">
        <v>0.05506175582285944</v>
      </c>
      <c r="Q800" s="26" t="n">
        <v>21.32481691234523</v>
      </c>
      <c r="R800" s="24" t="n">
        <v>5243.635679337889</v>
      </c>
      <c r="S800" s="24">
        <f>R800*IF(A800=4, 2.0, 3.0)</f>
        <v/>
      </c>
      <c r="T800" s="22">
        <f>'Dashboard &amp; Optimisation'!$B$18*U800</f>
        <v/>
      </c>
      <c r="U800" s="27">
        <f>MIN(1, S800/M800)</f>
        <v/>
      </c>
      <c r="V800" s="27">
        <f>N800/(N800+O800)</f>
        <v/>
      </c>
      <c r="W800" s="27">
        <f>U800*V800</f>
        <v/>
      </c>
      <c r="X800" s="25">
        <f>T800/N800</f>
        <v/>
      </c>
      <c r="Y800" s="28">
        <f>IF(W800=MAXIFS(W$2:W$3601, A$2:A$3601, A800, B$2:B$3601, B800), "OPTIMAL", "")</f>
        <v/>
      </c>
    </row>
    <row r="801" ht="20" customHeight="1">
      <c r="A801" s="29" t="n">
        <v>4</v>
      </c>
      <c r="B801" s="29" t="n">
        <v>35</v>
      </c>
      <c r="C801" s="30" t="n">
        <v>85</v>
      </c>
      <c r="D801" s="30" t="n">
        <v>3</v>
      </c>
      <c r="E801" s="6" t="n">
        <v>8</v>
      </c>
      <c r="F801" s="30" t="n">
        <v>2</v>
      </c>
      <c r="G801" s="6" t="inlineStr">
        <is>
          <t>Non</t>
        </is>
      </c>
      <c r="H801" s="6" t="inlineStr">
        <is>
          <t>OFF</t>
        </is>
      </c>
      <c r="I801" s="31" t="n">
        <v>856.3651513317755</v>
      </c>
      <c r="J801" s="31" t="n">
        <v>3449.488235315031</v>
      </c>
      <c r="K801" s="31" t="n">
        <v>2287.037037037037</v>
      </c>
      <c r="L801" s="31" t="n">
        <v>150</v>
      </c>
      <c r="M801" s="31">
        <f>I801+J801+K801+L801</f>
        <v/>
      </c>
      <c r="N801" s="31">
        <f>M801*'Dashboard &amp; Optimisation'!$B$18/('Dashboard &amp; Optimisation'!$B$16/3.6)</f>
        <v/>
      </c>
      <c r="O801" s="31" t="n">
        <v>1183.699920925366</v>
      </c>
      <c r="P801" s="32" t="n">
        <v>0.2587160644627574</v>
      </c>
      <c r="Q801" s="33" t="n">
        <v>21.32481691234523</v>
      </c>
      <c r="R801" s="31" t="n">
        <v>1115.987088004343</v>
      </c>
      <c r="S801" s="31">
        <f>R801*IF(A801=4, 2.0, 3.0)</f>
        <v/>
      </c>
      <c r="T801" s="30">
        <f>'Dashboard &amp; Optimisation'!$B$18*U801</f>
        <v/>
      </c>
      <c r="U801" s="34">
        <f>MIN(1, S801/M801)</f>
        <v/>
      </c>
      <c r="V801" s="34">
        <f>N801/(N801+O801)</f>
        <v/>
      </c>
      <c r="W801" s="34">
        <f>U801*V801</f>
        <v/>
      </c>
      <c r="X801" s="32">
        <f>T801/N801</f>
        <v/>
      </c>
      <c r="Y801" s="35">
        <f>IF(W801=MAXIFS(W$2:W$3601, A$2:A$3601, A801, B$2:B$3601, B801), "OPTIMAL", "")</f>
        <v/>
      </c>
    </row>
    <row r="802" ht="20" customHeight="1">
      <c r="A802" s="21" t="n">
        <v>4</v>
      </c>
      <c r="B802" s="21" t="n">
        <v>35</v>
      </c>
      <c r="C802" s="22" t="n">
        <v>90</v>
      </c>
      <c r="D802" s="22" t="n">
        <v>2</v>
      </c>
      <c r="E802" s="23" t="n">
        <v>0</v>
      </c>
      <c r="F802" s="22" t="n">
        <v>0</v>
      </c>
      <c r="G802" s="23" t="inlineStr">
        <is>
          <t>Oui</t>
        </is>
      </c>
      <c r="H802" s="23" t="inlineStr">
        <is>
          <t>ON</t>
        </is>
      </c>
      <c r="I802" s="24" t="n">
        <v>856.3651513317755</v>
      </c>
      <c r="J802" s="24" t="n">
        <v>3449.488235315031</v>
      </c>
      <c r="K802" s="24" t="n">
        <v>2287.037037037037</v>
      </c>
      <c r="L802" s="24" t="n">
        <v>150</v>
      </c>
      <c r="M802" s="24">
        <f>I802+J802+K802+L802</f>
        <v/>
      </c>
      <c r="N802" s="24">
        <f>M802*'Dashboard &amp; Optimisation'!$B$18/('Dashboard &amp; Optimisation'!$B$16/3.6)</f>
        <v/>
      </c>
      <c r="O802" s="24" t="n">
        <v>326.2020454258459</v>
      </c>
      <c r="P802" s="25" t="n">
        <v>0.4898788424939614</v>
      </c>
      <c r="Q802" s="26" t="n">
        <v>0.2</v>
      </c>
      <c r="R802" s="24" t="n">
        <v>446.0378279187745</v>
      </c>
      <c r="S802" s="24">
        <f>R802*IF(A802=4, 2.0, 3.0)</f>
        <v/>
      </c>
      <c r="T802" s="22">
        <f>'Dashboard &amp; Optimisation'!$B$18*U802</f>
        <v/>
      </c>
      <c r="U802" s="27">
        <f>MIN(1, S802/M802)</f>
        <v/>
      </c>
      <c r="V802" s="27">
        <f>N802/(N802+O802)</f>
        <v/>
      </c>
      <c r="W802" s="27">
        <f>U802*V802</f>
        <v/>
      </c>
      <c r="X802" s="25">
        <f>T802/N802</f>
        <v/>
      </c>
      <c r="Y802" s="28">
        <f>IF(W802=MAXIFS(W$2:W$3601, A$2:A$3601, A802, B$2:B$3601, B802), "OPTIMAL", "")</f>
        <v/>
      </c>
    </row>
    <row r="803" ht="20" customHeight="1">
      <c r="A803" s="29" t="n">
        <v>4</v>
      </c>
      <c r="B803" s="29" t="n">
        <v>35</v>
      </c>
      <c r="C803" s="30" t="n">
        <v>90</v>
      </c>
      <c r="D803" s="30" t="n">
        <v>2</v>
      </c>
      <c r="E803" s="6" t="n">
        <v>0</v>
      </c>
      <c r="F803" s="30" t="n">
        <v>0</v>
      </c>
      <c r="G803" s="6" t="inlineStr">
        <is>
          <t>Oui</t>
        </is>
      </c>
      <c r="H803" s="6" t="inlineStr">
        <is>
          <t>OFF</t>
        </is>
      </c>
      <c r="I803" s="31" t="n">
        <v>856.3651513317755</v>
      </c>
      <c r="J803" s="31" t="n">
        <v>3449.488235315031</v>
      </c>
      <c r="K803" s="31" t="n">
        <v>2287.037037037037</v>
      </c>
      <c r="L803" s="31" t="n">
        <v>150</v>
      </c>
      <c r="M803" s="31">
        <f>I803+J803+K803+L803</f>
        <v/>
      </c>
      <c r="N803" s="31">
        <f>M803*'Dashboard &amp; Optimisation'!$B$18/('Dashboard &amp; Optimisation'!$B$16/3.6)</f>
        <v/>
      </c>
      <c r="O803" s="31" t="n">
        <v>326.2020454258459</v>
      </c>
      <c r="P803" s="32" t="n">
        <v>0.8435564938092843</v>
      </c>
      <c r="Q803" s="33" t="n">
        <v>0.2</v>
      </c>
      <c r="R803" s="31" t="n">
        <v>259.0276957772678</v>
      </c>
      <c r="S803" s="31">
        <f>R803*IF(A803=4, 2.0, 3.0)</f>
        <v/>
      </c>
      <c r="T803" s="30">
        <f>'Dashboard &amp; Optimisation'!$B$18*U803</f>
        <v/>
      </c>
      <c r="U803" s="34">
        <f>MIN(1, S803/M803)</f>
        <v/>
      </c>
      <c r="V803" s="34">
        <f>N803/(N803+O803)</f>
        <v/>
      </c>
      <c r="W803" s="34">
        <f>U803*V803</f>
        <v/>
      </c>
      <c r="X803" s="32">
        <f>T803/N803</f>
        <v/>
      </c>
      <c r="Y803" s="35">
        <f>IF(W803=MAXIFS(W$2:W$3601, A$2:A$3601, A803, B$2:B$3601, B803), "OPTIMAL", "")</f>
        <v/>
      </c>
    </row>
    <row r="804" ht="20" customHeight="1">
      <c r="A804" s="21" t="n">
        <v>4</v>
      </c>
      <c r="B804" s="21" t="n">
        <v>35</v>
      </c>
      <c r="C804" s="22" t="n">
        <v>90</v>
      </c>
      <c r="D804" s="22" t="n">
        <v>2</v>
      </c>
      <c r="E804" s="23" t="n">
        <v>0</v>
      </c>
      <c r="F804" s="22" t="n">
        <v>0</v>
      </c>
      <c r="G804" s="23" t="inlineStr">
        <is>
          <t>Non</t>
        </is>
      </c>
      <c r="H804" s="23" t="inlineStr">
        <is>
          <t>ON</t>
        </is>
      </c>
      <c r="I804" s="24" t="n">
        <v>856.3651513317755</v>
      </c>
      <c r="J804" s="24" t="n">
        <v>3449.488235315031</v>
      </c>
      <c r="K804" s="24" t="n">
        <v>2287.037037037037</v>
      </c>
      <c r="L804" s="24" t="n">
        <v>150</v>
      </c>
      <c r="M804" s="24">
        <f>I804+J804+K804+L804</f>
        <v/>
      </c>
      <c r="N804" s="24">
        <f>M804*'Dashboard &amp; Optimisation'!$B$18/('Dashboard &amp; Optimisation'!$B$16/3.6)</f>
        <v/>
      </c>
      <c r="O804" s="24" t="n">
        <v>326.2020454258459</v>
      </c>
      <c r="P804" s="25" t="n">
        <v>0.4863420659808082</v>
      </c>
      <c r="Q804" s="26" t="n">
        <v>0.2</v>
      </c>
      <c r="R804" s="24" t="n">
        <v>449.2815039733629</v>
      </c>
      <c r="S804" s="24">
        <f>R804*IF(A804=4, 2.0, 3.0)</f>
        <v/>
      </c>
      <c r="T804" s="22">
        <f>'Dashboard &amp; Optimisation'!$B$18*U804</f>
        <v/>
      </c>
      <c r="U804" s="27">
        <f>MIN(1, S804/M804)</f>
        <v/>
      </c>
      <c r="V804" s="27">
        <f>N804/(N804+O804)</f>
        <v/>
      </c>
      <c r="W804" s="27">
        <f>U804*V804</f>
        <v/>
      </c>
      <c r="X804" s="25">
        <f>T804/N804</f>
        <v/>
      </c>
      <c r="Y804" s="28">
        <f>IF(W804=MAXIFS(W$2:W$3601, A$2:A$3601, A804, B$2:B$3601, B804), "OPTIMAL", "")</f>
        <v/>
      </c>
    </row>
    <row r="805" ht="20" customHeight="1">
      <c r="A805" s="29" t="n">
        <v>4</v>
      </c>
      <c r="B805" s="29" t="n">
        <v>35</v>
      </c>
      <c r="C805" s="30" t="n">
        <v>90</v>
      </c>
      <c r="D805" s="30" t="n">
        <v>2</v>
      </c>
      <c r="E805" s="6" t="n">
        <v>0</v>
      </c>
      <c r="F805" s="30" t="n">
        <v>0</v>
      </c>
      <c r="G805" s="6" t="inlineStr">
        <is>
          <t>Non</t>
        </is>
      </c>
      <c r="H805" s="6" t="inlineStr">
        <is>
          <t>OFF</t>
        </is>
      </c>
      <c r="I805" s="31" t="n">
        <v>856.3651513317755</v>
      </c>
      <c r="J805" s="31" t="n">
        <v>3449.488235315031</v>
      </c>
      <c r="K805" s="31" t="n">
        <v>2287.037037037037</v>
      </c>
      <c r="L805" s="31" t="n">
        <v>150</v>
      </c>
      <c r="M805" s="31">
        <f>I805+J805+K805+L805</f>
        <v/>
      </c>
      <c r="N805" s="31">
        <f>M805*'Dashboard &amp; Optimisation'!$B$18/('Dashboard &amp; Optimisation'!$B$16/3.6)</f>
        <v/>
      </c>
      <c r="O805" s="31" t="n">
        <v>326.2020454258459</v>
      </c>
      <c r="P805" s="32" t="n">
        <v>0.8400197172961312</v>
      </c>
      <c r="Q805" s="33" t="n">
        <v>0.2</v>
      </c>
      <c r="R805" s="31" t="n">
        <v>260.1182928809049</v>
      </c>
      <c r="S805" s="31">
        <f>R805*IF(A805=4, 2.0, 3.0)</f>
        <v/>
      </c>
      <c r="T805" s="30">
        <f>'Dashboard &amp; Optimisation'!$B$18*U805</f>
        <v/>
      </c>
      <c r="U805" s="34">
        <f>MIN(1, S805/M805)</f>
        <v/>
      </c>
      <c r="V805" s="34">
        <f>N805/(N805+O805)</f>
        <v/>
      </c>
      <c r="W805" s="34">
        <f>U805*V805</f>
        <v/>
      </c>
      <c r="X805" s="32">
        <f>T805/N805</f>
        <v/>
      </c>
      <c r="Y805" s="35">
        <f>IF(W805=MAXIFS(W$2:W$3601, A$2:A$3601, A805, B$2:B$3601, B805), "OPTIMAL", "")</f>
        <v/>
      </c>
    </row>
    <row r="806" ht="20" customHeight="1">
      <c r="A806" s="21" t="n">
        <v>4</v>
      </c>
      <c r="B806" s="21" t="n">
        <v>35</v>
      </c>
      <c r="C806" s="22" t="n">
        <v>90</v>
      </c>
      <c r="D806" s="22" t="n">
        <v>2</v>
      </c>
      <c r="E806" s="23" t="n">
        <v>4</v>
      </c>
      <c r="F806" s="22" t="n">
        <v>1.5</v>
      </c>
      <c r="G806" s="23" t="inlineStr">
        <is>
          <t>Oui</t>
        </is>
      </c>
      <c r="H806" s="23" t="inlineStr">
        <is>
          <t>ON</t>
        </is>
      </c>
      <c r="I806" s="24" t="n">
        <v>856.3651513317755</v>
      </c>
      <c r="J806" s="24" t="n">
        <v>3449.488235315031</v>
      </c>
      <c r="K806" s="24" t="n">
        <v>2287.037037037037</v>
      </c>
      <c r="L806" s="24" t="n">
        <v>150</v>
      </c>
      <c r="M806" s="24">
        <f>I806+J806+K806+L806</f>
        <v/>
      </c>
      <c r="N806" s="24">
        <f>M806*'Dashboard &amp; Optimisation'!$B$18/('Dashboard &amp; Optimisation'!$B$16/3.6)</f>
        <v/>
      </c>
      <c r="O806" s="24" t="n">
        <v>519.5267867337201</v>
      </c>
      <c r="P806" s="25" t="n">
        <v>0.07759354469391215</v>
      </c>
      <c r="Q806" s="26" t="n">
        <v>7.477008151491015</v>
      </c>
      <c r="R806" s="24" t="n">
        <v>2919.75950065617</v>
      </c>
      <c r="S806" s="24">
        <f>R806*IF(A806=4, 2.0, 3.0)</f>
        <v/>
      </c>
      <c r="T806" s="22">
        <f>'Dashboard &amp; Optimisation'!$B$18*U806</f>
        <v/>
      </c>
      <c r="U806" s="27">
        <f>MIN(1, S806/M806)</f>
        <v/>
      </c>
      <c r="V806" s="27">
        <f>N806/(N806+O806)</f>
        <v/>
      </c>
      <c r="W806" s="27">
        <f>U806*V806</f>
        <v/>
      </c>
      <c r="X806" s="25">
        <f>T806/N806</f>
        <v/>
      </c>
      <c r="Y806" s="28">
        <f>IF(W806=MAXIFS(W$2:W$3601, A$2:A$3601, A806, B$2:B$3601, B806), "OPTIMAL", "")</f>
        <v/>
      </c>
    </row>
    <row r="807" ht="20" customHeight="1">
      <c r="A807" s="29" t="n">
        <v>4</v>
      </c>
      <c r="B807" s="29" t="n">
        <v>35</v>
      </c>
      <c r="C807" s="30" t="n">
        <v>90</v>
      </c>
      <c r="D807" s="30" t="n">
        <v>2</v>
      </c>
      <c r="E807" s="6" t="n">
        <v>4</v>
      </c>
      <c r="F807" s="30" t="n">
        <v>1.5</v>
      </c>
      <c r="G807" s="6" t="inlineStr">
        <is>
          <t>Oui</t>
        </is>
      </c>
      <c r="H807" s="6" t="inlineStr">
        <is>
          <t>OFF</t>
        </is>
      </c>
      <c r="I807" s="31" t="n">
        <v>856.3651513317755</v>
      </c>
      <c r="J807" s="31" t="n">
        <v>3449.488235315031</v>
      </c>
      <c r="K807" s="31" t="n">
        <v>2287.037037037037</v>
      </c>
      <c r="L807" s="31" t="n">
        <v>150</v>
      </c>
      <c r="M807" s="31">
        <f>I807+J807+K807+L807</f>
        <v/>
      </c>
      <c r="N807" s="31">
        <f>M807*'Dashboard &amp; Optimisation'!$B$18/('Dashboard &amp; Optimisation'!$B$16/3.6)</f>
        <v/>
      </c>
      <c r="O807" s="31" t="n">
        <v>519.5267867337201</v>
      </c>
      <c r="P807" s="32" t="n">
        <v>0.3296507660240217</v>
      </c>
      <c r="Q807" s="33" t="n">
        <v>7.477008151491015</v>
      </c>
      <c r="R807" s="31" t="n">
        <v>687.2560681176458</v>
      </c>
      <c r="S807" s="31">
        <f>R807*IF(A807=4, 2.0, 3.0)</f>
        <v/>
      </c>
      <c r="T807" s="30">
        <f>'Dashboard &amp; Optimisation'!$B$18*U807</f>
        <v/>
      </c>
      <c r="U807" s="34">
        <f>MIN(1, S807/M807)</f>
        <v/>
      </c>
      <c r="V807" s="34">
        <f>N807/(N807+O807)</f>
        <v/>
      </c>
      <c r="W807" s="34">
        <f>U807*V807</f>
        <v/>
      </c>
      <c r="X807" s="32">
        <f>T807/N807</f>
        <v/>
      </c>
      <c r="Y807" s="35">
        <f>IF(W807=MAXIFS(W$2:W$3601, A$2:A$3601, A807, B$2:B$3601, B807), "OPTIMAL", "")</f>
        <v/>
      </c>
    </row>
    <row r="808" ht="20" customHeight="1">
      <c r="A808" s="21" t="n">
        <v>4</v>
      </c>
      <c r="B808" s="21" t="n">
        <v>35</v>
      </c>
      <c r="C808" s="22" t="n">
        <v>90</v>
      </c>
      <c r="D808" s="22" t="n">
        <v>2</v>
      </c>
      <c r="E808" s="23" t="n">
        <v>4</v>
      </c>
      <c r="F808" s="22" t="n">
        <v>1.5</v>
      </c>
      <c r="G808" s="23" t="inlineStr">
        <is>
          <t>Non</t>
        </is>
      </c>
      <c r="H808" s="23" t="inlineStr">
        <is>
          <t>ON</t>
        </is>
      </c>
      <c r="I808" s="24" t="n">
        <v>856.3651513317755</v>
      </c>
      <c r="J808" s="24" t="n">
        <v>3449.488235315031</v>
      </c>
      <c r="K808" s="24" t="n">
        <v>2287.037037037037</v>
      </c>
      <c r="L808" s="24" t="n">
        <v>150</v>
      </c>
      <c r="M808" s="24">
        <f>I808+J808+K808+L808</f>
        <v/>
      </c>
      <c r="N808" s="24">
        <f>M808*'Dashboard &amp; Optimisation'!$B$18/('Dashboard &amp; Optimisation'!$B$16/3.6)</f>
        <v/>
      </c>
      <c r="O808" s="24" t="n">
        <v>519.5267867337201</v>
      </c>
      <c r="P808" s="25" t="n">
        <v>0.07405676818075892</v>
      </c>
      <c r="Q808" s="26" t="n">
        <v>7.477008151491015</v>
      </c>
      <c r="R808" s="24" t="n">
        <v>3059.200325305331</v>
      </c>
      <c r="S808" s="24">
        <f>R808*IF(A808=4, 2.0, 3.0)</f>
        <v/>
      </c>
      <c r="T808" s="22">
        <f>'Dashboard &amp; Optimisation'!$B$18*U808</f>
        <v/>
      </c>
      <c r="U808" s="27">
        <f>MIN(1, S808/M808)</f>
        <v/>
      </c>
      <c r="V808" s="27">
        <f>N808/(N808+O808)</f>
        <v/>
      </c>
      <c r="W808" s="27">
        <f>U808*V808</f>
        <v/>
      </c>
      <c r="X808" s="25">
        <f>T808/N808</f>
        <v/>
      </c>
      <c r="Y808" s="28">
        <f>IF(W808=MAXIFS(W$2:W$3601, A$2:A$3601, A808, B$2:B$3601, B808), "OPTIMAL", "")</f>
        <v/>
      </c>
    </row>
    <row r="809" ht="20" customHeight="1">
      <c r="A809" s="29" t="n">
        <v>4</v>
      </c>
      <c r="B809" s="29" t="n">
        <v>35</v>
      </c>
      <c r="C809" s="30" t="n">
        <v>90</v>
      </c>
      <c r="D809" s="30" t="n">
        <v>2</v>
      </c>
      <c r="E809" s="6" t="n">
        <v>4</v>
      </c>
      <c r="F809" s="30" t="n">
        <v>1.5</v>
      </c>
      <c r="G809" s="6" t="inlineStr">
        <is>
          <t>Non</t>
        </is>
      </c>
      <c r="H809" s="6" t="inlineStr">
        <is>
          <t>OFF</t>
        </is>
      </c>
      <c r="I809" s="31" t="n">
        <v>856.3651513317755</v>
      </c>
      <c r="J809" s="31" t="n">
        <v>3449.488235315031</v>
      </c>
      <c r="K809" s="31" t="n">
        <v>2287.037037037037</v>
      </c>
      <c r="L809" s="31" t="n">
        <v>150</v>
      </c>
      <c r="M809" s="31">
        <f>I809+J809+K809+L809</f>
        <v/>
      </c>
      <c r="N809" s="31">
        <f>M809*'Dashboard &amp; Optimisation'!$B$18/('Dashboard &amp; Optimisation'!$B$16/3.6)</f>
        <v/>
      </c>
      <c r="O809" s="31" t="n">
        <v>519.5267867337201</v>
      </c>
      <c r="P809" s="32" t="n">
        <v>0.3261139895108685</v>
      </c>
      <c r="Q809" s="33" t="n">
        <v>7.477008151491015</v>
      </c>
      <c r="R809" s="31" t="n">
        <v>694.7095083208281</v>
      </c>
      <c r="S809" s="31">
        <f>R809*IF(A809=4, 2.0, 3.0)</f>
        <v/>
      </c>
      <c r="T809" s="30">
        <f>'Dashboard &amp; Optimisation'!$B$18*U809</f>
        <v/>
      </c>
      <c r="U809" s="34">
        <f>MIN(1, S809/M809)</f>
        <v/>
      </c>
      <c r="V809" s="34">
        <f>N809/(N809+O809)</f>
        <v/>
      </c>
      <c r="W809" s="34">
        <f>U809*V809</f>
        <v/>
      </c>
      <c r="X809" s="32">
        <f>T809/N809</f>
        <v/>
      </c>
      <c r="Y809" s="35">
        <f>IF(W809=MAXIFS(W$2:W$3601, A$2:A$3601, A809, B$2:B$3601, B809), "OPTIMAL", "")</f>
        <v/>
      </c>
    </row>
    <row r="810" ht="20" customHeight="1">
      <c r="A810" s="21" t="n">
        <v>4</v>
      </c>
      <c r="B810" s="21" t="n">
        <v>35</v>
      </c>
      <c r="C810" s="22" t="n">
        <v>90</v>
      </c>
      <c r="D810" s="22" t="n">
        <v>2</v>
      </c>
      <c r="E810" s="23" t="n">
        <v>4</v>
      </c>
      <c r="F810" s="22" t="n">
        <v>2</v>
      </c>
      <c r="G810" s="23" t="inlineStr">
        <is>
          <t>Oui</t>
        </is>
      </c>
      <c r="H810" s="23" t="inlineStr">
        <is>
          <t>ON</t>
        </is>
      </c>
      <c r="I810" s="24" t="n">
        <v>856.3651513317755</v>
      </c>
      <c r="J810" s="24" t="n">
        <v>3449.488235315031</v>
      </c>
      <c r="K810" s="24" t="n">
        <v>2287.037037037037</v>
      </c>
      <c r="L810" s="24" t="n">
        <v>150</v>
      </c>
      <c r="M810" s="24">
        <f>I810+J810+K810+L810</f>
        <v/>
      </c>
      <c r="N810" s="24">
        <f>M810*'Dashboard &amp; Optimisation'!$B$18/('Dashboard &amp; Optimisation'!$B$16/3.6)</f>
        <v/>
      </c>
      <c r="O810" s="24" t="n">
        <v>587.1732080508223</v>
      </c>
      <c r="P810" s="25" t="n">
        <v>0.07521841927673642</v>
      </c>
      <c r="Q810" s="26" t="n">
        <v>9.902677535321354</v>
      </c>
      <c r="R810" s="24" t="n">
        <v>3049.402949228898</v>
      </c>
      <c r="S810" s="24">
        <f>R810*IF(A810=4, 2.0, 3.0)</f>
        <v/>
      </c>
      <c r="T810" s="22">
        <f>'Dashboard &amp; Optimisation'!$B$18*U810</f>
        <v/>
      </c>
      <c r="U810" s="27">
        <f>MIN(1, S810/M810)</f>
        <v/>
      </c>
      <c r="V810" s="27">
        <f>N810/(N810+O810)</f>
        <v/>
      </c>
      <c r="W810" s="27">
        <f>U810*V810</f>
        <v/>
      </c>
      <c r="X810" s="25">
        <f>T810/N810</f>
        <v/>
      </c>
      <c r="Y810" s="28">
        <f>IF(W810=MAXIFS(W$2:W$3601, A$2:A$3601, A810, B$2:B$3601, B810), "OPTIMAL", "")</f>
        <v/>
      </c>
    </row>
    <row r="811" ht="20" customHeight="1">
      <c r="A811" s="29" t="n">
        <v>4</v>
      </c>
      <c r="B811" s="29" t="n">
        <v>35</v>
      </c>
      <c r="C811" s="30" t="n">
        <v>90</v>
      </c>
      <c r="D811" s="30" t="n">
        <v>2</v>
      </c>
      <c r="E811" s="6" t="n">
        <v>4</v>
      </c>
      <c r="F811" s="30" t="n">
        <v>2</v>
      </c>
      <c r="G811" s="6" t="inlineStr">
        <is>
          <t>Oui</t>
        </is>
      </c>
      <c r="H811" s="6" t="inlineStr">
        <is>
          <t>OFF</t>
        </is>
      </c>
      <c r="I811" s="31" t="n">
        <v>856.3651513317755</v>
      </c>
      <c r="J811" s="31" t="n">
        <v>3449.488235315031</v>
      </c>
      <c r="K811" s="31" t="n">
        <v>2287.037037037037</v>
      </c>
      <c r="L811" s="31" t="n">
        <v>150</v>
      </c>
      <c r="M811" s="31">
        <f>I811+J811+K811+L811</f>
        <v/>
      </c>
      <c r="N811" s="31">
        <f>M811*'Dashboard &amp; Optimisation'!$B$18/('Dashboard &amp; Optimisation'!$B$16/3.6)</f>
        <v/>
      </c>
      <c r="O811" s="31" t="n">
        <v>587.1732080508223</v>
      </c>
      <c r="P811" s="32" t="n">
        <v>0.328550491855213</v>
      </c>
      <c r="Q811" s="33" t="n">
        <v>9.902677535321354</v>
      </c>
      <c r="R811" s="31" t="n">
        <v>698.1309578434481</v>
      </c>
      <c r="S811" s="31">
        <f>R811*IF(A811=4, 2.0, 3.0)</f>
        <v/>
      </c>
      <c r="T811" s="30">
        <f>'Dashboard &amp; Optimisation'!$B$18*U811</f>
        <v/>
      </c>
      <c r="U811" s="34">
        <f>MIN(1, S811/M811)</f>
        <v/>
      </c>
      <c r="V811" s="34">
        <f>N811/(N811+O811)</f>
        <v/>
      </c>
      <c r="W811" s="34">
        <f>U811*V811</f>
        <v/>
      </c>
      <c r="X811" s="32">
        <f>T811/N811</f>
        <v/>
      </c>
      <c r="Y811" s="35">
        <f>IF(W811=MAXIFS(W$2:W$3601, A$2:A$3601, A811, B$2:B$3601, B811), "OPTIMAL", "")</f>
        <v/>
      </c>
    </row>
    <row r="812" ht="20" customHeight="1">
      <c r="A812" s="21" t="n">
        <v>4</v>
      </c>
      <c r="B812" s="21" t="n">
        <v>35</v>
      </c>
      <c r="C812" s="22" t="n">
        <v>90</v>
      </c>
      <c r="D812" s="22" t="n">
        <v>2</v>
      </c>
      <c r="E812" s="23" t="n">
        <v>4</v>
      </c>
      <c r="F812" s="22" t="n">
        <v>2</v>
      </c>
      <c r="G812" s="23" t="inlineStr">
        <is>
          <t>Non</t>
        </is>
      </c>
      <c r="H812" s="23" t="inlineStr">
        <is>
          <t>ON</t>
        </is>
      </c>
      <c r="I812" s="24" t="n">
        <v>856.3651513317755</v>
      </c>
      <c r="J812" s="24" t="n">
        <v>3449.488235315031</v>
      </c>
      <c r="K812" s="24" t="n">
        <v>2287.037037037037</v>
      </c>
      <c r="L812" s="24" t="n">
        <v>150</v>
      </c>
      <c r="M812" s="24">
        <f>I812+J812+K812+L812</f>
        <v/>
      </c>
      <c r="N812" s="24">
        <f>M812*'Dashboard &amp; Optimisation'!$B$18/('Dashboard &amp; Optimisation'!$B$16/3.6)</f>
        <v/>
      </c>
      <c r="O812" s="24" t="n">
        <v>587.1732080508223</v>
      </c>
      <c r="P812" s="25" t="n">
        <v>0.07168164276358319</v>
      </c>
      <c r="Q812" s="26" t="n">
        <v>9.902677535321354</v>
      </c>
      <c r="R812" s="24" t="n">
        <v>3199.86067193405</v>
      </c>
      <c r="S812" s="24">
        <f>R812*IF(A812=4, 2.0, 3.0)</f>
        <v/>
      </c>
      <c r="T812" s="22">
        <f>'Dashboard &amp; Optimisation'!$B$18*U812</f>
        <v/>
      </c>
      <c r="U812" s="27">
        <f>MIN(1, S812/M812)</f>
        <v/>
      </c>
      <c r="V812" s="27">
        <f>N812/(N812+O812)</f>
        <v/>
      </c>
      <c r="W812" s="27">
        <f>U812*V812</f>
        <v/>
      </c>
      <c r="X812" s="25">
        <f>T812/N812</f>
        <v/>
      </c>
      <c r="Y812" s="28">
        <f>IF(W812=MAXIFS(W$2:W$3601, A$2:A$3601, A812, B$2:B$3601, B812), "OPTIMAL", "")</f>
        <v/>
      </c>
    </row>
    <row r="813" ht="20" customHeight="1">
      <c r="A813" s="29" t="n">
        <v>4</v>
      </c>
      <c r="B813" s="29" t="n">
        <v>35</v>
      </c>
      <c r="C813" s="30" t="n">
        <v>90</v>
      </c>
      <c r="D813" s="30" t="n">
        <v>2</v>
      </c>
      <c r="E813" s="6" t="n">
        <v>4</v>
      </c>
      <c r="F813" s="30" t="n">
        <v>2</v>
      </c>
      <c r="G813" s="6" t="inlineStr">
        <is>
          <t>Non</t>
        </is>
      </c>
      <c r="H813" s="6" t="inlineStr">
        <is>
          <t>OFF</t>
        </is>
      </c>
      <c r="I813" s="31" t="n">
        <v>856.3651513317755</v>
      </c>
      <c r="J813" s="31" t="n">
        <v>3449.488235315031</v>
      </c>
      <c r="K813" s="31" t="n">
        <v>2287.037037037037</v>
      </c>
      <c r="L813" s="31" t="n">
        <v>150</v>
      </c>
      <c r="M813" s="31">
        <f>I813+J813+K813+L813</f>
        <v/>
      </c>
      <c r="N813" s="31">
        <f>M813*'Dashboard &amp; Optimisation'!$B$18/('Dashboard &amp; Optimisation'!$B$16/3.6)</f>
        <v/>
      </c>
      <c r="O813" s="31" t="n">
        <v>587.1732080508223</v>
      </c>
      <c r="P813" s="32" t="n">
        <v>0.3250137153420598</v>
      </c>
      <c r="Q813" s="33" t="n">
        <v>9.902677535321354</v>
      </c>
      <c r="R813" s="31" t="n">
        <v>705.727970087092</v>
      </c>
      <c r="S813" s="31">
        <f>R813*IF(A813=4, 2.0, 3.0)</f>
        <v/>
      </c>
      <c r="T813" s="30">
        <f>'Dashboard &amp; Optimisation'!$B$18*U813</f>
        <v/>
      </c>
      <c r="U813" s="34">
        <f>MIN(1, S813/M813)</f>
        <v/>
      </c>
      <c r="V813" s="34">
        <f>N813/(N813+O813)</f>
        <v/>
      </c>
      <c r="W813" s="34">
        <f>U813*V813</f>
        <v/>
      </c>
      <c r="X813" s="32">
        <f>T813/N813</f>
        <v/>
      </c>
      <c r="Y813" s="35">
        <f>IF(W813=MAXIFS(W$2:W$3601, A$2:A$3601, A813, B$2:B$3601, B813), "OPTIMAL", "")</f>
        <v/>
      </c>
    </row>
    <row r="814" ht="20" customHeight="1">
      <c r="A814" s="21" t="n">
        <v>4</v>
      </c>
      <c r="B814" s="21" t="n">
        <v>35</v>
      </c>
      <c r="C814" s="22" t="n">
        <v>90</v>
      </c>
      <c r="D814" s="22" t="n">
        <v>2</v>
      </c>
      <c r="E814" s="23" t="n">
        <v>8</v>
      </c>
      <c r="F814" s="22" t="n">
        <v>1.5</v>
      </c>
      <c r="G814" s="23" t="inlineStr">
        <is>
          <t>Oui</t>
        </is>
      </c>
      <c r="H814" s="23" t="inlineStr">
        <is>
          <t>ON</t>
        </is>
      </c>
      <c r="I814" s="24" t="n">
        <v>856.3651513317755</v>
      </c>
      <c r="J814" s="24" t="n">
        <v>3449.488235315031</v>
      </c>
      <c r="K814" s="24" t="n">
        <v>2287.037037037037</v>
      </c>
      <c r="L814" s="24" t="n">
        <v>150</v>
      </c>
      <c r="M814" s="24">
        <f>I814+J814+K814+L814</f>
        <v/>
      </c>
      <c r="N814" s="24">
        <f>M814*'Dashboard &amp; Optimisation'!$B$18/('Dashboard &amp; Optimisation'!$B$16/3.6)</f>
        <v/>
      </c>
      <c r="O814" s="24" t="n">
        <v>727.641072514951</v>
      </c>
      <c r="P814" s="25" t="n">
        <v>0.05835644876127537</v>
      </c>
      <c r="Q814" s="26" t="n">
        <v>14.75401630298203</v>
      </c>
      <c r="R814" s="24" t="n">
        <v>4030.751043637569</v>
      </c>
      <c r="S814" s="24">
        <f>R814*IF(A814=4, 2.0, 3.0)</f>
        <v/>
      </c>
      <c r="T814" s="22">
        <f>'Dashboard &amp; Optimisation'!$B$18*U814</f>
        <v/>
      </c>
      <c r="U814" s="27">
        <f>MIN(1, S814/M814)</f>
        <v/>
      </c>
      <c r="V814" s="27">
        <f>N814/(N814+O814)</f>
        <v/>
      </c>
      <c r="W814" s="27">
        <f>U814*V814</f>
        <v/>
      </c>
      <c r="X814" s="25">
        <f>T814/N814</f>
        <v/>
      </c>
      <c r="Y814" s="28">
        <f>IF(W814=MAXIFS(W$2:W$3601, A$2:A$3601, A814, B$2:B$3601, B814), "OPTIMAL", "")</f>
        <v/>
      </c>
    </row>
    <row r="815" ht="20" customHeight="1">
      <c r="A815" s="29" t="n">
        <v>4</v>
      </c>
      <c r="B815" s="29" t="n">
        <v>35</v>
      </c>
      <c r="C815" s="30" t="n">
        <v>90</v>
      </c>
      <c r="D815" s="30" t="n">
        <v>2</v>
      </c>
      <c r="E815" s="6" t="n">
        <v>8</v>
      </c>
      <c r="F815" s="30" t="n">
        <v>1.5</v>
      </c>
      <c r="G815" s="6" t="inlineStr">
        <is>
          <t>Oui</t>
        </is>
      </c>
      <c r="H815" s="6" t="inlineStr">
        <is>
          <t>OFF</t>
        </is>
      </c>
      <c r="I815" s="31" t="n">
        <v>856.3651513317755</v>
      </c>
      <c r="J815" s="31" t="n">
        <v>3449.488235315031</v>
      </c>
      <c r="K815" s="31" t="n">
        <v>2287.037037037037</v>
      </c>
      <c r="L815" s="31" t="n">
        <v>150</v>
      </c>
      <c r="M815" s="31">
        <f>I815+J815+K815+L815</f>
        <v/>
      </c>
      <c r="N815" s="31">
        <f>M815*'Dashboard &amp; Optimisation'!$B$18/('Dashboard &amp; Optimisation'!$B$16/3.6)</f>
        <v/>
      </c>
      <c r="O815" s="31" t="n">
        <v>727.641072514951</v>
      </c>
      <c r="P815" s="32" t="n">
        <v>0.2541545323509655</v>
      </c>
      <c r="Q815" s="33" t="n">
        <v>14.75401630298203</v>
      </c>
      <c r="R815" s="31" t="n">
        <v>925.5011688033721</v>
      </c>
      <c r="S815" s="31">
        <f>R815*IF(A815=4, 2.0, 3.0)</f>
        <v/>
      </c>
      <c r="T815" s="30">
        <f>'Dashboard &amp; Optimisation'!$B$18*U815</f>
        <v/>
      </c>
      <c r="U815" s="34">
        <f>MIN(1, S815/M815)</f>
        <v/>
      </c>
      <c r="V815" s="34">
        <f>N815/(N815+O815)</f>
        <v/>
      </c>
      <c r="W815" s="34">
        <f>U815*V815</f>
        <v/>
      </c>
      <c r="X815" s="32">
        <f>T815/N815</f>
        <v/>
      </c>
      <c r="Y815" s="35">
        <f>IF(W815=MAXIFS(W$2:W$3601, A$2:A$3601, A815, B$2:B$3601, B815), "OPTIMAL", "")</f>
        <v/>
      </c>
    </row>
    <row r="816" ht="20" customHeight="1">
      <c r="A816" s="21" t="n">
        <v>4</v>
      </c>
      <c r="B816" s="21" t="n">
        <v>35</v>
      </c>
      <c r="C816" s="22" t="n">
        <v>90</v>
      </c>
      <c r="D816" s="22" t="n">
        <v>2</v>
      </c>
      <c r="E816" s="23" t="n">
        <v>8</v>
      </c>
      <c r="F816" s="22" t="n">
        <v>1.5</v>
      </c>
      <c r="G816" s="23" t="inlineStr">
        <is>
          <t>Non</t>
        </is>
      </c>
      <c r="H816" s="23" t="inlineStr">
        <is>
          <t>ON</t>
        </is>
      </c>
      <c r="I816" s="24" t="n">
        <v>856.3651513317755</v>
      </c>
      <c r="J816" s="24" t="n">
        <v>3449.488235315031</v>
      </c>
      <c r="K816" s="24" t="n">
        <v>2287.037037037037</v>
      </c>
      <c r="L816" s="24" t="n">
        <v>150</v>
      </c>
      <c r="M816" s="24">
        <f>I816+J816+K816+L816</f>
        <v/>
      </c>
      <c r="N816" s="24">
        <f>M816*'Dashboard &amp; Optimisation'!$B$18/('Dashboard &amp; Optimisation'!$B$16/3.6)</f>
        <v/>
      </c>
      <c r="O816" s="24" t="n">
        <v>727.641072514951</v>
      </c>
      <c r="P816" s="25" t="n">
        <v>0.05481967224812215</v>
      </c>
      <c r="Q816" s="26" t="n">
        <v>14.75401630298203</v>
      </c>
      <c r="R816" s="24" t="n">
        <v>4290.801223379269</v>
      </c>
      <c r="S816" s="24">
        <f>R816*IF(A816=4, 2.0, 3.0)</f>
        <v/>
      </c>
      <c r="T816" s="22">
        <f>'Dashboard &amp; Optimisation'!$B$18*U816</f>
        <v/>
      </c>
      <c r="U816" s="27">
        <f>MIN(1, S816/M816)</f>
        <v/>
      </c>
      <c r="V816" s="27">
        <f>N816/(N816+O816)</f>
        <v/>
      </c>
      <c r="W816" s="27">
        <f>U816*V816</f>
        <v/>
      </c>
      <c r="X816" s="25">
        <f>T816/N816</f>
        <v/>
      </c>
      <c r="Y816" s="28">
        <f>IF(W816=MAXIFS(W$2:W$3601, A$2:A$3601, A816, B$2:B$3601, B816), "OPTIMAL", "")</f>
        <v/>
      </c>
    </row>
    <row r="817" ht="20" customHeight="1">
      <c r="A817" s="29" t="n">
        <v>4</v>
      </c>
      <c r="B817" s="29" t="n">
        <v>35</v>
      </c>
      <c r="C817" s="30" t="n">
        <v>90</v>
      </c>
      <c r="D817" s="30" t="n">
        <v>2</v>
      </c>
      <c r="E817" s="6" t="n">
        <v>8</v>
      </c>
      <c r="F817" s="30" t="n">
        <v>1.5</v>
      </c>
      <c r="G817" s="6" t="inlineStr">
        <is>
          <t>Non</t>
        </is>
      </c>
      <c r="H817" s="6" t="inlineStr">
        <is>
          <t>OFF</t>
        </is>
      </c>
      <c r="I817" s="31" t="n">
        <v>856.3651513317755</v>
      </c>
      <c r="J817" s="31" t="n">
        <v>3449.488235315031</v>
      </c>
      <c r="K817" s="31" t="n">
        <v>2287.037037037037</v>
      </c>
      <c r="L817" s="31" t="n">
        <v>150</v>
      </c>
      <c r="M817" s="31">
        <f>I817+J817+K817+L817</f>
        <v/>
      </c>
      <c r="N817" s="31">
        <f>M817*'Dashboard &amp; Optimisation'!$B$18/('Dashboard &amp; Optimisation'!$B$16/3.6)</f>
        <v/>
      </c>
      <c r="O817" s="31" t="n">
        <v>727.641072514951</v>
      </c>
      <c r="P817" s="32" t="n">
        <v>0.2506177558378123</v>
      </c>
      <c r="Q817" s="33" t="n">
        <v>14.75401630298203</v>
      </c>
      <c r="R817" s="31" t="n">
        <v>938.5620582274958</v>
      </c>
      <c r="S817" s="31">
        <f>R817*IF(A817=4, 2.0, 3.0)</f>
        <v/>
      </c>
      <c r="T817" s="30">
        <f>'Dashboard &amp; Optimisation'!$B$18*U817</f>
        <v/>
      </c>
      <c r="U817" s="34">
        <f>MIN(1, S817/M817)</f>
        <v/>
      </c>
      <c r="V817" s="34">
        <f>N817/(N817+O817)</f>
        <v/>
      </c>
      <c r="W817" s="34">
        <f>U817*V817</f>
        <v/>
      </c>
      <c r="X817" s="32">
        <f>T817/N817</f>
        <v/>
      </c>
      <c r="Y817" s="35">
        <f>IF(W817=MAXIFS(W$2:W$3601, A$2:A$3601, A817, B$2:B$3601, B817), "OPTIMAL", "")</f>
        <v/>
      </c>
    </row>
    <row r="818" ht="20" customHeight="1">
      <c r="A818" s="21" t="n">
        <v>4</v>
      </c>
      <c r="B818" s="21" t="n">
        <v>35</v>
      </c>
      <c r="C818" s="22" t="n">
        <v>90</v>
      </c>
      <c r="D818" s="22" t="n">
        <v>2</v>
      </c>
      <c r="E818" s="23" t="n">
        <v>8</v>
      </c>
      <c r="F818" s="22" t="n">
        <v>2</v>
      </c>
      <c r="G818" s="23" t="inlineStr">
        <is>
          <t>Oui</t>
        </is>
      </c>
      <c r="H818" s="23" t="inlineStr">
        <is>
          <t>ON</t>
        </is>
      </c>
      <c r="I818" s="24" t="n">
        <v>856.3651513317755</v>
      </c>
      <c r="J818" s="24" t="n">
        <v>3449.488235315031</v>
      </c>
      <c r="K818" s="24" t="n">
        <v>2287.037037037037</v>
      </c>
      <c r="L818" s="24" t="n">
        <v>150</v>
      </c>
      <c r="M818" s="24">
        <f>I818+J818+K818+L818</f>
        <v/>
      </c>
      <c r="N818" s="24">
        <f>M818*'Dashboard &amp; Optimisation'!$B$18/('Dashboard &amp; Optimisation'!$B$16/3.6)</f>
        <v/>
      </c>
      <c r="O818" s="24" t="n">
        <v>875.4603596347343</v>
      </c>
      <c r="P818" s="25" t="n">
        <v>0.05730401653259074</v>
      </c>
      <c r="Q818" s="26" t="n">
        <v>19.60535507064271</v>
      </c>
      <c r="R818" s="24" t="n">
        <v>4212.191220520144</v>
      </c>
      <c r="S818" s="24">
        <f>R818*IF(A818=4, 2.0, 3.0)</f>
        <v/>
      </c>
      <c r="T818" s="22">
        <f>'Dashboard &amp; Optimisation'!$B$18*U818</f>
        <v/>
      </c>
      <c r="U818" s="27">
        <f>MIN(1, S818/M818)</f>
        <v/>
      </c>
      <c r="V818" s="27">
        <f>N818/(N818+O818)</f>
        <v/>
      </c>
      <c r="W818" s="27">
        <f>U818*V818</f>
        <v/>
      </c>
      <c r="X818" s="25">
        <f>T818/N818</f>
        <v/>
      </c>
      <c r="Y818" s="28">
        <f>IF(W818=MAXIFS(W$2:W$3601, A$2:A$3601, A818, B$2:B$3601, B818), "OPTIMAL", "")</f>
        <v/>
      </c>
    </row>
    <row r="819" ht="20" customHeight="1">
      <c r="A819" s="29" t="n">
        <v>4</v>
      </c>
      <c r="B819" s="29" t="n">
        <v>35</v>
      </c>
      <c r="C819" s="30" t="n">
        <v>90</v>
      </c>
      <c r="D819" s="30" t="n">
        <v>2</v>
      </c>
      <c r="E819" s="6" t="n">
        <v>8</v>
      </c>
      <c r="F819" s="30" t="n">
        <v>2</v>
      </c>
      <c r="G819" s="6" t="inlineStr">
        <is>
          <t>Oui</t>
        </is>
      </c>
      <c r="H819" s="6" t="inlineStr">
        <is>
          <t>OFF</t>
        </is>
      </c>
      <c r="I819" s="31" t="n">
        <v>856.3651513317755</v>
      </c>
      <c r="J819" s="31" t="n">
        <v>3449.488235315031</v>
      </c>
      <c r="K819" s="31" t="n">
        <v>2287.037037037037</v>
      </c>
      <c r="L819" s="31" t="n">
        <v>150</v>
      </c>
      <c r="M819" s="31">
        <f>I819+J819+K819+L819</f>
        <v/>
      </c>
      <c r="N819" s="31">
        <f>M819*'Dashboard &amp; Optimisation'!$B$18/('Dashboard &amp; Optimisation'!$B$16/3.6)</f>
        <v/>
      </c>
      <c r="O819" s="31" t="n">
        <v>875.4603596347343</v>
      </c>
      <c r="P819" s="32" t="n">
        <v>0.2546454449662799</v>
      </c>
      <c r="Q819" s="33" t="n">
        <v>19.60535507064271</v>
      </c>
      <c r="R819" s="31" t="n">
        <v>947.8884468995029</v>
      </c>
      <c r="S819" s="31">
        <f>R819*IF(A819=4, 2.0, 3.0)</f>
        <v/>
      </c>
      <c r="T819" s="30">
        <f>'Dashboard &amp; Optimisation'!$B$18*U819</f>
        <v/>
      </c>
      <c r="U819" s="34">
        <f>MIN(1, S819/M819)</f>
        <v/>
      </c>
      <c r="V819" s="34">
        <f>N819/(N819+O819)</f>
        <v/>
      </c>
      <c r="W819" s="34">
        <f>U819*V819</f>
        <v/>
      </c>
      <c r="X819" s="32">
        <f>T819/N819</f>
        <v/>
      </c>
      <c r="Y819" s="35">
        <f>IF(W819=MAXIFS(W$2:W$3601, A$2:A$3601, A819, B$2:B$3601, B819), "OPTIMAL", "")</f>
        <v/>
      </c>
    </row>
    <row r="820" ht="20" customHeight="1">
      <c r="A820" s="21" t="n">
        <v>4</v>
      </c>
      <c r="B820" s="21" t="n">
        <v>35</v>
      </c>
      <c r="C820" s="22" t="n">
        <v>90</v>
      </c>
      <c r="D820" s="22" t="n">
        <v>2</v>
      </c>
      <c r="E820" s="23" t="n">
        <v>8</v>
      </c>
      <c r="F820" s="22" t="n">
        <v>2</v>
      </c>
      <c r="G820" s="23" t="inlineStr">
        <is>
          <t>Non</t>
        </is>
      </c>
      <c r="H820" s="23" t="inlineStr">
        <is>
          <t>ON</t>
        </is>
      </c>
      <c r="I820" s="24" t="n">
        <v>856.3651513317755</v>
      </c>
      <c r="J820" s="24" t="n">
        <v>3449.488235315031</v>
      </c>
      <c r="K820" s="24" t="n">
        <v>2287.037037037037</v>
      </c>
      <c r="L820" s="24" t="n">
        <v>150</v>
      </c>
      <c r="M820" s="24">
        <f>I820+J820+K820+L820</f>
        <v/>
      </c>
      <c r="N820" s="24">
        <f>M820*'Dashboard &amp; Optimisation'!$B$18/('Dashboard &amp; Optimisation'!$B$16/3.6)</f>
        <v/>
      </c>
      <c r="O820" s="24" t="n">
        <v>875.4603596347343</v>
      </c>
      <c r="P820" s="25" t="n">
        <v>0.05376724001943751</v>
      </c>
      <c r="Q820" s="26" t="n">
        <v>19.60535507064271</v>
      </c>
      <c r="R820" s="24" t="n">
        <v>4489.266610148852</v>
      </c>
      <c r="S820" s="24">
        <f>R820*IF(A820=4, 2.0, 3.0)</f>
        <v/>
      </c>
      <c r="T820" s="22">
        <f>'Dashboard &amp; Optimisation'!$B$18*U820</f>
        <v/>
      </c>
      <c r="U820" s="27">
        <f>MIN(1, S820/M820)</f>
        <v/>
      </c>
      <c r="V820" s="27">
        <f>N820/(N820+O820)</f>
        <v/>
      </c>
      <c r="W820" s="27">
        <f>U820*V820</f>
        <v/>
      </c>
      <c r="X820" s="25">
        <f>T820/N820</f>
        <v/>
      </c>
      <c r="Y820" s="28">
        <f>IF(W820=MAXIFS(W$2:W$3601, A$2:A$3601, A820, B$2:B$3601, B820), "OPTIMAL", "")</f>
        <v/>
      </c>
    </row>
    <row r="821" ht="20" customHeight="1">
      <c r="A821" s="29" t="n">
        <v>4</v>
      </c>
      <c r="B821" s="29" t="n">
        <v>35</v>
      </c>
      <c r="C821" s="30" t="n">
        <v>90</v>
      </c>
      <c r="D821" s="30" t="n">
        <v>2</v>
      </c>
      <c r="E821" s="6" t="n">
        <v>8</v>
      </c>
      <c r="F821" s="30" t="n">
        <v>2</v>
      </c>
      <c r="G821" s="6" t="inlineStr">
        <is>
          <t>Non</t>
        </is>
      </c>
      <c r="H821" s="6" t="inlineStr">
        <is>
          <t>OFF</t>
        </is>
      </c>
      <c r="I821" s="31" t="n">
        <v>856.3651513317755</v>
      </c>
      <c r="J821" s="31" t="n">
        <v>3449.488235315031</v>
      </c>
      <c r="K821" s="31" t="n">
        <v>2287.037037037037</v>
      </c>
      <c r="L821" s="31" t="n">
        <v>150</v>
      </c>
      <c r="M821" s="31">
        <f>I821+J821+K821+L821</f>
        <v/>
      </c>
      <c r="N821" s="31">
        <f>M821*'Dashboard &amp; Optimisation'!$B$18/('Dashboard &amp; Optimisation'!$B$16/3.6)</f>
        <v/>
      </c>
      <c r="O821" s="31" t="n">
        <v>875.4603596347343</v>
      </c>
      <c r="P821" s="32" t="n">
        <v>0.2511086684531266</v>
      </c>
      <c r="Q821" s="33" t="n">
        <v>19.60535507064271</v>
      </c>
      <c r="R821" s="31" t="n">
        <v>961.2391194060926</v>
      </c>
      <c r="S821" s="31">
        <f>R821*IF(A821=4, 2.0, 3.0)</f>
        <v/>
      </c>
      <c r="T821" s="30">
        <f>'Dashboard &amp; Optimisation'!$B$18*U821</f>
        <v/>
      </c>
      <c r="U821" s="34">
        <f>MIN(1, S821/M821)</f>
        <v/>
      </c>
      <c r="V821" s="34">
        <f>N821/(N821+O821)</f>
        <v/>
      </c>
      <c r="W821" s="34">
        <f>U821*V821</f>
        <v/>
      </c>
      <c r="X821" s="32">
        <f>T821/N821</f>
        <v/>
      </c>
      <c r="Y821" s="35">
        <f>IF(W821=MAXIFS(W$2:W$3601, A$2:A$3601, A821, B$2:B$3601, B821), "OPTIMAL", "")</f>
        <v/>
      </c>
    </row>
    <row r="822" ht="20" customHeight="1">
      <c r="A822" s="21" t="n">
        <v>4</v>
      </c>
      <c r="B822" s="21" t="n">
        <v>35</v>
      </c>
      <c r="C822" s="22" t="n">
        <v>90</v>
      </c>
      <c r="D822" s="22" t="n">
        <v>3</v>
      </c>
      <c r="E822" s="23" t="n">
        <v>0</v>
      </c>
      <c r="F822" s="22" t="n">
        <v>0</v>
      </c>
      <c r="G822" s="23" t="inlineStr">
        <is>
          <t>Oui</t>
        </is>
      </c>
      <c r="H822" s="23" t="inlineStr">
        <is>
          <t>ON</t>
        </is>
      </c>
      <c r="I822" s="24" t="n">
        <v>856.3651513317755</v>
      </c>
      <c r="J822" s="24" t="n">
        <v>3449.488235315031</v>
      </c>
      <c r="K822" s="24" t="n">
        <v>2287.037037037037</v>
      </c>
      <c r="L822" s="24" t="n">
        <v>150</v>
      </c>
      <c r="M822" s="24">
        <f>I822+J822+K822+L822</f>
        <v/>
      </c>
      <c r="N822" s="24">
        <f>M822*'Dashboard &amp; Optimisation'!$B$18/('Dashboard &amp; Optimisation'!$B$16/3.6)</f>
        <v/>
      </c>
      <c r="O822" s="24" t="n">
        <v>507.0524083307999</v>
      </c>
      <c r="P822" s="25" t="n">
        <v>0.4898971107621382</v>
      </c>
      <c r="Q822" s="26" t="n">
        <v>0.2</v>
      </c>
      <c r="R822" s="24" t="n">
        <v>467.5131461778187</v>
      </c>
      <c r="S822" s="24">
        <f>R822*IF(A822=4, 2.0, 3.0)</f>
        <v/>
      </c>
      <c r="T822" s="22">
        <f>'Dashboard &amp; Optimisation'!$B$18*U822</f>
        <v/>
      </c>
      <c r="U822" s="27">
        <f>MIN(1, S822/M822)</f>
        <v/>
      </c>
      <c r="V822" s="27">
        <f>N822/(N822+O822)</f>
        <v/>
      </c>
      <c r="W822" s="27">
        <f>U822*V822</f>
        <v/>
      </c>
      <c r="X822" s="25">
        <f>T822/N822</f>
        <v/>
      </c>
      <c r="Y822" s="28">
        <f>IF(W822=MAXIFS(W$2:W$3601, A$2:A$3601, A822, B$2:B$3601, B822), "OPTIMAL", "")</f>
        <v/>
      </c>
    </row>
    <row r="823" ht="20" customHeight="1">
      <c r="A823" s="29" t="n">
        <v>4</v>
      </c>
      <c r="B823" s="29" t="n">
        <v>35</v>
      </c>
      <c r="C823" s="30" t="n">
        <v>90</v>
      </c>
      <c r="D823" s="30" t="n">
        <v>3</v>
      </c>
      <c r="E823" s="6" t="n">
        <v>0</v>
      </c>
      <c r="F823" s="30" t="n">
        <v>0</v>
      </c>
      <c r="G823" s="6" t="inlineStr">
        <is>
          <t>Oui</t>
        </is>
      </c>
      <c r="H823" s="6" t="inlineStr">
        <is>
          <t>OFF</t>
        </is>
      </c>
      <c r="I823" s="31" t="n">
        <v>856.3651513317755</v>
      </c>
      <c r="J823" s="31" t="n">
        <v>3449.488235315031</v>
      </c>
      <c r="K823" s="31" t="n">
        <v>2287.037037037037</v>
      </c>
      <c r="L823" s="31" t="n">
        <v>150</v>
      </c>
      <c r="M823" s="31">
        <f>I823+J823+K823+L823</f>
        <v/>
      </c>
      <c r="N823" s="31">
        <f>M823*'Dashboard &amp; Optimisation'!$B$18/('Dashboard &amp; Optimisation'!$B$16/3.6)</f>
        <v/>
      </c>
      <c r="O823" s="31" t="n">
        <v>507.0524083307999</v>
      </c>
      <c r="P823" s="32" t="n">
        <v>0.8435747620774612</v>
      </c>
      <c r="Q823" s="33" t="n">
        <v>0.2</v>
      </c>
      <c r="R823" s="31" t="n">
        <v>271.5033093116643</v>
      </c>
      <c r="S823" s="31">
        <f>R823*IF(A823=4, 2.0, 3.0)</f>
        <v/>
      </c>
      <c r="T823" s="30">
        <f>'Dashboard &amp; Optimisation'!$B$18*U823</f>
        <v/>
      </c>
      <c r="U823" s="34">
        <f>MIN(1, S823/M823)</f>
        <v/>
      </c>
      <c r="V823" s="34">
        <f>N823/(N823+O823)</f>
        <v/>
      </c>
      <c r="W823" s="34">
        <f>U823*V823</f>
        <v/>
      </c>
      <c r="X823" s="32">
        <f>T823/N823</f>
        <v/>
      </c>
      <c r="Y823" s="35">
        <f>IF(W823=MAXIFS(W$2:W$3601, A$2:A$3601, A823, B$2:B$3601, B823), "OPTIMAL", "")</f>
        <v/>
      </c>
    </row>
    <row r="824" ht="20" customHeight="1">
      <c r="A824" s="21" t="n">
        <v>4</v>
      </c>
      <c r="B824" s="21" t="n">
        <v>35</v>
      </c>
      <c r="C824" s="22" t="n">
        <v>90</v>
      </c>
      <c r="D824" s="22" t="n">
        <v>3</v>
      </c>
      <c r="E824" s="23" t="n">
        <v>0</v>
      </c>
      <c r="F824" s="22" t="n">
        <v>0</v>
      </c>
      <c r="G824" s="23" t="inlineStr">
        <is>
          <t>Non</t>
        </is>
      </c>
      <c r="H824" s="23" t="inlineStr">
        <is>
          <t>ON</t>
        </is>
      </c>
      <c r="I824" s="24" t="n">
        <v>856.3651513317755</v>
      </c>
      <c r="J824" s="24" t="n">
        <v>3449.488235315031</v>
      </c>
      <c r="K824" s="24" t="n">
        <v>2287.037037037037</v>
      </c>
      <c r="L824" s="24" t="n">
        <v>150</v>
      </c>
      <c r="M824" s="24">
        <f>I824+J824+K824+L824</f>
        <v/>
      </c>
      <c r="N824" s="24">
        <f>M824*'Dashboard &amp; Optimisation'!$B$18/('Dashboard &amp; Optimisation'!$B$16/3.6)</f>
        <v/>
      </c>
      <c r="O824" s="24" t="n">
        <v>507.0524083307999</v>
      </c>
      <c r="P824" s="25" t="n">
        <v>0.486360334248985</v>
      </c>
      <c r="Q824" s="26" t="n">
        <v>0.2</v>
      </c>
      <c r="R824" s="24" t="n">
        <v>470.9128673280751</v>
      </c>
      <c r="S824" s="24">
        <f>R824*IF(A824=4, 2.0, 3.0)</f>
        <v/>
      </c>
      <c r="T824" s="22">
        <f>'Dashboard &amp; Optimisation'!$B$18*U824</f>
        <v/>
      </c>
      <c r="U824" s="27">
        <f>MIN(1, S824/M824)</f>
        <v/>
      </c>
      <c r="V824" s="27">
        <f>N824/(N824+O824)</f>
        <v/>
      </c>
      <c r="W824" s="27">
        <f>U824*V824</f>
        <v/>
      </c>
      <c r="X824" s="25">
        <f>T824/N824</f>
        <v/>
      </c>
      <c r="Y824" s="28">
        <f>IF(W824=MAXIFS(W$2:W$3601, A$2:A$3601, A824, B$2:B$3601, B824), "OPTIMAL", "")</f>
        <v/>
      </c>
    </row>
    <row r="825" ht="20" customHeight="1">
      <c r="A825" s="29" t="n">
        <v>4</v>
      </c>
      <c r="B825" s="29" t="n">
        <v>35</v>
      </c>
      <c r="C825" s="30" t="n">
        <v>90</v>
      </c>
      <c r="D825" s="30" t="n">
        <v>3</v>
      </c>
      <c r="E825" s="6" t="n">
        <v>0</v>
      </c>
      <c r="F825" s="30" t="n">
        <v>0</v>
      </c>
      <c r="G825" s="6" t="inlineStr">
        <is>
          <t>Non</t>
        </is>
      </c>
      <c r="H825" s="6" t="inlineStr">
        <is>
          <t>OFF</t>
        </is>
      </c>
      <c r="I825" s="31" t="n">
        <v>856.3651513317755</v>
      </c>
      <c r="J825" s="31" t="n">
        <v>3449.488235315031</v>
      </c>
      <c r="K825" s="31" t="n">
        <v>2287.037037037037</v>
      </c>
      <c r="L825" s="31" t="n">
        <v>150</v>
      </c>
      <c r="M825" s="31">
        <f>I825+J825+K825+L825</f>
        <v/>
      </c>
      <c r="N825" s="31">
        <f>M825*'Dashboard &amp; Optimisation'!$B$18/('Dashboard &amp; Optimisation'!$B$16/3.6)</f>
        <v/>
      </c>
      <c r="O825" s="31" t="n">
        <v>507.0524083307999</v>
      </c>
      <c r="P825" s="32" t="n">
        <v>0.840037985564308</v>
      </c>
      <c r="Q825" s="33" t="n">
        <v>0.2</v>
      </c>
      <c r="R825" s="31" t="n">
        <v>272.6464082478056</v>
      </c>
      <c r="S825" s="31">
        <f>R825*IF(A825=4, 2.0, 3.0)</f>
        <v/>
      </c>
      <c r="T825" s="30">
        <f>'Dashboard &amp; Optimisation'!$B$18*U825</f>
        <v/>
      </c>
      <c r="U825" s="34">
        <f>MIN(1, S825/M825)</f>
        <v/>
      </c>
      <c r="V825" s="34">
        <f>N825/(N825+O825)</f>
        <v/>
      </c>
      <c r="W825" s="34">
        <f>U825*V825</f>
        <v/>
      </c>
      <c r="X825" s="32">
        <f>T825/N825</f>
        <v/>
      </c>
      <c r="Y825" s="35">
        <f>IF(W825=MAXIFS(W$2:W$3601, A$2:A$3601, A825, B$2:B$3601, B825), "OPTIMAL", "")</f>
        <v/>
      </c>
    </row>
    <row r="826" ht="20" customHeight="1">
      <c r="A826" s="21" t="n">
        <v>4</v>
      </c>
      <c r="B826" s="21" t="n">
        <v>35</v>
      </c>
      <c r="C826" s="22" t="n">
        <v>90</v>
      </c>
      <c r="D826" s="22" t="n">
        <v>3</v>
      </c>
      <c r="E826" s="23" t="n">
        <v>4</v>
      </c>
      <c r="F826" s="22" t="n">
        <v>1.5</v>
      </c>
      <c r="G826" s="23" t="inlineStr">
        <is>
          <t>Oui</t>
        </is>
      </c>
      <c r="H826" s="23" t="inlineStr">
        <is>
          <t>ON</t>
        </is>
      </c>
      <c r="I826" s="24" t="n">
        <v>856.3651513317755</v>
      </c>
      <c r="J826" s="24" t="n">
        <v>3449.488235315031</v>
      </c>
      <c r="K826" s="24" t="n">
        <v>2287.037037037037</v>
      </c>
      <c r="L826" s="24" t="n">
        <v>150</v>
      </c>
      <c r="M826" s="24">
        <f>I826+J826+K826+L826</f>
        <v/>
      </c>
      <c r="N826" s="24">
        <f>M826*'Dashboard &amp; Optimisation'!$B$18/('Dashboard &amp; Optimisation'!$B$16/3.6)</f>
        <v/>
      </c>
      <c r="O826" s="24" t="n">
        <v>713.3244485475284</v>
      </c>
      <c r="P826" s="25" t="n">
        <v>0.07737077298591719</v>
      </c>
      <c r="Q826" s="26" t="n">
        <v>7.65027025033604</v>
      </c>
      <c r="R826" s="24" t="n">
        <v>3071.957380669028</v>
      </c>
      <c r="S826" s="24">
        <f>R826*IF(A826=4, 2.0, 3.0)</f>
        <v/>
      </c>
      <c r="T826" s="22">
        <f>'Dashboard &amp; Optimisation'!$B$18*U826</f>
        <v/>
      </c>
      <c r="U826" s="27">
        <f>MIN(1, S826/M826)</f>
        <v/>
      </c>
      <c r="V826" s="27">
        <f>N826/(N826+O826)</f>
        <v/>
      </c>
      <c r="W826" s="27">
        <f>U826*V826</f>
        <v/>
      </c>
      <c r="X826" s="25">
        <f>T826/N826</f>
        <v/>
      </c>
      <c r="Y826" s="28">
        <f>IF(W826=MAXIFS(W$2:W$3601, A$2:A$3601, A826, B$2:B$3601, B826), "OPTIMAL", "")</f>
        <v/>
      </c>
    </row>
    <row r="827" ht="20" customHeight="1">
      <c r="A827" s="29" t="n">
        <v>4</v>
      </c>
      <c r="B827" s="29" t="n">
        <v>35</v>
      </c>
      <c r="C827" s="30" t="n">
        <v>90</v>
      </c>
      <c r="D827" s="30" t="n">
        <v>3</v>
      </c>
      <c r="E827" s="6" t="n">
        <v>4</v>
      </c>
      <c r="F827" s="30" t="n">
        <v>1.5</v>
      </c>
      <c r="G827" s="6" t="inlineStr">
        <is>
          <t>Oui</t>
        </is>
      </c>
      <c r="H827" s="6" t="inlineStr">
        <is>
          <t>OFF</t>
        </is>
      </c>
      <c r="I827" s="31" t="n">
        <v>856.3651513317755</v>
      </c>
      <c r="J827" s="31" t="n">
        <v>3449.488235315031</v>
      </c>
      <c r="K827" s="31" t="n">
        <v>2287.037037037037</v>
      </c>
      <c r="L827" s="31" t="n">
        <v>150</v>
      </c>
      <c r="M827" s="31">
        <f>I827+J827+K827+L827</f>
        <v/>
      </c>
      <c r="N827" s="31">
        <f>M827*'Dashboard &amp; Optimisation'!$B$18/('Dashboard &amp; Optimisation'!$B$16/3.6)</f>
        <v/>
      </c>
      <c r="O827" s="31" t="n">
        <v>713.3244485475284</v>
      </c>
      <c r="P827" s="32" t="n">
        <v>0.3294279943160268</v>
      </c>
      <c r="Q827" s="33" t="n">
        <v>7.65027025033604</v>
      </c>
      <c r="R827" s="31" t="n">
        <v>721.4921658848012</v>
      </c>
      <c r="S827" s="31">
        <f>R827*IF(A827=4, 2.0, 3.0)</f>
        <v/>
      </c>
      <c r="T827" s="30">
        <f>'Dashboard &amp; Optimisation'!$B$18*U827</f>
        <v/>
      </c>
      <c r="U827" s="34">
        <f>MIN(1, S827/M827)</f>
        <v/>
      </c>
      <c r="V827" s="34">
        <f>N827/(N827+O827)</f>
        <v/>
      </c>
      <c r="W827" s="34">
        <f>U827*V827</f>
        <v/>
      </c>
      <c r="X827" s="32">
        <f>T827/N827</f>
        <v/>
      </c>
      <c r="Y827" s="35">
        <f>IF(W827=MAXIFS(W$2:W$3601, A$2:A$3601, A827, B$2:B$3601, B827), "OPTIMAL", "")</f>
        <v/>
      </c>
    </row>
    <row r="828" ht="20" customHeight="1">
      <c r="A828" s="21" t="n">
        <v>4</v>
      </c>
      <c r="B828" s="21" t="n">
        <v>35</v>
      </c>
      <c r="C828" s="22" t="n">
        <v>90</v>
      </c>
      <c r="D828" s="22" t="n">
        <v>3</v>
      </c>
      <c r="E828" s="23" t="n">
        <v>4</v>
      </c>
      <c r="F828" s="22" t="n">
        <v>1.5</v>
      </c>
      <c r="G828" s="23" t="inlineStr">
        <is>
          <t>Non</t>
        </is>
      </c>
      <c r="H828" s="23" t="inlineStr">
        <is>
          <t>ON</t>
        </is>
      </c>
      <c r="I828" s="24" t="n">
        <v>856.3651513317755</v>
      </c>
      <c r="J828" s="24" t="n">
        <v>3449.488235315031</v>
      </c>
      <c r="K828" s="24" t="n">
        <v>2287.037037037037</v>
      </c>
      <c r="L828" s="24" t="n">
        <v>150</v>
      </c>
      <c r="M828" s="24">
        <f>I828+J828+K828+L828</f>
        <v/>
      </c>
      <c r="N828" s="24">
        <f>M828*'Dashboard &amp; Optimisation'!$B$18/('Dashboard &amp; Optimisation'!$B$16/3.6)</f>
        <v/>
      </c>
      <c r="O828" s="24" t="n">
        <v>713.3244485475284</v>
      </c>
      <c r="P828" s="25" t="n">
        <v>0.07383399647276395</v>
      </c>
      <c r="Q828" s="26" t="n">
        <v>7.65027025033604</v>
      </c>
      <c r="R828" s="24" t="n">
        <v>3219.109468222162</v>
      </c>
      <c r="S828" s="24">
        <f>R828*IF(A828=4, 2.0, 3.0)</f>
        <v/>
      </c>
      <c r="T828" s="22">
        <f>'Dashboard &amp; Optimisation'!$B$18*U828</f>
        <v/>
      </c>
      <c r="U828" s="27">
        <f>MIN(1, S828/M828)</f>
        <v/>
      </c>
      <c r="V828" s="27">
        <f>N828/(N828+O828)</f>
        <v/>
      </c>
      <c r="W828" s="27">
        <f>U828*V828</f>
        <v/>
      </c>
      <c r="X828" s="25">
        <f>T828/N828</f>
        <v/>
      </c>
      <c r="Y828" s="28">
        <f>IF(W828=MAXIFS(W$2:W$3601, A$2:A$3601, A828, B$2:B$3601, B828), "OPTIMAL", "")</f>
        <v/>
      </c>
    </row>
    <row r="829" ht="20" customHeight="1">
      <c r="A829" s="29" t="n">
        <v>4</v>
      </c>
      <c r="B829" s="29" t="n">
        <v>35</v>
      </c>
      <c r="C829" s="30" t="n">
        <v>90</v>
      </c>
      <c r="D829" s="30" t="n">
        <v>3</v>
      </c>
      <c r="E829" s="6" t="n">
        <v>4</v>
      </c>
      <c r="F829" s="30" t="n">
        <v>1.5</v>
      </c>
      <c r="G829" s="6" t="inlineStr">
        <is>
          <t>Non</t>
        </is>
      </c>
      <c r="H829" s="6" t="inlineStr">
        <is>
          <t>OFF</t>
        </is>
      </c>
      <c r="I829" s="31" t="n">
        <v>856.3651513317755</v>
      </c>
      <c r="J829" s="31" t="n">
        <v>3449.488235315031</v>
      </c>
      <c r="K829" s="31" t="n">
        <v>2287.037037037037</v>
      </c>
      <c r="L829" s="31" t="n">
        <v>150</v>
      </c>
      <c r="M829" s="31">
        <f>I829+J829+K829+L829</f>
        <v/>
      </c>
      <c r="N829" s="31">
        <f>M829*'Dashboard &amp; Optimisation'!$B$18/('Dashboard &amp; Optimisation'!$B$16/3.6)</f>
        <v/>
      </c>
      <c r="O829" s="31" t="n">
        <v>713.3244485475284</v>
      </c>
      <c r="P829" s="32" t="n">
        <v>0.3258912178028736</v>
      </c>
      <c r="Q829" s="33" t="n">
        <v>7.65027025033604</v>
      </c>
      <c r="R829" s="31" t="n">
        <v>729.3222527583571</v>
      </c>
      <c r="S829" s="31">
        <f>R829*IF(A829=4, 2.0, 3.0)</f>
        <v/>
      </c>
      <c r="T829" s="30">
        <f>'Dashboard &amp; Optimisation'!$B$18*U829</f>
        <v/>
      </c>
      <c r="U829" s="34">
        <f>MIN(1, S829/M829)</f>
        <v/>
      </c>
      <c r="V829" s="34">
        <f>N829/(N829+O829)</f>
        <v/>
      </c>
      <c r="W829" s="34">
        <f>U829*V829</f>
        <v/>
      </c>
      <c r="X829" s="32">
        <f>T829/N829</f>
        <v/>
      </c>
      <c r="Y829" s="35">
        <f>IF(W829=MAXIFS(W$2:W$3601, A$2:A$3601, A829, B$2:B$3601, B829), "OPTIMAL", "")</f>
        <v/>
      </c>
    </row>
    <row r="830" ht="20" customHeight="1">
      <c r="A830" s="21" t="n">
        <v>4</v>
      </c>
      <c r="B830" s="21" t="n">
        <v>35</v>
      </c>
      <c r="C830" s="22" t="n">
        <v>90</v>
      </c>
      <c r="D830" s="22" t="n">
        <v>3</v>
      </c>
      <c r="E830" s="23" t="n">
        <v>4</v>
      </c>
      <c r="F830" s="22" t="n">
        <v>2</v>
      </c>
      <c r="G830" s="23" t="inlineStr">
        <is>
          <t>Oui</t>
        </is>
      </c>
      <c r="H830" s="23" t="inlineStr">
        <is>
          <t>ON</t>
        </is>
      </c>
      <c r="I830" s="24" t="n">
        <v>856.3651513317755</v>
      </c>
      <c r="J830" s="24" t="n">
        <v>3449.488235315031</v>
      </c>
      <c r="K830" s="24" t="n">
        <v>2287.037037037037</v>
      </c>
      <c r="L830" s="24" t="n">
        <v>150</v>
      </c>
      <c r="M830" s="24">
        <f>I830+J830+K830+L830</f>
        <v/>
      </c>
      <c r="N830" s="24">
        <f>M830*'Dashboard &amp; Optimisation'!$B$18/('Dashboard &amp; Optimisation'!$B$16/3.6)</f>
        <v/>
      </c>
      <c r="O830" s="24" t="n">
        <v>785.5868364232116</v>
      </c>
      <c r="P830" s="25" t="n">
        <v>0.07505349321204312</v>
      </c>
      <c r="Q830" s="26" t="n">
        <v>10.13369366711472</v>
      </c>
      <c r="R830" s="24" t="n">
        <v>3207.162714439909</v>
      </c>
      <c r="S830" s="24">
        <f>R830*IF(A830=4, 2.0, 3.0)</f>
        <v/>
      </c>
      <c r="T830" s="22">
        <f>'Dashboard &amp; Optimisation'!$B$18*U830</f>
        <v/>
      </c>
      <c r="U830" s="27">
        <f>MIN(1, S830/M830)</f>
        <v/>
      </c>
      <c r="V830" s="27">
        <f>N830/(N830+O830)</f>
        <v/>
      </c>
      <c r="W830" s="27">
        <f>U830*V830</f>
        <v/>
      </c>
      <c r="X830" s="25">
        <f>T830/N830</f>
        <v/>
      </c>
      <c r="Y830" s="28">
        <f>IF(W830=MAXIFS(W$2:W$3601, A$2:A$3601, A830, B$2:B$3601, B830), "OPTIMAL", "")</f>
        <v/>
      </c>
    </row>
    <row r="831" ht="20" customHeight="1">
      <c r="A831" s="29" t="n">
        <v>4</v>
      </c>
      <c r="B831" s="29" t="n">
        <v>35</v>
      </c>
      <c r="C831" s="30" t="n">
        <v>90</v>
      </c>
      <c r="D831" s="30" t="n">
        <v>3</v>
      </c>
      <c r="E831" s="6" t="n">
        <v>4</v>
      </c>
      <c r="F831" s="30" t="n">
        <v>2</v>
      </c>
      <c r="G831" s="6" t="inlineStr">
        <is>
          <t>Oui</t>
        </is>
      </c>
      <c r="H831" s="6" t="inlineStr">
        <is>
          <t>OFF</t>
        </is>
      </c>
      <c r="I831" s="31" t="n">
        <v>856.3651513317755</v>
      </c>
      <c r="J831" s="31" t="n">
        <v>3449.488235315031</v>
      </c>
      <c r="K831" s="31" t="n">
        <v>2287.037037037037</v>
      </c>
      <c r="L831" s="31" t="n">
        <v>150</v>
      </c>
      <c r="M831" s="31">
        <f>I831+J831+K831+L831</f>
        <v/>
      </c>
      <c r="N831" s="31">
        <f>M831*'Dashboard &amp; Optimisation'!$B$18/('Dashboard &amp; Optimisation'!$B$16/3.6)</f>
        <v/>
      </c>
      <c r="O831" s="31" t="n">
        <v>785.5868364232116</v>
      </c>
      <c r="P831" s="32" t="n">
        <v>0.3283855657905198</v>
      </c>
      <c r="Q831" s="33" t="n">
        <v>10.13369366711472</v>
      </c>
      <c r="R831" s="31" t="n">
        <v>733.0065328501188</v>
      </c>
      <c r="S831" s="31">
        <f>R831*IF(A831=4, 2.0, 3.0)</f>
        <v/>
      </c>
      <c r="T831" s="30">
        <f>'Dashboard &amp; Optimisation'!$B$18*U831</f>
        <v/>
      </c>
      <c r="U831" s="34">
        <f>MIN(1, S831/M831)</f>
        <v/>
      </c>
      <c r="V831" s="34">
        <f>N831/(N831+O831)</f>
        <v/>
      </c>
      <c r="W831" s="34">
        <f>U831*V831</f>
        <v/>
      </c>
      <c r="X831" s="32">
        <f>T831/N831</f>
        <v/>
      </c>
      <c r="Y831" s="35">
        <f>IF(W831=MAXIFS(W$2:W$3601, A$2:A$3601, A831, B$2:B$3601, B831), "OPTIMAL", "")</f>
        <v/>
      </c>
    </row>
    <row r="832" ht="20" customHeight="1">
      <c r="A832" s="21" t="n">
        <v>4</v>
      </c>
      <c r="B832" s="21" t="n">
        <v>35</v>
      </c>
      <c r="C832" s="22" t="n">
        <v>90</v>
      </c>
      <c r="D832" s="22" t="n">
        <v>3</v>
      </c>
      <c r="E832" s="23" t="n">
        <v>4</v>
      </c>
      <c r="F832" s="22" t="n">
        <v>2</v>
      </c>
      <c r="G832" s="23" t="inlineStr">
        <is>
          <t>Non</t>
        </is>
      </c>
      <c r="H832" s="23" t="inlineStr">
        <is>
          <t>ON</t>
        </is>
      </c>
      <c r="I832" s="24" t="n">
        <v>856.3651513317755</v>
      </c>
      <c r="J832" s="24" t="n">
        <v>3449.488235315031</v>
      </c>
      <c r="K832" s="24" t="n">
        <v>2287.037037037037</v>
      </c>
      <c r="L832" s="24" t="n">
        <v>150</v>
      </c>
      <c r="M832" s="24">
        <f>I832+J832+K832+L832</f>
        <v/>
      </c>
      <c r="N832" s="24">
        <f>M832*'Dashboard &amp; Optimisation'!$B$18/('Dashboard &amp; Optimisation'!$B$16/3.6)</f>
        <v/>
      </c>
      <c r="O832" s="24" t="n">
        <v>785.5868364232116</v>
      </c>
      <c r="P832" s="25" t="n">
        <v>0.07151671669888988</v>
      </c>
      <c r="Q832" s="26" t="n">
        <v>10.13369366711472</v>
      </c>
      <c r="R832" s="24" t="n">
        <v>3365.769237304344</v>
      </c>
      <c r="S832" s="24">
        <f>R832*IF(A832=4, 2.0, 3.0)</f>
        <v/>
      </c>
      <c r="T832" s="22">
        <f>'Dashboard &amp; Optimisation'!$B$18*U832</f>
        <v/>
      </c>
      <c r="U832" s="27">
        <f>MIN(1, S832/M832)</f>
        <v/>
      </c>
      <c r="V832" s="27">
        <f>N832/(N832+O832)</f>
        <v/>
      </c>
      <c r="W832" s="27">
        <f>U832*V832</f>
        <v/>
      </c>
      <c r="X832" s="25">
        <f>T832/N832</f>
        <v/>
      </c>
      <c r="Y832" s="28">
        <f>IF(W832=MAXIFS(W$2:W$3601, A$2:A$3601, A832, B$2:B$3601, B832), "OPTIMAL", "")</f>
        <v/>
      </c>
    </row>
    <row r="833" ht="20" customHeight="1">
      <c r="A833" s="29" t="n">
        <v>4</v>
      </c>
      <c r="B833" s="29" t="n">
        <v>35</v>
      </c>
      <c r="C833" s="30" t="n">
        <v>90</v>
      </c>
      <c r="D833" s="30" t="n">
        <v>3</v>
      </c>
      <c r="E833" s="6" t="n">
        <v>4</v>
      </c>
      <c r="F833" s="30" t="n">
        <v>2</v>
      </c>
      <c r="G833" s="6" t="inlineStr">
        <is>
          <t>Non</t>
        </is>
      </c>
      <c r="H833" s="6" t="inlineStr">
        <is>
          <t>OFF</t>
        </is>
      </c>
      <c r="I833" s="31" t="n">
        <v>856.3651513317755</v>
      </c>
      <c r="J833" s="31" t="n">
        <v>3449.488235315031</v>
      </c>
      <c r="K833" s="31" t="n">
        <v>2287.037037037037</v>
      </c>
      <c r="L833" s="31" t="n">
        <v>150</v>
      </c>
      <c r="M833" s="31">
        <f>I833+J833+K833+L833</f>
        <v/>
      </c>
      <c r="N833" s="31">
        <f>M833*'Dashboard &amp; Optimisation'!$B$18/('Dashboard &amp; Optimisation'!$B$16/3.6)</f>
        <v/>
      </c>
      <c r="O833" s="31" t="n">
        <v>785.5868364232116</v>
      </c>
      <c r="P833" s="32" t="n">
        <v>0.3248487892773665</v>
      </c>
      <c r="Q833" s="33" t="n">
        <v>10.13369366711472</v>
      </c>
      <c r="R833" s="31" t="n">
        <v>740.9871083515366</v>
      </c>
      <c r="S833" s="31">
        <f>R833*IF(A833=4, 2.0, 3.0)</f>
        <v/>
      </c>
      <c r="T833" s="30">
        <f>'Dashboard &amp; Optimisation'!$B$18*U833</f>
        <v/>
      </c>
      <c r="U833" s="34">
        <f>MIN(1, S833/M833)</f>
        <v/>
      </c>
      <c r="V833" s="34">
        <f>N833/(N833+O833)</f>
        <v/>
      </c>
      <c r="W833" s="34">
        <f>U833*V833</f>
        <v/>
      </c>
      <c r="X833" s="32">
        <f>T833/N833</f>
        <v/>
      </c>
      <c r="Y833" s="35">
        <f>IF(W833=MAXIFS(W$2:W$3601, A$2:A$3601, A833, B$2:B$3601, B833), "OPTIMAL", "")</f>
        <v/>
      </c>
    </row>
    <row r="834" ht="20" customHeight="1">
      <c r="A834" s="21" t="n">
        <v>4</v>
      </c>
      <c r="B834" s="21" t="n">
        <v>35</v>
      </c>
      <c r="C834" s="22" t="n">
        <v>90</v>
      </c>
      <c r="D834" s="22" t="n">
        <v>3</v>
      </c>
      <c r="E834" s="23" t="n">
        <v>8</v>
      </c>
      <c r="F834" s="22" t="n">
        <v>1.5</v>
      </c>
      <c r="G834" s="23" t="inlineStr">
        <is>
          <t>Oui</t>
        </is>
      </c>
      <c r="H834" s="23" t="inlineStr">
        <is>
          <t>ON</t>
        </is>
      </c>
      <c r="I834" s="24" t="n">
        <v>856.3651513317755</v>
      </c>
      <c r="J834" s="24" t="n">
        <v>3449.488235315031</v>
      </c>
      <c r="K834" s="24" t="n">
        <v>2287.037037037037</v>
      </c>
      <c r="L834" s="24" t="n">
        <v>150</v>
      </c>
      <c r="M834" s="24">
        <f>I834+J834+K834+L834</f>
        <v/>
      </c>
      <c r="N834" s="24">
        <f>M834*'Dashboard &amp; Optimisation'!$B$18/('Dashboard &amp; Optimisation'!$B$16/3.6)</f>
        <v/>
      </c>
      <c r="O834" s="24" t="n">
        <v>935.7817106575109</v>
      </c>
      <c r="P834" s="25" t="n">
        <v>0.05825094544482953</v>
      </c>
      <c r="Q834" s="26" t="n">
        <v>15.10054050067208</v>
      </c>
      <c r="R834" s="24" t="n">
        <v>4240.352400011395</v>
      </c>
      <c r="S834" s="24">
        <f>R834*IF(A834=4, 2.0, 3.0)</f>
        <v/>
      </c>
      <c r="T834" s="22">
        <f>'Dashboard &amp; Optimisation'!$B$18*U834</f>
        <v/>
      </c>
      <c r="U834" s="27">
        <f>MIN(1, S834/M834)</f>
        <v/>
      </c>
      <c r="V834" s="27">
        <f>N834/(N834+O834)</f>
        <v/>
      </c>
      <c r="W834" s="27">
        <f>U834*V834</f>
        <v/>
      </c>
      <c r="X834" s="25">
        <f>T834/N834</f>
        <v/>
      </c>
      <c r="Y834" s="28">
        <f>IF(W834=MAXIFS(W$2:W$3601, A$2:A$3601, A834, B$2:B$3601, B834), "OPTIMAL", "")</f>
        <v/>
      </c>
    </row>
    <row r="835" ht="20" customHeight="1">
      <c r="A835" s="29" t="n">
        <v>4</v>
      </c>
      <c r="B835" s="29" t="n">
        <v>35</v>
      </c>
      <c r="C835" s="30" t="n">
        <v>90</v>
      </c>
      <c r="D835" s="30" t="n">
        <v>3</v>
      </c>
      <c r="E835" s="6" t="n">
        <v>8</v>
      </c>
      <c r="F835" s="30" t="n">
        <v>1.5</v>
      </c>
      <c r="G835" s="6" t="inlineStr">
        <is>
          <t>Oui</t>
        </is>
      </c>
      <c r="H835" s="6" t="inlineStr">
        <is>
          <t>OFF</t>
        </is>
      </c>
      <c r="I835" s="31" t="n">
        <v>856.3651513317755</v>
      </c>
      <c r="J835" s="31" t="n">
        <v>3449.488235315031</v>
      </c>
      <c r="K835" s="31" t="n">
        <v>2287.037037037037</v>
      </c>
      <c r="L835" s="31" t="n">
        <v>150</v>
      </c>
      <c r="M835" s="31">
        <f>I835+J835+K835+L835</f>
        <v/>
      </c>
      <c r="N835" s="31">
        <f>M835*'Dashboard &amp; Optimisation'!$B$18/('Dashboard &amp; Optimisation'!$B$16/3.6)</f>
        <v/>
      </c>
      <c r="O835" s="31" t="n">
        <v>935.7817106575109</v>
      </c>
      <c r="P835" s="32" t="n">
        <v>0.2540490290345196</v>
      </c>
      <c r="Q835" s="33" t="n">
        <v>15.10054050067208</v>
      </c>
      <c r="R835" s="31" t="n">
        <v>972.2711291541809</v>
      </c>
      <c r="S835" s="31">
        <f>R835*IF(A835=4, 2.0, 3.0)</f>
        <v/>
      </c>
      <c r="T835" s="30">
        <f>'Dashboard &amp; Optimisation'!$B$18*U835</f>
        <v/>
      </c>
      <c r="U835" s="34">
        <f>MIN(1, S835/M835)</f>
        <v/>
      </c>
      <c r="V835" s="34">
        <f>N835/(N835+O835)</f>
        <v/>
      </c>
      <c r="W835" s="34">
        <f>U835*V835</f>
        <v/>
      </c>
      <c r="X835" s="32">
        <f>T835/N835</f>
        <v/>
      </c>
      <c r="Y835" s="35">
        <f>IF(W835=MAXIFS(W$2:W$3601, A$2:A$3601, A835, B$2:B$3601, B835), "OPTIMAL", "")</f>
        <v/>
      </c>
    </row>
    <row r="836" ht="20" customHeight="1">
      <c r="A836" s="21" t="n">
        <v>4</v>
      </c>
      <c r="B836" s="21" t="n">
        <v>35</v>
      </c>
      <c r="C836" s="22" t="n">
        <v>90</v>
      </c>
      <c r="D836" s="22" t="n">
        <v>3</v>
      </c>
      <c r="E836" s="23" t="n">
        <v>8</v>
      </c>
      <c r="F836" s="22" t="n">
        <v>1.5</v>
      </c>
      <c r="G836" s="23" t="inlineStr">
        <is>
          <t>Non</t>
        </is>
      </c>
      <c r="H836" s="23" t="inlineStr">
        <is>
          <t>ON</t>
        </is>
      </c>
      <c r="I836" s="24" t="n">
        <v>856.3651513317755</v>
      </c>
      <c r="J836" s="24" t="n">
        <v>3449.488235315031</v>
      </c>
      <c r="K836" s="24" t="n">
        <v>2287.037037037037</v>
      </c>
      <c r="L836" s="24" t="n">
        <v>150</v>
      </c>
      <c r="M836" s="24">
        <f>I836+J836+K836+L836</f>
        <v/>
      </c>
      <c r="N836" s="24">
        <f>M836*'Dashboard &amp; Optimisation'!$B$18/('Dashboard &amp; Optimisation'!$B$16/3.6)</f>
        <v/>
      </c>
      <c r="O836" s="24" t="n">
        <v>935.7817106575109</v>
      </c>
      <c r="P836" s="25" t="n">
        <v>0.0547141689316763</v>
      </c>
      <c r="Q836" s="26" t="n">
        <v>15.10054050067208</v>
      </c>
      <c r="R836" s="24" t="n">
        <v>4514.452858241525</v>
      </c>
      <c r="S836" s="24">
        <f>R836*IF(A836=4, 2.0, 3.0)</f>
        <v/>
      </c>
      <c r="T836" s="22">
        <f>'Dashboard &amp; Optimisation'!$B$18*U836</f>
        <v/>
      </c>
      <c r="U836" s="27">
        <f>MIN(1, S836/M836)</f>
        <v/>
      </c>
      <c r="V836" s="27">
        <f>N836/(N836+O836)</f>
        <v/>
      </c>
      <c r="W836" s="27">
        <f>U836*V836</f>
        <v/>
      </c>
      <c r="X836" s="25">
        <f>T836/N836</f>
        <v/>
      </c>
      <c r="Y836" s="28">
        <f>IF(W836=MAXIFS(W$2:W$3601, A$2:A$3601, A836, B$2:B$3601, B836), "OPTIMAL", "")</f>
        <v/>
      </c>
    </row>
    <row r="837" ht="20" customHeight="1">
      <c r="A837" s="29" t="n">
        <v>4</v>
      </c>
      <c r="B837" s="29" t="n">
        <v>35</v>
      </c>
      <c r="C837" s="30" t="n">
        <v>90</v>
      </c>
      <c r="D837" s="30" t="n">
        <v>3</v>
      </c>
      <c r="E837" s="6" t="n">
        <v>8</v>
      </c>
      <c r="F837" s="30" t="n">
        <v>1.5</v>
      </c>
      <c r="G837" s="6" t="inlineStr">
        <is>
          <t>Non</t>
        </is>
      </c>
      <c r="H837" s="6" t="inlineStr">
        <is>
          <t>OFF</t>
        </is>
      </c>
      <c r="I837" s="31" t="n">
        <v>856.3651513317755</v>
      </c>
      <c r="J837" s="31" t="n">
        <v>3449.488235315031</v>
      </c>
      <c r="K837" s="31" t="n">
        <v>2287.037037037037</v>
      </c>
      <c r="L837" s="31" t="n">
        <v>150</v>
      </c>
      <c r="M837" s="31">
        <f>I837+J837+K837+L837</f>
        <v/>
      </c>
      <c r="N837" s="31">
        <f>M837*'Dashboard &amp; Optimisation'!$B$18/('Dashboard &amp; Optimisation'!$B$16/3.6)</f>
        <v/>
      </c>
      <c r="O837" s="31" t="n">
        <v>935.7817106575109</v>
      </c>
      <c r="P837" s="32" t="n">
        <v>0.2505122525213664</v>
      </c>
      <c r="Q837" s="33" t="n">
        <v>15.10054050067208</v>
      </c>
      <c r="R837" s="31" t="n">
        <v>985.9978257903711</v>
      </c>
      <c r="S837" s="31">
        <f>R837*IF(A837=4, 2.0, 3.0)</f>
        <v/>
      </c>
      <c r="T837" s="30">
        <f>'Dashboard &amp; Optimisation'!$B$18*U837</f>
        <v/>
      </c>
      <c r="U837" s="34">
        <f>MIN(1, S837/M837)</f>
        <v/>
      </c>
      <c r="V837" s="34">
        <f>N837/(N837+O837)</f>
        <v/>
      </c>
      <c r="W837" s="34">
        <f>U837*V837</f>
        <v/>
      </c>
      <c r="X837" s="32">
        <f>T837/N837</f>
        <v/>
      </c>
      <c r="Y837" s="35">
        <f>IF(W837=MAXIFS(W$2:W$3601, A$2:A$3601, A837, B$2:B$3601, B837), "OPTIMAL", "")</f>
        <v/>
      </c>
    </row>
    <row r="838" ht="20" customHeight="1">
      <c r="A838" s="21" t="n">
        <v>4</v>
      </c>
      <c r="B838" s="21" t="n">
        <v>35</v>
      </c>
      <c r="C838" s="22" t="n">
        <v>90</v>
      </c>
      <c r="D838" s="22" t="n">
        <v>3</v>
      </c>
      <c r="E838" s="23" t="n">
        <v>8</v>
      </c>
      <c r="F838" s="22" t="n">
        <v>2</v>
      </c>
      <c r="G838" s="23" t="inlineStr">
        <is>
          <t>Oui</t>
        </is>
      </c>
      <c r="H838" s="23" t="inlineStr">
        <is>
          <t>ON</t>
        </is>
      </c>
      <c r="I838" s="24" t="n">
        <v>856.3651513317755</v>
      </c>
      <c r="J838" s="24" t="n">
        <v>3449.488235315031</v>
      </c>
      <c r="K838" s="24" t="n">
        <v>2287.037037037037</v>
      </c>
      <c r="L838" s="24" t="n">
        <v>150</v>
      </c>
      <c r="M838" s="24">
        <f>I838+J838+K838+L838</f>
        <v/>
      </c>
      <c r="N838" s="24">
        <f>M838*'Dashboard &amp; Optimisation'!$B$18/('Dashboard &amp; Optimisation'!$B$16/3.6)</f>
        <v/>
      </c>
      <c r="O838" s="24" t="n">
        <v>1094.044333730198</v>
      </c>
      <c r="P838" s="25" t="n">
        <v>0.05722883101616391</v>
      </c>
      <c r="Q838" s="26" t="n">
        <v>20.06738733422944</v>
      </c>
      <c r="R838" s="24" t="n">
        <v>4432.005368274114</v>
      </c>
      <c r="S838" s="24">
        <f>R838*IF(A838=4, 2.0, 3.0)</f>
        <v/>
      </c>
      <c r="T838" s="22">
        <f>'Dashboard &amp; Optimisation'!$B$18*U838</f>
        <v/>
      </c>
      <c r="U838" s="27">
        <f>MIN(1, S838/M838)</f>
        <v/>
      </c>
      <c r="V838" s="27">
        <f>N838/(N838+O838)</f>
        <v/>
      </c>
      <c r="W838" s="27">
        <f>U838*V838</f>
        <v/>
      </c>
      <c r="X838" s="25">
        <f>T838/N838</f>
        <v/>
      </c>
      <c r="Y838" s="28">
        <f>IF(W838=MAXIFS(W$2:W$3601, A$2:A$3601, A838, B$2:B$3601, B838), "OPTIMAL", "")</f>
        <v/>
      </c>
    </row>
    <row r="839" ht="20" customHeight="1">
      <c r="A839" s="29" t="n">
        <v>4</v>
      </c>
      <c r="B839" s="29" t="n">
        <v>35</v>
      </c>
      <c r="C839" s="30" t="n">
        <v>90</v>
      </c>
      <c r="D839" s="30" t="n">
        <v>3</v>
      </c>
      <c r="E839" s="6" t="n">
        <v>8</v>
      </c>
      <c r="F839" s="30" t="n">
        <v>2</v>
      </c>
      <c r="G839" s="6" t="inlineStr">
        <is>
          <t>Oui</t>
        </is>
      </c>
      <c r="H839" s="6" t="inlineStr">
        <is>
          <t>OFF</t>
        </is>
      </c>
      <c r="I839" s="31" t="n">
        <v>856.3651513317755</v>
      </c>
      <c r="J839" s="31" t="n">
        <v>3449.488235315031</v>
      </c>
      <c r="K839" s="31" t="n">
        <v>2287.037037037037</v>
      </c>
      <c r="L839" s="31" t="n">
        <v>150</v>
      </c>
      <c r="M839" s="31">
        <f>I839+J839+K839+L839</f>
        <v/>
      </c>
      <c r="N839" s="31">
        <f>M839*'Dashboard &amp; Optimisation'!$B$18/('Dashboard &amp; Optimisation'!$B$16/3.6)</f>
        <v/>
      </c>
      <c r="O839" s="31" t="n">
        <v>1094.044333730198</v>
      </c>
      <c r="P839" s="32" t="n">
        <v>0.2545702594498531</v>
      </c>
      <c r="Q839" s="33" t="n">
        <v>20.06738733422944</v>
      </c>
      <c r="R839" s="31" t="n">
        <v>996.3398192382089</v>
      </c>
      <c r="S839" s="31">
        <f>R839*IF(A839=4, 2.0, 3.0)</f>
        <v/>
      </c>
      <c r="T839" s="30">
        <f>'Dashboard &amp; Optimisation'!$B$18*U839</f>
        <v/>
      </c>
      <c r="U839" s="34">
        <f>MIN(1, S839/M839)</f>
        <v/>
      </c>
      <c r="V839" s="34">
        <f>N839/(N839+O839)</f>
        <v/>
      </c>
      <c r="W839" s="34">
        <f>U839*V839</f>
        <v/>
      </c>
      <c r="X839" s="32">
        <f>T839/N839</f>
        <v/>
      </c>
      <c r="Y839" s="35">
        <f>IF(W839=MAXIFS(W$2:W$3601, A$2:A$3601, A839, B$2:B$3601, B839), "OPTIMAL", "")</f>
        <v/>
      </c>
    </row>
    <row r="840" ht="20" customHeight="1">
      <c r="A840" s="21" t="n">
        <v>4</v>
      </c>
      <c r="B840" s="21" t="n">
        <v>35</v>
      </c>
      <c r="C840" s="22" t="n">
        <v>90</v>
      </c>
      <c r="D840" s="22" t="n">
        <v>3</v>
      </c>
      <c r="E840" s="23" t="n">
        <v>8</v>
      </c>
      <c r="F840" s="22" t="n">
        <v>2</v>
      </c>
      <c r="G840" s="23" t="inlineStr">
        <is>
          <t>Non</t>
        </is>
      </c>
      <c r="H840" s="23" t="inlineStr">
        <is>
          <t>ON</t>
        </is>
      </c>
      <c r="I840" s="24" t="n">
        <v>856.3651513317755</v>
      </c>
      <c r="J840" s="24" t="n">
        <v>3449.488235315031</v>
      </c>
      <c r="K840" s="24" t="n">
        <v>2287.037037037037</v>
      </c>
      <c r="L840" s="24" t="n">
        <v>150</v>
      </c>
      <c r="M840" s="24">
        <f>I840+J840+K840+L840</f>
        <v/>
      </c>
      <c r="N840" s="24">
        <f>M840*'Dashboard &amp; Optimisation'!$B$18/('Dashboard &amp; Optimisation'!$B$16/3.6)</f>
        <v/>
      </c>
      <c r="O840" s="24" t="n">
        <v>1094.044333730198</v>
      </c>
      <c r="P840" s="25" t="n">
        <v>0.05369205450301068</v>
      </c>
      <c r="Q840" s="26" t="n">
        <v>20.06738733422944</v>
      </c>
      <c r="R840" s="24" t="n">
        <v>4723.948238364919</v>
      </c>
      <c r="S840" s="24">
        <f>R840*IF(A840=4, 2.0, 3.0)</f>
        <v/>
      </c>
      <c r="T840" s="22">
        <f>'Dashboard &amp; Optimisation'!$B$18*U840</f>
        <v/>
      </c>
      <c r="U840" s="27">
        <f>MIN(1, S840/M840)</f>
        <v/>
      </c>
      <c r="V840" s="27">
        <f>N840/(N840+O840)</f>
        <v/>
      </c>
      <c r="W840" s="27">
        <f>U840*V840</f>
        <v/>
      </c>
      <c r="X840" s="25">
        <f>T840/N840</f>
        <v/>
      </c>
      <c r="Y840" s="28">
        <f>IF(W840=MAXIFS(W$2:W$3601, A$2:A$3601, A840, B$2:B$3601, B840), "OPTIMAL", "")</f>
        <v/>
      </c>
    </row>
    <row r="841" ht="20" customHeight="1">
      <c r="A841" s="29" t="n">
        <v>4</v>
      </c>
      <c r="B841" s="29" t="n">
        <v>35</v>
      </c>
      <c r="C841" s="30" t="n">
        <v>90</v>
      </c>
      <c r="D841" s="30" t="n">
        <v>3</v>
      </c>
      <c r="E841" s="6" t="n">
        <v>8</v>
      </c>
      <c r="F841" s="30" t="n">
        <v>2</v>
      </c>
      <c r="G841" s="6" t="inlineStr">
        <is>
          <t>Non</t>
        </is>
      </c>
      <c r="H841" s="6" t="inlineStr">
        <is>
          <t>OFF</t>
        </is>
      </c>
      <c r="I841" s="31" t="n">
        <v>856.3651513317755</v>
      </c>
      <c r="J841" s="31" t="n">
        <v>3449.488235315031</v>
      </c>
      <c r="K841" s="31" t="n">
        <v>2287.037037037037</v>
      </c>
      <c r="L841" s="31" t="n">
        <v>150</v>
      </c>
      <c r="M841" s="31">
        <f>I841+J841+K841+L841</f>
        <v/>
      </c>
      <c r="N841" s="31">
        <f>M841*'Dashboard &amp; Optimisation'!$B$18/('Dashboard &amp; Optimisation'!$B$16/3.6)</f>
        <v/>
      </c>
      <c r="O841" s="31" t="n">
        <v>1094.044333730198</v>
      </c>
      <c r="P841" s="32" t="n">
        <v>0.2510334829366998</v>
      </c>
      <c r="Q841" s="33" t="n">
        <v>20.06738733422944</v>
      </c>
      <c r="R841" s="31" t="n">
        <v>1010.377115102401</v>
      </c>
      <c r="S841" s="31">
        <f>R841*IF(A841=4, 2.0, 3.0)</f>
        <v/>
      </c>
      <c r="T841" s="30">
        <f>'Dashboard &amp; Optimisation'!$B$18*U841</f>
        <v/>
      </c>
      <c r="U841" s="34">
        <f>MIN(1, S841/M841)</f>
        <v/>
      </c>
      <c r="V841" s="34">
        <f>N841/(N841+O841)</f>
        <v/>
      </c>
      <c r="W841" s="34">
        <f>U841*V841</f>
        <v/>
      </c>
      <c r="X841" s="32">
        <f>T841/N841</f>
        <v/>
      </c>
      <c r="Y841" s="35">
        <f>IF(W841=MAXIFS(W$2:W$3601, A$2:A$3601, A841, B$2:B$3601, B841), "OPTIMAL", "")</f>
        <v/>
      </c>
    </row>
    <row r="842" ht="20" customHeight="1">
      <c r="A842" s="21" t="n">
        <v>4</v>
      </c>
      <c r="B842" s="21" t="n">
        <v>35</v>
      </c>
      <c r="C842" s="22" t="n">
        <v>95</v>
      </c>
      <c r="D842" s="22" t="n">
        <v>2</v>
      </c>
      <c r="E842" s="23" t="n">
        <v>0</v>
      </c>
      <c r="F842" s="22" t="n">
        <v>0</v>
      </c>
      <c r="G842" s="23" t="inlineStr">
        <is>
          <t>Oui</t>
        </is>
      </c>
      <c r="H842" s="23" t="inlineStr">
        <is>
          <t>ON</t>
        </is>
      </c>
      <c r="I842" s="24" t="n">
        <v>856.3651513317755</v>
      </c>
      <c r="J842" s="24" t="n">
        <v>3449.488235315031</v>
      </c>
      <c r="K842" s="24" t="n">
        <v>2287.037037037037</v>
      </c>
      <c r="L842" s="24" t="n">
        <v>150</v>
      </c>
      <c r="M842" s="24">
        <f>I842+J842+K842+L842</f>
        <v/>
      </c>
      <c r="N842" s="24">
        <f>M842*'Dashboard &amp; Optimisation'!$B$18/('Dashboard &amp; Optimisation'!$B$16/3.6)</f>
        <v/>
      </c>
      <c r="O842" s="24" t="n">
        <v>307.8938925101936</v>
      </c>
      <c r="P842" s="25" t="n">
        <v>0.4850371448496216</v>
      </c>
      <c r="Q842" s="26" t="n">
        <v>0.2</v>
      </c>
      <c r="R842" s="24" t="n">
        <v>402.3458205132043</v>
      </c>
      <c r="S842" s="24">
        <f>R842*IF(A842=4, 2.0, 3.0)</f>
        <v/>
      </c>
      <c r="T842" s="22">
        <f>'Dashboard &amp; Optimisation'!$B$18*U842</f>
        <v/>
      </c>
      <c r="U842" s="27">
        <f>MIN(1, S842/M842)</f>
        <v/>
      </c>
      <c r="V842" s="27">
        <f>N842/(N842+O842)</f>
        <v/>
      </c>
      <c r="W842" s="27">
        <f>U842*V842</f>
        <v/>
      </c>
      <c r="X842" s="25">
        <f>T842/N842</f>
        <v/>
      </c>
      <c r="Y842" s="28">
        <f>IF(W842=MAXIFS(W$2:W$3601, A$2:A$3601, A842, B$2:B$3601, B842), "OPTIMAL", "")</f>
        <v/>
      </c>
    </row>
    <row r="843" ht="20" customHeight="1">
      <c r="A843" s="29" t="n">
        <v>4</v>
      </c>
      <c r="B843" s="29" t="n">
        <v>35</v>
      </c>
      <c r="C843" s="30" t="n">
        <v>95</v>
      </c>
      <c r="D843" s="30" t="n">
        <v>2</v>
      </c>
      <c r="E843" s="6" t="n">
        <v>0</v>
      </c>
      <c r="F843" s="30" t="n">
        <v>0</v>
      </c>
      <c r="G843" s="6" t="inlineStr">
        <is>
          <t>Oui</t>
        </is>
      </c>
      <c r="H843" s="6" t="inlineStr">
        <is>
          <t>OFF</t>
        </is>
      </c>
      <c r="I843" s="31" t="n">
        <v>856.3651513317755</v>
      </c>
      <c r="J843" s="31" t="n">
        <v>3449.488235315031</v>
      </c>
      <c r="K843" s="31" t="n">
        <v>2287.037037037037</v>
      </c>
      <c r="L843" s="31" t="n">
        <v>150</v>
      </c>
      <c r="M843" s="31">
        <f>I843+J843+K843+L843</f>
        <v/>
      </c>
      <c r="N843" s="31">
        <f>M843*'Dashboard &amp; Optimisation'!$B$18/('Dashboard &amp; Optimisation'!$B$16/3.6)</f>
        <v/>
      </c>
      <c r="O843" s="31" t="n">
        <v>307.8938925101936</v>
      </c>
      <c r="P843" s="32" t="n">
        <v>0.8201001829378223</v>
      </c>
      <c r="Q843" s="33" t="n">
        <v>0.2</v>
      </c>
      <c r="R843" s="31" t="n">
        <v>237.9619857232721</v>
      </c>
      <c r="S843" s="31">
        <f>R843*IF(A843=4, 2.0, 3.0)</f>
        <v/>
      </c>
      <c r="T843" s="30">
        <f>'Dashboard &amp; Optimisation'!$B$18*U843</f>
        <v/>
      </c>
      <c r="U843" s="34">
        <f>MIN(1, S843/M843)</f>
        <v/>
      </c>
      <c r="V843" s="34">
        <f>N843/(N843+O843)</f>
        <v/>
      </c>
      <c r="W843" s="34">
        <f>U843*V843</f>
        <v/>
      </c>
      <c r="X843" s="32">
        <f>T843/N843</f>
        <v/>
      </c>
      <c r="Y843" s="35">
        <f>IF(W843=MAXIFS(W$2:W$3601, A$2:A$3601, A843, B$2:B$3601, B843), "OPTIMAL", "")</f>
        <v/>
      </c>
    </row>
    <row r="844" ht="20" customHeight="1">
      <c r="A844" s="21" t="n">
        <v>4</v>
      </c>
      <c r="B844" s="21" t="n">
        <v>35</v>
      </c>
      <c r="C844" s="22" t="n">
        <v>95</v>
      </c>
      <c r="D844" s="22" t="n">
        <v>2</v>
      </c>
      <c r="E844" s="23" t="n">
        <v>0</v>
      </c>
      <c r="F844" s="22" t="n">
        <v>0</v>
      </c>
      <c r="G844" s="23" t="inlineStr">
        <is>
          <t>Non</t>
        </is>
      </c>
      <c r="H844" s="23" t="inlineStr">
        <is>
          <t>ON</t>
        </is>
      </c>
      <c r="I844" s="24" t="n">
        <v>856.3651513317755</v>
      </c>
      <c r="J844" s="24" t="n">
        <v>3449.488235315031</v>
      </c>
      <c r="K844" s="24" t="n">
        <v>2287.037037037037</v>
      </c>
      <c r="L844" s="24" t="n">
        <v>150</v>
      </c>
      <c r="M844" s="24">
        <f>I844+J844+K844+L844</f>
        <v/>
      </c>
      <c r="N844" s="24">
        <f>M844*'Dashboard &amp; Optimisation'!$B$18/('Dashboard &amp; Optimisation'!$B$16/3.6)</f>
        <v/>
      </c>
      <c r="O844" s="24" t="n">
        <v>307.8938925101936</v>
      </c>
      <c r="P844" s="25" t="n">
        <v>0.4816865144687396</v>
      </c>
      <c r="Q844" s="26" t="n">
        <v>0.2</v>
      </c>
      <c r="R844" s="24" t="n">
        <v>405.1445538996253</v>
      </c>
      <c r="S844" s="24">
        <f>R844*IF(A844=4, 2.0, 3.0)</f>
        <v/>
      </c>
      <c r="T844" s="22">
        <f>'Dashboard &amp; Optimisation'!$B$18*U844</f>
        <v/>
      </c>
      <c r="U844" s="27">
        <f>MIN(1, S844/M844)</f>
        <v/>
      </c>
      <c r="V844" s="27">
        <f>N844/(N844+O844)</f>
        <v/>
      </c>
      <c r="W844" s="27">
        <f>U844*V844</f>
        <v/>
      </c>
      <c r="X844" s="25">
        <f>T844/N844</f>
        <v/>
      </c>
      <c r="Y844" s="28">
        <f>IF(W844=MAXIFS(W$2:W$3601, A$2:A$3601, A844, B$2:B$3601, B844), "OPTIMAL", "")</f>
        <v/>
      </c>
    </row>
    <row r="845" ht="20" customHeight="1">
      <c r="A845" s="29" t="n">
        <v>4</v>
      </c>
      <c r="B845" s="29" t="n">
        <v>35</v>
      </c>
      <c r="C845" s="30" t="n">
        <v>95</v>
      </c>
      <c r="D845" s="30" t="n">
        <v>2</v>
      </c>
      <c r="E845" s="6" t="n">
        <v>0</v>
      </c>
      <c r="F845" s="30" t="n">
        <v>0</v>
      </c>
      <c r="G845" s="6" t="inlineStr">
        <is>
          <t>Non</t>
        </is>
      </c>
      <c r="H845" s="6" t="inlineStr">
        <is>
          <t>OFF</t>
        </is>
      </c>
      <c r="I845" s="31" t="n">
        <v>856.3651513317755</v>
      </c>
      <c r="J845" s="31" t="n">
        <v>3449.488235315031</v>
      </c>
      <c r="K845" s="31" t="n">
        <v>2287.037037037037</v>
      </c>
      <c r="L845" s="31" t="n">
        <v>150</v>
      </c>
      <c r="M845" s="31">
        <f>I845+J845+K845+L845</f>
        <v/>
      </c>
      <c r="N845" s="31">
        <f>M845*'Dashboard &amp; Optimisation'!$B$18/('Dashboard &amp; Optimisation'!$B$16/3.6)</f>
        <v/>
      </c>
      <c r="O845" s="31" t="n">
        <v>307.8938925101936</v>
      </c>
      <c r="P845" s="32" t="n">
        <v>0.8167495525569404</v>
      </c>
      <c r="Q845" s="33" t="n">
        <v>0.2</v>
      </c>
      <c r="R845" s="31" t="n">
        <v>238.9382001042451</v>
      </c>
      <c r="S845" s="31">
        <f>R845*IF(A845=4, 2.0, 3.0)</f>
        <v/>
      </c>
      <c r="T845" s="30">
        <f>'Dashboard &amp; Optimisation'!$B$18*U845</f>
        <v/>
      </c>
      <c r="U845" s="34">
        <f>MIN(1, S845/M845)</f>
        <v/>
      </c>
      <c r="V845" s="34">
        <f>N845/(N845+O845)</f>
        <v/>
      </c>
      <c r="W845" s="34">
        <f>U845*V845</f>
        <v/>
      </c>
      <c r="X845" s="32">
        <f>T845/N845</f>
        <v/>
      </c>
      <c r="Y845" s="35">
        <f>IF(W845=MAXIFS(W$2:W$3601, A$2:A$3601, A845, B$2:B$3601, B845), "OPTIMAL", "")</f>
        <v/>
      </c>
    </row>
    <row r="846" ht="20" customHeight="1">
      <c r="A846" s="21" t="n">
        <v>4</v>
      </c>
      <c r="B846" s="21" t="n">
        <v>35</v>
      </c>
      <c r="C846" s="22" t="n">
        <v>95</v>
      </c>
      <c r="D846" s="22" t="n">
        <v>2</v>
      </c>
      <c r="E846" s="23" t="n">
        <v>4</v>
      </c>
      <c r="F846" s="22" t="n">
        <v>1.5</v>
      </c>
      <c r="G846" s="23" t="inlineStr">
        <is>
          <t>Oui</t>
        </is>
      </c>
      <c r="H846" s="23" t="inlineStr">
        <is>
          <t>ON</t>
        </is>
      </c>
      <c r="I846" s="24" t="n">
        <v>856.3651513317755</v>
      </c>
      <c r="J846" s="24" t="n">
        <v>3449.488235315031</v>
      </c>
      <c r="K846" s="24" t="n">
        <v>2287.037037037037</v>
      </c>
      <c r="L846" s="24" t="n">
        <v>150</v>
      </c>
      <c r="M846" s="24">
        <f>I846+J846+K846+L846</f>
        <v/>
      </c>
      <c r="N846" s="24">
        <f>M846*'Dashboard &amp; Optimisation'!$B$18/('Dashboard &amp; Optimisation'!$B$16/3.6)</f>
        <v/>
      </c>
      <c r="O846" s="24" t="n">
        <v>486.7382596396907</v>
      </c>
      <c r="P846" s="25" t="n">
        <v>0.07557959322797822</v>
      </c>
      <c r="Q846" s="26" t="n">
        <v>7.077172538771729</v>
      </c>
      <c r="R846" s="24" t="n">
        <v>2671.800388639992</v>
      </c>
      <c r="S846" s="24">
        <f>R846*IF(A846=4, 2.0, 3.0)</f>
        <v/>
      </c>
      <c r="T846" s="22">
        <f>'Dashboard &amp; Optimisation'!$B$18*U846</f>
        <v/>
      </c>
      <c r="U846" s="27">
        <f>MIN(1, S846/M846)</f>
        <v/>
      </c>
      <c r="V846" s="27">
        <f>N846/(N846+O846)</f>
        <v/>
      </c>
      <c r="W846" s="27">
        <f>U846*V846</f>
        <v/>
      </c>
      <c r="X846" s="25">
        <f>T846/N846</f>
        <v/>
      </c>
      <c r="Y846" s="28">
        <f>IF(W846=MAXIFS(W$2:W$3601, A$2:A$3601, A846, B$2:B$3601, B846), "OPTIMAL", "")</f>
        <v/>
      </c>
    </row>
    <row r="847" ht="20" customHeight="1">
      <c r="A847" s="29" t="n">
        <v>4</v>
      </c>
      <c r="B847" s="29" t="n">
        <v>35</v>
      </c>
      <c r="C847" s="30" t="n">
        <v>95</v>
      </c>
      <c r="D847" s="30" t="n">
        <v>2</v>
      </c>
      <c r="E847" s="6" t="n">
        <v>4</v>
      </c>
      <c r="F847" s="30" t="n">
        <v>1.5</v>
      </c>
      <c r="G847" s="6" t="inlineStr">
        <is>
          <t>Oui</t>
        </is>
      </c>
      <c r="H847" s="6" t="inlineStr">
        <is>
          <t>OFF</t>
        </is>
      </c>
      <c r="I847" s="31" t="n">
        <v>856.3651513317755</v>
      </c>
      <c r="J847" s="31" t="n">
        <v>3449.488235315031</v>
      </c>
      <c r="K847" s="31" t="n">
        <v>2287.037037037037</v>
      </c>
      <c r="L847" s="31" t="n">
        <v>150</v>
      </c>
      <c r="M847" s="31">
        <f>I847+J847+K847+L847</f>
        <v/>
      </c>
      <c r="N847" s="31">
        <f>M847*'Dashboard &amp; Optimisation'!$B$18/('Dashboard &amp; Optimisation'!$B$16/3.6)</f>
        <v/>
      </c>
      <c r="O847" s="31" t="n">
        <v>486.7382596396907</v>
      </c>
      <c r="P847" s="32" t="n">
        <v>0.3180372372232345</v>
      </c>
      <c r="Q847" s="33" t="n">
        <v>7.077172538771729</v>
      </c>
      <c r="R847" s="31" t="n">
        <v>634.9369285270984</v>
      </c>
      <c r="S847" s="31">
        <f>R847*IF(A847=4, 2.0, 3.0)</f>
        <v/>
      </c>
      <c r="T847" s="30">
        <f>'Dashboard &amp; Optimisation'!$B$18*U847</f>
        <v/>
      </c>
      <c r="U847" s="34">
        <f>MIN(1, S847/M847)</f>
        <v/>
      </c>
      <c r="V847" s="34">
        <f>N847/(N847+O847)</f>
        <v/>
      </c>
      <c r="W847" s="34">
        <f>U847*V847</f>
        <v/>
      </c>
      <c r="X847" s="32">
        <f>T847/N847</f>
        <v/>
      </c>
      <c r="Y847" s="35">
        <f>IF(W847=MAXIFS(W$2:W$3601, A$2:A$3601, A847, B$2:B$3601, B847), "OPTIMAL", "")</f>
        <v/>
      </c>
    </row>
    <row r="848" ht="20" customHeight="1">
      <c r="A848" s="21" t="n">
        <v>4</v>
      </c>
      <c r="B848" s="21" t="n">
        <v>35</v>
      </c>
      <c r="C848" s="22" t="n">
        <v>95</v>
      </c>
      <c r="D848" s="22" t="n">
        <v>2</v>
      </c>
      <c r="E848" s="23" t="n">
        <v>4</v>
      </c>
      <c r="F848" s="22" t="n">
        <v>1.5</v>
      </c>
      <c r="G848" s="23" t="inlineStr">
        <is>
          <t>Non</t>
        </is>
      </c>
      <c r="H848" s="23" t="inlineStr">
        <is>
          <t>ON</t>
        </is>
      </c>
      <c r="I848" s="24" t="n">
        <v>856.3651513317755</v>
      </c>
      <c r="J848" s="24" t="n">
        <v>3449.488235315031</v>
      </c>
      <c r="K848" s="24" t="n">
        <v>2287.037037037037</v>
      </c>
      <c r="L848" s="24" t="n">
        <v>150</v>
      </c>
      <c r="M848" s="24">
        <f>I848+J848+K848+L848</f>
        <v/>
      </c>
      <c r="N848" s="24">
        <f>M848*'Dashboard &amp; Optimisation'!$B$18/('Dashboard &amp; Optimisation'!$B$16/3.6)</f>
        <v/>
      </c>
      <c r="O848" s="24" t="n">
        <v>486.7382596396907</v>
      </c>
      <c r="P848" s="25" t="n">
        <v>0.07222896284709622</v>
      </c>
      <c r="Q848" s="26" t="n">
        <v>7.077172538771729</v>
      </c>
      <c r="R848" s="24" t="n">
        <v>2795.74257472372</v>
      </c>
      <c r="S848" s="24">
        <f>R848*IF(A848=4, 2.0, 3.0)</f>
        <v/>
      </c>
      <c r="T848" s="22">
        <f>'Dashboard &amp; Optimisation'!$B$18*U848</f>
        <v/>
      </c>
      <c r="U848" s="27">
        <f>MIN(1, S848/M848)</f>
        <v/>
      </c>
      <c r="V848" s="27">
        <f>N848/(N848+O848)</f>
        <v/>
      </c>
      <c r="W848" s="27">
        <f>U848*V848</f>
        <v/>
      </c>
      <c r="X848" s="25">
        <f>T848/N848</f>
        <v/>
      </c>
      <c r="Y848" s="28">
        <f>IF(W848=MAXIFS(W$2:W$3601, A$2:A$3601, A848, B$2:B$3601, B848), "OPTIMAL", "")</f>
        <v/>
      </c>
    </row>
    <row r="849" ht="20" customHeight="1">
      <c r="A849" s="29" t="n">
        <v>4</v>
      </c>
      <c r="B849" s="29" t="n">
        <v>35</v>
      </c>
      <c r="C849" s="30" t="n">
        <v>95</v>
      </c>
      <c r="D849" s="30" t="n">
        <v>2</v>
      </c>
      <c r="E849" s="6" t="n">
        <v>4</v>
      </c>
      <c r="F849" s="30" t="n">
        <v>1.5</v>
      </c>
      <c r="G849" s="6" t="inlineStr">
        <is>
          <t>Non</t>
        </is>
      </c>
      <c r="H849" s="6" t="inlineStr">
        <is>
          <t>OFF</t>
        </is>
      </c>
      <c r="I849" s="31" t="n">
        <v>856.3651513317755</v>
      </c>
      <c r="J849" s="31" t="n">
        <v>3449.488235315031</v>
      </c>
      <c r="K849" s="31" t="n">
        <v>2287.037037037037</v>
      </c>
      <c r="L849" s="31" t="n">
        <v>150</v>
      </c>
      <c r="M849" s="31">
        <f>I849+J849+K849+L849</f>
        <v/>
      </c>
      <c r="N849" s="31">
        <f>M849*'Dashboard &amp; Optimisation'!$B$18/('Dashboard &amp; Optimisation'!$B$16/3.6)</f>
        <v/>
      </c>
      <c r="O849" s="31" t="n">
        <v>486.7382596396907</v>
      </c>
      <c r="P849" s="32" t="n">
        <v>0.3146866068423525</v>
      </c>
      <c r="Q849" s="33" t="n">
        <v>7.077172538771729</v>
      </c>
      <c r="R849" s="31" t="n">
        <v>641.6974290263541</v>
      </c>
      <c r="S849" s="31">
        <f>R849*IF(A849=4, 2.0, 3.0)</f>
        <v/>
      </c>
      <c r="T849" s="30">
        <f>'Dashboard &amp; Optimisation'!$B$18*U849</f>
        <v/>
      </c>
      <c r="U849" s="34">
        <f>MIN(1, S849/M849)</f>
        <v/>
      </c>
      <c r="V849" s="34">
        <f>N849/(N849+O849)</f>
        <v/>
      </c>
      <c r="W849" s="34">
        <f>U849*V849</f>
        <v/>
      </c>
      <c r="X849" s="32">
        <f>T849/N849</f>
        <v/>
      </c>
      <c r="Y849" s="35">
        <f>IF(W849=MAXIFS(W$2:W$3601, A$2:A$3601, A849, B$2:B$3601, B849), "OPTIMAL", "")</f>
        <v/>
      </c>
    </row>
    <row r="850" ht="20" customHeight="1">
      <c r="A850" s="21" t="n">
        <v>4</v>
      </c>
      <c r="B850" s="21" t="n">
        <v>35</v>
      </c>
      <c r="C850" s="22" t="n">
        <v>95</v>
      </c>
      <c r="D850" s="22" t="n">
        <v>2</v>
      </c>
      <c r="E850" s="23" t="n">
        <v>4</v>
      </c>
      <c r="F850" s="22" t="n">
        <v>2</v>
      </c>
      <c r="G850" s="23" t="inlineStr">
        <is>
          <t>Oui</t>
        </is>
      </c>
      <c r="H850" s="23" t="inlineStr">
        <is>
          <t>ON</t>
        </is>
      </c>
      <c r="I850" s="24" t="n">
        <v>856.3651513317755</v>
      </c>
      <c r="J850" s="24" t="n">
        <v>3449.488235315031</v>
      </c>
      <c r="K850" s="24" t="n">
        <v>2287.037037037037</v>
      </c>
      <c r="L850" s="24" t="n">
        <v>150</v>
      </c>
      <c r="M850" s="24">
        <f>I850+J850+K850+L850</f>
        <v/>
      </c>
      <c r="N850" s="24">
        <f>M850*'Dashboard &amp; Optimisation'!$B$18/('Dashboard &amp; Optimisation'!$B$16/3.6)</f>
        <v/>
      </c>
      <c r="O850" s="24" t="n">
        <v>549.1473050177863</v>
      </c>
      <c r="P850" s="25" t="n">
        <v>0.07304296145994044</v>
      </c>
      <c r="Q850" s="26" t="n">
        <v>9.36956338502897</v>
      </c>
      <c r="R850" s="24" t="n">
        <v>2796.981850416196</v>
      </c>
      <c r="S850" s="24">
        <f>R850*IF(A850=4, 2.0, 3.0)</f>
        <v/>
      </c>
      <c r="T850" s="22">
        <f>'Dashboard &amp; Optimisation'!$B$18*U850</f>
        <v/>
      </c>
      <c r="U850" s="27">
        <f>MIN(1, S850/M850)</f>
        <v/>
      </c>
      <c r="V850" s="27">
        <f>N850/(N850+O850)</f>
        <v/>
      </c>
      <c r="W850" s="27">
        <f>U850*V850</f>
        <v/>
      </c>
      <c r="X850" s="25">
        <f>T850/N850</f>
        <v/>
      </c>
      <c r="Y850" s="28">
        <f>IF(W850=MAXIFS(W$2:W$3601, A$2:A$3601, A850, B$2:B$3601, B850), "OPTIMAL", "")</f>
        <v/>
      </c>
    </row>
    <row r="851" ht="20" customHeight="1">
      <c r="A851" s="29" t="n">
        <v>4</v>
      </c>
      <c r="B851" s="29" t="n">
        <v>35</v>
      </c>
      <c r="C851" s="30" t="n">
        <v>95</v>
      </c>
      <c r="D851" s="30" t="n">
        <v>2</v>
      </c>
      <c r="E851" s="6" t="n">
        <v>4</v>
      </c>
      <c r="F851" s="30" t="n">
        <v>2</v>
      </c>
      <c r="G851" s="6" t="inlineStr">
        <is>
          <t>Oui</t>
        </is>
      </c>
      <c r="H851" s="6" t="inlineStr">
        <is>
          <t>OFF</t>
        </is>
      </c>
      <c r="I851" s="31" t="n">
        <v>856.3651513317755</v>
      </c>
      <c r="J851" s="31" t="n">
        <v>3449.488235315031</v>
      </c>
      <c r="K851" s="31" t="n">
        <v>2287.037037037037</v>
      </c>
      <c r="L851" s="31" t="n">
        <v>150</v>
      </c>
      <c r="M851" s="31">
        <f>I851+J851+K851+L851</f>
        <v/>
      </c>
      <c r="N851" s="31">
        <f>M851*'Dashboard &amp; Optimisation'!$B$18/('Dashboard &amp; Optimisation'!$B$16/3.6)</f>
        <v/>
      </c>
      <c r="O851" s="31" t="n">
        <v>549.1473050177863</v>
      </c>
      <c r="P851" s="32" t="n">
        <v>0.316679947936384</v>
      </c>
      <c r="Q851" s="33" t="n">
        <v>9.36956338502897</v>
      </c>
      <c r="R851" s="31" t="n">
        <v>645.1303242766218</v>
      </c>
      <c r="S851" s="31">
        <f>R851*IF(A851=4, 2.0, 3.0)</f>
        <v/>
      </c>
      <c r="T851" s="30">
        <f>'Dashboard &amp; Optimisation'!$B$18*U851</f>
        <v/>
      </c>
      <c r="U851" s="34">
        <f>MIN(1, S851/M851)</f>
        <v/>
      </c>
      <c r="V851" s="34">
        <f>N851/(N851+O851)</f>
        <v/>
      </c>
      <c r="W851" s="34">
        <f>U851*V851</f>
        <v/>
      </c>
      <c r="X851" s="32">
        <f>T851/N851</f>
        <v/>
      </c>
      <c r="Y851" s="35">
        <f>IF(W851=MAXIFS(W$2:W$3601, A$2:A$3601, A851, B$2:B$3601, B851), "OPTIMAL", "")</f>
        <v/>
      </c>
    </row>
    <row r="852" ht="20" customHeight="1">
      <c r="A852" s="21" t="n">
        <v>4</v>
      </c>
      <c r="B852" s="21" t="n">
        <v>35</v>
      </c>
      <c r="C852" s="22" t="n">
        <v>95</v>
      </c>
      <c r="D852" s="22" t="n">
        <v>2</v>
      </c>
      <c r="E852" s="23" t="n">
        <v>4</v>
      </c>
      <c r="F852" s="22" t="n">
        <v>2</v>
      </c>
      <c r="G852" s="23" t="inlineStr">
        <is>
          <t>Non</t>
        </is>
      </c>
      <c r="H852" s="23" t="inlineStr">
        <is>
          <t>ON</t>
        </is>
      </c>
      <c r="I852" s="24" t="n">
        <v>856.3651513317755</v>
      </c>
      <c r="J852" s="24" t="n">
        <v>3449.488235315031</v>
      </c>
      <c r="K852" s="24" t="n">
        <v>2287.037037037037</v>
      </c>
      <c r="L852" s="24" t="n">
        <v>150</v>
      </c>
      <c r="M852" s="24">
        <f>I852+J852+K852+L852</f>
        <v/>
      </c>
      <c r="N852" s="24">
        <f>M852*'Dashboard &amp; Optimisation'!$B$18/('Dashboard &amp; Optimisation'!$B$16/3.6)</f>
        <v/>
      </c>
      <c r="O852" s="24" t="n">
        <v>549.1473050177863</v>
      </c>
      <c r="P852" s="25" t="n">
        <v>0.06969233107905842</v>
      </c>
      <c r="Q852" s="26" t="n">
        <v>9.36956338502897</v>
      </c>
      <c r="R852" s="24" t="n">
        <v>2931.453638311323</v>
      </c>
      <c r="S852" s="24">
        <f>R852*IF(A852=4, 2.0, 3.0)</f>
        <v/>
      </c>
      <c r="T852" s="22">
        <f>'Dashboard &amp; Optimisation'!$B$18*U852</f>
        <v/>
      </c>
      <c r="U852" s="27">
        <f>MIN(1, S852/M852)</f>
        <v/>
      </c>
      <c r="V852" s="27">
        <f>N852/(N852+O852)</f>
        <v/>
      </c>
      <c r="W852" s="27">
        <f>U852*V852</f>
        <v/>
      </c>
      <c r="X852" s="25">
        <f>T852/N852</f>
        <v/>
      </c>
      <c r="Y852" s="28">
        <f>IF(W852=MAXIFS(W$2:W$3601, A$2:A$3601, A852, B$2:B$3601, B852), "OPTIMAL", "")</f>
        <v/>
      </c>
    </row>
    <row r="853" ht="20" customHeight="1">
      <c r="A853" s="29" t="n">
        <v>4</v>
      </c>
      <c r="B853" s="29" t="n">
        <v>35</v>
      </c>
      <c r="C853" s="30" t="n">
        <v>95</v>
      </c>
      <c r="D853" s="30" t="n">
        <v>2</v>
      </c>
      <c r="E853" s="6" t="n">
        <v>4</v>
      </c>
      <c r="F853" s="30" t="n">
        <v>2</v>
      </c>
      <c r="G853" s="6" t="inlineStr">
        <is>
          <t>Non</t>
        </is>
      </c>
      <c r="H853" s="6" t="inlineStr">
        <is>
          <t>OFF</t>
        </is>
      </c>
      <c r="I853" s="31" t="n">
        <v>856.3651513317755</v>
      </c>
      <c r="J853" s="31" t="n">
        <v>3449.488235315031</v>
      </c>
      <c r="K853" s="31" t="n">
        <v>2287.037037037037</v>
      </c>
      <c r="L853" s="31" t="n">
        <v>150</v>
      </c>
      <c r="M853" s="31">
        <f>I853+J853+K853+L853</f>
        <v/>
      </c>
      <c r="N853" s="31">
        <f>M853*'Dashboard &amp; Optimisation'!$B$18/('Dashboard &amp; Optimisation'!$B$16/3.6)</f>
        <v/>
      </c>
      <c r="O853" s="31" t="n">
        <v>549.1473050177863</v>
      </c>
      <c r="P853" s="32" t="n">
        <v>0.313329317555502</v>
      </c>
      <c r="Q853" s="33" t="n">
        <v>9.36956338502897</v>
      </c>
      <c r="R853" s="31" t="n">
        <v>652.0291146005327</v>
      </c>
      <c r="S853" s="31">
        <f>R853*IF(A853=4, 2.0, 3.0)</f>
        <v/>
      </c>
      <c r="T853" s="30">
        <f>'Dashboard &amp; Optimisation'!$B$18*U853</f>
        <v/>
      </c>
      <c r="U853" s="34">
        <f>MIN(1, S853/M853)</f>
        <v/>
      </c>
      <c r="V853" s="34">
        <f>N853/(N853+O853)</f>
        <v/>
      </c>
      <c r="W853" s="34">
        <f>U853*V853</f>
        <v/>
      </c>
      <c r="X853" s="32">
        <f>T853/N853</f>
        <v/>
      </c>
      <c r="Y853" s="35">
        <f>IF(W853=MAXIFS(W$2:W$3601, A$2:A$3601, A853, B$2:B$3601, B853), "OPTIMAL", "")</f>
        <v/>
      </c>
    </row>
    <row r="854" ht="20" customHeight="1">
      <c r="A854" s="21" t="n">
        <v>4</v>
      </c>
      <c r="B854" s="21" t="n">
        <v>35</v>
      </c>
      <c r="C854" s="22" t="n">
        <v>95</v>
      </c>
      <c r="D854" s="22" t="n">
        <v>2</v>
      </c>
      <c r="E854" s="23" t="n">
        <v>8</v>
      </c>
      <c r="F854" s="22" t="n">
        <v>1.5</v>
      </c>
      <c r="G854" s="23" t="inlineStr">
        <is>
          <t>Oui</t>
        </is>
      </c>
      <c r="H854" s="23" t="inlineStr">
        <is>
          <t>ON</t>
        </is>
      </c>
      <c r="I854" s="24" t="n">
        <v>856.3651513317755</v>
      </c>
      <c r="J854" s="24" t="n">
        <v>3449.488235315031</v>
      </c>
      <c r="K854" s="24" t="n">
        <v>2287.037037037037</v>
      </c>
      <c r="L854" s="24" t="n">
        <v>150</v>
      </c>
      <c r="M854" s="24">
        <f>I854+J854+K854+L854</f>
        <v/>
      </c>
      <c r="N854" s="24">
        <f>M854*'Dashboard &amp; Optimisation'!$B$18/('Dashboard &amp; Optimisation'!$B$16/3.6)</f>
        <v/>
      </c>
      <c r="O854" s="24" t="n">
        <v>678.4585392921523</v>
      </c>
      <c r="P854" s="25" t="n">
        <v>0.05699087655301123</v>
      </c>
      <c r="Q854" s="26" t="n">
        <v>13.95434507754346</v>
      </c>
      <c r="R854" s="24" t="n">
        <v>3670.810319925747</v>
      </c>
      <c r="S854" s="24">
        <f>R854*IF(A854=4, 2.0, 3.0)</f>
        <v/>
      </c>
      <c r="T854" s="22">
        <f>'Dashboard &amp; Optimisation'!$B$18*U854</f>
        <v/>
      </c>
      <c r="U854" s="27">
        <f>MIN(1, S854/M854)</f>
        <v/>
      </c>
      <c r="V854" s="27">
        <f>N854/(N854+O854)</f>
        <v/>
      </c>
      <c r="W854" s="27">
        <f>U854*V854</f>
        <v/>
      </c>
      <c r="X854" s="25">
        <f>T854/N854</f>
        <v/>
      </c>
      <c r="Y854" s="28">
        <f>IF(W854=MAXIFS(W$2:W$3601, A$2:A$3601, A854, B$2:B$3601, B854), "OPTIMAL", "")</f>
        <v/>
      </c>
    </row>
    <row r="855" ht="20" customHeight="1">
      <c r="A855" s="29" t="n">
        <v>4</v>
      </c>
      <c r="B855" s="29" t="n">
        <v>35</v>
      </c>
      <c r="C855" s="30" t="n">
        <v>95</v>
      </c>
      <c r="D855" s="30" t="n">
        <v>2</v>
      </c>
      <c r="E855" s="6" t="n">
        <v>8</v>
      </c>
      <c r="F855" s="30" t="n">
        <v>1.5</v>
      </c>
      <c r="G855" s="6" t="inlineStr">
        <is>
          <t>Oui</t>
        </is>
      </c>
      <c r="H855" s="6" t="inlineStr">
        <is>
          <t>OFF</t>
        </is>
      </c>
      <c r="I855" s="31" t="n">
        <v>856.3651513317755</v>
      </c>
      <c r="J855" s="31" t="n">
        <v>3449.488235315031</v>
      </c>
      <c r="K855" s="31" t="n">
        <v>2287.037037037037</v>
      </c>
      <c r="L855" s="31" t="n">
        <v>150</v>
      </c>
      <c r="M855" s="31">
        <f>I855+J855+K855+L855</f>
        <v/>
      </c>
      <c r="N855" s="31">
        <f>M855*'Dashboard &amp; Optimisation'!$B$18/('Dashboard &amp; Optimisation'!$B$16/3.6)</f>
        <v/>
      </c>
      <c r="O855" s="31" t="n">
        <v>678.4585392921523</v>
      </c>
      <c r="P855" s="32" t="n">
        <v>0.2469467888801933</v>
      </c>
      <c r="Q855" s="33" t="n">
        <v>13.95434507754346</v>
      </c>
      <c r="R855" s="31" t="n">
        <v>847.1569877100242</v>
      </c>
      <c r="S855" s="31">
        <f>R855*IF(A855=4, 2.0, 3.0)</f>
        <v/>
      </c>
      <c r="T855" s="30">
        <f>'Dashboard &amp; Optimisation'!$B$18*U855</f>
        <v/>
      </c>
      <c r="U855" s="34">
        <f>MIN(1, S855/M855)</f>
        <v/>
      </c>
      <c r="V855" s="34">
        <f>N855/(N855+O855)</f>
        <v/>
      </c>
      <c r="W855" s="34">
        <f>U855*V855</f>
        <v/>
      </c>
      <c r="X855" s="32">
        <f>T855/N855</f>
        <v/>
      </c>
      <c r="Y855" s="35">
        <f>IF(W855=MAXIFS(W$2:W$3601, A$2:A$3601, A855, B$2:B$3601, B855), "OPTIMAL", "")</f>
        <v/>
      </c>
    </row>
    <row r="856" ht="20" customHeight="1">
      <c r="A856" s="21" t="n">
        <v>4</v>
      </c>
      <c r="B856" s="21" t="n">
        <v>35</v>
      </c>
      <c r="C856" s="22" t="n">
        <v>95</v>
      </c>
      <c r="D856" s="22" t="n">
        <v>2</v>
      </c>
      <c r="E856" s="23" t="n">
        <v>8</v>
      </c>
      <c r="F856" s="22" t="n">
        <v>1.5</v>
      </c>
      <c r="G856" s="23" t="inlineStr">
        <is>
          <t>Non</t>
        </is>
      </c>
      <c r="H856" s="23" t="inlineStr">
        <is>
          <t>ON</t>
        </is>
      </c>
      <c r="I856" s="24" t="n">
        <v>856.3651513317755</v>
      </c>
      <c r="J856" s="24" t="n">
        <v>3449.488235315031</v>
      </c>
      <c r="K856" s="24" t="n">
        <v>2287.037037037037</v>
      </c>
      <c r="L856" s="24" t="n">
        <v>150</v>
      </c>
      <c r="M856" s="24">
        <f>I856+J856+K856+L856</f>
        <v/>
      </c>
      <c r="N856" s="24">
        <f>M856*'Dashboard &amp; Optimisation'!$B$18/('Dashboard &amp; Optimisation'!$B$16/3.6)</f>
        <v/>
      </c>
      <c r="O856" s="24" t="n">
        <v>678.4585392921523</v>
      </c>
      <c r="P856" s="25" t="n">
        <v>0.05364024617212922</v>
      </c>
      <c r="Q856" s="26" t="n">
        <v>13.95434507754346</v>
      </c>
      <c r="R856" s="24" t="n">
        <v>3900.106966718339</v>
      </c>
      <c r="S856" s="24">
        <f>R856*IF(A856=4, 2.0, 3.0)</f>
        <v/>
      </c>
      <c r="T856" s="22">
        <f>'Dashboard &amp; Optimisation'!$B$18*U856</f>
        <v/>
      </c>
      <c r="U856" s="27">
        <f>MIN(1, S856/M856)</f>
        <v/>
      </c>
      <c r="V856" s="27">
        <f>N856/(N856+O856)</f>
        <v/>
      </c>
      <c r="W856" s="27">
        <f>U856*V856</f>
        <v/>
      </c>
      <c r="X856" s="25">
        <f>T856/N856</f>
        <v/>
      </c>
      <c r="Y856" s="28">
        <f>IF(W856=MAXIFS(W$2:W$3601, A$2:A$3601, A856, B$2:B$3601, B856), "OPTIMAL", "")</f>
        <v/>
      </c>
    </row>
    <row r="857" ht="20" customHeight="1">
      <c r="A857" s="29" t="n">
        <v>4</v>
      </c>
      <c r="B857" s="29" t="n">
        <v>35</v>
      </c>
      <c r="C857" s="30" t="n">
        <v>95</v>
      </c>
      <c r="D857" s="30" t="n">
        <v>2</v>
      </c>
      <c r="E857" s="6" t="n">
        <v>8</v>
      </c>
      <c r="F857" s="30" t="n">
        <v>1.5</v>
      </c>
      <c r="G857" s="6" t="inlineStr">
        <is>
          <t>Non</t>
        </is>
      </c>
      <c r="H857" s="6" t="inlineStr">
        <is>
          <t>OFF</t>
        </is>
      </c>
      <c r="I857" s="31" t="n">
        <v>856.3651513317755</v>
      </c>
      <c r="J857" s="31" t="n">
        <v>3449.488235315031</v>
      </c>
      <c r="K857" s="31" t="n">
        <v>2287.037037037037</v>
      </c>
      <c r="L857" s="31" t="n">
        <v>150</v>
      </c>
      <c r="M857" s="31">
        <f>I857+J857+K857+L857</f>
        <v/>
      </c>
      <c r="N857" s="31">
        <f>M857*'Dashboard &amp; Optimisation'!$B$18/('Dashboard &amp; Optimisation'!$B$16/3.6)</f>
        <v/>
      </c>
      <c r="O857" s="31" t="n">
        <v>678.4585392921523</v>
      </c>
      <c r="P857" s="32" t="n">
        <v>0.2435961584993113</v>
      </c>
      <c r="Q857" s="33" t="n">
        <v>13.95434507754346</v>
      </c>
      <c r="R857" s="31" t="n">
        <v>858.8095111237122</v>
      </c>
      <c r="S857" s="31">
        <f>R857*IF(A857=4, 2.0, 3.0)</f>
        <v/>
      </c>
      <c r="T857" s="30">
        <f>'Dashboard &amp; Optimisation'!$B$18*U857</f>
        <v/>
      </c>
      <c r="U857" s="34">
        <f>MIN(1, S857/M857)</f>
        <v/>
      </c>
      <c r="V857" s="34">
        <f>N857/(N857+O857)</f>
        <v/>
      </c>
      <c r="W857" s="34">
        <f>U857*V857</f>
        <v/>
      </c>
      <c r="X857" s="32">
        <f>T857/N857</f>
        <v/>
      </c>
      <c r="Y857" s="35">
        <f>IF(W857=MAXIFS(W$2:W$3601, A$2:A$3601, A857, B$2:B$3601, B857), "OPTIMAL", "")</f>
        <v/>
      </c>
    </row>
    <row r="858" ht="20" customHeight="1">
      <c r="A858" s="21" t="n">
        <v>4</v>
      </c>
      <c r="B858" s="21" t="n">
        <v>35</v>
      </c>
      <c r="C858" s="22" t="n">
        <v>95</v>
      </c>
      <c r="D858" s="22" t="n">
        <v>2</v>
      </c>
      <c r="E858" s="23" t="n">
        <v>8</v>
      </c>
      <c r="F858" s="22" t="n">
        <v>2</v>
      </c>
      <c r="G858" s="23" t="inlineStr">
        <is>
          <t>Oui</t>
        </is>
      </c>
      <c r="H858" s="23" t="inlineStr">
        <is>
          <t>ON</t>
        </is>
      </c>
      <c r="I858" s="24" t="n">
        <v>856.3651513317755</v>
      </c>
      <c r="J858" s="24" t="n">
        <v>3449.488235315031</v>
      </c>
      <c r="K858" s="24" t="n">
        <v>2287.037037037037</v>
      </c>
      <c r="L858" s="24" t="n">
        <v>150</v>
      </c>
      <c r="M858" s="24">
        <f>I858+J858+K858+L858</f>
        <v/>
      </c>
      <c r="N858" s="24">
        <f>M858*'Dashboard &amp; Optimisation'!$B$18/('Dashboard &amp; Optimisation'!$B$16/3.6)</f>
        <v/>
      </c>
      <c r="O858" s="24" t="n">
        <v>814.1288961992484</v>
      </c>
      <c r="P858" s="25" t="n">
        <v>0.05584601824581075</v>
      </c>
      <c r="Q858" s="26" t="n">
        <v>18.53912677005794</v>
      </c>
      <c r="R858" s="24" t="n">
        <v>3838.172750176407</v>
      </c>
      <c r="S858" s="24">
        <f>R858*IF(A858=4, 2.0, 3.0)</f>
        <v/>
      </c>
      <c r="T858" s="22">
        <f>'Dashboard &amp; Optimisation'!$B$18*U858</f>
        <v/>
      </c>
      <c r="U858" s="27">
        <f>MIN(1, S858/M858)</f>
        <v/>
      </c>
      <c r="V858" s="27">
        <f>N858/(N858+O858)</f>
        <v/>
      </c>
      <c r="W858" s="27">
        <f>U858*V858</f>
        <v/>
      </c>
      <c r="X858" s="25">
        <f>T858/N858</f>
        <v/>
      </c>
      <c r="Y858" s="28">
        <f>IF(W858=MAXIFS(W$2:W$3601, A$2:A$3601, A858, B$2:B$3601, B858), "OPTIMAL", "")</f>
        <v/>
      </c>
    </row>
    <row r="859" ht="20" customHeight="1">
      <c r="A859" s="29" t="n">
        <v>4</v>
      </c>
      <c r="B859" s="29" t="n">
        <v>35</v>
      </c>
      <c r="C859" s="30" t="n">
        <v>95</v>
      </c>
      <c r="D859" s="30" t="n">
        <v>2</v>
      </c>
      <c r="E859" s="6" t="n">
        <v>8</v>
      </c>
      <c r="F859" s="30" t="n">
        <v>2</v>
      </c>
      <c r="G859" s="6" t="inlineStr">
        <is>
          <t>Oui</t>
        </is>
      </c>
      <c r="H859" s="6" t="inlineStr">
        <is>
          <t>OFF</t>
        </is>
      </c>
      <c r="I859" s="31" t="n">
        <v>856.3651513317755</v>
      </c>
      <c r="J859" s="31" t="n">
        <v>3449.488235315031</v>
      </c>
      <c r="K859" s="31" t="n">
        <v>2287.037037037037</v>
      </c>
      <c r="L859" s="31" t="n">
        <v>150</v>
      </c>
      <c r="M859" s="31">
        <f>I859+J859+K859+L859</f>
        <v/>
      </c>
      <c r="N859" s="31">
        <f>M859*'Dashboard &amp; Optimisation'!$B$18/('Dashboard &amp; Optimisation'!$B$16/3.6)</f>
        <v/>
      </c>
      <c r="O859" s="31" t="n">
        <v>814.1288961992484</v>
      </c>
      <c r="P859" s="32" t="n">
        <v>0.2472541696165357</v>
      </c>
      <c r="Q859" s="33" t="n">
        <v>18.53912677005794</v>
      </c>
      <c r="R859" s="31" t="n">
        <v>866.9081931736623</v>
      </c>
      <c r="S859" s="31">
        <f>R859*IF(A859=4, 2.0, 3.0)</f>
        <v/>
      </c>
      <c r="T859" s="30">
        <f>'Dashboard &amp; Optimisation'!$B$18*U859</f>
        <v/>
      </c>
      <c r="U859" s="34">
        <f>MIN(1, S859/M859)</f>
        <v/>
      </c>
      <c r="V859" s="34">
        <f>N859/(N859+O859)</f>
        <v/>
      </c>
      <c r="W859" s="34">
        <f>U859*V859</f>
        <v/>
      </c>
      <c r="X859" s="32">
        <f>T859/N859</f>
        <v/>
      </c>
      <c r="Y859" s="35">
        <f>IF(W859=MAXIFS(W$2:W$3601, A$2:A$3601, A859, B$2:B$3601, B859), "OPTIMAL", "")</f>
        <v/>
      </c>
    </row>
    <row r="860" ht="20" customHeight="1">
      <c r="A860" s="21" t="n">
        <v>4</v>
      </c>
      <c r="B860" s="21" t="n">
        <v>35</v>
      </c>
      <c r="C860" s="22" t="n">
        <v>95</v>
      </c>
      <c r="D860" s="22" t="n">
        <v>2</v>
      </c>
      <c r="E860" s="23" t="n">
        <v>8</v>
      </c>
      <c r="F860" s="22" t="n">
        <v>2</v>
      </c>
      <c r="G860" s="23" t="inlineStr">
        <is>
          <t>Non</t>
        </is>
      </c>
      <c r="H860" s="23" t="inlineStr">
        <is>
          <t>ON</t>
        </is>
      </c>
      <c r="I860" s="24" t="n">
        <v>856.3651513317755</v>
      </c>
      <c r="J860" s="24" t="n">
        <v>3449.488235315031</v>
      </c>
      <c r="K860" s="24" t="n">
        <v>2287.037037037037</v>
      </c>
      <c r="L860" s="24" t="n">
        <v>150</v>
      </c>
      <c r="M860" s="24">
        <f>I860+J860+K860+L860</f>
        <v/>
      </c>
      <c r="N860" s="24">
        <f>M860*'Dashboard &amp; Optimisation'!$B$18/('Dashboard &amp; Optimisation'!$B$16/3.6)</f>
        <v/>
      </c>
      <c r="O860" s="24" t="n">
        <v>814.1288961992484</v>
      </c>
      <c r="P860" s="25" t="n">
        <v>0.05249538786492874</v>
      </c>
      <c r="Q860" s="26" t="n">
        <v>18.53912677005794</v>
      </c>
      <c r="R860" s="24" t="n">
        <v>4083.152333085751</v>
      </c>
      <c r="S860" s="24">
        <f>R860*IF(A860=4, 2.0, 3.0)</f>
        <v/>
      </c>
      <c r="T860" s="22">
        <f>'Dashboard &amp; Optimisation'!$B$18*U860</f>
        <v/>
      </c>
      <c r="U860" s="27">
        <f>MIN(1, S860/M860)</f>
        <v/>
      </c>
      <c r="V860" s="27">
        <f>N860/(N860+O860)</f>
        <v/>
      </c>
      <c r="W860" s="27">
        <f>U860*V860</f>
        <v/>
      </c>
      <c r="X860" s="25">
        <f>T860/N860</f>
        <v/>
      </c>
      <c r="Y860" s="28">
        <f>IF(W860=MAXIFS(W$2:W$3601, A$2:A$3601, A860, B$2:B$3601, B860), "OPTIMAL", "")</f>
        <v/>
      </c>
    </row>
    <row r="861" ht="20" customHeight="1">
      <c r="A861" s="29" t="n">
        <v>4</v>
      </c>
      <c r="B861" s="29" t="n">
        <v>35</v>
      </c>
      <c r="C861" s="30" t="n">
        <v>95</v>
      </c>
      <c r="D861" s="30" t="n">
        <v>2</v>
      </c>
      <c r="E861" s="6" t="n">
        <v>8</v>
      </c>
      <c r="F861" s="30" t="n">
        <v>2</v>
      </c>
      <c r="G861" s="6" t="inlineStr">
        <is>
          <t>Non</t>
        </is>
      </c>
      <c r="H861" s="6" t="inlineStr">
        <is>
          <t>OFF</t>
        </is>
      </c>
      <c r="I861" s="31" t="n">
        <v>856.3651513317755</v>
      </c>
      <c r="J861" s="31" t="n">
        <v>3449.488235315031</v>
      </c>
      <c r="K861" s="31" t="n">
        <v>2287.037037037037</v>
      </c>
      <c r="L861" s="31" t="n">
        <v>150</v>
      </c>
      <c r="M861" s="31">
        <f>I861+J861+K861+L861</f>
        <v/>
      </c>
      <c r="N861" s="31">
        <f>M861*'Dashboard &amp; Optimisation'!$B$18/('Dashboard &amp; Optimisation'!$B$16/3.6)</f>
        <v/>
      </c>
      <c r="O861" s="31" t="n">
        <v>814.1288961992484</v>
      </c>
      <c r="P861" s="32" t="n">
        <v>0.2439035392356537</v>
      </c>
      <c r="Q861" s="33" t="n">
        <v>18.53912677005794</v>
      </c>
      <c r="R861" s="31" t="n">
        <v>878.8173640638673</v>
      </c>
      <c r="S861" s="31">
        <f>R861*IF(A861=4, 2.0, 3.0)</f>
        <v/>
      </c>
      <c r="T861" s="30">
        <f>'Dashboard &amp; Optimisation'!$B$18*U861</f>
        <v/>
      </c>
      <c r="U861" s="34">
        <f>MIN(1, S861/M861)</f>
        <v/>
      </c>
      <c r="V861" s="34">
        <f>N861/(N861+O861)</f>
        <v/>
      </c>
      <c r="W861" s="34">
        <f>U861*V861</f>
        <v/>
      </c>
      <c r="X861" s="32">
        <f>T861/N861</f>
        <v/>
      </c>
      <c r="Y861" s="35">
        <f>IF(W861=MAXIFS(W$2:W$3601, A$2:A$3601, A861, B$2:B$3601, B861), "OPTIMAL", "")</f>
        <v/>
      </c>
    </row>
    <row r="862" ht="20" customHeight="1">
      <c r="A862" s="21" t="n">
        <v>4</v>
      </c>
      <c r="B862" s="21" t="n">
        <v>35</v>
      </c>
      <c r="C862" s="22" t="n">
        <v>95</v>
      </c>
      <c r="D862" s="22" t="n">
        <v>3</v>
      </c>
      <c r="E862" s="23" t="n">
        <v>0</v>
      </c>
      <c r="F862" s="22" t="n">
        <v>0</v>
      </c>
      <c r="G862" s="23" t="inlineStr">
        <is>
          <t>Oui</t>
        </is>
      </c>
      <c r="H862" s="23" t="inlineStr">
        <is>
          <t>ON</t>
        </is>
      </c>
      <c r="I862" s="24" t="n">
        <v>856.3651513317755</v>
      </c>
      <c r="J862" s="24" t="n">
        <v>3449.488235315031</v>
      </c>
      <c r="K862" s="24" t="n">
        <v>2287.037037037037</v>
      </c>
      <c r="L862" s="24" t="n">
        <v>150</v>
      </c>
      <c r="M862" s="24">
        <f>I862+J862+K862+L862</f>
        <v/>
      </c>
      <c r="N862" s="24">
        <f>M862*'Dashboard &amp; Optimisation'!$B$18/('Dashboard &amp; Optimisation'!$B$16/3.6)</f>
        <v/>
      </c>
      <c r="O862" s="24" t="n">
        <v>477.6392232095905</v>
      </c>
      <c r="P862" s="25" t="n">
        <v>0.4850543981280133</v>
      </c>
      <c r="Q862" s="26" t="n">
        <v>0.2</v>
      </c>
      <c r="R862" s="24" t="n">
        <v>420.6169962580701</v>
      </c>
      <c r="S862" s="24">
        <f>R862*IF(A862=4, 2.0, 3.0)</f>
        <v/>
      </c>
      <c r="T862" s="22">
        <f>'Dashboard &amp; Optimisation'!$B$18*U862</f>
        <v/>
      </c>
      <c r="U862" s="27">
        <f>MIN(1, S862/M862)</f>
        <v/>
      </c>
      <c r="V862" s="27">
        <f>N862/(N862+O862)</f>
        <v/>
      </c>
      <c r="W862" s="27">
        <f>U862*V862</f>
        <v/>
      </c>
      <c r="X862" s="25">
        <f>T862/N862</f>
        <v/>
      </c>
      <c r="Y862" s="28">
        <f>IF(W862=MAXIFS(W$2:W$3601, A$2:A$3601, A862, B$2:B$3601, B862), "OPTIMAL", "")</f>
        <v/>
      </c>
    </row>
    <row r="863" ht="20" customHeight="1">
      <c r="A863" s="29" t="n">
        <v>4</v>
      </c>
      <c r="B863" s="29" t="n">
        <v>35</v>
      </c>
      <c r="C863" s="30" t="n">
        <v>95</v>
      </c>
      <c r="D863" s="30" t="n">
        <v>3</v>
      </c>
      <c r="E863" s="6" t="n">
        <v>0</v>
      </c>
      <c r="F863" s="30" t="n">
        <v>0</v>
      </c>
      <c r="G863" s="6" t="inlineStr">
        <is>
          <t>Oui</t>
        </is>
      </c>
      <c r="H863" s="6" t="inlineStr">
        <is>
          <t>OFF</t>
        </is>
      </c>
      <c r="I863" s="31" t="n">
        <v>856.3651513317755</v>
      </c>
      <c r="J863" s="31" t="n">
        <v>3449.488235315031</v>
      </c>
      <c r="K863" s="31" t="n">
        <v>2287.037037037037</v>
      </c>
      <c r="L863" s="31" t="n">
        <v>150</v>
      </c>
      <c r="M863" s="31">
        <f>I863+J863+K863+L863</f>
        <v/>
      </c>
      <c r="N863" s="31">
        <f>M863*'Dashboard &amp; Optimisation'!$B$18/('Dashboard &amp; Optimisation'!$B$16/3.6)</f>
        <v/>
      </c>
      <c r="O863" s="31" t="n">
        <v>477.6392232095905</v>
      </c>
      <c r="P863" s="32" t="n">
        <v>0.820117436216214</v>
      </c>
      <c r="Q863" s="33" t="n">
        <v>0.2</v>
      </c>
      <c r="R863" s="31" t="n">
        <v>248.7718404130881</v>
      </c>
      <c r="S863" s="31">
        <f>R863*IF(A863=4, 2.0, 3.0)</f>
        <v/>
      </c>
      <c r="T863" s="30">
        <f>'Dashboard &amp; Optimisation'!$B$18*U863</f>
        <v/>
      </c>
      <c r="U863" s="34">
        <f>MIN(1, S863/M863)</f>
        <v/>
      </c>
      <c r="V863" s="34">
        <f>N863/(N863+O863)</f>
        <v/>
      </c>
      <c r="W863" s="34">
        <f>U863*V863</f>
        <v/>
      </c>
      <c r="X863" s="32">
        <f>T863/N863</f>
        <v/>
      </c>
      <c r="Y863" s="35">
        <f>IF(W863=MAXIFS(W$2:W$3601, A$2:A$3601, A863, B$2:B$3601, B863), "OPTIMAL", "")</f>
        <v/>
      </c>
    </row>
    <row r="864" ht="20" customHeight="1">
      <c r="A864" s="21" t="n">
        <v>4</v>
      </c>
      <c r="B864" s="21" t="n">
        <v>35</v>
      </c>
      <c r="C864" s="22" t="n">
        <v>95</v>
      </c>
      <c r="D864" s="22" t="n">
        <v>3</v>
      </c>
      <c r="E864" s="23" t="n">
        <v>0</v>
      </c>
      <c r="F864" s="22" t="n">
        <v>0</v>
      </c>
      <c r="G864" s="23" t="inlineStr">
        <is>
          <t>Non</t>
        </is>
      </c>
      <c r="H864" s="23" t="inlineStr">
        <is>
          <t>ON</t>
        </is>
      </c>
      <c r="I864" s="24" t="n">
        <v>856.3651513317755</v>
      </c>
      <c r="J864" s="24" t="n">
        <v>3449.488235315031</v>
      </c>
      <c r="K864" s="24" t="n">
        <v>2287.037037037037</v>
      </c>
      <c r="L864" s="24" t="n">
        <v>150</v>
      </c>
      <c r="M864" s="24">
        <f>I864+J864+K864+L864</f>
        <v/>
      </c>
      <c r="N864" s="24">
        <f>M864*'Dashboard &amp; Optimisation'!$B$18/('Dashboard &amp; Optimisation'!$B$16/3.6)</f>
        <v/>
      </c>
      <c r="O864" s="24" t="n">
        <v>477.6392232095905</v>
      </c>
      <c r="P864" s="25" t="n">
        <v>0.4817037677471313</v>
      </c>
      <c r="Q864" s="26" t="n">
        <v>0.2</v>
      </c>
      <c r="R864" s="24" t="n">
        <v>423.542719868182</v>
      </c>
      <c r="S864" s="24">
        <f>R864*IF(A864=4, 2.0, 3.0)</f>
        <v/>
      </c>
      <c r="T864" s="22">
        <f>'Dashboard &amp; Optimisation'!$B$18*U864</f>
        <v/>
      </c>
      <c r="U864" s="27">
        <f>MIN(1, S864/M864)</f>
        <v/>
      </c>
      <c r="V864" s="27">
        <f>N864/(N864+O864)</f>
        <v/>
      </c>
      <c r="W864" s="27">
        <f>U864*V864</f>
        <v/>
      </c>
      <c r="X864" s="25">
        <f>T864/N864</f>
        <v/>
      </c>
      <c r="Y864" s="28">
        <f>IF(W864=MAXIFS(W$2:W$3601, A$2:A$3601, A864, B$2:B$3601, B864), "OPTIMAL", "")</f>
        <v/>
      </c>
    </row>
    <row r="865" ht="20" customHeight="1">
      <c r="A865" s="29" t="n">
        <v>4</v>
      </c>
      <c r="B865" s="29" t="n">
        <v>35</v>
      </c>
      <c r="C865" s="30" t="n">
        <v>95</v>
      </c>
      <c r="D865" s="30" t="n">
        <v>3</v>
      </c>
      <c r="E865" s="6" t="n">
        <v>0</v>
      </c>
      <c r="F865" s="30" t="n">
        <v>0</v>
      </c>
      <c r="G865" s="6" t="inlineStr">
        <is>
          <t>Non</t>
        </is>
      </c>
      <c r="H865" s="6" t="inlineStr">
        <is>
          <t>OFF</t>
        </is>
      </c>
      <c r="I865" s="31" t="n">
        <v>856.3651513317755</v>
      </c>
      <c r="J865" s="31" t="n">
        <v>3449.488235315031</v>
      </c>
      <c r="K865" s="31" t="n">
        <v>2287.037037037037</v>
      </c>
      <c r="L865" s="31" t="n">
        <v>150</v>
      </c>
      <c r="M865" s="31">
        <f>I865+J865+K865+L865</f>
        <v/>
      </c>
      <c r="N865" s="31">
        <f>M865*'Dashboard &amp; Optimisation'!$B$18/('Dashboard &amp; Optimisation'!$B$16/3.6)</f>
        <v/>
      </c>
      <c r="O865" s="31" t="n">
        <v>477.6392232095905</v>
      </c>
      <c r="P865" s="32" t="n">
        <v>0.816766805835332</v>
      </c>
      <c r="Q865" s="33" t="n">
        <v>0.2</v>
      </c>
      <c r="R865" s="31" t="n">
        <v>249.7923795442586</v>
      </c>
      <c r="S865" s="31">
        <f>R865*IF(A865=4, 2.0, 3.0)</f>
        <v/>
      </c>
      <c r="T865" s="30">
        <f>'Dashboard &amp; Optimisation'!$B$18*U865</f>
        <v/>
      </c>
      <c r="U865" s="34">
        <f>MIN(1, S865/M865)</f>
        <v/>
      </c>
      <c r="V865" s="34">
        <f>N865/(N865+O865)</f>
        <v/>
      </c>
      <c r="W865" s="34">
        <f>U865*V865</f>
        <v/>
      </c>
      <c r="X865" s="32">
        <f>T865/N865</f>
        <v/>
      </c>
      <c r="Y865" s="35">
        <f>IF(W865=MAXIFS(W$2:W$3601, A$2:A$3601, A865, B$2:B$3601, B865), "OPTIMAL", "")</f>
        <v/>
      </c>
    </row>
    <row r="866" ht="20" customHeight="1">
      <c r="A866" s="21" t="n">
        <v>4</v>
      </c>
      <c r="B866" s="21" t="n">
        <v>35</v>
      </c>
      <c r="C866" s="22" t="n">
        <v>95</v>
      </c>
      <c r="D866" s="22" t="n">
        <v>3</v>
      </c>
      <c r="E866" s="23" t="n">
        <v>4</v>
      </c>
      <c r="F866" s="22" t="n">
        <v>1.5</v>
      </c>
      <c r="G866" s="23" t="inlineStr">
        <is>
          <t>Oui</t>
        </is>
      </c>
      <c r="H866" s="23" t="inlineStr">
        <is>
          <t>ON</t>
        </is>
      </c>
      <c r="I866" s="24" t="n">
        <v>856.3651513317755</v>
      </c>
      <c r="J866" s="24" t="n">
        <v>3449.488235315031</v>
      </c>
      <c r="K866" s="24" t="n">
        <v>2287.037037037037</v>
      </c>
      <c r="L866" s="24" t="n">
        <v>150</v>
      </c>
      <c r="M866" s="24">
        <f>I866+J866+K866+L866</f>
        <v/>
      </c>
      <c r="N866" s="24">
        <f>M866*'Dashboard &amp; Optimisation'!$B$18/('Dashboard &amp; Optimisation'!$B$16/3.6)</f>
        <v/>
      </c>
      <c r="O866" s="24" t="n">
        <v>667.8091655284035</v>
      </c>
      <c r="P866" s="25" t="n">
        <v>0.07535655472626097</v>
      </c>
      <c r="Q866" s="26" t="n">
        <v>7.231715741890194</v>
      </c>
      <c r="R866" s="24" t="n">
        <v>2803.687055210127</v>
      </c>
      <c r="S866" s="24">
        <f>R866*IF(A866=4, 2.0, 3.0)</f>
        <v/>
      </c>
      <c r="T866" s="22">
        <f>'Dashboard &amp; Optimisation'!$B$18*U866</f>
        <v/>
      </c>
      <c r="U866" s="27">
        <f>MIN(1, S866/M866)</f>
        <v/>
      </c>
      <c r="V866" s="27">
        <f>N866/(N866+O866)</f>
        <v/>
      </c>
      <c r="W866" s="27">
        <f>U866*V866</f>
        <v/>
      </c>
      <c r="X866" s="25">
        <f>T866/N866</f>
        <v/>
      </c>
      <c r="Y866" s="28">
        <f>IF(W866=MAXIFS(W$2:W$3601, A$2:A$3601, A866, B$2:B$3601, B866), "OPTIMAL", "")</f>
        <v/>
      </c>
    </row>
    <row r="867" ht="20" customHeight="1">
      <c r="A867" s="29" t="n">
        <v>4</v>
      </c>
      <c r="B867" s="29" t="n">
        <v>35</v>
      </c>
      <c r="C867" s="30" t="n">
        <v>95</v>
      </c>
      <c r="D867" s="30" t="n">
        <v>3</v>
      </c>
      <c r="E867" s="6" t="n">
        <v>4</v>
      </c>
      <c r="F867" s="30" t="n">
        <v>1.5</v>
      </c>
      <c r="G867" s="6" t="inlineStr">
        <is>
          <t>Oui</t>
        </is>
      </c>
      <c r="H867" s="6" t="inlineStr">
        <is>
          <t>OFF</t>
        </is>
      </c>
      <c r="I867" s="31" t="n">
        <v>856.3651513317755</v>
      </c>
      <c r="J867" s="31" t="n">
        <v>3449.488235315031</v>
      </c>
      <c r="K867" s="31" t="n">
        <v>2287.037037037037</v>
      </c>
      <c r="L867" s="31" t="n">
        <v>150</v>
      </c>
      <c r="M867" s="31">
        <f>I867+J867+K867+L867</f>
        <v/>
      </c>
      <c r="N867" s="31">
        <f>M867*'Dashboard &amp; Optimisation'!$B$18/('Dashboard &amp; Optimisation'!$B$16/3.6)</f>
        <v/>
      </c>
      <c r="O867" s="31" t="n">
        <v>667.8091655284035</v>
      </c>
      <c r="P867" s="32" t="n">
        <v>0.3178141987215173</v>
      </c>
      <c r="Q867" s="33" t="n">
        <v>7.231715741890194</v>
      </c>
      <c r="R867" s="31" t="n">
        <v>664.7789741967472</v>
      </c>
      <c r="S867" s="31">
        <f>R867*IF(A867=4, 2.0, 3.0)</f>
        <v/>
      </c>
      <c r="T867" s="30">
        <f>'Dashboard &amp; Optimisation'!$B$18*U867</f>
        <v/>
      </c>
      <c r="U867" s="34">
        <f>MIN(1, S867/M867)</f>
        <v/>
      </c>
      <c r="V867" s="34">
        <f>N867/(N867+O867)</f>
        <v/>
      </c>
      <c r="W867" s="34">
        <f>U867*V867</f>
        <v/>
      </c>
      <c r="X867" s="32">
        <f>T867/N867</f>
        <v/>
      </c>
      <c r="Y867" s="35">
        <f>IF(W867=MAXIFS(W$2:W$3601, A$2:A$3601, A867, B$2:B$3601, B867), "OPTIMAL", "")</f>
        <v/>
      </c>
    </row>
    <row r="868" ht="20" customHeight="1">
      <c r="A868" s="21" t="n">
        <v>4</v>
      </c>
      <c r="B868" s="21" t="n">
        <v>35</v>
      </c>
      <c r="C868" s="22" t="n">
        <v>95</v>
      </c>
      <c r="D868" s="22" t="n">
        <v>3</v>
      </c>
      <c r="E868" s="23" t="n">
        <v>4</v>
      </c>
      <c r="F868" s="22" t="n">
        <v>1.5</v>
      </c>
      <c r="G868" s="23" t="inlineStr">
        <is>
          <t>Non</t>
        </is>
      </c>
      <c r="H868" s="23" t="inlineStr">
        <is>
          <t>ON</t>
        </is>
      </c>
      <c r="I868" s="24" t="n">
        <v>856.3651513317755</v>
      </c>
      <c r="J868" s="24" t="n">
        <v>3449.488235315031</v>
      </c>
      <c r="K868" s="24" t="n">
        <v>2287.037037037037</v>
      </c>
      <c r="L868" s="24" t="n">
        <v>150</v>
      </c>
      <c r="M868" s="24">
        <f>I868+J868+K868+L868</f>
        <v/>
      </c>
      <c r="N868" s="24">
        <f>M868*'Dashboard &amp; Optimisation'!$B$18/('Dashboard &amp; Optimisation'!$B$16/3.6)</f>
        <v/>
      </c>
      <c r="O868" s="24" t="n">
        <v>667.8091655284035</v>
      </c>
      <c r="P868" s="25" t="n">
        <v>0.07200592434537897</v>
      </c>
      <c r="Q868" s="26" t="n">
        <v>7.231715741890194</v>
      </c>
      <c r="R868" s="24" t="n">
        <v>2934.150195723586</v>
      </c>
      <c r="S868" s="24">
        <f>R868*IF(A868=4, 2.0, 3.0)</f>
        <v/>
      </c>
      <c r="T868" s="22">
        <f>'Dashboard &amp; Optimisation'!$B$18*U868</f>
        <v/>
      </c>
      <c r="U868" s="27">
        <f>MIN(1, S868/M868)</f>
        <v/>
      </c>
      <c r="V868" s="27">
        <f>N868/(N868+O868)</f>
        <v/>
      </c>
      <c r="W868" s="27">
        <f>U868*V868</f>
        <v/>
      </c>
      <c r="X868" s="25">
        <f>T868/N868</f>
        <v/>
      </c>
      <c r="Y868" s="28">
        <f>IF(W868=MAXIFS(W$2:W$3601, A$2:A$3601, A868, B$2:B$3601, B868), "OPTIMAL", "")</f>
        <v/>
      </c>
    </row>
    <row r="869" ht="20" customHeight="1">
      <c r="A869" s="29" t="n">
        <v>4</v>
      </c>
      <c r="B869" s="29" t="n">
        <v>35</v>
      </c>
      <c r="C869" s="30" t="n">
        <v>95</v>
      </c>
      <c r="D869" s="30" t="n">
        <v>3</v>
      </c>
      <c r="E869" s="6" t="n">
        <v>4</v>
      </c>
      <c r="F869" s="30" t="n">
        <v>1.5</v>
      </c>
      <c r="G869" s="6" t="inlineStr">
        <is>
          <t>Non</t>
        </is>
      </c>
      <c r="H869" s="6" t="inlineStr">
        <is>
          <t>OFF</t>
        </is>
      </c>
      <c r="I869" s="31" t="n">
        <v>856.3651513317755</v>
      </c>
      <c r="J869" s="31" t="n">
        <v>3449.488235315031</v>
      </c>
      <c r="K869" s="31" t="n">
        <v>2287.037037037037</v>
      </c>
      <c r="L869" s="31" t="n">
        <v>150</v>
      </c>
      <c r="M869" s="31">
        <f>I869+J869+K869+L869</f>
        <v/>
      </c>
      <c r="N869" s="31">
        <f>M869*'Dashboard &amp; Optimisation'!$B$18/('Dashboard &amp; Optimisation'!$B$16/3.6)</f>
        <v/>
      </c>
      <c r="O869" s="31" t="n">
        <v>667.8091655284035</v>
      </c>
      <c r="P869" s="32" t="n">
        <v>0.3144635683406353</v>
      </c>
      <c r="Q869" s="33" t="n">
        <v>7.231715741890194</v>
      </c>
      <c r="R869" s="31" t="n">
        <v>671.8622386883031</v>
      </c>
      <c r="S869" s="31">
        <f>R869*IF(A869=4, 2.0, 3.0)</f>
        <v/>
      </c>
      <c r="T869" s="30">
        <f>'Dashboard &amp; Optimisation'!$B$18*U869</f>
        <v/>
      </c>
      <c r="U869" s="34">
        <f>MIN(1, S869/M869)</f>
        <v/>
      </c>
      <c r="V869" s="34">
        <f>N869/(N869+O869)</f>
        <v/>
      </c>
      <c r="W869" s="34">
        <f>U869*V869</f>
        <v/>
      </c>
      <c r="X869" s="32">
        <f>T869/N869</f>
        <v/>
      </c>
      <c r="Y869" s="35">
        <f>IF(W869=MAXIFS(W$2:W$3601, A$2:A$3601, A869, B$2:B$3601, B869), "OPTIMAL", "")</f>
        <v/>
      </c>
    </row>
    <row r="870" ht="20" customHeight="1">
      <c r="A870" s="21" t="n">
        <v>4</v>
      </c>
      <c r="B870" s="21" t="n">
        <v>35</v>
      </c>
      <c r="C870" s="22" t="n">
        <v>95</v>
      </c>
      <c r="D870" s="22" t="n">
        <v>3</v>
      </c>
      <c r="E870" s="23" t="n">
        <v>4</v>
      </c>
      <c r="F870" s="22" t="n">
        <v>2</v>
      </c>
      <c r="G870" s="23" t="inlineStr">
        <is>
          <t>Oui</t>
        </is>
      </c>
      <c r="H870" s="23" t="inlineStr">
        <is>
          <t>ON</t>
        </is>
      </c>
      <c r="I870" s="24" t="n">
        <v>856.3651513317755</v>
      </c>
      <c r="J870" s="24" t="n">
        <v>3449.488235315031</v>
      </c>
      <c r="K870" s="24" t="n">
        <v>2287.037037037037</v>
      </c>
      <c r="L870" s="24" t="n">
        <v>150</v>
      </c>
      <c r="M870" s="24">
        <f>I870+J870+K870+L870</f>
        <v/>
      </c>
      <c r="N870" s="24">
        <f>M870*'Dashboard &amp; Optimisation'!$B$18/('Dashboard &amp; Optimisation'!$B$16/3.6)</f>
        <v/>
      </c>
      <c r="O870" s="24" t="n">
        <v>734.2403248751053</v>
      </c>
      <c r="P870" s="25" t="n">
        <v>0.072877449969957</v>
      </c>
      <c r="Q870" s="26" t="n">
        <v>9.575620989186925</v>
      </c>
      <c r="R870" s="24" t="n">
        <v>2933.832452356288</v>
      </c>
      <c r="S870" s="24">
        <f>R870*IF(A870=4, 2.0, 3.0)</f>
        <v/>
      </c>
      <c r="T870" s="22">
        <f>'Dashboard &amp; Optimisation'!$B$18*U870</f>
        <v/>
      </c>
      <c r="U870" s="27">
        <f>MIN(1, S870/M870)</f>
        <v/>
      </c>
      <c r="V870" s="27">
        <f>N870/(N870+O870)</f>
        <v/>
      </c>
      <c r="W870" s="27">
        <f>U870*V870</f>
        <v/>
      </c>
      <c r="X870" s="25">
        <f>T870/N870</f>
        <v/>
      </c>
      <c r="Y870" s="28">
        <f>IF(W870=MAXIFS(W$2:W$3601, A$2:A$3601, A870, B$2:B$3601, B870), "OPTIMAL", "")</f>
        <v/>
      </c>
    </row>
    <row r="871" ht="20" customHeight="1">
      <c r="A871" s="29" t="n">
        <v>4</v>
      </c>
      <c r="B871" s="29" t="n">
        <v>35</v>
      </c>
      <c r="C871" s="30" t="n">
        <v>95</v>
      </c>
      <c r="D871" s="30" t="n">
        <v>3</v>
      </c>
      <c r="E871" s="6" t="n">
        <v>4</v>
      </c>
      <c r="F871" s="30" t="n">
        <v>2</v>
      </c>
      <c r="G871" s="6" t="inlineStr">
        <is>
          <t>Oui</t>
        </is>
      </c>
      <c r="H871" s="6" t="inlineStr">
        <is>
          <t>OFF</t>
        </is>
      </c>
      <c r="I871" s="31" t="n">
        <v>856.3651513317755</v>
      </c>
      <c r="J871" s="31" t="n">
        <v>3449.488235315031</v>
      </c>
      <c r="K871" s="31" t="n">
        <v>2287.037037037037</v>
      </c>
      <c r="L871" s="31" t="n">
        <v>150</v>
      </c>
      <c r="M871" s="31">
        <f>I871+J871+K871+L871</f>
        <v/>
      </c>
      <c r="N871" s="31">
        <f>M871*'Dashboard &amp; Optimisation'!$B$18/('Dashboard &amp; Optimisation'!$B$16/3.6)</f>
        <v/>
      </c>
      <c r="O871" s="31" t="n">
        <v>734.2403248751053</v>
      </c>
      <c r="P871" s="32" t="n">
        <v>0.3165144364464006</v>
      </c>
      <c r="Q871" s="33" t="n">
        <v>9.575620989186925</v>
      </c>
      <c r="R871" s="31" t="n">
        <v>675.5149312219091</v>
      </c>
      <c r="S871" s="31">
        <f>R871*IF(A871=4, 2.0, 3.0)</f>
        <v/>
      </c>
      <c r="T871" s="30">
        <f>'Dashboard &amp; Optimisation'!$B$18*U871</f>
        <v/>
      </c>
      <c r="U871" s="34">
        <f>MIN(1, S871/M871)</f>
        <v/>
      </c>
      <c r="V871" s="34">
        <f>N871/(N871+O871)</f>
        <v/>
      </c>
      <c r="W871" s="34">
        <f>U871*V871</f>
        <v/>
      </c>
      <c r="X871" s="32">
        <f>T871/N871</f>
        <v/>
      </c>
      <c r="Y871" s="35">
        <f>IF(W871=MAXIFS(W$2:W$3601, A$2:A$3601, A871, B$2:B$3601, B871), "OPTIMAL", "")</f>
        <v/>
      </c>
    </row>
    <row r="872" ht="20" customHeight="1">
      <c r="A872" s="21" t="n">
        <v>4</v>
      </c>
      <c r="B872" s="21" t="n">
        <v>35</v>
      </c>
      <c r="C872" s="22" t="n">
        <v>95</v>
      </c>
      <c r="D872" s="22" t="n">
        <v>3</v>
      </c>
      <c r="E872" s="23" t="n">
        <v>4</v>
      </c>
      <c r="F872" s="22" t="n">
        <v>2</v>
      </c>
      <c r="G872" s="23" t="inlineStr">
        <is>
          <t>Non</t>
        </is>
      </c>
      <c r="H872" s="23" t="inlineStr">
        <is>
          <t>ON</t>
        </is>
      </c>
      <c r="I872" s="24" t="n">
        <v>856.3651513317755</v>
      </c>
      <c r="J872" s="24" t="n">
        <v>3449.488235315031</v>
      </c>
      <c r="K872" s="24" t="n">
        <v>2287.037037037037</v>
      </c>
      <c r="L872" s="24" t="n">
        <v>150</v>
      </c>
      <c r="M872" s="24">
        <f>I872+J872+K872+L872</f>
        <v/>
      </c>
      <c r="N872" s="24">
        <f>M872*'Dashboard &amp; Optimisation'!$B$18/('Dashboard &amp; Optimisation'!$B$16/3.6)</f>
        <v/>
      </c>
      <c r="O872" s="24" t="n">
        <v>734.2403248751053</v>
      </c>
      <c r="P872" s="25" t="n">
        <v>0.06952681958907499</v>
      </c>
      <c r="Q872" s="26" t="n">
        <v>9.575620989186925</v>
      </c>
      <c r="R872" s="24" t="n">
        <v>3075.219448128308</v>
      </c>
      <c r="S872" s="24">
        <f>R872*IF(A872=4, 2.0, 3.0)</f>
        <v/>
      </c>
      <c r="T872" s="22">
        <f>'Dashboard &amp; Optimisation'!$B$18*U872</f>
        <v/>
      </c>
      <c r="U872" s="27">
        <f>MIN(1, S872/M872)</f>
        <v/>
      </c>
      <c r="V872" s="27">
        <f>N872/(N872+O872)</f>
        <v/>
      </c>
      <c r="W872" s="27">
        <f>U872*V872</f>
        <v/>
      </c>
      <c r="X872" s="25">
        <f>T872/N872</f>
        <v/>
      </c>
      <c r="Y872" s="28">
        <f>IF(W872=MAXIFS(W$2:W$3601, A$2:A$3601, A872, B$2:B$3601, B872), "OPTIMAL", "")</f>
        <v/>
      </c>
    </row>
    <row r="873" ht="20" customHeight="1">
      <c r="A873" s="29" t="n">
        <v>4</v>
      </c>
      <c r="B873" s="29" t="n">
        <v>35</v>
      </c>
      <c r="C873" s="30" t="n">
        <v>95</v>
      </c>
      <c r="D873" s="30" t="n">
        <v>3</v>
      </c>
      <c r="E873" s="6" t="n">
        <v>4</v>
      </c>
      <c r="F873" s="30" t="n">
        <v>2</v>
      </c>
      <c r="G873" s="6" t="inlineStr">
        <is>
          <t>Non</t>
        </is>
      </c>
      <c r="H873" s="6" t="inlineStr">
        <is>
          <t>OFF</t>
        </is>
      </c>
      <c r="I873" s="31" t="n">
        <v>856.3651513317755</v>
      </c>
      <c r="J873" s="31" t="n">
        <v>3449.488235315031</v>
      </c>
      <c r="K873" s="31" t="n">
        <v>2287.037037037037</v>
      </c>
      <c r="L873" s="31" t="n">
        <v>150</v>
      </c>
      <c r="M873" s="31">
        <f>I873+J873+K873+L873</f>
        <v/>
      </c>
      <c r="N873" s="31">
        <f>M873*'Dashboard &amp; Optimisation'!$B$18/('Dashboard &amp; Optimisation'!$B$16/3.6)</f>
        <v/>
      </c>
      <c r="O873" s="31" t="n">
        <v>734.2403248751053</v>
      </c>
      <c r="P873" s="32" t="n">
        <v>0.3131638060655186</v>
      </c>
      <c r="Q873" s="33" t="n">
        <v>9.575620989186925</v>
      </c>
      <c r="R873" s="31" t="n">
        <v>682.7424613753076</v>
      </c>
      <c r="S873" s="31">
        <f>R873*IF(A873=4, 2.0, 3.0)</f>
        <v/>
      </c>
      <c r="T873" s="30">
        <f>'Dashboard &amp; Optimisation'!$B$18*U873</f>
        <v/>
      </c>
      <c r="U873" s="34">
        <f>MIN(1, S873/M873)</f>
        <v/>
      </c>
      <c r="V873" s="34">
        <f>N873/(N873+O873)</f>
        <v/>
      </c>
      <c r="W873" s="34">
        <f>U873*V873</f>
        <v/>
      </c>
      <c r="X873" s="32">
        <f>T873/N873</f>
        <v/>
      </c>
      <c r="Y873" s="35">
        <f>IF(W873=MAXIFS(W$2:W$3601, A$2:A$3601, A873, B$2:B$3601, B873), "OPTIMAL", "")</f>
        <v/>
      </c>
    </row>
    <row r="874" ht="20" customHeight="1">
      <c r="A874" s="21" t="n">
        <v>4</v>
      </c>
      <c r="B874" s="21" t="n">
        <v>35</v>
      </c>
      <c r="C874" s="22" t="n">
        <v>95</v>
      </c>
      <c r="D874" s="22" t="n">
        <v>3</v>
      </c>
      <c r="E874" s="23" t="n">
        <v>8</v>
      </c>
      <c r="F874" s="22" t="n">
        <v>1.5</v>
      </c>
      <c r="G874" s="23" t="inlineStr">
        <is>
          <t>Oui</t>
        </is>
      </c>
      <c r="H874" s="23" t="inlineStr">
        <is>
          <t>ON</t>
        </is>
      </c>
      <c r="I874" s="24" t="n">
        <v>856.3651513317755</v>
      </c>
      <c r="J874" s="24" t="n">
        <v>3449.488235315031</v>
      </c>
      <c r="K874" s="24" t="n">
        <v>2287.037037037037</v>
      </c>
      <c r="L874" s="24" t="n">
        <v>150</v>
      </c>
      <c r="M874" s="24">
        <f>I874+J874+K874+L874</f>
        <v/>
      </c>
      <c r="N874" s="24">
        <f>M874*'Dashboard &amp; Optimisation'!$B$18/('Dashboard &amp; Optimisation'!$B$16/3.6)</f>
        <v/>
      </c>
      <c r="O874" s="24" t="n">
        <v>872.0007607210207</v>
      </c>
      <c r="P874" s="25" t="n">
        <v>0.05688455314032285</v>
      </c>
      <c r="Q874" s="26" t="n">
        <v>14.26343148378039</v>
      </c>
      <c r="R874" s="24" t="n">
        <v>3851.047725769722</v>
      </c>
      <c r="S874" s="24">
        <f>R874*IF(A874=4, 2.0, 3.0)</f>
        <v/>
      </c>
      <c r="T874" s="22">
        <f>'Dashboard &amp; Optimisation'!$B$18*U874</f>
        <v/>
      </c>
      <c r="U874" s="27">
        <f>MIN(1, S874/M874)</f>
        <v/>
      </c>
      <c r="V874" s="27">
        <f>N874/(N874+O874)</f>
        <v/>
      </c>
      <c r="W874" s="27">
        <f>U874*V874</f>
        <v/>
      </c>
      <c r="X874" s="25">
        <f>T874/N874</f>
        <v/>
      </c>
      <c r="Y874" s="28">
        <f>IF(W874=MAXIFS(W$2:W$3601, A$2:A$3601, A874, B$2:B$3601, B874), "OPTIMAL", "")</f>
        <v/>
      </c>
    </row>
    <row r="875" ht="20" customHeight="1">
      <c r="A875" s="29" t="n">
        <v>4</v>
      </c>
      <c r="B875" s="29" t="n">
        <v>35</v>
      </c>
      <c r="C875" s="30" t="n">
        <v>95</v>
      </c>
      <c r="D875" s="30" t="n">
        <v>3</v>
      </c>
      <c r="E875" s="6" t="n">
        <v>8</v>
      </c>
      <c r="F875" s="30" t="n">
        <v>1.5</v>
      </c>
      <c r="G875" s="6" t="inlineStr">
        <is>
          <t>Oui</t>
        </is>
      </c>
      <c r="H875" s="6" t="inlineStr">
        <is>
          <t>OFF</t>
        </is>
      </c>
      <c r="I875" s="31" t="n">
        <v>856.3651513317755</v>
      </c>
      <c r="J875" s="31" t="n">
        <v>3449.488235315031</v>
      </c>
      <c r="K875" s="31" t="n">
        <v>2287.037037037037</v>
      </c>
      <c r="L875" s="31" t="n">
        <v>150</v>
      </c>
      <c r="M875" s="31">
        <f>I875+J875+K875+L875</f>
        <v/>
      </c>
      <c r="N875" s="31">
        <f>M875*'Dashboard &amp; Optimisation'!$B$18/('Dashboard &amp; Optimisation'!$B$16/3.6)</f>
        <v/>
      </c>
      <c r="O875" s="31" t="n">
        <v>872.0007607210207</v>
      </c>
      <c r="P875" s="32" t="n">
        <v>0.246840465467505</v>
      </c>
      <c r="Q875" s="33" t="n">
        <v>14.26343148378039</v>
      </c>
      <c r="R875" s="31" t="n">
        <v>887.4765674565048</v>
      </c>
      <c r="S875" s="31">
        <f>R875*IF(A875=4, 2.0, 3.0)</f>
        <v/>
      </c>
      <c r="T875" s="30">
        <f>'Dashboard &amp; Optimisation'!$B$18*U875</f>
        <v/>
      </c>
      <c r="U875" s="34">
        <f>MIN(1, S875/M875)</f>
        <v/>
      </c>
      <c r="V875" s="34">
        <f>N875/(N875+O875)</f>
        <v/>
      </c>
      <c r="W875" s="34">
        <f>U875*V875</f>
        <v/>
      </c>
      <c r="X875" s="32">
        <f>T875/N875</f>
        <v/>
      </c>
      <c r="Y875" s="35">
        <f>IF(W875=MAXIFS(W$2:W$3601, A$2:A$3601, A875, B$2:B$3601, B875), "OPTIMAL", "")</f>
        <v/>
      </c>
    </row>
    <row r="876" ht="20" customHeight="1">
      <c r="A876" s="21" t="n">
        <v>4</v>
      </c>
      <c r="B876" s="21" t="n">
        <v>35</v>
      </c>
      <c r="C876" s="22" t="n">
        <v>95</v>
      </c>
      <c r="D876" s="22" t="n">
        <v>3</v>
      </c>
      <c r="E876" s="23" t="n">
        <v>8</v>
      </c>
      <c r="F876" s="22" t="n">
        <v>1.5</v>
      </c>
      <c r="G876" s="23" t="inlineStr">
        <is>
          <t>Non</t>
        </is>
      </c>
      <c r="H876" s="23" t="inlineStr">
        <is>
          <t>ON</t>
        </is>
      </c>
      <c r="I876" s="24" t="n">
        <v>856.3651513317755</v>
      </c>
      <c r="J876" s="24" t="n">
        <v>3449.488235315031</v>
      </c>
      <c r="K876" s="24" t="n">
        <v>2287.037037037037</v>
      </c>
      <c r="L876" s="24" t="n">
        <v>150</v>
      </c>
      <c r="M876" s="24">
        <f>I876+J876+K876+L876</f>
        <v/>
      </c>
      <c r="N876" s="24">
        <f>M876*'Dashboard &amp; Optimisation'!$B$18/('Dashboard &amp; Optimisation'!$B$16/3.6)</f>
        <v/>
      </c>
      <c r="O876" s="24" t="n">
        <v>872.0007607210207</v>
      </c>
      <c r="P876" s="25" t="n">
        <v>0.05353392275944084</v>
      </c>
      <c r="Q876" s="26" t="n">
        <v>14.26343148378039</v>
      </c>
      <c r="R876" s="24" t="n">
        <v>4092.080641780253</v>
      </c>
      <c r="S876" s="24">
        <f>R876*IF(A876=4, 2.0, 3.0)</f>
        <v/>
      </c>
      <c r="T876" s="22">
        <f>'Dashboard &amp; Optimisation'!$B$18*U876</f>
        <v/>
      </c>
      <c r="U876" s="27">
        <f>MIN(1, S876/M876)</f>
        <v/>
      </c>
      <c r="V876" s="27">
        <f>N876/(N876+O876)</f>
        <v/>
      </c>
      <c r="W876" s="27">
        <f>U876*V876</f>
        <v/>
      </c>
      <c r="X876" s="25">
        <f>T876/N876</f>
        <v/>
      </c>
      <c r="Y876" s="28">
        <f>IF(W876=MAXIFS(W$2:W$3601, A$2:A$3601, A876, B$2:B$3601, B876), "OPTIMAL", "")</f>
        <v/>
      </c>
    </row>
    <row r="877" ht="20" customHeight="1">
      <c r="A877" s="29" t="n">
        <v>4</v>
      </c>
      <c r="B877" s="29" t="n">
        <v>35</v>
      </c>
      <c r="C877" s="30" t="n">
        <v>95</v>
      </c>
      <c r="D877" s="30" t="n">
        <v>3</v>
      </c>
      <c r="E877" s="6" t="n">
        <v>8</v>
      </c>
      <c r="F877" s="30" t="n">
        <v>1.5</v>
      </c>
      <c r="G877" s="6" t="inlineStr">
        <is>
          <t>Non</t>
        </is>
      </c>
      <c r="H877" s="6" t="inlineStr">
        <is>
          <t>OFF</t>
        </is>
      </c>
      <c r="I877" s="31" t="n">
        <v>856.3651513317755</v>
      </c>
      <c r="J877" s="31" t="n">
        <v>3449.488235315031</v>
      </c>
      <c r="K877" s="31" t="n">
        <v>2287.037037037037</v>
      </c>
      <c r="L877" s="31" t="n">
        <v>150</v>
      </c>
      <c r="M877" s="31">
        <f>I877+J877+K877+L877</f>
        <v/>
      </c>
      <c r="N877" s="31">
        <f>M877*'Dashboard &amp; Optimisation'!$B$18/('Dashboard &amp; Optimisation'!$B$16/3.6)</f>
        <v/>
      </c>
      <c r="O877" s="31" t="n">
        <v>872.0007607210207</v>
      </c>
      <c r="P877" s="32" t="n">
        <v>0.2434898350866229</v>
      </c>
      <c r="Q877" s="33" t="n">
        <v>14.26343148378039</v>
      </c>
      <c r="R877" s="31" t="n">
        <v>899.6890113483936</v>
      </c>
      <c r="S877" s="31">
        <f>R877*IF(A877=4, 2.0, 3.0)</f>
        <v/>
      </c>
      <c r="T877" s="30">
        <f>'Dashboard &amp; Optimisation'!$B$18*U877</f>
        <v/>
      </c>
      <c r="U877" s="34">
        <f>MIN(1, S877/M877)</f>
        <v/>
      </c>
      <c r="V877" s="34">
        <f>N877/(N877+O877)</f>
        <v/>
      </c>
      <c r="W877" s="34">
        <f>U877*V877</f>
        <v/>
      </c>
      <c r="X877" s="32">
        <f>T877/N877</f>
        <v/>
      </c>
      <c r="Y877" s="35">
        <f>IF(W877=MAXIFS(W$2:W$3601, A$2:A$3601, A877, B$2:B$3601, B877), "OPTIMAL", "")</f>
        <v/>
      </c>
    </row>
    <row r="878" ht="20" customHeight="1">
      <c r="A878" s="21" t="n">
        <v>4</v>
      </c>
      <c r="B878" s="21" t="n">
        <v>35</v>
      </c>
      <c r="C878" s="22" t="n">
        <v>95</v>
      </c>
      <c r="D878" s="22" t="n">
        <v>3</v>
      </c>
      <c r="E878" s="23" t="n">
        <v>8</v>
      </c>
      <c r="F878" s="22" t="n">
        <v>2</v>
      </c>
      <c r="G878" s="23" t="inlineStr">
        <is>
          <t>Oui</t>
        </is>
      </c>
      <c r="H878" s="23" t="inlineStr">
        <is>
          <t>ON</t>
        </is>
      </c>
      <c r="I878" s="24" t="n">
        <v>856.3651513317755</v>
      </c>
      <c r="J878" s="24" t="n">
        <v>3449.488235315031</v>
      </c>
      <c r="K878" s="24" t="n">
        <v>2287.037037037037</v>
      </c>
      <c r="L878" s="24" t="n">
        <v>150</v>
      </c>
      <c r="M878" s="24">
        <f>I878+J878+K878+L878</f>
        <v/>
      </c>
      <c r="N878" s="24">
        <f>M878*'Dashboard &amp; Optimisation'!$B$18/('Dashboard &amp; Optimisation'!$B$16/3.6)</f>
        <v/>
      </c>
      <c r="O878" s="24" t="n">
        <v>1016.703407025801</v>
      </c>
      <c r="P878" s="25" t="n">
        <v>0.0557699285087862</v>
      </c>
      <c r="Q878" s="26" t="n">
        <v>18.95124197837385</v>
      </c>
      <c r="R878" s="24" t="n">
        <v>4026.988169847798</v>
      </c>
      <c r="S878" s="24">
        <f>R878*IF(A878=4, 2.0, 3.0)</f>
        <v/>
      </c>
      <c r="T878" s="22">
        <f>'Dashboard &amp; Optimisation'!$B$18*U878</f>
        <v/>
      </c>
      <c r="U878" s="27">
        <f>MIN(1, S878/M878)</f>
        <v/>
      </c>
      <c r="V878" s="27">
        <f>N878/(N878+O878)</f>
        <v/>
      </c>
      <c r="W878" s="27">
        <f>U878*V878</f>
        <v/>
      </c>
      <c r="X878" s="25">
        <f>T878/N878</f>
        <v/>
      </c>
      <c r="Y878" s="28">
        <f>IF(W878=MAXIFS(W$2:W$3601, A$2:A$3601, A878, B$2:B$3601, B878), "OPTIMAL", "")</f>
        <v/>
      </c>
    </row>
    <row r="879" ht="20" customHeight="1">
      <c r="A879" s="29" t="n">
        <v>4</v>
      </c>
      <c r="B879" s="29" t="n">
        <v>35</v>
      </c>
      <c r="C879" s="30" t="n">
        <v>95</v>
      </c>
      <c r="D879" s="30" t="n">
        <v>3</v>
      </c>
      <c r="E879" s="6" t="n">
        <v>8</v>
      </c>
      <c r="F879" s="30" t="n">
        <v>2</v>
      </c>
      <c r="G879" s="6" t="inlineStr">
        <is>
          <t>Oui</t>
        </is>
      </c>
      <c r="H879" s="6" t="inlineStr">
        <is>
          <t>OFF</t>
        </is>
      </c>
      <c r="I879" s="31" t="n">
        <v>856.3651513317755</v>
      </c>
      <c r="J879" s="31" t="n">
        <v>3449.488235315031</v>
      </c>
      <c r="K879" s="31" t="n">
        <v>2287.037037037037</v>
      </c>
      <c r="L879" s="31" t="n">
        <v>150</v>
      </c>
      <c r="M879" s="31">
        <f>I879+J879+K879+L879</f>
        <v/>
      </c>
      <c r="N879" s="31">
        <f>M879*'Dashboard &amp; Optimisation'!$B$18/('Dashboard &amp; Optimisation'!$B$16/3.6)</f>
        <v/>
      </c>
      <c r="O879" s="31" t="n">
        <v>1016.703407025801</v>
      </c>
      <c r="P879" s="32" t="n">
        <v>0.2471780798795112</v>
      </c>
      <c r="Q879" s="33" t="n">
        <v>18.95124197837385</v>
      </c>
      <c r="R879" s="31" t="n">
        <v>908.5953028181749</v>
      </c>
      <c r="S879" s="31">
        <f>R879*IF(A879=4, 2.0, 3.0)</f>
        <v/>
      </c>
      <c r="T879" s="30">
        <f>'Dashboard &amp; Optimisation'!$B$18*U879</f>
        <v/>
      </c>
      <c r="U879" s="34">
        <f>MIN(1, S879/M879)</f>
        <v/>
      </c>
      <c r="V879" s="34">
        <f>N879/(N879+O879)</f>
        <v/>
      </c>
      <c r="W879" s="34">
        <f>U879*V879</f>
        <v/>
      </c>
      <c r="X879" s="32">
        <f>T879/N879</f>
        <v/>
      </c>
      <c r="Y879" s="35">
        <f>IF(W879=MAXIFS(W$2:W$3601, A$2:A$3601, A879, B$2:B$3601, B879), "OPTIMAL", "")</f>
        <v/>
      </c>
    </row>
    <row r="880" ht="20" customHeight="1">
      <c r="A880" s="21" t="n">
        <v>4</v>
      </c>
      <c r="B880" s="21" t="n">
        <v>35</v>
      </c>
      <c r="C880" s="22" t="n">
        <v>95</v>
      </c>
      <c r="D880" s="22" t="n">
        <v>3</v>
      </c>
      <c r="E880" s="23" t="n">
        <v>8</v>
      </c>
      <c r="F880" s="22" t="n">
        <v>2</v>
      </c>
      <c r="G880" s="23" t="inlineStr">
        <is>
          <t>Non</t>
        </is>
      </c>
      <c r="H880" s="23" t="inlineStr">
        <is>
          <t>ON</t>
        </is>
      </c>
      <c r="I880" s="24" t="n">
        <v>856.3651513317755</v>
      </c>
      <c r="J880" s="24" t="n">
        <v>3449.488235315031</v>
      </c>
      <c r="K880" s="24" t="n">
        <v>2287.037037037037</v>
      </c>
      <c r="L880" s="24" t="n">
        <v>150</v>
      </c>
      <c r="M880" s="24">
        <f>I880+J880+K880+L880</f>
        <v/>
      </c>
      <c r="N880" s="24">
        <f>M880*'Dashboard &amp; Optimisation'!$B$18/('Dashboard &amp; Optimisation'!$B$16/3.6)</f>
        <v/>
      </c>
      <c r="O880" s="24" t="n">
        <v>1016.703407025801</v>
      </c>
      <c r="P880" s="25" t="n">
        <v>0.05241929812790419</v>
      </c>
      <c r="Q880" s="26" t="n">
        <v>18.95124197837385</v>
      </c>
      <c r="R880" s="24" t="n">
        <v>4284.39239667322</v>
      </c>
      <c r="S880" s="24">
        <f>R880*IF(A880=4, 2.0, 3.0)</f>
        <v/>
      </c>
      <c r="T880" s="22">
        <f>'Dashboard &amp; Optimisation'!$B$18*U880</f>
        <v/>
      </c>
      <c r="U880" s="27">
        <f>MIN(1, S880/M880)</f>
        <v/>
      </c>
      <c r="V880" s="27">
        <f>N880/(N880+O880)</f>
        <v/>
      </c>
      <c r="W880" s="27">
        <f>U880*V880</f>
        <v/>
      </c>
      <c r="X880" s="25">
        <f>T880/N880</f>
        <v/>
      </c>
      <c r="Y880" s="28">
        <f>IF(W880=MAXIFS(W$2:W$3601, A$2:A$3601, A880, B$2:B$3601, B880), "OPTIMAL", "")</f>
        <v/>
      </c>
    </row>
    <row r="881" ht="20" customHeight="1">
      <c r="A881" s="29" t="n">
        <v>4</v>
      </c>
      <c r="B881" s="29" t="n">
        <v>35</v>
      </c>
      <c r="C881" s="30" t="n">
        <v>95</v>
      </c>
      <c r="D881" s="30" t="n">
        <v>3</v>
      </c>
      <c r="E881" s="6" t="n">
        <v>8</v>
      </c>
      <c r="F881" s="30" t="n">
        <v>2</v>
      </c>
      <c r="G881" s="6" t="inlineStr">
        <is>
          <t>Non</t>
        </is>
      </c>
      <c r="H881" s="6" t="inlineStr">
        <is>
          <t>OFF</t>
        </is>
      </c>
      <c r="I881" s="31" t="n">
        <v>856.3651513317755</v>
      </c>
      <c r="J881" s="31" t="n">
        <v>3449.488235315031</v>
      </c>
      <c r="K881" s="31" t="n">
        <v>2287.037037037037</v>
      </c>
      <c r="L881" s="31" t="n">
        <v>150</v>
      </c>
      <c r="M881" s="31">
        <f>I881+J881+K881+L881</f>
        <v/>
      </c>
      <c r="N881" s="31">
        <f>M881*'Dashboard &amp; Optimisation'!$B$18/('Dashboard &amp; Optimisation'!$B$16/3.6)</f>
        <v/>
      </c>
      <c r="O881" s="31" t="n">
        <v>1016.703407025801</v>
      </c>
      <c r="P881" s="32" t="n">
        <v>0.2438274494986292</v>
      </c>
      <c r="Q881" s="33" t="n">
        <v>18.95124197837385</v>
      </c>
      <c r="R881" s="31" t="n">
        <v>921.081046452902</v>
      </c>
      <c r="S881" s="31">
        <f>R881*IF(A881=4, 2.0, 3.0)</f>
        <v/>
      </c>
      <c r="T881" s="30">
        <f>'Dashboard &amp; Optimisation'!$B$18*U881</f>
        <v/>
      </c>
      <c r="U881" s="34">
        <f>MIN(1, S881/M881)</f>
        <v/>
      </c>
      <c r="V881" s="34">
        <f>N881/(N881+O881)</f>
        <v/>
      </c>
      <c r="W881" s="34">
        <f>U881*V881</f>
        <v/>
      </c>
      <c r="X881" s="32">
        <f>T881/N881</f>
        <v/>
      </c>
      <c r="Y881" s="35">
        <f>IF(W881=MAXIFS(W$2:W$3601, A$2:A$3601, A881, B$2:B$3601, B881), "OPTIMAL", "")</f>
        <v/>
      </c>
    </row>
    <row r="882" ht="20" customHeight="1">
      <c r="A882" s="21" t="n">
        <v>4</v>
      </c>
      <c r="B882" s="21" t="n">
        <v>35</v>
      </c>
      <c r="C882" s="22" t="n">
        <v>100</v>
      </c>
      <c r="D882" s="22" t="n">
        <v>2</v>
      </c>
      <c r="E882" s="23" t="n">
        <v>0</v>
      </c>
      <c r="F882" s="22" t="n">
        <v>0</v>
      </c>
      <c r="G882" s="23" t="inlineStr">
        <is>
          <t>Oui</t>
        </is>
      </c>
      <c r="H882" s="23" t="inlineStr">
        <is>
          <t>ON</t>
        </is>
      </c>
      <c r="I882" s="24" t="n">
        <v>856.3651513317755</v>
      </c>
      <c r="J882" s="24" t="n">
        <v>3449.488235315031</v>
      </c>
      <c r="K882" s="24" t="n">
        <v>2287.037037037037</v>
      </c>
      <c r="L882" s="24" t="n">
        <v>150</v>
      </c>
      <c r="M882" s="24">
        <f>I882+J882+K882+L882</f>
        <v/>
      </c>
      <c r="N882" s="24">
        <f>M882*'Dashboard &amp; Optimisation'!$B$18/('Dashboard &amp; Optimisation'!$B$16/3.6)</f>
        <v/>
      </c>
      <c r="O882" s="24" t="n">
        <v>291.5308506710375</v>
      </c>
      <c r="P882" s="25" t="n">
        <v>0.4806796209288155</v>
      </c>
      <c r="Q882" s="26" t="n">
        <v>0.2</v>
      </c>
      <c r="R882" s="24" t="n">
        <v>364.8035884246508</v>
      </c>
      <c r="S882" s="24">
        <f>R882*IF(A882=4, 2.0, 3.0)</f>
        <v/>
      </c>
      <c r="T882" s="22">
        <f>'Dashboard &amp; Optimisation'!$B$18*U882</f>
        <v/>
      </c>
      <c r="U882" s="27">
        <f>MIN(1, S882/M882)</f>
        <v/>
      </c>
      <c r="V882" s="27">
        <f>N882/(N882+O882)</f>
        <v/>
      </c>
      <c r="W882" s="27">
        <f>U882*V882</f>
        <v/>
      </c>
      <c r="X882" s="25">
        <f>T882/N882</f>
        <v/>
      </c>
      <c r="Y882" s="28">
        <f>IF(W882=MAXIFS(W$2:W$3601, A$2:A$3601, A882, B$2:B$3601, B882), "OPTIMAL", "")</f>
        <v/>
      </c>
    </row>
    <row r="883" ht="20" customHeight="1">
      <c r="A883" s="29" t="n">
        <v>4</v>
      </c>
      <c r="B883" s="29" t="n">
        <v>35</v>
      </c>
      <c r="C883" s="30" t="n">
        <v>100</v>
      </c>
      <c r="D883" s="30" t="n">
        <v>2</v>
      </c>
      <c r="E883" s="6" t="n">
        <v>0</v>
      </c>
      <c r="F883" s="30" t="n">
        <v>0</v>
      </c>
      <c r="G883" s="6" t="inlineStr">
        <is>
          <t>Oui</t>
        </is>
      </c>
      <c r="H883" s="6" t="inlineStr">
        <is>
          <t>OFF</t>
        </is>
      </c>
      <c r="I883" s="31" t="n">
        <v>856.3651513317755</v>
      </c>
      <c r="J883" s="31" t="n">
        <v>3449.488235315031</v>
      </c>
      <c r="K883" s="31" t="n">
        <v>2287.037037037037</v>
      </c>
      <c r="L883" s="31" t="n">
        <v>150</v>
      </c>
      <c r="M883" s="31">
        <f>I883+J883+K883+L883</f>
        <v/>
      </c>
      <c r="N883" s="31">
        <f>M883*'Dashboard &amp; Optimisation'!$B$18/('Dashboard &amp; Optimisation'!$B$16/3.6)</f>
        <v/>
      </c>
      <c r="O883" s="31" t="n">
        <v>291.5308506710375</v>
      </c>
      <c r="P883" s="32" t="n">
        <v>0.7989895071126063</v>
      </c>
      <c r="Q883" s="33" t="n">
        <v>0.2</v>
      </c>
      <c r="R883" s="31" t="n">
        <v>219.4692784278569</v>
      </c>
      <c r="S883" s="31">
        <f>R883*IF(A883=4, 2.0, 3.0)</f>
        <v/>
      </c>
      <c r="T883" s="30">
        <f>'Dashboard &amp; Optimisation'!$B$18*U883</f>
        <v/>
      </c>
      <c r="U883" s="34">
        <f>MIN(1, S883/M883)</f>
        <v/>
      </c>
      <c r="V883" s="34">
        <f>N883/(N883+O883)</f>
        <v/>
      </c>
      <c r="W883" s="34">
        <f>U883*V883</f>
        <v/>
      </c>
      <c r="X883" s="32">
        <f>T883/N883</f>
        <v/>
      </c>
      <c r="Y883" s="35">
        <f>IF(W883=MAXIFS(W$2:W$3601, A$2:A$3601, A883, B$2:B$3601, B883), "OPTIMAL", "")</f>
        <v/>
      </c>
    </row>
    <row r="884" ht="20" customHeight="1">
      <c r="A884" s="21" t="n">
        <v>4</v>
      </c>
      <c r="B884" s="21" t="n">
        <v>35</v>
      </c>
      <c r="C884" s="22" t="n">
        <v>100</v>
      </c>
      <c r="D884" s="22" t="n">
        <v>2</v>
      </c>
      <c r="E884" s="23" t="n">
        <v>0</v>
      </c>
      <c r="F884" s="22" t="n">
        <v>0</v>
      </c>
      <c r="G884" s="23" t="inlineStr">
        <is>
          <t>Non</t>
        </is>
      </c>
      <c r="H884" s="23" t="inlineStr">
        <is>
          <t>ON</t>
        </is>
      </c>
      <c r="I884" s="24" t="n">
        <v>856.3651513317755</v>
      </c>
      <c r="J884" s="24" t="n">
        <v>3449.488235315031</v>
      </c>
      <c r="K884" s="24" t="n">
        <v>2287.037037037037</v>
      </c>
      <c r="L884" s="24" t="n">
        <v>150</v>
      </c>
      <c r="M884" s="24">
        <f>I884+J884+K884+L884</f>
        <v/>
      </c>
      <c r="N884" s="24">
        <f>M884*'Dashboard &amp; Optimisation'!$B$18/('Dashboard &amp; Optimisation'!$B$16/3.6)</f>
        <v/>
      </c>
      <c r="O884" s="24" t="n">
        <v>291.5308506710375</v>
      </c>
      <c r="P884" s="25" t="n">
        <v>0.4774965220669776</v>
      </c>
      <c r="Q884" s="26" t="n">
        <v>0.2</v>
      </c>
      <c r="R884" s="24" t="n">
        <v>367.2354509271927</v>
      </c>
      <c r="S884" s="24">
        <f>R884*IF(A884=4, 2.0, 3.0)</f>
        <v/>
      </c>
      <c r="T884" s="22">
        <f>'Dashboard &amp; Optimisation'!$B$18*U884</f>
        <v/>
      </c>
      <c r="U884" s="27">
        <f>MIN(1, S884/M884)</f>
        <v/>
      </c>
      <c r="V884" s="27">
        <f>N884/(N884+O884)</f>
        <v/>
      </c>
      <c r="W884" s="27">
        <f>U884*V884</f>
        <v/>
      </c>
      <c r="X884" s="25">
        <f>T884/N884</f>
        <v/>
      </c>
      <c r="Y884" s="28">
        <f>IF(W884=MAXIFS(W$2:W$3601, A$2:A$3601, A884, B$2:B$3601, B884), "OPTIMAL", "")</f>
        <v/>
      </c>
    </row>
    <row r="885" ht="20" customHeight="1">
      <c r="A885" s="29" t="n">
        <v>4</v>
      </c>
      <c r="B885" s="29" t="n">
        <v>35</v>
      </c>
      <c r="C885" s="30" t="n">
        <v>100</v>
      </c>
      <c r="D885" s="30" t="n">
        <v>2</v>
      </c>
      <c r="E885" s="6" t="n">
        <v>0</v>
      </c>
      <c r="F885" s="30" t="n">
        <v>0</v>
      </c>
      <c r="G885" s="6" t="inlineStr">
        <is>
          <t>Non</t>
        </is>
      </c>
      <c r="H885" s="6" t="inlineStr">
        <is>
          <t>OFF</t>
        </is>
      </c>
      <c r="I885" s="31" t="n">
        <v>856.3651513317755</v>
      </c>
      <c r="J885" s="31" t="n">
        <v>3449.488235315031</v>
      </c>
      <c r="K885" s="31" t="n">
        <v>2287.037037037037</v>
      </c>
      <c r="L885" s="31" t="n">
        <v>150</v>
      </c>
      <c r="M885" s="31">
        <f>I885+J885+K885+L885</f>
        <v/>
      </c>
      <c r="N885" s="31">
        <f>M885*'Dashboard &amp; Optimisation'!$B$18/('Dashboard &amp; Optimisation'!$B$16/3.6)</f>
        <v/>
      </c>
      <c r="O885" s="31" t="n">
        <v>291.5308506710375</v>
      </c>
      <c r="P885" s="32" t="n">
        <v>0.7958064082507683</v>
      </c>
      <c r="Q885" s="33" t="n">
        <v>0.2</v>
      </c>
      <c r="R885" s="31" t="n">
        <v>220.3471205803318</v>
      </c>
      <c r="S885" s="31">
        <f>R885*IF(A885=4, 2.0, 3.0)</f>
        <v/>
      </c>
      <c r="T885" s="30">
        <f>'Dashboard &amp; Optimisation'!$B$18*U885</f>
        <v/>
      </c>
      <c r="U885" s="34">
        <f>MIN(1, S885/M885)</f>
        <v/>
      </c>
      <c r="V885" s="34">
        <f>N885/(N885+O885)</f>
        <v/>
      </c>
      <c r="W885" s="34">
        <f>U885*V885</f>
        <v/>
      </c>
      <c r="X885" s="32">
        <f>T885/N885</f>
        <v/>
      </c>
      <c r="Y885" s="35">
        <f>IF(W885=MAXIFS(W$2:W$3601, A$2:A$3601, A885, B$2:B$3601, B885), "OPTIMAL", "")</f>
        <v/>
      </c>
    </row>
    <row r="886" ht="20" customHeight="1">
      <c r="A886" s="21" t="n">
        <v>4</v>
      </c>
      <c r="B886" s="21" t="n">
        <v>35</v>
      </c>
      <c r="C886" s="22" t="n">
        <v>100</v>
      </c>
      <c r="D886" s="22" t="n">
        <v>2</v>
      </c>
      <c r="E886" s="23" t="n">
        <v>4</v>
      </c>
      <c r="F886" s="22" t="n">
        <v>1.5</v>
      </c>
      <c r="G886" s="23" t="inlineStr">
        <is>
          <t>Oui</t>
        </is>
      </c>
      <c r="H886" s="23" t="inlineStr">
        <is>
          <t>ON</t>
        </is>
      </c>
      <c r="I886" s="24" t="n">
        <v>856.3651513317755</v>
      </c>
      <c r="J886" s="24" t="n">
        <v>3449.488235315031</v>
      </c>
      <c r="K886" s="24" t="n">
        <v>2287.037037037037</v>
      </c>
      <c r="L886" s="24" t="n">
        <v>150</v>
      </c>
      <c r="M886" s="24">
        <f>I886+J886+K886+L886</f>
        <v/>
      </c>
      <c r="N886" s="24">
        <f>M886*'Dashboard &amp; Optimisation'!$B$18/('Dashboard &amp; Optimisation'!$B$16/3.6)</f>
        <v/>
      </c>
      <c r="O886" s="24" t="n">
        <v>457.7979480022412</v>
      </c>
      <c r="P886" s="25" t="n">
        <v>0.07376163664698646</v>
      </c>
      <c r="Q886" s="26" t="n">
        <v>6.718986469044035</v>
      </c>
      <c r="R886" s="24" t="n">
        <v>2455.461275561574</v>
      </c>
      <c r="S886" s="24">
        <f>R886*IF(A886=4, 2.0, 3.0)</f>
        <v/>
      </c>
      <c r="T886" s="22">
        <f>'Dashboard &amp; Optimisation'!$B$18*U886</f>
        <v/>
      </c>
      <c r="U886" s="27">
        <f>MIN(1, S886/M886)</f>
        <v/>
      </c>
      <c r="V886" s="27">
        <f>N886/(N886+O886)</f>
        <v/>
      </c>
      <c r="W886" s="27">
        <f>U886*V886</f>
        <v/>
      </c>
      <c r="X886" s="25">
        <f>T886/N886</f>
        <v/>
      </c>
      <c r="Y886" s="28">
        <f>IF(W886=MAXIFS(W$2:W$3601, A$2:A$3601, A886, B$2:B$3601, B886), "OPTIMAL", "")</f>
        <v/>
      </c>
    </row>
    <row r="887" ht="20" customHeight="1">
      <c r="A887" s="29" t="n">
        <v>4</v>
      </c>
      <c r="B887" s="29" t="n">
        <v>35</v>
      </c>
      <c r="C887" s="30" t="n">
        <v>100</v>
      </c>
      <c r="D887" s="30" t="n">
        <v>2</v>
      </c>
      <c r="E887" s="6" t="n">
        <v>4</v>
      </c>
      <c r="F887" s="30" t="n">
        <v>1.5</v>
      </c>
      <c r="G887" s="6" t="inlineStr">
        <is>
          <t>Oui</t>
        </is>
      </c>
      <c r="H887" s="6" t="inlineStr">
        <is>
          <t>OFF</t>
        </is>
      </c>
      <c r="I887" s="31" t="n">
        <v>856.3651513317755</v>
      </c>
      <c r="J887" s="31" t="n">
        <v>3449.488235315031</v>
      </c>
      <c r="K887" s="31" t="n">
        <v>2287.037037037037</v>
      </c>
      <c r="L887" s="31" t="n">
        <v>150</v>
      </c>
      <c r="M887" s="31">
        <f>I887+J887+K887+L887</f>
        <v/>
      </c>
      <c r="N887" s="31">
        <f>M887*'Dashboard &amp; Optimisation'!$B$18/('Dashboard &amp; Optimisation'!$B$16/3.6)</f>
        <v/>
      </c>
      <c r="O887" s="31" t="n">
        <v>457.7979480022412</v>
      </c>
      <c r="P887" s="32" t="n">
        <v>0.3073240714228834</v>
      </c>
      <c r="Q887" s="33" t="n">
        <v>6.718986469044035</v>
      </c>
      <c r="R887" s="31" t="n">
        <v>589.3415428545977</v>
      </c>
      <c r="S887" s="31">
        <f>R887*IF(A887=4, 2.0, 3.0)</f>
        <v/>
      </c>
      <c r="T887" s="30">
        <f>'Dashboard &amp; Optimisation'!$B$18*U887</f>
        <v/>
      </c>
      <c r="U887" s="34">
        <f>MIN(1, S887/M887)</f>
        <v/>
      </c>
      <c r="V887" s="34">
        <f>N887/(N887+O887)</f>
        <v/>
      </c>
      <c r="W887" s="34">
        <f>U887*V887</f>
        <v/>
      </c>
      <c r="X887" s="32">
        <f>T887/N887</f>
        <v/>
      </c>
      <c r="Y887" s="35">
        <f>IF(W887=MAXIFS(W$2:W$3601, A$2:A$3601, A887, B$2:B$3601, B887), "OPTIMAL", "")</f>
        <v/>
      </c>
    </row>
    <row r="888" ht="20" customHeight="1">
      <c r="A888" s="21" t="n">
        <v>4</v>
      </c>
      <c r="B888" s="21" t="n">
        <v>35</v>
      </c>
      <c r="C888" s="22" t="n">
        <v>100</v>
      </c>
      <c r="D888" s="22" t="n">
        <v>2</v>
      </c>
      <c r="E888" s="23" t="n">
        <v>4</v>
      </c>
      <c r="F888" s="22" t="n">
        <v>1.5</v>
      </c>
      <c r="G888" s="23" t="inlineStr">
        <is>
          <t>Non</t>
        </is>
      </c>
      <c r="H888" s="23" t="inlineStr">
        <is>
          <t>ON</t>
        </is>
      </c>
      <c r="I888" s="24" t="n">
        <v>856.3651513317755</v>
      </c>
      <c r="J888" s="24" t="n">
        <v>3449.488235315031</v>
      </c>
      <c r="K888" s="24" t="n">
        <v>2287.037037037037</v>
      </c>
      <c r="L888" s="24" t="n">
        <v>150</v>
      </c>
      <c r="M888" s="24">
        <f>I888+J888+K888+L888</f>
        <v/>
      </c>
      <c r="N888" s="24">
        <f>M888*'Dashboard &amp; Optimisation'!$B$18/('Dashboard &amp; Optimisation'!$B$16/3.6)</f>
        <v/>
      </c>
      <c r="O888" s="24" t="n">
        <v>457.7979480022412</v>
      </c>
      <c r="P888" s="25" t="n">
        <v>0.07057853778514854</v>
      </c>
      <c r="Q888" s="26" t="n">
        <v>6.718986469044035</v>
      </c>
      <c r="R888" s="24" t="n">
        <v>2566.202815933522</v>
      </c>
      <c r="S888" s="24">
        <f>R888*IF(A888=4, 2.0, 3.0)</f>
        <v/>
      </c>
      <c r="T888" s="22">
        <f>'Dashboard &amp; Optimisation'!$B$18*U888</f>
        <v/>
      </c>
      <c r="U888" s="27">
        <f>MIN(1, S888/M888)</f>
        <v/>
      </c>
      <c r="V888" s="27">
        <f>N888/(N888+O888)</f>
        <v/>
      </c>
      <c r="W888" s="27">
        <f>U888*V888</f>
        <v/>
      </c>
      <c r="X888" s="25">
        <f>T888/N888</f>
        <v/>
      </c>
      <c r="Y888" s="28">
        <f>IF(W888=MAXIFS(W$2:W$3601, A$2:A$3601, A888, B$2:B$3601, B888), "OPTIMAL", "")</f>
        <v/>
      </c>
    </row>
    <row r="889" ht="20" customHeight="1">
      <c r="A889" s="29" t="n">
        <v>4</v>
      </c>
      <c r="B889" s="29" t="n">
        <v>35</v>
      </c>
      <c r="C889" s="30" t="n">
        <v>100</v>
      </c>
      <c r="D889" s="30" t="n">
        <v>2</v>
      </c>
      <c r="E889" s="6" t="n">
        <v>4</v>
      </c>
      <c r="F889" s="30" t="n">
        <v>1.5</v>
      </c>
      <c r="G889" s="6" t="inlineStr">
        <is>
          <t>Non</t>
        </is>
      </c>
      <c r="H889" s="6" t="inlineStr">
        <is>
          <t>OFF</t>
        </is>
      </c>
      <c r="I889" s="31" t="n">
        <v>856.3651513317755</v>
      </c>
      <c r="J889" s="31" t="n">
        <v>3449.488235315031</v>
      </c>
      <c r="K889" s="31" t="n">
        <v>2287.037037037037</v>
      </c>
      <c r="L889" s="31" t="n">
        <v>150</v>
      </c>
      <c r="M889" s="31">
        <f>I889+J889+K889+L889</f>
        <v/>
      </c>
      <c r="N889" s="31">
        <f>M889*'Dashboard &amp; Optimisation'!$B$18/('Dashboard &amp; Optimisation'!$B$16/3.6)</f>
        <v/>
      </c>
      <c r="O889" s="31" t="n">
        <v>457.7979480022412</v>
      </c>
      <c r="P889" s="32" t="n">
        <v>0.3041409725610454</v>
      </c>
      <c r="Q889" s="33" t="n">
        <v>6.718986469044035</v>
      </c>
      <c r="R889" s="31" t="n">
        <v>595.5095128538314</v>
      </c>
      <c r="S889" s="31">
        <f>R889*IF(A889=4, 2.0, 3.0)</f>
        <v/>
      </c>
      <c r="T889" s="30">
        <f>'Dashboard &amp; Optimisation'!$B$18*U889</f>
        <v/>
      </c>
      <c r="U889" s="34">
        <f>MIN(1, S889/M889)</f>
        <v/>
      </c>
      <c r="V889" s="34">
        <f>N889/(N889+O889)</f>
        <v/>
      </c>
      <c r="W889" s="34">
        <f>U889*V889</f>
        <v/>
      </c>
      <c r="X889" s="32">
        <f>T889/N889</f>
        <v/>
      </c>
      <c r="Y889" s="35">
        <f>IF(W889=MAXIFS(W$2:W$3601, A$2:A$3601, A889, B$2:B$3601, B889), "OPTIMAL", "")</f>
        <v/>
      </c>
    </row>
    <row r="890" ht="20" customHeight="1">
      <c r="A890" s="21" t="n">
        <v>4</v>
      </c>
      <c r="B890" s="21" t="n">
        <v>35</v>
      </c>
      <c r="C890" s="22" t="n">
        <v>100</v>
      </c>
      <c r="D890" s="22" t="n">
        <v>2</v>
      </c>
      <c r="E890" s="23" t="n">
        <v>4</v>
      </c>
      <c r="F890" s="22" t="n">
        <v>2</v>
      </c>
      <c r="G890" s="23" t="inlineStr">
        <is>
          <t>Oui</t>
        </is>
      </c>
      <c r="H890" s="23" t="inlineStr">
        <is>
          <t>ON</t>
        </is>
      </c>
      <c r="I890" s="24" t="n">
        <v>856.3651513317755</v>
      </c>
      <c r="J890" s="24" t="n">
        <v>3449.488235315031</v>
      </c>
      <c r="K890" s="24" t="n">
        <v>2287.037037037037</v>
      </c>
      <c r="L890" s="24" t="n">
        <v>150</v>
      </c>
      <c r="M890" s="24">
        <f>I890+J890+K890+L890</f>
        <v/>
      </c>
      <c r="N890" s="24">
        <f>M890*'Dashboard &amp; Optimisation'!$B$18/('Dashboard &amp; Optimisation'!$B$16/3.6)</f>
        <v/>
      </c>
      <c r="O890" s="24" t="n">
        <v>515.6767671576853</v>
      </c>
      <c r="P890" s="25" t="n">
        <v>0.07106618988155999</v>
      </c>
      <c r="Q890" s="26" t="n">
        <v>8.891981958725379</v>
      </c>
      <c r="R890" s="24" t="n">
        <v>2576.833640143102</v>
      </c>
      <c r="S890" s="24">
        <f>R890*IF(A890=4, 2.0, 3.0)</f>
        <v/>
      </c>
      <c r="T890" s="22">
        <f>'Dashboard &amp; Optimisation'!$B$18*U890</f>
        <v/>
      </c>
      <c r="U890" s="27">
        <f>MIN(1, S890/M890)</f>
        <v/>
      </c>
      <c r="V890" s="27">
        <f>N890/(N890+O890)</f>
        <v/>
      </c>
      <c r="W890" s="27">
        <f>U890*V890</f>
        <v/>
      </c>
      <c r="X890" s="25">
        <f>T890/N890</f>
        <v/>
      </c>
      <c r="Y890" s="28">
        <f>IF(W890=MAXIFS(W$2:W$3601, A$2:A$3601, A890, B$2:B$3601, B890), "OPTIMAL", "")</f>
        <v/>
      </c>
    </row>
    <row r="891" ht="20" customHeight="1">
      <c r="A891" s="29" t="n">
        <v>4</v>
      </c>
      <c r="B891" s="29" t="n">
        <v>35</v>
      </c>
      <c r="C891" s="30" t="n">
        <v>100</v>
      </c>
      <c r="D891" s="30" t="n">
        <v>2</v>
      </c>
      <c r="E891" s="6" t="n">
        <v>4</v>
      </c>
      <c r="F891" s="30" t="n">
        <v>2</v>
      </c>
      <c r="G891" s="6" t="inlineStr">
        <is>
          <t>Oui</t>
        </is>
      </c>
      <c r="H891" s="6" t="inlineStr">
        <is>
          <t>OFF</t>
        </is>
      </c>
      <c r="I891" s="31" t="n">
        <v>856.3651513317755</v>
      </c>
      <c r="J891" s="31" t="n">
        <v>3449.488235315031</v>
      </c>
      <c r="K891" s="31" t="n">
        <v>2287.037037037037</v>
      </c>
      <c r="L891" s="31" t="n">
        <v>150</v>
      </c>
      <c r="M891" s="31">
        <f>I891+J891+K891+L891</f>
        <v/>
      </c>
      <c r="N891" s="31">
        <f>M891*'Dashboard &amp; Optimisation'!$B$18/('Dashboard &amp; Optimisation'!$B$16/3.6)</f>
        <v/>
      </c>
      <c r="O891" s="31" t="n">
        <v>515.6767671576853</v>
      </c>
      <c r="P891" s="32" t="n">
        <v>0.3057228026390766</v>
      </c>
      <c r="Q891" s="33" t="n">
        <v>8.891981958725379</v>
      </c>
      <c r="R891" s="31" t="n">
        <v>598.9927711731457</v>
      </c>
      <c r="S891" s="31">
        <f>R891*IF(A891=4, 2.0, 3.0)</f>
        <v/>
      </c>
      <c r="T891" s="30">
        <f>'Dashboard &amp; Optimisation'!$B$18*U891</f>
        <v/>
      </c>
      <c r="U891" s="34">
        <f>MIN(1, S891/M891)</f>
        <v/>
      </c>
      <c r="V891" s="34">
        <f>N891/(N891+O891)</f>
        <v/>
      </c>
      <c r="W891" s="34">
        <f>U891*V891</f>
        <v/>
      </c>
      <c r="X891" s="32">
        <f>T891/N891</f>
        <v/>
      </c>
      <c r="Y891" s="35">
        <f>IF(W891=MAXIFS(W$2:W$3601, A$2:A$3601, A891, B$2:B$3601, B891), "OPTIMAL", "")</f>
        <v/>
      </c>
    </row>
    <row r="892" ht="20" customHeight="1">
      <c r="A892" s="21" t="n">
        <v>4</v>
      </c>
      <c r="B892" s="21" t="n">
        <v>35</v>
      </c>
      <c r="C892" s="22" t="n">
        <v>100</v>
      </c>
      <c r="D892" s="22" t="n">
        <v>2</v>
      </c>
      <c r="E892" s="23" t="n">
        <v>4</v>
      </c>
      <c r="F892" s="22" t="n">
        <v>2</v>
      </c>
      <c r="G892" s="23" t="inlineStr">
        <is>
          <t>Non</t>
        </is>
      </c>
      <c r="H892" s="23" t="inlineStr">
        <is>
          <t>ON</t>
        </is>
      </c>
      <c r="I892" s="24" t="n">
        <v>856.3651513317755</v>
      </c>
      <c r="J892" s="24" t="n">
        <v>3449.488235315031</v>
      </c>
      <c r="K892" s="24" t="n">
        <v>2287.037037037037</v>
      </c>
      <c r="L892" s="24" t="n">
        <v>150</v>
      </c>
      <c r="M892" s="24">
        <f>I892+J892+K892+L892</f>
        <v/>
      </c>
      <c r="N892" s="24">
        <f>M892*'Dashboard &amp; Optimisation'!$B$18/('Dashboard &amp; Optimisation'!$B$16/3.6)</f>
        <v/>
      </c>
      <c r="O892" s="24" t="n">
        <v>515.6767671576853</v>
      </c>
      <c r="P892" s="25" t="n">
        <v>0.06788309101972209</v>
      </c>
      <c r="Q892" s="26" t="n">
        <v>8.891981958725379</v>
      </c>
      <c r="R892" s="24" t="n">
        <v>2697.663674601936</v>
      </c>
      <c r="S892" s="24">
        <f>R892*IF(A892=4, 2.0, 3.0)</f>
        <v/>
      </c>
      <c r="T892" s="22">
        <f>'Dashboard &amp; Optimisation'!$B$18*U892</f>
        <v/>
      </c>
      <c r="U892" s="27">
        <f>MIN(1, S892/M892)</f>
        <v/>
      </c>
      <c r="V892" s="27">
        <f>N892/(N892+O892)</f>
        <v/>
      </c>
      <c r="W892" s="27">
        <f>U892*V892</f>
        <v/>
      </c>
      <c r="X892" s="25">
        <f>T892/N892</f>
        <v/>
      </c>
      <c r="Y892" s="28">
        <f>IF(W892=MAXIFS(W$2:W$3601, A$2:A$3601, A892, B$2:B$3601, B892), "OPTIMAL", "")</f>
        <v/>
      </c>
    </row>
    <row r="893" ht="20" customHeight="1">
      <c r="A893" s="29" t="n">
        <v>4</v>
      </c>
      <c r="B893" s="29" t="n">
        <v>35</v>
      </c>
      <c r="C893" s="30" t="n">
        <v>100</v>
      </c>
      <c r="D893" s="30" t="n">
        <v>2</v>
      </c>
      <c r="E893" s="6" t="n">
        <v>4</v>
      </c>
      <c r="F893" s="30" t="n">
        <v>2</v>
      </c>
      <c r="G893" s="6" t="inlineStr">
        <is>
          <t>Non</t>
        </is>
      </c>
      <c r="H893" s="6" t="inlineStr">
        <is>
          <t>OFF</t>
        </is>
      </c>
      <c r="I893" s="31" t="n">
        <v>856.3651513317755</v>
      </c>
      <c r="J893" s="31" t="n">
        <v>3449.488235315031</v>
      </c>
      <c r="K893" s="31" t="n">
        <v>2287.037037037037</v>
      </c>
      <c r="L893" s="31" t="n">
        <v>150</v>
      </c>
      <c r="M893" s="31">
        <f>I893+J893+K893+L893</f>
        <v/>
      </c>
      <c r="N893" s="31">
        <f>M893*'Dashboard &amp; Optimisation'!$B$18/('Dashboard &amp; Optimisation'!$B$16/3.6)</f>
        <v/>
      </c>
      <c r="O893" s="31" t="n">
        <v>515.6767671576853</v>
      </c>
      <c r="P893" s="32" t="n">
        <v>0.3025397037772387</v>
      </c>
      <c r="Q893" s="33" t="n">
        <v>8.891981958725379</v>
      </c>
      <c r="R893" s="31" t="n">
        <v>605.2949298133692</v>
      </c>
      <c r="S893" s="31">
        <f>R893*IF(A893=4, 2.0, 3.0)</f>
        <v/>
      </c>
      <c r="T893" s="30">
        <f>'Dashboard &amp; Optimisation'!$B$18*U893</f>
        <v/>
      </c>
      <c r="U893" s="34">
        <f>MIN(1, S893/M893)</f>
        <v/>
      </c>
      <c r="V893" s="34">
        <f>N893/(N893+O893)</f>
        <v/>
      </c>
      <c r="W893" s="34">
        <f>U893*V893</f>
        <v/>
      </c>
      <c r="X893" s="32">
        <f>T893/N893</f>
        <v/>
      </c>
      <c r="Y893" s="35">
        <f>IF(W893=MAXIFS(W$2:W$3601, A$2:A$3601, A893, B$2:B$3601, B893), "OPTIMAL", "")</f>
        <v/>
      </c>
    </row>
    <row r="894" ht="20" customHeight="1">
      <c r="A894" s="21" t="n">
        <v>4</v>
      </c>
      <c r="B894" s="21" t="n">
        <v>35</v>
      </c>
      <c r="C894" s="22" t="n">
        <v>100</v>
      </c>
      <c r="D894" s="22" t="n">
        <v>2</v>
      </c>
      <c r="E894" s="23" t="n">
        <v>8</v>
      </c>
      <c r="F894" s="22" t="n">
        <v>1.5</v>
      </c>
      <c r="G894" s="23" t="inlineStr">
        <is>
          <t>Oui</t>
        </is>
      </c>
      <c r="H894" s="23" t="inlineStr">
        <is>
          <t>ON</t>
        </is>
      </c>
      <c r="I894" s="24" t="n">
        <v>856.3651513317755</v>
      </c>
      <c r="J894" s="24" t="n">
        <v>3449.488235315031</v>
      </c>
      <c r="K894" s="24" t="n">
        <v>2287.037037037037</v>
      </c>
      <c r="L894" s="24" t="n">
        <v>150</v>
      </c>
      <c r="M894" s="24">
        <f>I894+J894+K894+L894</f>
        <v/>
      </c>
      <c r="N894" s="24">
        <f>M894*'Dashboard &amp; Optimisation'!$B$18/('Dashboard &amp; Optimisation'!$B$16/3.6)</f>
        <v/>
      </c>
      <c r="O894" s="24" t="n">
        <v>635.3696083312005</v>
      </c>
      <c r="P894" s="25" t="n">
        <v>0.05573050288457804</v>
      </c>
      <c r="Q894" s="26" t="n">
        <v>13.23797293808807</v>
      </c>
      <c r="R894" s="24" t="n">
        <v>3360.386181788755</v>
      </c>
      <c r="S894" s="24">
        <f>R894*IF(A894=4, 2.0, 3.0)</f>
        <v/>
      </c>
      <c r="T894" s="22">
        <f>'Dashboard &amp; Optimisation'!$B$18*U894</f>
        <v/>
      </c>
      <c r="U894" s="27">
        <f>MIN(1, S894/M894)</f>
        <v/>
      </c>
      <c r="V894" s="27">
        <f>N894/(N894+O894)</f>
        <v/>
      </c>
      <c r="W894" s="27">
        <f>U894*V894</f>
        <v/>
      </c>
      <c r="X894" s="25">
        <f>T894/N894</f>
        <v/>
      </c>
      <c r="Y894" s="28">
        <f>IF(W894=MAXIFS(W$2:W$3601, A$2:A$3601, A894, B$2:B$3601, B894), "OPTIMAL", "")</f>
        <v/>
      </c>
    </row>
    <row r="895" ht="20" customHeight="1">
      <c r="A895" s="29" t="n">
        <v>4</v>
      </c>
      <c r="B895" s="29" t="n">
        <v>35</v>
      </c>
      <c r="C895" s="30" t="n">
        <v>100</v>
      </c>
      <c r="D895" s="30" t="n">
        <v>2</v>
      </c>
      <c r="E895" s="6" t="n">
        <v>8</v>
      </c>
      <c r="F895" s="30" t="n">
        <v>1.5</v>
      </c>
      <c r="G895" s="6" t="inlineStr">
        <is>
          <t>Oui</t>
        </is>
      </c>
      <c r="H895" s="6" t="inlineStr">
        <is>
          <t>OFF</t>
        </is>
      </c>
      <c r="I895" s="31" t="n">
        <v>856.3651513317755</v>
      </c>
      <c r="J895" s="31" t="n">
        <v>3449.488235315031</v>
      </c>
      <c r="K895" s="31" t="n">
        <v>2287.037037037037</v>
      </c>
      <c r="L895" s="31" t="n">
        <v>150</v>
      </c>
      <c r="M895" s="31">
        <f>I895+J895+K895+L895</f>
        <v/>
      </c>
      <c r="N895" s="31">
        <f>M895*'Dashboard &amp; Optimisation'!$B$18/('Dashboard &amp; Optimisation'!$B$16/3.6)</f>
        <v/>
      </c>
      <c r="O895" s="31" t="n">
        <v>635.3696083312005</v>
      </c>
      <c r="P895" s="32" t="n">
        <v>0.2401827722650424</v>
      </c>
      <c r="Q895" s="33" t="n">
        <v>13.23797293808807</v>
      </c>
      <c r="R895" s="31" t="n">
        <v>779.7229169743066</v>
      </c>
      <c r="S895" s="31">
        <f>R895*IF(A895=4, 2.0, 3.0)</f>
        <v/>
      </c>
      <c r="T895" s="30">
        <f>'Dashboard &amp; Optimisation'!$B$18*U895</f>
        <v/>
      </c>
      <c r="U895" s="34">
        <f>MIN(1, S895/M895)</f>
        <v/>
      </c>
      <c r="V895" s="34">
        <f>N895/(N895+O895)</f>
        <v/>
      </c>
      <c r="W895" s="34">
        <f>U895*V895</f>
        <v/>
      </c>
      <c r="X895" s="32">
        <f>T895/N895</f>
        <v/>
      </c>
      <c r="Y895" s="35">
        <f>IF(W895=MAXIFS(W$2:W$3601, A$2:A$3601, A895, B$2:B$3601, B895), "OPTIMAL", "")</f>
        <v/>
      </c>
    </row>
    <row r="896" ht="20" customHeight="1">
      <c r="A896" s="21" t="n">
        <v>4</v>
      </c>
      <c r="B896" s="21" t="n">
        <v>35</v>
      </c>
      <c r="C896" s="22" t="n">
        <v>100</v>
      </c>
      <c r="D896" s="22" t="n">
        <v>2</v>
      </c>
      <c r="E896" s="23" t="n">
        <v>8</v>
      </c>
      <c r="F896" s="22" t="n">
        <v>1.5</v>
      </c>
      <c r="G896" s="23" t="inlineStr">
        <is>
          <t>Non</t>
        </is>
      </c>
      <c r="H896" s="23" t="inlineStr">
        <is>
          <t>ON</t>
        </is>
      </c>
      <c r="I896" s="24" t="n">
        <v>856.3651513317755</v>
      </c>
      <c r="J896" s="24" t="n">
        <v>3449.488235315031</v>
      </c>
      <c r="K896" s="24" t="n">
        <v>2287.037037037037</v>
      </c>
      <c r="L896" s="24" t="n">
        <v>150</v>
      </c>
      <c r="M896" s="24">
        <f>I896+J896+K896+L896</f>
        <v/>
      </c>
      <c r="N896" s="24">
        <f>M896*'Dashboard &amp; Optimisation'!$B$18/('Dashboard &amp; Optimisation'!$B$16/3.6)</f>
        <v/>
      </c>
      <c r="O896" s="24" t="n">
        <v>635.3696083312005</v>
      </c>
      <c r="P896" s="25" t="n">
        <v>0.05254740402274013</v>
      </c>
      <c r="Q896" s="26" t="n">
        <v>13.23797293808807</v>
      </c>
      <c r="R896" s="24" t="n">
        <v>3563.944123984315</v>
      </c>
      <c r="S896" s="24">
        <f>R896*IF(A896=4, 2.0, 3.0)</f>
        <v/>
      </c>
      <c r="T896" s="22">
        <f>'Dashboard &amp; Optimisation'!$B$18*U896</f>
        <v/>
      </c>
      <c r="U896" s="27">
        <f>MIN(1, S896/M896)</f>
        <v/>
      </c>
      <c r="V896" s="27">
        <f>N896/(N896+O896)</f>
        <v/>
      </c>
      <c r="W896" s="27">
        <f>U896*V896</f>
        <v/>
      </c>
      <c r="X896" s="25">
        <f>T896/N896</f>
        <v/>
      </c>
      <c r="Y896" s="28">
        <f>IF(W896=MAXIFS(W$2:W$3601, A$2:A$3601, A896, B$2:B$3601, B896), "OPTIMAL", "")</f>
        <v/>
      </c>
    </row>
    <row r="897" ht="20" customHeight="1">
      <c r="A897" s="29" t="n">
        <v>4</v>
      </c>
      <c r="B897" s="29" t="n">
        <v>35</v>
      </c>
      <c r="C897" s="30" t="n">
        <v>100</v>
      </c>
      <c r="D897" s="30" t="n">
        <v>2</v>
      </c>
      <c r="E897" s="6" t="n">
        <v>8</v>
      </c>
      <c r="F897" s="30" t="n">
        <v>1.5</v>
      </c>
      <c r="G897" s="6" t="inlineStr">
        <is>
          <t>Non</t>
        </is>
      </c>
      <c r="H897" s="6" t="inlineStr">
        <is>
          <t>OFF</t>
        </is>
      </c>
      <c r="I897" s="31" t="n">
        <v>856.3651513317755</v>
      </c>
      <c r="J897" s="31" t="n">
        <v>3449.488235315031</v>
      </c>
      <c r="K897" s="31" t="n">
        <v>2287.037037037037</v>
      </c>
      <c r="L897" s="31" t="n">
        <v>150</v>
      </c>
      <c r="M897" s="31">
        <f>I897+J897+K897+L897</f>
        <v/>
      </c>
      <c r="N897" s="31">
        <f>M897*'Dashboard &amp; Optimisation'!$B$18/('Dashboard &amp; Optimisation'!$B$16/3.6)</f>
        <v/>
      </c>
      <c r="O897" s="31" t="n">
        <v>635.3696083312005</v>
      </c>
      <c r="P897" s="32" t="n">
        <v>0.2369996734032044</v>
      </c>
      <c r="Q897" s="33" t="n">
        <v>13.23797293808807</v>
      </c>
      <c r="R897" s="31" t="n">
        <v>790.1952315304004</v>
      </c>
      <c r="S897" s="31">
        <f>R897*IF(A897=4, 2.0, 3.0)</f>
        <v/>
      </c>
      <c r="T897" s="30">
        <f>'Dashboard &amp; Optimisation'!$B$18*U897</f>
        <v/>
      </c>
      <c r="U897" s="34">
        <f>MIN(1, S897/M897)</f>
        <v/>
      </c>
      <c r="V897" s="34">
        <f>N897/(N897+O897)</f>
        <v/>
      </c>
      <c r="W897" s="34">
        <f>U897*V897</f>
        <v/>
      </c>
      <c r="X897" s="32">
        <f>T897/N897</f>
        <v/>
      </c>
      <c r="Y897" s="35">
        <f>IF(W897=MAXIFS(W$2:W$3601, A$2:A$3601, A897, B$2:B$3601, B897), "OPTIMAL", "")</f>
        <v/>
      </c>
    </row>
    <row r="898" ht="20" customHeight="1">
      <c r="A898" s="21" t="n">
        <v>4</v>
      </c>
      <c r="B898" s="21" t="n">
        <v>35</v>
      </c>
      <c r="C898" s="22" t="n">
        <v>100</v>
      </c>
      <c r="D898" s="22" t="n">
        <v>2</v>
      </c>
      <c r="E898" s="23" t="n">
        <v>8</v>
      </c>
      <c r="F898" s="22" t="n">
        <v>2</v>
      </c>
      <c r="G898" s="23" t="inlineStr">
        <is>
          <t>Oui</t>
        </is>
      </c>
      <c r="H898" s="23" t="inlineStr">
        <is>
          <t>ON</t>
        </is>
      </c>
      <c r="I898" s="24" t="n">
        <v>856.3651513317755</v>
      </c>
      <c r="J898" s="24" t="n">
        <v>3449.488235315031</v>
      </c>
      <c r="K898" s="24" t="n">
        <v>2287.037037037037</v>
      </c>
      <c r="L898" s="24" t="n">
        <v>150</v>
      </c>
      <c r="M898" s="24">
        <f>I898+J898+K898+L898</f>
        <v/>
      </c>
      <c r="N898" s="24">
        <f>M898*'Dashboard &amp; Optimisation'!$B$18/('Dashboard &amp; Optimisation'!$B$16/3.6)</f>
        <v/>
      </c>
      <c r="O898" s="24" t="n">
        <v>760.6135647551233</v>
      </c>
      <c r="P898" s="25" t="n">
        <v>0.05449488140602117</v>
      </c>
      <c r="Q898" s="26" t="n">
        <v>17.58396391745076</v>
      </c>
      <c r="R898" s="24" t="n">
        <v>3516.270717714251</v>
      </c>
      <c r="S898" s="24">
        <f>R898*IF(A898=4, 2.0, 3.0)</f>
        <v/>
      </c>
      <c r="T898" s="22">
        <f>'Dashboard &amp; Optimisation'!$B$18*U898</f>
        <v/>
      </c>
      <c r="U898" s="27">
        <f>MIN(1, S898/M898)</f>
        <v/>
      </c>
      <c r="V898" s="27">
        <f>N898/(N898+O898)</f>
        <v/>
      </c>
      <c r="W898" s="27">
        <f>U898*V898</f>
        <v/>
      </c>
      <c r="X898" s="25">
        <f>T898/N898</f>
        <v/>
      </c>
      <c r="Y898" s="28">
        <f>IF(W898=MAXIFS(W$2:W$3601, A$2:A$3601, A898, B$2:B$3601, B898), "OPTIMAL", "")</f>
        <v/>
      </c>
    </row>
    <row r="899" ht="20" customHeight="1">
      <c r="A899" s="29" t="n">
        <v>4</v>
      </c>
      <c r="B899" s="29" t="n">
        <v>35</v>
      </c>
      <c r="C899" s="30" t="n">
        <v>100</v>
      </c>
      <c r="D899" s="30" t="n">
        <v>2</v>
      </c>
      <c r="E899" s="6" t="n">
        <v>8</v>
      </c>
      <c r="F899" s="30" t="n">
        <v>2</v>
      </c>
      <c r="G899" s="6" t="inlineStr">
        <is>
          <t>Oui</t>
        </is>
      </c>
      <c r="H899" s="6" t="inlineStr">
        <is>
          <t>OFF</t>
        </is>
      </c>
      <c r="I899" s="31" t="n">
        <v>856.3651513317755</v>
      </c>
      <c r="J899" s="31" t="n">
        <v>3449.488235315031</v>
      </c>
      <c r="K899" s="31" t="n">
        <v>2287.037037037037</v>
      </c>
      <c r="L899" s="31" t="n">
        <v>150</v>
      </c>
      <c r="M899" s="31">
        <f>I899+J899+K899+L899</f>
        <v/>
      </c>
      <c r="N899" s="31">
        <f>M899*'Dashboard &amp; Optimisation'!$B$18/('Dashboard &amp; Optimisation'!$B$16/3.6)</f>
        <v/>
      </c>
      <c r="O899" s="31" t="n">
        <v>760.6135647551233</v>
      </c>
      <c r="P899" s="32" t="n">
        <v>0.2403161193409352</v>
      </c>
      <c r="Q899" s="33" t="n">
        <v>17.58396391745076</v>
      </c>
      <c r="R899" s="31" t="n">
        <v>797.3612268657454</v>
      </c>
      <c r="S899" s="31">
        <f>R899*IF(A899=4, 2.0, 3.0)</f>
        <v/>
      </c>
      <c r="T899" s="30">
        <f>'Dashboard &amp; Optimisation'!$B$18*U899</f>
        <v/>
      </c>
      <c r="U899" s="34">
        <f>MIN(1, S899/M899)</f>
        <v/>
      </c>
      <c r="V899" s="34">
        <f>N899/(N899+O899)</f>
        <v/>
      </c>
      <c r="W899" s="34">
        <f>U899*V899</f>
        <v/>
      </c>
      <c r="X899" s="32">
        <f>T899/N899</f>
        <v/>
      </c>
      <c r="Y899" s="35">
        <f>IF(W899=MAXIFS(W$2:W$3601, A$2:A$3601, A899, B$2:B$3601, B899), "OPTIMAL", "")</f>
        <v/>
      </c>
    </row>
    <row r="900" ht="20" customHeight="1">
      <c r="A900" s="21" t="n">
        <v>4</v>
      </c>
      <c r="B900" s="21" t="n">
        <v>35</v>
      </c>
      <c r="C900" s="22" t="n">
        <v>100</v>
      </c>
      <c r="D900" s="22" t="n">
        <v>2</v>
      </c>
      <c r="E900" s="23" t="n">
        <v>8</v>
      </c>
      <c r="F900" s="22" t="n">
        <v>2</v>
      </c>
      <c r="G900" s="23" t="inlineStr">
        <is>
          <t>Non</t>
        </is>
      </c>
      <c r="H900" s="23" t="inlineStr">
        <is>
          <t>ON</t>
        </is>
      </c>
      <c r="I900" s="24" t="n">
        <v>856.3651513317755</v>
      </c>
      <c r="J900" s="24" t="n">
        <v>3449.488235315031</v>
      </c>
      <c r="K900" s="24" t="n">
        <v>2287.037037037037</v>
      </c>
      <c r="L900" s="24" t="n">
        <v>150</v>
      </c>
      <c r="M900" s="24">
        <f>I900+J900+K900+L900</f>
        <v/>
      </c>
      <c r="N900" s="24">
        <f>M900*'Dashboard &amp; Optimisation'!$B$18/('Dashboard &amp; Optimisation'!$B$16/3.6)</f>
        <v/>
      </c>
      <c r="O900" s="24" t="n">
        <v>760.6135647551233</v>
      </c>
      <c r="P900" s="25" t="n">
        <v>0.05131178254418326</v>
      </c>
      <c r="Q900" s="26" t="n">
        <v>17.58396391745076</v>
      </c>
      <c r="R900" s="24" t="n">
        <v>3734.400682500263</v>
      </c>
      <c r="S900" s="24">
        <f>R900*IF(A900=4, 2.0, 3.0)</f>
        <v/>
      </c>
      <c r="T900" s="22">
        <f>'Dashboard &amp; Optimisation'!$B$18*U900</f>
        <v/>
      </c>
      <c r="U900" s="27">
        <f>MIN(1, S900/M900)</f>
        <v/>
      </c>
      <c r="V900" s="27">
        <f>N900/(N900+O900)</f>
        <v/>
      </c>
      <c r="W900" s="27">
        <f>U900*V900</f>
        <v/>
      </c>
      <c r="X900" s="25">
        <f>T900/N900</f>
        <v/>
      </c>
      <c r="Y900" s="28">
        <f>IF(W900=MAXIFS(W$2:W$3601, A$2:A$3601, A900, B$2:B$3601, B900), "OPTIMAL", "")</f>
        <v/>
      </c>
    </row>
    <row r="901" ht="20" customHeight="1">
      <c r="A901" s="29" t="n">
        <v>4</v>
      </c>
      <c r="B901" s="29" t="n">
        <v>35</v>
      </c>
      <c r="C901" s="30" t="n">
        <v>100</v>
      </c>
      <c r="D901" s="30" t="n">
        <v>2</v>
      </c>
      <c r="E901" s="6" t="n">
        <v>8</v>
      </c>
      <c r="F901" s="30" t="n">
        <v>2</v>
      </c>
      <c r="G901" s="6" t="inlineStr">
        <is>
          <t>Non</t>
        </is>
      </c>
      <c r="H901" s="6" t="inlineStr">
        <is>
          <t>OFF</t>
        </is>
      </c>
      <c r="I901" s="31" t="n">
        <v>856.3651513317755</v>
      </c>
      <c r="J901" s="31" t="n">
        <v>3449.488235315031</v>
      </c>
      <c r="K901" s="31" t="n">
        <v>2287.037037037037</v>
      </c>
      <c r="L901" s="31" t="n">
        <v>150</v>
      </c>
      <c r="M901" s="31">
        <f>I901+J901+K901+L901</f>
        <v/>
      </c>
      <c r="N901" s="31">
        <f>M901*'Dashboard &amp; Optimisation'!$B$18/('Dashboard &amp; Optimisation'!$B$16/3.6)</f>
        <v/>
      </c>
      <c r="O901" s="31" t="n">
        <v>760.6135647551233</v>
      </c>
      <c r="P901" s="32" t="n">
        <v>0.2371330204790973</v>
      </c>
      <c r="Q901" s="33" t="n">
        <v>17.58396391745076</v>
      </c>
      <c r="R901" s="31" t="n">
        <v>808.064416192066</v>
      </c>
      <c r="S901" s="31">
        <f>R901*IF(A901=4, 2.0, 3.0)</f>
        <v/>
      </c>
      <c r="T901" s="30">
        <f>'Dashboard &amp; Optimisation'!$B$18*U901</f>
        <v/>
      </c>
      <c r="U901" s="34">
        <f>MIN(1, S901/M901)</f>
        <v/>
      </c>
      <c r="V901" s="34">
        <f>N901/(N901+O901)</f>
        <v/>
      </c>
      <c r="W901" s="34">
        <f>U901*V901</f>
        <v/>
      </c>
      <c r="X901" s="32">
        <f>T901/N901</f>
        <v/>
      </c>
      <c r="Y901" s="35">
        <f>IF(W901=MAXIFS(W$2:W$3601, A$2:A$3601, A901, B$2:B$3601, B901), "OPTIMAL", "")</f>
        <v/>
      </c>
    </row>
    <row r="902" ht="20" customHeight="1">
      <c r="A902" s="21" t="n">
        <v>4</v>
      </c>
      <c r="B902" s="21" t="n">
        <v>35</v>
      </c>
      <c r="C902" s="22" t="n">
        <v>100</v>
      </c>
      <c r="D902" s="22" t="n">
        <v>3</v>
      </c>
      <c r="E902" s="23" t="n">
        <v>0</v>
      </c>
      <c r="F902" s="22" t="n">
        <v>0</v>
      </c>
      <c r="G902" s="23" t="inlineStr">
        <is>
          <t>Oui</t>
        </is>
      </c>
      <c r="H902" s="23" t="inlineStr">
        <is>
          <t>ON</t>
        </is>
      </c>
      <c r="I902" s="24" t="n">
        <v>856.3651513317755</v>
      </c>
      <c r="J902" s="24" t="n">
        <v>3449.488235315031</v>
      </c>
      <c r="K902" s="24" t="n">
        <v>2287.037037037037</v>
      </c>
      <c r="L902" s="24" t="n">
        <v>150</v>
      </c>
      <c r="M902" s="24">
        <f>I902+J902+K902+L902</f>
        <v/>
      </c>
      <c r="N902" s="24">
        <f>M902*'Dashboard &amp; Optimisation'!$B$18/('Dashboard &amp; Optimisation'!$B$16/3.6)</f>
        <v/>
      </c>
      <c r="O902" s="24" t="n">
        <v>451.4484813155512</v>
      </c>
      <c r="P902" s="25" t="n">
        <v>0.4806959660709754</v>
      </c>
      <c r="Q902" s="26" t="n">
        <v>0.2</v>
      </c>
      <c r="R902" s="24" t="n">
        <v>380.4793516930196</v>
      </c>
      <c r="S902" s="24">
        <f>R902*IF(A902=4, 2.0, 3.0)</f>
        <v/>
      </c>
      <c r="T902" s="22">
        <f>'Dashboard &amp; Optimisation'!$B$18*U902</f>
        <v/>
      </c>
      <c r="U902" s="27">
        <f>MIN(1, S902/M902)</f>
        <v/>
      </c>
      <c r="V902" s="27">
        <f>N902/(N902+O902)</f>
        <v/>
      </c>
      <c r="W902" s="27">
        <f>U902*V902</f>
        <v/>
      </c>
      <c r="X902" s="25">
        <f>T902/N902</f>
        <v/>
      </c>
      <c r="Y902" s="28">
        <f>IF(W902=MAXIFS(W$2:W$3601, A$2:A$3601, A902, B$2:B$3601, B902), "OPTIMAL", "")</f>
        <v/>
      </c>
    </row>
    <row r="903" ht="20" customHeight="1">
      <c r="A903" s="29" t="n">
        <v>4</v>
      </c>
      <c r="B903" s="29" t="n">
        <v>35</v>
      </c>
      <c r="C903" s="30" t="n">
        <v>100</v>
      </c>
      <c r="D903" s="30" t="n">
        <v>3</v>
      </c>
      <c r="E903" s="6" t="n">
        <v>0</v>
      </c>
      <c r="F903" s="30" t="n">
        <v>0</v>
      </c>
      <c r="G903" s="6" t="inlineStr">
        <is>
          <t>Oui</t>
        </is>
      </c>
      <c r="H903" s="6" t="inlineStr">
        <is>
          <t>OFF</t>
        </is>
      </c>
      <c r="I903" s="31" t="n">
        <v>856.3651513317755</v>
      </c>
      <c r="J903" s="31" t="n">
        <v>3449.488235315031</v>
      </c>
      <c r="K903" s="31" t="n">
        <v>2287.037037037037</v>
      </c>
      <c r="L903" s="31" t="n">
        <v>150</v>
      </c>
      <c r="M903" s="31">
        <f>I903+J903+K903+L903</f>
        <v/>
      </c>
      <c r="N903" s="31">
        <f>M903*'Dashboard &amp; Optimisation'!$B$18/('Dashboard &amp; Optimisation'!$B$16/3.6)</f>
        <v/>
      </c>
      <c r="O903" s="31" t="n">
        <v>451.4484813155512</v>
      </c>
      <c r="P903" s="32" t="n">
        <v>0.7990058522547661</v>
      </c>
      <c r="Q903" s="33" t="n">
        <v>0.2</v>
      </c>
      <c r="R903" s="31" t="n">
        <v>228.903066249154</v>
      </c>
      <c r="S903" s="31">
        <f>R903*IF(A903=4, 2.0, 3.0)</f>
        <v/>
      </c>
      <c r="T903" s="30">
        <f>'Dashboard &amp; Optimisation'!$B$18*U903</f>
        <v/>
      </c>
      <c r="U903" s="34">
        <f>MIN(1, S903/M903)</f>
        <v/>
      </c>
      <c r="V903" s="34">
        <f>N903/(N903+O903)</f>
        <v/>
      </c>
      <c r="W903" s="34">
        <f>U903*V903</f>
        <v/>
      </c>
      <c r="X903" s="32">
        <f>T903/N903</f>
        <v/>
      </c>
      <c r="Y903" s="35">
        <f>IF(W903=MAXIFS(W$2:W$3601, A$2:A$3601, A903, B$2:B$3601, B903), "OPTIMAL", "")</f>
        <v/>
      </c>
    </row>
    <row r="904" ht="20" customHeight="1">
      <c r="A904" s="21" t="n">
        <v>4</v>
      </c>
      <c r="B904" s="21" t="n">
        <v>35</v>
      </c>
      <c r="C904" s="22" t="n">
        <v>100</v>
      </c>
      <c r="D904" s="22" t="n">
        <v>3</v>
      </c>
      <c r="E904" s="23" t="n">
        <v>0</v>
      </c>
      <c r="F904" s="22" t="n">
        <v>0</v>
      </c>
      <c r="G904" s="23" t="inlineStr">
        <is>
          <t>Non</t>
        </is>
      </c>
      <c r="H904" s="23" t="inlineStr">
        <is>
          <t>ON</t>
        </is>
      </c>
      <c r="I904" s="24" t="n">
        <v>856.3651513317755</v>
      </c>
      <c r="J904" s="24" t="n">
        <v>3449.488235315031</v>
      </c>
      <c r="K904" s="24" t="n">
        <v>2287.037037037037</v>
      </c>
      <c r="L904" s="24" t="n">
        <v>150</v>
      </c>
      <c r="M904" s="24">
        <f>I904+J904+K904+L904</f>
        <v/>
      </c>
      <c r="N904" s="24">
        <f>M904*'Dashboard &amp; Optimisation'!$B$18/('Dashboard &amp; Optimisation'!$B$16/3.6)</f>
        <v/>
      </c>
      <c r="O904" s="24" t="n">
        <v>451.4484813155512</v>
      </c>
      <c r="P904" s="25" t="n">
        <v>0.4775128672091374</v>
      </c>
      <c r="Q904" s="26" t="n">
        <v>0.2</v>
      </c>
      <c r="R904" s="24" t="n">
        <v>383.0156255287495</v>
      </c>
      <c r="S904" s="24">
        <f>R904*IF(A904=4, 2.0, 3.0)</f>
        <v/>
      </c>
      <c r="T904" s="22">
        <f>'Dashboard &amp; Optimisation'!$B$18*U904</f>
        <v/>
      </c>
      <c r="U904" s="27">
        <f>MIN(1, S904/M904)</f>
        <v/>
      </c>
      <c r="V904" s="27">
        <f>N904/(N904+O904)</f>
        <v/>
      </c>
      <c r="W904" s="27">
        <f>U904*V904</f>
        <v/>
      </c>
      <c r="X904" s="25">
        <f>T904/N904</f>
        <v/>
      </c>
      <c r="Y904" s="28">
        <f>IF(W904=MAXIFS(W$2:W$3601, A$2:A$3601, A904, B$2:B$3601, B904), "OPTIMAL", "")</f>
        <v/>
      </c>
    </row>
    <row r="905" ht="20" customHeight="1">
      <c r="A905" s="29" t="n">
        <v>4</v>
      </c>
      <c r="B905" s="29" t="n">
        <v>35</v>
      </c>
      <c r="C905" s="30" t="n">
        <v>100</v>
      </c>
      <c r="D905" s="30" t="n">
        <v>3</v>
      </c>
      <c r="E905" s="6" t="n">
        <v>0</v>
      </c>
      <c r="F905" s="30" t="n">
        <v>0</v>
      </c>
      <c r="G905" s="6" t="inlineStr">
        <is>
          <t>Non</t>
        </is>
      </c>
      <c r="H905" s="6" t="inlineStr">
        <is>
          <t>OFF</t>
        </is>
      </c>
      <c r="I905" s="31" t="n">
        <v>856.3651513317755</v>
      </c>
      <c r="J905" s="31" t="n">
        <v>3449.488235315031</v>
      </c>
      <c r="K905" s="31" t="n">
        <v>2287.037037037037</v>
      </c>
      <c r="L905" s="31" t="n">
        <v>150</v>
      </c>
      <c r="M905" s="31">
        <f>I905+J905+K905+L905</f>
        <v/>
      </c>
      <c r="N905" s="31">
        <f>M905*'Dashboard &amp; Optimisation'!$B$18/('Dashboard &amp; Optimisation'!$B$16/3.6)</f>
        <v/>
      </c>
      <c r="O905" s="31" t="n">
        <v>451.4484813155512</v>
      </c>
      <c r="P905" s="32" t="n">
        <v>0.7958227533929282</v>
      </c>
      <c r="Q905" s="33" t="n">
        <v>0.2</v>
      </c>
      <c r="R905" s="31" t="n">
        <v>229.8186232454104</v>
      </c>
      <c r="S905" s="31">
        <f>R905*IF(A905=4, 2.0, 3.0)</f>
        <v/>
      </c>
      <c r="T905" s="30">
        <f>'Dashboard &amp; Optimisation'!$B$18*U905</f>
        <v/>
      </c>
      <c r="U905" s="34">
        <f>MIN(1, S905/M905)</f>
        <v/>
      </c>
      <c r="V905" s="34">
        <f>N905/(N905+O905)</f>
        <v/>
      </c>
      <c r="W905" s="34">
        <f>U905*V905</f>
        <v/>
      </c>
      <c r="X905" s="32">
        <f>T905/N905</f>
        <v/>
      </c>
      <c r="Y905" s="35">
        <f>IF(W905=MAXIFS(W$2:W$3601, A$2:A$3601, A905, B$2:B$3601, B905), "OPTIMAL", "")</f>
        <v/>
      </c>
    </row>
    <row r="906" ht="20" customHeight="1">
      <c r="A906" s="21" t="n">
        <v>4</v>
      </c>
      <c r="B906" s="21" t="n">
        <v>35</v>
      </c>
      <c r="C906" s="22" t="n">
        <v>100</v>
      </c>
      <c r="D906" s="22" t="n">
        <v>3</v>
      </c>
      <c r="E906" s="23" t="n">
        <v>4</v>
      </c>
      <c r="F906" s="22" t="n">
        <v>1.5</v>
      </c>
      <c r="G906" s="23" t="inlineStr">
        <is>
          <t>Oui</t>
        </is>
      </c>
      <c r="H906" s="23" t="inlineStr">
        <is>
          <t>ON</t>
        </is>
      </c>
      <c r="I906" s="24" t="n">
        <v>856.3651513317755</v>
      </c>
      <c r="J906" s="24" t="n">
        <v>3449.488235315031</v>
      </c>
      <c r="K906" s="24" t="n">
        <v>2287.037037037037</v>
      </c>
      <c r="L906" s="24" t="n">
        <v>150</v>
      </c>
      <c r="M906" s="24">
        <f>I906+J906+K906+L906</f>
        <v/>
      </c>
      <c r="N906" s="24">
        <f>M906*'Dashboard &amp; Optimisation'!$B$18/('Dashboard &amp; Optimisation'!$B$16/3.6)</f>
        <v/>
      </c>
      <c r="O906" s="24" t="n">
        <v>627.7023764039744</v>
      </c>
      <c r="P906" s="25" t="n">
        <v>0.0735384347268611</v>
      </c>
      <c r="Q906" s="26" t="n">
        <v>6.857688308810928</v>
      </c>
      <c r="R906" s="24" t="n">
        <v>2570.632036875707</v>
      </c>
      <c r="S906" s="24">
        <f>R906*IF(A906=4, 2.0, 3.0)</f>
        <v/>
      </c>
      <c r="T906" s="22">
        <f>'Dashboard &amp; Optimisation'!$B$18*U906</f>
        <v/>
      </c>
      <c r="U906" s="27">
        <f>MIN(1, S906/M906)</f>
        <v/>
      </c>
      <c r="V906" s="27">
        <f>N906/(N906+O906)</f>
        <v/>
      </c>
      <c r="W906" s="27">
        <f>U906*V906</f>
        <v/>
      </c>
      <c r="X906" s="25">
        <f>T906/N906</f>
        <v/>
      </c>
      <c r="Y906" s="28">
        <f>IF(W906=MAXIFS(W$2:W$3601, A$2:A$3601, A906, B$2:B$3601, B906), "OPTIMAL", "")</f>
        <v/>
      </c>
    </row>
    <row r="907" ht="20" customHeight="1">
      <c r="A907" s="29" t="n">
        <v>4</v>
      </c>
      <c r="B907" s="29" t="n">
        <v>35</v>
      </c>
      <c r="C907" s="30" t="n">
        <v>100</v>
      </c>
      <c r="D907" s="30" t="n">
        <v>3</v>
      </c>
      <c r="E907" s="6" t="n">
        <v>4</v>
      </c>
      <c r="F907" s="30" t="n">
        <v>1.5</v>
      </c>
      <c r="G907" s="6" t="inlineStr">
        <is>
          <t>Oui</t>
        </is>
      </c>
      <c r="H907" s="6" t="inlineStr">
        <is>
          <t>OFF</t>
        </is>
      </c>
      <c r="I907" s="31" t="n">
        <v>856.3651513317755</v>
      </c>
      <c r="J907" s="31" t="n">
        <v>3449.488235315031</v>
      </c>
      <c r="K907" s="31" t="n">
        <v>2287.037037037037</v>
      </c>
      <c r="L907" s="31" t="n">
        <v>150</v>
      </c>
      <c r="M907" s="31">
        <f>I907+J907+K907+L907</f>
        <v/>
      </c>
      <c r="N907" s="31">
        <f>M907*'Dashboard &amp; Optimisation'!$B$18/('Dashboard &amp; Optimisation'!$B$16/3.6)</f>
        <v/>
      </c>
      <c r="O907" s="31" t="n">
        <v>627.7023764039744</v>
      </c>
      <c r="P907" s="32" t="n">
        <v>0.307100869502758</v>
      </c>
      <c r="Q907" s="33" t="n">
        <v>6.857688308810928</v>
      </c>
      <c r="R907" s="31" t="n">
        <v>615.564054105892</v>
      </c>
      <c r="S907" s="31">
        <f>R907*IF(A907=4, 2.0, 3.0)</f>
        <v/>
      </c>
      <c r="T907" s="30">
        <f>'Dashboard &amp; Optimisation'!$B$18*U907</f>
        <v/>
      </c>
      <c r="U907" s="34">
        <f>MIN(1, S907/M907)</f>
        <v/>
      </c>
      <c r="V907" s="34">
        <f>N907/(N907+O907)</f>
        <v/>
      </c>
      <c r="W907" s="34">
        <f>U907*V907</f>
        <v/>
      </c>
      <c r="X907" s="32">
        <f>T907/N907</f>
        <v/>
      </c>
      <c r="Y907" s="35">
        <f>IF(W907=MAXIFS(W$2:W$3601, A$2:A$3601, A907, B$2:B$3601, B907), "OPTIMAL", "")</f>
        <v/>
      </c>
    </row>
    <row r="908" ht="20" customHeight="1">
      <c r="A908" s="21" t="n">
        <v>4</v>
      </c>
      <c r="B908" s="21" t="n">
        <v>35</v>
      </c>
      <c r="C908" s="22" t="n">
        <v>100</v>
      </c>
      <c r="D908" s="22" t="n">
        <v>3</v>
      </c>
      <c r="E908" s="23" t="n">
        <v>4</v>
      </c>
      <c r="F908" s="22" t="n">
        <v>1.5</v>
      </c>
      <c r="G908" s="23" t="inlineStr">
        <is>
          <t>Non</t>
        </is>
      </c>
      <c r="H908" s="23" t="inlineStr">
        <is>
          <t>ON</t>
        </is>
      </c>
      <c r="I908" s="24" t="n">
        <v>856.3651513317755</v>
      </c>
      <c r="J908" s="24" t="n">
        <v>3449.488235315031</v>
      </c>
      <c r="K908" s="24" t="n">
        <v>2287.037037037037</v>
      </c>
      <c r="L908" s="24" t="n">
        <v>150</v>
      </c>
      <c r="M908" s="24">
        <f>I908+J908+K908+L908</f>
        <v/>
      </c>
      <c r="N908" s="24">
        <f>M908*'Dashboard &amp; Optimisation'!$B$18/('Dashboard &amp; Optimisation'!$B$16/3.6)</f>
        <v/>
      </c>
      <c r="O908" s="24" t="n">
        <v>627.7023764039744</v>
      </c>
      <c r="P908" s="25" t="n">
        <v>0.07035533586502318</v>
      </c>
      <c r="Q908" s="26" t="n">
        <v>6.857688308810928</v>
      </c>
      <c r="R908" s="24" t="n">
        <v>2686.935595236674</v>
      </c>
      <c r="S908" s="24">
        <f>R908*IF(A908=4, 2.0, 3.0)</f>
        <v/>
      </c>
      <c r="T908" s="22">
        <f>'Dashboard &amp; Optimisation'!$B$18*U908</f>
        <v/>
      </c>
      <c r="U908" s="27">
        <f>MIN(1, S908/M908)</f>
        <v/>
      </c>
      <c r="V908" s="27">
        <f>N908/(N908+O908)</f>
        <v/>
      </c>
      <c r="W908" s="27">
        <f>U908*V908</f>
        <v/>
      </c>
      <c r="X908" s="25">
        <f>T908/N908</f>
        <v/>
      </c>
      <c r="Y908" s="28">
        <f>IF(W908=MAXIFS(W$2:W$3601, A$2:A$3601, A908, B$2:B$3601, B908), "OPTIMAL", "")</f>
        <v/>
      </c>
    </row>
    <row r="909" ht="20" customHeight="1">
      <c r="A909" s="29" t="n">
        <v>4</v>
      </c>
      <c r="B909" s="29" t="n">
        <v>35</v>
      </c>
      <c r="C909" s="30" t="n">
        <v>100</v>
      </c>
      <c r="D909" s="30" t="n">
        <v>3</v>
      </c>
      <c r="E909" s="6" t="n">
        <v>4</v>
      </c>
      <c r="F909" s="30" t="n">
        <v>1.5</v>
      </c>
      <c r="G909" s="6" t="inlineStr">
        <is>
          <t>Non</t>
        </is>
      </c>
      <c r="H909" s="6" t="inlineStr">
        <is>
          <t>OFF</t>
        </is>
      </c>
      <c r="I909" s="31" t="n">
        <v>856.3651513317755</v>
      </c>
      <c r="J909" s="31" t="n">
        <v>3449.488235315031</v>
      </c>
      <c r="K909" s="31" t="n">
        <v>2287.037037037037</v>
      </c>
      <c r="L909" s="31" t="n">
        <v>150</v>
      </c>
      <c r="M909" s="31">
        <f>I909+J909+K909+L909</f>
        <v/>
      </c>
      <c r="N909" s="31">
        <f>M909*'Dashboard &amp; Optimisation'!$B$18/('Dashboard &amp; Optimisation'!$B$16/3.6)</f>
        <v/>
      </c>
      <c r="O909" s="31" t="n">
        <v>627.7023764039744</v>
      </c>
      <c r="P909" s="32" t="n">
        <v>0.3039177706409201</v>
      </c>
      <c r="Q909" s="33" t="n">
        <v>6.857688308810928</v>
      </c>
      <c r="R909" s="31" t="n">
        <v>622.0111968178193</v>
      </c>
      <c r="S909" s="31">
        <f>R909*IF(A909=4, 2.0, 3.0)</f>
        <v/>
      </c>
      <c r="T909" s="30">
        <f>'Dashboard &amp; Optimisation'!$B$18*U909</f>
        <v/>
      </c>
      <c r="U909" s="34">
        <f>MIN(1, S909/M909)</f>
        <v/>
      </c>
      <c r="V909" s="34">
        <f>N909/(N909+O909)</f>
        <v/>
      </c>
      <c r="W909" s="34">
        <f>U909*V909</f>
        <v/>
      </c>
      <c r="X909" s="32">
        <f>T909/N909</f>
        <v/>
      </c>
      <c r="Y909" s="35">
        <f>IF(W909=MAXIFS(W$2:W$3601, A$2:A$3601, A909, B$2:B$3601, B909), "OPTIMAL", "")</f>
        <v/>
      </c>
    </row>
    <row r="910" ht="20" customHeight="1">
      <c r="A910" s="21" t="n">
        <v>4</v>
      </c>
      <c r="B910" s="21" t="n">
        <v>35</v>
      </c>
      <c r="C910" s="22" t="n">
        <v>100</v>
      </c>
      <c r="D910" s="22" t="n">
        <v>3</v>
      </c>
      <c r="E910" s="23" t="n">
        <v>4</v>
      </c>
      <c r="F910" s="22" t="n">
        <v>2</v>
      </c>
      <c r="G910" s="23" t="inlineStr">
        <is>
          <t>Oui</t>
        </is>
      </c>
      <c r="H910" s="23" t="inlineStr">
        <is>
          <t>ON</t>
        </is>
      </c>
      <c r="I910" s="24" t="n">
        <v>856.3651513317755</v>
      </c>
      <c r="J910" s="24" t="n">
        <v>3449.488235315031</v>
      </c>
      <c r="K910" s="24" t="n">
        <v>2287.037037037037</v>
      </c>
      <c r="L910" s="24" t="n">
        <v>150</v>
      </c>
      <c r="M910" s="24">
        <f>I910+J910+K910+L910</f>
        <v/>
      </c>
      <c r="N910" s="24">
        <f>M910*'Dashboard &amp; Optimisation'!$B$18/('Dashboard &amp; Optimisation'!$B$16/3.6)</f>
        <v/>
      </c>
      <c r="O910" s="24" t="n">
        <v>689.1155890087437</v>
      </c>
      <c r="P910" s="25" t="n">
        <v>0.07090019831070833</v>
      </c>
      <c r="Q910" s="26" t="n">
        <v>9.076917745081236</v>
      </c>
      <c r="R910" s="24" t="n">
        <v>2696.487854290674</v>
      </c>
      <c r="S910" s="24">
        <f>R910*IF(A910=4, 2.0, 3.0)</f>
        <v/>
      </c>
      <c r="T910" s="22">
        <f>'Dashboard &amp; Optimisation'!$B$18*U910</f>
        <v/>
      </c>
      <c r="U910" s="27">
        <f>MIN(1, S910/M910)</f>
        <v/>
      </c>
      <c r="V910" s="27">
        <f>N910/(N910+O910)</f>
        <v/>
      </c>
      <c r="W910" s="27">
        <f>U910*V910</f>
        <v/>
      </c>
      <c r="X910" s="25">
        <f>T910/N910</f>
        <v/>
      </c>
      <c r="Y910" s="28">
        <f>IF(W910=MAXIFS(W$2:W$3601, A$2:A$3601, A910, B$2:B$3601, B910), "OPTIMAL", "")</f>
        <v/>
      </c>
    </row>
    <row r="911" ht="20" customHeight="1">
      <c r="A911" s="29" t="n">
        <v>4</v>
      </c>
      <c r="B911" s="29" t="n">
        <v>35</v>
      </c>
      <c r="C911" s="30" t="n">
        <v>100</v>
      </c>
      <c r="D911" s="30" t="n">
        <v>3</v>
      </c>
      <c r="E911" s="6" t="n">
        <v>4</v>
      </c>
      <c r="F911" s="30" t="n">
        <v>2</v>
      </c>
      <c r="G911" s="6" t="inlineStr">
        <is>
          <t>Oui</t>
        </is>
      </c>
      <c r="H911" s="6" t="inlineStr">
        <is>
          <t>OFF</t>
        </is>
      </c>
      <c r="I911" s="31" t="n">
        <v>856.3651513317755</v>
      </c>
      <c r="J911" s="31" t="n">
        <v>3449.488235315031</v>
      </c>
      <c r="K911" s="31" t="n">
        <v>2287.037037037037</v>
      </c>
      <c r="L911" s="31" t="n">
        <v>150</v>
      </c>
      <c r="M911" s="31">
        <f>I911+J911+K911+L911</f>
        <v/>
      </c>
      <c r="N911" s="31">
        <f>M911*'Dashboard &amp; Optimisation'!$B$18/('Dashboard &amp; Optimisation'!$B$16/3.6)</f>
        <v/>
      </c>
      <c r="O911" s="31" t="n">
        <v>689.1155890087437</v>
      </c>
      <c r="P911" s="32" t="n">
        <v>0.305556811068225</v>
      </c>
      <c r="Q911" s="33" t="n">
        <v>9.076917745081236</v>
      </c>
      <c r="R911" s="31" t="n">
        <v>625.6824154672109</v>
      </c>
      <c r="S911" s="31">
        <f>R911*IF(A911=4, 2.0, 3.0)</f>
        <v/>
      </c>
      <c r="T911" s="30">
        <f>'Dashboard &amp; Optimisation'!$B$18*U911</f>
        <v/>
      </c>
      <c r="U911" s="34">
        <f>MIN(1, S911/M911)</f>
        <v/>
      </c>
      <c r="V911" s="34">
        <f>N911/(N911+O911)</f>
        <v/>
      </c>
      <c r="W911" s="34">
        <f>U911*V911</f>
        <v/>
      </c>
      <c r="X911" s="32">
        <f>T911/N911</f>
        <v/>
      </c>
      <c r="Y911" s="35">
        <f>IF(W911=MAXIFS(W$2:W$3601, A$2:A$3601, A911, B$2:B$3601, B911), "OPTIMAL", "")</f>
        <v/>
      </c>
    </row>
    <row r="912" ht="20" customHeight="1">
      <c r="A912" s="21" t="n">
        <v>4</v>
      </c>
      <c r="B912" s="21" t="n">
        <v>35</v>
      </c>
      <c r="C912" s="22" t="n">
        <v>100</v>
      </c>
      <c r="D912" s="22" t="n">
        <v>3</v>
      </c>
      <c r="E912" s="23" t="n">
        <v>4</v>
      </c>
      <c r="F912" s="22" t="n">
        <v>2</v>
      </c>
      <c r="G912" s="23" t="inlineStr">
        <is>
          <t>Non</t>
        </is>
      </c>
      <c r="H912" s="23" t="inlineStr">
        <is>
          <t>ON</t>
        </is>
      </c>
      <c r="I912" s="24" t="n">
        <v>856.3651513317755</v>
      </c>
      <c r="J912" s="24" t="n">
        <v>3449.488235315031</v>
      </c>
      <c r="K912" s="24" t="n">
        <v>2287.037037037037</v>
      </c>
      <c r="L912" s="24" t="n">
        <v>150</v>
      </c>
      <c r="M912" s="24">
        <f>I912+J912+K912+L912</f>
        <v/>
      </c>
      <c r="N912" s="24">
        <f>M912*'Dashboard &amp; Optimisation'!$B$18/('Dashboard &amp; Optimisation'!$B$16/3.6)</f>
        <v/>
      </c>
      <c r="O912" s="24" t="n">
        <v>689.1155890087437</v>
      </c>
      <c r="P912" s="25" t="n">
        <v>0.06771709944887042</v>
      </c>
      <c r="Q912" s="26" t="n">
        <v>9.076917745081236</v>
      </c>
      <c r="R912" s="24" t="n">
        <v>2823.238519777065</v>
      </c>
      <c r="S912" s="24">
        <f>R912*IF(A912=4, 2.0, 3.0)</f>
        <v/>
      </c>
      <c r="T912" s="22">
        <f>'Dashboard &amp; Optimisation'!$B$18*U912</f>
        <v/>
      </c>
      <c r="U912" s="27">
        <f>MIN(1, S912/M912)</f>
        <v/>
      </c>
      <c r="V912" s="27">
        <f>N912/(N912+O912)</f>
        <v/>
      </c>
      <c r="W912" s="27">
        <f>U912*V912</f>
        <v/>
      </c>
      <c r="X912" s="25">
        <f>T912/N912</f>
        <v/>
      </c>
      <c r="Y912" s="28">
        <f>IF(W912=MAXIFS(W$2:W$3601, A$2:A$3601, A912, B$2:B$3601, B912), "OPTIMAL", "")</f>
        <v/>
      </c>
    </row>
    <row r="913" ht="20" customHeight="1">
      <c r="A913" s="29" t="n">
        <v>4</v>
      </c>
      <c r="B913" s="29" t="n">
        <v>35</v>
      </c>
      <c r="C913" s="30" t="n">
        <v>100</v>
      </c>
      <c r="D913" s="30" t="n">
        <v>3</v>
      </c>
      <c r="E913" s="6" t="n">
        <v>4</v>
      </c>
      <c r="F913" s="30" t="n">
        <v>2</v>
      </c>
      <c r="G913" s="6" t="inlineStr">
        <is>
          <t>Non</t>
        </is>
      </c>
      <c r="H913" s="6" t="inlineStr">
        <is>
          <t>OFF</t>
        </is>
      </c>
      <c r="I913" s="31" t="n">
        <v>856.3651513317755</v>
      </c>
      <c r="J913" s="31" t="n">
        <v>3449.488235315031</v>
      </c>
      <c r="K913" s="31" t="n">
        <v>2287.037037037037</v>
      </c>
      <c r="L913" s="31" t="n">
        <v>150</v>
      </c>
      <c r="M913" s="31">
        <f>I913+J913+K913+L913</f>
        <v/>
      </c>
      <c r="N913" s="31">
        <f>M913*'Dashboard &amp; Optimisation'!$B$18/('Dashboard &amp; Optimisation'!$B$16/3.6)</f>
        <v/>
      </c>
      <c r="O913" s="31" t="n">
        <v>689.1155890087437</v>
      </c>
      <c r="P913" s="32" t="n">
        <v>0.302373712206387</v>
      </c>
      <c r="Q913" s="33" t="n">
        <v>9.076917745081236</v>
      </c>
      <c r="R913" s="31" t="n">
        <v>632.2689965890061</v>
      </c>
      <c r="S913" s="31">
        <f>R913*IF(A913=4, 2.0, 3.0)</f>
        <v/>
      </c>
      <c r="T913" s="30">
        <f>'Dashboard &amp; Optimisation'!$B$18*U913</f>
        <v/>
      </c>
      <c r="U913" s="34">
        <f>MIN(1, S913/M913)</f>
        <v/>
      </c>
      <c r="V913" s="34">
        <f>N913/(N913+O913)</f>
        <v/>
      </c>
      <c r="W913" s="34">
        <f>U913*V913</f>
        <v/>
      </c>
      <c r="X913" s="32">
        <f>T913/N913</f>
        <v/>
      </c>
      <c r="Y913" s="35">
        <f>IF(W913=MAXIFS(W$2:W$3601, A$2:A$3601, A913, B$2:B$3601, B913), "OPTIMAL", "")</f>
        <v/>
      </c>
    </row>
    <row r="914" ht="20" customHeight="1">
      <c r="A914" s="21" t="n">
        <v>4</v>
      </c>
      <c r="B914" s="21" t="n">
        <v>35</v>
      </c>
      <c r="C914" s="22" t="n">
        <v>100</v>
      </c>
      <c r="D914" s="22" t="n">
        <v>3</v>
      </c>
      <c r="E914" s="23" t="n">
        <v>8</v>
      </c>
      <c r="F914" s="22" t="n">
        <v>1.5</v>
      </c>
      <c r="G914" s="23" t="inlineStr">
        <is>
          <t>Oui</t>
        </is>
      </c>
      <c r="H914" s="23" t="inlineStr">
        <is>
          <t>ON</t>
        </is>
      </c>
      <c r="I914" s="24" t="n">
        <v>856.3651513317755</v>
      </c>
      <c r="J914" s="24" t="n">
        <v>3449.488235315031</v>
      </c>
      <c r="K914" s="24" t="n">
        <v>2287.037037037037</v>
      </c>
      <c r="L914" s="24" t="n">
        <v>150</v>
      </c>
      <c r="M914" s="24">
        <f>I914+J914+K914+L914</f>
        <v/>
      </c>
      <c r="N914" s="24">
        <f>M914*'Dashboard &amp; Optimisation'!$B$18/('Dashboard &amp; Optimisation'!$B$16/3.6)</f>
        <v/>
      </c>
      <c r="O914" s="24" t="n">
        <v>816.2125401784666</v>
      </c>
      <c r="P914" s="25" t="n">
        <v>0.05562346576923688</v>
      </c>
      <c r="Q914" s="26" t="n">
        <v>13.51537661762185</v>
      </c>
      <c r="R914" s="24" t="n">
        <v>3516.734424422275</v>
      </c>
      <c r="S914" s="24">
        <f>R914*IF(A914=4, 2.0, 3.0)</f>
        <v/>
      </c>
      <c r="T914" s="22">
        <f>'Dashboard &amp; Optimisation'!$B$18*U914</f>
        <v/>
      </c>
      <c r="U914" s="27">
        <f>MIN(1, S914/M914)</f>
        <v/>
      </c>
      <c r="V914" s="27">
        <f>N914/(N914+O914)</f>
        <v/>
      </c>
      <c r="W914" s="27">
        <f>U914*V914</f>
        <v/>
      </c>
      <c r="X914" s="25">
        <f>T914/N914</f>
        <v/>
      </c>
      <c r="Y914" s="28">
        <f>IF(W914=MAXIFS(W$2:W$3601, A$2:A$3601, A914, B$2:B$3601, B914), "OPTIMAL", "")</f>
        <v/>
      </c>
    </row>
    <row r="915" ht="20" customHeight="1">
      <c r="A915" s="29" t="n">
        <v>4</v>
      </c>
      <c r="B915" s="29" t="n">
        <v>35</v>
      </c>
      <c r="C915" s="30" t="n">
        <v>100</v>
      </c>
      <c r="D915" s="30" t="n">
        <v>3</v>
      </c>
      <c r="E915" s="6" t="n">
        <v>8</v>
      </c>
      <c r="F915" s="30" t="n">
        <v>1.5</v>
      </c>
      <c r="G915" s="6" t="inlineStr">
        <is>
          <t>Oui</t>
        </is>
      </c>
      <c r="H915" s="6" t="inlineStr">
        <is>
          <t>OFF</t>
        </is>
      </c>
      <c r="I915" s="31" t="n">
        <v>856.3651513317755</v>
      </c>
      <c r="J915" s="31" t="n">
        <v>3449.488235315031</v>
      </c>
      <c r="K915" s="31" t="n">
        <v>2287.037037037037</v>
      </c>
      <c r="L915" s="31" t="n">
        <v>150</v>
      </c>
      <c r="M915" s="31">
        <f>I915+J915+K915+L915</f>
        <v/>
      </c>
      <c r="N915" s="31">
        <f>M915*'Dashboard &amp; Optimisation'!$B$18/('Dashboard &amp; Optimisation'!$B$16/3.6)</f>
        <v/>
      </c>
      <c r="O915" s="31" t="n">
        <v>816.2125401784666</v>
      </c>
      <c r="P915" s="32" t="n">
        <v>0.2400757351497012</v>
      </c>
      <c r="Q915" s="33" t="n">
        <v>13.51537661762185</v>
      </c>
      <c r="R915" s="31" t="n">
        <v>814.7968671401685</v>
      </c>
      <c r="S915" s="31">
        <f>R915*IF(A915=4, 2.0, 3.0)</f>
        <v/>
      </c>
      <c r="T915" s="30">
        <f>'Dashboard &amp; Optimisation'!$B$18*U915</f>
        <v/>
      </c>
      <c r="U915" s="34">
        <f>MIN(1, S915/M915)</f>
        <v/>
      </c>
      <c r="V915" s="34">
        <f>N915/(N915+O915)</f>
        <v/>
      </c>
      <c r="W915" s="34">
        <f>U915*V915</f>
        <v/>
      </c>
      <c r="X915" s="32">
        <f>T915/N915</f>
        <v/>
      </c>
      <c r="Y915" s="35">
        <f>IF(W915=MAXIFS(W$2:W$3601, A$2:A$3601, A915, B$2:B$3601, B915), "OPTIMAL", "")</f>
        <v/>
      </c>
    </row>
    <row r="916" ht="20" customHeight="1">
      <c r="A916" s="21" t="n">
        <v>4</v>
      </c>
      <c r="B916" s="21" t="n">
        <v>35</v>
      </c>
      <c r="C916" s="22" t="n">
        <v>100</v>
      </c>
      <c r="D916" s="22" t="n">
        <v>3</v>
      </c>
      <c r="E916" s="23" t="n">
        <v>8</v>
      </c>
      <c r="F916" s="22" t="n">
        <v>1.5</v>
      </c>
      <c r="G916" s="23" t="inlineStr">
        <is>
          <t>Non</t>
        </is>
      </c>
      <c r="H916" s="23" t="inlineStr">
        <is>
          <t>ON</t>
        </is>
      </c>
      <c r="I916" s="24" t="n">
        <v>856.3651513317755</v>
      </c>
      <c r="J916" s="24" t="n">
        <v>3449.488235315031</v>
      </c>
      <c r="K916" s="24" t="n">
        <v>2287.037037037037</v>
      </c>
      <c r="L916" s="24" t="n">
        <v>150</v>
      </c>
      <c r="M916" s="24">
        <f>I916+J916+K916+L916</f>
        <v/>
      </c>
      <c r="N916" s="24">
        <f>M916*'Dashboard &amp; Optimisation'!$B$18/('Dashboard &amp; Optimisation'!$B$16/3.6)</f>
        <v/>
      </c>
      <c r="O916" s="24" t="n">
        <v>816.2125401784666</v>
      </c>
      <c r="P916" s="25" t="n">
        <v>0.05244036690739898</v>
      </c>
      <c r="Q916" s="26" t="n">
        <v>13.51537661762185</v>
      </c>
      <c r="R916" s="24" t="n">
        <v>3730.198097617615</v>
      </c>
      <c r="S916" s="24">
        <f>R916*IF(A916=4, 2.0, 3.0)</f>
        <v/>
      </c>
      <c r="T916" s="22">
        <f>'Dashboard &amp; Optimisation'!$B$18*U916</f>
        <v/>
      </c>
      <c r="U916" s="27">
        <f>MIN(1, S916/M916)</f>
        <v/>
      </c>
      <c r="V916" s="27">
        <f>N916/(N916+O916)</f>
        <v/>
      </c>
      <c r="W916" s="27">
        <f>U916*V916</f>
        <v/>
      </c>
      <c r="X916" s="25">
        <f>T916/N916</f>
        <v/>
      </c>
      <c r="Y916" s="28">
        <f>IF(W916=MAXIFS(W$2:W$3601, A$2:A$3601, A916, B$2:B$3601, B916), "OPTIMAL", "")</f>
        <v/>
      </c>
    </row>
    <row r="917" ht="20" customHeight="1">
      <c r="A917" s="29" t="n">
        <v>4</v>
      </c>
      <c r="B917" s="29" t="n">
        <v>35</v>
      </c>
      <c r="C917" s="30" t="n">
        <v>100</v>
      </c>
      <c r="D917" s="30" t="n">
        <v>3</v>
      </c>
      <c r="E917" s="6" t="n">
        <v>8</v>
      </c>
      <c r="F917" s="30" t="n">
        <v>1.5</v>
      </c>
      <c r="G917" s="6" t="inlineStr">
        <is>
          <t>Non</t>
        </is>
      </c>
      <c r="H917" s="6" t="inlineStr">
        <is>
          <t>OFF</t>
        </is>
      </c>
      <c r="I917" s="31" t="n">
        <v>856.3651513317755</v>
      </c>
      <c r="J917" s="31" t="n">
        <v>3449.488235315031</v>
      </c>
      <c r="K917" s="31" t="n">
        <v>2287.037037037037</v>
      </c>
      <c r="L917" s="31" t="n">
        <v>150</v>
      </c>
      <c r="M917" s="31">
        <f>I917+J917+K917+L917</f>
        <v/>
      </c>
      <c r="N917" s="31">
        <f>M917*'Dashboard &amp; Optimisation'!$B$18/('Dashboard &amp; Optimisation'!$B$16/3.6)</f>
        <v/>
      </c>
      <c r="O917" s="31" t="n">
        <v>816.2125401784666</v>
      </c>
      <c r="P917" s="32" t="n">
        <v>0.2368926362878633</v>
      </c>
      <c r="Q917" s="33" t="n">
        <v>13.51537661762185</v>
      </c>
      <c r="R917" s="31" t="n">
        <v>825.7451980847883</v>
      </c>
      <c r="S917" s="31">
        <f>R917*IF(A917=4, 2.0, 3.0)</f>
        <v/>
      </c>
      <c r="T917" s="30">
        <f>'Dashboard &amp; Optimisation'!$B$18*U917</f>
        <v/>
      </c>
      <c r="U917" s="34">
        <f>MIN(1, S917/M917)</f>
        <v/>
      </c>
      <c r="V917" s="34">
        <f>N917/(N917+O917)</f>
        <v/>
      </c>
      <c r="W917" s="34">
        <f>U917*V917</f>
        <v/>
      </c>
      <c r="X917" s="32">
        <f>T917/N917</f>
        <v/>
      </c>
      <c r="Y917" s="35">
        <f>IF(W917=MAXIFS(W$2:W$3601, A$2:A$3601, A917, B$2:B$3601, B917), "OPTIMAL", "")</f>
        <v/>
      </c>
    </row>
    <row r="918" ht="20" customHeight="1">
      <c r="A918" s="21" t="n">
        <v>4</v>
      </c>
      <c r="B918" s="21" t="n">
        <v>35</v>
      </c>
      <c r="C918" s="22" t="n">
        <v>100</v>
      </c>
      <c r="D918" s="22" t="n">
        <v>3</v>
      </c>
      <c r="E918" s="23" t="n">
        <v>8</v>
      </c>
      <c r="F918" s="22" t="n">
        <v>2</v>
      </c>
      <c r="G918" s="23" t="inlineStr">
        <is>
          <t>Oui</t>
        </is>
      </c>
      <c r="H918" s="23" t="inlineStr">
        <is>
          <t>ON</t>
        </is>
      </c>
      <c r="I918" s="24" t="n">
        <v>856.3651513317755</v>
      </c>
      <c r="J918" s="24" t="n">
        <v>3449.488235315031</v>
      </c>
      <c r="K918" s="24" t="n">
        <v>2287.037037037037</v>
      </c>
      <c r="L918" s="24" t="n">
        <v>150</v>
      </c>
      <c r="M918" s="24">
        <f>I918+J918+K918+L918</f>
        <v/>
      </c>
      <c r="N918" s="24">
        <f>M918*'Dashboard &amp; Optimisation'!$B$18/('Dashboard &amp; Optimisation'!$B$16/3.6)</f>
        <v/>
      </c>
      <c r="O918" s="24" t="n">
        <v>949.3413134074165</v>
      </c>
      <c r="P918" s="25" t="n">
        <v>0.05441799410512958</v>
      </c>
      <c r="Q918" s="26" t="n">
        <v>17.95383549016247</v>
      </c>
      <c r="R918" s="24" t="n">
        <v>3679.935328560983</v>
      </c>
      <c r="S918" s="24">
        <f>R918*IF(A918=4, 2.0, 3.0)</f>
        <v/>
      </c>
      <c r="T918" s="22">
        <f>'Dashboard &amp; Optimisation'!$B$18*U918</f>
        <v/>
      </c>
      <c r="U918" s="27">
        <f>MIN(1, S918/M918)</f>
        <v/>
      </c>
      <c r="V918" s="27">
        <f>N918/(N918+O918)</f>
        <v/>
      </c>
      <c r="W918" s="27">
        <f>U918*V918</f>
        <v/>
      </c>
      <c r="X918" s="25">
        <f>T918/N918</f>
        <v/>
      </c>
      <c r="Y918" s="28">
        <f>IF(W918=MAXIFS(W$2:W$3601, A$2:A$3601, A918, B$2:B$3601, B918), "OPTIMAL", "")</f>
        <v/>
      </c>
    </row>
    <row r="919" ht="20" customHeight="1">
      <c r="A919" s="29" t="n">
        <v>4</v>
      </c>
      <c r="B919" s="29" t="n">
        <v>35</v>
      </c>
      <c r="C919" s="30" t="n">
        <v>100</v>
      </c>
      <c r="D919" s="30" t="n">
        <v>3</v>
      </c>
      <c r="E919" s="6" t="n">
        <v>8</v>
      </c>
      <c r="F919" s="30" t="n">
        <v>2</v>
      </c>
      <c r="G919" s="6" t="inlineStr">
        <is>
          <t>Oui</t>
        </is>
      </c>
      <c r="H919" s="6" t="inlineStr">
        <is>
          <t>OFF</t>
        </is>
      </c>
      <c r="I919" s="31" t="n">
        <v>856.3651513317755</v>
      </c>
      <c r="J919" s="31" t="n">
        <v>3449.488235315031</v>
      </c>
      <c r="K919" s="31" t="n">
        <v>2287.037037037037</v>
      </c>
      <c r="L919" s="31" t="n">
        <v>150</v>
      </c>
      <c r="M919" s="31">
        <f>I919+J919+K919+L919</f>
        <v/>
      </c>
      <c r="N919" s="31">
        <f>M919*'Dashboard &amp; Optimisation'!$B$18/('Dashboard &amp; Optimisation'!$B$16/3.6)</f>
        <v/>
      </c>
      <c r="O919" s="31" t="n">
        <v>949.3413134074165</v>
      </c>
      <c r="P919" s="32" t="n">
        <v>0.2402392320400437</v>
      </c>
      <c r="Q919" s="33" t="n">
        <v>17.95383549016247</v>
      </c>
      <c r="R919" s="31" t="n">
        <v>833.5636828189274</v>
      </c>
      <c r="S919" s="31">
        <f>R919*IF(A919=4, 2.0, 3.0)</f>
        <v/>
      </c>
      <c r="T919" s="30">
        <f>'Dashboard &amp; Optimisation'!$B$18*U919</f>
        <v/>
      </c>
      <c r="U919" s="34">
        <f>MIN(1, S919/M919)</f>
        <v/>
      </c>
      <c r="V919" s="34">
        <f>N919/(N919+O919)</f>
        <v/>
      </c>
      <c r="W919" s="34">
        <f>U919*V919</f>
        <v/>
      </c>
      <c r="X919" s="32">
        <f>T919/N919</f>
        <v/>
      </c>
      <c r="Y919" s="35">
        <f>IF(W919=MAXIFS(W$2:W$3601, A$2:A$3601, A919, B$2:B$3601, B919), "OPTIMAL", "")</f>
        <v/>
      </c>
    </row>
    <row r="920" ht="20" customHeight="1">
      <c r="A920" s="21" t="n">
        <v>4</v>
      </c>
      <c r="B920" s="21" t="n">
        <v>35</v>
      </c>
      <c r="C920" s="22" t="n">
        <v>100</v>
      </c>
      <c r="D920" s="22" t="n">
        <v>3</v>
      </c>
      <c r="E920" s="23" t="n">
        <v>8</v>
      </c>
      <c r="F920" s="22" t="n">
        <v>2</v>
      </c>
      <c r="G920" s="23" t="inlineStr">
        <is>
          <t>Non</t>
        </is>
      </c>
      <c r="H920" s="23" t="inlineStr">
        <is>
          <t>ON</t>
        </is>
      </c>
      <c r="I920" s="24" t="n">
        <v>856.3651513317755</v>
      </c>
      <c r="J920" s="24" t="n">
        <v>3449.488235315031</v>
      </c>
      <c r="K920" s="24" t="n">
        <v>2287.037037037037</v>
      </c>
      <c r="L920" s="24" t="n">
        <v>150</v>
      </c>
      <c r="M920" s="24">
        <f>I920+J920+K920+L920</f>
        <v/>
      </c>
      <c r="N920" s="24">
        <f>M920*'Dashboard &amp; Optimisation'!$B$18/('Dashboard &amp; Optimisation'!$B$16/3.6)</f>
        <v/>
      </c>
      <c r="O920" s="24" t="n">
        <v>949.3413134074165</v>
      </c>
      <c r="P920" s="25" t="n">
        <v>0.05123489524329167</v>
      </c>
      <c r="Q920" s="26" t="n">
        <v>17.95383549016247</v>
      </c>
      <c r="R920" s="24" t="n">
        <v>3908.56071952464</v>
      </c>
      <c r="S920" s="24">
        <f>R920*IF(A920=4, 2.0, 3.0)</f>
        <v/>
      </c>
      <c r="T920" s="22">
        <f>'Dashboard &amp; Optimisation'!$B$18*U920</f>
        <v/>
      </c>
      <c r="U920" s="27">
        <f>MIN(1, S920/M920)</f>
        <v/>
      </c>
      <c r="V920" s="27">
        <f>N920/(N920+O920)</f>
        <v/>
      </c>
      <c r="W920" s="27">
        <f>U920*V920</f>
        <v/>
      </c>
      <c r="X920" s="25">
        <f>T920/N920</f>
        <v/>
      </c>
      <c r="Y920" s="28">
        <f>IF(W920=MAXIFS(W$2:W$3601, A$2:A$3601, A920, B$2:B$3601, B920), "OPTIMAL", "")</f>
        <v/>
      </c>
    </row>
    <row r="921" ht="20" customHeight="1">
      <c r="A921" s="29" t="n">
        <v>4</v>
      </c>
      <c r="B921" s="29" t="n">
        <v>35</v>
      </c>
      <c r="C921" s="30" t="n">
        <v>100</v>
      </c>
      <c r="D921" s="30" t="n">
        <v>3</v>
      </c>
      <c r="E921" s="6" t="n">
        <v>8</v>
      </c>
      <c r="F921" s="30" t="n">
        <v>2</v>
      </c>
      <c r="G921" s="6" t="inlineStr">
        <is>
          <t>Non</t>
        </is>
      </c>
      <c r="H921" s="6" t="inlineStr">
        <is>
          <t>OFF</t>
        </is>
      </c>
      <c r="I921" s="31" t="n">
        <v>856.3651513317755</v>
      </c>
      <c r="J921" s="31" t="n">
        <v>3449.488235315031</v>
      </c>
      <c r="K921" s="31" t="n">
        <v>2287.037037037037</v>
      </c>
      <c r="L921" s="31" t="n">
        <v>150</v>
      </c>
      <c r="M921" s="31">
        <f>I921+J921+K921+L921</f>
        <v/>
      </c>
      <c r="N921" s="31">
        <f>M921*'Dashboard &amp; Optimisation'!$B$18/('Dashboard &amp; Optimisation'!$B$16/3.6)</f>
        <v/>
      </c>
      <c r="O921" s="31" t="n">
        <v>949.3413134074165</v>
      </c>
      <c r="P921" s="32" t="n">
        <v>0.2370561331782058</v>
      </c>
      <c r="Q921" s="33" t="n">
        <v>17.95383549016247</v>
      </c>
      <c r="R921" s="31" t="n">
        <v>844.7564563383356</v>
      </c>
      <c r="S921" s="31">
        <f>R921*IF(A921=4, 2.0, 3.0)</f>
        <v/>
      </c>
      <c r="T921" s="30">
        <f>'Dashboard &amp; Optimisation'!$B$18*U921</f>
        <v/>
      </c>
      <c r="U921" s="34">
        <f>MIN(1, S921/M921)</f>
        <v/>
      </c>
      <c r="V921" s="34">
        <f>N921/(N921+O921)</f>
        <v/>
      </c>
      <c r="W921" s="34">
        <f>U921*V921</f>
        <v/>
      </c>
      <c r="X921" s="32">
        <f>T921/N921</f>
        <v/>
      </c>
      <c r="Y921" s="35">
        <f>IF(W921=MAXIFS(W$2:W$3601, A$2:A$3601, A921, B$2:B$3601, B921), "OPTIMAL", "")</f>
        <v/>
      </c>
    </row>
    <row r="922" ht="20" customHeight="1">
      <c r="A922" s="21" t="n">
        <v>4</v>
      </c>
      <c r="B922" s="21" t="n">
        <v>35</v>
      </c>
      <c r="C922" s="22" t="n">
        <v>105</v>
      </c>
      <c r="D922" s="22" t="n">
        <v>2</v>
      </c>
      <c r="E922" s="23" t="n">
        <v>0</v>
      </c>
      <c r="F922" s="22" t="n">
        <v>0</v>
      </c>
      <c r="G922" s="23" t="inlineStr">
        <is>
          <t>Oui</t>
        </is>
      </c>
      <c r="H922" s="23" t="inlineStr">
        <is>
          <t>ON</t>
        </is>
      </c>
      <c r="I922" s="24" t="n">
        <v>856.3651513317755</v>
      </c>
      <c r="J922" s="24" t="n">
        <v>3449.488235315031</v>
      </c>
      <c r="K922" s="24" t="n">
        <v>2287.037037037037</v>
      </c>
      <c r="L922" s="24" t="n">
        <v>150</v>
      </c>
      <c r="M922" s="24">
        <f>I922+J922+K922+L922</f>
        <v/>
      </c>
      <c r="N922" s="24">
        <f>M922*'Dashboard &amp; Optimisation'!$B$18/('Dashboard &amp; Optimisation'!$B$16/3.6)</f>
        <v/>
      </c>
      <c r="O922" s="24" t="n">
        <v>276.8186761779862</v>
      </c>
      <c r="P922" s="25" t="n">
        <v>0.4767371025038626</v>
      </c>
      <c r="Q922" s="26" t="n">
        <v>0.2</v>
      </c>
      <c r="R922" s="24" t="n">
        <v>332.304006566322</v>
      </c>
      <c r="S922" s="24">
        <f>R922*IF(A922=4, 2.0, 3.0)</f>
        <v/>
      </c>
      <c r="T922" s="22">
        <f>'Dashboard &amp; Optimisation'!$B$18*U922</f>
        <v/>
      </c>
      <c r="U922" s="27">
        <f>MIN(1, S922/M922)</f>
        <v/>
      </c>
      <c r="V922" s="27">
        <f>N922/(N922+O922)</f>
        <v/>
      </c>
      <c r="W922" s="27">
        <f>U922*V922</f>
        <v/>
      </c>
      <c r="X922" s="25">
        <f>T922/N922</f>
        <v/>
      </c>
      <c r="Y922" s="28">
        <f>IF(W922=MAXIFS(W$2:W$3601, A$2:A$3601, A922, B$2:B$3601, B922), "OPTIMAL", "")</f>
        <v/>
      </c>
    </row>
    <row r="923" ht="20" customHeight="1">
      <c r="A923" s="29" t="n">
        <v>4</v>
      </c>
      <c r="B923" s="29" t="n">
        <v>35</v>
      </c>
      <c r="C923" s="30" t="n">
        <v>105</v>
      </c>
      <c r="D923" s="30" t="n">
        <v>2</v>
      </c>
      <c r="E923" s="6" t="n">
        <v>0</v>
      </c>
      <c r="F923" s="30" t="n">
        <v>0</v>
      </c>
      <c r="G923" s="6" t="inlineStr">
        <is>
          <t>Oui</t>
        </is>
      </c>
      <c r="H923" s="6" t="inlineStr">
        <is>
          <t>OFF</t>
        </is>
      </c>
      <c r="I923" s="31" t="n">
        <v>856.3651513317755</v>
      </c>
      <c r="J923" s="31" t="n">
        <v>3449.488235315031</v>
      </c>
      <c r="K923" s="31" t="n">
        <v>2287.037037037037</v>
      </c>
      <c r="L923" s="31" t="n">
        <v>150</v>
      </c>
      <c r="M923" s="31">
        <f>I923+J923+K923+L923</f>
        <v/>
      </c>
      <c r="N923" s="31">
        <f>M923*'Dashboard &amp; Optimisation'!$B$18/('Dashboard &amp; Optimisation'!$B$16/3.6)</f>
        <v/>
      </c>
      <c r="O923" s="31" t="n">
        <v>276.8186761779862</v>
      </c>
      <c r="P923" s="32" t="n">
        <v>0.7798893750598538</v>
      </c>
      <c r="Q923" s="33" t="n">
        <v>0.2</v>
      </c>
      <c r="R923" s="31" t="n">
        <v>203.1334882959453</v>
      </c>
      <c r="S923" s="31">
        <f>R923*IF(A923=4, 2.0, 3.0)</f>
        <v/>
      </c>
      <c r="T923" s="30">
        <f>'Dashboard &amp; Optimisation'!$B$18*U923</f>
        <v/>
      </c>
      <c r="U923" s="34">
        <f>MIN(1, S923/M923)</f>
        <v/>
      </c>
      <c r="V923" s="34">
        <f>N923/(N923+O923)</f>
        <v/>
      </c>
      <c r="W923" s="34">
        <f>U923*V923</f>
        <v/>
      </c>
      <c r="X923" s="32">
        <f>T923/N923</f>
        <v/>
      </c>
      <c r="Y923" s="35">
        <f>IF(W923=MAXIFS(W$2:W$3601, A$2:A$3601, A923, B$2:B$3601, B923), "OPTIMAL", "")</f>
        <v/>
      </c>
    </row>
    <row r="924" ht="20" customHeight="1">
      <c r="A924" s="21" t="n">
        <v>4</v>
      </c>
      <c r="B924" s="21" t="n">
        <v>35</v>
      </c>
      <c r="C924" s="22" t="n">
        <v>105</v>
      </c>
      <c r="D924" s="22" t="n">
        <v>2</v>
      </c>
      <c r="E924" s="23" t="n">
        <v>0</v>
      </c>
      <c r="F924" s="22" t="n">
        <v>0</v>
      </c>
      <c r="G924" s="23" t="inlineStr">
        <is>
          <t>Non</t>
        </is>
      </c>
      <c r="H924" s="23" t="inlineStr">
        <is>
          <t>ON</t>
        </is>
      </c>
      <c r="I924" s="24" t="n">
        <v>856.3651513317755</v>
      </c>
      <c r="J924" s="24" t="n">
        <v>3449.488235315031</v>
      </c>
      <c r="K924" s="24" t="n">
        <v>2287.037037037037</v>
      </c>
      <c r="L924" s="24" t="n">
        <v>150</v>
      </c>
      <c r="M924" s="24">
        <f>I924+J924+K924+L924</f>
        <v/>
      </c>
      <c r="N924" s="24">
        <f>M924*'Dashboard &amp; Optimisation'!$B$18/('Dashboard &amp; Optimisation'!$B$16/3.6)</f>
        <v/>
      </c>
      <c r="O924" s="24" t="n">
        <v>276.8186761779862</v>
      </c>
      <c r="P924" s="25" t="n">
        <v>0.4737055797783027</v>
      </c>
      <c r="Q924" s="26" t="n">
        <v>0.2</v>
      </c>
      <c r="R924" s="24" t="n">
        <v>334.4306168295405</v>
      </c>
      <c r="S924" s="24">
        <f>R924*IF(A924=4, 2.0, 3.0)</f>
        <v/>
      </c>
      <c r="T924" s="22">
        <f>'Dashboard &amp; Optimisation'!$B$18*U924</f>
        <v/>
      </c>
      <c r="U924" s="27">
        <f>MIN(1, S924/M924)</f>
        <v/>
      </c>
      <c r="V924" s="27">
        <f>N924/(N924+O924)</f>
        <v/>
      </c>
      <c r="W924" s="27">
        <f>U924*V924</f>
        <v/>
      </c>
      <c r="X924" s="25">
        <f>T924/N924</f>
        <v/>
      </c>
      <c r="Y924" s="28">
        <f>IF(W924=MAXIFS(W$2:W$3601, A$2:A$3601, A924, B$2:B$3601, B924), "OPTIMAL", "")</f>
        <v/>
      </c>
    </row>
    <row r="925" ht="20" customHeight="1">
      <c r="A925" s="29" t="n">
        <v>4</v>
      </c>
      <c r="B925" s="29" t="n">
        <v>35</v>
      </c>
      <c r="C925" s="30" t="n">
        <v>105</v>
      </c>
      <c r="D925" s="30" t="n">
        <v>2</v>
      </c>
      <c r="E925" s="6" t="n">
        <v>0</v>
      </c>
      <c r="F925" s="30" t="n">
        <v>0</v>
      </c>
      <c r="G925" s="6" t="inlineStr">
        <is>
          <t>Non</t>
        </is>
      </c>
      <c r="H925" s="6" t="inlineStr">
        <is>
          <t>OFF</t>
        </is>
      </c>
      <c r="I925" s="31" t="n">
        <v>856.3651513317755</v>
      </c>
      <c r="J925" s="31" t="n">
        <v>3449.488235315031</v>
      </c>
      <c r="K925" s="31" t="n">
        <v>2287.037037037037</v>
      </c>
      <c r="L925" s="31" t="n">
        <v>150</v>
      </c>
      <c r="M925" s="31">
        <f>I925+J925+K925+L925</f>
        <v/>
      </c>
      <c r="N925" s="31">
        <f>M925*'Dashboard &amp; Optimisation'!$B$18/('Dashboard &amp; Optimisation'!$B$16/3.6)</f>
        <v/>
      </c>
      <c r="O925" s="31" t="n">
        <v>276.8186761779862</v>
      </c>
      <c r="P925" s="32" t="n">
        <v>0.7768578523342939</v>
      </c>
      <c r="Q925" s="33" t="n">
        <v>0.2</v>
      </c>
      <c r="R925" s="31" t="n">
        <v>203.9261735783828</v>
      </c>
      <c r="S925" s="31">
        <f>R925*IF(A925=4, 2.0, 3.0)</f>
        <v/>
      </c>
      <c r="T925" s="30">
        <f>'Dashboard &amp; Optimisation'!$B$18*U925</f>
        <v/>
      </c>
      <c r="U925" s="34">
        <f>MIN(1, S925/M925)</f>
        <v/>
      </c>
      <c r="V925" s="34">
        <f>N925/(N925+O925)</f>
        <v/>
      </c>
      <c r="W925" s="34">
        <f>U925*V925</f>
        <v/>
      </c>
      <c r="X925" s="32">
        <f>T925/N925</f>
        <v/>
      </c>
      <c r="Y925" s="35">
        <f>IF(W925=MAXIFS(W$2:W$3601, A$2:A$3601, A925, B$2:B$3601, B925), "OPTIMAL", "")</f>
        <v/>
      </c>
    </row>
    <row r="926" ht="20" customHeight="1">
      <c r="A926" s="21" t="n">
        <v>4</v>
      </c>
      <c r="B926" s="21" t="n">
        <v>35</v>
      </c>
      <c r="C926" s="22" t="n">
        <v>105</v>
      </c>
      <c r="D926" s="22" t="n">
        <v>2</v>
      </c>
      <c r="E926" s="23" t="n">
        <v>4</v>
      </c>
      <c r="F926" s="22" t="n">
        <v>1.5</v>
      </c>
      <c r="G926" s="23" t="inlineStr">
        <is>
          <t>Oui</t>
        </is>
      </c>
      <c r="H926" s="23" t="inlineStr">
        <is>
          <t>ON</t>
        </is>
      </c>
      <c r="I926" s="24" t="n">
        <v>856.3651513317755</v>
      </c>
      <c r="J926" s="24" t="n">
        <v>3449.488235315031</v>
      </c>
      <c r="K926" s="24" t="n">
        <v>2287.037037037037</v>
      </c>
      <c r="L926" s="24" t="n">
        <v>150</v>
      </c>
      <c r="M926" s="24">
        <f>I926+J926+K926+L926</f>
        <v/>
      </c>
      <c r="N926" s="24">
        <f>M926*'Dashboard &amp; Optimisation'!$B$18/('Dashboard &amp; Optimisation'!$B$16/3.6)</f>
        <v/>
      </c>
      <c r="O926" s="24" t="n">
        <v>432.0713415393319</v>
      </c>
      <c r="P926" s="25" t="n">
        <v>0.07211788842163316</v>
      </c>
      <c r="Q926" s="26" t="n">
        <v>6.39626436661611</v>
      </c>
      <c r="R926" s="24" t="n">
        <v>2265.239192721816</v>
      </c>
      <c r="S926" s="24">
        <f>R926*IF(A926=4, 2.0, 3.0)</f>
        <v/>
      </c>
      <c r="T926" s="22">
        <f>'Dashboard &amp; Optimisation'!$B$18*U926</f>
        <v/>
      </c>
      <c r="U926" s="27">
        <f>MIN(1, S926/M926)</f>
        <v/>
      </c>
      <c r="V926" s="27">
        <f>N926/(N926+O926)</f>
        <v/>
      </c>
      <c r="W926" s="27">
        <f>U926*V926</f>
        <v/>
      </c>
      <c r="X926" s="25">
        <f>T926/N926</f>
        <v/>
      </c>
      <c r="Y926" s="28">
        <f>IF(W926=MAXIFS(W$2:W$3601, A$2:A$3601, A926, B$2:B$3601, B926), "OPTIMAL", "")</f>
        <v/>
      </c>
    </row>
    <row r="927" ht="20" customHeight="1">
      <c r="A927" s="29" t="n">
        <v>4</v>
      </c>
      <c r="B927" s="29" t="n">
        <v>35</v>
      </c>
      <c r="C927" s="30" t="n">
        <v>105</v>
      </c>
      <c r="D927" s="30" t="n">
        <v>2</v>
      </c>
      <c r="E927" s="6" t="n">
        <v>4</v>
      </c>
      <c r="F927" s="30" t="n">
        <v>1.5</v>
      </c>
      <c r="G927" s="6" t="inlineStr">
        <is>
          <t>Oui</t>
        </is>
      </c>
      <c r="H927" s="6" t="inlineStr">
        <is>
          <t>OFF</t>
        </is>
      </c>
      <c r="I927" s="31" t="n">
        <v>856.3651513317755</v>
      </c>
      <c r="J927" s="31" t="n">
        <v>3449.488235315031</v>
      </c>
      <c r="K927" s="31" t="n">
        <v>2287.037037037037</v>
      </c>
      <c r="L927" s="31" t="n">
        <v>150</v>
      </c>
      <c r="M927" s="31">
        <f>I927+J927+K927+L927</f>
        <v/>
      </c>
      <c r="N927" s="31">
        <f>M927*'Dashboard &amp; Optimisation'!$B$18/('Dashboard &amp; Optimisation'!$B$16/3.6)</f>
        <v/>
      </c>
      <c r="O927" s="31" t="n">
        <v>432.0713415393319</v>
      </c>
      <c r="P927" s="32" t="n">
        <v>0.297414701598841</v>
      </c>
      <c r="Q927" s="33" t="n">
        <v>6.39626436661611</v>
      </c>
      <c r="R927" s="31" t="n">
        <v>549.2810761230335</v>
      </c>
      <c r="S927" s="31">
        <f>R927*IF(A927=4, 2.0, 3.0)</f>
        <v/>
      </c>
      <c r="T927" s="30">
        <f>'Dashboard &amp; Optimisation'!$B$18*U927</f>
        <v/>
      </c>
      <c r="U927" s="34">
        <f>MIN(1, S927/M927)</f>
        <v/>
      </c>
      <c r="V927" s="34">
        <f>N927/(N927+O927)</f>
        <v/>
      </c>
      <c r="W927" s="34">
        <f>U927*V927</f>
        <v/>
      </c>
      <c r="X927" s="32">
        <f>T927/N927</f>
        <v/>
      </c>
      <c r="Y927" s="35">
        <f>IF(W927=MAXIFS(W$2:W$3601, A$2:A$3601, A927, B$2:B$3601, B927), "OPTIMAL", "")</f>
        <v/>
      </c>
    </row>
    <row r="928" ht="20" customHeight="1">
      <c r="A928" s="21" t="n">
        <v>4</v>
      </c>
      <c r="B928" s="21" t="n">
        <v>35</v>
      </c>
      <c r="C928" s="22" t="n">
        <v>105</v>
      </c>
      <c r="D928" s="22" t="n">
        <v>2</v>
      </c>
      <c r="E928" s="23" t="n">
        <v>4</v>
      </c>
      <c r="F928" s="22" t="n">
        <v>1.5</v>
      </c>
      <c r="G928" s="23" t="inlineStr">
        <is>
          <t>Non</t>
        </is>
      </c>
      <c r="H928" s="23" t="inlineStr">
        <is>
          <t>ON</t>
        </is>
      </c>
      <c r="I928" s="24" t="n">
        <v>856.3651513317755</v>
      </c>
      <c r="J928" s="24" t="n">
        <v>3449.488235315031</v>
      </c>
      <c r="K928" s="24" t="n">
        <v>2287.037037037037</v>
      </c>
      <c r="L928" s="24" t="n">
        <v>150</v>
      </c>
      <c r="M928" s="24">
        <f>I928+J928+K928+L928</f>
        <v/>
      </c>
      <c r="N928" s="24">
        <f>M928*'Dashboard &amp; Optimisation'!$B$18/('Dashboard &amp; Optimisation'!$B$16/3.6)</f>
        <v/>
      </c>
      <c r="O928" s="24" t="n">
        <v>432.0713415393319</v>
      </c>
      <c r="P928" s="25" t="n">
        <v>0.06908636569607325</v>
      </c>
      <c r="Q928" s="26" t="n">
        <v>6.39626436661611</v>
      </c>
      <c r="R928" s="24" t="n">
        <v>2364.638314710302</v>
      </c>
      <c r="S928" s="24">
        <f>R928*IF(A928=4, 2.0, 3.0)</f>
        <v/>
      </c>
      <c r="T928" s="22">
        <f>'Dashboard &amp; Optimisation'!$B$18*U928</f>
        <v/>
      </c>
      <c r="U928" s="27">
        <f>MIN(1, S928/M928)</f>
        <v/>
      </c>
      <c r="V928" s="27">
        <f>N928/(N928+O928)</f>
        <v/>
      </c>
      <c r="W928" s="27">
        <f>U928*V928</f>
        <v/>
      </c>
      <c r="X928" s="25">
        <f>T928/N928</f>
        <v/>
      </c>
      <c r="Y928" s="28">
        <f>IF(W928=MAXIFS(W$2:W$3601, A$2:A$3601, A928, B$2:B$3601, B928), "OPTIMAL", "")</f>
        <v/>
      </c>
    </row>
    <row r="929" ht="20" customHeight="1">
      <c r="A929" s="29" t="n">
        <v>4</v>
      </c>
      <c r="B929" s="29" t="n">
        <v>35</v>
      </c>
      <c r="C929" s="30" t="n">
        <v>105</v>
      </c>
      <c r="D929" s="30" t="n">
        <v>2</v>
      </c>
      <c r="E929" s="6" t="n">
        <v>4</v>
      </c>
      <c r="F929" s="30" t="n">
        <v>1.5</v>
      </c>
      <c r="G929" s="6" t="inlineStr">
        <is>
          <t>Non</t>
        </is>
      </c>
      <c r="H929" s="6" t="inlineStr">
        <is>
          <t>OFF</t>
        </is>
      </c>
      <c r="I929" s="31" t="n">
        <v>856.3651513317755</v>
      </c>
      <c r="J929" s="31" t="n">
        <v>3449.488235315031</v>
      </c>
      <c r="K929" s="31" t="n">
        <v>2287.037037037037</v>
      </c>
      <c r="L929" s="31" t="n">
        <v>150</v>
      </c>
      <c r="M929" s="31">
        <f>I929+J929+K929+L929</f>
        <v/>
      </c>
      <c r="N929" s="31">
        <f>M929*'Dashboard &amp; Optimisation'!$B$18/('Dashboard &amp; Optimisation'!$B$16/3.6)</f>
        <v/>
      </c>
      <c r="O929" s="31" t="n">
        <v>432.0713415393319</v>
      </c>
      <c r="P929" s="32" t="n">
        <v>0.2943831788732811</v>
      </c>
      <c r="Q929" s="33" t="n">
        <v>6.39626436661611</v>
      </c>
      <c r="R929" s="31" t="n">
        <v>554.9375068721007</v>
      </c>
      <c r="S929" s="31">
        <f>R929*IF(A929=4, 2.0, 3.0)</f>
        <v/>
      </c>
      <c r="T929" s="30">
        <f>'Dashboard &amp; Optimisation'!$B$18*U929</f>
        <v/>
      </c>
      <c r="U929" s="34">
        <f>MIN(1, S929/M929)</f>
        <v/>
      </c>
      <c r="V929" s="34">
        <f>N929/(N929+O929)</f>
        <v/>
      </c>
      <c r="W929" s="34">
        <f>U929*V929</f>
        <v/>
      </c>
      <c r="X929" s="32">
        <f>T929/N929</f>
        <v/>
      </c>
      <c r="Y929" s="35">
        <f>IF(W929=MAXIFS(W$2:W$3601, A$2:A$3601, A929, B$2:B$3601, B929), "OPTIMAL", "")</f>
        <v/>
      </c>
    </row>
    <row r="930" ht="20" customHeight="1">
      <c r="A930" s="21" t="n">
        <v>4</v>
      </c>
      <c r="B930" s="21" t="n">
        <v>35</v>
      </c>
      <c r="C930" s="22" t="n">
        <v>105</v>
      </c>
      <c r="D930" s="22" t="n">
        <v>2</v>
      </c>
      <c r="E930" s="23" t="n">
        <v>4</v>
      </c>
      <c r="F930" s="22" t="n">
        <v>2</v>
      </c>
      <c r="G930" s="23" t="inlineStr">
        <is>
          <t>Oui</t>
        </is>
      </c>
      <c r="H930" s="23" t="inlineStr">
        <is>
          <t>ON</t>
        </is>
      </c>
      <c r="I930" s="24" t="n">
        <v>856.3651513317755</v>
      </c>
      <c r="J930" s="24" t="n">
        <v>3449.488235315031</v>
      </c>
      <c r="K930" s="24" t="n">
        <v>2287.037037037037</v>
      </c>
      <c r="L930" s="24" t="n">
        <v>150</v>
      </c>
      <c r="M930" s="24">
        <f>I930+J930+K930+L930</f>
        <v/>
      </c>
      <c r="N930" s="24">
        <f>M930*'Dashboard &amp; Optimisation'!$B$18/('Dashboard &amp; Optimisation'!$B$16/3.6)</f>
        <v/>
      </c>
      <c r="O930" s="24" t="n">
        <v>485.9976306686056</v>
      </c>
      <c r="P930" s="25" t="n">
        <v>0.06926604745833413</v>
      </c>
      <c r="Q930" s="26" t="n">
        <v>8.461685822154816</v>
      </c>
      <c r="R930" s="24" t="n">
        <v>2383.289775457479</v>
      </c>
      <c r="S930" s="24">
        <f>R930*IF(A930=4, 2.0, 3.0)</f>
        <v/>
      </c>
      <c r="T930" s="22">
        <f>'Dashboard &amp; Optimisation'!$B$18*U930</f>
        <v/>
      </c>
      <c r="U930" s="27">
        <f>MIN(1, S930/M930)</f>
        <v/>
      </c>
      <c r="V930" s="27">
        <f>N930/(N930+O930)</f>
        <v/>
      </c>
      <c r="W930" s="27">
        <f>U930*V930</f>
        <v/>
      </c>
      <c r="X930" s="25">
        <f>T930/N930</f>
        <v/>
      </c>
      <c r="Y930" s="28">
        <f>IF(W930=MAXIFS(W$2:W$3601, A$2:A$3601, A930, B$2:B$3601, B930), "OPTIMAL", "")</f>
        <v/>
      </c>
    </row>
    <row r="931" ht="20" customHeight="1">
      <c r="A931" s="29" t="n">
        <v>4</v>
      </c>
      <c r="B931" s="29" t="n">
        <v>35</v>
      </c>
      <c r="C931" s="30" t="n">
        <v>105</v>
      </c>
      <c r="D931" s="30" t="n">
        <v>2</v>
      </c>
      <c r="E931" s="6" t="n">
        <v>4</v>
      </c>
      <c r="F931" s="30" t="n">
        <v>2</v>
      </c>
      <c r="G931" s="6" t="inlineStr">
        <is>
          <t>Oui</t>
        </is>
      </c>
      <c r="H931" s="6" t="inlineStr">
        <is>
          <t>OFF</t>
        </is>
      </c>
      <c r="I931" s="31" t="n">
        <v>856.3651513317755</v>
      </c>
      <c r="J931" s="31" t="n">
        <v>3449.488235315031</v>
      </c>
      <c r="K931" s="31" t="n">
        <v>2287.037037037037</v>
      </c>
      <c r="L931" s="31" t="n">
        <v>150</v>
      </c>
      <c r="M931" s="31">
        <f>I931+J931+K931+L931</f>
        <v/>
      </c>
      <c r="N931" s="31">
        <f>M931*'Dashboard &amp; Optimisation'!$B$18/('Dashboard &amp; Optimisation'!$B$16/3.6)</f>
        <v/>
      </c>
      <c r="O931" s="31" t="n">
        <v>485.9976306686056</v>
      </c>
      <c r="P931" s="32" t="n">
        <v>0.2955807767744409</v>
      </c>
      <c r="Q931" s="33" t="n">
        <v>8.461685822154816</v>
      </c>
      <c r="R931" s="31" t="n">
        <v>558.4972896250772</v>
      </c>
      <c r="S931" s="31">
        <f>R931*IF(A931=4, 2.0, 3.0)</f>
        <v/>
      </c>
      <c r="T931" s="30">
        <f>'Dashboard &amp; Optimisation'!$B$18*U931</f>
        <v/>
      </c>
      <c r="U931" s="34">
        <f>MIN(1, S931/M931)</f>
        <v/>
      </c>
      <c r="V931" s="34">
        <f>N931/(N931+O931)</f>
        <v/>
      </c>
      <c r="W931" s="34">
        <f>U931*V931</f>
        <v/>
      </c>
      <c r="X931" s="32">
        <f>T931/N931</f>
        <v/>
      </c>
      <c r="Y931" s="35">
        <f>IF(W931=MAXIFS(W$2:W$3601, A$2:A$3601, A931, B$2:B$3601, B931), "OPTIMAL", "")</f>
        <v/>
      </c>
    </row>
    <row r="932" ht="20" customHeight="1">
      <c r="A932" s="21" t="n">
        <v>4</v>
      </c>
      <c r="B932" s="21" t="n">
        <v>35</v>
      </c>
      <c r="C932" s="22" t="n">
        <v>105</v>
      </c>
      <c r="D932" s="22" t="n">
        <v>2</v>
      </c>
      <c r="E932" s="23" t="n">
        <v>4</v>
      </c>
      <c r="F932" s="22" t="n">
        <v>2</v>
      </c>
      <c r="G932" s="23" t="inlineStr">
        <is>
          <t>Non</t>
        </is>
      </c>
      <c r="H932" s="23" t="inlineStr">
        <is>
          <t>ON</t>
        </is>
      </c>
      <c r="I932" s="24" t="n">
        <v>856.3651513317755</v>
      </c>
      <c r="J932" s="24" t="n">
        <v>3449.488235315031</v>
      </c>
      <c r="K932" s="24" t="n">
        <v>2287.037037037037</v>
      </c>
      <c r="L932" s="24" t="n">
        <v>150</v>
      </c>
      <c r="M932" s="24">
        <f>I932+J932+K932+L932</f>
        <v/>
      </c>
      <c r="N932" s="24">
        <f>M932*'Dashboard &amp; Optimisation'!$B$18/('Dashboard &amp; Optimisation'!$B$16/3.6)</f>
        <v/>
      </c>
      <c r="O932" s="24" t="n">
        <v>485.9976306686056</v>
      </c>
      <c r="P932" s="25" t="n">
        <v>0.06623452473277422</v>
      </c>
      <c r="Q932" s="26" t="n">
        <v>8.461685822154816</v>
      </c>
      <c r="R932" s="24" t="n">
        <v>2492.371816055543</v>
      </c>
      <c r="S932" s="24">
        <f>R932*IF(A932=4, 2.0, 3.0)</f>
        <v/>
      </c>
      <c r="T932" s="22">
        <f>'Dashboard &amp; Optimisation'!$B$18*U932</f>
        <v/>
      </c>
      <c r="U932" s="27">
        <f>MIN(1, S932/M932)</f>
        <v/>
      </c>
      <c r="V932" s="27">
        <f>N932/(N932+O932)</f>
        <v/>
      </c>
      <c r="W932" s="27">
        <f>U932*V932</f>
        <v/>
      </c>
      <c r="X932" s="25">
        <f>T932/N932</f>
        <v/>
      </c>
      <c r="Y932" s="28">
        <f>IF(W932=MAXIFS(W$2:W$3601, A$2:A$3601, A932, B$2:B$3601, B932), "OPTIMAL", "")</f>
        <v/>
      </c>
    </row>
    <row r="933" ht="20" customHeight="1">
      <c r="A933" s="29" t="n">
        <v>4</v>
      </c>
      <c r="B933" s="29" t="n">
        <v>35</v>
      </c>
      <c r="C933" s="30" t="n">
        <v>105</v>
      </c>
      <c r="D933" s="30" t="n">
        <v>2</v>
      </c>
      <c r="E933" s="6" t="n">
        <v>4</v>
      </c>
      <c r="F933" s="30" t="n">
        <v>2</v>
      </c>
      <c r="G933" s="6" t="inlineStr">
        <is>
          <t>Non</t>
        </is>
      </c>
      <c r="H933" s="6" t="inlineStr">
        <is>
          <t>OFF</t>
        </is>
      </c>
      <c r="I933" s="31" t="n">
        <v>856.3651513317755</v>
      </c>
      <c r="J933" s="31" t="n">
        <v>3449.488235315031</v>
      </c>
      <c r="K933" s="31" t="n">
        <v>2287.037037037037</v>
      </c>
      <c r="L933" s="31" t="n">
        <v>150</v>
      </c>
      <c r="M933" s="31">
        <f>I933+J933+K933+L933</f>
        <v/>
      </c>
      <c r="N933" s="31">
        <f>M933*'Dashboard &amp; Optimisation'!$B$18/('Dashboard &amp; Optimisation'!$B$16/3.6)</f>
        <v/>
      </c>
      <c r="O933" s="31" t="n">
        <v>485.9976306686056</v>
      </c>
      <c r="P933" s="32" t="n">
        <v>0.292549254048881</v>
      </c>
      <c r="Q933" s="33" t="n">
        <v>8.461685822154816</v>
      </c>
      <c r="R933" s="31" t="n">
        <v>564.2846816701075</v>
      </c>
      <c r="S933" s="31">
        <f>R933*IF(A933=4, 2.0, 3.0)</f>
        <v/>
      </c>
      <c r="T933" s="30">
        <f>'Dashboard &amp; Optimisation'!$B$18*U933</f>
        <v/>
      </c>
      <c r="U933" s="34">
        <f>MIN(1, S933/M933)</f>
        <v/>
      </c>
      <c r="V933" s="34">
        <f>N933/(N933+O933)</f>
        <v/>
      </c>
      <c r="W933" s="34">
        <f>U933*V933</f>
        <v/>
      </c>
      <c r="X933" s="32">
        <f>T933/N933</f>
        <v/>
      </c>
      <c r="Y933" s="35">
        <f>IF(W933=MAXIFS(W$2:W$3601, A$2:A$3601, A933, B$2:B$3601, B933), "OPTIMAL", "")</f>
        <v/>
      </c>
    </row>
    <row r="934" ht="20" customHeight="1">
      <c r="A934" s="21" t="n">
        <v>4</v>
      </c>
      <c r="B934" s="21" t="n">
        <v>35</v>
      </c>
      <c r="C934" s="22" t="n">
        <v>105</v>
      </c>
      <c r="D934" s="22" t="n">
        <v>2</v>
      </c>
      <c r="E934" s="23" t="n">
        <v>8</v>
      </c>
      <c r="F934" s="22" t="n">
        <v>1.5</v>
      </c>
      <c r="G934" s="23" t="inlineStr">
        <is>
          <t>Oui</t>
        </is>
      </c>
      <c r="H934" s="23" t="inlineStr">
        <is>
          <t>ON</t>
        </is>
      </c>
      <c r="I934" s="24" t="n">
        <v>856.3651513317755</v>
      </c>
      <c r="J934" s="24" t="n">
        <v>3449.488235315031</v>
      </c>
      <c r="K934" s="24" t="n">
        <v>2287.037037037037</v>
      </c>
      <c r="L934" s="24" t="n">
        <v>150</v>
      </c>
      <c r="M934" s="24">
        <f>I934+J934+K934+L934</f>
        <v/>
      </c>
      <c r="N934" s="24">
        <f>M934*'Dashboard &amp; Optimisation'!$B$18/('Dashboard &amp; Optimisation'!$B$16/3.6)</f>
        <v/>
      </c>
      <c r="O934" s="24" t="n">
        <v>597.3234788740593</v>
      </c>
      <c r="P934" s="25" t="n">
        <v>0.0545652421498049</v>
      </c>
      <c r="Q934" s="26" t="n">
        <v>12.59252873323222</v>
      </c>
      <c r="R934" s="24" t="n">
        <v>3090.341426761811</v>
      </c>
      <c r="S934" s="24">
        <f>R934*IF(A934=4, 2.0, 3.0)</f>
        <v/>
      </c>
      <c r="T934" s="22">
        <f>'Dashboard &amp; Optimisation'!$B$18*U934</f>
        <v/>
      </c>
      <c r="U934" s="27">
        <f>MIN(1, S934/M934)</f>
        <v/>
      </c>
      <c r="V934" s="27">
        <f>N934/(N934+O934)</f>
        <v/>
      </c>
      <c r="W934" s="27">
        <f>U934*V934</f>
        <v/>
      </c>
      <c r="X934" s="25">
        <f>T934/N934</f>
        <v/>
      </c>
      <c r="Y934" s="28">
        <f>IF(W934=MAXIFS(W$2:W$3601, A$2:A$3601, A934, B$2:B$3601, B934), "OPTIMAL", "")</f>
        <v/>
      </c>
    </row>
    <row r="935" ht="20" customHeight="1">
      <c r="A935" s="29" t="n">
        <v>4</v>
      </c>
      <c r="B935" s="29" t="n">
        <v>35</v>
      </c>
      <c r="C935" s="30" t="n">
        <v>105</v>
      </c>
      <c r="D935" s="30" t="n">
        <v>2</v>
      </c>
      <c r="E935" s="6" t="n">
        <v>8</v>
      </c>
      <c r="F935" s="30" t="n">
        <v>1.5</v>
      </c>
      <c r="G935" s="6" t="inlineStr">
        <is>
          <t>Oui</t>
        </is>
      </c>
      <c r="H935" s="6" t="inlineStr">
        <is>
          <t>OFF</t>
        </is>
      </c>
      <c r="I935" s="31" t="n">
        <v>856.3651513317755</v>
      </c>
      <c r="J935" s="31" t="n">
        <v>3449.488235315031</v>
      </c>
      <c r="K935" s="31" t="n">
        <v>2287.037037037037</v>
      </c>
      <c r="L935" s="31" t="n">
        <v>150</v>
      </c>
      <c r="M935" s="31">
        <f>I935+J935+K935+L935</f>
        <v/>
      </c>
      <c r="N935" s="31">
        <f>M935*'Dashboard &amp; Optimisation'!$B$18/('Dashboard &amp; Optimisation'!$B$16/3.6)</f>
        <v/>
      </c>
      <c r="O935" s="31" t="n">
        <v>597.3234788740593</v>
      </c>
      <c r="P935" s="32" t="n">
        <v>0.233823801442431</v>
      </c>
      <c r="Q935" s="33" t="n">
        <v>12.59252873323222</v>
      </c>
      <c r="R935" s="31" t="n">
        <v>721.1636592879039</v>
      </c>
      <c r="S935" s="31">
        <f>R935*IF(A935=4, 2.0, 3.0)</f>
        <v/>
      </c>
      <c r="T935" s="30">
        <f>'Dashboard &amp; Optimisation'!$B$18*U935</f>
        <v/>
      </c>
      <c r="U935" s="34">
        <f>MIN(1, S935/M935)</f>
        <v/>
      </c>
      <c r="V935" s="34">
        <f>N935/(N935+O935)</f>
        <v/>
      </c>
      <c r="W935" s="34">
        <f>U935*V935</f>
        <v/>
      </c>
      <c r="X935" s="32">
        <f>T935/N935</f>
        <v/>
      </c>
      <c r="Y935" s="35">
        <f>IF(W935=MAXIFS(W$2:W$3601, A$2:A$3601, A935, B$2:B$3601, B935), "OPTIMAL", "")</f>
        <v/>
      </c>
    </row>
    <row r="936" ht="20" customHeight="1">
      <c r="A936" s="21" t="n">
        <v>4</v>
      </c>
      <c r="B936" s="21" t="n">
        <v>35</v>
      </c>
      <c r="C936" s="22" t="n">
        <v>105</v>
      </c>
      <c r="D936" s="22" t="n">
        <v>2</v>
      </c>
      <c r="E936" s="23" t="n">
        <v>8</v>
      </c>
      <c r="F936" s="22" t="n">
        <v>1.5</v>
      </c>
      <c r="G936" s="23" t="inlineStr">
        <is>
          <t>Non</t>
        </is>
      </c>
      <c r="H936" s="23" t="inlineStr">
        <is>
          <t>ON</t>
        </is>
      </c>
      <c r="I936" s="24" t="n">
        <v>856.3651513317755</v>
      </c>
      <c r="J936" s="24" t="n">
        <v>3449.488235315031</v>
      </c>
      <c r="K936" s="24" t="n">
        <v>2287.037037037037</v>
      </c>
      <c r="L936" s="24" t="n">
        <v>150</v>
      </c>
      <c r="M936" s="24">
        <f>I936+J936+K936+L936</f>
        <v/>
      </c>
      <c r="N936" s="24">
        <f>M936*'Dashboard &amp; Optimisation'!$B$18/('Dashboard &amp; Optimisation'!$B$16/3.6)</f>
        <v/>
      </c>
      <c r="O936" s="24" t="n">
        <v>597.3234788740593</v>
      </c>
      <c r="P936" s="25" t="n">
        <v>0.05153371942424499</v>
      </c>
      <c r="Q936" s="26" t="n">
        <v>12.59252873323222</v>
      </c>
      <c r="R936" s="24" t="n">
        <v>3272.13386033027</v>
      </c>
      <c r="S936" s="24">
        <f>R936*IF(A936=4, 2.0, 3.0)</f>
        <v/>
      </c>
      <c r="T936" s="22">
        <f>'Dashboard &amp; Optimisation'!$B$18*U936</f>
        <v/>
      </c>
      <c r="U936" s="27">
        <f>MIN(1, S936/M936)</f>
        <v/>
      </c>
      <c r="V936" s="27">
        <f>N936/(N936+O936)</f>
        <v/>
      </c>
      <c r="W936" s="27">
        <f>U936*V936</f>
        <v/>
      </c>
      <c r="X936" s="25">
        <f>T936/N936</f>
        <v/>
      </c>
      <c r="Y936" s="28">
        <f>IF(W936=MAXIFS(W$2:W$3601, A$2:A$3601, A936, B$2:B$3601, B936), "OPTIMAL", "")</f>
        <v/>
      </c>
    </row>
    <row r="937" ht="20" customHeight="1">
      <c r="A937" s="29" t="n">
        <v>4</v>
      </c>
      <c r="B937" s="29" t="n">
        <v>35</v>
      </c>
      <c r="C937" s="30" t="n">
        <v>105</v>
      </c>
      <c r="D937" s="30" t="n">
        <v>2</v>
      </c>
      <c r="E937" s="6" t="n">
        <v>8</v>
      </c>
      <c r="F937" s="30" t="n">
        <v>1.5</v>
      </c>
      <c r="G937" s="6" t="inlineStr">
        <is>
          <t>Non</t>
        </is>
      </c>
      <c r="H937" s="6" t="inlineStr">
        <is>
          <t>OFF</t>
        </is>
      </c>
      <c r="I937" s="31" t="n">
        <v>856.3651513317755</v>
      </c>
      <c r="J937" s="31" t="n">
        <v>3449.488235315031</v>
      </c>
      <c r="K937" s="31" t="n">
        <v>2287.037037037037</v>
      </c>
      <c r="L937" s="31" t="n">
        <v>150</v>
      </c>
      <c r="M937" s="31">
        <f>I937+J937+K937+L937</f>
        <v/>
      </c>
      <c r="N937" s="31">
        <f>M937*'Dashboard &amp; Optimisation'!$B$18/('Dashboard &amp; Optimisation'!$B$16/3.6)</f>
        <v/>
      </c>
      <c r="O937" s="31" t="n">
        <v>597.3234788740593</v>
      </c>
      <c r="P937" s="32" t="n">
        <v>0.2307922787168711</v>
      </c>
      <c r="Q937" s="33" t="n">
        <v>12.59252873323222</v>
      </c>
      <c r="R937" s="31" t="n">
        <v>730.6363506367389</v>
      </c>
      <c r="S937" s="31">
        <f>R937*IF(A937=4, 2.0, 3.0)</f>
        <v/>
      </c>
      <c r="T937" s="30">
        <f>'Dashboard &amp; Optimisation'!$B$18*U937</f>
        <v/>
      </c>
      <c r="U937" s="34">
        <f>MIN(1, S937/M937)</f>
        <v/>
      </c>
      <c r="V937" s="34">
        <f>N937/(N937+O937)</f>
        <v/>
      </c>
      <c r="W937" s="34">
        <f>U937*V937</f>
        <v/>
      </c>
      <c r="X937" s="32">
        <f>T937/N937</f>
        <v/>
      </c>
      <c r="Y937" s="35">
        <f>IF(W937=MAXIFS(W$2:W$3601, A$2:A$3601, A937, B$2:B$3601, B937), "OPTIMAL", "")</f>
        <v/>
      </c>
    </row>
    <row r="938" ht="20" customHeight="1">
      <c r="A938" s="21" t="n">
        <v>4</v>
      </c>
      <c r="B938" s="21" t="n">
        <v>35</v>
      </c>
      <c r="C938" s="22" t="n">
        <v>105</v>
      </c>
      <c r="D938" s="22" t="n">
        <v>2</v>
      </c>
      <c r="E938" s="23" t="n">
        <v>8</v>
      </c>
      <c r="F938" s="22" t="n">
        <v>2</v>
      </c>
      <c r="G938" s="23" t="inlineStr">
        <is>
          <t>Oui</t>
        </is>
      </c>
      <c r="H938" s="23" t="inlineStr">
        <is>
          <t>ON</t>
        </is>
      </c>
      <c r="I938" s="24" t="n">
        <v>856.3651513317755</v>
      </c>
      <c r="J938" s="24" t="n">
        <v>3449.488235315031</v>
      </c>
      <c r="K938" s="24" t="n">
        <v>2287.037037037037</v>
      </c>
      <c r="L938" s="24" t="n">
        <v>150</v>
      </c>
      <c r="M938" s="24">
        <f>I938+J938+K938+L938</f>
        <v/>
      </c>
      <c r="N938" s="24">
        <f>M938*'Dashboard &amp; Optimisation'!$B$18/('Dashboard &amp; Optimisation'!$B$16/3.6)</f>
        <v/>
      </c>
      <c r="O938" s="24" t="n">
        <v>713.5343687853846</v>
      </c>
      <c r="P938" s="25" t="n">
        <v>0.05324035668794291</v>
      </c>
      <c r="Q938" s="26" t="n">
        <v>16.72337164430963</v>
      </c>
      <c r="R938" s="24" t="n">
        <v>3236.73477390188</v>
      </c>
      <c r="S938" s="24">
        <f>R938*IF(A938=4, 2.0, 3.0)</f>
        <v/>
      </c>
      <c r="T938" s="22">
        <f>'Dashboard &amp; Optimisation'!$B$18*U938</f>
        <v/>
      </c>
      <c r="U938" s="27">
        <f>MIN(1, S938/M938)</f>
        <v/>
      </c>
      <c r="V938" s="27">
        <f>N938/(N938+O938)</f>
        <v/>
      </c>
      <c r="W938" s="27">
        <f>U938*V938</f>
        <v/>
      </c>
      <c r="X938" s="25">
        <f>T938/N938</f>
        <v/>
      </c>
      <c r="Y938" s="28">
        <f>IF(W938=MAXIFS(W$2:W$3601, A$2:A$3601, A938, B$2:B$3601, B938), "OPTIMAL", "")</f>
        <v/>
      </c>
    </row>
    <row r="939" ht="20" customHeight="1">
      <c r="A939" s="29" t="n">
        <v>4</v>
      </c>
      <c r="B939" s="29" t="n">
        <v>35</v>
      </c>
      <c r="C939" s="30" t="n">
        <v>105</v>
      </c>
      <c r="D939" s="30" t="n">
        <v>2</v>
      </c>
      <c r="E939" s="6" t="n">
        <v>8</v>
      </c>
      <c r="F939" s="30" t="n">
        <v>2</v>
      </c>
      <c r="G939" s="6" t="inlineStr">
        <is>
          <t>Oui</t>
        </is>
      </c>
      <c r="H939" s="6" t="inlineStr">
        <is>
          <t>OFF</t>
        </is>
      </c>
      <c r="I939" s="31" t="n">
        <v>856.3651513317755</v>
      </c>
      <c r="J939" s="31" t="n">
        <v>3449.488235315031</v>
      </c>
      <c r="K939" s="31" t="n">
        <v>2287.037037037037</v>
      </c>
      <c r="L939" s="31" t="n">
        <v>150</v>
      </c>
      <c r="M939" s="31">
        <f>I939+J939+K939+L939</f>
        <v/>
      </c>
      <c r="N939" s="31">
        <f>M939*'Dashboard &amp; Optimisation'!$B$18/('Dashboard &amp; Optimisation'!$B$16/3.6)</f>
        <v/>
      </c>
      <c r="O939" s="31" t="n">
        <v>713.5343687853846</v>
      </c>
      <c r="P939" s="32" t="n">
        <v>0.2337915759821405</v>
      </c>
      <c r="Q939" s="33" t="n">
        <v>16.72337164430963</v>
      </c>
      <c r="R939" s="31" t="n">
        <v>737.0877806134826</v>
      </c>
      <c r="S939" s="31">
        <f>R939*IF(A939=4, 2.0, 3.0)</f>
        <v/>
      </c>
      <c r="T939" s="30">
        <f>'Dashboard &amp; Optimisation'!$B$18*U939</f>
        <v/>
      </c>
      <c r="U939" s="34">
        <f>MIN(1, S939/M939)</f>
        <v/>
      </c>
      <c r="V939" s="34">
        <f>N939/(N939+O939)</f>
        <v/>
      </c>
      <c r="W939" s="34">
        <f>U939*V939</f>
        <v/>
      </c>
      <c r="X939" s="32">
        <f>T939/N939</f>
        <v/>
      </c>
      <c r="Y939" s="35">
        <f>IF(W939=MAXIFS(W$2:W$3601, A$2:A$3601, A939, B$2:B$3601, B939), "OPTIMAL", "")</f>
        <v/>
      </c>
    </row>
    <row r="940" ht="20" customHeight="1">
      <c r="A940" s="21" t="n">
        <v>4</v>
      </c>
      <c r="B940" s="21" t="n">
        <v>35</v>
      </c>
      <c r="C940" s="22" t="n">
        <v>105</v>
      </c>
      <c r="D940" s="22" t="n">
        <v>2</v>
      </c>
      <c r="E940" s="23" t="n">
        <v>8</v>
      </c>
      <c r="F940" s="22" t="n">
        <v>2</v>
      </c>
      <c r="G940" s="23" t="inlineStr">
        <is>
          <t>Non</t>
        </is>
      </c>
      <c r="H940" s="23" t="inlineStr">
        <is>
          <t>ON</t>
        </is>
      </c>
      <c r="I940" s="24" t="n">
        <v>856.3651513317755</v>
      </c>
      <c r="J940" s="24" t="n">
        <v>3449.488235315031</v>
      </c>
      <c r="K940" s="24" t="n">
        <v>2287.037037037037</v>
      </c>
      <c r="L940" s="24" t="n">
        <v>150</v>
      </c>
      <c r="M940" s="24">
        <f>I940+J940+K940+L940</f>
        <v/>
      </c>
      <c r="N940" s="24">
        <f>M940*'Dashboard &amp; Optimisation'!$B$18/('Dashboard &amp; Optimisation'!$B$16/3.6)</f>
        <v/>
      </c>
      <c r="O940" s="24" t="n">
        <v>713.5343687853846</v>
      </c>
      <c r="P940" s="25" t="n">
        <v>0.05020883396238299</v>
      </c>
      <c r="Q940" s="26" t="n">
        <v>16.72337164430963</v>
      </c>
      <c r="R940" s="24" t="n">
        <v>3432.163232388787</v>
      </c>
      <c r="S940" s="24">
        <f>R940*IF(A940=4, 2.0, 3.0)</f>
        <v/>
      </c>
      <c r="T940" s="22">
        <f>'Dashboard &amp; Optimisation'!$B$18*U940</f>
        <v/>
      </c>
      <c r="U940" s="27">
        <f>MIN(1, S940/M940)</f>
        <v/>
      </c>
      <c r="V940" s="27">
        <f>N940/(N940+O940)</f>
        <v/>
      </c>
      <c r="W940" s="27">
        <f>U940*V940</f>
        <v/>
      </c>
      <c r="X940" s="25">
        <f>T940/N940</f>
        <v/>
      </c>
      <c r="Y940" s="28">
        <f>IF(W940=MAXIFS(W$2:W$3601, A$2:A$3601, A940, B$2:B$3601, B940), "OPTIMAL", "")</f>
        <v/>
      </c>
    </row>
    <row r="941" ht="20" customHeight="1">
      <c r="A941" s="29" t="n">
        <v>4</v>
      </c>
      <c r="B941" s="29" t="n">
        <v>35</v>
      </c>
      <c r="C941" s="30" t="n">
        <v>105</v>
      </c>
      <c r="D941" s="30" t="n">
        <v>2</v>
      </c>
      <c r="E941" s="6" t="n">
        <v>8</v>
      </c>
      <c r="F941" s="30" t="n">
        <v>2</v>
      </c>
      <c r="G941" s="6" t="inlineStr">
        <is>
          <t>Non</t>
        </is>
      </c>
      <c r="H941" s="6" t="inlineStr">
        <is>
          <t>OFF</t>
        </is>
      </c>
      <c r="I941" s="31" t="n">
        <v>856.3651513317755</v>
      </c>
      <c r="J941" s="31" t="n">
        <v>3449.488235315031</v>
      </c>
      <c r="K941" s="31" t="n">
        <v>2287.037037037037</v>
      </c>
      <c r="L941" s="31" t="n">
        <v>150</v>
      </c>
      <c r="M941" s="31">
        <f>I941+J941+K941+L941</f>
        <v/>
      </c>
      <c r="N941" s="31">
        <f>M941*'Dashboard &amp; Optimisation'!$B$18/('Dashboard &amp; Optimisation'!$B$16/3.6)</f>
        <v/>
      </c>
      <c r="O941" s="31" t="n">
        <v>713.5343687853846</v>
      </c>
      <c r="P941" s="32" t="n">
        <v>0.2307600532565806</v>
      </c>
      <c r="Q941" s="33" t="n">
        <v>16.72337164430963</v>
      </c>
      <c r="R941" s="31" t="n">
        <v>746.7709919237944</v>
      </c>
      <c r="S941" s="31">
        <f>R941*IF(A941=4, 2.0, 3.0)</f>
        <v/>
      </c>
      <c r="T941" s="30">
        <f>'Dashboard &amp; Optimisation'!$B$18*U941</f>
        <v/>
      </c>
      <c r="U941" s="34">
        <f>MIN(1, S941/M941)</f>
        <v/>
      </c>
      <c r="V941" s="34">
        <f>N941/(N941+O941)</f>
        <v/>
      </c>
      <c r="W941" s="34">
        <f>U941*V941</f>
        <v/>
      </c>
      <c r="X941" s="32">
        <f>T941/N941</f>
        <v/>
      </c>
      <c r="Y941" s="35">
        <f>IF(W941=MAXIFS(W$2:W$3601, A$2:A$3601, A941, B$2:B$3601, B941), "OPTIMAL", "")</f>
        <v/>
      </c>
    </row>
    <row r="942" ht="20" customHeight="1">
      <c r="A942" s="21" t="n">
        <v>4</v>
      </c>
      <c r="B942" s="21" t="n">
        <v>35</v>
      </c>
      <c r="C942" s="22" t="n">
        <v>105</v>
      </c>
      <c r="D942" s="22" t="n">
        <v>3</v>
      </c>
      <c r="E942" s="23" t="n">
        <v>0</v>
      </c>
      <c r="F942" s="22" t="n">
        <v>0</v>
      </c>
      <c r="G942" s="23" t="inlineStr">
        <is>
          <t>Oui</t>
        </is>
      </c>
      <c r="H942" s="23" t="inlineStr">
        <is>
          <t>ON</t>
        </is>
      </c>
      <c r="I942" s="24" t="n">
        <v>856.3651513317755</v>
      </c>
      <c r="J942" s="24" t="n">
        <v>3449.488235315031</v>
      </c>
      <c r="K942" s="24" t="n">
        <v>2287.037037037037</v>
      </c>
      <c r="L942" s="24" t="n">
        <v>150</v>
      </c>
      <c r="M942" s="24">
        <f>I942+J942+K942+L942</f>
        <v/>
      </c>
      <c r="N942" s="24">
        <f>M942*'Dashboard &amp; Optimisation'!$B$18/('Dashboard &amp; Optimisation'!$B$16/3.6)</f>
        <v/>
      </c>
      <c r="O942" s="24" t="n">
        <v>427.9784996189413</v>
      </c>
      <c r="P942" s="25" t="n">
        <v>0.4767526303329919</v>
      </c>
      <c r="Q942" s="26" t="n">
        <v>0.2</v>
      </c>
      <c r="R942" s="24" t="n">
        <v>345.8547866692584</v>
      </c>
      <c r="S942" s="24">
        <f>R942*IF(A942=4, 2.0, 3.0)</f>
        <v/>
      </c>
      <c r="T942" s="22">
        <f>'Dashboard &amp; Optimisation'!$B$18*U942</f>
        <v/>
      </c>
      <c r="U942" s="27">
        <f>MIN(1, S942/M942)</f>
        <v/>
      </c>
      <c r="V942" s="27">
        <f>N942/(N942+O942)</f>
        <v/>
      </c>
      <c r="W942" s="27">
        <f>U942*V942</f>
        <v/>
      </c>
      <c r="X942" s="25">
        <f>T942/N942</f>
        <v/>
      </c>
      <c r="Y942" s="28">
        <f>IF(W942=MAXIFS(W$2:W$3601, A$2:A$3601, A942, B$2:B$3601, B942), "OPTIMAL", "")</f>
        <v/>
      </c>
    </row>
    <row r="943" ht="20" customHeight="1">
      <c r="A943" s="29" t="n">
        <v>4</v>
      </c>
      <c r="B943" s="29" t="n">
        <v>35</v>
      </c>
      <c r="C943" s="30" t="n">
        <v>105</v>
      </c>
      <c r="D943" s="30" t="n">
        <v>3</v>
      </c>
      <c r="E943" s="6" t="n">
        <v>0</v>
      </c>
      <c r="F943" s="30" t="n">
        <v>0</v>
      </c>
      <c r="G943" s="6" t="inlineStr">
        <is>
          <t>Oui</t>
        </is>
      </c>
      <c r="H943" s="6" t="inlineStr">
        <is>
          <t>OFF</t>
        </is>
      </c>
      <c r="I943" s="31" t="n">
        <v>856.3651513317755</v>
      </c>
      <c r="J943" s="31" t="n">
        <v>3449.488235315031</v>
      </c>
      <c r="K943" s="31" t="n">
        <v>2287.037037037037</v>
      </c>
      <c r="L943" s="31" t="n">
        <v>150</v>
      </c>
      <c r="M943" s="31">
        <f>I943+J943+K943+L943</f>
        <v/>
      </c>
      <c r="N943" s="31">
        <f>M943*'Dashboard &amp; Optimisation'!$B$18/('Dashboard &amp; Optimisation'!$B$16/3.6)</f>
        <v/>
      </c>
      <c r="O943" s="31" t="n">
        <v>427.9784996189413</v>
      </c>
      <c r="P943" s="32" t="n">
        <v>0.7799049028889831</v>
      </c>
      <c r="Q943" s="33" t="n">
        <v>0.2</v>
      </c>
      <c r="R943" s="31" t="n">
        <v>211.419595705883</v>
      </c>
      <c r="S943" s="31">
        <f>R943*IF(A943=4, 2.0, 3.0)</f>
        <v/>
      </c>
      <c r="T943" s="30">
        <f>'Dashboard &amp; Optimisation'!$B$18*U943</f>
        <v/>
      </c>
      <c r="U943" s="34">
        <f>MIN(1, S943/M943)</f>
        <v/>
      </c>
      <c r="V943" s="34">
        <f>N943/(N943+O943)</f>
        <v/>
      </c>
      <c r="W943" s="34">
        <f>U943*V943</f>
        <v/>
      </c>
      <c r="X943" s="32">
        <f>T943/N943</f>
        <v/>
      </c>
      <c r="Y943" s="35">
        <f>IF(W943=MAXIFS(W$2:W$3601, A$2:A$3601, A943, B$2:B$3601, B943), "OPTIMAL", "")</f>
        <v/>
      </c>
    </row>
    <row r="944" ht="20" customHeight="1">
      <c r="A944" s="21" t="n">
        <v>4</v>
      </c>
      <c r="B944" s="21" t="n">
        <v>35</v>
      </c>
      <c r="C944" s="22" t="n">
        <v>105</v>
      </c>
      <c r="D944" s="22" t="n">
        <v>3</v>
      </c>
      <c r="E944" s="23" t="n">
        <v>0</v>
      </c>
      <c r="F944" s="22" t="n">
        <v>0</v>
      </c>
      <c r="G944" s="23" t="inlineStr">
        <is>
          <t>Non</t>
        </is>
      </c>
      <c r="H944" s="23" t="inlineStr">
        <is>
          <t>ON</t>
        </is>
      </c>
      <c r="I944" s="24" t="n">
        <v>856.3651513317755</v>
      </c>
      <c r="J944" s="24" t="n">
        <v>3449.488235315031</v>
      </c>
      <c r="K944" s="24" t="n">
        <v>2287.037037037037</v>
      </c>
      <c r="L944" s="24" t="n">
        <v>150</v>
      </c>
      <c r="M944" s="24">
        <f>I944+J944+K944+L944</f>
        <v/>
      </c>
      <c r="N944" s="24">
        <f>M944*'Dashboard &amp; Optimisation'!$B$18/('Dashboard &amp; Optimisation'!$B$16/3.6)</f>
        <v/>
      </c>
      <c r="O944" s="24" t="n">
        <v>427.9784996189413</v>
      </c>
      <c r="P944" s="25" t="n">
        <v>0.473721107607432</v>
      </c>
      <c r="Q944" s="26" t="n">
        <v>0.2</v>
      </c>
      <c r="R944" s="24" t="n">
        <v>348.0680438551729</v>
      </c>
      <c r="S944" s="24">
        <f>R944*IF(A944=4, 2.0, 3.0)</f>
        <v/>
      </c>
      <c r="T944" s="22">
        <f>'Dashboard &amp; Optimisation'!$B$18*U944</f>
        <v/>
      </c>
      <c r="U944" s="27">
        <f>MIN(1, S944/M944)</f>
        <v/>
      </c>
      <c r="V944" s="27">
        <f>N944/(N944+O944)</f>
        <v/>
      </c>
      <c r="W944" s="27">
        <f>U944*V944</f>
        <v/>
      </c>
      <c r="X944" s="25">
        <f>T944/N944</f>
        <v/>
      </c>
      <c r="Y944" s="28">
        <f>IF(W944=MAXIFS(W$2:W$3601, A$2:A$3601, A944, B$2:B$3601, B944), "OPTIMAL", "")</f>
        <v/>
      </c>
    </row>
    <row r="945" ht="20" customHeight="1">
      <c r="A945" s="29" t="n">
        <v>4</v>
      </c>
      <c r="B945" s="29" t="n">
        <v>35</v>
      </c>
      <c r="C945" s="30" t="n">
        <v>105</v>
      </c>
      <c r="D945" s="30" t="n">
        <v>3</v>
      </c>
      <c r="E945" s="6" t="n">
        <v>0</v>
      </c>
      <c r="F945" s="30" t="n">
        <v>0</v>
      </c>
      <c r="G945" s="6" t="inlineStr">
        <is>
          <t>Non</t>
        </is>
      </c>
      <c r="H945" s="6" t="inlineStr">
        <is>
          <t>OFF</t>
        </is>
      </c>
      <c r="I945" s="31" t="n">
        <v>856.3651513317755</v>
      </c>
      <c r="J945" s="31" t="n">
        <v>3449.488235315031</v>
      </c>
      <c r="K945" s="31" t="n">
        <v>2287.037037037037</v>
      </c>
      <c r="L945" s="31" t="n">
        <v>150</v>
      </c>
      <c r="M945" s="31">
        <f>I945+J945+K945+L945</f>
        <v/>
      </c>
      <c r="N945" s="31">
        <f>M945*'Dashboard &amp; Optimisation'!$B$18/('Dashboard &amp; Optimisation'!$B$16/3.6)</f>
        <v/>
      </c>
      <c r="O945" s="31" t="n">
        <v>427.9784996189413</v>
      </c>
      <c r="P945" s="32" t="n">
        <v>0.7768733801634231</v>
      </c>
      <c r="Q945" s="33" t="n">
        <v>0.2</v>
      </c>
      <c r="R945" s="31" t="n">
        <v>212.2445992719419</v>
      </c>
      <c r="S945" s="31">
        <f>R945*IF(A945=4, 2.0, 3.0)</f>
        <v/>
      </c>
      <c r="T945" s="30">
        <f>'Dashboard &amp; Optimisation'!$B$18*U945</f>
        <v/>
      </c>
      <c r="U945" s="34">
        <f>MIN(1, S945/M945)</f>
        <v/>
      </c>
      <c r="V945" s="34">
        <f>N945/(N945+O945)</f>
        <v/>
      </c>
      <c r="W945" s="34">
        <f>U945*V945</f>
        <v/>
      </c>
      <c r="X945" s="32">
        <f>T945/N945</f>
        <v/>
      </c>
      <c r="Y945" s="35">
        <f>IF(W945=MAXIFS(W$2:W$3601, A$2:A$3601, A945, B$2:B$3601, B945), "OPTIMAL", "")</f>
        <v/>
      </c>
    </row>
    <row r="946" ht="20" customHeight="1">
      <c r="A946" s="21" t="n">
        <v>4</v>
      </c>
      <c r="B946" s="21" t="n">
        <v>35</v>
      </c>
      <c r="C946" s="22" t="n">
        <v>105</v>
      </c>
      <c r="D946" s="22" t="n">
        <v>3</v>
      </c>
      <c r="E946" s="23" t="n">
        <v>4</v>
      </c>
      <c r="F946" s="22" t="n">
        <v>1.5</v>
      </c>
      <c r="G946" s="23" t="inlineStr">
        <is>
          <t>Oui</t>
        </is>
      </c>
      <c r="H946" s="23" t="inlineStr">
        <is>
          <t>ON</t>
        </is>
      </c>
      <c r="I946" s="24" t="n">
        <v>856.3651513317755</v>
      </c>
      <c r="J946" s="24" t="n">
        <v>3449.488235315031</v>
      </c>
      <c r="K946" s="24" t="n">
        <v>2287.037037037037</v>
      </c>
      <c r="L946" s="24" t="n">
        <v>150</v>
      </c>
      <c r="M946" s="24">
        <f>I946+J946+K946+L946</f>
        <v/>
      </c>
      <c r="N946" s="24">
        <f>M946*'Dashboard &amp; Optimisation'!$B$18/('Dashboard &amp; Optimisation'!$B$16/3.6)</f>
        <v/>
      </c>
      <c r="O946" s="24" t="n">
        <v>592.1005269399132</v>
      </c>
      <c r="P946" s="25" t="n">
        <v>0.07189461044958809</v>
      </c>
      <c r="Q946" s="26" t="n">
        <v>6.521441424527548</v>
      </c>
      <c r="R946" s="24" t="n">
        <v>2366.502179013215</v>
      </c>
      <c r="S946" s="24">
        <f>R946*IF(A946=4, 2.0, 3.0)</f>
        <v/>
      </c>
      <c r="T946" s="22">
        <f>'Dashboard &amp; Optimisation'!$B$18*U946</f>
        <v/>
      </c>
      <c r="U946" s="27">
        <f>MIN(1, S946/M946)</f>
        <v/>
      </c>
      <c r="V946" s="27">
        <f>N946/(N946+O946)</f>
        <v/>
      </c>
      <c r="W946" s="27">
        <f>U946*V946</f>
        <v/>
      </c>
      <c r="X946" s="25">
        <f>T946/N946</f>
        <v/>
      </c>
      <c r="Y946" s="28">
        <f>IF(W946=MAXIFS(W$2:W$3601, A$2:A$3601, A946, B$2:B$3601, B946), "OPTIMAL", "")</f>
        <v/>
      </c>
    </row>
    <row r="947" ht="20" customHeight="1">
      <c r="A947" s="29" t="n">
        <v>4</v>
      </c>
      <c r="B947" s="29" t="n">
        <v>35</v>
      </c>
      <c r="C947" s="30" t="n">
        <v>105</v>
      </c>
      <c r="D947" s="30" t="n">
        <v>3</v>
      </c>
      <c r="E947" s="6" t="n">
        <v>4</v>
      </c>
      <c r="F947" s="30" t="n">
        <v>1.5</v>
      </c>
      <c r="G947" s="6" t="inlineStr">
        <is>
          <t>Oui</t>
        </is>
      </c>
      <c r="H947" s="6" t="inlineStr">
        <is>
          <t>OFF</t>
        </is>
      </c>
      <c r="I947" s="31" t="n">
        <v>856.3651513317755</v>
      </c>
      <c r="J947" s="31" t="n">
        <v>3449.488235315031</v>
      </c>
      <c r="K947" s="31" t="n">
        <v>2287.037037037037</v>
      </c>
      <c r="L947" s="31" t="n">
        <v>150</v>
      </c>
      <c r="M947" s="31">
        <f>I947+J947+K947+L947</f>
        <v/>
      </c>
      <c r="N947" s="31">
        <f>M947*'Dashboard &amp; Optimisation'!$B$18/('Dashboard &amp; Optimisation'!$B$16/3.6)</f>
        <v/>
      </c>
      <c r="O947" s="31" t="n">
        <v>592.1005269399132</v>
      </c>
      <c r="P947" s="32" t="n">
        <v>0.297191423626796</v>
      </c>
      <c r="Q947" s="33" t="n">
        <v>6.521441424527548</v>
      </c>
      <c r="R947" s="31" t="n">
        <v>572.4887690632404</v>
      </c>
      <c r="S947" s="31">
        <f>R947*IF(A947=4, 2.0, 3.0)</f>
        <v/>
      </c>
      <c r="T947" s="30">
        <f>'Dashboard &amp; Optimisation'!$B$18*U947</f>
        <v/>
      </c>
      <c r="U947" s="34">
        <f>MIN(1, S947/M947)</f>
        <v/>
      </c>
      <c r="V947" s="34">
        <f>N947/(N947+O947)</f>
        <v/>
      </c>
      <c r="W947" s="34">
        <f>U947*V947</f>
        <v/>
      </c>
      <c r="X947" s="32">
        <f>T947/N947</f>
        <v/>
      </c>
      <c r="Y947" s="35">
        <f>IF(W947=MAXIFS(W$2:W$3601, A$2:A$3601, A947, B$2:B$3601, B947), "OPTIMAL", "")</f>
        <v/>
      </c>
    </row>
    <row r="948" ht="20" customHeight="1">
      <c r="A948" s="21" t="n">
        <v>4</v>
      </c>
      <c r="B948" s="21" t="n">
        <v>35</v>
      </c>
      <c r="C948" s="22" t="n">
        <v>105</v>
      </c>
      <c r="D948" s="22" t="n">
        <v>3</v>
      </c>
      <c r="E948" s="23" t="n">
        <v>4</v>
      </c>
      <c r="F948" s="22" t="n">
        <v>1.5</v>
      </c>
      <c r="G948" s="23" t="inlineStr">
        <is>
          <t>Non</t>
        </is>
      </c>
      <c r="H948" s="23" t="inlineStr">
        <is>
          <t>ON</t>
        </is>
      </c>
      <c r="I948" s="24" t="n">
        <v>856.3651513317755</v>
      </c>
      <c r="J948" s="24" t="n">
        <v>3449.488235315031</v>
      </c>
      <c r="K948" s="24" t="n">
        <v>2287.037037037037</v>
      </c>
      <c r="L948" s="24" t="n">
        <v>150</v>
      </c>
      <c r="M948" s="24">
        <f>I948+J948+K948+L948</f>
        <v/>
      </c>
      <c r="N948" s="24">
        <f>M948*'Dashboard &amp; Optimisation'!$B$18/('Dashboard &amp; Optimisation'!$B$16/3.6)</f>
        <v/>
      </c>
      <c r="O948" s="24" t="n">
        <v>592.1005269399132</v>
      </c>
      <c r="P948" s="25" t="n">
        <v>0.06886308772402817</v>
      </c>
      <c r="Q948" s="26" t="n">
        <v>6.521441424527548</v>
      </c>
      <c r="R948" s="24" t="n">
        <v>2470.681433427657</v>
      </c>
      <c r="S948" s="24">
        <f>R948*IF(A948=4, 2.0, 3.0)</f>
        <v/>
      </c>
      <c r="T948" s="22">
        <f>'Dashboard &amp; Optimisation'!$B$18*U948</f>
        <v/>
      </c>
      <c r="U948" s="27">
        <f>MIN(1, S948/M948)</f>
        <v/>
      </c>
      <c r="V948" s="27">
        <f>N948/(N948+O948)</f>
        <v/>
      </c>
      <c r="W948" s="27">
        <f>U948*V948</f>
        <v/>
      </c>
      <c r="X948" s="25">
        <f>T948/N948</f>
        <v/>
      </c>
      <c r="Y948" s="28">
        <f>IF(W948=MAXIFS(W$2:W$3601, A$2:A$3601, A948, B$2:B$3601, B948), "OPTIMAL", "")</f>
        <v/>
      </c>
    </row>
    <row r="949" ht="20" customHeight="1">
      <c r="A949" s="29" t="n">
        <v>4</v>
      </c>
      <c r="B949" s="29" t="n">
        <v>35</v>
      </c>
      <c r="C949" s="30" t="n">
        <v>105</v>
      </c>
      <c r="D949" s="30" t="n">
        <v>3</v>
      </c>
      <c r="E949" s="6" t="n">
        <v>4</v>
      </c>
      <c r="F949" s="30" t="n">
        <v>1.5</v>
      </c>
      <c r="G949" s="6" t="inlineStr">
        <is>
          <t>Non</t>
        </is>
      </c>
      <c r="H949" s="6" t="inlineStr">
        <is>
          <t>OFF</t>
        </is>
      </c>
      <c r="I949" s="31" t="n">
        <v>856.3651513317755</v>
      </c>
      <c r="J949" s="31" t="n">
        <v>3449.488235315031</v>
      </c>
      <c r="K949" s="31" t="n">
        <v>2287.037037037037</v>
      </c>
      <c r="L949" s="31" t="n">
        <v>150</v>
      </c>
      <c r="M949" s="31">
        <f>I949+J949+K949+L949</f>
        <v/>
      </c>
      <c r="N949" s="31">
        <f>M949*'Dashboard &amp; Optimisation'!$B$18/('Dashboard &amp; Optimisation'!$B$16/3.6)</f>
        <v/>
      </c>
      <c r="O949" s="31" t="n">
        <v>592.1005269399132</v>
      </c>
      <c r="P949" s="32" t="n">
        <v>0.2941599009012361</v>
      </c>
      <c r="Q949" s="33" t="n">
        <v>6.521441424527548</v>
      </c>
      <c r="R949" s="31" t="n">
        <v>578.3886646922022</v>
      </c>
      <c r="S949" s="31">
        <f>R949*IF(A949=4, 2.0, 3.0)</f>
        <v/>
      </c>
      <c r="T949" s="30">
        <f>'Dashboard &amp; Optimisation'!$B$18*U949</f>
        <v/>
      </c>
      <c r="U949" s="34">
        <f>MIN(1, S949/M949)</f>
        <v/>
      </c>
      <c r="V949" s="34">
        <f>N949/(N949+O949)</f>
        <v/>
      </c>
      <c r="W949" s="34">
        <f>U949*V949</f>
        <v/>
      </c>
      <c r="X949" s="32">
        <f>T949/N949</f>
        <v/>
      </c>
      <c r="Y949" s="35">
        <f>IF(W949=MAXIFS(W$2:W$3601, A$2:A$3601, A949, B$2:B$3601, B949), "OPTIMAL", "")</f>
        <v/>
      </c>
    </row>
    <row r="950" ht="20" customHeight="1">
      <c r="A950" s="21" t="n">
        <v>4</v>
      </c>
      <c r="B950" s="21" t="n">
        <v>35</v>
      </c>
      <c r="C950" s="22" t="n">
        <v>105</v>
      </c>
      <c r="D950" s="22" t="n">
        <v>3</v>
      </c>
      <c r="E950" s="23" t="n">
        <v>4</v>
      </c>
      <c r="F950" s="22" t="n">
        <v>2</v>
      </c>
      <c r="G950" s="23" t="inlineStr">
        <is>
          <t>Oui</t>
        </is>
      </c>
      <c r="H950" s="23" t="inlineStr">
        <is>
          <t>ON</t>
        </is>
      </c>
      <c r="I950" s="24" t="n">
        <v>856.3651513317755</v>
      </c>
      <c r="J950" s="24" t="n">
        <v>3449.488235315031</v>
      </c>
      <c r="K950" s="24" t="n">
        <v>2287.037037037037</v>
      </c>
      <c r="L950" s="24" t="n">
        <v>150</v>
      </c>
      <c r="M950" s="24">
        <f>I950+J950+K950+L950</f>
        <v/>
      </c>
      <c r="N950" s="24">
        <f>M950*'Dashboard &amp; Optimisation'!$B$18/('Dashboard &amp; Optimisation'!$B$16/3.6)</f>
        <v/>
      </c>
      <c r="O950" s="24" t="n">
        <v>649.1559997807045</v>
      </c>
      <c r="P950" s="25" t="n">
        <v>0.06909966512774487</v>
      </c>
      <c r="Q950" s="26" t="n">
        <v>8.628588566036731</v>
      </c>
      <c r="R950" s="24" t="n">
        <v>2488.643204549162</v>
      </c>
      <c r="S950" s="24">
        <f>R950*IF(A950=4, 2.0, 3.0)</f>
        <v/>
      </c>
      <c r="T950" s="22">
        <f>'Dashboard &amp; Optimisation'!$B$18*U950</f>
        <v/>
      </c>
      <c r="U950" s="27">
        <f>MIN(1, S950/M950)</f>
        <v/>
      </c>
      <c r="V950" s="27">
        <f>N950/(N950+O950)</f>
        <v/>
      </c>
      <c r="W950" s="27">
        <f>U950*V950</f>
        <v/>
      </c>
      <c r="X950" s="25">
        <f>T950/N950</f>
        <v/>
      </c>
      <c r="Y950" s="28">
        <f>IF(W950=MAXIFS(W$2:W$3601, A$2:A$3601, A950, B$2:B$3601, B950), "OPTIMAL", "")</f>
        <v/>
      </c>
    </row>
    <row r="951" ht="20" customHeight="1">
      <c r="A951" s="29" t="n">
        <v>4</v>
      </c>
      <c r="B951" s="29" t="n">
        <v>35</v>
      </c>
      <c r="C951" s="30" t="n">
        <v>105</v>
      </c>
      <c r="D951" s="30" t="n">
        <v>3</v>
      </c>
      <c r="E951" s="6" t="n">
        <v>4</v>
      </c>
      <c r="F951" s="30" t="n">
        <v>2</v>
      </c>
      <c r="G951" s="6" t="inlineStr">
        <is>
          <t>Oui</t>
        </is>
      </c>
      <c r="H951" s="6" t="inlineStr">
        <is>
          <t>OFF</t>
        </is>
      </c>
      <c r="I951" s="31" t="n">
        <v>856.3651513317755</v>
      </c>
      <c r="J951" s="31" t="n">
        <v>3449.488235315031</v>
      </c>
      <c r="K951" s="31" t="n">
        <v>2287.037037037037</v>
      </c>
      <c r="L951" s="31" t="n">
        <v>150</v>
      </c>
      <c r="M951" s="31">
        <f>I951+J951+K951+L951</f>
        <v/>
      </c>
      <c r="N951" s="31">
        <f>M951*'Dashboard &amp; Optimisation'!$B$18/('Dashboard &amp; Optimisation'!$B$16/3.6)</f>
        <v/>
      </c>
      <c r="O951" s="31" t="n">
        <v>649.1559997807045</v>
      </c>
      <c r="P951" s="32" t="n">
        <v>0.2954143944438517</v>
      </c>
      <c r="Q951" s="33" t="n">
        <v>8.628588566036731</v>
      </c>
      <c r="R951" s="31" t="n">
        <v>582.112501256162</v>
      </c>
      <c r="S951" s="31">
        <f>R951*IF(A951=4, 2.0, 3.0)</f>
        <v/>
      </c>
      <c r="T951" s="30">
        <f>'Dashboard &amp; Optimisation'!$B$18*U951</f>
        <v/>
      </c>
      <c r="U951" s="34">
        <f>MIN(1, S951/M951)</f>
        <v/>
      </c>
      <c r="V951" s="34">
        <f>N951/(N951+O951)</f>
        <v/>
      </c>
      <c r="W951" s="34">
        <f>U951*V951</f>
        <v/>
      </c>
      <c r="X951" s="32">
        <f>T951/N951</f>
        <v/>
      </c>
      <c r="Y951" s="35">
        <f>IF(W951=MAXIFS(W$2:W$3601, A$2:A$3601, A951, B$2:B$3601, B951), "OPTIMAL", "")</f>
        <v/>
      </c>
    </row>
    <row r="952" ht="20" customHeight="1">
      <c r="A952" s="21" t="n">
        <v>4</v>
      </c>
      <c r="B952" s="21" t="n">
        <v>35</v>
      </c>
      <c r="C952" s="22" t="n">
        <v>105</v>
      </c>
      <c r="D952" s="22" t="n">
        <v>3</v>
      </c>
      <c r="E952" s="23" t="n">
        <v>4</v>
      </c>
      <c r="F952" s="22" t="n">
        <v>2</v>
      </c>
      <c r="G952" s="23" t="inlineStr">
        <is>
          <t>Non</t>
        </is>
      </c>
      <c r="H952" s="23" t="inlineStr">
        <is>
          <t>ON</t>
        </is>
      </c>
      <c r="I952" s="24" t="n">
        <v>856.3651513317755</v>
      </c>
      <c r="J952" s="24" t="n">
        <v>3449.488235315031</v>
      </c>
      <c r="K952" s="24" t="n">
        <v>2287.037037037037</v>
      </c>
      <c r="L952" s="24" t="n">
        <v>150</v>
      </c>
      <c r="M952" s="24">
        <f>I952+J952+K952+L952</f>
        <v/>
      </c>
      <c r="N952" s="24">
        <f>M952*'Dashboard &amp; Optimisation'!$B$18/('Dashboard &amp; Optimisation'!$B$16/3.6)</f>
        <v/>
      </c>
      <c r="O952" s="24" t="n">
        <v>649.1559997807045</v>
      </c>
      <c r="P952" s="25" t="n">
        <v>0.06606814240218496</v>
      </c>
      <c r="Q952" s="26" t="n">
        <v>8.628588566036731</v>
      </c>
      <c r="R952" s="24" t="n">
        <v>2602.83407107111</v>
      </c>
      <c r="S952" s="24">
        <f>R952*IF(A952=4, 2.0, 3.0)</f>
        <v/>
      </c>
      <c r="T952" s="22">
        <f>'Dashboard &amp; Optimisation'!$B$18*U952</f>
        <v/>
      </c>
      <c r="U952" s="27">
        <f>MIN(1, S952/M952)</f>
        <v/>
      </c>
      <c r="V952" s="27">
        <f>N952/(N952+O952)</f>
        <v/>
      </c>
      <c r="W952" s="27">
        <f>U952*V952</f>
        <v/>
      </c>
      <c r="X952" s="25">
        <f>T952/N952</f>
        <v/>
      </c>
      <c r="Y952" s="28">
        <f>IF(W952=MAXIFS(W$2:W$3601, A$2:A$3601, A952, B$2:B$3601, B952), "OPTIMAL", "")</f>
        <v/>
      </c>
    </row>
    <row r="953" ht="20" customHeight="1">
      <c r="A953" s="29" t="n">
        <v>4</v>
      </c>
      <c r="B953" s="29" t="n">
        <v>35</v>
      </c>
      <c r="C953" s="30" t="n">
        <v>105</v>
      </c>
      <c r="D953" s="30" t="n">
        <v>3</v>
      </c>
      <c r="E953" s="6" t="n">
        <v>4</v>
      </c>
      <c r="F953" s="30" t="n">
        <v>2</v>
      </c>
      <c r="G953" s="6" t="inlineStr">
        <is>
          <t>Non</t>
        </is>
      </c>
      <c r="H953" s="6" t="inlineStr">
        <is>
          <t>OFF</t>
        </is>
      </c>
      <c r="I953" s="31" t="n">
        <v>856.3651513317755</v>
      </c>
      <c r="J953" s="31" t="n">
        <v>3449.488235315031</v>
      </c>
      <c r="K953" s="31" t="n">
        <v>2287.037037037037</v>
      </c>
      <c r="L953" s="31" t="n">
        <v>150</v>
      </c>
      <c r="M953" s="31">
        <f>I953+J953+K953+L953</f>
        <v/>
      </c>
      <c r="N953" s="31">
        <f>M953*'Dashboard &amp; Optimisation'!$B$18/('Dashboard &amp; Optimisation'!$B$16/3.6)</f>
        <v/>
      </c>
      <c r="O953" s="31" t="n">
        <v>649.1559997807045</v>
      </c>
      <c r="P953" s="32" t="n">
        <v>0.2923828717182918</v>
      </c>
      <c r="Q953" s="33" t="n">
        <v>8.628588566036731</v>
      </c>
      <c r="R953" s="31" t="n">
        <v>588.1480370111115</v>
      </c>
      <c r="S953" s="31">
        <f>R953*IF(A953=4, 2.0, 3.0)</f>
        <v/>
      </c>
      <c r="T953" s="30">
        <f>'Dashboard &amp; Optimisation'!$B$18*U953</f>
        <v/>
      </c>
      <c r="U953" s="34">
        <f>MIN(1, S953/M953)</f>
        <v/>
      </c>
      <c r="V953" s="34">
        <f>N953/(N953+O953)</f>
        <v/>
      </c>
      <c r="W953" s="34">
        <f>U953*V953</f>
        <v/>
      </c>
      <c r="X953" s="32">
        <f>T953/N953</f>
        <v/>
      </c>
      <c r="Y953" s="35">
        <f>IF(W953=MAXIFS(W$2:W$3601, A$2:A$3601, A953, B$2:B$3601, B953), "OPTIMAL", "")</f>
        <v/>
      </c>
    </row>
    <row r="954" ht="20" customHeight="1">
      <c r="A954" s="21" t="n">
        <v>4</v>
      </c>
      <c r="B954" s="21" t="n">
        <v>35</v>
      </c>
      <c r="C954" s="22" t="n">
        <v>105</v>
      </c>
      <c r="D954" s="22" t="n">
        <v>3</v>
      </c>
      <c r="E954" s="23" t="n">
        <v>8</v>
      </c>
      <c r="F954" s="22" t="n">
        <v>1.5</v>
      </c>
      <c r="G954" s="23" t="inlineStr">
        <is>
          <t>Oui</t>
        </is>
      </c>
      <c r="H954" s="23" t="inlineStr">
        <is>
          <t>ON</t>
        </is>
      </c>
      <c r="I954" s="24" t="n">
        <v>856.3651513317755</v>
      </c>
      <c r="J954" s="24" t="n">
        <v>3449.488235315031</v>
      </c>
      <c r="K954" s="24" t="n">
        <v>2287.037037037037</v>
      </c>
      <c r="L954" s="24" t="n">
        <v>150</v>
      </c>
      <c r="M954" s="24">
        <f>I954+J954+K954+L954</f>
        <v/>
      </c>
      <c r="N954" s="24">
        <f>M954*'Dashboard &amp; Optimisation'!$B$18/('Dashboard &amp; Optimisation'!$B$16/3.6)</f>
        <v/>
      </c>
      <c r="O954" s="24" t="n">
        <v>767.0208821871855</v>
      </c>
      <c r="P954" s="25" t="n">
        <v>0.05445758169649494</v>
      </c>
      <c r="Q954" s="26" t="n">
        <v>12.84288284905509</v>
      </c>
      <c r="R954" s="24" t="n">
        <v>3227.022656978152</v>
      </c>
      <c r="S954" s="24">
        <f>R954*IF(A954=4, 2.0, 3.0)</f>
        <v/>
      </c>
      <c r="T954" s="22">
        <f>'Dashboard &amp; Optimisation'!$B$18*U954</f>
        <v/>
      </c>
      <c r="U954" s="27">
        <f>MIN(1, S954/M954)</f>
        <v/>
      </c>
      <c r="V954" s="27">
        <f>N954/(N954+O954)</f>
        <v/>
      </c>
      <c r="W954" s="27">
        <f>U954*V954</f>
        <v/>
      </c>
      <c r="X954" s="25">
        <f>T954/N954</f>
        <v/>
      </c>
      <c r="Y954" s="28">
        <f>IF(W954=MAXIFS(W$2:W$3601, A$2:A$3601, A954, B$2:B$3601, B954), "OPTIMAL", "")</f>
        <v/>
      </c>
    </row>
    <row r="955" ht="20" customHeight="1">
      <c r="A955" s="29" t="n">
        <v>4</v>
      </c>
      <c r="B955" s="29" t="n">
        <v>35</v>
      </c>
      <c r="C955" s="30" t="n">
        <v>105</v>
      </c>
      <c r="D955" s="30" t="n">
        <v>3</v>
      </c>
      <c r="E955" s="6" t="n">
        <v>8</v>
      </c>
      <c r="F955" s="30" t="n">
        <v>1.5</v>
      </c>
      <c r="G955" s="6" t="inlineStr">
        <is>
          <t>Oui</t>
        </is>
      </c>
      <c r="H955" s="6" t="inlineStr">
        <is>
          <t>OFF</t>
        </is>
      </c>
      <c r="I955" s="31" t="n">
        <v>856.3651513317755</v>
      </c>
      <c r="J955" s="31" t="n">
        <v>3449.488235315031</v>
      </c>
      <c r="K955" s="31" t="n">
        <v>2287.037037037037</v>
      </c>
      <c r="L955" s="31" t="n">
        <v>150</v>
      </c>
      <c r="M955" s="31">
        <f>I955+J955+K955+L955</f>
        <v/>
      </c>
      <c r="N955" s="31">
        <f>M955*'Dashboard &amp; Optimisation'!$B$18/('Dashboard &amp; Optimisation'!$B$16/3.6)</f>
        <v/>
      </c>
      <c r="O955" s="31" t="n">
        <v>767.0208821871855</v>
      </c>
      <c r="P955" s="32" t="n">
        <v>0.233716140989121</v>
      </c>
      <c r="Q955" s="33" t="n">
        <v>12.84288284905509</v>
      </c>
      <c r="R955" s="31" t="n">
        <v>751.9200395620429</v>
      </c>
      <c r="S955" s="31">
        <f>R955*IF(A955=4, 2.0, 3.0)</f>
        <v/>
      </c>
      <c r="T955" s="30">
        <f>'Dashboard &amp; Optimisation'!$B$18*U955</f>
        <v/>
      </c>
      <c r="U955" s="34">
        <f>MIN(1, S955/M955)</f>
        <v/>
      </c>
      <c r="V955" s="34">
        <f>N955/(N955+O955)</f>
        <v/>
      </c>
      <c r="W955" s="34">
        <f>U955*V955</f>
        <v/>
      </c>
      <c r="X955" s="32">
        <f>T955/N955</f>
        <v/>
      </c>
      <c r="Y955" s="35">
        <f>IF(W955=MAXIFS(W$2:W$3601, A$2:A$3601, A955, B$2:B$3601, B955), "OPTIMAL", "")</f>
        <v/>
      </c>
    </row>
    <row r="956" ht="20" customHeight="1">
      <c r="A956" s="21" t="n">
        <v>4</v>
      </c>
      <c r="B956" s="21" t="n">
        <v>35</v>
      </c>
      <c r="C956" s="22" t="n">
        <v>105</v>
      </c>
      <c r="D956" s="22" t="n">
        <v>3</v>
      </c>
      <c r="E956" s="23" t="n">
        <v>8</v>
      </c>
      <c r="F956" s="22" t="n">
        <v>1.5</v>
      </c>
      <c r="G956" s="23" t="inlineStr">
        <is>
          <t>Non</t>
        </is>
      </c>
      <c r="H956" s="23" t="inlineStr">
        <is>
          <t>ON</t>
        </is>
      </c>
      <c r="I956" s="24" t="n">
        <v>856.3651513317755</v>
      </c>
      <c r="J956" s="24" t="n">
        <v>3449.488235315031</v>
      </c>
      <c r="K956" s="24" t="n">
        <v>2287.037037037037</v>
      </c>
      <c r="L956" s="24" t="n">
        <v>150</v>
      </c>
      <c r="M956" s="24">
        <f>I956+J956+K956+L956</f>
        <v/>
      </c>
      <c r="N956" s="24">
        <f>M956*'Dashboard &amp; Optimisation'!$B$18/('Dashboard &amp; Optimisation'!$B$16/3.6)</f>
        <v/>
      </c>
      <c r="O956" s="24" t="n">
        <v>767.0208821871855</v>
      </c>
      <c r="P956" s="25" t="n">
        <v>0.05142605897093502</v>
      </c>
      <c r="Q956" s="26" t="n">
        <v>12.84288284905509</v>
      </c>
      <c r="R956" s="24" t="n">
        <v>3417.252916039128</v>
      </c>
      <c r="S956" s="24">
        <f>R956*IF(A956=4, 2.0, 3.0)</f>
        <v/>
      </c>
      <c r="T956" s="22">
        <f>'Dashboard &amp; Optimisation'!$B$18*U956</f>
        <v/>
      </c>
      <c r="U956" s="27">
        <f>MIN(1, S956/M956)</f>
        <v/>
      </c>
      <c r="V956" s="27">
        <f>N956/(N956+O956)</f>
        <v/>
      </c>
      <c r="W956" s="27">
        <f>U956*V956</f>
        <v/>
      </c>
      <c r="X956" s="25">
        <f>T956/N956</f>
        <v/>
      </c>
      <c r="Y956" s="28">
        <f>IF(W956=MAXIFS(W$2:W$3601, A$2:A$3601, A956, B$2:B$3601, B956), "OPTIMAL", "")</f>
        <v/>
      </c>
    </row>
    <row r="957" ht="20" customHeight="1">
      <c r="A957" s="29" t="n">
        <v>4</v>
      </c>
      <c r="B957" s="29" t="n">
        <v>35</v>
      </c>
      <c r="C957" s="30" t="n">
        <v>105</v>
      </c>
      <c r="D957" s="30" t="n">
        <v>3</v>
      </c>
      <c r="E957" s="6" t="n">
        <v>8</v>
      </c>
      <c r="F957" s="30" t="n">
        <v>1.5</v>
      </c>
      <c r="G957" s="6" t="inlineStr">
        <is>
          <t>Non</t>
        </is>
      </c>
      <c r="H957" s="6" t="inlineStr">
        <is>
          <t>OFF</t>
        </is>
      </c>
      <c r="I957" s="31" t="n">
        <v>856.3651513317755</v>
      </c>
      <c r="J957" s="31" t="n">
        <v>3449.488235315031</v>
      </c>
      <c r="K957" s="31" t="n">
        <v>2287.037037037037</v>
      </c>
      <c r="L957" s="31" t="n">
        <v>150</v>
      </c>
      <c r="M957" s="31">
        <f>I957+J957+K957+L957</f>
        <v/>
      </c>
      <c r="N957" s="31">
        <f>M957*'Dashboard &amp; Optimisation'!$B$18/('Dashboard &amp; Optimisation'!$B$16/3.6)</f>
        <v/>
      </c>
      <c r="O957" s="31" t="n">
        <v>767.0208821871855</v>
      </c>
      <c r="P957" s="32" t="n">
        <v>0.2306846182635611</v>
      </c>
      <c r="Q957" s="33" t="n">
        <v>12.84288284905509</v>
      </c>
      <c r="R957" s="31" t="n">
        <v>761.8013342270036</v>
      </c>
      <c r="S957" s="31">
        <f>R957*IF(A957=4, 2.0, 3.0)</f>
        <v/>
      </c>
      <c r="T957" s="30">
        <f>'Dashboard &amp; Optimisation'!$B$18*U957</f>
        <v/>
      </c>
      <c r="U957" s="34">
        <f>MIN(1, S957/M957)</f>
        <v/>
      </c>
      <c r="V957" s="34">
        <f>N957/(N957+O957)</f>
        <v/>
      </c>
      <c r="W957" s="34">
        <f>U957*V957</f>
        <v/>
      </c>
      <c r="X957" s="32">
        <f>T957/N957</f>
        <v/>
      </c>
      <c r="Y957" s="35">
        <f>IF(W957=MAXIFS(W$2:W$3601, A$2:A$3601, A957, B$2:B$3601, B957), "OPTIMAL", "")</f>
        <v/>
      </c>
    </row>
    <row r="958" ht="20" customHeight="1">
      <c r="A958" s="21" t="n">
        <v>4</v>
      </c>
      <c r="B958" s="21" t="n">
        <v>35</v>
      </c>
      <c r="C958" s="22" t="n">
        <v>105</v>
      </c>
      <c r="D958" s="22" t="n">
        <v>3</v>
      </c>
      <c r="E958" s="23" t="n">
        <v>8</v>
      </c>
      <c r="F958" s="22" t="n">
        <v>2</v>
      </c>
      <c r="G958" s="23" t="inlineStr">
        <is>
          <t>Oui</t>
        </is>
      </c>
      <c r="H958" s="23" t="inlineStr">
        <is>
          <t>ON</t>
        </is>
      </c>
      <c r="I958" s="24" t="n">
        <v>856.3651513317755</v>
      </c>
      <c r="J958" s="24" t="n">
        <v>3449.488235315031</v>
      </c>
      <c r="K958" s="24" t="n">
        <v>2287.037037037037</v>
      </c>
      <c r="L958" s="24" t="n">
        <v>150</v>
      </c>
      <c r="M958" s="24">
        <f>I958+J958+K958+L958</f>
        <v/>
      </c>
      <c r="N958" s="24">
        <f>M958*'Dashboard &amp; Optimisation'!$B$18/('Dashboard &amp; Optimisation'!$B$16/3.6)</f>
        <v/>
      </c>
      <c r="O958" s="24" t="n">
        <v>890.1715987906267</v>
      </c>
      <c r="P958" s="25" t="n">
        <v>0.05316276245002891</v>
      </c>
      <c r="Q958" s="26" t="n">
        <v>17.05717713207346</v>
      </c>
      <c r="R958" s="24" t="n">
        <v>3379.742053029265</v>
      </c>
      <c r="S958" s="24">
        <f>R958*IF(A958=4, 2.0, 3.0)</f>
        <v/>
      </c>
      <c r="T958" s="22">
        <f>'Dashboard &amp; Optimisation'!$B$18*U958</f>
        <v/>
      </c>
      <c r="U958" s="27">
        <f>MIN(1, S958/M958)</f>
        <v/>
      </c>
      <c r="V958" s="27">
        <f>N958/(N958+O958)</f>
        <v/>
      </c>
      <c r="W958" s="27">
        <f>U958*V958</f>
        <v/>
      </c>
      <c r="X958" s="25">
        <f>T958/N958</f>
        <v/>
      </c>
      <c r="Y958" s="28">
        <f>IF(W958=MAXIFS(W$2:W$3601, A$2:A$3601, A958, B$2:B$3601, B958), "OPTIMAL", "")</f>
        <v/>
      </c>
    </row>
    <row r="959" ht="20" customHeight="1">
      <c r="A959" s="29" t="n">
        <v>4</v>
      </c>
      <c r="B959" s="29" t="n">
        <v>35</v>
      </c>
      <c r="C959" s="30" t="n">
        <v>105</v>
      </c>
      <c r="D959" s="30" t="n">
        <v>3</v>
      </c>
      <c r="E959" s="6" t="n">
        <v>8</v>
      </c>
      <c r="F959" s="30" t="n">
        <v>2</v>
      </c>
      <c r="G959" s="6" t="inlineStr">
        <is>
          <t>Oui</t>
        </is>
      </c>
      <c r="H959" s="6" t="inlineStr">
        <is>
          <t>OFF</t>
        </is>
      </c>
      <c r="I959" s="31" t="n">
        <v>856.3651513317755</v>
      </c>
      <c r="J959" s="31" t="n">
        <v>3449.488235315031</v>
      </c>
      <c r="K959" s="31" t="n">
        <v>2287.037037037037</v>
      </c>
      <c r="L959" s="31" t="n">
        <v>150</v>
      </c>
      <c r="M959" s="31">
        <f>I959+J959+K959+L959</f>
        <v/>
      </c>
      <c r="N959" s="31">
        <f>M959*'Dashboard &amp; Optimisation'!$B$18/('Dashboard &amp; Optimisation'!$B$16/3.6)</f>
        <v/>
      </c>
      <c r="O959" s="31" t="n">
        <v>890.1715987906267</v>
      </c>
      <c r="P959" s="32" t="n">
        <v>0.2337139817442265</v>
      </c>
      <c r="Q959" s="33" t="n">
        <v>17.05717713207346</v>
      </c>
      <c r="R959" s="31" t="n">
        <v>768.7876547505975</v>
      </c>
      <c r="S959" s="31">
        <f>R959*IF(A959=4, 2.0, 3.0)</f>
        <v/>
      </c>
      <c r="T959" s="30">
        <f>'Dashboard &amp; Optimisation'!$B$18*U959</f>
        <v/>
      </c>
      <c r="U959" s="34">
        <f>MIN(1, S959/M959)</f>
        <v/>
      </c>
      <c r="V959" s="34">
        <f>N959/(N959+O959)</f>
        <v/>
      </c>
      <c r="W959" s="34">
        <f>U959*V959</f>
        <v/>
      </c>
      <c r="X959" s="32">
        <f>T959/N959</f>
        <v/>
      </c>
      <c r="Y959" s="35">
        <f>IF(W959=MAXIFS(W$2:W$3601, A$2:A$3601, A959, B$2:B$3601, B959), "OPTIMAL", "")</f>
        <v/>
      </c>
    </row>
    <row r="960" ht="20" customHeight="1">
      <c r="A960" s="21" t="n">
        <v>4</v>
      </c>
      <c r="B960" s="21" t="n">
        <v>35</v>
      </c>
      <c r="C960" s="22" t="n">
        <v>105</v>
      </c>
      <c r="D960" s="22" t="n">
        <v>3</v>
      </c>
      <c r="E960" s="23" t="n">
        <v>8</v>
      </c>
      <c r="F960" s="22" t="n">
        <v>2</v>
      </c>
      <c r="G960" s="23" t="inlineStr">
        <is>
          <t>Non</t>
        </is>
      </c>
      <c r="H960" s="23" t="inlineStr">
        <is>
          <t>ON</t>
        </is>
      </c>
      <c r="I960" s="24" t="n">
        <v>856.3651513317755</v>
      </c>
      <c r="J960" s="24" t="n">
        <v>3449.488235315031</v>
      </c>
      <c r="K960" s="24" t="n">
        <v>2287.037037037037</v>
      </c>
      <c r="L960" s="24" t="n">
        <v>150</v>
      </c>
      <c r="M960" s="24">
        <f>I960+J960+K960+L960</f>
        <v/>
      </c>
      <c r="N960" s="24">
        <f>M960*'Dashboard &amp; Optimisation'!$B$18/('Dashboard &amp; Optimisation'!$B$16/3.6)</f>
        <v/>
      </c>
      <c r="O960" s="24" t="n">
        <v>890.1715987906267</v>
      </c>
      <c r="P960" s="25" t="n">
        <v>0.050131239724469</v>
      </c>
      <c r="Q960" s="26" t="n">
        <v>17.05717713207346</v>
      </c>
      <c r="R960" s="24" t="n">
        <v>3584.120897370667</v>
      </c>
      <c r="S960" s="24">
        <f>R960*IF(A960=4, 2.0, 3.0)</f>
        <v/>
      </c>
      <c r="T960" s="22">
        <f>'Dashboard &amp; Optimisation'!$B$18*U960</f>
        <v/>
      </c>
      <c r="U960" s="27">
        <f>MIN(1, S960/M960)</f>
        <v/>
      </c>
      <c r="V960" s="27">
        <f>N960/(N960+O960)</f>
        <v/>
      </c>
      <c r="W960" s="27">
        <f>U960*V960</f>
        <v/>
      </c>
      <c r="X960" s="25">
        <f>T960/N960</f>
        <v/>
      </c>
      <c r="Y960" s="28">
        <f>IF(W960=MAXIFS(W$2:W$3601, A$2:A$3601, A960, B$2:B$3601, B960), "OPTIMAL", "")</f>
        <v/>
      </c>
    </row>
    <row r="961" ht="20" customHeight="1">
      <c r="A961" s="29" t="n">
        <v>4</v>
      </c>
      <c r="B961" s="29" t="n">
        <v>35</v>
      </c>
      <c r="C961" s="30" t="n">
        <v>105</v>
      </c>
      <c r="D961" s="30" t="n">
        <v>3</v>
      </c>
      <c r="E961" s="6" t="n">
        <v>8</v>
      </c>
      <c r="F961" s="30" t="n">
        <v>2</v>
      </c>
      <c r="G961" s="6" t="inlineStr">
        <is>
          <t>Non</t>
        </is>
      </c>
      <c r="H961" s="6" t="inlineStr">
        <is>
          <t>OFF</t>
        </is>
      </c>
      <c r="I961" s="31" t="n">
        <v>856.3651513317755</v>
      </c>
      <c r="J961" s="31" t="n">
        <v>3449.488235315031</v>
      </c>
      <c r="K961" s="31" t="n">
        <v>2287.037037037037</v>
      </c>
      <c r="L961" s="31" t="n">
        <v>150</v>
      </c>
      <c r="M961" s="31">
        <f>I961+J961+K961+L961</f>
        <v/>
      </c>
      <c r="N961" s="31">
        <f>M961*'Dashboard &amp; Optimisation'!$B$18/('Dashboard &amp; Optimisation'!$B$16/3.6)</f>
        <v/>
      </c>
      <c r="O961" s="31" t="n">
        <v>890.1715987906267</v>
      </c>
      <c r="P961" s="32" t="n">
        <v>0.2306824590186666</v>
      </c>
      <c r="Q961" s="33" t="n">
        <v>17.05717713207346</v>
      </c>
      <c r="R961" s="31" t="n">
        <v>778.8907083439258</v>
      </c>
      <c r="S961" s="31">
        <f>R961*IF(A961=4, 2.0, 3.0)</f>
        <v/>
      </c>
      <c r="T961" s="30">
        <f>'Dashboard &amp; Optimisation'!$B$18*U961</f>
        <v/>
      </c>
      <c r="U961" s="34">
        <f>MIN(1, S961/M961)</f>
        <v/>
      </c>
      <c r="V961" s="34">
        <f>N961/(N961+O961)</f>
        <v/>
      </c>
      <c r="W961" s="34">
        <f>U961*V961</f>
        <v/>
      </c>
      <c r="X961" s="32">
        <f>T961/N961</f>
        <v/>
      </c>
      <c r="Y961" s="35">
        <f>IF(W961=MAXIFS(W$2:W$3601, A$2:A$3601, A961, B$2:B$3601, B961), "OPTIMAL", "")</f>
        <v/>
      </c>
    </row>
    <row r="962" ht="20" customHeight="1">
      <c r="A962" s="21" t="n">
        <v>4</v>
      </c>
      <c r="B962" s="21" t="n">
        <v>35</v>
      </c>
      <c r="C962" s="22" t="n">
        <v>110</v>
      </c>
      <c r="D962" s="22" t="n">
        <v>2</v>
      </c>
      <c r="E962" s="23" t="n">
        <v>0</v>
      </c>
      <c r="F962" s="22" t="n">
        <v>0</v>
      </c>
      <c r="G962" s="23" t="inlineStr">
        <is>
          <t>Oui</t>
        </is>
      </c>
      <c r="H962" s="23" t="inlineStr">
        <is>
          <t>ON</t>
        </is>
      </c>
      <c r="I962" s="24" t="n">
        <v>856.3651513317755</v>
      </c>
      <c r="J962" s="24" t="n">
        <v>3449.488235315031</v>
      </c>
      <c r="K962" s="24" t="n">
        <v>2287.037037037037</v>
      </c>
      <c r="L962" s="24" t="n">
        <v>150</v>
      </c>
      <c r="M962" s="24">
        <f>I962+J962+K962+L962</f>
        <v/>
      </c>
      <c r="N962" s="24">
        <f>M962*'Dashboard &amp; Optimisation'!$B$18/('Dashboard &amp; Optimisation'!$B$16/3.6)</f>
        <v/>
      </c>
      <c r="O962" s="24" t="n">
        <v>263.5196076538802</v>
      </c>
      <c r="P962" s="25" t="n">
        <v>0.4731529974868604</v>
      </c>
      <c r="Q962" s="26" t="n">
        <v>0.2</v>
      </c>
      <c r="R962" s="24" t="n">
        <v>303.9792586262402</v>
      </c>
      <c r="S962" s="24">
        <f>R962*IF(A962=4, 2.0, 3.0)</f>
        <v/>
      </c>
      <c r="T962" s="22">
        <f>'Dashboard &amp; Optimisation'!$B$18*U962</f>
        <v/>
      </c>
      <c r="U962" s="27">
        <f>MIN(1, S962/M962)</f>
        <v/>
      </c>
      <c r="V962" s="27">
        <f>N962/(N962+O962)</f>
        <v/>
      </c>
      <c r="W962" s="27">
        <f>U962*V962</f>
        <v/>
      </c>
      <c r="X962" s="25">
        <f>T962/N962</f>
        <v/>
      </c>
      <c r="Y962" s="28">
        <f>IF(W962=MAXIFS(W$2:W$3601, A$2:A$3601, A962, B$2:B$3601, B962), "OPTIMAL", "")</f>
        <v/>
      </c>
    </row>
    <row r="963" ht="20" customHeight="1">
      <c r="A963" s="29" t="n">
        <v>4</v>
      </c>
      <c r="B963" s="29" t="n">
        <v>35</v>
      </c>
      <c r="C963" s="30" t="n">
        <v>110</v>
      </c>
      <c r="D963" s="30" t="n">
        <v>2</v>
      </c>
      <c r="E963" s="6" t="n">
        <v>0</v>
      </c>
      <c r="F963" s="30" t="n">
        <v>0</v>
      </c>
      <c r="G963" s="6" t="inlineStr">
        <is>
          <t>Oui</t>
        </is>
      </c>
      <c r="H963" s="6" t="inlineStr">
        <is>
          <t>OFF</t>
        </is>
      </c>
      <c r="I963" s="31" t="n">
        <v>856.3651513317755</v>
      </c>
      <c r="J963" s="31" t="n">
        <v>3449.488235315031</v>
      </c>
      <c r="K963" s="31" t="n">
        <v>2287.037037037037</v>
      </c>
      <c r="L963" s="31" t="n">
        <v>150</v>
      </c>
      <c r="M963" s="31">
        <f>I963+J963+K963+L963</f>
        <v/>
      </c>
      <c r="N963" s="31">
        <f>M963*'Dashboard &amp; Optimisation'!$B$18/('Dashboard &amp; Optimisation'!$B$16/3.6)</f>
        <v/>
      </c>
      <c r="O963" s="31" t="n">
        <v>263.5196076538802</v>
      </c>
      <c r="P963" s="32" t="n">
        <v>0.7625256212903064</v>
      </c>
      <c r="Q963" s="33" t="n">
        <v>0.2</v>
      </c>
      <c r="R963" s="31" t="n">
        <v>188.6214618591565</v>
      </c>
      <c r="S963" s="31">
        <f>R963*IF(A963=4, 2.0, 3.0)</f>
        <v/>
      </c>
      <c r="T963" s="30">
        <f>'Dashboard &amp; Optimisation'!$B$18*U963</f>
        <v/>
      </c>
      <c r="U963" s="34">
        <f>MIN(1, S963/M963)</f>
        <v/>
      </c>
      <c r="V963" s="34">
        <f>N963/(N963+O963)</f>
        <v/>
      </c>
      <c r="W963" s="34">
        <f>U963*V963</f>
        <v/>
      </c>
      <c r="X963" s="32">
        <f>T963/N963</f>
        <v/>
      </c>
      <c r="Y963" s="35">
        <f>IF(W963=MAXIFS(W$2:W$3601, A$2:A$3601, A963, B$2:B$3601, B963), "OPTIMAL", "")</f>
        <v/>
      </c>
    </row>
    <row r="964" ht="20" customHeight="1">
      <c r="A964" s="21" t="n">
        <v>4</v>
      </c>
      <c r="B964" s="21" t="n">
        <v>35</v>
      </c>
      <c r="C964" s="22" t="n">
        <v>110</v>
      </c>
      <c r="D964" s="22" t="n">
        <v>2</v>
      </c>
      <c r="E964" s="23" t="n">
        <v>0</v>
      </c>
      <c r="F964" s="22" t="n">
        <v>0</v>
      </c>
      <c r="G964" s="23" t="inlineStr">
        <is>
          <t>Non</t>
        </is>
      </c>
      <c r="H964" s="23" t="inlineStr">
        <is>
          <t>ON</t>
        </is>
      </c>
      <c r="I964" s="24" t="n">
        <v>856.3651513317755</v>
      </c>
      <c r="J964" s="24" t="n">
        <v>3449.488235315031</v>
      </c>
      <c r="K964" s="24" t="n">
        <v>2287.037037037037</v>
      </c>
      <c r="L964" s="24" t="n">
        <v>150</v>
      </c>
      <c r="M964" s="24">
        <f>I964+J964+K964+L964</f>
        <v/>
      </c>
      <c r="N964" s="24">
        <f>M964*'Dashboard &amp; Optimisation'!$B$18/('Dashboard &amp; Optimisation'!$B$16/3.6)</f>
        <v/>
      </c>
      <c r="O964" s="24" t="n">
        <v>263.5196076538802</v>
      </c>
      <c r="P964" s="25" t="n">
        <v>0.4702592712488259</v>
      </c>
      <c r="Q964" s="26" t="n">
        <v>0.2</v>
      </c>
      <c r="R964" s="24" t="n">
        <v>305.8497858232246</v>
      </c>
      <c r="S964" s="24">
        <f>R964*IF(A964=4, 2.0, 3.0)</f>
        <v/>
      </c>
      <c r="T964" s="22">
        <f>'Dashboard &amp; Optimisation'!$B$18*U964</f>
        <v/>
      </c>
      <c r="U964" s="27">
        <f>MIN(1, S964/M964)</f>
        <v/>
      </c>
      <c r="V964" s="27">
        <f>N964/(N964+O964)</f>
        <v/>
      </c>
      <c r="W964" s="27">
        <f>U964*V964</f>
        <v/>
      </c>
      <c r="X964" s="25">
        <f>T964/N964</f>
        <v/>
      </c>
      <c r="Y964" s="28">
        <f>IF(W964=MAXIFS(W$2:W$3601, A$2:A$3601, A964, B$2:B$3601, B964), "OPTIMAL", "")</f>
        <v/>
      </c>
    </row>
    <row r="965" ht="20" customHeight="1">
      <c r="A965" s="29" t="n">
        <v>4</v>
      </c>
      <c r="B965" s="29" t="n">
        <v>35</v>
      </c>
      <c r="C965" s="30" t="n">
        <v>110</v>
      </c>
      <c r="D965" s="30" t="n">
        <v>2</v>
      </c>
      <c r="E965" s="6" t="n">
        <v>0</v>
      </c>
      <c r="F965" s="30" t="n">
        <v>0</v>
      </c>
      <c r="G965" s="6" t="inlineStr">
        <is>
          <t>Non</t>
        </is>
      </c>
      <c r="H965" s="6" t="inlineStr">
        <is>
          <t>OFF</t>
        </is>
      </c>
      <c r="I965" s="31" t="n">
        <v>856.3651513317755</v>
      </c>
      <c r="J965" s="31" t="n">
        <v>3449.488235315031</v>
      </c>
      <c r="K965" s="31" t="n">
        <v>2287.037037037037</v>
      </c>
      <c r="L965" s="31" t="n">
        <v>150</v>
      </c>
      <c r="M965" s="31">
        <f>I965+J965+K965+L965</f>
        <v/>
      </c>
      <c r="N965" s="31">
        <f>M965*'Dashboard &amp; Optimisation'!$B$18/('Dashboard &amp; Optimisation'!$B$16/3.6)</f>
        <v/>
      </c>
      <c r="O965" s="31" t="n">
        <v>263.5196076538802</v>
      </c>
      <c r="P965" s="32" t="n">
        <v>0.759631895052272</v>
      </c>
      <c r="Q965" s="33" t="n">
        <v>0.2</v>
      </c>
      <c r="R965" s="31" t="n">
        <v>189.3399926064741</v>
      </c>
      <c r="S965" s="31">
        <f>R965*IF(A965=4, 2.0, 3.0)</f>
        <v/>
      </c>
      <c r="T965" s="30">
        <f>'Dashboard &amp; Optimisation'!$B$18*U965</f>
        <v/>
      </c>
      <c r="U965" s="34">
        <f>MIN(1, S965/M965)</f>
        <v/>
      </c>
      <c r="V965" s="34">
        <f>N965/(N965+O965)</f>
        <v/>
      </c>
      <c r="W965" s="34">
        <f>U965*V965</f>
        <v/>
      </c>
      <c r="X965" s="32">
        <f>T965/N965</f>
        <v/>
      </c>
      <c r="Y965" s="35">
        <f>IF(W965=MAXIFS(W$2:W$3601, A$2:A$3601, A965, B$2:B$3601, B965), "OPTIMAL", "")</f>
        <v/>
      </c>
    </row>
    <row r="966" ht="20" customHeight="1">
      <c r="A966" s="21" t="n">
        <v>4</v>
      </c>
      <c r="B966" s="21" t="n">
        <v>35</v>
      </c>
      <c r="C966" s="22" t="n">
        <v>110</v>
      </c>
      <c r="D966" s="22" t="n">
        <v>2</v>
      </c>
      <c r="E966" s="23" t="n">
        <v>4</v>
      </c>
      <c r="F966" s="22" t="n">
        <v>1.5</v>
      </c>
      <c r="G966" s="23" t="inlineStr">
        <is>
          <t>Oui</t>
        </is>
      </c>
      <c r="H966" s="23" t="inlineStr">
        <is>
          <t>ON</t>
        </is>
      </c>
      <c r="I966" s="24" t="n">
        <v>856.3651513317755</v>
      </c>
      <c r="J966" s="24" t="n">
        <v>3449.488235315031</v>
      </c>
      <c r="K966" s="24" t="n">
        <v>2287.037037037037</v>
      </c>
      <c r="L966" s="24" t="n">
        <v>150</v>
      </c>
      <c r="M966" s="24">
        <f>I966+J966+K966+L966</f>
        <v/>
      </c>
      <c r="N966" s="24">
        <f>M966*'Dashboard &amp; Optimisation'!$B$18/('Dashboard &amp; Optimisation'!$B$16/3.6)</f>
        <v/>
      </c>
      <c r="O966" s="24" t="n">
        <v>409.0553099153785</v>
      </c>
      <c r="P966" s="25" t="n">
        <v>0.07062967612279852</v>
      </c>
      <c r="Q966" s="26" t="n">
        <v>6.103987745549313</v>
      </c>
      <c r="R966" s="24" t="n">
        <v>2096.825110616615</v>
      </c>
      <c r="S966" s="24">
        <f>R966*IF(A966=4, 2.0, 3.0)</f>
        <v/>
      </c>
      <c r="T966" s="22">
        <f>'Dashboard &amp; Optimisation'!$B$18*U966</f>
        <v/>
      </c>
      <c r="U966" s="27">
        <f>MIN(1, S966/M966)</f>
        <v/>
      </c>
      <c r="V966" s="27">
        <f>N966/(N966+O966)</f>
        <v/>
      </c>
      <c r="W966" s="27">
        <f>U966*V966</f>
        <v/>
      </c>
      <c r="X966" s="25">
        <f>T966/N966</f>
        <v/>
      </c>
      <c r="Y966" s="28">
        <f>IF(W966=MAXIFS(W$2:W$3601, A$2:A$3601, A966, B$2:B$3601, B966), "OPTIMAL", "")</f>
        <v/>
      </c>
    </row>
    <row r="967" ht="20" customHeight="1">
      <c r="A967" s="29" t="n">
        <v>4</v>
      </c>
      <c r="B967" s="29" t="n">
        <v>35</v>
      </c>
      <c r="C967" s="30" t="n">
        <v>110</v>
      </c>
      <c r="D967" s="30" t="n">
        <v>2</v>
      </c>
      <c r="E967" s="6" t="n">
        <v>4</v>
      </c>
      <c r="F967" s="30" t="n">
        <v>1.5</v>
      </c>
      <c r="G967" s="6" t="inlineStr">
        <is>
          <t>Oui</t>
        </is>
      </c>
      <c r="H967" s="6" t="inlineStr">
        <is>
          <t>OFF</t>
        </is>
      </c>
      <c r="I967" s="31" t="n">
        <v>856.3651513317755</v>
      </c>
      <c r="J967" s="31" t="n">
        <v>3449.488235315031</v>
      </c>
      <c r="K967" s="31" t="n">
        <v>2287.037037037037</v>
      </c>
      <c r="L967" s="31" t="n">
        <v>150</v>
      </c>
      <c r="M967" s="31">
        <f>I967+J967+K967+L967</f>
        <v/>
      </c>
      <c r="N967" s="31">
        <f>M967*'Dashboard &amp; Optimisation'!$B$18/('Dashboard &amp; Optimisation'!$B$16/3.6)</f>
        <v/>
      </c>
      <c r="O967" s="31" t="n">
        <v>409.0553099153785</v>
      </c>
      <c r="P967" s="32" t="n">
        <v>0.2882258985719243</v>
      </c>
      <c r="Q967" s="33" t="n">
        <v>6.103987745549313</v>
      </c>
      <c r="R967" s="31" t="n">
        <v>513.826409017322</v>
      </c>
      <c r="S967" s="31">
        <f>R967*IF(A967=4, 2.0, 3.0)</f>
        <v/>
      </c>
      <c r="T967" s="30">
        <f>'Dashboard &amp; Optimisation'!$B$18*U967</f>
        <v/>
      </c>
      <c r="U967" s="34">
        <f>MIN(1, S967/M967)</f>
        <v/>
      </c>
      <c r="V967" s="34">
        <f>N967/(N967+O967)</f>
        <v/>
      </c>
      <c r="W967" s="34">
        <f>U967*V967</f>
        <v/>
      </c>
      <c r="X967" s="32">
        <f>T967/N967</f>
        <v/>
      </c>
      <c r="Y967" s="35">
        <f>IF(W967=MAXIFS(W$2:W$3601, A$2:A$3601, A967, B$2:B$3601, B967), "OPTIMAL", "")</f>
        <v/>
      </c>
    </row>
    <row r="968" ht="20" customHeight="1">
      <c r="A968" s="21" t="n">
        <v>4</v>
      </c>
      <c r="B968" s="21" t="n">
        <v>35</v>
      </c>
      <c r="C968" s="22" t="n">
        <v>110</v>
      </c>
      <c r="D968" s="22" t="n">
        <v>2</v>
      </c>
      <c r="E968" s="23" t="n">
        <v>4</v>
      </c>
      <c r="F968" s="22" t="n">
        <v>1.5</v>
      </c>
      <c r="G968" s="23" t="inlineStr">
        <is>
          <t>Non</t>
        </is>
      </c>
      <c r="H968" s="23" t="inlineStr">
        <is>
          <t>ON</t>
        </is>
      </c>
      <c r="I968" s="24" t="n">
        <v>856.3651513317755</v>
      </c>
      <c r="J968" s="24" t="n">
        <v>3449.488235315031</v>
      </c>
      <c r="K968" s="24" t="n">
        <v>2287.037037037037</v>
      </c>
      <c r="L968" s="24" t="n">
        <v>150</v>
      </c>
      <c r="M968" s="24">
        <f>I968+J968+K968+L968</f>
        <v/>
      </c>
      <c r="N968" s="24">
        <f>M968*'Dashboard &amp; Optimisation'!$B$18/('Dashboard &amp; Optimisation'!$B$16/3.6)</f>
        <v/>
      </c>
      <c r="O968" s="24" t="n">
        <v>409.0553099153785</v>
      </c>
      <c r="P968" s="25" t="n">
        <v>0.06773594988476406</v>
      </c>
      <c r="Q968" s="26" t="n">
        <v>6.103987745549313</v>
      </c>
      <c r="R968" s="24" t="n">
        <v>2186.4029175195</v>
      </c>
      <c r="S968" s="24">
        <f>R968*IF(A968=4, 2.0, 3.0)</f>
        <v/>
      </c>
      <c r="T968" s="22">
        <f>'Dashboard &amp; Optimisation'!$B$18*U968</f>
        <v/>
      </c>
      <c r="U968" s="27">
        <f>MIN(1, S968/M968)</f>
        <v/>
      </c>
      <c r="V968" s="27">
        <f>N968/(N968+O968)</f>
        <v/>
      </c>
      <c r="W968" s="27">
        <f>U968*V968</f>
        <v/>
      </c>
      <c r="X968" s="25">
        <f>T968/N968</f>
        <v/>
      </c>
      <c r="Y968" s="28">
        <f>IF(W968=MAXIFS(W$2:W$3601, A$2:A$3601, A968, B$2:B$3601, B968), "OPTIMAL", "")</f>
        <v/>
      </c>
    </row>
    <row r="969" ht="20" customHeight="1">
      <c r="A969" s="29" t="n">
        <v>4</v>
      </c>
      <c r="B969" s="29" t="n">
        <v>35</v>
      </c>
      <c r="C969" s="30" t="n">
        <v>110</v>
      </c>
      <c r="D969" s="30" t="n">
        <v>2</v>
      </c>
      <c r="E969" s="6" t="n">
        <v>4</v>
      </c>
      <c r="F969" s="30" t="n">
        <v>1.5</v>
      </c>
      <c r="G969" s="6" t="inlineStr">
        <is>
          <t>Non</t>
        </is>
      </c>
      <c r="H969" s="6" t="inlineStr">
        <is>
          <t>OFF</t>
        </is>
      </c>
      <c r="I969" s="31" t="n">
        <v>856.3651513317755</v>
      </c>
      <c r="J969" s="31" t="n">
        <v>3449.488235315031</v>
      </c>
      <c r="K969" s="31" t="n">
        <v>2287.037037037037</v>
      </c>
      <c r="L969" s="31" t="n">
        <v>150</v>
      </c>
      <c r="M969" s="31">
        <f>I969+J969+K969+L969</f>
        <v/>
      </c>
      <c r="N969" s="31">
        <f>M969*'Dashboard &amp; Optimisation'!$B$18/('Dashboard &amp; Optimisation'!$B$16/3.6)</f>
        <v/>
      </c>
      <c r="O969" s="31" t="n">
        <v>409.0553099153785</v>
      </c>
      <c r="P969" s="32" t="n">
        <v>0.2853321723338898</v>
      </c>
      <c r="Q969" s="33" t="n">
        <v>6.103987745549313</v>
      </c>
      <c r="R969" s="31" t="n">
        <v>519.0374335905642</v>
      </c>
      <c r="S969" s="31">
        <f>R969*IF(A969=4, 2.0, 3.0)</f>
        <v/>
      </c>
      <c r="T969" s="30">
        <f>'Dashboard &amp; Optimisation'!$B$18*U969</f>
        <v/>
      </c>
      <c r="U969" s="34">
        <f>MIN(1, S969/M969)</f>
        <v/>
      </c>
      <c r="V969" s="34">
        <f>N969/(N969+O969)</f>
        <v/>
      </c>
      <c r="W969" s="34">
        <f>U969*V969</f>
        <v/>
      </c>
      <c r="X969" s="32">
        <f>T969/N969</f>
        <v/>
      </c>
      <c r="Y969" s="35">
        <f>IF(W969=MAXIFS(W$2:W$3601, A$2:A$3601, A969, B$2:B$3601, B969), "OPTIMAL", "")</f>
        <v/>
      </c>
    </row>
    <row r="970" ht="20" customHeight="1">
      <c r="A970" s="21" t="n">
        <v>4</v>
      </c>
      <c r="B970" s="21" t="n">
        <v>35</v>
      </c>
      <c r="C970" s="22" t="n">
        <v>110</v>
      </c>
      <c r="D970" s="22" t="n">
        <v>2</v>
      </c>
      <c r="E970" s="23" t="n">
        <v>4</v>
      </c>
      <c r="F970" s="22" t="n">
        <v>2</v>
      </c>
      <c r="G970" s="23" t="inlineStr">
        <is>
          <t>Oui</t>
        </is>
      </c>
      <c r="H970" s="23" t="inlineStr">
        <is>
          <t>ON</t>
        </is>
      </c>
      <c r="I970" s="24" t="n">
        <v>856.3651513317755</v>
      </c>
      <c r="J970" s="24" t="n">
        <v>3449.488235315031</v>
      </c>
      <c r="K970" s="24" t="n">
        <v>2287.037037037037</v>
      </c>
      <c r="L970" s="24" t="n">
        <v>150</v>
      </c>
      <c r="M970" s="24">
        <f>I970+J970+K970+L970</f>
        <v/>
      </c>
      <c r="N970" s="24">
        <f>M970*'Dashboard &amp; Optimisation'!$B$18/('Dashboard &amp; Optimisation'!$B$16/3.6)</f>
        <v/>
      </c>
      <c r="O970" s="24" t="n">
        <v>459.5064212355094</v>
      </c>
      <c r="P970" s="25" t="n">
        <v>0.06762363614121064</v>
      </c>
      <c r="Q970" s="26" t="n">
        <v>8.071983660732418</v>
      </c>
      <c r="R970" s="24" t="n">
        <v>2211.920298295564</v>
      </c>
      <c r="S970" s="24">
        <f>R970*IF(A970=4, 2.0, 3.0)</f>
        <v/>
      </c>
      <c r="T970" s="22">
        <f>'Dashboard &amp; Optimisation'!$B$18*U970</f>
        <v/>
      </c>
      <c r="U970" s="27">
        <f>MIN(1, S970/M970)</f>
        <v/>
      </c>
      <c r="V970" s="27">
        <f>N970/(N970+O970)</f>
        <v/>
      </c>
      <c r="W970" s="27">
        <f>U970*V970</f>
        <v/>
      </c>
      <c r="X970" s="25">
        <f>T970/N970</f>
        <v/>
      </c>
      <c r="Y970" s="28">
        <f>IF(W970=MAXIFS(W$2:W$3601, A$2:A$3601, A970, B$2:B$3601, B970), "OPTIMAL", "")</f>
        <v/>
      </c>
    </row>
    <row r="971" ht="20" customHeight="1">
      <c r="A971" s="29" t="n">
        <v>4</v>
      </c>
      <c r="B971" s="29" t="n">
        <v>35</v>
      </c>
      <c r="C971" s="30" t="n">
        <v>110</v>
      </c>
      <c r="D971" s="30" t="n">
        <v>2</v>
      </c>
      <c r="E971" s="6" t="n">
        <v>4</v>
      </c>
      <c r="F971" s="30" t="n">
        <v>2</v>
      </c>
      <c r="G971" s="6" t="inlineStr">
        <is>
          <t>Oui</t>
        </is>
      </c>
      <c r="H971" s="6" t="inlineStr">
        <is>
          <t>OFF</t>
        </is>
      </c>
      <c r="I971" s="31" t="n">
        <v>856.3651513317755</v>
      </c>
      <c r="J971" s="31" t="n">
        <v>3449.488235315031</v>
      </c>
      <c r="K971" s="31" t="n">
        <v>2287.037037037037</v>
      </c>
      <c r="L971" s="31" t="n">
        <v>150</v>
      </c>
      <c r="M971" s="31">
        <f>I971+J971+K971+L971</f>
        <v/>
      </c>
      <c r="N971" s="31">
        <f>M971*'Dashboard &amp; Optimisation'!$B$18/('Dashboard &amp; Optimisation'!$B$16/3.6)</f>
        <v/>
      </c>
      <c r="O971" s="31" t="n">
        <v>459.5064212355094</v>
      </c>
      <c r="P971" s="32" t="n">
        <v>0.2861692165887991</v>
      </c>
      <c r="Q971" s="33" t="n">
        <v>8.071983660732418</v>
      </c>
      <c r="R971" s="31" t="n">
        <v>522.6910679223348</v>
      </c>
      <c r="S971" s="31">
        <f>R971*IF(A971=4, 2.0, 3.0)</f>
        <v/>
      </c>
      <c r="T971" s="30">
        <f>'Dashboard &amp; Optimisation'!$B$18*U971</f>
        <v/>
      </c>
      <c r="U971" s="34">
        <f>MIN(1, S971/M971)</f>
        <v/>
      </c>
      <c r="V971" s="34">
        <f>N971/(N971+O971)</f>
        <v/>
      </c>
      <c r="W971" s="34">
        <f>U971*V971</f>
        <v/>
      </c>
      <c r="X971" s="32">
        <f>T971/N971</f>
        <v/>
      </c>
      <c r="Y971" s="35">
        <f>IF(W971=MAXIFS(W$2:W$3601, A$2:A$3601, A971, B$2:B$3601, B971), "OPTIMAL", "")</f>
        <v/>
      </c>
    </row>
    <row r="972" ht="20" customHeight="1">
      <c r="A972" s="21" t="n">
        <v>4</v>
      </c>
      <c r="B972" s="21" t="n">
        <v>35</v>
      </c>
      <c r="C972" s="22" t="n">
        <v>110</v>
      </c>
      <c r="D972" s="22" t="n">
        <v>2</v>
      </c>
      <c r="E972" s="23" t="n">
        <v>4</v>
      </c>
      <c r="F972" s="22" t="n">
        <v>2</v>
      </c>
      <c r="G972" s="23" t="inlineStr">
        <is>
          <t>Non</t>
        </is>
      </c>
      <c r="H972" s="23" t="inlineStr">
        <is>
          <t>ON</t>
        </is>
      </c>
      <c r="I972" s="24" t="n">
        <v>856.3651513317755</v>
      </c>
      <c r="J972" s="24" t="n">
        <v>3449.488235315031</v>
      </c>
      <c r="K972" s="24" t="n">
        <v>2287.037037037037</v>
      </c>
      <c r="L972" s="24" t="n">
        <v>150</v>
      </c>
      <c r="M972" s="24">
        <f>I972+J972+K972+L972</f>
        <v/>
      </c>
      <c r="N972" s="24">
        <f>M972*'Dashboard &amp; Optimisation'!$B$18/('Dashboard &amp; Optimisation'!$B$16/3.6)</f>
        <v/>
      </c>
      <c r="O972" s="24" t="n">
        <v>459.5064212355094</v>
      </c>
      <c r="P972" s="25" t="n">
        <v>0.06472990990317617</v>
      </c>
      <c r="Q972" s="26" t="n">
        <v>8.071983660732418</v>
      </c>
      <c r="R972" s="24" t="n">
        <v>2310.803361985798</v>
      </c>
      <c r="S972" s="24">
        <f>R972*IF(A972=4, 2.0, 3.0)</f>
        <v/>
      </c>
      <c r="T972" s="22">
        <f>'Dashboard &amp; Optimisation'!$B$18*U972</f>
        <v/>
      </c>
      <c r="U972" s="27">
        <f>MIN(1, S972/M972)</f>
        <v/>
      </c>
      <c r="V972" s="27">
        <f>N972/(N972+O972)</f>
        <v/>
      </c>
      <c r="W972" s="27">
        <f>U972*V972</f>
        <v/>
      </c>
      <c r="X972" s="25">
        <f>T972/N972</f>
        <v/>
      </c>
      <c r="Y972" s="28">
        <f>IF(W972=MAXIFS(W$2:W$3601, A$2:A$3601, A972, B$2:B$3601, B972), "OPTIMAL", "")</f>
        <v/>
      </c>
    </row>
    <row r="973" ht="20" customHeight="1">
      <c r="A973" s="29" t="n">
        <v>4</v>
      </c>
      <c r="B973" s="29" t="n">
        <v>35</v>
      </c>
      <c r="C973" s="30" t="n">
        <v>110</v>
      </c>
      <c r="D973" s="30" t="n">
        <v>2</v>
      </c>
      <c r="E973" s="6" t="n">
        <v>4</v>
      </c>
      <c r="F973" s="30" t="n">
        <v>2</v>
      </c>
      <c r="G973" s="6" t="inlineStr">
        <is>
          <t>Non</t>
        </is>
      </c>
      <c r="H973" s="6" t="inlineStr">
        <is>
          <t>OFF</t>
        </is>
      </c>
      <c r="I973" s="31" t="n">
        <v>856.3651513317755</v>
      </c>
      <c r="J973" s="31" t="n">
        <v>3449.488235315031</v>
      </c>
      <c r="K973" s="31" t="n">
        <v>2287.037037037037</v>
      </c>
      <c r="L973" s="31" t="n">
        <v>150</v>
      </c>
      <c r="M973" s="31">
        <f>I973+J973+K973+L973</f>
        <v/>
      </c>
      <c r="N973" s="31">
        <f>M973*'Dashboard &amp; Optimisation'!$B$18/('Dashboard &amp; Optimisation'!$B$16/3.6)</f>
        <v/>
      </c>
      <c r="O973" s="31" t="n">
        <v>459.5064212355094</v>
      </c>
      <c r="P973" s="32" t="n">
        <v>0.2832754903507647</v>
      </c>
      <c r="Q973" s="33" t="n">
        <v>8.071983660732418</v>
      </c>
      <c r="R973" s="31" t="n">
        <v>528.0304809995489</v>
      </c>
      <c r="S973" s="31">
        <f>R973*IF(A973=4, 2.0, 3.0)</f>
        <v/>
      </c>
      <c r="T973" s="30">
        <f>'Dashboard &amp; Optimisation'!$B$18*U973</f>
        <v/>
      </c>
      <c r="U973" s="34">
        <f>MIN(1, S973/M973)</f>
        <v/>
      </c>
      <c r="V973" s="34">
        <f>N973/(N973+O973)</f>
        <v/>
      </c>
      <c r="W973" s="34">
        <f>U973*V973</f>
        <v/>
      </c>
      <c r="X973" s="32">
        <f>T973/N973</f>
        <v/>
      </c>
      <c r="Y973" s="35">
        <f>IF(W973=MAXIFS(W$2:W$3601, A$2:A$3601, A973, B$2:B$3601, B973), "OPTIMAL", "")</f>
        <v/>
      </c>
    </row>
    <row r="974" ht="20" customHeight="1">
      <c r="A974" s="21" t="n">
        <v>4</v>
      </c>
      <c r="B974" s="21" t="n">
        <v>35</v>
      </c>
      <c r="C974" s="22" t="n">
        <v>110</v>
      </c>
      <c r="D974" s="22" t="n">
        <v>2</v>
      </c>
      <c r="E974" s="23" t="n">
        <v>8</v>
      </c>
      <c r="F974" s="22" t="n">
        <v>1.5</v>
      </c>
      <c r="G974" s="23" t="inlineStr">
        <is>
          <t>Oui</t>
        </is>
      </c>
      <c r="H974" s="23" t="inlineStr">
        <is>
          <t>ON</t>
        </is>
      </c>
      <c r="I974" s="24" t="n">
        <v>856.3651513317755</v>
      </c>
      <c r="J974" s="24" t="n">
        <v>3449.488235315031</v>
      </c>
      <c r="K974" s="24" t="n">
        <v>2287.037037037037</v>
      </c>
      <c r="L974" s="24" t="n">
        <v>150</v>
      </c>
      <c r="M974" s="24">
        <f>I974+J974+K974+L974</f>
        <v/>
      </c>
      <c r="N974" s="24">
        <f>M974*'Dashboard &amp; Optimisation'!$B$18/('Dashboard &amp; Optimisation'!$B$16/3.6)</f>
        <v/>
      </c>
      <c r="O974" s="24" t="n">
        <v>563.4954319825995</v>
      </c>
      <c r="P974" s="25" t="n">
        <v>0.05348631453507773</v>
      </c>
      <c r="Q974" s="26" t="n">
        <v>12.00797549109863</v>
      </c>
      <c r="R974" s="24" t="n">
        <v>2853.602413415164</v>
      </c>
      <c r="S974" s="24">
        <f>R974*IF(A974=4, 2.0, 3.0)</f>
        <v/>
      </c>
      <c r="T974" s="22">
        <f>'Dashboard &amp; Optimisation'!$B$18*U974</f>
        <v/>
      </c>
      <c r="U974" s="27">
        <f>MIN(1, S974/M974)</f>
        <v/>
      </c>
      <c r="V974" s="27">
        <f>N974/(N974+O974)</f>
        <v/>
      </c>
      <c r="W974" s="27">
        <f>U974*V974</f>
        <v/>
      </c>
      <c r="X974" s="25">
        <f>T974/N974</f>
        <v/>
      </c>
      <c r="Y974" s="28">
        <f>IF(W974=MAXIFS(W$2:W$3601, A$2:A$3601, A974, B$2:B$3601, B974), "OPTIMAL", "")</f>
        <v/>
      </c>
    </row>
    <row r="975" ht="20" customHeight="1">
      <c r="A975" s="29" t="n">
        <v>4</v>
      </c>
      <c r="B975" s="29" t="n">
        <v>35</v>
      </c>
      <c r="C975" s="30" t="n">
        <v>110</v>
      </c>
      <c r="D975" s="30" t="n">
        <v>2</v>
      </c>
      <c r="E975" s="6" t="n">
        <v>8</v>
      </c>
      <c r="F975" s="30" t="n">
        <v>1.5</v>
      </c>
      <c r="G975" s="6" t="inlineStr">
        <is>
          <t>Oui</t>
        </is>
      </c>
      <c r="H975" s="6" t="inlineStr">
        <is>
          <t>OFF</t>
        </is>
      </c>
      <c r="I975" s="31" t="n">
        <v>856.3651513317755</v>
      </c>
      <c r="J975" s="31" t="n">
        <v>3449.488235315031</v>
      </c>
      <c r="K975" s="31" t="n">
        <v>2287.037037037037</v>
      </c>
      <c r="L975" s="31" t="n">
        <v>150</v>
      </c>
      <c r="M975" s="31">
        <f>I975+J975+K975+L975</f>
        <v/>
      </c>
      <c r="N975" s="31">
        <f>M975*'Dashboard &amp; Optimisation'!$B$18/('Dashboard &amp; Optimisation'!$B$16/3.6)</f>
        <v/>
      </c>
      <c r="O975" s="31" t="n">
        <v>563.4954319825995</v>
      </c>
      <c r="P975" s="32" t="n">
        <v>0.2278356335097701</v>
      </c>
      <c r="Q975" s="33" t="n">
        <v>12.00797549109863</v>
      </c>
      <c r="R975" s="31" t="n">
        <v>669.9069583223703</v>
      </c>
      <c r="S975" s="31">
        <f>R975*IF(A975=4, 2.0, 3.0)</f>
        <v/>
      </c>
      <c r="T975" s="30">
        <f>'Dashboard &amp; Optimisation'!$B$18*U975</f>
        <v/>
      </c>
      <c r="U975" s="34">
        <f>MIN(1, S975/M975)</f>
        <v/>
      </c>
      <c r="V975" s="34">
        <f>N975/(N975+O975)</f>
        <v/>
      </c>
      <c r="W975" s="34">
        <f>U975*V975</f>
        <v/>
      </c>
      <c r="X975" s="32">
        <f>T975/N975</f>
        <v/>
      </c>
      <c r="Y975" s="35">
        <f>IF(W975=MAXIFS(W$2:W$3601, A$2:A$3601, A975, B$2:B$3601, B975), "OPTIMAL", "")</f>
        <v/>
      </c>
    </row>
    <row r="976" ht="20" customHeight="1">
      <c r="A976" s="21" t="n">
        <v>4</v>
      </c>
      <c r="B976" s="21" t="n">
        <v>35</v>
      </c>
      <c r="C976" s="22" t="n">
        <v>110</v>
      </c>
      <c r="D976" s="22" t="n">
        <v>2</v>
      </c>
      <c r="E976" s="23" t="n">
        <v>8</v>
      </c>
      <c r="F976" s="22" t="n">
        <v>1.5</v>
      </c>
      <c r="G976" s="23" t="inlineStr">
        <is>
          <t>Non</t>
        </is>
      </c>
      <c r="H976" s="23" t="inlineStr">
        <is>
          <t>ON</t>
        </is>
      </c>
      <c r="I976" s="24" t="n">
        <v>856.3651513317755</v>
      </c>
      <c r="J976" s="24" t="n">
        <v>3449.488235315031</v>
      </c>
      <c r="K976" s="24" t="n">
        <v>2287.037037037037</v>
      </c>
      <c r="L976" s="24" t="n">
        <v>150</v>
      </c>
      <c r="M976" s="24">
        <f>I976+J976+K976+L976</f>
        <v/>
      </c>
      <c r="N976" s="24">
        <f>M976*'Dashboard &amp; Optimisation'!$B$18/('Dashboard &amp; Optimisation'!$B$16/3.6)</f>
        <v/>
      </c>
      <c r="O976" s="24" t="n">
        <v>563.4954319825995</v>
      </c>
      <c r="P976" s="25" t="n">
        <v>0.05059258829704327</v>
      </c>
      <c r="Q976" s="26" t="n">
        <v>12.00797549109863</v>
      </c>
      <c r="R976" s="24" t="n">
        <v>3016.81889342871</v>
      </c>
      <c r="S976" s="24">
        <f>R976*IF(A976=4, 2.0, 3.0)</f>
        <v/>
      </c>
      <c r="T976" s="22">
        <f>'Dashboard &amp; Optimisation'!$B$18*U976</f>
        <v/>
      </c>
      <c r="U976" s="27">
        <f>MIN(1, S976/M976)</f>
        <v/>
      </c>
      <c r="V976" s="27">
        <f>N976/(N976+O976)</f>
        <v/>
      </c>
      <c r="W976" s="27">
        <f>U976*V976</f>
        <v/>
      </c>
      <c r="X976" s="25">
        <f>T976/N976</f>
        <v/>
      </c>
      <c r="Y976" s="28">
        <f>IF(W976=MAXIFS(W$2:W$3601, A$2:A$3601, A976, B$2:B$3601, B976), "OPTIMAL", "")</f>
        <v/>
      </c>
    </row>
    <row r="977" ht="20" customHeight="1">
      <c r="A977" s="29" t="n">
        <v>4</v>
      </c>
      <c r="B977" s="29" t="n">
        <v>35</v>
      </c>
      <c r="C977" s="30" t="n">
        <v>110</v>
      </c>
      <c r="D977" s="30" t="n">
        <v>2</v>
      </c>
      <c r="E977" s="6" t="n">
        <v>8</v>
      </c>
      <c r="F977" s="30" t="n">
        <v>1.5</v>
      </c>
      <c r="G977" s="6" t="inlineStr">
        <is>
          <t>Non</t>
        </is>
      </c>
      <c r="H977" s="6" t="inlineStr">
        <is>
          <t>OFF</t>
        </is>
      </c>
      <c r="I977" s="31" t="n">
        <v>856.3651513317755</v>
      </c>
      <c r="J977" s="31" t="n">
        <v>3449.488235315031</v>
      </c>
      <c r="K977" s="31" t="n">
        <v>2287.037037037037</v>
      </c>
      <c r="L977" s="31" t="n">
        <v>150</v>
      </c>
      <c r="M977" s="31">
        <f>I977+J977+K977+L977</f>
        <v/>
      </c>
      <c r="N977" s="31">
        <f>M977*'Dashboard &amp; Optimisation'!$B$18/('Dashboard &amp; Optimisation'!$B$16/3.6)</f>
        <v/>
      </c>
      <c r="O977" s="31" t="n">
        <v>563.4954319825995</v>
      </c>
      <c r="P977" s="32" t="n">
        <v>0.2249419072717356</v>
      </c>
      <c r="Q977" s="33" t="n">
        <v>12.00797549109863</v>
      </c>
      <c r="R977" s="31" t="n">
        <v>678.5248604547529</v>
      </c>
      <c r="S977" s="31">
        <f>R977*IF(A977=4, 2.0, 3.0)</f>
        <v/>
      </c>
      <c r="T977" s="30">
        <f>'Dashboard &amp; Optimisation'!$B$18*U977</f>
        <v/>
      </c>
      <c r="U977" s="34">
        <f>MIN(1, S977/M977)</f>
        <v/>
      </c>
      <c r="V977" s="34">
        <f>N977/(N977+O977)</f>
        <v/>
      </c>
      <c r="W977" s="34">
        <f>U977*V977</f>
        <v/>
      </c>
      <c r="X977" s="32">
        <f>T977/N977</f>
        <v/>
      </c>
      <c r="Y977" s="35">
        <f>IF(W977=MAXIFS(W$2:W$3601, A$2:A$3601, A977, B$2:B$3601, B977), "OPTIMAL", "")</f>
        <v/>
      </c>
    </row>
    <row r="978" ht="20" customHeight="1">
      <c r="A978" s="21" t="n">
        <v>4</v>
      </c>
      <c r="B978" s="21" t="n">
        <v>35</v>
      </c>
      <c r="C978" s="22" t="n">
        <v>110</v>
      </c>
      <c r="D978" s="22" t="n">
        <v>2</v>
      </c>
      <c r="E978" s="23" t="n">
        <v>8</v>
      </c>
      <c r="F978" s="22" t="n">
        <v>2</v>
      </c>
      <c r="G978" s="23" t="inlineStr">
        <is>
          <t>Oui</t>
        </is>
      </c>
      <c r="H978" s="23" t="inlineStr">
        <is>
          <t>ON</t>
        </is>
      </c>
      <c r="I978" s="24" t="n">
        <v>856.3651513317755</v>
      </c>
      <c r="J978" s="24" t="n">
        <v>3449.488235315031</v>
      </c>
      <c r="K978" s="24" t="n">
        <v>2287.037037037037</v>
      </c>
      <c r="L978" s="24" t="n">
        <v>150</v>
      </c>
      <c r="M978" s="24">
        <f>I978+J978+K978+L978</f>
        <v/>
      </c>
      <c r="N978" s="24">
        <f>M978*'Dashboard &amp; Optimisation'!$B$18/('Dashboard &amp; Optimisation'!$B$16/3.6)</f>
        <v/>
      </c>
      <c r="O978" s="24" t="n">
        <v>671.8143748767837</v>
      </c>
      <c r="P978" s="25" t="n">
        <v>0.05207352280953786</v>
      </c>
      <c r="Q978" s="26" t="n">
        <v>15.94396732146484</v>
      </c>
      <c r="R978" s="24" t="n">
        <v>2992.044169977231</v>
      </c>
      <c r="S978" s="24">
        <f>R978*IF(A978=4, 2.0, 3.0)</f>
        <v/>
      </c>
      <c r="T978" s="22">
        <f>'Dashboard &amp; Optimisation'!$B$18*U978</f>
        <v/>
      </c>
      <c r="U978" s="27">
        <f>MIN(1, S978/M978)</f>
        <v/>
      </c>
      <c r="V978" s="27">
        <f>N978/(N978+O978)</f>
        <v/>
      </c>
      <c r="W978" s="27">
        <f>U978*V978</f>
        <v/>
      </c>
      <c r="X978" s="25">
        <f>T978/N978</f>
        <v/>
      </c>
      <c r="Y978" s="28">
        <f>IF(W978=MAXIFS(W$2:W$3601, A$2:A$3601, A978, B$2:B$3601, B978), "OPTIMAL", "")</f>
        <v/>
      </c>
    </row>
    <row r="979" ht="20" customHeight="1">
      <c r="A979" s="29" t="n">
        <v>4</v>
      </c>
      <c r="B979" s="29" t="n">
        <v>35</v>
      </c>
      <c r="C979" s="30" t="n">
        <v>110</v>
      </c>
      <c r="D979" s="30" t="n">
        <v>2</v>
      </c>
      <c r="E979" s="6" t="n">
        <v>8</v>
      </c>
      <c r="F979" s="30" t="n">
        <v>2</v>
      </c>
      <c r="G979" s="6" t="inlineStr">
        <is>
          <t>Oui</t>
        </is>
      </c>
      <c r="H979" s="6" t="inlineStr">
        <is>
          <t>OFF</t>
        </is>
      </c>
      <c r="I979" s="31" t="n">
        <v>856.3651513317755</v>
      </c>
      <c r="J979" s="31" t="n">
        <v>3449.488235315031</v>
      </c>
      <c r="K979" s="31" t="n">
        <v>2287.037037037037</v>
      </c>
      <c r="L979" s="31" t="n">
        <v>150</v>
      </c>
      <c r="M979" s="31">
        <f>I979+J979+K979+L979</f>
        <v/>
      </c>
      <c r="N979" s="31">
        <f>M979*'Dashboard &amp; Optimisation'!$B$18/('Dashboard &amp; Optimisation'!$B$16/3.6)</f>
        <v/>
      </c>
      <c r="O979" s="31" t="n">
        <v>671.8143748767837</v>
      </c>
      <c r="P979" s="32" t="n">
        <v>0.2276454001773911</v>
      </c>
      <c r="Q979" s="33" t="n">
        <v>15.94396732146484</v>
      </c>
      <c r="R979" s="31" t="n">
        <v>684.4253396336723</v>
      </c>
      <c r="S979" s="31">
        <f>R979*IF(A979=4, 2.0, 3.0)</f>
        <v/>
      </c>
      <c r="T979" s="30">
        <f>'Dashboard &amp; Optimisation'!$B$18*U979</f>
        <v/>
      </c>
      <c r="U979" s="34">
        <f>MIN(1, S979/M979)</f>
        <v/>
      </c>
      <c r="V979" s="34">
        <f>N979/(N979+O979)</f>
        <v/>
      </c>
      <c r="W979" s="34">
        <f>U979*V979</f>
        <v/>
      </c>
      <c r="X979" s="32">
        <f>T979/N979</f>
        <v/>
      </c>
      <c r="Y979" s="35">
        <f>IF(W979=MAXIFS(W$2:W$3601, A$2:A$3601, A979, B$2:B$3601, B979), "OPTIMAL", "")</f>
        <v/>
      </c>
    </row>
    <row r="980" ht="20" customHeight="1">
      <c r="A980" s="21" t="n">
        <v>4</v>
      </c>
      <c r="B980" s="21" t="n">
        <v>35</v>
      </c>
      <c r="C980" s="22" t="n">
        <v>110</v>
      </c>
      <c r="D980" s="22" t="n">
        <v>2</v>
      </c>
      <c r="E980" s="23" t="n">
        <v>8</v>
      </c>
      <c r="F980" s="22" t="n">
        <v>2</v>
      </c>
      <c r="G980" s="23" t="inlineStr">
        <is>
          <t>Non</t>
        </is>
      </c>
      <c r="H980" s="23" t="inlineStr">
        <is>
          <t>ON</t>
        </is>
      </c>
      <c r="I980" s="24" t="n">
        <v>856.3651513317755</v>
      </c>
      <c r="J980" s="24" t="n">
        <v>3449.488235315031</v>
      </c>
      <c r="K980" s="24" t="n">
        <v>2287.037037037037</v>
      </c>
      <c r="L980" s="24" t="n">
        <v>150</v>
      </c>
      <c r="M980" s="24">
        <f>I980+J980+K980+L980</f>
        <v/>
      </c>
      <c r="N980" s="24">
        <f>M980*'Dashboard &amp; Optimisation'!$B$18/('Dashboard &amp; Optimisation'!$B$16/3.6)</f>
        <v/>
      </c>
      <c r="O980" s="24" t="n">
        <v>671.8143748767837</v>
      </c>
      <c r="P980" s="25" t="n">
        <v>0.0491797965715034</v>
      </c>
      <c r="Q980" s="26" t="n">
        <v>15.94396732146484</v>
      </c>
      <c r="R980" s="24" t="n">
        <v>3168.095258505686</v>
      </c>
      <c r="S980" s="24">
        <f>R980*IF(A980=4, 2.0, 3.0)</f>
        <v/>
      </c>
      <c r="T980" s="22">
        <f>'Dashboard &amp; Optimisation'!$B$18*U980</f>
        <v/>
      </c>
      <c r="U980" s="27">
        <f>MIN(1, S980/M980)</f>
        <v/>
      </c>
      <c r="V980" s="27">
        <f>N980/(N980+O980)</f>
        <v/>
      </c>
      <c r="W980" s="27">
        <f>U980*V980</f>
        <v/>
      </c>
      <c r="X980" s="25">
        <f>T980/N980</f>
        <v/>
      </c>
      <c r="Y980" s="28">
        <f>IF(W980=MAXIFS(W$2:W$3601, A$2:A$3601, A980, B$2:B$3601, B980), "OPTIMAL", "")</f>
        <v/>
      </c>
    </row>
    <row r="981" ht="20" customHeight="1">
      <c r="A981" s="29" t="n">
        <v>4</v>
      </c>
      <c r="B981" s="29" t="n">
        <v>35</v>
      </c>
      <c r="C981" s="30" t="n">
        <v>110</v>
      </c>
      <c r="D981" s="30" t="n">
        <v>2</v>
      </c>
      <c r="E981" s="6" t="n">
        <v>8</v>
      </c>
      <c r="F981" s="30" t="n">
        <v>2</v>
      </c>
      <c r="G981" s="6" t="inlineStr">
        <is>
          <t>Non</t>
        </is>
      </c>
      <c r="H981" s="6" t="inlineStr">
        <is>
          <t>OFF</t>
        </is>
      </c>
      <c r="I981" s="31" t="n">
        <v>856.3651513317755</v>
      </c>
      <c r="J981" s="31" t="n">
        <v>3449.488235315031</v>
      </c>
      <c r="K981" s="31" t="n">
        <v>2287.037037037037</v>
      </c>
      <c r="L981" s="31" t="n">
        <v>150</v>
      </c>
      <c r="M981" s="31">
        <f>I981+J981+K981+L981</f>
        <v/>
      </c>
      <c r="N981" s="31">
        <f>M981*'Dashboard &amp; Optimisation'!$B$18/('Dashboard &amp; Optimisation'!$B$16/3.6)</f>
        <v/>
      </c>
      <c r="O981" s="31" t="n">
        <v>671.8143748767837</v>
      </c>
      <c r="P981" s="32" t="n">
        <v>0.2247516739393566</v>
      </c>
      <c r="Q981" s="33" t="n">
        <v>15.94396732146484</v>
      </c>
      <c r="R981" s="31" t="n">
        <v>693.2374633814492</v>
      </c>
      <c r="S981" s="31">
        <f>R981*IF(A981=4, 2.0, 3.0)</f>
        <v/>
      </c>
      <c r="T981" s="30">
        <f>'Dashboard &amp; Optimisation'!$B$18*U981</f>
        <v/>
      </c>
      <c r="U981" s="34">
        <f>MIN(1, S981/M981)</f>
        <v/>
      </c>
      <c r="V981" s="34">
        <f>N981/(N981+O981)</f>
        <v/>
      </c>
      <c r="W981" s="34">
        <f>U981*V981</f>
        <v/>
      </c>
      <c r="X981" s="32">
        <f>T981/N981</f>
        <v/>
      </c>
      <c r="Y981" s="35">
        <f>IF(W981=MAXIFS(W$2:W$3601, A$2:A$3601, A981, B$2:B$3601, B981), "OPTIMAL", "")</f>
        <v/>
      </c>
    </row>
    <row r="982" ht="20" customHeight="1">
      <c r="A982" s="21" t="n">
        <v>4</v>
      </c>
      <c r="B982" s="21" t="n">
        <v>35</v>
      </c>
      <c r="C982" s="22" t="n">
        <v>110</v>
      </c>
      <c r="D982" s="22" t="n">
        <v>3</v>
      </c>
      <c r="E982" s="23" t="n">
        <v>0</v>
      </c>
      <c r="F982" s="22" t="n">
        <v>0</v>
      </c>
      <c r="G982" s="23" t="inlineStr">
        <is>
          <t>Oui</t>
        </is>
      </c>
      <c r="H982" s="23" t="inlineStr">
        <is>
          <t>ON</t>
        </is>
      </c>
      <c r="I982" s="24" t="n">
        <v>856.3651513317755</v>
      </c>
      <c r="J982" s="24" t="n">
        <v>3449.488235315031</v>
      </c>
      <c r="K982" s="24" t="n">
        <v>2287.037037037037</v>
      </c>
      <c r="L982" s="24" t="n">
        <v>150</v>
      </c>
      <c r="M982" s="24">
        <f>I982+J982+K982+L982</f>
        <v/>
      </c>
      <c r="N982" s="24">
        <f>M982*'Dashboard &amp; Optimisation'!$B$18/('Dashboard &amp; Optimisation'!$B$16/3.6)</f>
        <v/>
      </c>
      <c r="O982" s="24" t="n">
        <v>406.8265318626377</v>
      </c>
      <c r="P982" s="25" t="n">
        <v>0.4731677858497217</v>
      </c>
      <c r="Q982" s="26" t="n">
        <v>0.2</v>
      </c>
      <c r="R982" s="24" t="n">
        <v>315.7733174659836</v>
      </c>
      <c r="S982" s="24">
        <f>R982*IF(A982=4, 2.0, 3.0)</f>
        <v/>
      </c>
      <c r="T982" s="22">
        <f>'Dashboard &amp; Optimisation'!$B$18*U982</f>
        <v/>
      </c>
      <c r="U982" s="27">
        <f>MIN(1, S982/M982)</f>
        <v/>
      </c>
      <c r="V982" s="27">
        <f>N982/(N982+O982)</f>
        <v/>
      </c>
      <c r="W982" s="27">
        <f>U982*V982</f>
        <v/>
      </c>
      <c r="X982" s="25">
        <f>T982/N982</f>
        <v/>
      </c>
      <c r="Y982" s="28">
        <f>IF(W982=MAXIFS(W$2:W$3601, A$2:A$3601, A982, B$2:B$3601, B982), "OPTIMAL", "")</f>
        <v/>
      </c>
    </row>
    <row r="983" ht="20" customHeight="1">
      <c r="A983" s="29" t="n">
        <v>4</v>
      </c>
      <c r="B983" s="29" t="n">
        <v>35</v>
      </c>
      <c r="C983" s="30" t="n">
        <v>110</v>
      </c>
      <c r="D983" s="30" t="n">
        <v>3</v>
      </c>
      <c r="E983" s="6" t="n">
        <v>0</v>
      </c>
      <c r="F983" s="30" t="n">
        <v>0</v>
      </c>
      <c r="G983" s="6" t="inlineStr">
        <is>
          <t>Oui</t>
        </is>
      </c>
      <c r="H983" s="6" t="inlineStr">
        <is>
          <t>OFF</t>
        </is>
      </c>
      <c r="I983" s="31" t="n">
        <v>856.3651513317755</v>
      </c>
      <c r="J983" s="31" t="n">
        <v>3449.488235315031</v>
      </c>
      <c r="K983" s="31" t="n">
        <v>2287.037037037037</v>
      </c>
      <c r="L983" s="31" t="n">
        <v>150</v>
      </c>
      <c r="M983" s="31">
        <f>I983+J983+K983+L983</f>
        <v/>
      </c>
      <c r="N983" s="31">
        <f>M983*'Dashboard &amp; Optimisation'!$B$18/('Dashboard &amp; Optimisation'!$B$16/3.6)</f>
        <v/>
      </c>
      <c r="O983" s="31" t="n">
        <v>406.8265318626377</v>
      </c>
      <c r="P983" s="32" t="n">
        <v>0.7625404096531678</v>
      </c>
      <c r="Q983" s="33" t="n">
        <v>0.2</v>
      </c>
      <c r="R983" s="31" t="n">
        <v>195.9420898411924</v>
      </c>
      <c r="S983" s="31">
        <f>R983*IF(A983=4, 2.0, 3.0)</f>
        <v/>
      </c>
      <c r="T983" s="30">
        <f>'Dashboard &amp; Optimisation'!$B$18*U983</f>
        <v/>
      </c>
      <c r="U983" s="34">
        <f>MIN(1, S983/M983)</f>
        <v/>
      </c>
      <c r="V983" s="34">
        <f>N983/(N983+O983)</f>
        <v/>
      </c>
      <c r="W983" s="34">
        <f>U983*V983</f>
        <v/>
      </c>
      <c r="X983" s="32">
        <f>T983/N983</f>
        <v/>
      </c>
      <c r="Y983" s="35">
        <f>IF(W983=MAXIFS(W$2:W$3601, A$2:A$3601, A983, B$2:B$3601, B983), "OPTIMAL", "")</f>
        <v/>
      </c>
    </row>
    <row r="984" ht="20" customHeight="1">
      <c r="A984" s="21" t="n">
        <v>4</v>
      </c>
      <c r="B984" s="21" t="n">
        <v>35</v>
      </c>
      <c r="C984" s="22" t="n">
        <v>110</v>
      </c>
      <c r="D984" s="22" t="n">
        <v>3</v>
      </c>
      <c r="E984" s="23" t="n">
        <v>0</v>
      </c>
      <c r="F984" s="22" t="n">
        <v>0</v>
      </c>
      <c r="G984" s="23" t="inlineStr">
        <is>
          <t>Non</t>
        </is>
      </c>
      <c r="H984" s="23" t="inlineStr">
        <is>
          <t>ON</t>
        </is>
      </c>
      <c r="I984" s="24" t="n">
        <v>856.3651513317755</v>
      </c>
      <c r="J984" s="24" t="n">
        <v>3449.488235315031</v>
      </c>
      <c r="K984" s="24" t="n">
        <v>2287.037037037037</v>
      </c>
      <c r="L984" s="24" t="n">
        <v>150</v>
      </c>
      <c r="M984" s="24">
        <f>I984+J984+K984+L984</f>
        <v/>
      </c>
      <c r="N984" s="24">
        <f>M984*'Dashboard &amp; Optimisation'!$B$18/('Dashboard &amp; Optimisation'!$B$16/3.6)</f>
        <v/>
      </c>
      <c r="O984" s="24" t="n">
        <v>406.8265318626377</v>
      </c>
      <c r="P984" s="25" t="n">
        <v>0.4702740596116872</v>
      </c>
      <c r="Q984" s="26" t="n">
        <v>0.2</v>
      </c>
      <c r="R984" s="24" t="n">
        <v>317.7163579449269</v>
      </c>
      <c r="S984" s="24">
        <f>R984*IF(A984=4, 2.0, 3.0)</f>
        <v/>
      </c>
      <c r="T984" s="22">
        <f>'Dashboard &amp; Optimisation'!$B$18*U984</f>
        <v/>
      </c>
      <c r="U984" s="27">
        <f>MIN(1, S984/M984)</f>
        <v/>
      </c>
      <c r="V984" s="27">
        <f>N984/(N984+O984)</f>
        <v/>
      </c>
      <c r="W984" s="27">
        <f>U984*V984</f>
        <v/>
      </c>
      <c r="X984" s="25">
        <f>T984/N984</f>
        <v/>
      </c>
      <c r="Y984" s="28">
        <f>IF(W984=MAXIFS(W$2:W$3601, A$2:A$3601, A984, B$2:B$3601, B984), "OPTIMAL", "")</f>
        <v/>
      </c>
    </row>
    <row r="985" ht="20" customHeight="1">
      <c r="A985" s="29" t="n">
        <v>4</v>
      </c>
      <c r="B985" s="29" t="n">
        <v>35</v>
      </c>
      <c r="C985" s="30" t="n">
        <v>110</v>
      </c>
      <c r="D985" s="30" t="n">
        <v>3</v>
      </c>
      <c r="E985" s="6" t="n">
        <v>0</v>
      </c>
      <c r="F985" s="30" t="n">
        <v>0</v>
      </c>
      <c r="G985" s="6" t="inlineStr">
        <is>
          <t>Non</t>
        </is>
      </c>
      <c r="H985" s="6" t="inlineStr">
        <is>
          <t>OFF</t>
        </is>
      </c>
      <c r="I985" s="31" t="n">
        <v>856.3651513317755</v>
      </c>
      <c r="J985" s="31" t="n">
        <v>3449.488235315031</v>
      </c>
      <c r="K985" s="31" t="n">
        <v>2287.037037037037</v>
      </c>
      <c r="L985" s="31" t="n">
        <v>150</v>
      </c>
      <c r="M985" s="31">
        <f>I985+J985+K985+L985</f>
        <v/>
      </c>
      <c r="N985" s="31">
        <f>M985*'Dashboard &amp; Optimisation'!$B$18/('Dashboard &amp; Optimisation'!$B$16/3.6)</f>
        <v/>
      </c>
      <c r="O985" s="31" t="n">
        <v>406.8265318626377</v>
      </c>
      <c r="P985" s="32" t="n">
        <v>0.7596466834151334</v>
      </c>
      <c r="Q985" s="33" t="n">
        <v>0.2</v>
      </c>
      <c r="R985" s="31" t="n">
        <v>196.688493108511</v>
      </c>
      <c r="S985" s="31">
        <f>R985*IF(A985=4, 2.0, 3.0)</f>
        <v/>
      </c>
      <c r="T985" s="30">
        <f>'Dashboard &amp; Optimisation'!$B$18*U985</f>
        <v/>
      </c>
      <c r="U985" s="34">
        <f>MIN(1, S985/M985)</f>
        <v/>
      </c>
      <c r="V985" s="34">
        <f>N985/(N985+O985)</f>
        <v/>
      </c>
      <c r="W985" s="34">
        <f>U985*V985</f>
        <v/>
      </c>
      <c r="X985" s="32">
        <f>T985/N985</f>
        <v/>
      </c>
      <c r="Y985" s="35">
        <f>IF(W985=MAXIFS(W$2:W$3601, A$2:A$3601, A985, B$2:B$3601, B985), "OPTIMAL", "")</f>
        <v/>
      </c>
    </row>
    <row r="986" ht="20" customHeight="1">
      <c r="A986" s="21" t="n">
        <v>4</v>
      </c>
      <c r="B986" s="21" t="n">
        <v>35</v>
      </c>
      <c r="C986" s="22" t="n">
        <v>110</v>
      </c>
      <c r="D986" s="22" t="n">
        <v>3</v>
      </c>
      <c r="E986" s="23" t="n">
        <v>4</v>
      </c>
      <c r="F986" s="22" t="n">
        <v>1.5</v>
      </c>
      <c r="G986" s="23" t="inlineStr">
        <is>
          <t>Oui</t>
        </is>
      </c>
      <c r="H986" s="23" t="inlineStr">
        <is>
          <t>ON</t>
        </is>
      </c>
      <c r="I986" s="24" t="n">
        <v>856.3651513317755</v>
      </c>
      <c r="J986" s="24" t="n">
        <v>3449.488235315031</v>
      </c>
      <c r="K986" s="24" t="n">
        <v>2287.037037037037</v>
      </c>
      <c r="L986" s="24" t="n">
        <v>150</v>
      </c>
      <c r="M986" s="24">
        <f>I986+J986+K986+L986</f>
        <v/>
      </c>
      <c r="N986" s="24">
        <f>M986*'Dashboard &amp; Optimisation'!$B$18/('Dashboard &amp; Optimisation'!$B$16/3.6)</f>
        <v/>
      </c>
      <c r="O986" s="24" t="n">
        <v>560.2896821668899</v>
      </c>
      <c r="P986" s="25" t="n">
        <v>0.07040639651024357</v>
      </c>
      <c r="Q986" s="26" t="n">
        <v>6.217525971425261</v>
      </c>
      <c r="R986" s="24" t="n">
        <v>2186.403645588162</v>
      </c>
      <c r="S986" s="24">
        <f>R986*IF(A986=4, 2.0, 3.0)</f>
        <v/>
      </c>
      <c r="T986" s="22">
        <f>'Dashboard &amp; Optimisation'!$B$18*U986</f>
        <v/>
      </c>
      <c r="U986" s="27">
        <f>MIN(1, S986/M986)</f>
        <v/>
      </c>
      <c r="V986" s="27">
        <f>N986/(N986+O986)</f>
        <v/>
      </c>
      <c r="W986" s="27">
        <f>U986*V986</f>
        <v/>
      </c>
      <c r="X986" s="25">
        <f>T986/N986</f>
        <v/>
      </c>
      <c r="Y986" s="28">
        <f>IF(W986=MAXIFS(W$2:W$3601, A$2:A$3601, A986, B$2:B$3601, B986), "OPTIMAL", "")</f>
        <v/>
      </c>
    </row>
    <row r="987" ht="20" customHeight="1">
      <c r="A987" s="29" t="n">
        <v>4</v>
      </c>
      <c r="B987" s="29" t="n">
        <v>35</v>
      </c>
      <c r="C987" s="30" t="n">
        <v>110</v>
      </c>
      <c r="D987" s="30" t="n">
        <v>3</v>
      </c>
      <c r="E987" s="6" t="n">
        <v>4</v>
      </c>
      <c r="F987" s="30" t="n">
        <v>1.5</v>
      </c>
      <c r="G987" s="6" t="inlineStr">
        <is>
          <t>Oui</t>
        </is>
      </c>
      <c r="H987" s="6" t="inlineStr">
        <is>
          <t>OFF</t>
        </is>
      </c>
      <c r="I987" s="31" t="n">
        <v>856.3651513317755</v>
      </c>
      <c r="J987" s="31" t="n">
        <v>3449.488235315031</v>
      </c>
      <c r="K987" s="31" t="n">
        <v>2287.037037037037</v>
      </c>
      <c r="L987" s="31" t="n">
        <v>150</v>
      </c>
      <c r="M987" s="31">
        <f>I987+J987+K987+L987</f>
        <v/>
      </c>
      <c r="N987" s="31">
        <f>M987*'Dashboard &amp; Optimisation'!$B$18/('Dashboard &amp; Optimisation'!$B$16/3.6)</f>
        <v/>
      </c>
      <c r="O987" s="31" t="n">
        <v>560.2896821668899</v>
      </c>
      <c r="P987" s="32" t="n">
        <v>0.2880026189593694</v>
      </c>
      <c r="Q987" s="33" t="n">
        <v>6.217525971425261</v>
      </c>
      <c r="R987" s="31" t="n">
        <v>534.4979242165821</v>
      </c>
      <c r="S987" s="31">
        <f>R987*IF(A987=4, 2.0, 3.0)</f>
        <v/>
      </c>
      <c r="T987" s="30">
        <f>'Dashboard &amp; Optimisation'!$B$18*U987</f>
        <v/>
      </c>
      <c r="U987" s="34">
        <f>MIN(1, S987/M987)</f>
        <v/>
      </c>
      <c r="V987" s="34">
        <f>N987/(N987+O987)</f>
        <v/>
      </c>
      <c r="W987" s="34">
        <f>U987*V987</f>
        <v/>
      </c>
      <c r="X987" s="32">
        <f>T987/N987</f>
        <v/>
      </c>
      <c r="Y987" s="35">
        <f>IF(W987=MAXIFS(W$2:W$3601, A$2:A$3601, A987, B$2:B$3601, B987), "OPTIMAL", "")</f>
        <v/>
      </c>
    </row>
    <row r="988" ht="20" customHeight="1">
      <c r="A988" s="21" t="n">
        <v>4</v>
      </c>
      <c r="B988" s="21" t="n">
        <v>35</v>
      </c>
      <c r="C988" s="22" t="n">
        <v>110</v>
      </c>
      <c r="D988" s="22" t="n">
        <v>3</v>
      </c>
      <c r="E988" s="23" t="n">
        <v>4</v>
      </c>
      <c r="F988" s="22" t="n">
        <v>1.5</v>
      </c>
      <c r="G988" s="23" t="inlineStr">
        <is>
          <t>Non</t>
        </is>
      </c>
      <c r="H988" s="23" t="inlineStr">
        <is>
          <t>ON</t>
        </is>
      </c>
      <c r="I988" s="24" t="n">
        <v>856.3651513317755</v>
      </c>
      <c r="J988" s="24" t="n">
        <v>3449.488235315031</v>
      </c>
      <c r="K988" s="24" t="n">
        <v>2287.037037037037</v>
      </c>
      <c r="L988" s="24" t="n">
        <v>150</v>
      </c>
      <c r="M988" s="24">
        <f>I988+J988+K988+L988</f>
        <v/>
      </c>
      <c r="N988" s="24">
        <f>M988*'Dashboard &amp; Optimisation'!$B$18/('Dashboard &amp; Optimisation'!$B$16/3.6)</f>
        <v/>
      </c>
      <c r="O988" s="24" t="n">
        <v>560.2896821668899</v>
      </c>
      <c r="P988" s="25" t="n">
        <v>0.06751267027220911</v>
      </c>
      <c r="Q988" s="26" t="n">
        <v>6.217525971425261</v>
      </c>
      <c r="R988" s="24" t="n">
        <v>2280.117219213127</v>
      </c>
      <c r="S988" s="24">
        <f>R988*IF(A988=4, 2.0, 3.0)</f>
        <v/>
      </c>
      <c r="T988" s="22">
        <f>'Dashboard &amp; Optimisation'!$B$18*U988</f>
        <v/>
      </c>
      <c r="U988" s="27">
        <f>MIN(1, S988/M988)</f>
        <v/>
      </c>
      <c r="V988" s="27">
        <f>N988/(N988+O988)</f>
        <v/>
      </c>
      <c r="W988" s="27">
        <f>U988*V988</f>
        <v/>
      </c>
      <c r="X988" s="25">
        <f>T988/N988</f>
        <v/>
      </c>
      <c r="Y988" s="28">
        <f>IF(W988=MAXIFS(W$2:W$3601, A$2:A$3601, A988, B$2:B$3601, B988), "OPTIMAL", "")</f>
        <v/>
      </c>
    </row>
    <row r="989" ht="20" customHeight="1">
      <c r="A989" s="29" t="n">
        <v>4</v>
      </c>
      <c r="B989" s="29" t="n">
        <v>35</v>
      </c>
      <c r="C989" s="30" t="n">
        <v>110</v>
      </c>
      <c r="D989" s="30" t="n">
        <v>3</v>
      </c>
      <c r="E989" s="6" t="n">
        <v>4</v>
      </c>
      <c r="F989" s="30" t="n">
        <v>1.5</v>
      </c>
      <c r="G989" s="6" t="inlineStr">
        <is>
          <t>Non</t>
        </is>
      </c>
      <c r="H989" s="6" t="inlineStr">
        <is>
          <t>OFF</t>
        </is>
      </c>
      <c r="I989" s="31" t="n">
        <v>856.3651513317755</v>
      </c>
      <c r="J989" s="31" t="n">
        <v>3449.488235315031</v>
      </c>
      <c r="K989" s="31" t="n">
        <v>2287.037037037037</v>
      </c>
      <c r="L989" s="31" t="n">
        <v>150</v>
      </c>
      <c r="M989" s="31">
        <f>I989+J989+K989+L989</f>
        <v/>
      </c>
      <c r="N989" s="31">
        <f>M989*'Dashboard &amp; Optimisation'!$B$18/('Dashboard &amp; Optimisation'!$B$16/3.6)</f>
        <v/>
      </c>
      <c r="O989" s="31" t="n">
        <v>560.2896821668899</v>
      </c>
      <c r="P989" s="32" t="n">
        <v>0.2851088927213349</v>
      </c>
      <c r="Q989" s="33" t="n">
        <v>6.217525971425261</v>
      </c>
      <c r="R989" s="31" t="n">
        <v>539.9228362658608</v>
      </c>
      <c r="S989" s="31">
        <f>R989*IF(A989=4, 2.0, 3.0)</f>
        <v/>
      </c>
      <c r="T989" s="30">
        <f>'Dashboard &amp; Optimisation'!$B$18*U989</f>
        <v/>
      </c>
      <c r="U989" s="34">
        <f>MIN(1, S989/M989)</f>
        <v/>
      </c>
      <c r="V989" s="34">
        <f>N989/(N989+O989)</f>
        <v/>
      </c>
      <c r="W989" s="34">
        <f>U989*V989</f>
        <v/>
      </c>
      <c r="X989" s="32">
        <f>T989/N989</f>
        <v/>
      </c>
      <c r="Y989" s="35">
        <f>IF(W989=MAXIFS(W$2:W$3601, A$2:A$3601, A989, B$2:B$3601, B989), "OPTIMAL", "")</f>
        <v/>
      </c>
    </row>
    <row r="990" ht="20" customHeight="1">
      <c r="A990" s="21" t="n">
        <v>4</v>
      </c>
      <c r="B990" s="21" t="n">
        <v>35</v>
      </c>
      <c r="C990" s="22" t="n">
        <v>110</v>
      </c>
      <c r="D990" s="22" t="n">
        <v>3</v>
      </c>
      <c r="E990" s="23" t="n">
        <v>4</v>
      </c>
      <c r="F990" s="22" t="n">
        <v>2</v>
      </c>
      <c r="G990" s="23" t="inlineStr">
        <is>
          <t>Oui</t>
        </is>
      </c>
      <c r="H990" s="23" t="inlineStr">
        <is>
          <t>ON</t>
        </is>
      </c>
      <c r="I990" s="24" t="n">
        <v>856.3651513317755</v>
      </c>
      <c r="J990" s="24" t="n">
        <v>3449.488235315031</v>
      </c>
      <c r="K990" s="24" t="n">
        <v>2287.037037037037</v>
      </c>
      <c r="L990" s="24" t="n">
        <v>150</v>
      </c>
      <c r="M990" s="24">
        <f>I990+J990+K990+L990</f>
        <v/>
      </c>
      <c r="N990" s="24">
        <f>M990*'Dashboard &amp; Optimisation'!$B$18/('Dashboard &amp; Optimisation'!$B$16/3.6)</f>
        <v/>
      </c>
      <c r="O990" s="24" t="n">
        <v>613.5298337993688</v>
      </c>
      <c r="P990" s="25" t="n">
        <v>0.06745693940259542</v>
      </c>
      <c r="Q990" s="26" t="n">
        <v>8.223367961900347</v>
      </c>
      <c r="R990" s="24" t="n">
        <v>2305.262552604923</v>
      </c>
      <c r="S990" s="24">
        <f>R990*IF(A990=4, 2.0, 3.0)</f>
        <v/>
      </c>
      <c r="T990" s="22">
        <f>'Dashboard &amp; Optimisation'!$B$18*U990</f>
        <v/>
      </c>
      <c r="U990" s="27">
        <f>MIN(1, S990/M990)</f>
        <v/>
      </c>
      <c r="V990" s="27">
        <f>N990/(N990+O990)</f>
        <v/>
      </c>
      <c r="W990" s="27">
        <f>U990*V990</f>
        <v/>
      </c>
      <c r="X990" s="25">
        <f>T990/N990</f>
        <v/>
      </c>
      <c r="Y990" s="28">
        <f>IF(W990=MAXIFS(W$2:W$3601, A$2:A$3601, A990, B$2:B$3601, B990), "OPTIMAL", "")</f>
        <v/>
      </c>
    </row>
    <row r="991" ht="20" customHeight="1">
      <c r="A991" s="29" t="n">
        <v>4</v>
      </c>
      <c r="B991" s="29" t="n">
        <v>35</v>
      </c>
      <c r="C991" s="30" t="n">
        <v>110</v>
      </c>
      <c r="D991" s="30" t="n">
        <v>3</v>
      </c>
      <c r="E991" s="6" t="n">
        <v>4</v>
      </c>
      <c r="F991" s="30" t="n">
        <v>2</v>
      </c>
      <c r="G991" s="6" t="inlineStr">
        <is>
          <t>Oui</t>
        </is>
      </c>
      <c r="H991" s="6" t="inlineStr">
        <is>
          <t>OFF</t>
        </is>
      </c>
      <c r="I991" s="31" t="n">
        <v>856.3651513317755</v>
      </c>
      <c r="J991" s="31" t="n">
        <v>3449.488235315031</v>
      </c>
      <c r="K991" s="31" t="n">
        <v>2287.037037037037</v>
      </c>
      <c r="L991" s="31" t="n">
        <v>150</v>
      </c>
      <c r="M991" s="31">
        <f>I991+J991+K991+L991</f>
        <v/>
      </c>
      <c r="N991" s="31">
        <f>M991*'Dashboard &amp; Optimisation'!$B$18/('Dashboard &amp; Optimisation'!$B$16/3.6)</f>
        <v/>
      </c>
      <c r="O991" s="31" t="n">
        <v>613.5298337993688</v>
      </c>
      <c r="P991" s="32" t="n">
        <v>0.286002519850184</v>
      </c>
      <c r="Q991" s="33" t="n">
        <v>8.223367961900347</v>
      </c>
      <c r="R991" s="31" t="n">
        <v>543.7223294382198</v>
      </c>
      <c r="S991" s="31">
        <f>R991*IF(A991=4, 2.0, 3.0)</f>
        <v/>
      </c>
      <c r="T991" s="30">
        <f>'Dashboard &amp; Optimisation'!$B$18*U991</f>
        <v/>
      </c>
      <c r="U991" s="34">
        <f>MIN(1, S991/M991)</f>
        <v/>
      </c>
      <c r="V991" s="34">
        <f>N991/(N991+O991)</f>
        <v/>
      </c>
      <c r="W991" s="34">
        <f>U991*V991</f>
        <v/>
      </c>
      <c r="X991" s="32">
        <f>T991/N991</f>
        <v/>
      </c>
      <c r="Y991" s="35">
        <f>IF(W991=MAXIFS(W$2:W$3601, A$2:A$3601, A991, B$2:B$3601, B991), "OPTIMAL", "")</f>
        <v/>
      </c>
    </row>
    <row r="992" ht="20" customHeight="1">
      <c r="A992" s="21" t="n">
        <v>4</v>
      </c>
      <c r="B992" s="21" t="n">
        <v>35</v>
      </c>
      <c r="C992" s="22" t="n">
        <v>110</v>
      </c>
      <c r="D992" s="22" t="n">
        <v>3</v>
      </c>
      <c r="E992" s="23" t="n">
        <v>4</v>
      </c>
      <c r="F992" s="22" t="n">
        <v>2</v>
      </c>
      <c r="G992" s="23" t="inlineStr">
        <is>
          <t>Non</t>
        </is>
      </c>
      <c r="H992" s="23" t="inlineStr">
        <is>
          <t>ON</t>
        </is>
      </c>
      <c r="I992" s="24" t="n">
        <v>856.3651513317755</v>
      </c>
      <c r="J992" s="24" t="n">
        <v>3449.488235315031</v>
      </c>
      <c r="K992" s="24" t="n">
        <v>2287.037037037037</v>
      </c>
      <c r="L992" s="24" t="n">
        <v>150</v>
      </c>
      <c r="M992" s="24">
        <f>I992+J992+K992+L992</f>
        <v/>
      </c>
      <c r="N992" s="24">
        <f>M992*'Dashboard &amp; Optimisation'!$B$18/('Dashboard &amp; Optimisation'!$B$16/3.6)</f>
        <v/>
      </c>
      <c r="O992" s="24" t="n">
        <v>613.5298337993688</v>
      </c>
      <c r="P992" s="25" t="n">
        <v>0.06456321316456097</v>
      </c>
      <c r="Q992" s="26" t="n">
        <v>8.223367961900347</v>
      </c>
      <c r="R992" s="24" t="n">
        <v>2408.584528186101</v>
      </c>
      <c r="S992" s="24">
        <f>R992*IF(A992=4, 2.0, 3.0)</f>
        <v/>
      </c>
      <c r="T992" s="22">
        <f>'Dashboard &amp; Optimisation'!$B$18*U992</f>
        <v/>
      </c>
      <c r="U992" s="27">
        <f>MIN(1, S992/M992)</f>
        <v/>
      </c>
      <c r="V992" s="27">
        <f>N992/(N992+O992)</f>
        <v/>
      </c>
      <c r="W992" s="27">
        <f>U992*V992</f>
        <v/>
      </c>
      <c r="X992" s="25">
        <f>T992/N992</f>
        <v/>
      </c>
      <c r="Y992" s="28">
        <f>IF(W992=MAXIFS(W$2:W$3601, A$2:A$3601, A992, B$2:B$3601, B992), "OPTIMAL", "")</f>
        <v/>
      </c>
    </row>
    <row r="993" ht="20" customHeight="1">
      <c r="A993" s="29" t="n">
        <v>4</v>
      </c>
      <c r="B993" s="29" t="n">
        <v>35</v>
      </c>
      <c r="C993" s="30" t="n">
        <v>110</v>
      </c>
      <c r="D993" s="30" t="n">
        <v>3</v>
      </c>
      <c r="E993" s="6" t="n">
        <v>4</v>
      </c>
      <c r="F993" s="30" t="n">
        <v>2</v>
      </c>
      <c r="G993" s="6" t="inlineStr">
        <is>
          <t>Non</t>
        </is>
      </c>
      <c r="H993" s="6" t="inlineStr">
        <is>
          <t>OFF</t>
        </is>
      </c>
      <c r="I993" s="31" t="n">
        <v>856.3651513317755</v>
      </c>
      <c r="J993" s="31" t="n">
        <v>3449.488235315031</v>
      </c>
      <c r="K993" s="31" t="n">
        <v>2287.037037037037</v>
      </c>
      <c r="L993" s="31" t="n">
        <v>150</v>
      </c>
      <c r="M993" s="31">
        <f>I993+J993+K993+L993</f>
        <v/>
      </c>
      <c r="N993" s="31">
        <f>M993*'Dashboard &amp; Optimisation'!$B$18/('Dashboard &amp; Optimisation'!$B$16/3.6)</f>
        <v/>
      </c>
      <c r="O993" s="31" t="n">
        <v>613.5298337993688</v>
      </c>
      <c r="P993" s="32" t="n">
        <v>0.2831087936121495</v>
      </c>
      <c r="Q993" s="33" t="n">
        <v>8.223367961900347</v>
      </c>
      <c r="R993" s="31" t="n">
        <v>549.2798522223976</v>
      </c>
      <c r="S993" s="31">
        <f>R993*IF(A993=4, 2.0, 3.0)</f>
        <v/>
      </c>
      <c r="T993" s="30">
        <f>'Dashboard &amp; Optimisation'!$B$18*U993</f>
        <v/>
      </c>
      <c r="U993" s="34">
        <f>MIN(1, S993/M993)</f>
        <v/>
      </c>
      <c r="V993" s="34">
        <f>N993/(N993+O993)</f>
        <v/>
      </c>
      <c r="W993" s="34">
        <f>U993*V993</f>
        <v/>
      </c>
      <c r="X993" s="32">
        <f>T993/N993</f>
        <v/>
      </c>
      <c r="Y993" s="35">
        <f>IF(W993=MAXIFS(W$2:W$3601, A$2:A$3601, A993, B$2:B$3601, B993), "OPTIMAL", "")</f>
        <v/>
      </c>
    </row>
    <row r="994" ht="20" customHeight="1">
      <c r="A994" s="21" t="n">
        <v>4</v>
      </c>
      <c r="B994" s="21" t="n">
        <v>35</v>
      </c>
      <c r="C994" s="22" t="n">
        <v>110</v>
      </c>
      <c r="D994" s="22" t="n">
        <v>3</v>
      </c>
      <c r="E994" s="23" t="n">
        <v>8</v>
      </c>
      <c r="F994" s="22" t="n">
        <v>1.5</v>
      </c>
      <c r="G994" s="23" t="inlineStr">
        <is>
          <t>Oui</t>
        </is>
      </c>
      <c r="H994" s="23" t="inlineStr">
        <is>
          <t>ON</t>
        </is>
      </c>
      <c r="I994" s="24" t="n">
        <v>856.3651513317755</v>
      </c>
      <c r="J994" s="24" t="n">
        <v>3449.488235315031</v>
      </c>
      <c r="K994" s="24" t="n">
        <v>2287.037037037037</v>
      </c>
      <c r="L994" s="24" t="n">
        <v>150</v>
      </c>
      <c r="M994" s="24">
        <f>I994+J994+K994+L994</f>
        <v/>
      </c>
      <c r="N994" s="24">
        <f>M994*'Dashboard &amp; Optimisation'!$B$18/('Dashboard &amp; Optimisation'!$B$16/3.6)</f>
        <v/>
      </c>
      <c r="O994" s="24" t="n">
        <v>723.3341230731951</v>
      </c>
      <c r="P994" s="25" t="n">
        <v>0.05337810813348487</v>
      </c>
      <c r="Q994" s="26" t="n">
        <v>12.23505194285052</v>
      </c>
      <c r="R994" s="24" t="n">
        <v>2973.920185576123</v>
      </c>
      <c r="S994" s="24">
        <f>R994*IF(A994=4, 2.0, 3.0)</f>
        <v/>
      </c>
      <c r="T994" s="22">
        <f>'Dashboard &amp; Optimisation'!$B$18*U994</f>
        <v/>
      </c>
      <c r="U994" s="27">
        <f>MIN(1, S994/M994)</f>
        <v/>
      </c>
      <c r="V994" s="27">
        <f>N994/(N994+O994)</f>
        <v/>
      </c>
      <c r="W994" s="27">
        <f>U994*V994</f>
        <v/>
      </c>
      <c r="X994" s="25">
        <f>T994/N994</f>
        <v/>
      </c>
      <c r="Y994" s="28">
        <f>IF(W994=MAXIFS(W$2:W$3601, A$2:A$3601, A994, B$2:B$3601, B994), "OPTIMAL", "")</f>
        <v/>
      </c>
    </row>
    <row r="995" ht="20" customHeight="1">
      <c r="A995" s="29" t="n">
        <v>4</v>
      </c>
      <c r="B995" s="29" t="n">
        <v>35</v>
      </c>
      <c r="C995" s="30" t="n">
        <v>110</v>
      </c>
      <c r="D995" s="30" t="n">
        <v>3</v>
      </c>
      <c r="E995" s="6" t="n">
        <v>8</v>
      </c>
      <c r="F995" s="30" t="n">
        <v>1.5</v>
      </c>
      <c r="G995" s="6" t="inlineStr">
        <is>
          <t>Oui</t>
        </is>
      </c>
      <c r="H995" s="6" t="inlineStr">
        <is>
          <t>OFF</t>
        </is>
      </c>
      <c r="I995" s="31" t="n">
        <v>856.3651513317755</v>
      </c>
      <c r="J995" s="31" t="n">
        <v>3449.488235315031</v>
      </c>
      <c r="K995" s="31" t="n">
        <v>2287.037037037037</v>
      </c>
      <c r="L995" s="31" t="n">
        <v>150</v>
      </c>
      <c r="M995" s="31">
        <f>I995+J995+K995+L995</f>
        <v/>
      </c>
      <c r="N995" s="31">
        <f>M995*'Dashboard &amp; Optimisation'!$B$18/('Dashboard &amp; Optimisation'!$B$16/3.6)</f>
        <v/>
      </c>
      <c r="O995" s="31" t="n">
        <v>723.3341230731951</v>
      </c>
      <c r="P995" s="32" t="n">
        <v>0.2277274271081772</v>
      </c>
      <c r="Q995" s="33" t="n">
        <v>12.23505194285052</v>
      </c>
      <c r="R995" s="31" t="n">
        <v>697.0712103581114</v>
      </c>
      <c r="S995" s="31">
        <f>R995*IF(A995=4, 2.0, 3.0)</f>
        <v/>
      </c>
      <c r="T995" s="30">
        <f>'Dashboard &amp; Optimisation'!$B$18*U995</f>
        <v/>
      </c>
      <c r="U995" s="34">
        <f>MIN(1, S995/M995)</f>
        <v/>
      </c>
      <c r="V995" s="34">
        <f>N995/(N995+O995)</f>
        <v/>
      </c>
      <c r="W995" s="34">
        <f>U995*V995</f>
        <v/>
      </c>
      <c r="X995" s="32">
        <f>T995/N995</f>
        <v/>
      </c>
      <c r="Y995" s="35">
        <f>IF(W995=MAXIFS(W$2:W$3601, A$2:A$3601, A995, B$2:B$3601, B995), "OPTIMAL", "")</f>
        <v/>
      </c>
    </row>
    <row r="996" ht="20" customHeight="1">
      <c r="A996" s="21" t="n">
        <v>4</v>
      </c>
      <c r="B996" s="21" t="n">
        <v>35</v>
      </c>
      <c r="C996" s="22" t="n">
        <v>110</v>
      </c>
      <c r="D996" s="22" t="n">
        <v>3</v>
      </c>
      <c r="E996" s="23" t="n">
        <v>8</v>
      </c>
      <c r="F996" s="22" t="n">
        <v>1.5</v>
      </c>
      <c r="G996" s="23" t="inlineStr">
        <is>
          <t>Non</t>
        </is>
      </c>
      <c r="H996" s="23" t="inlineStr">
        <is>
          <t>ON</t>
        </is>
      </c>
      <c r="I996" s="24" t="n">
        <v>856.3651513317755</v>
      </c>
      <c r="J996" s="24" t="n">
        <v>3449.488235315031</v>
      </c>
      <c r="K996" s="24" t="n">
        <v>2287.037037037037</v>
      </c>
      <c r="L996" s="24" t="n">
        <v>150</v>
      </c>
      <c r="M996" s="24">
        <f>I996+J996+K996+L996</f>
        <v/>
      </c>
      <c r="N996" s="24">
        <f>M996*'Dashboard &amp; Optimisation'!$B$18/('Dashboard &amp; Optimisation'!$B$16/3.6)</f>
        <v/>
      </c>
      <c r="O996" s="24" t="n">
        <v>723.3341230731951</v>
      </c>
      <c r="P996" s="25" t="n">
        <v>0.05048438189545042</v>
      </c>
      <c r="Q996" s="26" t="n">
        <v>12.23505194285052</v>
      </c>
      <c r="R996" s="24" t="n">
        <v>3144.383020768277</v>
      </c>
      <c r="S996" s="24">
        <f>R996*IF(A996=4, 2.0, 3.0)</f>
        <v/>
      </c>
      <c r="T996" s="22">
        <f>'Dashboard &amp; Optimisation'!$B$18*U996</f>
        <v/>
      </c>
      <c r="U996" s="27">
        <f>MIN(1, S996/M996)</f>
        <v/>
      </c>
      <c r="V996" s="27">
        <f>N996/(N996+O996)</f>
        <v/>
      </c>
      <c r="W996" s="27">
        <f>U996*V996</f>
        <v/>
      </c>
      <c r="X996" s="25">
        <f>T996/N996</f>
        <v/>
      </c>
      <c r="Y996" s="28">
        <f>IF(W996=MAXIFS(W$2:W$3601, A$2:A$3601, A996, B$2:B$3601, B996), "OPTIMAL", "")</f>
        <v/>
      </c>
    </row>
    <row r="997" ht="20" customHeight="1">
      <c r="A997" s="29" t="n">
        <v>4</v>
      </c>
      <c r="B997" s="29" t="n">
        <v>35</v>
      </c>
      <c r="C997" s="30" t="n">
        <v>110</v>
      </c>
      <c r="D997" s="30" t="n">
        <v>3</v>
      </c>
      <c r="E997" s="6" t="n">
        <v>8</v>
      </c>
      <c r="F997" s="30" t="n">
        <v>1.5</v>
      </c>
      <c r="G997" s="6" t="inlineStr">
        <is>
          <t>Non</t>
        </is>
      </c>
      <c r="H997" s="6" t="inlineStr">
        <is>
          <t>OFF</t>
        </is>
      </c>
      <c r="I997" s="31" t="n">
        <v>856.3651513317755</v>
      </c>
      <c r="J997" s="31" t="n">
        <v>3449.488235315031</v>
      </c>
      <c r="K997" s="31" t="n">
        <v>2287.037037037037</v>
      </c>
      <c r="L997" s="31" t="n">
        <v>150</v>
      </c>
      <c r="M997" s="31">
        <f>I997+J997+K997+L997</f>
        <v/>
      </c>
      <c r="N997" s="31">
        <f>M997*'Dashboard &amp; Optimisation'!$B$18/('Dashboard &amp; Optimisation'!$B$16/3.6)</f>
        <v/>
      </c>
      <c r="O997" s="31" t="n">
        <v>723.3341230731951</v>
      </c>
      <c r="P997" s="32" t="n">
        <v>0.2248337008701428</v>
      </c>
      <c r="Q997" s="33" t="n">
        <v>12.23505194285052</v>
      </c>
      <c r="R997" s="31" t="n">
        <v>706.0428780546582</v>
      </c>
      <c r="S997" s="31">
        <f>R997*IF(A997=4, 2.0, 3.0)</f>
        <v/>
      </c>
      <c r="T997" s="30">
        <f>'Dashboard &amp; Optimisation'!$B$18*U997</f>
        <v/>
      </c>
      <c r="U997" s="34">
        <f>MIN(1, S997/M997)</f>
        <v/>
      </c>
      <c r="V997" s="34">
        <f>N997/(N997+O997)</f>
        <v/>
      </c>
      <c r="W997" s="34">
        <f>U997*V997</f>
        <v/>
      </c>
      <c r="X997" s="32">
        <f>T997/N997</f>
        <v/>
      </c>
      <c r="Y997" s="35">
        <f>IF(W997=MAXIFS(W$2:W$3601, A$2:A$3601, A997, B$2:B$3601, B997), "OPTIMAL", "")</f>
        <v/>
      </c>
    </row>
    <row r="998" ht="20" customHeight="1">
      <c r="A998" s="21" t="n">
        <v>4</v>
      </c>
      <c r="B998" s="21" t="n">
        <v>35</v>
      </c>
      <c r="C998" s="22" t="n">
        <v>110</v>
      </c>
      <c r="D998" s="22" t="n">
        <v>3</v>
      </c>
      <c r="E998" s="23" t="n">
        <v>8</v>
      </c>
      <c r="F998" s="22" t="n">
        <v>2</v>
      </c>
      <c r="G998" s="23" t="inlineStr">
        <is>
          <t>Oui</t>
        </is>
      </c>
      <c r="H998" s="23" t="inlineStr">
        <is>
          <t>ON</t>
        </is>
      </c>
      <c r="I998" s="24" t="n">
        <v>856.3651513317755</v>
      </c>
      <c r="J998" s="24" t="n">
        <v>3449.488235315031</v>
      </c>
      <c r="K998" s="24" t="n">
        <v>2287.037037037037</v>
      </c>
      <c r="L998" s="24" t="n">
        <v>150</v>
      </c>
      <c r="M998" s="24">
        <f>I998+J998+K998+L998</f>
        <v/>
      </c>
      <c r="N998" s="24">
        <f>M998*'Dashboard &amp; Optimisation'!$B$18/('Dashboard &amp; Optimisation'!$B$16/3.6)</f>
        <v/>
      </c>
      <c r="O998" s="24" t="n">
        <v>837.8058824485352</v>
      </c>
      <c r="P998" s="25" t="n">
        <v>0.05199529928547215</v>
      </c>
      <c r="Q998" s="26" t="n">
        <v>16.2467359238007</v>
      </c>
      <c r="R998" s="24" t="n">
        <v>3117.898682964513</v>
      </c>
      <c r="S998" s="24">
        <f>R998*IF(A998=4, 2.0, 3.0)</f>
        <v/>
      </c>
      <c r="T998" s="22">
        <f>'Dashboard &amp; Optimisation'!$B$18*U998</f>
        <v/>
      </c>
      <c r="U998" s="27">
        <f>MIN(1, S998/M998)</f>
        <v/>
      </c>
      <c r="V998" s="27">
        <f>N998/(N998+O998)</f>
        <v/>
      </c>
      <c r="W998" s="27">
        <f>U998*V998</f>
        <v/>
      </c>
      <c r="X998" s="25">
        <f>T998/N998</f>
        <v/>
      </c>
      <c r="Y998" s="28">
        <f>IF(W998=MAXIFS(W$2:W$3601, A$2:A$3601, A998, B$2:B$3601, B998), "OPTIMAL", "")</f>
        <v/>
      </c>
    </row>
    <row r="999" ht="20" customHeight="1">
      <c r="A999" s="29" t="n">
        <v>4</v>
      </c>
      <c r="B999" s="29" t="n">
        <v>35</v>
      </c>
      <c r="C999" s="30" t="n">
        <v>110</v>
      </c>
      <c r="D999" s="30" t="n">
        <v>3</v>
      </c>
      <c r="E999" s="6" t="n">
        <v>8</v>
      </c>
      <c r="F999" s="30" t="n">
        <v>2</v>
      </c>
      <c r="G999" s="6" t="inlineStr">
        <is>
          <t>Oui</t>
        </is>
      </c>
      <c r="H999" s="6" t="inlineStr">
        <is>
          <t>OFF</t>
        </is>
      </c>
      <c r="I999" s="31" t="n">
        <v>856.3651513317755</v>
      </c>
      <c r="J999" s="31" t="n">
        <v>3449.488235315031</v>
      </c>
      <c r="K999" s="31" t="n">
        <v>2287.037037037037</v>
      </c>
      <c r="L999" s="31" t="n">
        <v>150</v>
      </c>
      <c r="M999" s="31">
        <f>I999+J999+K999+L999</f>
        <v/>
      </c>
      <c r="N999" s="31">
        <f>M999*'Dashboard &amp; Optimisation'!$B$18/('Dashboard &amp; Optimisation'!$B$16/3.6)</f>
        <v/>
      </c>
      <c r="O999" s="31" t="n">
        <v>837.8058824485352</v>
      </c>
      <c r="P999" s="32" t="n">
        <v>0.2275671766533254</v>
      </c>
      <c r="Q999" s="33" t="n">
        <v>16.2467359238007</v>
      </c>
      <c r="R999" s="31" t="n">
        <v>712.3877773000896</v>
      </c>
      <c r="S999" s="31">
        <f>R999*IF(A999=4, 2.0, 3.0)</f>
        <v/>
      </c>
      <c r="T999" s="30">
        <f>'Dashboard &amp; Optimisation'!$B$18*U999</f>
        <v/>
      </c>
      <c r="U999" s="34">
        <f>MIN(1, S999/M999)</f>
        <v/>
      </c>
      <c r="V999" s="34">
        <f>N999/(N999+O999)</f>
        <v/>
      </c>
      <c r="W999" s="34">
        <f>U999*V999</f>
        <v/>
      </c>
      <c r="X999" s="32">
        <f>T999/N999</f>
        <v/>
      </c>
      <c r="Y999" s="35">
        <f>IF(W999=MAXIFS(W$2:W$3601, A$2:A$3601, A999, B$2:B$3601, B999), "OPTIMAL", "")</f>
        <v/>
      </c>
    </row>
    <row r="1000" ht="20" customHeight="1">
      <c r="A1000" s="21" t="n">
        <v>4</v>
      </c>
      <c r="B1000" s="21" t="n">
        <v>35</v>
      </c>
      <c r="C1000" s="22" t="n">
        <v>110</v>
      </c>
      <c r="D1000" s="22" t="n">
        <v>3</v>
      </c>
      <c r="E1000" s="23" t="n">
        <v>8</v>
      </c>
      <c r="F1000" s="22" t="n">
        <v>2</v>
      </c>
      <c r="G1000" s="23" t="inlineStr">
        <is>
          <t>Non</t>
        </is>
      </c>
      <c r="H1000" s="23" t="inlineStr">
        <is>
          <t>ON</t>
        </is>
      </c>
      <c r="I1000" s="24" t="n">
        <v>856.3651513317755</v>
      </c>
      <c r="J1000" s="24" t="n">
        <v>3449.488235315031</v>
      </c>
      <c r="K1000" s="24" t="n">
        <v>2287.037037037037</v>
      </c>
      <c r="L1000" s="24" t="n">
        <v>150</v>
      </c>
      <c r="M1000" s="24">
        <f>I1000+J1000+K1000+L1000</f>
        <v/>
      </c>
      <c r="N1000" s="24">
        <f>M1000*'Dashboard &amp; Optimisation'!$B$18/('Dashboard &amp; Optimisation'!$B$16/3.6)</f>
        <v/>
      </c>
      <c r="O1000" s="24" t="n">
        <v>837.8058824485352</v>
      </c>
      <c r="P1000" s="25" t="n">
        <v>0.04910157304743769</v>
      </c>
      <c r="Q1000" s="26" t="n">
        <v>16.2467359238007</v>
      </c>
      <c r="R1000" s="24" t="n">
        <v>3301.647281358925</v>
      </c>
      <c r="S1000" s="24">
        <f>R1000*IF(A1000=4, 2.0, 3.0)</f>
        <v/>
      </c>
      <c r="T1000" s="22">
        <f>'Dashboard &amp; Optimisation'!$B$18*U1000</f>
        <v/>
      </c>
      <c r="U1000" s="27">
        <f>MIN(1, S1000/M1000)</f>
        <v/>
      </c>
      <c r="V1000" s="27">
        <f>N1000/(N1000+O1000)</f>
        <v/>
      </c>
      <c r="W1000" s="27">
        <f>U1000*V1000</f>
        <v/>
      </c>
      <c r="X1000" s="25">
        <f>T1000/N1000</f>
        <v/>
      </c>
      <c r="Y1000" s="28">
        <f>IF(W1000=MAXIFS(W$2:W$3601, A$2:A$3601, A1000, B$2:B$3601, B1000), "OPTIMAL", "")</f>
        <v/>
      </c>
    </row>
    <row r="1001" ht="20" customHeight="1">
      <c r="A1001" s="29" t="n">
        <v>4</v>
      </c>
      <c r="B1001" s="29" t="n">
        <v>35</v>
      </c>
      <c r="C1001" s="30" t="n">
        <v>110</v>
      </c>
      <c r="D1001" s="30" t="n">
        <v>3</v>
      </c>
      <c r="E1001" s="6" t="n">
        <v>8</v>
      </c>
      <c r="F1001" s="30" t="n">
        <v>2</v>
      </c>
      <c r="G1001" s="6" t="inlineStr">
        <is>
          <t>Non</t>
        </is>
      </c>
      <c r="H1001" s="6" t="inlineStr">
        <is>
          <t>OFF</t>
        </is>
      </c>
      <c r="I1001" s="31" t="n">
        <v>856.3651513317755</v>
      </c>
      <c r="J1001" s="31" t="n">
        <v>3449.488235315031</v>
      </c>
      <c r="K1001" s="31" t="n">
        <v>2287.037037037037</v>
      </c>
      <c r="L1001" s="31" t="n">
        <v>150</v>
      </c>
      <c r="M1001" s="31">
        <f>I1001+J1001+K1001+L1001</f>
        <v/>
      </c>
      <c r="N1001" s="31">
        <f>M1001*'Dashboard &amp; Optimisation'!$B$18/('Dashboard &amp; Optimisation'!$B$16/3.6)</f>
        <v/>
      </c>
      <c r="O1001" s="31" t="n">
        <v>837.8058824485352</v>
      </c>
      <c r="P1001" s="32" t="n">
        <v>0.2246734504152909</v>
      </c>
      <c r="Q1001" s="33" t="n">
        <v>16.2467359238007</v>
      </c>
      <c r="R1001" s="31" t="n">
        <v>721.5631168830172</v>
      </c>
      <c r="S1001" s="31">
        <f>R1001*IF(A1001=4, 2.0, 3.0)</f>
        <v/>
      </c>
      <c r="T1001" s="30">
        <f>'Dashboard &amp; Optimisation'!$B$18*U1001</f>
        <v/>
      </c>
      <c r="U1001" s="34">
        <f>MIN(1, S1001/M1001)</f>
        <v/>
      </c>
      <c r="V1001" s="34">
        <f>N1001/(N1001+O1001)</f>
        <v/>
      </c>
      <c r="W1001" s="34">
        <f>U1001*V1001</f>
        <v/>
      </c>
      <c r="X1001" s="32">
        <f>T1001/N1001</f>
        <v/>
      </c>
      <c r="Y1001" s="35">
        <f>IF(W1001=MAXIFS(W$2:W$3601, A$2:A$3601, A1001, B$2:B$3601, B1001), "OPTIMAL", "")</f>
        <v/>
      </c>
    </row>
    <row r="1002" ht="20" customHeight="1">
      <c r="A1002" s="21" t="n">
        <v>4</v>
      </c>
      <c r="B1002" s="21" t="n">
        <v>35</v>
      </c>
      <c r="C1002" s="22" t="n">
        <v>115</v>
      </c>
      <c r="D1002" s="22" t="n">
        <v>2</v>
      </c>
      <c r="E1002" s="23" t="n">
        <v>0</v>
      </c>
      <c r="F1002" s="22" t="n">
        <v>0</v>
      </c>
      <c r="G1002" s="23" t="inlineStr">
        <is>
          <t>Oui</t>
        </is>
      </c>
      <c r="H1002" s="23" t="inlineStr">
        <is>
          <t>ON</t>
        </is>
      </c>
      <c r="I1002" s="24" t="n">
        <v>856.3651513317755</v>
      </c>
      <c r="J1002" s="24" t="n">
        <v>3449.488235315031</v>
      </c>
      <c r="K1002" s="24" t="n">
        <v>2287.037037037037</v>
      </c>
      <c r="L1002" s="24" t="n">
        <v>150</v>
      </c>
      <c r="M1002" s="24">
        <f>I1002+J1002+K1002+L1002</f>
        <v/>
      </c>
      <c r="N1002" s="24">
        <f>M1002*'Dashboard &amp; Optimisation'!$B$18/('Dashboard &amp; Optimisation'!$B$16/3.6)</f>
        <v/>
      </c>
      <c r="O1002" s="24" t="n">
        <v>251.4394373432643</v>
      </c>
      <c r="P1002" s="25" t="n">
        <v>0.4698805559653013</v>
      </c>
      <c r="Q1002" s="26" t="n">
        <v>0.2</v>
      </c>
      <c r="R1002" s="24" t="n">
        <v>279.1411389881699</v>
      </c>
      <c r="S1002" s="24">
        <f>R1002*IF(A1002=4, 2.0, 3.0)</f>
        <v/>
      </c>
      <c r="T1002" s="22">
        <f>'Dashboard &amp; Optimisation'!$B$18*U1002</f>
        <v/>
      </c>
      <c r="U1002" s="27">
        <f>MIN(1, S1002/M1002)</f>
        <v/>
      </c>
      <c r="V1002" s="27">
        <f>N1002/(N1002+O1002)</f>
        <v/>
      </c>
      <c r="W1002" s="27">
        <f>U1002*V1002</f>
        <v/>
      </c>
      <c r="X1002" s="25">
        <f>T1002/N1002</f>
        <v/>
      </c>
      <c r="Y1002" s="28">
        <f>IF(W1002=MAXIFS(W$2:W$3601, A$2:A$3601, A1002, B$2:B$3601, B1002), "OPTIMAL", "")</f>
        <v/>
      </c>
    </row>
    <row r="1003" ht="20" customHeight="1">
      <c r="A1003" s="29" t="n">
        <v>4</v>
      </c>
      <c r="B1003" s="29" t="n">
        <v>35</v>
      </c>
      <c r="C1003" s="30" t="n">
        <v>115</v>
      </c>
      <c r="D1003" s="30" t="n">
        <v>2</v>
      </c>
      <c r="E1003" s="6" t="n">
        <v>0</v>
      </c>
      <c r="F1003" s="30" t="n">
        <v>0</v>
      </c>
      <c r="G1003" s="6" t="inlineStr">
        <is>
          <t>Oui</t>
        </is>
      </c>
      <c r="H1003" s="6" t="inlineStr">
        <is>
          <t>OFF</t>
        </is>
      </c>
      <c r="I1003" s="31" t="n">
        <v>856.3651513317755</v>
      </c>
      <c r="J1003" s="31" t="n">
        <v>3449.488235315031</v>
      </c>
      <c r="K1003" s="31" t="n">
        <v>2287.037037037037</v>
      </c>
      <c r="L1003" s="31" t="n">
        <v>150</v>
      </c>
      <c r="M1003" s="31">
        <f>I1003+J1003+K1003+L1003</f>
        <v/>
      </c>
      <c r="N1003" s="31">
        <f>M1003*'Dashboard &amp; Optimisation'!$B$18/('Dashboard &amp; Optimisation'!$B$16/3.6)</f>
        <v/>
      </c>
      <c r="O1003" s="31" t="n">
        <v>251.4394373432643</v>
      </c>
      <c r="P1003" s="32" t="n">
        <v>0.7466717613425105</v>
      </c>
      <c r="Q1003" s="33" t="n">
        <v>0.2</v>
      </c>
      <c r="R1003" s="31" t="n">
        <v>175.6635249533457</v>
      </c>
      <c r="S1003" s="31">
        <f>R1003*IF(A1003=4, 2.0, 3.0)</f>
        <v/>
      </c>
      <c r="T1003" s="30">
        <f>'Dashboard &amp; Optimisation'!$B$18*U1003</f>
        <v/>
      </c>
      <c r="U1003" s="34">
        <f>MIN(1, S1003/M1003)</f>
        <v/>
      </c>
      <c r="V1003" s="34">
        <f>N1003/(N1003+O1003)</f>
        <v/>
      </c>
      <c r="W1003" s="34">
        <f>U1003*V1003</f>
        <v/>
      </c>
      <c r="X1003" s="32">
        <f>T1003/N1003</f>
        <v/>
      </c>
      <c r="Y1003" s="35">
        <f>IF(W1003=MAXIFS(W$2:W$3601, A$2:A$3601, A1003, B$2:B$3601, B1003), "OPTIMAL", "")</f>
        <v/>
      </c>
    </row>
    <row r="1004" ht="20" customHeight="1">
      <c r="A1004" s="21" t="n">
        <v>4</v>
      </c>
      <c r="B1004" s="21" t="n">
        <v>35</v>
      </c>
      <c r="C1004" s="22" t="n">
        <v>115</v>
      </c>
      <c r="D1004" s="22" t="n">
        <v>2</v>
      </c>
      <c r="E1004" s="23" t="n">
        <v>0</v>
      </c>
      <c r="F1004" s="22" t="n">
        <v>0</v>
      </c>
      <c r="G1004" s="23" t="inlineStr">
        <is>
          <t>Non</t>
        </is>
      </c>
      <c r="H1004" s="23" t="inlineStr">
        <is>
          <t>ON</t>
        </is>
      </c>
      <c r="I1004" s="24" t="n">
        <v>856.3651513317755</v>
      </c>
      <c r="J1004" s="24" t="n">
        <v>3449.488235315031</v>
      </c>
      <c r="K1004" s="24" t="n">
        <v>2287.037037037037</v>
      </c>
      <c r="L1004" s="24" t="n">
        <v>150</v>
      </c>
      <c r="M1004" s="24">
        <f>I1004+J1004+K1004+L1004</f>
        <v/>
      </c>
      <c r="N1004" s="24">
        <f>M1004*'Dashboard &amp; Optimisation'!$B$18/('Dashboard &amp; Optimisation'!$B$16/3.6)</f>
        <v/>
      </c>
      <c r="O1004" s="24" t="n">
        <v>251.4394373432643</v>
      </c>
      <c r="P1004" s="25" t="n">
        <v>0.4671126439115292</v>
      </c>
      <c r="Q1004" s="26" t="n">
        <v>0.2</v>
      </c>
      <c r="R1004" s="24" t="n">
        <v>280.795211369596</v>
      </c>
      <c r="S1004" s="24">
        <f>R1004*IF(A1004=4, 2.0, 3.0)</f>
        <v/>
      </c>
      <c r="T1004" s="22">
        <f>'Dashboard &amp; Optimisation'!$B$18*U1004</f>
        <v/>
      </c>
      <c r="U1004" s="27">
        <f>MIN(1, S1004/M1004)</f>
        <v/>
      </c>
      <c r="V1004" s="27">
        <f>N1004/(N1004+O1004)</f>
        <v/>
      </c>
      <c r="W1004" s="27">
        <f>U1004*V1004</f>
        <v/>
      </c>
      <c r="X1004" s="25">
        <f>T1004/N1004</f>
        <v/>
      </c>
      <c r="Y1004" s="28">
        <f>IF(W1004=MAXIFS(W$2:W$3601, A$2:A$3601, A1004, B$2:B$3601, B1004), "OPTIMAL", "")</f>
        <v/>
      </c>
    </row>
    <row r="1005" ht="20" customHeight="1">
      <c r="A1005" s="29" t="n">
        <v>4</v>
      </c>
      <c r="B1005" s="29" t="n">
        <v>35</v>
      </c>
      <c r="C1005" s="30" t="n">
        <v>115</v>
      </c>
      <c r="D1005" s="30" t="n">
        <v>2</v>
      </c>
      <c r="E1005" s="6" t="n">
        <v>0</v>
      </c>
      <c r="F1005" s="30" t="n">
        <v>0</v>
      </c>
      <c r="G1005" s="6" t="inlineStr">
        <is>
          <t>Non</t>
        </is>
      </c>
      <c r="H1005" s="6" t="inlineStr">
        <is>
          <t>OFF</t>
        </is>
      </c>
      <c r="I1005" s="31" t="n">
        <v>856.3651513317755</v>
      </c>
      <c r="J1005" s="31" t="n">
        <v>3449.488235315031</v>
      </c>
      <c r="K1005" s="31" t="n">
        <v>2287.037037037037</v>
      </c>
      <c r="L1005" s="31" t="n">
        <v>150</v>
      </c>
      <c r="M1005" s="31">
        <f>I1005+J1005+K1005+L1005</f>
        <v/>
      </c>
      <c r="N1005" s="31">
        <f>M1005*'Dashboard &amp; Optimisation'!$B$18/('Dashboard &amp; Optimisation'!$B$16/3.6)</f>
        <v/>
      </c>
      <c r="O1005" s="31" t="n">
        <v>251.4394373432643</v>
      </c>
      <c r="P1005" s="32" t="n">
        <v>0.7439038492887384</v>
      </c>
      <c r="Q1005" s="33" t="n">
        <v>0.2</v>
      </c>
      <c r="R1005" s="31" t="n">
        <v>176.3171325245276</v>
      </c>
      <c r="S1005" s="31">
        <f>R1005*IF(A1005=4, 2.0, 3.0)</f>
        <v/>
      </c>
      <c r="T1005" s="30">
        <f>'Dashboard &amp; Optimisation'!$B$18*U1005</f>
        <v/>
      </c>
      <c r="U1005" s="34">
        <f>MIN(1, S1005/M1005)</f>
        <v/>
      </c>
      <c r="V1005" s="34">
        <f>N1005/(N1005+O1005)</f>
        <v/>
      </c>
      <c r="W1005" s="34">
        <f>U1005*V1005</f>
        <v/>
      </c>
      <c r="X1005" s="32">
        <f>T1005/N1005</f>
        <v/>
      </c>
      <c r="Y1005" s="35">
        <f>IF(W1005=MAXIFS(W$2:W$3601, A$2:A$3601, A1005, B$2:B$3601, B1005), "OPTIMAL", "")</f>
        <v/>
      </c>
    </row>
    <row r="1006" ht="20" customHeight="1">
      <c r="A1006" s="21" t="n">
        <v>4</v>
      </c>
      <c r="B1006" s="21" t="n">
        <v>35</v>
      </c>
      <c r="C1006" s="22" t="n">
        <v>115</v>
      </c>
      <c r="D1006" s="22" t="n">
        <v>2</v>
      </c>
      <c r="E1006" s="23" t="n">
        <v>4</v>
      </c>
      <c r="F1006" s="22" t="n">
        <v>1.5</v>
      </c>
      <c r="G1006" s="23" t="inlineStr">
        <is>
          <t>Oui</t>
        </is>
      </c>
      <c r="H1006" s="23" t="inlineStr">
        <is>
          <t>ON</t>
        </is>
      </c>
      <c r="I1006" s="24" t="n">
        <v>856.3651513317755</v>
      </c>
      <c r="J1006" s="24" t="n">
        <v>3449.488235315031</v>
      </c>
      <c r="K1006" s="24" t="n">
        <v>2287.037037037037</v>
      </c>
      <c r="L1006" s="24" t="n">
        <v>150</v>
      </c>
      <c r="M1006" s="24">
        <f>I1006+J1006+K1006+L1006</f>
        <v/>
      </c>
      <c r="N1006" s="24">
        <f>M1006*'Dashboard &amp; Optimisation'!$B$18/('Dashboard &amp; Optimisation'!$B$16/3.6)</f>
        <v/>
      </c>
      <c r="O1006" s="24" t="n">
        <v>388.3459336104949</v>
      </c>
      <c r="P1006" s="25" t="n">
        <v>0.06928089920961758</v>
      </c>
      <c r="Q1006" s="26" t="n">
        <v>5.838042351605651</v>
      </c>
      <c r="R1006" s="24" t="n">
        <v>1946.800146034121</v>
      </c>
      <c r="S1006" s="24">
        <f>R1006*IF(A1006=4, 2.0, 3.0)</f>
        <v/>
      </c>
      <c r="T1006" s="22">
        <f>'Dashboard &amp; Optimisation'!$B$18*U1006</f>
        <v/>
      </c>
      <c r="U1006" s="27">
        <f>MIN(1, S1006/M1006)</f>
        <v/>
      </c>
      <c r="V1006" s="27">
        <f>N1006/(N1006+O1006)</f>
        <v/>
      </c>
      <c r="W1006" s="27">
        <f>U1006*V1006</f>
        <v/>
      </c>
      <c r="X1006" s="25">
        <f>T1006/N1006</f>
        <v/>
      </c>
      <c r="Y1006" s="28">
        <f>IF(W1006=MAXIFS(W$2:W$3601, A$2:A$3601, A1006, B$2:B$3601, B1006), "OPTIMAL", "")</f>
        <v/>
      </c>
    </row>
    <row r="1007" ht="20" customHeight="1">
      <c r="A1007" s="29" t="n">
        <v>4</v>
      </c>
      <c r="B1007" s="29" t="n">
        <v>35</v>
      </c>
      <c r="C1007" s="30" t="n">
        <v>115</v>
      </c>
      <c r="D1007" s="30" t="n">
        <v>2</v>
      </c>
      <c r="E1007" s="6" t="n">
        <v>4</v>
      </c>
      <c r="F1007" s="30" t="n">
        <v>1.5</v>
      </c>
      <c r="G1007" s="6" t="inlineStr">
        <is>
          <t>Oui</t>
        </is>
      </c>
      <c r="H1007" s="6" t="inlineStr">
        <is>
          <t>OFF</t>
        </is>
      </c>
      <c r="I1007" s="31" t="n">
        <v>856.3651513317755</v>
      </c>
      <c r="J1007" s="31" t="n">
        <v>3449.488235315031</v>
      </c>
      <c r="K1007" s="31" t="n">
        <v>2287.037037037037</v>
      </c>
      <c r="L1007" s="31" t="n">
        <v>150</v>
      </c>
      <c r="M1007" s="31">
        <f>I1007+J1007+K1007+L1007</f>
        <v/>
      </c>
      <c r="N1007" s="31">
        <f>M1007*'Dashboard &amp; Optimisation'!$B$18/('Dashboard &amp; Optimisation'!$B$16/3.6)</f>
        <v/>
      </c>
      <c r="O1007" s="31" t="n">
        <v>388.3459336104949</v>
      </c>
      <c r="P1007" s="32" t="n">
        <v>0.2796855393519176</v>
      </c>
      <c r="Q1007" s="33" t="n">
        <v>5.838042351605651</v>
      </c>
      <c r="R1007" s="31" t="n">
        <v>482.2418241972438</v>
      </c>
      <c r="S1007" s="31">
        <f>R1007*IF(A1007=4, 2.0, 3.0)</f>
        <v/>
      </c>
      <c r="T1007" s="30">
        <f>'Dashboard &amp; Optimisation'!$B$18*U1007</f>
        <v/>
      </c>
      <c r="U1007" s="34">
        <f>MIN(1, S1007/M1007)</f>
        <v/>
      </c>
      <c r="V1007" s="34">
        <f>N1007/(N1007+O1007)</f>
        <v/>
      </c>
      <c r="W1007" s="34">
        <f>U1007*V1007</f>
        <v/>
      </c>
      <c r="X1007" s="32">
        <f>T1007/N1007</f>
        <v/>
      </c>
      <c r="Y1007" s="35">
        <f>IF(W1007=MAXIFS(W$2:W$3601, A$2:A$3601, A1007, B$2:B$3601, B1007), "OPTIMAL", "")</f>
        <v/>
      </c>
    </row>
    <row r="1008" ht="20" customHeight="1">
      <c r="A1008" s="21" t="n">
        <v>4</v>
      </c>
      <c r="B1008" s="21" t="n">
        <v>35</v>
      </c>
      <c r="C1008" s="22" t="n">
        <v>115</v>
      </c>
      <c r="D1008" s="22" t="n">
        <v>2</v>
      </c>
      <c r="E1008" s="23" t="n">
        <v>4</v>
      </c>
      <c r="F1008" s="22" t="n">
        <v>1.5</v>
      </c>
      <c r="G1008" s="23" t="inlineStr">
        <is>
          <t>Non</t>
        </is>
      </c>
      <c r="H1008" s="23" t="inlineStr">
        <is>
          <t>ON</t>
        </is>
      </c>
      <c r="I1008" s="24" t="n">
        <v>856.3651513317755</v>
      </c>
      <c r="J1008" s="24" t="n">
        <v>3449.488235315031</v>
      </c>
      <c r="K1008" s="24" t="n">
        <v>2287.037037037037</v>
      </c>
      <c r="L1008" s="24" t="n">
        <v>150</v>
      </c>
      <c r="M1008" s="24">
        <f>I1008+J1008+K1008+L1008</f>
        <v/>
      </c>
      <c r="N1008" s="24">
        <f>M1008*'Dashboard &amp; Optimisation'!$B$18/('Dashboard &amp; Optimisation'!$B$16/3.6)</f>
        <v/>
      </c>
      <c r="O1008" s="24" t="n">
        <v>388.3459336104949</v>
      </c>
      <c r="P1008" s="25" t="n">
        <v>0.06651298715584548</v>
      </c>
      <c r="Q1008" s="26" t="n">
        <v>5.838042351605651</v>
      </c>
      <c r="R1008" s="24" t="n">
        <v>2027.815475835311</v>
      </c>
      <c r="S1008" s="24">
        <f>R1008*IF(A1008=4, 2.0, 3.0)</f>
        <v/>
      </c>
      <c r="T1008" s="22">
        <f>'Dashboard &amp; Optimisation'!$B$18*U1008</f>
        <v/>
      </c>
      <c r="U1008" s="27">
        <f>MIN(1, S1008/M1008)</f>
        <v/>
      </c>
      <c r="V1008" s="27">
        <f>N1008/(N1008+O1008)</f>
        <v/>
      </c>
      <c r="W1008" s="27">
        <f>U1008*V1008</f>
        <v/>
      </c>
      <c r="X1008" s="25">
        <f>T1008/N1008</f>
        <v/>
      </c>
      <c r="Y1008" s="28">
        <f>IF(W1008=MAXIFS(W$2:W$3601, A$2:A$3601, A1008, B$2:B$3601, B1008), "OPTIMAL", "")</f>
        <v/>
      </c>
    </row>
    <row r="1009" ht="20" customHeight="1">
      <c r="A1009" s="29" t="n">
        <v>4</v>
      </c>
      <c r="B1009" s="29" t="n">
        <v>35</v>
      </c>
      <c r="C1009" s="30" t="n">
        <v>115</v>
      </c>
      <c r="D1009" s="30" t="n">
        <v>2</v>
      </c>
      <c r="E1009" s="6" t="n">
        <v>4</v>
      </c>
      <c r="F1009" s="30" t="n">
        <v>1.5</v>
      </c>
      <c r="G1009" s="6" t="inlineStr">
        <is>
          <t>Non</t>
        </is>
      </c>
      <c r="H1009" s="6" t="inlineStr">
        <is>
          <t>OFF</t>
        </is>
      </c>
      <c r="I1009" s="31" t="n">
        <v>856.3651513317755</v>
      </c>
      <c r="J1009" s="31" t="n">
        <v>3449.488235315031</v>
      </c>
      <c r="K1009" s="31" t="n">
        <v>2287.037037037037</v>
      </c>
      <c r="L1009" s="31" t="n">
        <v>150</v>
      </c>
      <c r="M1009" s="31">
        <f>I1009+J1009+K1009+L1009</f>
        <v/>
      </c>
      <c r="N1009" s="31">
        <f>M1009*'Dashboard &amp; Optimisation'!$B$18/('Dashboard &amp; Optimisation'!$B$16/3.6)</f>
        <v/>
      </c>
      <c r="O1009" s="31" t="n">
        <v>388.3459336104949</v>
      </c>
      <c r="P1009" s="32" t="n">
        <v>0.2769176272981455</v>
      </c>
      <c r="Q1009" s="33" t="n">
        <v>5.838042351605651</v>
      </c>
      <c r="R1009" s="31" t="n">
        <v>487.0620408481378</v>
      </c>
      <c r="S1009" s="31">
        <f>R1009*IF(A1009=4, 2.0, 3.0)</f>
        <v/>
      </c>
      <c r="T1009" s="30">
        <f>'Dashboard &amp; Optimisation'!$B$18*U1009</f>
        <v/>
      </c>
      <c r="U1009" s="34">
        <f>MIN(1, S1009/M1009)</f>
        <v/>
      </c>
      <c r="V1009" s="34">
        <f>N1009/(N1009+O1009)</f>
        <v/>
      </c>
      <c r="W1009" s="34">
        <f>U1009*V1009</f>
        <v/>
      </c>
      <c r="X1009" s="32">
        <f>T1009/N1009</f>
        <v/>
      </c>
      <c r="Y1009" s="35">
        <f>IF(W1009=MAXIFS(W$2:W$3601, A$2:A$3601, A1009, B$2:B$3601, B1009), "OPTIMAL", "")</f>
        <v/>
      </c>
    </row>
    <row r="1010" ht="20" customHeight="1">
      <c r="A1010" s="21" t="n">
        <v>4</v>
      </c>
      <c r="B1010" s="21" t="n">
        <v>35</v>
      </c>
      <c r="C1010" s="22" t="n">
        <v>115</v>
      </c>
      <c r="D1010" s="22" t="n">
        <v>2</v>
      </c>
      <c r="E1010" s="23" t="n">
        <v>4</v>
      </c>
      <c r="F1010" s="22" t="n">
        <v>2</v>
      </c>
      <c r="G1010" s="23" t="inlineStr">
        <is>
          <t>Oui</t>
        </is>
      </c>
      <c r="H1010" s="23" t="inlineStr">
        <is>
          <t>ON</t>
        </is>
      </c>
      <c r="I1010" s="24" t="n">
        <v>856.3651513317755</v>
      </c>
      <c r="J1010" s="24" t="n">
        <v>3449.488235315031</v>
      </c>
      <c r="K1010" s="24" t="n">
        <v>2287.037037037037</v>
      </c>
      <c r="L1010" s="24" t="n">
        <v>150</v>
      </c>
      <c r="M1010" s="24">
        <f>I1010+J1010+K1010+L1010</f>
        <v/>
      </c>
      <c r="N1010" s="24">
        <f>M1010*'Dashboard &amp; Optimisation'!$B$18/('Dashboard &amp; Optimisation'!$B$16/3.6)</f>
        <v/>
      </c>
      <c r="O1010" s="24" t="n">
        <v>435.7203582280665</v>
      </c>
      <c r="P1010" s="25" t="n">
        <v>0.06612266589584477</v>
      </c>
      <c r="Q1010" s="26" t="n">
        <v>7.717389802140867</v>
      </c>
      <c r="R1010" s="24" t="n">
        <v>2059.216987342932</v>
      </c>
      <c r="S1010" s="24">
        <f>R1010*IF(A1010=4, 2.0, 3.0)</f>
        <v/>
      </c>
      <c r="T1010" s="22">
        <f>'Dashboard &amp; Optimisation'!$B$18*U1010</f>
        <v/>
      </c>
      <c r="U1010" s="27">
        <f>MIN(1, S1010/M1010)</f>
        <v/>
      </c>
      <c r="V1010" s="27">
        <f>N1010/(N1010+O1010)</f>
        <v/>
      </c>
      <c r="W1010" s="27">
        <f>U1010*V1010</f>
        <v/>
      </c>
      <c r="X1010" s="25">
        <f>T1010/N1010</f>
        <v/>
      </c>
      <c r="Y1010" s="28">
        <f>IF(W1010=MAXIFS(W$2:W$3601, A$2:A$3601, A1010, B$2:B$3601, B1010), "OPTIMAL", "")</f>
        <v/>
      </c>
    </row>
    <row r="1011" ht="20" customHeight="1">
      <c r="A1011" s="29" t="n">
        <v>4</v>
      </c>
      <c r="B1011" s="29" t="n">
        <v>35</v>
      </c>
      <c r="C1011" s="30" t="n">
        <v>115</v>
      </c>
      <c r="D1011" s="30" t="n">
        <v>2</v>
      </c>
      <c r="E1011" s="6" t="n">
        <v>4</v>
      </c>
      <c r="F1011" s="30" t="n">
        <v>2</v>
      </c>
      <c r="G1011" s="6" t="inlineStr">
        <is>
          <t>Oui</t>
        </is>
      </c>
      <c r="H1011" s="6" t="inlineStr">
        <is>
          <t>OFF</t>
        </is>
      </c>
      <c r="I1011" s="31" t="n">
        <v>856.3651513317755</v>
      </c>
      <c r="J1011" s="31" t="n">
        <v>3449.488235315031</v>
      </c>
      <c r="K1011" s="31" t="n">
        <v>2287.037037037037</v>
      </c>
      <c r="L1011" s="31" t="n">
        <v>150</v>
      </c>
      <c r="M1011" s="31">
        <f>I1011+J1011+K1011+L1011</f>
        <v/>
      </c>
      <c r="N1011" s="31">
        <f>M1011*'Dashboard &amp; Optimisation'!$B$18/('Dashboard &amp; Optimisation'!$B$16/3.6)</f>
        <v/>
      </c>
      <c r="O1011" s="31" t="n">
        <v>435.7203582280665</v>
      </c>
      <c r="P1011" s="32" t="n">
        <v>0.2774148058870663</v>
      </c>
      <c r="Q1011" s="33" t="n">
        <v>7.717389802140867</v>
      </c>
      <c r="R1011" s="31" t="n">
        <v>490.8206554647804</v>
      </c>
      <c r="S1011" s="31">
        <f>R1011*IF(A1011=4, 2.0, 3.0)</f>
        <v/>
      </c>
      <c r="T1011" s="30">
        <f>'Dashboard &amp; Optimisation'!$B$18*U1011</f>
        <v/>
      </c>
      <c r="U1011" s="34">
        <f>MIN(1, S1011/M1011)</f>
        <v/>
      </c>
      <c r="V1011" s="34">
        <f>N1011/(N1011+O1011)</f>
        <v/>
      </c>
      <c r="W1011" s="34">
        <f>U1011*V1011</f>
        <v/>
      </c>
      <c r="X1011" s="32">
        <f>T1011/N1011</f>
        <v/>
      </c>
      <c r="Y1011" s="35">
        <f>IF(W1011=MAXIFS(W$2:W$3601, A$2:A$3601, A1011, B$2:B$3601, B1011), "OPTIMAL", "")</f>
        <v/>
      </c>
    </row>
    <row r="1012" ht="20" customHeight="1">
      <c r="A1012" s="21" t="n">
        <v>4</v>
      </c>
      <c r="B1012" s="21" t="n">
        <v>35</v>
      </c>
      <c r="C1012" s="22" t="n">
        <v>115</v>
      </c>
      <c r="D1012" s="22" t="n">
        <v>2</v>
      </c>
      <c r="E1012" s="23" t="n">
        <v>4</v>
      </c>
      <c r="F1012" s="22" t="n">
        <v>2</v>
      </c>
      <c r="G1012" s="23" t="inlineStr">
        <is>
          <t>Non</t>
        </is>
      </c>
      <c r="H1012" s="23" t="inlineStr">
        <is>
          <t>ON</t>
        </is>
      </c>
      <c r="I1012" s="24" t="n">
        <v>856.3651513317755</v>
      </c>
      <c r="J1012" s="24" t="n">
        <v>3449.488235315031</v>
      </c>
      <c r="K1012" s="24" t="n">
        <v>2287.037037037037</v>
      </c>
      <c r="L1012" s="24" t="n">
        <v>150</v>
      </c>
      <c r="M1012" s="24">
        <f>I1012+J1012+K1012+L1012</f>
        <v/>
      </c>
      <c r="N1012" s="24">
        <f>M1012*'Dashboard &amp; Optimisation'!$B$18/('Dashboard &amp; Optimisation'!$B$16/3.6)</f>
        <v/>
      </c>
      <c r="O1012" s="24" t="n">
        <v>435.7203582280665</v>
      </c>
      <c r="P1012" s="25" t="n">
        <v>0.06335475384207268</v>
      </c>
      <c r="Q1012" s="26" t="n">
        <v>7.717389802140867</v>
      </c>
      <c r="R1012" s="24" t="n">
        <v>2149.182320249232</v>
      </c>
      <c r="S1012" s="24">
        <f>R1012*IF(A1012=4, 2.0, 3.0)</f>
        <v/>
      </c>
      <c r="T1012" s="22">
        <f>'Dashboard &amp; Optimisation'!$B$18*U1012</f>
        <v/>
      </c>
      <c r="U1012" s="27">
        <f>MIN(1, S1012/M1012)</f>
        <v/>
      </c>
      <c r="V1012" s="27">
        <f>N1012/(N1012+O1012)</f>
        <v/>
      </c>
      <c r="W1012" s="27">
        <f>U1012*V1012</f>
        <v/>
      </c>
      <c r="X1012" s="25">
        <f>T1012/N1012</f>
        <v/>
      </c>
      <c r="Y1012" s="28">
        <f>IF(W1012=MAXIFS(W$2:W$3601, A$2:A$3601, A1012, B$2:B$3601, B1012), "OPTIMAL", "")</f>
        <v/>
      </c>
    </row>
    <row r="1013" ht="20" customHeight="1">
      <c r="A1013" s="29" t="n">
        <v>4</v>
      </c>
      <c r="B1013" s="29" t="n">
        <v>35</v>
      </c>
      <c r="C1013" s="30" t="n">
        <v>115</v>
      </c>
      <c r="D1013" s="30" t="n">
        <v>2</v>
      </c>
      <c r="E1013" s="6" t="n">
        <v>4</v>
      </c>
      <c r="F1013" s="30" t="n">
        <v>2</v>
      </c>
      <c r="G1013" s="6" t="inlineStr">
        <is>
          <t>Non</t>
        </is>
      </c>
      <c r="H1013" s="6" t="inlineStr">
        <is>
          <t>OFF</t>
        </is>
      </c>
      <c r="I1013" s="31" t="n">
        <v>856.3651513317755</v>
      </c>
      <c r="J1013" s="31" t="n">
        <v>3449.488235315031</v>
      </c>
      <c r="K1013" s="31" t="n">
        <v>2287.037037037037</v>
      </c>
      <c r="L1013" s="31" t="n">
        <v>150</v>
      </c>
      <c r="M1013" s="31">
        <f>I1013+J1013+K1013+L1013</f>
        <v/>
      </c>
      <c r="N1013" s="31">
        <f>M1013*'Dashboard &amp; Optimisation'!$B$18/('Dashboard &amp; Optimisation'!$B$16/3.6)</f>
        <v/>
      </c>
      <c r="O1013" s="31" t="n">
        <v>435.7203582280665</v>
      </c>
      <c r="P1013" s="32" t="n">
        <v>0.2746468938332942</v>
      </c>
      <c r="Q1013" s="33" t="n">
        <v>7.717389802140867</v>
      </c>
      <c r="R1013" s="31" t="n">
        <v>495.7671829479053</v>
      </c>
      <c r="S1013" s="31">
        <f>R1013*IF(A1013=4, 2.0, 3.0)</f>
        <v/>
      </c>
      <c r="T1013" s="30">
        <f>'Dashboard &amp; Optimisation'!$B$18*U1013</f>
        <v/>
      </c>
      <c r="U1013" s="34">
        <f>MIN(1, S1013/M1013)</f>
        <v/>
      </c>
      <c r="V1013" s="34">
        <f>N1013/(N1013+O1013)</f>
        <v/>
      </c>
      <c r="W1013" s="34">
        <f>U1013*V1013</f>
        <v/>
      </c>
      <c r="X1013" s="32">
        <f>T1013/N1013</f>
        <v/>
      </c>
      <c r="Y1013" s="35">
        <f>IF(W1013=MAXIFS(W$2:W$3601, A$2:A$3601, A1013, B$2:B$3601, B1013), "OPTIMAL", "")</f>
        <v/>
      </c>
    </row>
    <row r="1014" ht="20" customHeight="1">
      <c r="A1014" s="21" t="n">
        <v>4</v>
      </c>
      <c r="B1014" s="21" t="n">
        <v>35</v>
      </c>
      <c r="C1014" s="22" t="n">
        <v>115</v>
      </c>
      <c r="D1014" s="22" t="n">
        <v>2</v>
      </c>
      <c r="E1014" s="23" t="n">
        <v>8</v>
      </c>
      <c r="F1014" s="22" t="n">
        <v>1.5</v>
      </c>
      <c r="G1014" s="23" t="inlineStr">
        <is>
          <t>Oui</t>
        </is>
      </c>
      <c r="H1014" s="23" t="inlineStr">
        <is>
          <t>ON</t>
        </is>
      </c>
      <c r="I1014" s="24" t="n">
        <v>856.3651513317755</v>
      </c>
      <c r="J1014" s="24" t="n">
        <v>3449.488235315031</v>
      </c>
      <c r="K1014" s="24" t="n">
        <v>2287.037037037037</v>
      </c>
      <c r="L1014" s="24" t="n">
        <v>150</v>
      </c>
      <c r="M1014" s="24">
        <f>I1014+J1014+K1014+L1014</f>
        <v/>
      </c>
      <c r="N1014" s="24">
        <f>M1014*'Dashboard &amp; Optimisation'!$B$18/('Dashboard &amp; Optimisation'!$B$16/3.6)</f>
        <v/>
      </c>
      <c r="O1014" s="24" t="n">
        <v>533.2295796060243</v>
      </c>
      <c r="P1014" s="25" t="n">
        <v>0.05248603000184628</v>
      </c>
      <c r="Q1014" s="26" t="n">
        <v>11.4760847032113</v>
      </c>
      <c r="R1014" s="24" t="n">
        <v>2644.617736178471</v>
      </c>
      <c r="S1014" s="24">
        <f>R1014*IF(A1014=4, 2.0, 3.0)</f>
        <v/>
      </c>
      <c r="T1014" s="22">
        <f>'Dashboard &amp; Optimisation'!$B$18*U1014</f>
        <v/>
      </c>
      <c r="U1014" s="27">
        <f>MIN(1, S1014/M1014)</f>
        <v/>
      </c>
      <c r="V1014" s="27">
        <f>N1014/(N1014+O1014)</f>
        <v/>
      </c>
      <c r="W1014" s="27">
        <f>U1014*V1014</f>
        <v/>
      </c>
      <c r="X1014" s="25">
        <f>T1014/N1014</f>
        <v/>
      </c>
      <c r="Y1014" s="28">
        <f>IF(W1014=MAXIFS(W$2:W$3601, A$2:A$3601, A1014, B$2:B$3601, B1014), "OPTIMAL", "")</f>
        <v/>
      </c>
    </row>
    <row r="1015" ht="20" customHeight="1">
      <c r="A1015" s="29" t="n">
        <v>4</v>
      </c>
      <c r="B1015" s="29" t="n">
        <v>35</v>
      </c>
      <c r="C1015" s="30" t="n">
        <v>115</v>
      </c>
      <c r="D1015" s="30" t="n">
        <v>2</v>
      </c>
      <c r="E1015" s="6" t="n">
        <v>8</v>
      </c>
      <c r="F1015" s="30" t="n">
        <v>1.5</v>
      </c>
      <c r="G1015" s="6" t="inlineStr">
        <is>
          <t>Oui</t>
        </is>
      </c>
      <c r="H1015" s="6" t="inlineStr">
        <is>
          <t>OFF</t>
        </is>
      </c>
      <c r="I1015" s="31" t="n">
        <v>856.3651513317755</v>
      </c>
      <c r="J1015" s="31" t="n">
        <v>3449.488235315031</v>
      </c>
      <c r="K1015" s="31" t="n">
        <v>2287.037037037037</v>
      </c>
      <c r="L1015" s="31" t="n">
        <v>150</v>
      </c>
      <c r="M1015" s="31">
        <f>I1015+J1015+K1015+L1015</f>
        <v/>
      </c>
      <c r="N1015" s="31">
        <f>M1015*'Dashboard &amp; Optimisation'!$B$18/('Dashboard &amp; Optimisation'!$B$16/3.6)</f>
        <v/>
      </c>
      <c r="O1015" s="31" t="n">
        <v>533.2295796060243</v>
      </c>
      <c r="P1015" s="32" t="n">
        <v>0.2221878302428261</v>
      </c>
      <c r="Q1015" s="33" t="n">
        <v>11.4760847032113</v>
      </c>
      <c r="R1015" s="31" t="n">
        <v>624.7213706204312</v>
      </c>
      <c r="S1015" s="31">
        <f>R1015*IF(A1015=4, 2.0, 3.0)</f>
        <v/>
      </c>
      <c r="T1015" s="30">
        <f>'Dashboard &amp; Optimisation'!$B$18*U1015</f>
        <v/>
      </c>
      <c r="U1015" s="34">
        <f>MIN(1, S1015/M1015)</f>
        <v/>
      </c>
      <c r="V1015" s="34">
        <f>N1015/(N1015+O1015)</f>
        <v/>
      </c>
      <c r="W1015" s="34">
        <f>U1015*V1015</f>
        <v/>
      </c>
      <c r="X1015" s="32">
        <f>T1015/N1015</f>
        <v/>
      </c>
      <c r="Y1015" s="35">
        <f>IF(W1015=MAXIFS(W$2:W$3601, A$2:A$3601, A1015, B$2:B$3601, B1015), "OPTIMAL", "")</f>
        <v/>
      </c>
    </row>
    <row r="1016" ht="20" customHeight="1">
      <c r="A1016" s="21" t="n">
        <v>4</v>
      </c>
      <c r="B1016" s="21" t="n">
        <v>35</v>
      </c>
      <c r="C1016" s="22" t="n">
        <v>115</v>
      </c>
      <c r="D1016" s="22" t="n">
        <v>2</v>
      </c>
      <c r="E1016" s="23" t="n">
        <v>8</v>
      </c>
      <c r="F1016" s="22" t="n">
        <v>1.5</v>
      </c>
      <c r="G1016" s="23" t="inlineStr">
        <is>
          <t>Non</t>
        </is>
      </c>
      <c r="H1016" s="23" t="inlineStr">
        <is>
          <t>ON</t>
        </is>
      </c>
      <c r="I1016" s="24" t="n">
        <v>856.3651513317755</v>
      </c>
      <c r="J1016" s="24" t="n">
        <v>3449.488235315031</v>
      </c>
      <c r="K1016" s="24" t="n">
        <v>2287.037037037037</v>
      </c>
      <c r="L1016" s="24" t="n">
        <v>150</v>
      </c>
      <c r="M1016" s="24">
        <f>I1016+J1016+K1016+L1016</f>
        <v/>
      </c>
      <c r="N1016" s="24">
        <f>M1016*'Dashboard &amp; Optimisation'!$B$18/('Dashboard &amp; Optimisation'!$B$16/3.6)</f>
        <v/>
      </c>
      <c r="O1016" s="24" t="n">
        <v>533.2295796060243</v>
      </c>
      <c r="P1016" s="25" t="n">
        <v>0.04971811794807418</v>
      </c>
      <c r="Q1016" s="26" t="n">
        <v>11.4760847032113</v>
      </c>
      <c r="R1016" s="24" t="n">
        <v>2791.849160288953</v>
      </c>
      <c r="S1016" s="24">
        <f>R1016*IF(A1016=4, 2.0, 3.0)</f>
        <v/>
      </c>
      <c r="T1016" s="22">
        <f>'Dashboard &amp; Optimisation'!$B$18*U1016</f>
        <v/>
      </c>
      <c r="U1016" s="27">
        <f>MIN(1, S1016/M1016)</f>
        <v/>
      </c>
      <c r="V1016" s="27">
        <f>N1016/(N1016+O1016)</f>
        <v/>
      </c>
      <c r="W1016" s="27">
        <f>U1016*V1016</f>
        <v/>
      </c>
      <c r="X1016" s="25">
        <f>T1016/N1016</f>
        <v/>
      </c>
      <c r="Y1016" s="28">
        <f>IF(W1016=MAXIFS(W$2:W$3601, A$2:A$3601, A1016, B$2:B$3601, B1016), "OPTIMAL", "")</f>
        <v/>
      </c>
    </row>
    <row r="1017" ht="20" customHeight="1">
      <c r="A1017" s="29" t="n">
        <v>4</v>
      </c>
      <c r="B1017" s="29" t="n">
        <v>35</v>
      </c>
      <c r="C1017" s="30" t="n">
        <v>115</v>
      </c>
      <c r="D1017" s="30" t="n">
        <v>2</v>
      </c>
      <c r="E1017" s="6" t="n">
        <v>8</v>
      </c>
      <c r="F1017" s="30" t="n">
        <v>1.5</v>
      </c>
      <c r="G1017" s="6" t="inlineStr">
        <is>
          <t>Non</t>
        </is>
      </c>
      <c r="H1017" s="6" t="inlineStr">
        <is>
          <t>OFF</t>
        </is>
      </c>
      <c r="I1017" s="31" t="n">
        <v>856.3651513317755</v>
      </c>
      <c r="J1017" s="31" t="n">
        <v>3449.488235315031</v>
      </c>
      <c r="K1017" s="31" t="n">
        <v>2287.037037037037</v>
      </c>
      <c r="L1017" s="31" t="n">
        <v>150</v>
      </c>
      <c r="M1017" s="31">
        <f>I1017+J1017+K1017+L1017</f>
        <v/>
      </c>
      <c r="N1017" s="31">
        <f>M1017*'Dashboard &amp; Optimisation'!$B$18/('Dashboard &amp; Optimisation'!$B$16/3.6)</f>
        <v/>
      </c>
      <c r="O1017" s="31" t="n">
        <v>533.2295796060243</v>
      </c>
      <c r="P1017" s="32" t="n">
        <v>0.219419918189054</v>
      </c>
      <c r="Q1017" s="33" t="n">
        <v>11.4760847032113</v>
      </c>
      <c r="R1017" s="31" t="n">
        <v>632.6020308005131</v>
      </c>
      <c r="S1017" s="31">
        <f>R1017*IF(A1017=4, 2.0, 3.0)</f>
        <v/>
      </c>
      <c r="T1017" s="30">
        <f>'Dashboard &amp; Optimisation'!$B$18*U1017</f>
        <v/>
      </c>
      <c r="U1017" s="34">
        <f>MIN(1, S1017/M1017)</f>
        <v/>
      </c>
      <c r="V1017" s="34">
        <f>N1017/(N1017+O1017)</f>
        <v/>
      </c>
      <c r="W1017" s="34">
        <f>U1017*V1017</f>
        <v/>
      </c>
      <c r="X1017" s="32">
        <f>T1017/N1017</f>
        <v/>
      </c>
      <c r="Y1017" s="35">
        <f>IF(W1017=MAXIFS(W$2:W$3601, A$2:A$3601, A1017, B$2:B$3601, B1017), "OPTIMAL", "")</f>
        <v/>
      </c>
    </row>
    <row r="1018" ht="20" customHeight="1">
      <c r="A1018" s="21" t="n">
        <v>4</v>
      </c>
      <c r="B1018" s="21" t="n">
        <v>35</v>
      </c>
      <c r="C1018" s="22" t="n">
        <v>115</v>
      </c>
      <c r="D1018" s="22" t="n">
        <v>2</v>
      </c>
      <c r="E1018" s="23" t="n">
        <v>8</v>
      </c>
      <c r="F1018" s="22" t="n">
        <v>2</v>
      </c>
      <c r="G1018" s="23" t="inlineStr">
        <is>
          <t>Oui</t>
        </is>
      </c>
      <c r="H1018" s="23" t="inlineStr">
        <is>
          <t>ON</t>
        </is>
      </c>
      <c r="I1018" s="24" t="n">
        <v>856.3651513317755</v>
      </c>
      <c r="J1018" s="24" t="n">
        <v>3449.488235315031</v>
      </c>
      <c r="K1018" s="24" t="n">
        <v>2287.037037037037</v>
      </c>
      <c r="L1018" s="24" t="n">
        <v>150</v>
      </c>
      <c r="M1018" s="24">
        <f>I1018+J1018+K1018+L1018</f>
        <v/>
      </c>
      <c r="N1018" s="24">
        <f>M1018*'Dashboard &amp; Optimisation'!$B$18/('Dashboard &amp; Optimisation'!$B$16/3.6)</f>
        <v/>
      </c>
      <c r="O1018" s="24" t="n">
        <v>634.6015468805844</v>
      </c>
      <c r="P1018" s="25" t="n">
        <v>0.05098656696881766</v>
      </c>
      <c r="Q1018" s="26" t="n">
        <v>15.23477960428174</v>
      </c>
      <c r="R1018" s="24" t="n">
        <v>2776.315912644724</v>
      </c>
      <c r="S1018" s="24">
        <f>R1018*IF(A1018=4, 2.0, 3.0)</f>
        <v/>
      </c>
      <c r="T1018" s="22">
        <f>'Dashboard &amp; Optimisation'!$B$18*U1018</f>
        <v/>
      </c>
      <c r="U1018" s="27">
        <f>MIN(1, S1018/M1018)</f>
        <v/>
      </c>
      <c r="V1018" s="27">
        <f>N1018/(N1018+O1018)</f>
        <v/>
      </c>
      <c r="W1018" s="27">
        <f>U1018*V1018</f>
        <v/>
      </c>
      <c r="X1018" s="25">
        <f>T1018/N1018</f>
        <v/>
      </c>
      <c r="Y1018" s="28">
        <f>IF(W1018=MAXIFS(W$2:W$3601, A$2:A$3601, A1018, B$2:B$3601, B1018), "OPTIMAL", "")</f>
        <v/>
      </c>
    </row>
    <row r="1019" ht="20" customHeight="1">
      <c r="A1019" s="29" t="n">
        <v>4</v>
      </c>
      <c r="B1019" s="29" t="n">
        <v>35</v>
      </c>
      <c r="C1019" s="30" t="n">
        <v>115</v>
      </c>
      <c r="D1019" s="30" t="n">
        <v>2</v>
      </c>
      <c r="E1019" s="6" t="n">
        <v>8</v>
      </c>
      <c r="F1019" s="30" t="n">
        <v>2</v>
      </c>
      <c r="G1019" s="6" t="inlineStr">
        <is>
          <t>Oui</t>
        </is>
      </c>
      <c r="H1019" s="6" t="inlineStr">
        <is>
          <t>OFF</t>
        </is>
      </c>
      <c r="I1019" s="31" t="n">
        <v>856.3651513317755</v>
      </c>
      <c r="J1019" s="31" t="n">
        <v>3449.488235315031</v>
      </c>
      <c r="K1019" s="31" t="n">
        <v>2287.037037037037</v>
      </c>
      <c r="L1019" s="31" t="n">
        <v>150</v>
      </c>
      <c r="M1019" s="31">
        <f>I1019+J1019+K1019+L1019</f>
        <v/>
      </c>
      <c r="N1019" s="31">
        <f>M1019*'Dashboard &amp; Optimisation'!$B$18/('Dashboard &amp; Optimisation'!$B$16/3.6)</f>
        <v/>
      </c>
      <c r="O1019" s="31" t="n">
        <v>634.6015468805844</v>
      </c>
      <c r="P1019" s="32" t="n">
        <v>0.2218463755842228</v>
      </c>
      <c r="Q1019" s="33" t="n">
        <v>15.23477960428174</v>
      </c>
      <c r="R1019" s="31" t="n">
        <v>638.0758614328309</v>
      </c>
      <c r="S1019" s="31">
        <f>R1019*IF(A1019=4, 2.0, 3.0)</f>
        <v/>
      </c>
      <c r="T1019" s="30">
        <f>'Dashboard &amp; Optimisation'!$B$18*U1019</f>
        <v/>
      </c>
      <c r="U1019" s="34">
        <f>MIN(1, S1019/M1019)</f>
        <v/>
      </c>
      <c r="V1019" s="34">
        <f>N1019/(N1019+O1019)</f>
        <v/>
      </c>
      <c r="W1019" s="34">
        <f>U1019*V1019</f>
        <v/>
      </c>
      <c r="X1019" s="32">
        <f>T1019/N1019</f>
        <v/>
      </c>
      <c r="Y1019" s="35">
        <f>IF(W1019=MAXIFS(W$2:W$3601, A$2:A$3601, A1019, B$2:B$3601, B1019), "OPTIMAL", "")</f>
        <v/>
      </c>
    </row>
    <row r="1020" ht="20" customHeight="1">
      <c r="A1020" s="21" t="n">
        <v>4</v>
      </c>
      <c r="B1020" s="21" t="n">
        <v>35</v>
      </c>
      <c r="C1020" s="22" t="n">
        <v>115</v>
      </c>
      <c r="D1020" s="22" t="n">
        <v>2</v>
      </c>
      <c r="E1020" s="23" t="n">
        <v>8</v>
      </c>
      <c r="F1020" s="22" t="n">
        <v>2</v>
      </c>
      <c r="G1020" s="23" t="inlineStr">
        <is>
          <t>Non</t>
        </is>
      </c>
      <c r="H1020" s="23" t="inlineStr">
        <is>
          <t>ON</t>
        </is>
      </c>
      <c r="I1020" s="24" t="n">
        <v>856.3651513317755</v>
      </c>
      <c r="J1020" s="24" t="n">
        <v>3449.488235315031</v>
      </c>
      <c r="K1020" s="24" t="n">
        <v>2287.037037037037</v>
      </c>
      <c r="L1020" s="24" t="n">
        <v>150</v>
      </c>
      <c r="M1020" s="24">
        <f>I1020+J1020+K1020+L1020</f>
        <v/>
      </c>
      <c r="N1020" s="24">
        <f>M1020*'Dashboard &amp; Optimisation'!$B$18/('Dashboard &amp; Optimisation'!$B$16/3.6)</f>
        <v/>
      </c>
      <c r="O1020" s="24" t="n">
        <v>634.6015468805844</v>
      </c>
      <c r="P1020" s="25" t="n">
        <v>0.04821865491504557</v>
      </c>
      <c r="Q1020" s="26" t="n">
        <v>15.23477960428174</v>
      </c>
      <c r="R1020" s="24" t="n">
        <v>2935.685731094196</v>
      </c>
      <c r="S1020" s="24">
        <f>R1020*IF(A1020=4, 2.0, 3.0)</f>
        <v/>
      </c>
      <c r="T1020" s="22">
        <f>'Dashboard &amp; Optimisation'!$B$18*U1020</f>
        <v/>
      </c>
      <c r="U1020" s="27">
        <f>MIN(1, S1020/M1020)</f>
        <v/>
      </c>
      <c r="V1020" s="27">
        <f>N1020/(N1020+O1020)</f>
        <v/>
      </c>
      <c r="W1020" s="27">
        <f>U1020*V1020</f>
        <v/>
      </c>
      <c r="X1020" s="25">
        <f>T1020/N1020</f>
        <v/>
      </c>
      <c r="Y1020" s="28">
        <f>IF(W1020=MAXIFS(W$2:W$3601, A$2:A$3601, A1020, B$2:B$3601, B1020), "OPTIMAL", "")</f>
        <v/>
      </c>
    </row>
    <row r="1021" ht="20" customHeight="1">
      <c r="A1021" s="29" t="n">
        <v>4</v>
      </c>
      <c r="B1021" s="29" t="n">
        <v>35</v>
      </c>
      <c r="C1021" s="30" t="n">
        <v>115</v>
      </c>
      <c r="D1021" s="30" t="n">
        <v>2</v>
      </c>
      <c r="E1021" s="6" t="n">
        <v>8</v>
      </c>
      <c r="F1021" s="30" t="n">
        <v>2</v>
      </c>
      <c r="G1021" s="6" t="inlineStr">
        <is>
          <t>Non</t>
        </is>
      </c>
      <c r="H1021" s="6" t="inlineStr">
        <is>
          <t>OFF</t>
        </is>
      </c>
      <c r="I1021" s="31" t="n">
        <v>856.3651513317755</v>
      </c>
      <c r="J1021" s="31" t="n">
        <v>3449.488235315031</v>
      </c>
      <c r="K1021" s="31" t="n">
        <v>2287.037037037037</v>
      </c>
      <c r="L1021" s="31" t="n">
        <v>150</v>
      </c>
      <c r="M1021" s="31">
        <f>I1021+J1021+K1021+L1021</f>
        <v/>
      </c>
      <c r="N1021" s="31">
        <f>M1021*'Dashboard &amp; Optimisation'!$B$18/('Dashboard &amp; Optimisation'!$B$16/3.6)</f>
        <v/>
      </c>
      <c r="O1021" s="31" t="n">
        <v>634.6015468805844</v>
      </c>
      <c r="P1021" s="32" t="n">
        <v>0.2190784635304507</v>
      </c>
      <c r="Q1021" s="33" t="n">
        <v>15.23477960428174</v>
      </c>
      <c r="R1021" s="31" t="n">
        <v>646.1375295658806</v>
      </c>
      <c r="S1021" s="31">
        <f>R1021*IF(A1021=4, 2.0, 3.0)</f>
        <v/>
      </c>
      <c r="T1021" s="30">
        <f>'Dashboard &amp; Optimisation'!$B$18*U1021</f>
        <v/>
      </c>
      <c r="U1021" s="34">
        <f>MIN(1, S1021/M1021)</f>
        <v/>
      </c>
      <c r="V1021" s="34">
        <f>N1021/(N1021+O1021)</f>
        <v/>
      </c>
      <c r="W1021" s="34">
        <f>U1021*V1021</f>
        <v/>
      </c>
      <c r="X1021" s="32">
        <f>T1021/N1021</f>
        <v/>
      </c>
      <c r="Y1021" s="35">
        <f>IF(W1021=MAXIFS(W$2:W$3601, A$2:A$3601, A1021, B$2:B$3601, B1021), "OPTIMAL", "")</f>
        <v/>
      </c>
    </row>
    <row r="1022" ht="20" customHeight="1">
      <c r="A1022" s="21" t="n">
        <v>4</v>
      </c>
      <c r="B1022" s="21" t="n">
        <v>35</v>
      </c>
      <c r="C1022" s="22" t="n">
        <v>115</v>
      </c>
      <c r="D1022" s="22" t="n">
        <v>3</v>
      </c>
      <c r="E1022" s="23" t="n">
        <v>0</v>
      </c>
      <c r="F1022" s="22" t="n">
        <v>0</v>
      </c>
      <c r="G1022" s="23" t="inlineStr">
        <is>
          <t>Oui</t>
        </is>
      </c>
      <c r="H1022" s="23" t="inlineStr">
        <is>
          <t>ON</t>
        </is>
      </c>
      <c r="I1022" s="24" t="n">
        <v>856.3651513317755</v>
      </c>
      <c r="J1022" s="24" t="n">
        <v>3449.488235315031</v>
      </c>
      <c r="K1022" s="24" t="n">
        <v>2287.037037037037</v>
      </c>
      <c r="L1022" s="24" t="n">
        <v>150</v>
      </c>
      <c r="M1022" s="24">
        <f>I1022+J1022+K1022+L1022</f>
        <v/>
      </c>
      <c r="N1022" s="24">
        <f>M1022*'Dashboard &amp; Optimisation'!$B$18/('Dashboard &amp; Optimisation'!$B$16/3.6)</f>
        <v/>
      </c>
      <c r="O1022" s="24" t="n">
        <v>387.6655384637097</v>
      </c>
      <c r="P1022" s="25" t="n">
        <v>0.4698946720919304</v>
      </c>
      <c r="Q1022" s="26" t="n">
        <v>0.2</v>
      </c>
      <c r="R1022" s="24" t="n">
        <v>289.4701332691431</v>
      </c>
      <c r="S1022" s="24">
        <f>R1022*IF(A1022=4, 2.0, 3.0)</f>
        <v/>
      </c>
      <c r="T1022" s="22">
        <f>'Dashboard &amp; Optimisation'!$B$18*U1022</f>
        <v/>
      </c>
      <c r="U1022" s="27">
        <f>MIN(1, S1022/M1022)</f>
        <v/>
      </c>
      <c r="V1022" s="27">
        <f>N1022/(N1022+O1022)</f>
        <v/>
      </c>
      <c r="W1022" s="27">
        <f>U1022*V1022</f>
        <v/>
      </c>
      <c r="X1022" s="25">
        <f>T1022/N1022</f>
        <v/>
      </c>
      <c r="Y1022" s="28">
        <f>IF(W1022=MAXIFS(W$2:W$3601, A$2:A$3601, A1022, B$2:B$3601, B1022), "OPTIMAL", "")</f>
        <v/>
      </c>
    </row>
    <row r="1023" ht="20" customHeight="1">
      <c r="A1023" s="29" t="n">
        <v>4</v>
      </c>
      <c r="B1023" s="29" t="n">
        <v>35</v>
      </c>
      <c r="C1023" s="30" t="n">
        <v>115</v>
      </c>
      <c r="D1023" s="30" t="n">
        <v>3</v>
      </c>
      <c r="E1023" s="6" t="n">
        <v>0</v>
      </c>
      <c r="F1023" s="30" t="n">
        <v>0</v>
      </c>
      <c r="G1023" s="6" t="inlineStr">
        <is>
          <t>Oui</t>
        </is>
      </c>
      <c r="H1023" s="6" t="inlineStr">
        <is>
          <t>OFF</t>
        </is>
      </c>
      <c r="I1023" s="31" t="n">
        <v>856.3651513317755</v>
      </c>
      <c r="J1023" s="31" t="n">
        <v>3449.488235315031</v>
      </c>
      <c r="K1023" s="31" t="n">
        <v>2287.037037037037</v>
      </c>
      <c r="L1023" s="31" t="n">
        <v>150</v>
      </c>
      <c r="M1023" s="31">
        <f>I1023+J1023+K1023+L1023</f>
        <v/>
      </c>
      <c r="N1023" s="31">
        <f>M1023*'Dashboard &amp; Optimisation'!$B$18/('Dashboard &amp; Optimisation'!$B$16/3.6)</f>
        <v/>
      </c>
      <c r="O1023" s="31" t="n">
        <v>387.6655384637097</v>
      </c>
      <c r="P1023" s="32" t="n">
        <v>0.7466858774691396</v>
      </c>
      <c r="Q1023" s="33" t="n">
        <v>0.2</v>
      </c>
      <c r="R1023" s="31" t="n">
        <v>182.1655899184099</v>
      </c>
      <c r="S1023" s="31">
        <f>R1023*IF(A1023=4, 2.0, 3.0)</f>
        <v/>
      </c>
      <c r="T1023" s="30">
        <f>'Dashboard &amp; Optimisation'!$B$18*U1023</f>
        <v/>
      </c>
      <c r="U1023" s="34">
        <f>MIN(1, S1023/M1023)</f>
        <v/>
      </c>
      <c r="V1023" s="34">
        <f>N1023/(N1023+O1023)</f>
        <v/>
      </c>
      <c r="W1023" s="34">
        <f>U1023*V1023</f>
        <v/>
      </c>
      <c r="X1023" s="32">
        <f>T1023/N1023</f>
        <v/>
      </c>
      <c r="Y1023" s="35">
        <f>IF(W1023=MAXIFS(W$2:W$3601, A$2:A$3601, A1023, B$2:B$3601, B1023), "OPTIMAL", "")</f>
        <v/>
      </c>
    </row>
    <row r="1024" ht="20" customHeight="1">
      <c r="A1024" s="21" t="n">
        <v>4</v>
      </c>
      <c r="B1024" s="21" t="n">
        <v>35</v>
      </c>
      <c r="C1024" s="22" t="n">
        <v>115</v>
      </c>
      <c r="D1024" s="22" t="n">
        <v>3</v>
      </c>
      <c r="E1024" s="23" t="n">
        <v>0</v>
      </c>
      <c r="F1024" s="22" t="n">
        <v>0</v>
      </c>
      <c r="G1024" s="23" t="inlineStr">
        <is>
          <t>Non</t>
        </is>
      </c>
      <c r="H1024" s="23" t="inlineStr">
        <is>
          <t>ON</t>
        </is>
      </c>
      <c r="I1024" s="24" t="n">
        <v>856.3651513317755</v>
      </c>
      <c r="J1024" s="24" t="n">
        <v>3449.488235315031</v>
      </c>
      <c r="K1024" s="24" t="n">
        <v>2287.037037037037</v>
      </c>
      <c r="L1024" s="24" t="n">
        <v>150</v>
      </c>
      <c r="M1024" s="24">
        <f>I1024+J1024+K1024+L1024</f>
        <v/>
      </c>
      <c r="N1024" s="24">
        <f>M1024*'Dashboard &amp; Optimisation'!$B$18/('Dashboard &amp; Optimisation'!$B$16/3.6)</f>
        <v/>
      </c>
      <c r="O1024" s="24" t="n">
        <v>387.6655384637097</v>
      </c>
      <c r="P1024" s="25" t="n">
        <v>0.4671267600381582</v>
      </c>
      <c r="Q1024" s="26" t="n">
        <v>0.2</v>
      </c>
      <c r="R1024" s="24" t="n">
        <v>291.1853590699884</v>
      </c>
      <c r="S1024" s="24">
        <f>R1024*IF(A1024=4, 2.0, 3.0)</f>
        <v/>
      </c>
      <c r="T1024" s="22">
        <f>'Dashboard &amp; Optimisation'!$B$18*U1024</f>
        <v/>
      </c>
      <c r="U1024" s="27">
        <f>MIN(1, S1024/M1024)</f>
        <v/>
      </c>
      <c r="V1024" s="27">
        <f>N1024/(N1024+O1024)</f>
        <v/>
      </c>
      <c r="W1024" s="27">
        <f>U1024*V1024</f>
        <v/>
      </c>
      <c r="X1024" s="25">
        <f>T1024/N1024</f>
        <v/>
      </c>
      <c r="Y1024" s="28">
        <f>IF(W1024=MAXIFS(W$2:W$3601, A$2:A$3601, A1024, B$2:B$3601, B1024), "OPTIMAL", "")</f>
        <v/>
      </c>
    </row>
    <row r="1025" ht="20" customHeight="1">
      <c r="A1025" s="29" t="n">
        <v>4</v>
      </c>
      <c r="B1025" s="29" t="n">
        <v>35</v>
      </c>
      <c r="C1025" s="30" t="n">
        <v>115</v>
      </c>
      <c r="D1025" s="30" t="n">
        <v>3</v>
      </c>
      <c r="E1025" s="6" t="n">
        <v>0</v>
      </c>
      <c r="F1025" s="30" t="n">
        <v>0</v>
      </c>
      <c r="G1025" s="6" t="inlineStr">
        <is>
          <t>Non</t>
        </is>
      </c>
      <c r="H1025" s="6" t="inlineStr">
        <is>
          <t>OFF</t>
        </is>
      </c>
      <c r="I1025" s="31" t="n">
        <v>856.3651513317755</v>
      </c>
      <c r="J1025" s="31" t="n">
        <v>3449.488235315031</v>
      </c>
      <c r="K1025" s="31" t="n">
        <v>2287.037037037037</v>
      </c>
      <c r="L1025" s="31" t="n">
        <v>150</v>
      </c>
      <c r="M1025" s="31">
        <f>I1025+J1025+K1025+L1025</f>
        <v/>
      </c>
      <c r="N1025" s="31">
        <f>M1025*'Dashboard &amp; Optimisation'!$B$18/('Dashboard &amp; Optimisation'!$B$16/3.6)</f>
        <v/>
      </c>
      <c r="O1025" s="31" t="n">
        <v>387.6655384637097</v>
      </c>
      <c r="P1025" s="32" t="n">
        <v>0.7439179654153676</v>
      </c>
      <c r="Q1025" s="33" t="n">
        <v>0.2</v>
      </c>
      <c r="R1025" s="31" t="n">
        <v>182.8433774642936</v>
      </c>
      <c r="S1025" s="31">
        <f>R1025*IF(A1025=4, 2.0, 3.0)</f>
        <v/>
      </c>
      <c r="T1025" s="30">
        <f>'Dashboard &amp; Optimisation'!$B$18*U1025</f>
        <v/>
      </c>
      <c r="U1025" s="34">
        <f>MIN(1, S1025/M1025)</f>
        <v/>
      </c>
      <c r="V1025" s="34">
        <f>N1025/(N1025+O1025)</f>
        <v/>
      </c>
      <c r="W1025" s="34">
        <f>U1025*V1025</f>
        <v/>
      </c>
      <c r="X1025" s="32">
        <f>T1025/N1025</f>
        <v/>
      </c>
      <c r="Y1025" s="35">
        <f>IF(W1025=MAXIFS(W$2:W$3601, A$2:A$3601, A1025, B$2:B$3601, B1025), "OPTIMAL", "")</f>
        <v/>
      </c>
    </row>
    <row r="1026" ht="20" customHeight="1">
      <c r="A1026" s="21" t="n">
        <v>4</v>
      </c>
      <c r="B1026" s="21" t="n">
        <v>35</v>
      </c>
      <c r="C1026" s="22" t="n">
        <v>115</v>
      </c>
      <c r="D1026" s="22" t="n">
        <v>3</v>
      </c>
      <c r="E1026" s="23" t="n">
        <v>4</v>
      </c>
      <c r="F1026" s="22" t="n">
        <v>1.5</v>
      </c>
      <c r="G1026" s="23" t="inlineStr">
        <is>
          <t>Oui</t>
        </is>
      </c>
      <c r="H1026" s="23" t="inlineStr">
        <is>
          <t>ON</t>
        </is>
      </c>
      <c r="I1026" s="24" t="n">
        <v>856.3651513317755</v>
      </c>
      <c r="J1026" s="24" t="n">
        <v>3449.488235315031</v>
      </c>
      <c r="K1026" s="24" t="n">
        <v>2287.037037037037</v>
      </c>
      <c r="L1026" s="24" t="n">
        <v>150</v>
      </c>
      <c r="M1026" s="24">
        <f>I1026+J1026+K1026+L1026</f>
        <v/>
      </c>
      <c r="N1026" s="24">
        <f>M1026*'Dashboard &amp; Optimisation'!$B$18/('Dashboard &amp; Optimisation'!$B$16/3.6)</f>
        <v/>
      </c>
      <c r="O1026" s="24" t="n">
        <v>531.6984651263361</v>
      </c>
      <c r="P1026" s="25" t="n">
        <v>0.06905768177243103</v>
      </c>
      <c r="Q1026" s="26" t="n">
        <v>5.941492669983736</v>
      </c>
      <c r="R1026" s="24" t="n">
        <v>2026.476145319591</v>
      </c>
      <c r="S1026" s="24">
        <f>R1026*IF(A1026=4, 2.0, 3.0)</f>
        <v/>
      </c>
      <c r="T1026" s="22">
        <f>'Dashboard &amp; Optimisation'!$B$18*U1026</f>
        <v/>
      </c>
      <c r="U1026" s="27">
        <f>MIN(1, S1026/M1026)</f>
        <v/>
      </c>
      <c r="V1026" s="27">
        <f>N1026/(N1026+O1026)</f>
        <v/>
      </c>
      <c r="W1026" s="27">
        <f>U1026*V1026</f>
        <v/>
      </c>
      <c r="X1026" s="25">
        <f>T1026/N1026</f>
        <v/>
      </c>
      <c r="Y1026" s="28">
        <f>IF(W1026=MAXIFS(W$2:W$3601, A$2:A$3601, A1026, B$2:B$3601, B1026), "OPTIMAL", "")</f>
        <v/>
      </c>
    </row>
    <row r="1027" ht="20" customHeight="1">
      <c r="A1027" s="29" t="n">
        <v>4</v>
      </c>
      <c r="B1027" s="29" t="n">
        <v>35</v>
      </c>
      <c r="C1027" s="30" t="n">
        <v>115</v>
      </c>
      <c r="D1027" s="30" t="n">
        <v>3</v>
      </c>
      <c r="E1027" s="6" t="n">
        <v>4</v>
      </c>
      <c r="F1027" s="30" t="n">
        <v>1.5</v>
      </c>
      <c r="G1027" s="6" t="inlineStr">
        <is>
          <t>Oui</t>
        </is>
      </c>
      <c r="H1027" s="6" t="inlineStr">
        <is>
          <t>OFF</t>
        </is>
      </c>
      <c r="I1027" s="31" t="n">
        <v>856.3651513317755</v>
      </c>
      <c r="J1027" s="31" t="n">
        <v>3449.488235315031</v>
      </c>
      <c r="K1027" s="31" t="n">
        <v>2287.037037037037</v>
      </c>
      <c r="L1027" s="31" t="n">
        <v>150</v>
      </c>
      <c r="M1027" s="31">
        <f>I1027+J1027+K1027+L1027</f>
        <v/>
      </c>
      <c r="N1027" s="31">
        <f>M1027*'Dashboard &amp; Optimisation'!$B$18/('Dashboard &amp; Optimisation'!$B$16/3.6)</f>
        <v/>
      </c>
      <c r="O1027" s="31" t="n">
        <v>531.6984651263361</v>
      </c>
      <c r="P1027" s="32" t="n">
        <v>0.2794623219147311</v>
      </c>
      <c r="Q1027" s="33" t="n">
        <v>5.941492669983736</v>
      </c>
      <c r="R1027" s="31" t="n">
        <v>500.7606886111909</v>
      </c>
      <c r="S1027" s="31">
        <f>R1027*IF(A1027=4, 2.0, 3.0)</f>
        <v/>
      </c>
      <c r="T1027" s="30">
        <f>'Dashboard &amp; Optimisation'!$B$18*U1027</f>
        <v/>
      </c>
      <c r="U1027" s="34">
        <f>MIN(1, S1027/M1027)</f>
        <v/>
      </c>
      <c r="V1027" s="34">
        <f>N1027/(N1027+O1027)</f>
        <v/>
      </c>
      <c r="W1027" s="34">
        <f>U1027*V1027</f>
        <v/>
      </c>
      <c r="X1027" s="32">
        <f>T1027/N1027</f>
        <v/>
      </c>
      <c r="Y1027" s="35">
        <f>IF(W1027=MAXIFS(W$2:W$3601, A$2:A$3601, A1027, B$2:B$3601, B1027), "OPTIMAL", "")</f>
        <v/>
      </c>
    </row>
    <row r="1028" ht="20" customHeight="1">
      <c r="A1028" s="21" t="n">
        <v>4</v>
      </c>
      <c r="B1028" s="21" t="n">
        <v>35</v>
      </c>
      <c r="C1028" s="22" t="n">
        <v>115</v>
      </c>
      <c r="D1028" s="22" t="n">
        <v>3</v>
      </c>
      <c r="E1028" s="23" t="n">
        <v>4</v>
      </c>
      <c r="F1028" s="22" t="n">
        <v>1.5</v>
      </c>
      <c r="G1028" s="23" t="inlineStr">
        <is>
          <t>Non</t>
        </is>
      </c>
      <c r="H1028" s="23" t="inlineStr">
        <is>
          <t>ON</t>
        </is>
      </c>
      <c r="I1028" s="24" t="n">
        <v>856.3651513317755</v>
      </c>
      <c r="J1028" s="24" t="n">
        <v>3449.488235315031</v>
      </c>
      <c r="K1028" s="24" t="n">
        <v>2287.037037037037</v>
      </c>
      <c r="L1028" s="24" t="n">
        <v>150</v>
      </c>
      <c r="M1028" s="24">
        <f>I1028+J1028+K1028+L1028</f>
        <v/>
      </c>
      <c r="N1028" s="24">
        <f>M1028*'Dashboard &amp; Optimisation'!$B$18/('Dashboard &amp; Optimisation'!$B$16/3.6)</f>
        <v/>
      </c>
      <c r="O1028" s="24" t="n">
        <v>531.6984651263361</v>
      </c>
      <c r="P1028" s="25" t="n">
        <v>0.06628976971865894</v>
      </c>
      <c r="Q1028" s="26" t="n">
        <v>5.941492669983736</v>
      </c>
      <c r="R1028" s="24" t="n">
        <v>2111.091128492973</v>
      </c>
      <c r="S1028" s="24">
        <f>R1028*IF(A1028=4, 2.0, 3.0)</f>
        <v/>
      </c>
      <c r="T1028" s="22">
        <f>'Dashboard &amp; Optimisation'!$B$18*U1028</f>
        <v/>
      </c>
      <c r="U1028" s="27">
        <f>MIN(1, S1028/M1028)</f>
        <v/>
      </c>
      <c r="V1028" s="27">
        <f>N1028/(N1028+O1028)</f>
        <v/>
      </c>
      <c r="W1028" s="27">
        <f>U1028*V1028</f>
        <v/>
      </c>
      <c r="X1028" s="25">
        <f>T1028/N1028</f>
        <v/>
      </c>
      <c r="Y1028" s="28">
        <f>IF(W1028=MAXIFS(W$2:W$3601, A$2:A$3601, A1028, B$2:B$3601, B1028), "OPTIMAL", "")</f>
        <v/>
      </c>
    </row>
    <row r="1029" ht="20" customHeight="1">
      <c r="A1029" s="29" t="n">
        <v>4</v>
      </c>
      <c r="B1029" s="29" t="n">
        <v>35</v>
      </c>
      <c r="C1029" s="30" t="n">
        <v>115</v>
      </c>
      <c r="D1029" s="30" t="n">
        <v>3</v>
      </c>
      <c r="E1029" s="6" t="n">
        <v>4</v>
      </c>
      <c r="F1029" s="30" t="n">
        <v>1.5</v>
      </c>
      <c r="G1029" s="6" t="inlineStr">
        <is>
          <t>Non</t>
        </is>
      </c>
      <c r="H1029" s="6" t="inlineStr">
        <is>
          <t>OFF</t>
        </is>
      </c>
      <c r="I1029" s="31" t="n">
        <v>856.3651513317755</v>
      </c>
      <c r="J1029" s="31" t="n">
        <v>3449.488235315031</v>
      </c>
      <c r="K1029" s="31" t="n">
        <v>2287.037037037037</v>
      </c>
      <c r="L1029" s="31" t="n">
        <v>150</v>
      </c>
      <c r="M1029" s="31">
        <f>I1029+J1029+K1029+L1029</f>
        <v/>
      </c>
      <c r="N1029" s="31">
        <f>M1029*'Dashboard &amp; Optimisation'!$B$18/('Dashboard &amp; Optimisation'!$B$16/3.6)</f>
        <v/>
      </c>
      <c r="O1029" s="31" t="n">
        <v>531.6984651263361</v>
      </c>
      <c r="P1029" s="32" t="n">
        <v>0.276694409860959</v>
      </c>
      <c r="Q1029" s="33" t="n">
        <v>5.941492669983736</v>
      </c>
      <c r="R1029" s="31" t="n">
        <v>505.7700472995671</v>
      </c>
      <c r="S1029" s="31">
        <f>R1029*IF(A1029=4, 2.0, 3.0)</f>
        <v/>
      </c>
      <c r="T1029" s="30">
        <f>'Dashboard &amp; Optimisation'!$B$18*U1029</f>
        <v/>
      </c>
      <c r="U1029" s="34">
        <f>MIN(1, S1029/M1029)</f>
        <v/>
      </c>
      <c r="V1029" s="34">
        <f>N1029/(N1029+O1029)</f>
        <v/>
      </c>
      <c r="W1029" s="34">
        <f>U1029*V1029</f>
        <v/>
      </c>
      <c r="X1029" s="32">
        <f>T1029/N1029</f>
        <v/>
      </c>
      <c r="Y1029" s="35">
        <f>IF(W1029=MAXIFS(W$2:W$3601, A$2:A$3601, A1029, B$2:B$3601, B1029), "OPTIMAL", "")</f>
        <v/>
      </c>
    </row>
    <row r="1030" ht="20" customHeight="1">
      <c r="A1030" s="21" t="n">
        <v>4</v>
      </c>
      <c r="B1030" s="21" t="n">
        <v>35</v>
      </c>
      <c r="C1030" s="22" t="n">
        <v>115</v>
      </c>
      <c r="D1030" s="22" t="n">
        <v>3</v>
      </c>
      <c r="E1030" s="23" t="n">
        <v>4</v>
      </c>
      <c r="F1030" s="22" t="n">
        <v>2</v>
      </c>
      <c r="G1030" s="23" t="inlineStr">
        <is>
          <t>Oui</t>
        </is>
      </c>
      <c r="H1030" s="23" t="inlineStr">
        <is>
          <t>ON</t>
        </is>
      </c>
      <c r="I1030" s="24" t="n">
        <v>856.3651513317755</v>
      </c>
      <c r="J1030" s="24" t="n">
        <v>3449.488235315031</v>
      </c>
      <c r="K1030" s="24" t="n">
        <v>2287.037037037037</v>
      </c>
      <c r="L1030" s="24" t="n">
        <v>150</v>
      </c>
      <c r="M1030" s="24">
        <f>I1030+J1030+K1030+L1030</f>
        <v/>
      </c>
      <c r="N1030" s="24">
        <f>M1030*'Dashboard &amp; Optimisation'!$B$18/('Dashboard &amp; Optimisation'!$B$16/3.6)</f>
        <v/>
      </c>
      <c r="O1030" s="24" t="n">
        <v>581.5737545384414</v>
      </c>
      <c r="P1030" s="25" t="n">
        <v>0.06595572049116703</v>
      </c>
      <c r="Q1030" s="26" t="n">
        <v>7.855323559978315</v>
      </c>
      <c r="R1030" s="24" t="n">
        <v>2142.381014953368</v>
      </c>
      <c r="S1030" s="24">
        <f>R1030*IF(A1030=4, 2.0, 3.0)</f>
        <v/>
      </c>
      <c r="T1030" s="22">
        <f>'Dashboard &amp; Optimisation'!$B$18*U1030</f>
        <v/>
      </c>
      <c r="U1030" s="27">
        <f>MIN(1, S1030/M1030)</f>
        <v/>
      </c>
      <c r="V1030" s="27">
        <f>N1030/(N1030+O1030)</f>
        <v/>
      </c>
      <c r="W1030" s="27">
        <f>U1030*V1030</f>
        <v/>
      </c>
      <c r="X1030" s="25">
        <f>T1030/N1030</f>
        <v/>
      </c>
      <c r="Y1030" s="28">
        <f>IF(W1030=MAXIFS(W$2:W$3601, A$2:A$3601, A1030, B$2:B$3601, B1030), "OPTIMAL", "")</f>
        <v/>
      </c>
    </row>
    <row r="1031" ht="20" customHeight="1">
      <c r="A1031" s="29" t="n">
        <v>4</v>
      </c>
      <c r="B1031" s="29" t="n">
        <v>35</v>
      </c>
      <c r="C1031" s="30" t="n">
        <v>115</v>
      </c>
      <c r="D1031" s="30" t="n">
        <v>3</v>
      </c>
      <c r="E1031" s="6" t="n">
        <v>4</v>
      </c>
      <c r="F1031" s="30" t="n">
        <v>2</v>
      </c>
      <c r="G1031" s="6" t="inlineStr">
        <is>
          <t>Oui</t>
        </is>
      </c>
      <c r="H1031" s="6" t="inlineStr">
        <is>
          <t>OFF</t>
        </is>
      </c>
      <c r="I1031" s="31" t="n">
        <v>856.3651513317755</v>
      </c>
      <c r="J1031" s="31" t="n">
        <v>3449.488235315031</v>
      </c>
      <c r="K1031" s="31" t="n">
        <v>2287.037037037037</v>
      </c>
      <c r="L1031" s="31" t="n">
        <v>150</v>
      </c>
      <c r="M1031" s="31">
        <f>I1031+J1031+K1031+L1031</f>
        <v/>
      </c>
      <c r="N1031" s="31">
        <f>M1031*'Dashboard &amp; Optimisation'!$B$18/('Dashboard &amp; Optimisation'!$B$16/3.6)</f>
        <v/>
      </c>
      <c r="O1031" s="31" t="n">
        <v>581.5737545384414</v>
      </c>
      <c r="P1031" s="32" t="n">
        <v>0.2772478604823886</v>
      </c>
      <c r="Q1031" s="33" t="n">
        <v>7.855323559978315</v>
      </c>
      <c r="R1031" s="31" t="n">
        <v>509.6605007591137</v>
      </c>
      <c r="S1031" s="31">
        <f>R1031*IF(A1031=4, 2.0, 3.0)</f>
        <v/>
      </c>
      <c r="T1031" s="30">
        <f>'Dashboard &amp; Optimisation'!$B$18*U1031</f>
        <v/>
      </c>
      <c r="U1031" s="34">
        <f>MIN(1, S1031/M1031)</f>
        <v/>
      </c>
      <c r="V1031" s="34">
        <f>N1031/(N1031+O1031)</f>
        <v/>
      </c>
      <c r="W1031" s="34">
        <f>U1031*V1031</f>
        <v/>
      </c>
      <c r="X1031" s="32">
        <f>T1031/N1031</f>
        <v/>
      </c>
      <c r="Y1031" s="35">
        <f>IF(W1031=MAXIFS(W$2:W$3601, A$2:A$3601, A1031, B$2:B$3601, B1031), "OPTIMAL", "")</f>
        <v/>
      </c>
    </row>
    <row r="1032" ht="20" customHeight="1">
      <c r="A1032" s="21" t="n">
        <v>4</v>
      </c>
      <c r="B1032" s="21" t="n">
        <v>35</v>
      </c>
      <c r="C1032" s="22" t="n">
        <v>115</v>
      </c>
      <c r="D1032" s="22" t="n">
        <v>3</v>
      </c>
      <c r="E1032" s="23" t="n">
        <v>4</v>
      </c>
      <c r="F1032" s="22" t="n">
        <v>2</v>
      </c>
      <c r="G1032" s="23" t="inlineStr">
        <is>
          <t>Non</t>
        </is>
      </c>
      <c r="H1032" s="23" t="inlineStr">
        <is>
          <t>ON</t>
        </is>
      </c>
      <c r="I1032" s="24" t="n">
        <v>856.3651513317755</v>
      </c>
      <c r="J1032" s="24" t="n">
        <v>3449.488235315031</v>
      </c>
      <c r="K1032" s="24" t="n">
        <v>2287.037037037037</v>
      </c>
      <c r="L1032" s="24" t="n">
        <v>150</v>
      </c>
      <c r="M1032" s="24">
        <f>I1032+J1032+K1032+L1032</f>
        <v/>
      </c>
      <c r="N1032" s="24">
        <f>M1032*'Dashboard &amp; Optimisation'!$B$18/('Dashboard &amp; Optimisation'!$B$16/3.6)</f>
        <v/>
      </c>
      <c r="O1032" s="24" t="n">
        <v>581.5737545384414</v>
      </c>
      <c r="P1032" s="25" t="n">
        <v>0.06318780843739494</v>
      </c>
      <c r="Q1032" s="26" t="n">
        <v>7.855323559978315</v>
      </c>
      <c r="R1032" s="24" t="n">
        <v>2236.227001730028</v>
      </c>
      <c r="S1032" s="24">
        <f>R1032*IF(A1032=4, 2.0, 3.0)</f>
        <v/>
      </c>
      <c r="T1032" s="22">
        <f>'Dashboard &amp; Optimisation'!$B$18*U1032</f>
        <v/>
      </c>
      <c r="U1032" s="27">
        <f>MIN(1, S1032/M1032)</f>
        <v/>
      </c>
      <c r="V1032" s="27">
        <f>N1032/(N1032+O1032)</f>
        <v/>
      </c>
      <c r="W1032" s="27">
        <f>U1032*V1032</f>
        <v/>
      </c>
      <c r="X1032" s="25">
        <f>T1032/N1032</f>
        <v/>
      </c>
      <c r="Y1032" s="28">
        <f>IF(W1032=MAXIFS(W$2:W$3601, A$2:A$3601, A1032, B$2:B$3601, B1032), "OPTIMAL", "")</f>
        <v/>
      </c>
    </row>
    <row r="1033" ht="20" customHeight="1">
      <c r="A1033" s="29" t="n">
        <v>4</v>
      </c>
      <c r="B1033" s="29" t="n">
        <v>35</v>
      </c>
      <c r="C1033" s="30" t="n">
        <v>115</v>
      </c>
      <c r="D1033" s="30" t="n">
        <v>3</v>
      </c>
      <c r="E1033" s="6" t="n">
        <v>4</v>
      </c>
      <c r="F1033" s="30" t="n">
        <v>2</v>
      </c>
      <c r="G1033" s="6" t="inlineStr">
        <is>
          <t>Non</t>
        </is>
      </c>
      <c r="H1033" s="6" t="inlineStr">
        <is>
          <t>OFF</t>
        </is>
      </c>
      <c r="I1033" s="31" t="n">
        <v>856.3651513317755</v>
      </c>
      <c r="J1033" s="31" t="n">
        <v>3449.488235315031</v>
      </c>
      <c r="K1033" s="31" t="n">
        <v>2287.037037037037</v>
      </c>
      <c r="L1033" s="31" t="n">
        <v>150</v>
      </c>
      <c r="M1033" s="31">
        <f>I1033+J1033+K1033+L1033</f>
        <v/>
      </c>
      <c r="N1033" s="31">
        <f>M1033*'Dashboard &amp; Optimisation'!$B$18/('Dashboard &amp; Optimisation'!$B$16/3.6)</f>
        <v/>
      </c>
      <c r="O1033" s="31" t="n">
        <v>581.5737545384414</v>
      </c>
      <c r="P1033" s="32" t="n">
        <v>0.2744799484286165</v>
      </c>
      <c r="Q1033" s="33" t="n">
        <v>7.855323559978315</v>
      </c>
      <c r="R1033" s="31" t="n">
        <v>514.8000217021146</v>
      </c>
      <c r="S1033" s="31">
        <f>R1033*IF(A1033=4, 2.0, 3.0)</f>
        <v/>
      </c>
      <c r="T1033" s="30">
        <f>'Dashboard &amp; Optimisation'!$B$18*U1033</f>
        <v/>
      </c>
      <c r="U1033" s="34">
        <f>MIN(1, S1033/M1033)</f>
        <v/>
      </c>
      <c r="V1033" s="34">
        <f>N1033/(N1033+O1033)</f>
        <v/>
      </c>
      <c r="W1033" s="34">
        <f>U1033*V1033</f>
        <v/>
      </c>
      <c r="X1033" s="32">
        <f>T1033/N1033</f>
        <v/>
      </c>
      <c r="Y1033" s="35">
        <f>IF(W1033=MAXIFS(W$2:W$3601, A$2:A$3601, A1033, B$2:B$3601, B1033), "OPTIMAL", "")</f>
        <v/>
      </c>
    </row>
    <row r="1034" ht="20" customHeight="1">
      <c r="A1034" s="21" t="n">
        <v>4</v>
      </c>
      <c r="B1034" s="21" t="n">
        <v>35</v>
      </c>
      <c r="C1034" s="22" t="n">
        <v>115</v>
      </c>
      <c r="D1034" s="22" t="n">
        <v>3</v>
      </c>
      <c r="E1034" s="23" t="n">
        <v>8</v>
      </c>
      <c r="F1034" s="22" t="n">
        <v>1.5</v>
      </c>
      <c r="G1034" s="23" t="inlineStr">
        <is>
          <t>Oui</t>
        </is>
      </c>
      <c r="H1034" s="23" t="inlineStr">
        <is>
          <t>ON</t>
        </is>
      </c>
      <c r="I1034" s="24" t="n">
        <v>856.3651513317755</v>
      </c>
      <c r="J1034" s="24" t="n">
        <v>3449.488235315031</v>
      </c>
      <c r="K1034" s="24" t="n">
        <v>2287.037037037037</v>
      </c>
      <c r="L1034" s="24" t="n">
        <v>150</v>
      </c>
      <c r="M1034" s="24">
        <f>I1034+J1034+K1034+L1034</f>
        <v/>
      </c>
      <c r="N1034" s="24">
        <f>M1034*'Dashboard &amp; Optimisation'!$B$18/('Dashboard &amp; Optimisation'!$B$16/3.6)</f>
        <v/>
      </c>
      <c r="O1034" s="24" t="n">
        <v>684.2869138584923</v>
      </c>
      <c r="P1034" s="25" t="n">
        <v>0.05237734442636455</v>
      </c>
      <c r="Q1034" s="26" t="n">
        <v>11.68298533996747</v>
      </c>
      <c r="R1034" s="24" t="n">
        <v>2751.190598776284</v>
      </c>
      <c r="S1034" s="24">
        <f>R1034*IF(A1034=4, 2.0, 3.0)</f>
        <v/>
      </c>
      <c r="T1034" s="22">
        <f>'Dashboard &amp; Optimisation'!$B$18*U1034</f>
        <v/>
      </c>
      <c r="U1034" s="27">
        <f>MIN(1, S1034/M1034)</f>
        <v/>
      </c>
      <c r="V1034" s="27">
        <f>N1034/(N1034+O1034)</f>
        <v/>
      </c>
      <c r="W1034" s="27">
        <f>U1034*V1034</f>
        <v/>
      </c>
      <c r="X1034" s="25">
        <f>T1034/N1034</f>
        <v/>
      </c>
      <c r="Y1034" s="28">
        <f>IF(W1034=MAXIFS(W$2:W$3601, A$2:A$3601, A1034, B$2:B$3601, B1034), "OPTIMAL", "")</f>
        <v/>
      </c>
    </row>
    <row r="1035" ht="20" customHeight="1">
      <c r="A1035" s="29" t="n">
        <v>4</v>
      </c>
      <c r="B1035" s="29" t="n">
        <v>35</v>
      </c>
      <c r="C1035" s="30" t="n">
        <v>115</v>
      </c>
      <c r="D1035" s="30" t="n">
        <v>3</v>
      </c>
      <c r="E1035" s="6" t="n">
        <v>8</v>
      </c>
      <c r="F1035" s="30" t="n">
        <v>1.5</v>
      </c>
      <c r="G1035" s="6" t="inlineStr">
        <is>
          <t>Oui</t>
        </is>
      </c>
      <c r="H1035" s="6" t="inlineStr">
        <is>
          <t>OFF</t>
        </is>
      </c>
      <c r="I1035" s="31" t="n">
        <v>856.3651513317755</v>
      </c>
      <c r="J1035" s="31" t="n">
        <v>3449.488235315031</v>
      </c>
      <c r="K1035" s="31" t="n">
        <v>2287.037037037037</v>
      </c>
      <c r="L1035" s="31" t="n">
        <v>150</v>
      </c>
      <c r="M1035" s="31">
        <f>I1035+J1035+K1035+L1035</f>
        <v/>
      </c>
      <c r="N1035" s="31">
        <f>M1035*'Dashboard &amp; Optimisation'!$B$18/('Dashboard &amp; Optimisation'!$B$16/3.6)</f>
        <v/>
      </c>
      <c r="O1035" s="31" t="n">
        <v>684.2869138584923</v>
      </c>
      <c r="P1035" s="32" t="n">
        <v>0.2220791446673444</v>
      </c>
      <c r="Q1035" s="33" t="n">
        <v>11.68298533996747</v>
      </c>
      <c r="R1035" s="31" t="n">
        <v>648.8680321176993</v>
      </c>
      <c r="S1035" s="31">
        <f>R1035*IF(A1035=4, 2.0, 3.0)</f>
        <v/>
      </c>
      <c r="T1035" s="30">
        <f>'Dashboard &amp; Optimisation'!$B$18*U1035</f>
        <v/>
      </c>
      <c r="U1035" s="34">
        <f>MIN(1, S1035/M1035)</f>
        <v/>
      </c>
      <c r="V1035" s="34">
        <f>N1035/(N1035+O1035)</f>
        <v/>
      </c>
      <c r="W1035" s="34">
        <f>U1035*V1035</f>
        <v/>
      </c>
      <c r="X1035" s="32">
        <f>T1035/N1035</f>
        <v/>
      </c>
      <c r="Y1035" s="35">
        <f>IF(W1035=MAXIFS(W$2:W$3601, A$2:A$3601, A1035, B$2:B$3601, B1035), "OPTIMAL", "")</f>
        <v/>
      </c>
    </row>
    <row r="1036" ht="20" customHeight="1">
      <c r="A1036" s="21" t="n">
        <v>4</v>
      </c>
      <c r="B1036" s="21" t="n">
        <v>35</v>
      </c>
      <c r="C1036" s="22" t="n">
        <v>115</v>
      </c>
      <c r="D1036" s="22" t="n">
        <v>3</v>
      </c>
      <c r="E1036" s="23" t="n">
        <v>8</v>
      </c>
      <c r="F1036" s="22" t="n">
        <v>1.5</v>
      </c>
      <c r="G1036" s="23" t="inlineStr">
        <is>
          <t>Non</t>
        </is>
      </c>
      <c r="H1036" s="23" t="inlineStr">
        <is>
          <t>ON</t>
        </is>
      </c>
      <c r="I1036" s="24" t="n">
        <v>856.3651513317755</v>
      </c>
      <c r="J1036" s="24" t="n">
        <v>3449.488235315031</v>
      </c>
      <c r="K1036" s="24" t="n">
        <v>2287.037037037037</v>
      </c>
      <c r="L1036" s="24" t="n">
        <v>150</v>
      </c>
      <c r="M1036" s="24">
        <f>I1036+J1036+K1036+L1036</f>
        <v/>
      </c>
      <c r="N1036" s="24">
        <f>M1036*'Dashboard &amp; Optimisation'!$B$18/('Dashboard &amp; Optimisation'!$B$16/3.6)</f>
        <v/>
      </c>
      <c r="O1036" s="24" t="n">
        <v>684.2869138584923</v>
      </c>
      <c r="P1036" s="25" t="n">
        <v>0.04960943237259246</v>
      </c>
      <c r="Q1036" s="26" t="n">
        <v>11.68298533996747</v>
      </c>
      <c r="R1036" s="24" t="n">
        <v>2904.690714709569</v>
      </c>
      <c r="S1036" s="24">
        <f>R1036*IF(A1036=4, 2.0, 3.0)</f>
        <v/>
      </c>
      <c r="T1036" s="22">
        <f>'Dashboard &amp; Optimisation'!$B$18*U1036</f>
        <v/>
      </c>
      <c r="U1036" s="27">
        <f>MIN(1, S1036/M1036)</f>
        <v/>
      </c>
      <c r="V1036" s="27">
        <f>N1036/(N1036+O1036)</f>
        <v/>
      </c>
      <c r="W1036" s="27">
        <f>U1036*V1036</f>
        <v/>
      </c>
      <c r="X1036" s="25">
        <f>T1036/N1036</f>
        <v/>
      </c>
      <c r="Y1036" s="28">
        <f>IF(W1036=MAXIFS(W$2:W$3601, A$2:A$3601, A1036, B$2:B$3601, B1036), "OPTIMAL", "")</f>
        <v/>
      </c>
    </row>
    <row r="1037" ht="20" customHeight="1">
      <c r="A1037" s="29" t="n">
        <v>4</v>
      </c>
      <c r="B1037" s="29" t="n">
        <v>35</v>
      </c>
      <c r="C1037" s="30" t="n">
        <v>115</v>
      </c>
      <c r="D1037" s="30" t="n">
        <v>3</v>
      </c>
      <c r="E1037" s="6" t="n">
        <v>8</v>
      </c>
      <c r="F1037" s="30" t="n">
        <v>1.5</v>
      </c>
      <c r="G1037" s="6" t="inlineStr">
        <is>
          <t>Non</t>
        </is>
      </c>
      <c r="H1037" s="6" t="inlineStr">
        <is>
          <t>OFF</t>
        </is>
      </c>
      <c r="I1037" s="31" t="n">
        <v>856.3651513317755</v>
      </c>
      <c r="J1037" s="31" t="n">
        <v>3449.488235315031</v>
      </c>
      <c r="K1037" s="31" t="n">
        <v>2287.037037037037</v>
      </c>
      <c r="L1037" s="31" t="n">
        <v>150</v>
      </c>
      <c r="M1037" s="31">
        <f>I1037+J1037+K1037+L1037</f>
        <v/>
      </c>
      <c r="N1037" s="31">
        <f>M1037*'Dashboard &amp; Optimisation'!$B$18/('Dashboard &amp; Optimisation'!$B$16/3.6)</f>
        <v/>
      </c>
      <c r="O1037" s="31" t="n">
        <v>684.2869138584923</v>
      </c>
      <c r="P1037" s="32" t="n">
        <v>0.2193112326135723</v>
      </c>
      <c r="Q1037" s="33" t="n">
        <v>11.68298533996747</v>
      </c>
      <c r="R1037" s="31" t="n">
        <v>657.0573511325193</v>
      </c>
      <c r="S1037" s="31">
        <f>R1037*IF(A1037=4, 2.0, 3.0)</f>
        <v/>
      </c>
      <c r="T1037" s="30">
        <f>'Dashboard &amp; Optimisation'!$B$18*U1037</f>
        <v/>
      </c>
      <c r="U1037" s="34">
        <f>MIN(1, S1037/M1037)</f>
        <v/>
      </c>
      <c r="V1037" s="34">
        <f>N1037/(N1037+O1037)</f>
        <v/>
      </c>
      <c r="W1037" s="34">
        <f>U1037*V1037</f>
        <v/>
      </c>
      <c r="X1037" s="32">
        <f>T1037/N1037</f>
        <v/>
      </c>
      <c r="Y1037" s="35">
        <f>IF(W1037=MAXIFS(W$2:W$3601, A$2:A$3601, A1037, B$2:B$3601, B1037), "OPTIMAL", "")</f>
        <v/>
      </c>
    </row>
    <row r="1038" ht="20" customHeight="1">
      <c r="A1038" s="21" t="n">
        <v>4</v>
      </c>
      <c r="B1038" s="21" t="n">
        <v>35</v>
      </c>
      <c r="C1038" s="22" t="n">
        <v>115</v>
      </c>
      <c r="D1038" s="22" t="n">
        <v>3</v>
      </c>
      <c r="E1038" s="23" t="n">
        <v>8</v>
      </c>
      <c r="F1038" s="22" t="n">
        <v>2</v>
      </c>
      <c r="G1038" s="23" t="inlineStr">
        <is>
          <t>Oui</t>
        </is>
      </c>
      <c r="H1038" s="23" t="inlineStr">
        <is>
          <t>ON</t>
        </is>
      </c>
      <c r="I1038" s="24" t="n">
        <v>856.3651513317755</v>
      </c>
      <c r="J1038" s="24" t="n">
        <v>3449.488235315031</v>
      </c>
      <c r="K1038" s="24" t="n">
        <v>2287.037037037037</v>
      </c>
      <c r="L1038" s="24" t="n">
        <v>150</v>
      </c>
      <c r="M1038" s="24">
        <f>I1038+J1038+K1038+L1038</f>
        <v/>
      </c>
      <c r="N1038" s="24">
        <f>M1038*'Dashboard &amp; Optimisation'!$B$18/('Dashboard &amp; Optimisation'!$B$16/3.6)</f>
        <v/>
      </c>
      <c r="O1038" s="24" t="n">
        <v>791.1496597200118</v>
      </c>
      <c r="P1038" s="25" t="n">
        <v>0.05090778119320737</v>
      </c>
      <c r="Q1038" s="26" t="n">
        <v>15.51064711995663</v>
      </c>
      <c r="R1038" s="24" t="n">
        <v>2887.787636557116</v>
      </c>
      <c r="S1038" s="24">
        <f>R1038*IF(A1038=4, 2.0, 3.0)</f>
        <v/>
      </c>
      <c r="T1038" s="22">
        <f>'Dashboard &amp; Optimisation'!$B$18*U1038</f>
        <v/>
      </c>
      <c r="U1038" s="27">
        <f>MIN(1, S1038/M1038)</f>
        <v/>
      </c>
      <c r="V1038" s="27">
        <f>N1038/(N1038+O1038)</f>
        <v/>
      </c>
      <c r="W1038" s="27">
        <f>U1038*V1038</f>
        <v/>
      </c>
      <c r="X1038" s="25">
        <f>T1038/N1038</f>
        <v/>
      </c>
      <c r="Y1038" s="28">
        <f>IF(W1038=MAXIFS(W$2:W$3601, A$2:A$3601, A1038, B$2:B$3601, B1038), "OPTIMAL", "")</f>
        <v/>
      </c>
    </row>
    <row r="1039" ht="20" customHeight="1">
      <c r="A1039" s="29" t="n">
        <v>4</v>
      </c>
      <c r="B1039" s="29" t="n">
        <v>35</v>
      </c>
      <c r="C1039" s="30" t="n">
        <v>115</v>
      </c>
      <c r="D1039" s="30" t="n">
        <v>3</v>
      </c>
      <c r="E1039" s="6" t="n">
        <v>8</v>
      </c>
      <c r="F1039" s="30" t="n">
        <v>2</v>
      </c>
      <c r="G1039" s="6" t="inlineStr">
        <is>
          <t>Oui</t>
        </is>
      </c>
      <c r="H1039" s="6" t="inlineStr">
        <is>
          <t>OFF</t>
        </is>
      </c>
      <c r="I1039" s="31" t="n">
        <v>856.3651513317755</v>
      </c>
      <c r="J1039" s="31" t="n">
        <v>3449.488235315031</v>
      </c>
      <c r="K1039" s="31" t="n">
        <v>2287.037037037037</v>
      </c>
      <c r="L1039" s="31" t="n">
        <v>150</v>
      </c>
      <c r="M1039" s="31">
        <f>I1039+J1039+K1039+L1039</f>
        <v/>
      </c>
      <c r="N1039" s="31">
        <f>M1039*'Dashboard &amp; Optimisation'!$B$18/('Dashboard &amp; Optimisation'!$B$16/3.6)</f>
        <v/>
      </c>
      <c r="O1039" s="31" t="n">
        <v>791.1496597200118</v>
      </c>
      <c r="P1039" s="32" t="n">
        <v>0.2217675898086125</v>
      </c>
      <c r="Q1039" s="33" t="n">
        <v>15.51064711995663</v>
      </c>
      <c r="R1039" s="31" t="n">
        <v>662.9050767119344</v>
      </c>
      <c r="S1039" s="31">
        <f>R1039*IF(A1039=4, 2.0, 3.0)</f>
        <v/>
      </c>
      <c r="T1039" s="30">
        <f>'Dashboard &amp; Optimisation'!$B$18*U1039</f>
        <v/>
      </c>
      <c r="U1039" s="34">
        <f>MIN(1, S1039/M1039)</f>
        <v/>
      </c>
      <c r="V1039" s="34">
        <f>N1039/(N1039+O1039)</f>
        <v/>
      </c>
      <c r="W1039" s="34">
        <f>U1039*V1039</f>
        <v/>
      </c>
      <c r="X1039" s="32">
        <f>T1039/N1039</f>
        <v/>
      </c>
      <c r="Y1039" s="35">
        <f>IF(W1039=MAXIFS(W$2:W$3601, A$2:A$3601, A1039, B$2:B$3601, B1039), "OPTIMAL", "")</f>
        <v/>
      </c>
    </row>
    <row r="1040" ht="20" customHeight="1">
      <c r="A1040" s="21" t="n">
        <v>4</v>
      </c>
      <c r="B1040" s="21" t="n">
        <v>35</v>
      </c>
      <c r="C1040" s="22" t="n">
        <v>115</v>
      </c>
      <c r="D1040" s="22" t="n">
        <v>3</v>
      </c>
      <c r="E1040" s="23" t="n">
        <v>8</v>
      </c>
      <c r="F1040" s="22" t="n">
        <v>2</v>
      </c>
      <c r="G1040" s="23" t="inlineStr">
        <is>
          <t>Non</t>
        </is>
      </c>
      <c r="H1040" s="23" t="inlineStr">
        <is>
          <t>ON</t>
        </is>
      </c>
      <c r="I1040" s="24" t="n">
        <v>856.3651513317755</v>
      </c>
      <c r="J1040" s="24" t="n">
        <v>3449.488235315031</v>
      </c>
      <c r="K1040" s="24" t="n">
        <v>2287.037037037037</v>
      </c>
      <c r="L1040" s="24" t="n">
        <v>150</v>
      </c>
      <c r="M1040" s="24">
        <f>I1040+J1040+K1040+L1040</f>
        <v/>
      </c>
      <c r="N1040" s="24">
        <f>M1040*'Dashboard &amp; Optimisation'!$B$18/('Dashboard &amp; Optimisation'!$B$16/3.6)</f>
        <v/>
      </c>
      <c r="O1040" s="24" t="n">
        <v>791.1496597200118</v>
      </c>
      <c r="P1040" s="25" t="n">
        <v>0.04813986913943527</v>
      </c>
      <c r="Q1040" s="26" t="n">
        <v>15.51064711995663</v>
      </c>
      <c r="R1040" s="24" t="n">
        <v>3053.827601992183</v>
      </c>
      <c r="S1040" s="24">
        <f>R1040*IF(A1040=4, 2.0, 3.0)</f>
        <v/>
      </c>
      <c r="T1040" s="22">
        <f>'Dashboard &amp; Optimisation'!$B$18*U1040</f>
        <v/>
      </c>
      <c r="U1040" s="27">
        <f>MIN(1, S1040/M1040)</f>
        <v/>
      </c>
      <c r="V1040" s="27">
        <f>N1040/(N1040+O1040)</f>
        <v/>
      </c>
      <c r="W1040" s="27">
        <f>U1040*V1040</f>
        <v/>
      </c>
      <c r="X1040" s="25">
        <f>T1040/N1040</f>
        <v/>
      </c>
      <c r="Y1040" s="28">
        <f>IF(W1040=MAXIFS(W$2:W$3601, A$2:A$3601, A1040, B$2:B$3601, B1040), "OPTIMAL", "")</f>
        <v/>
      </c>
    </row>
    <row r="1041" ht="20" customHeight="1">
      <c r="A1041" s="29" t="n">
        <v>4</v>
      </c>
      <c r="B1041" s="29" t="n">
        <v>35</v>
      </c>
      <c r="C1041" s="30" t="n">
        <v>115</v>
      </c>
      <c r="D1041" s="30" t="n">
        <v>3</v>
      </c>
      <c r="E1041" s="6" t="n">
        <v>8</v>
      </c>
      <c r="F1041" s="30" t="n">
        <v>2</v>
      </c>
      <c r="G1041" s="6" t="inlineStr">
        <is>
          <t>Non</t>
        </is>
      </c>
      <c r="H1041" s="6" t="inlineStr">
        <is>
          <t>OFF</t>
        </is>
      </c>
      <c r="I1041" s="31" t="n">
        <v>856.3651513317755</v>
      </c>
      <c r="J1041" s="31" t="n">
        <v>3449.488235315031</v>
      </c>
      <c r="K1041" s="31" t="n">
        <v>2287.037037037037</v>
      </c>
      <c r="L1041" s="31" t="n">
        <v>150</v>
      </c>
      <c r="M1041" s="31">
        <f>I1041+J1041+K1041+L1041</f>
        <v/>
      </c>
      <c r="N1041" s="31">
        <f>M1041*'Dashboard &amp; Optimisation'!$B$18/('Dashboard &amp; Optimisation'!$B$16/3.6)</f>
        <v/>
      </c>
      <c r="O1041" s="31" t="n">
        <v>791.1496597200118</v>
      </c>
      <c r="P1041" s="32" t="n">
        <v>0.2189996777548404</v>
      </c>
      <c r="Q1041" s="33" t="n">
        <v>15.51064711995663</v>
      </c>
      <c r="R1041" s="31" t="n">
        <v>671.2834586855906</v>
      </c>
      <c r="S1041" s="31">
        <f>R1041*IF(A1041=4, 2.0, 3.0)</f>
        <v/>
      </c>
      <c r="T1041" s="30">
        <f>'Dashboard &amp; Optimisation'!$B$18*U1041</f>
        <v/>
      </c>
      <c r="U1041" s="34">
        <f>MIN(1, S1041/M1041)</f>
        <v/>
      </c>
      <c r="V1041" s="34">
        <f>N1041/(N1041+O1041)</f>
        <v/>
      </c>
      <c r="W1041" s="34">
        <f>U1041*V1041</f>
        <v/>
      </c>
      <c r="X1041" s="32">
        <f>T1041/N1041</f>
        <v/>
      </c>
      <c r="Y1041" s="35">
        <f>IF(W1041=MAXIFS(W$2:W$3601, A$2:A$3601, A1041, B$2:B$3601, B1041), "OPTIMAL", "")</f>
        <v/>
      </c>
    </row>
    <row r="1042" ht="20" customHeight="1">
      <c r="A1042" s="21" t="n">
        <v>4</v>
      </c>
      <c r="B1042" s="21" t="n">
        <v>35</v>
      </c>
      <c r="C1042" s="22" t="n">
        <v>120</v>
      </c>
      <c r="D1042" s="22" t="n">
        <v>2</v>
      </c>
      <c r="E1042" s="23" t="n">
        <v>0</v>
      </c>
      <c r="F1042" s="22" t="n">
        <v>0</v>
      </c>
      <c r="G1042" s="23" t="inlineStr">
        <is>
          <t>Oui</t>
        </is>
      </c>
      <c r="H1042" s="23" t="inlineStr">
        <is>
          <t>ON</t>
        </is>
      </c>
      <c r="I1042" s="24" t="n">
        <v>856.3651513317755</v>
      </c>
      <c r="J1042" s="24" t="n">
        <v>3449.488235315031</v>
      </c>
      <c r="K1042" s="24" t="n">
        <v>2287.037037037037</v>
      </c>
      <c r="L1042" s="24" t="n">
        <v>150</v>
      </c>
      <c r="M1042" s="24">
        <f>I1042+J1042+K1042+L1042</f>
        <v/>
      </c>
      <c r="N1042" s="24">
        <f>M1042*'Dashboard &amp; Optimisation'!$B$18/('Dashboard &amp; Optimisation'!$B$16/3.6)</f>
        <v/>
      </c>
      <c r="O1042" s="24" t="n">
        <v>240.4179773642782</v>
      </c>
      <c r="P1042" s="25" t="n">
        <v>0.4668808197339223</v>
      </c>
      <c r="Q1042" s="26" t="n">
        <v>0.2</v>
      </c>
      <c r="R1042" s="24" t="n">
        <v>257.2380842441013</v>
      </c>
      <c r="S1042" s="24">
        <f>R1042*IF(A1042=4, 2.0, 3.0)</f>
        <v/>
      </c>
      <c r="T1042" s="22">
        <f>'Dashboard &amp; Optimisation'!$B$18*U1042</f>
        <v/>
      </c>
      <c r="U1042" s="27">
        <f>MIN(1, S1042/M1042)</f>
        <v/>
      </c>
      <c r="V1042" s="27">
        <f>N1042/(N1042+O1042)</f>
        <v/>
      </c>
      <c r="W1042" s="27">
        <f>U1042*V1042</f>
        <v/>
      </c>
      <c r="X1042" s="25">
        <f>T1042/N1042</f>
        <v/>
      </c>
      <c r="Y1042" s="28">
        <f>IF(W1042=MAXIFS(W$2:W$3601, A$2:A$3601, A1042, B$2:B$3601, B1042), "OPTIMAL", "")</f>
        <v/>
      </c>
    </row>
    <row r="1043" ht="20" customHeight="1">
      <c r="A1043" s="29" t="n">
        <v>4</v>
      </c>
      <c r="B1043" s="29" t="n">
        <v>35</v>
      </c>
      <c r="C1043" s="30" t="n">
        <v>120</v>
      </c>
      <c r="D1043" s="30" t="n">
        <v>2</v>
      </c>
      <c r="E1043" s="6" t="n">
        <v>0</v>
      </c>
      <c r="F1043" s="30" t="n">
        <v>0</v>
      </c>
      <c r="G1043" s="6" t="inlineStr">
        <is>
          <t>Oui</t>
        </is>
      </c>
      <c r="H1043" s="6" t="inlineStr">
        <is>
          <t>OFF</t>
        </is>
      </c>
      <c r="I1043" s="31" t="n">
        <v>856.3651513317755</v>
      </c>
      <c r="J1043" s="31" t="n">
        <v>3449.488235315031</v>
      </c>
      <c r="K1043" s="31" t="n">
        <v>2287.037037037037</v>
      </c>
      <c r="L1043" s="31" t="n">
        <v>150</v>
      </c>
      <c r="M1043" s="31">
        <f>I1043+J1043+K1043+L1043</f>
        <v/>
      </c>
      <c r="N1043" s="31">
        <f>M1043*'Dashboard &amp; Optimisation'!$B$18/('Dashboard &amp; Optimisation'!$B$16/3.6)</f>
        <v/>
      </c>
      <c r="O1043" s="31" t="n">
        <v>240.4179773642782</v>
      </c>
      <c r="P1043" s="32" t="n">
        <v>0.7321390582204146</v>
      </c>
      <c r="Q1043" s="33" t="n">
        <v>0.2</v>
      </c>
      <c r="R1043" s="31" t="n">
        <v>164.0392303759775</v>
      </c>
      <c r="S1043" s="31">
        <f>R1043*IF(A1043=4, 2.0, 3.0)</f>
        <v/>
      </c>
      <c r="T1043" s="30">
        <f>'Dashboard &amp; Optimisation'!$B$18*U1043</f>
        <v/>
      </c>
      <c r="U1043" s="34">
        <f>MIN(1, S1043/M1043)</f>
        <v/>
      </c>
      <c r="V1043" s="34">
        <f>N1043/(N1043+O1043)</f>
        <v/>
      </c>
      <c r="W1043" s="34">
        <f>U1043*V1043</f>
        <v/>
      </c>
      <c r="X1043" s="32">
        <f>T1043/N1043</f>
        <v/>
      </c>
      <c r="Y1043" s="35">
        <f>IF(W1043=MAXIFS(W$2:W$3601, A$2:A$3601, A1043, B$2:B$3601, B1043), "OPTIMAL", "")</f>
        <v/>
      </c>
    </row>
    <row r="1044" ht="20" customHeight="1">
      <c r="A1044" s="21" t="n">
        <v>4</v>
      </c>
      <c r="B1044" s="21" t="n">
        <v>35</v>
      </c>
      <c r="C1044" s="22" t="n">
        <v>120</v>
      </c>
      <c r="D1044" s="22" t="n">
        <v>2</v>
      </c>
      <c r="E1044" s="23" t="n">
        <v>0</v>
      </c>
      <c r="F1044" s="22" t="n">
        <v>0</v>
      </c>
      <c r="G1044" s="23" t="inlineStr">
        <is>
          <t>Non</t>
        </is>
      </c>
      <c r="H1044" s="23" t="inlineStr">
        <is>
          <t>ON</t>
        </is>
      </c>
      <c r="I1044" s="24" t="n">
        <v>856.3651513317755</v>
      </c>
      <c r="J1044" s="24" t="n">
        <v>3449.488235315031</v>
      </c>
      <c r="K1044" s="24" t="n">
        <v>2287.037037037037</v>
      </c>
      <c r="L1044" s="24" t="n">
        <v>150</v>
      </c>
      <c r="M1044" s="24">
        <f>I1044+J1044+K1044+L1044</f>
        <v/>
      </c>
      <c r="N1044" s="24">
        <f>M1044*'Dashboard &amp; Optimisation'!$B$18/('Dashboard &amp; Optimisation'!$B$16/3.6)</f>
        <v/>
      </c>
      <c r="O1044" s="24" t="n">
        <v>240.4179773642782</v>
      </c>
      <c r="P1044" s="25" t="n">
        <v>0.4642282373490574</v>
      </c>
      <c r="Q1044" s="26" t="n">
        <v>0.2</v>
      </c>
      <c r="R1044" s="24" t="n">
        <v>258.7079328144485</v>
      </c>
      <c r="S1044" s="24">
        <f>R1044*IF(A1044=4, 2.0, 3.0)</f>
        <v/>
      </c>
      <c r="T1044" s="22">
        <f>'Dashboard &amp; Optimisation'!$B$18*U1044</f>
        <v/>
      </c>
      <c r="U1044" s="27">
        <f>MIN(1, S1044/M1044)</f>
        <v/>
      </c>
      <c r="V1044" s="27">
        <f>N1044/(N1044+O1044)</f>
        <v/>
      </c>
      <c r="W1044" s="27">
        <f>U1044*V1044</f>
        <v/>
      </c>
      <c r="X1044" s="25">
        <f>T1044/N1044</f>
        <v/>
      </c>
      <c r="Y1044" s="28">
        <f>IF(W1044=MAXIFS(W$2:W$3601, A$2:A$3601, A1044, B$2:B$3601, B1044), "OPTIMAL", "")</f>
        <v/>
      </c>
    </row>
    <row r="1045" ht="20" customHeight="1">
      <c r="A1045" s="29" t="n">
        <v>4</v>
      </c>
      <c r="B1045" s="29" t="n">
        <v>35</v>
      </c>
      <c r="C1045" s="30" t="n">
        <v>120</v>
      </c>
      <c r="D1045" s="30" t="n">
        <v>2</v>
      </c>
      <c r="E1045" s="6" t="n">
        <v>0</v>
      </c>
      <c r="F1045" s="30" t="n">
        <v>0</v>
      </c>
      <c r="G1045" s="6" t="inlineStr">
        <is>
          <t>Non</t>
        </is>
      </c>
      <c r="H1045" s="6" t="inlineStr">
        <is>
          <t>OFF</t>
        </is>
      </c>
      <c r="I1045" s="31" t="n">
        <v>856.3651513317755</v>
      </c>
      <c r="J1045" s="31" t="n">
        <v>3449.488235315031</v>
      </c>
      <c r="K1045" s="31" t="n">
        <v>2287.037037037037</v>
      </c>
      <c r="L1045" s="31" t="n">
        <v>150</v>
      </c>
      <c r="M1045" s="31">
        <f>I1045+J1045+K1045+L1045</f>
        <v/>
      </c>
      <c r="N1045" s="31">
        <f>M1045*'Dashboard &amp; Optimisation'!$B$18/('Dashboard &amp; Optimisation'!$B$16/3.6)</f>
        <v/>
      </c>
      <c r="O1045" s="31" t="n">
        <v>240.4179773642782</v>
      </c>
      <c r="P1045" s="32" t="n">
        <v>0.7294864758355497</v>
      </c>
      <c r="Q1045" s="33" t="n">
        <v>0.2</v>
      </c>
      <c r="R1045" s="31" t="n">
        <v>164.635715146204</v>
      </c>
      <c r="S1045" s="31">
        <f>R1045*IF(A1045=4, 2.0, 3.0)</f>
        <v/>
      </c>
      <c r="T1045" s="30">
        <f>'Dashboard &amp; Optimisation'!$B$18*U1045</f>
        <v/>
      </c>
      <c r="U1045" s="34">
        <f>MIN(1, S1045/M1045)</f>
        <v/>
      </c>
      <c r="V1045" s="34">
        <f>N1045/(N1045+O1045)</f>
        <v/>
      </c>
      <c r="W1045" s="34">
        <f>U1045*V1045</f>
        <v/>
      </c>
      <c r="X1045" s="32">
        <f>T1045/N1045</f>
        <v/>
      </c>
      <c r="Y1045" s="35">
        <f>IF(W1045=MAXIFS(W$2:W$3601, A$2:A$3601, A1045, B$2:B$3601, B1045), "OPTIMAL", "")</f>
        <v/>
      </c>
    </row>
    <row r="1046" ht="20" customHeight="1">
      <c r="A1046" s="21" t="n">
        <v>4</v>
      </c>
      <c r="B1046" s="21" t="n">
        <v>35</v>
      </c>
      <c r="C1046" s="22" t="n">
        <v>120</v>
      </c>
      <c r="D1046" s="22" t="n">
        <v>2</v>
      </c>
      <c r="E1046" s="23" t="n">
        <v>4</v>
      </c>
      <c r="F1046" s="22" t="n">
        <v>1.5</v>
      </c>
      <c r="G1046" s="23" t="inlineStr">
        <is>
          <t>Oui</t>
        </is>
      </c>
      <c r="H1046" s="23" t="inlineStr">
        <is>
          <t>ON</t>
        </is>
      </c>
      <c r="I1046" s="24" t="n">
        <v>856.3651513317755</v>
      </c>
      <c r="J1046" s="24" t="n">
        <v>3449.488235315031</v>
      </c>
      <c r="K1046" s="24" t="n">
        <v>2287.037037037037</v>
      </c>
      <c r="L1046" s="24" t="n">
        <v>150</v>
      </c>
      <c r="M1046" s="24">
        <f>I1046+J1046+K1046+L1046</f>
        <v/>
      </c>
      <c r="N1046" s="24">
        <f>M1046*'Dashboard &amp; Optimisation'!$B$18/('Dashboard &amp; Optimisation'!$B$16/3.6)</f>
        <v/>
      </c>
      <c r="O1046" s="24" t="n">
        <v>369.6153099072223</v>
      </c>
      <c r="P1046" s="25" t="n">
        <v>0.06805759746267123</v>
      </c>
      <c r="Q1046" s="26" t="n">
        <v>5.595023284726097</v>
      </c>
      <c r="R1046" s="24" t="n">
        <v>1812.419159946139</v>
      </c>
      <c r="S1046" s="24">
        <f>R1046*IF(A1046=4, 2.0, 3.0)</f>
        <v/>
      </c>
      <c r="T1046" s="22">
        <f>'Dashboard &amp; Optimisation'!$B$18*U1046</f>
        <v/>
      </c>
      <c r="U1046" s="27">
        <f>MIN(1, S1046/M1046)</f>
        <v/>
      </c>
      <c r="V1046" s="27">
        <f>N1046/(N1046+O1046)</f>
        <v/>
      </c>
      <c r="W1046" s="27">
        <f>U1046*V1046</f>
        <v/>
      </c>
      <c r="X1046" s="25">
        <f>T1046/N1046</f>
        <v/>
      </c>
      <c r="Y1046" s="28">
        <f>IF(W1046=MAXIFS(W$2:W$3601, A$2:A$3601, A1046, B$2:B$3601, B1046), "OPTIMAL", "")</f>
        <v/>
      </c>
    </row>
    <row r="1047" ht="20" customHeight="1">
      <c r="A1047" s="29" t="n">
        <v>4</v>
      </c>
      <c r="B1047" s="29" t="n">
        <v>35</v>
      </c>
      <c r="C1047" s="30" t="n">
        <v>120</v>
      </c>
      <c r="D1047" s="30" t="n">
        <v>2</v>
      </c>
      <c r="E1047" s="6" t="n">
        <v>4</v>
      </c>
      <c r="F1047" s="30" t="n">
        <v>1.5</v>
      </c>
      <c r="G1047" s="6" t="inlineStr">
        <is>
          <t>Oui</t>
        </is>
      </c>
      <c r="H1047" s="6" t="inlineStr">
        <is>
          <t>OFF</t>
        </is>
      </c>
      <c r="I1047" s="31" t="n">
        <v>856.3651513317755</v>
      </c>
      <c r="J1047" s="31" t="n">
        <v>3449.488235315031</v>
      </c>
      <c r="K1047" s="31" t="n">
        <v>2287.037037037037</v>
      </c>
      <c r="L1047" s="31" t="n">
        <v>150</v>
      </c>
      <c r="M1047" s="31">
        <f>I1047+J1047+K1047+L1047</f>
        <v/>
      </c>
      <c r="N1047" s="31">
        <f>M1047*'Dashboard &amp; Optimisation'!$B$18/('Dashboard &amp; Optimisation'!$B$16/3.6)</f>
        <v/>
      </c>
      <c r="O1047" s="31" t="n">
        <v>369.6153099072223</v>
      </c>
      <c r="P1047" s="32" t="n">
        <v>0.2717308104184109</v>
      </c>
      <c r="Q1047" s="33" t="n">
        <v>5.595023284726097</v>
      </c>
      <c r="R1047" s="31" t="n">
        <v>453.9378270403513</v>
      </c>
      <c r="S1047" s="31">
        <f>R1047*IF(A1047=4, 2.0, 3.0)</f>
        <v/>
      </c>
      <c r="T1047" s="30">
        <f>'Dashboard &amp; Optimisation'!$B$18*U1047</f>
        <v/>
      </c>
      <c r="U1047" s="34">
        <f>MIN(1, S1047/M1047)</f>
        <v/>
      </c>
      <c r="V1047" s="34">
        <f>N1047/(N1047+O1047)</f>
        <v/>
      </c>
      <c r="W1047" s="34">
        <f>U1047*V1047</f>
        <v/>
      </c>
      <c r="X1047" s="32">
        <f>T1047/N1047</f>
        <v/>
      </c>
      <c r="Y1047" s="35">
        <f>IF(W1047=MAXIFS(W$2:W$3601, A$2:A$3601, A1047, B$2:B$3601, B1047), "OPTIMAL", "")</f>
        <v/>
      </c>
    </row>
    <row r="1048" ht="20" customHeight="1">
      <c r="A1048" s="21" t="n">
        <v>4</v>
      </c>
      <c r="B1048" s="21" t="n">
        <v>35</v>
      </c>
      <c r="C1048" s="22" t="n">
        <v>120</v>
      </c>
      <c r="D1048" s="22" t="n">
        <v>2</v>
      </c>
      <c r="E1048" s="23" t="n">
        <v>4</v>
      </c>
      <c r="F1048" s="22" t="n">
        <v>1.5</v>
      </c>
      <c r="G1048" s="23" t="inlineStr">
        <is>
          <t>Non</t>
        </is>
      </c>
      <c r="H1048" s="23" t="inlineStr">
        <is>
          <t>ON</t>
        </is>
      </c>
      <c r="I1048" s="24" t="n">
        <v>856.3651513317755</v>
      </c>
      <c r="J1048" s="24" t="n">
        <v>3449.488235315031</v>
      </c>
      <c r="K1048" s="24" t="n">
        <v>2287.037037037037</v>
      </c>
      <c r="L1048" s="24" t="n">
        <v>150</v>
      </c>
      <c r="M1048" s="24">
        <f>I1048+J1048+K1048+L1048</f>
        <v/>
      </c>
      <c r="N1048" s="24">
        <f>M1048*'Dashboard &amp; Optimisation'!$B$18/('Dashboard &amp; Optimisation'!$B$16/3.6)</f>
        <v/>
      </c>
      <c r="O1048" s="24" t="n">
        <v>369.6153099072223</v>
      </c>
      <c r="P1048" s="25" t="n">
        <v>0.0654050150778063</v>
      </c>
      <c r="Q1048" s="26" t="n">
        <v>5.595023284726097</v>
      </c>
      <c r="R1048" s="24" t="n">
        <v>1885.9240912109</v>
      </c>
      <c r="S1048" s="24">
        <f>R1048*IF(A1048=4, 2.0, 3.0)</f>
        <v/>
      </c>
      <c r="T1048" s="22">
        <f>'Dashboard &amp; Optimisation'!$B$18*U1048</f>
        <v/>
      </c>
      <c r="U1048" s="27">
        <f>MIN(1, S1048/M1048)</f>
        <v/>
      </c>
      <c r="V1048" s="27">
        <f>N1048/(N1048+O1048)</f>
        <v/>
      </c>
      <c r="W1048" s="27">
        <f>U1048*V1048</f>
        <v/>
      </c>
      <c r="X1048" s="25">
        <f>T1048/N1048</f>
        <v/>
      </c>
      <c r="Y1048" s="28">
        <f>IF(W1048=MAXIFS(W$2:W$3601, A$2:A$3601, A1048, B$2:B$3601, B1048), "OPTIMAL", "")</f>
        <v/>
      </c>
    </row>
    <row r="1049" ht="20" customHeight="1">
      <c r="A1049" s="29" t="n">
        <v>4</v>
      </c>
      <c r="B1049" s="29" t="n">
        <v>35</v>
      </c>
      <c r="C1049" s="30" t="n">
        <v>120</v>
      </c>
      <c r="D1049" s="30" t="n">
        <v>2</v>
      </c>
      <c r="E1049" s="6" t="n">
        <v>4</v>
      </c>
      <c r="F1049" s="30" t="n">
        <v>1.5</v>
      </c>
      <c r="G1049" s="6" t="inlineStr">
        <is>
          <t>Non</t>
        </is>
      </c>
      <c r="H1049" s="6" t="inlineStr">
        <is>
          <t>OFF</t>
        </is>
      </c>
      <c r="I1049" s="31" t="n">
        <v>856.3651513317755</v>
      </c>
      <c r="J1049" s="31" t="n">
        <v>3449.488235315031</v>
      </c>
      <c r="K1049" s="31" t="n">
        <v>2287.037037037037</v>
      </c>
      <c r="L1049" s="31" t="n">
        <v>150</v>
      </c>
      <c r="M1049" s="31">
        <f>I1049+J1049+K1049+L1049</f>
        <v/>
      </c>
      <c r="N1049" s="31">
        <f>M1049*'Dashboard &amp; Optimisation'!$B$18/('Dashboard &amp; Optimisation'!$B$16/3.6)</f>
        <v/>
      </c>
      <c r="O1049" s="31" t="n">
        <v>369.6153099072223</v>
      </c>
      <c r="P1049" s="32" t="n">
        <v>0.2690782280335459</v>
      </c>
      <c r="Q1049" s="33" t="n">
        <v>5.595023284726097</v>
      </c>
      <c r="R1049" s="31" t="n">
        <v>458.4127616815924</v>
      </c>
      <c r="S1049" s="31">
        <f>R1049*IF(A1049=4, 2.0, 3.0)</f>
        <v/>
      </c>
      <c r="T1049" s="30">
        <f>'Dashboard &amp; Optimisation'!$B$18*U1049</f>
        <v/>
      </c>
      <c r="U1049" s="34">
        <f>MIN(1, S1049/M1049)</f>
        <v/>
      </c>
      <c r="V1049" s="34">
        <f>N1049/(N1049+O1049)</f>
        <v/>
      </c>
      <c r="W1049" s="34">
        <f>U1049*V1049</f>
        <v/>
      </c>
      <c r="X1049" s="32">
        <f>T1049/N1049</f>
        <v/>
      </c>
      <c r="Y1049" s="35">
        <f>IF(W1049=MAXIFS(W$2:W$3601, A$2:A$3601, A1049, B$2:B$3601, B1049), "OPTIMAL", "")</f>
        <v/>
      </c>
    </row>
    <row r="1050" ht="20" customHeight="1">
      <c r="A1050" s="21" t="n">
        <v>4</v>
      </c>
      <c r="B1050" s="21" t="n">
        <v>35</v>
      </c>
      <c r="C1050" s="22" t="n">
        <v>120</v>
      </c>
      <c r="D1050" s="22" t="n">
        <v>2</v>
      </c>
      <c r="E1050" s="23" t="n">
        <v>4</v>
      </c>
      <c r="F1050" s="22" t="n">
        <v>2</v>
      </c>
      <c r="G1050" s="23" t="inlineStr">
        <is>
          <t>Oui</t>
        </is>
      </c>
      <c r="H1050" s="23" t="inlineStr">
        <is>
          <t>ON</t>
        </is>
      </c>
      <c r="I1050" s="24" t="n">
        <v>856.3651513317755</v>
      </c>
      <c r="J1050" s="24" t="n">
        <v>3449.488235315031</v>
      </c>
      <c r="K1050" s="24" t="n">
        <v>2287.037037037037</v>
      </c>
      <c r="L1050" s="24" t="n">
        <v>150</v>
      </c>
      <c r="M1050" s="24">
        <f>I1050+J1050+K1050+L1050</f>
        <v/>
      </c>
      <c r="N1050" s="24">
        <f>M1050*'Dashboard &amp; Optimisation'!$B$18/('Dashboard &amp; Optimisation'!$B$16/3.6)</f>
        <v/>
      </c>
      <c r="O1050" s="24" t="n">
        <v>414.2487869523762</v>
      </c>
      <c r="P1050" s="25" t="n">
        <v>0.06474901627983365</v>
      </c>
      <c r="Q1050" s="26" t="n">
        <v>7.393364379634797</v>
      </c>
      <c r="R1050" s="24" t="n">
        <v>1922.368107719898</v>
      </c>
      <c r="S1050" s="24">
        <f>R1050*IF(A1050=4, 2.0, 3.0)</f>
        <v/>
      </c>
      <c r="T1050" s="22">
        <f>'Dashboard &amp; Optimisation'!$B$18*U1050</f>
        <v/>
      </c>
      <c r="U1050" s="27">
        <f>MIN(1, S1050/M1050)</f>
        <v/>
      </c>
      <c r="V1050" s="27">
        <f>N1050/(N1050+O1050)</f>
        <v/>
      </c>
      <c r="W1050" s="27">
        <f>U1050*V1050</f>
        <v/>
      </c>
      <c r="X1050" s="25">
        <f>T1050/N1050</f>
        <v/>
      </c>
      <c r="Y1050" s="28">
        <f>IF(W1050=MAXIFS(W$2:W$3601, A$2:A$3601, A1050, B$2:B$3601, B1050), "OPTIMAL", "")</f>
        <v/>
      </c>
    </row>
    <row r="1051" ht="20" customHeight="1">
      <c r="A1051" s="29" t="n">
        <v>4</v>
      </c>
      <c r="B1051" s="29" t="n">
        <v>35</v>
      </c>
      <c r="C1051" s="30" t="n">
        <v>120</v>
      </c>
      <c r="D1051" s="30" t="n">
        <v>2</v>
      </c>
      <c r="E1051" s="6" t="n">
        <v>4</v>
      </c>
      <c r="F1051" s="30" t="n">
        <v>2</v>
      </c>
      <c r="G1051" s="6" t="inlineStr">
        <is>
          <t>Oui</t>
        </is>
      </c>
      <c r="H1051" s="6" t="inlineStr">
        <is>
          <t>OFF</t>
        </is>
      </c>
      <c r="I1051" s="31" t="n">
        <v>856.3651513317755</v>
      </c>
      <c r="J1051" s="31" t="n">
        <v>3449.488235315031</v>
      </c>
      <c r="K1051" s="31" t="n">
        <v>2287.037037037037</v>
      </c>
      <c r="L1051" s="31" t="n">
        <v>150</v>
      </c>
      <c r="M1051" s="31">
        <f>I1051+J1051+K1051+L1051</f>
        <v/>
      </c>
      <c r="N1051" s="31">
        <f>M1051*'Dashboard &amp; Optimisation'!$B$18/('Dashboard &amp; Optimisation'!$B$16/3.6)</f>
        <v/>
      </c>
      <c r="O1051" s="31" t="n">
        <v>414.2487869523762</v>
      </c>
      <c r="P1051" s="32" t="n">
        <v>0.269253725510994</v>
      </c>
      <c r="Q1051" s="33" t="n">
        <v>7.393364379634797</v>
      </c>
      <c r="R1051" s="31" t="n">
        <v>462.2830888091327</v>
      </c>
      <c r="S1051" s="31">
        <f>R1051*IF(A1051=4, 2.0, 3.0)</f>
        <v/>
      </c>
      <c r="T1051" s="30">
        <f>'Dashboard &amp; Optimisation'!$B$18*U1051</f>
        <v/>
      </c>
      <c r="U1051" s="34">
        <f>MIN(1, S1051/M1051)</f>
        <v/>
      </c>
      <c r="V1051" s="34">
        <f>N1051/(N1051+O1051)</f>
        <v/>
      </c>
      <c r="W1051" s="34">
        <f>U1051*V1051</f>
        <v/>
      </c>
      <c r="X1051" s="32">
        <f>T1051/N1051</f>
        <v/>
      </c>
      <c r="Y1051" s="35">
        <f>IF(W1051=MAXIFS(W$2:W$3601, A$2:A$3601, A1051, B$2:B$3601, B1051), "OPTIMAL", "")</f>
        <v/>
      </c>
    </row>
    <row r="1052" ht="20" customHeight="1">
      <c r="A1052" s="21" t="n">
        <v>4</v>
      </c>
      <c r="B1052" s="21" t="n">
        <v>35</v>
      </c>
      <c r="C1052" s="22" t="n">
        <v>120</v>
      </c>
      <c r="D1052" s="22" t="n">
        <v>2</v>
      </c>
      <c r="E1052" s="23" t="n">
        <v>4</v>
      </c>
      <c r="F1052" s="22" t="n">
        <v>2</v>
      </c>
      <c r="G1052" s="23" t="inlineStr">
        <is>
          <t>Non</t>
        </is>
      </c>
      <c r="H1052" s="23" t="inlineStr">
        <is>
          <t>ON</t>
        </is>
      </c>
      <c r="I1052" s="24" t="n">
        <v>856.3651513317755</v>
      </c>
      <c r="J1052" s="24" t="n">
        <v>3449.488235315031</v>
      </c>
      <c r="K1052" s="24" t="n">
        <v>2287.037037037037</v>
      </c>
      <c r="L1052" s="24" t="n">
        <v>150</v>
      </c>
      <c r="M1052" s="24">
        <f>I1052+J1052+K1052+L1052</f>
        <v/>
      </c>
      <c r="N1052" s="24">
        <f>M1052*'Dashboard &amp; Optimisation'!$B$18/('Dashboard &amp; Optimisation'!$B$16/3.6)</f>
        <v/>
      </c>
      <c r="O1052" s="24" t="n">
        <v>414.2487869523762</v>
      </c>
      <c r="P1052" s="25" t="n">
        <v>0.06209643389496873</v>
      </c>
      <c r="Q1052" s="26" t="n">
        <v>7.393364379634797</v>
      </c>
      <c r="R1052" s="24" t="n">
        <v>2004.486185360055</v>
      </c>
      <c r="S1052" s="24">
        <f>R1052*IF(A1052=4, 2.0, 3.0)</f>
        <v/>
      </c>
      <c r="T1052" s="22">
        <f>'Dashboard &amp; Optimisation'!$B$18*U1052</f>
        <v/>
      </c>
      <c r="U1052" s="27">
        <f>MIN(1, S1052/M1052)</f>
        <v/>
      </c>
      <c r="V1052" s="27">
        <f>N1052/(N1052+O1052)</f>
        <v/>
      </c>
      <c r="W1052" s="27">
        <f>U1052*V1052</f>
        <v/>
      </c>
      <c r="X1052" s="25">
        <f>T1052/N1052</f>
        <v/>
      </c>
      <c r="Y1052" s="28">
        <f>IF(W1052=MAXIFS(W$2:W$3601, A$2:A$3601, A1052, B$2:B$3601, B1052), "OPTIMAL", "")</f>
        <v/>
      </c>
    </row>
    <row r="1053" ht="20" customHeight="1">
      <c r="A1053" s="29" t="n">
        <v>4</v>
      </c>
      <c r="B1053" s="29" t="n">
        <v>35</v>
      </c>
      <c r="C1053" s="30" t="n">
        <v>120</v>
      </c>
      <c r="D1053" s="30" t="n">
        <v>2</v>
      </c>
      <c r="E1053" s="6" t="n">
        <v>4</v>
      </c>
      <c r="F1053" s="30" t="n">
        <v>2</v>
      </c>
      <c r="G1053" s="6" t="inlineStr">
        <is>
          <t>Non</t>
        </is>
      </c>
      <c r="H1053" s="6" t="inlineStr">
        <is>
          <t>OFF</t>
        </is>
      </c>
      <c r="I1053" s="31" t="n">
        <v>856.3651513317755</v>
      </c>
      <c r="J1053" s="31" t="n">
        <v>3449.488235315031</v>
      </c>
      <c r="K1053" s="31" t="n">
        <v>2287.037037037037</v>
      </c>
      <c r="L1053" s="31" t="n">
        <v>150</v>
      </c>
      <c r="M1053" s="31">
        <f>I1053+J1053+K1053+L1053</f>
        <v/>
      </c>
      <c r="N1053" s="31">
        <f>M1053*'Dashboard &amp; Optimisation'!$B$18/('Dashboard &amp; Optimisation'!$B$16/3.6)</f>
        <v/>
      </c>
      <c r="O1053" s="31" t="n">
        <v>414.2487869523762</v>
      </c>
      <c r="P1053" s="32" t="n">
        <v>0.2666011431261291</v>
      </c>
      <c r="Q1053" s="33" t="n">
        <v>7.393364379634797</v>
      </c>
      <c r="R1053" s="31" t="n">
        <v>466.8826338966642</v>
      </c>
      <c r="S1053" s="31">
        <f>R1053*IF(A1053=4, 2.0, 3.0)</f>
        <v/>
      </c>
      <c r="T1053" s="30">
        <f>'Dashboard &amp; Optimisation'!$B$18*U1053</f>
        <v/>
      </c>
      <c r="U1053" s="34">
        <f>MIN(1, S1053/M1053)</f>
        <v/>
      </c>
      <c r="V1053" s="34">
        <f>N1053/(N1053+O1053)</f>
        <v/>
      </c>
      <c r="W1053" s="34">
        <f>U1053*V1053</f>
        <v/>
      </c>
      <c r="X1053" s="32">
        <f>T1053/N1053</f>
        <v/>
      </c>
      <c r="Y1053" s="35">
        <f>IF(W1053=MAXIFS(W$2:W$3601, A$2:A$3601, A1053, B$2:B$3601, B1053), "OPTIMAL", "")</f>
        <v/>
      </c>
    </row>
    <row r="1054" ht="20" customHeight="1">
      <c r="A1054" s="21" t="n">
        <v>4</v>
      </c>
      <c r="B1054" s="21" t="n">
        <v>35</v>
      </c>
      <c r="C1054" s="22" t="n">
        <v>120</v>
      </c>
      <c r="D1054" s="22" t="n">
        <v>2</v>
      </c>
      <c r="E1054" s="23" t="n">
        <v>8</v>
      </c>
      <c r="F1054" s="22" t="n">
        <v>1.5</v>
      </c>
      <c r="G1054" s="23" t="inlineStr">
        <is>
          <t>Oui</t>
        </is>
      </c>
      <c r="H1054" s="23" t="inlineStr">
        <is>
          <t>ON</t>
        </is>
      </c>
      <c r="I1054" s="24" t="n">
        <v>856.3651513317755</v>
      </c>
      <c r="J1054" s="24" t="n">
        <v>3449.488235315031</v>
      </c>
      <c r="K1054" s="24" t="n">
        <v>2287.037037037037</v>
      </c>
      <c r="L1054" s="24" t="n">
        <v>150</v>
      </c>
      <c r="M1054" s="24">
        <f>I1054+J1054+K1054+L1054</f>
        <v/>
      </c>
      <c r="N1054" s="24">
        <f>M1054*'Dashboard &amp; Optimisation'!$B$18/('Dashboard &amp; Optimisation'!$B$16/3.6)</f>
        <v/>
      </c>
      <c r="O1054" s="24" t="n">
        <v>505.9980739712684</v>
      </c>
      <c r="P1054" s="25" t="n">
        <v>0.05155761606859751</v>
      </c>
      <c r="Q1054" s="26" t="n">
        <v>10.9900465694522</v>
      </c>
      <c r="R1054" s="24" t="n">
        <v>2458.976691036096</v>
      </c>
      <c r="S1054" s="24">
        <f>R1054*IF(A1054=4, 2.0, 3.0)</f>
        <v/>
      </c>
      <c r="T1054" s="22">
        <f>'Dashboard &amp; Optimisation'!$B$18*U1054</f>
        <v/>
      </c>
      <c r="U1054" s="27">
        <f>MIN(1, S1054/M1054)</f>
        <v/>
      </c>
      <c r="V1054" s="27">
        <f>N1054/(N1054+O1054)</f>
        <v/>
      </c>
      <c r="W1054" s="27">
        <f>U1054*V1054</f>
        <v/>
      </c>
      <c r="X1054" s="25">
        <f>T1054/N1054</f>
        <v/>
      </c>
      <c r="Y1054" s="28">
        <f>IF(W1054=MAXIFS(W$2:W$3601, A$2:A$3601, A1054, B$2:B$3601, B1054), "OPTIMAL", "")</f>
        <v/>
      </c>
    </row>
    <row r="1055" ht="20" customHeight="1">
      <c r="A1055" s="29" t="n">
        <v>4</v>
      </c>
      <c r="B1055" s="29" t="n">
        <v>35</v>
      </c>
      <c r="C1055" s="30" t="n">
        <v>120</v>
      </c>
      <c r="D1055" s="30" t="n">
        <v>2</v>
      </c>
      <c r="E1055" s="6" t="n">
        <v>8</v>
      </c>
      <c r="F1055" s="30" t="n">
        <v>1.5</v>
      </c>
      <c r="G1055" s="6" t="inlineStr">
        <is>
          <t>Oui</t>
        </is>
      </c>
      <c r="H1055" s="6" t="inlineStr">
        <is>
          <t>OFF</t>
        </is>
      </c>
      <c r="I1055" s="31" t="n">
        <v>856.3651513317755</v>
      </c>
      <c r="J1055" s="31" t="n">
        <v>3449.488235315031</v>
      </c>
      <c r="K1055" s="31" t="n">
        <v>2287.037037037037</v>
      </c>
      <c r="L1055" s="31" t="n">
        <v>150</v>
      </c>
      <c r="M1055" s="31">
        <f>I1055+J1055+K1055+L1055</f>
        <v/>
      </c>
      <c r="N1055" s="31">
        <f>M1055*'Dashboard &amp; Optimisation'!$B$18/('Dashboard &amp; Optimisation'!$B$16/3.6)</f>
        <v/>
      </c>
      <c r="O1055" s="31" t="n">
        <v>505.9980739712684</v>
      </c>
      <c r="P1055" s="32" t="n">
        <v>0.216853233443705</v>
      </c>
      <c r="Q1055" s="33" t="n">
        <v>10.9900465694522</v>
      </c>
      <c r="R1055" s="31" t="n">
        <v>584.6303241357068</v>
      </c>
      <c r="S1055" s="31">
        <f>R1055*IF(A1055=4, 2.0, 3.0)</f>
        <v/>
      </c>
      <c r="T1055" s="30">
        <f>'Dashboard &amp; Optimisation'!$B$18*U1055</f>
        <v/>
      </c>
      <c r="U1055" s="34">
        <f>MIN(1, S1055/M1055)</f>
        <v/>
      </c>
      <c r="V1055" s="34">
        <f>N1055/(N1055+O1055)</f>
        <v/>
      </c>
      <c r="W1055" s="34">
        <f>U1055*V1055</f>
        <v/>
      </c>
      <c r="X1055" s="32">
        <f>T1055/N1055</f>
        <v/>
      </c>
      <c r="Y1055" s="35">
        <f>IF(W1055=MAXIFS(W$2:W$3601, A$2:A$3601, A1055, B$2:B$3601, B1055), "OPTIMAL", "")</f>
        <v/>
      </c>
    </row>
    <row r="1056" ht="20" customHeight="1">
      <c r="A1056" s="21" t="n">
        <v>4</v>
      </c>
      <c r="B1056" s="21" t="n">
        <v>35</v>
      </c>
      <c r="C1056" s="22" t="n">
        <v>120</v>
      </c>
      <c r="D1056" s="22" t="n">
        <v>2</v>
      </c>
      <c r="E1056" s="23" t="n">
        <v>8</v>
      </c>
      <c r="F1056" s="22" t="n">
        <v>1.5</v>
      </c>
      <c r="G1056" s="23" t="inlineStr">
        <is>
          <t>Non</t>
        </is>
      </c>
      <c r="H1056" s="23" t="inlineStr">
        <is>
          <t>ON</t>
        </is>
      </c>
      <c r="I1056" s="24" t="n">
        <v>856.3651513317755</v>
      </c>
      <c r="J1056" s="24" t="n">
        <v>3449.488235315031</v>
      </c>
      <c r="K1056" s="24" t="n">
        <v>2287.037037037037</v>
      </c>
      <c r="L1056" s="24" t="n">
        <v>150</v>
      </c>
      <c r="M1056" s="24">
        <f>I1056+J1056+K1056+L1056</f>
        <v/>
      </c>
      <c r="N1056" s="24">
        <f>M1056*'Dashboard &amp; Optimisation'!$B$18/('Dashboard &amp; Optimisation'!$B$16/3.6)</f>
        <v/>
      </c>
      <c r="O1056" s="24" t="n">
        <v>505.9980739712684</v>
      </c>
      <c r="P1056" s="25" t="n">
        <v>0.04890503368373258</v>
      </c>
      <c r="Q1056" s="26" t="n">
        <v>10.9900465694522</v>
      </c>
      <c r="R1056" s="24" t="n">
        <v>2592.350247173845</v>
      </c>
      <c r="S1056" s="24">
        <f>R1056*IF(A1056=4, 2.0, 3.0)</f>
        <v/>
      </c>
      <c r="T1056" s="22">
        <f>'Dashboard &amp; Optimisation'!$B$18*U1056</f>
        <v/>
      </c>
      <c r="U1056" s="27">
        <f>MIN(1, S1056/M1056)</f>
        <v/>
      </c>
      <c r="V1056" s="27">
        <f>N1056/(N1056+O1056)</f>
        <v/>
      </c>
      <c r="W1056" s="27">
        <f>U1056*V1056</f>
        <v/>
      </c>
      <c r="X1056" s="25">
        <f>T1056/N1056</f>
        <v/>
      </c>
      <c r="Y1056" s="28">
        <f>IF(W1056=MAXIFS(W$2:W$3601, A$2:A$3601, A1056, B$2:B$3601, B1056), "OPTIMAL", "")</f>
        <v/>
      </c>
    </row>
    <row r="1057" ht="20" customHeight="1">
      <c r="A1057" s="29" t="n">
        <v>4</v>
      </c>
      <c r="B1057" s="29" t="n">
        <v>35</v>
      </c>
      <c r="C1057" s="30" t="n">
        <v>120</v>
      </c>
      <c r="D1057" s="30" t="n">
        <v>2</v>
      </c>
      <c r="E1057" s="6" t="n">
        <v>8</v>
      </c>
      <c r="F1057" s="30" t="n">
        <v>1.5</v>
      </c>
      <c r="G1057" s="6" t="inlineStr">
        <is>
          <t>Non</t>
        </is>
      </c>
      <c r="H1057" s="6" t="inlineStr">
        <is>
          <t>OFF</t>
        </is>
      </c>
      <c r="I1057" s="31" t="n">
        <v>856.3651513317755</v>
      </c>
      <c r="J1057" s="31" t="n">
        <v>3449.488235315031</v>
      </c>
      <c r="K1057" s="31" t="n">
        <v>2287.037037037037</v>
      </c>
      <c r="L1057" s="31" t="n">
        <v>150</v>
      </c>
      <c r="M1057" s="31">
        <f>I1057+J1057+K1057+L1057</f>
        <v/>
      </c>
      <c r="N1057" s="31">
        <f>M1057*'Dashboard &amp; Optimisation'!$B$18/('Dashboard &amp; Optimisation'!$B$16/3.6)</f>
        <v/>
      </c>
      <c r="O1057" s="31" t="n">
        <v>505.9980739712684</v>
      </c>
      <c r="P1057" s="32" t="n">
        <v>0.2142006510588401</v>
      </c>
      <c r="Q1057" s="33" t="n">
        <v>10.9900465694522</v>
      </c>
      <c r="R1057" s="31" t="n">
        <v>591.8701718756386</v>
      </c>
      <c r="S1057" s="31">
        <f>R1057*IF(A1057=4, 2.0, 3.0)</f>
        <v/>
      </c>
      <c r="T1057" s="30">
        <f>'Dashboard &amp; Optimisation'!$B$18*U1057</f>
        <v/>
      </c>
      <c r="U1057" s="34">
        <f>MIN(1, S1057/M1057)</f>
        <v/>
      </c>
      <c r="V1057" s="34">
        <f>N1057/(N1057+O1057)</f>
        <v/>
      </c>
      <c r="W1057" s="34">
        <f>U1057*V1057</f>
        <v/>
      </c>
      <c r="X1057" s="32">
        <f>T1057/N1057</f>
        <v/>
      </c>
      <c r="Y1057" s="35">
        <f>IF(W1057=MAXIFS(W$2:W$3601, A$2:A$3601, A1057, B$2:B$3601, B1057), "OPTIMAL", "")</f>
        <v/>
      </c>
    </row>
    <row r="1058" ht="20" customHeight="1">
      <c r="A1058" s="21" t="n">
        <v>4</v>
      </c>
      <c r="B1058" s="21" t="n">
        <v>35</v>
      </c>
      <c r="C1058" s="22" t="n">
        <v>120</v>
      </c>
      <c r="D1058" s="22" t="n">
        <v>2</v>
      </c>
      <c r="E1058" s="23" t="n">
        <v>8</v>
      </c>
      <c r="F1058" s="22" t="n">
        <v>2</v>
      </c>
      <c r="G1058" s="23" t="inlineStr">
        <is>
          <t>Oui</t>
        </is>
      </c>
      <c r="H1058" s="23" t="inlineStr">
        <is>
          <t>ON</t>
        </is>
      </c>
      <c r="I1058" s="24" t="n">
        <v>856.3651513317755</v>
      </c>
      <c r="J1058" s="24" t="n">
        <v>3449.488235315031</v>
      </c>
      <c r="K1058" s="24" t="n">
        <v>2287.037037037037</v>
      </c>
      <c r="L1058" s="24" t="n">
        <v>150</v>
      </c>
      <c r="M1058" s="24">
        <f>I1058+J1058+K1058+L1058</f>
        <v/>
      </c>
      <c r="N1058" s="24">
        <f>M1058*'Dashboard &amp; Optimisation'!$B$18/('Dashboard &amp; Optimisation'!$B$16/3.6)</f>
        <v/>
      </c>
      <c r="O1058" s="24" t="n">
        <v>601.2134327024847</v>
      </c>
      <c r="P1058" s="25" t="n">
        <v>0.04997260972227939</v>
      </c>
      <c r="Q1058" s="26" t="n">
        <v>14.58672875926959</v>
      </c>
      <c r="R1058" s="24" t="n">
        <v>2584.889647723352</v>
      </c>
      <c r="S1058" s="24">
        <f>R1058*IF(A1058=4, 2.0, 3.0)</f>
        <v/>
      </c>
      <c r="T1058" s="22">
        <f>'Dashboard &amp; Optimisation'!$B$18*U1058</f>
        <v/>
      </c>
      <c r="U1058" s="27">
        <f>MIN(1, S1058/M1058)</f>
        <v/>
      </c>
      <c r="V1058" s="27">
        <f>N1058/(N1058+O1058)</f>
        <v/>
      </c>
      <c r="W1058" s="27">
        <f>U1058*V1058</f>
        <v/>
      </c>
      <c r="X1058" s="25">
        <f>T1058/N1058</f>
        <v/>
      </c>
      <c r="Y1058" s="28">
        <f>IF(W1058=MAXIFS(W$2:W$3601, A$2:A$3601, A1058, B$2:B$3601, B1058), "OPTIMAL", "")</f>
        <v/>
      </c>
    </row>
    <row r="1059" ht="20" customHeight="1">
      <c r="A1059" s="29" t="n">
        <v>4</v>
      </c>
      <c r="B1059" s="29" t="n">
        <v>35</v>
      </c>
      <c r="C1059" s="30" t="n">
        <v>120</v>
      </c>
      <c r="D1059" s="30" t="n">
        <v>2</v>
      </c>
      <c r="E1059" s="6" t="n">
        <v>8</v>
      </c>
      <c r="F1059" s="30" t="n">
        <v>2</v>
      </c>
      <c r="G1059" s="6" t="inlineStr">
        <is>
          <t>Oui</t>
        </is>
      </c>
      <c r="H1059" s="6" t="inlineStr">
        <is>
          <t>OFF</t>
        </is>
      </c>
      <c r="I1059" s="31" t="n">
        <v>856.3651513317755</v>
      </c>
      <c r="J1059" s="31" t="n">
        <v>3449.488235315031</v>
      </c>
      <c r="K1059" s="31" t="n">
        <v>2287.037037037037</v>
      </c>
      <c r="L1059" s="31" t="n">
        <v>150</v>
      </c>
      <c r="M1059" s="31">
        <f>I1059+J1059+K1059+L1059</f>
        <v/>
      </c>
      <c r="N1059" s="31">
        <f>M1059*'Dashboard &amp; Optimisation'!$B$18/('Dashboard &amp; Optimisation'!$B$16/3.6)</f>
        <v/>
      </c>
      <c r="O1059" s="31" t="n">
        <v>601.2134327024847</v>
      </c>
      <c r="P1059" s="32" t="n">
        <v>0.2163666659525478</v>
      </c>
      <c r="Q1059" s="33" t="n">
        <v>14.58672875926959</v>
      </c>
      <c r="R1059" s="31" t="n">
        <v>597.0128576514134</v>
      </c>
      <c r="S1059" s="31">
        <f>R1059*IF(A1059=4, 2.0, 3.0)</f>
        <v/>
      </c>
      <c r="T1059" s="30">
        <f>'Dashboard &amp; Optimisation'!$B$18*U1059</f>
        <v/>
      </c>
      <c r="U1059" s="34">
        <f>MIN(1, S1059/M1059)</f>
        <v/>
      </c>
      <c r="V1059" s="34">
        <f>N1059/(N1059+O1059)</f>
        <v/>
      </c>
      <c r="W1059" s="34">
        <f>U1059*V1059</f>
        <v/>
      </c>
      <c r="X1059" s="32">
        <f>T1059/N1059</f>
        <v/>
      </c>
      <c r="Y1059" s="35">
        <f>IF(W1059=MAXIFS(W$2:W$3601, A$2:A$3601, A1059, B$2:B$3601, B1059), "OPTIMAL", "")</f>
        <v/>
      </c>
    </row>
    <row r="1060" ht="20" customHeight="1">
      <c r="A1060" s="21" t="n">
        <v>4</v>
      </c>
      <c r="B1060" s="21" t="n">
        <v>35</v>
      </c>
      <c r="C1060" s="22" t="n">
        <v>120</v>
      </c>
      <c r="D1060" s="22" t="n">
        <v>2</v>
      </c>
      <c r="E1060" s="23" t="n">
        <v>8</v>
      </c>
      <c r="F1060" s="22" t="n">
        <v>2</v>
      </c>
      <c r="G1060" s="23" t="inlineStr">
        <is>
          <t>Non</t>
        </is>
      </c>
      <c r="H1060" s="23" t="inlineStr">
        <is>
          <t>ON</t>
        </is>
      </c>
      <c r="I1060" s="24" t="n">
        <v>856.3651513317755</v>
      </c>
      <c r="J1060" s="24" t="n">
        <v>3449.488235315031</v>
      </c>
      <c r="K1060" s="24" t="n">
        <v>2287.037037037037</v>
      </c>
      <c r="L1060" s="24" t="n">
        <v>150</v>
      </c>
      <c r="M1060" s="24">
        <f>I1060+J1060+K1060+L1060</f>
        <v/>
      </c>
      <c r="N1060" s="24">
        <f>M1060*'Dashboard &amp; Optimisation'!$B$18/('Dashboard &amp; Optimisation'!$B$16/3.6)</f>
        <v/>
      </c>
      <c r="O1060" s="24" t="n">
        <v>601.2134327024847</v>
      </c>
      <c r="P1060" s="25" t="n">
        <v>0.04732002733741447</v>
      </c>
      <c r="Q1060" s="26" t="n">
        <v>14.58672875926959</v>
      </c>
      <c r="R1060" s="24" t="n">
        <v>2729.788819008263</v>
      </c>
      <c r="S1060" s="24">
        <f>R1060*IF(A1060=4, 2.0, 3.0)</f>
        <v/>
      </c>
      <c r="T1060" s="22">
        <f>'Dashboard &amp; Optimisation'!$B$18*U1060</f>
        <v/>
      </c>
      <c r="U1060" s="27">
        <f>MIN(1, S1060/M1060)</f>
        <v/>
      </c>
      <c r="V1060" s="27">
        <f>N1060/(N1060+O1060)</f>
        <v/>
      </c>
      <c r="W1060" s="27">
        <f>U1060*V1060</f>
        <v/>
      </c>
      <c r="X1060" s="25">
        <f>T1060/N1060</f>
        <v/>
      </c>
      <c r="Y1060" s="28">
        <f>IF(W1060=MAXIFS(W$2:W$3601, A$2:A$3601, A1060, B$2:B$3601, B1060), "OPTIMAL", "")</f>
        <v/>
      </c>
    </row>
    <row r="1061" ht="20" customHeight="1">
      <c r="A1061" s="29" t="n">
        <v>4</v>
      </c>
      <c r="B1061" s="29" t="n">
        <v>35</v>
      </c>
      <c r="C1061" s="30" t="n">
        <v>120</v>
      </c>
      <c r="D1061" s="30" t="n">
        <v>2</v>
      </c>
      <c r="E1061" s="6" t="n">
        <v>8</v>
      </c>
      <c r="F1061" s="30" t="n">
        <v>2</v>
      </c>
      <c r="G1061" s="6" t="inlineStr">
        <is>
          <t>Non</t>
        </is>
      </c>
      <c r="H1061" s="6" t="inlineStr">
        <is>
          <t>OFF</t>
        </is>
      </c>
      <c r="I1061" s="31" t="n">
        <v>856.3651513317755</v>
      </c>
      <c r="J1061" s="31" t="n">
        <v>3449.488235315031</v>
      </c>
      <c r="K1061" s="31" t="n">
        <v>2287.037037037037</v>
      </c>
      <c r="L1061" s="31" t="n">
        <v>150</v>
      </c>
      <c r="M1061" s="31">
        <f>I1061+J1061+K1061+L1061</f>
        <v/>
      </c>
      <c r="N1061" s="31">
        <f>M1061*'Dashboard &amp; Optimisation'!$B$18/('Dashboard &amp; Optimisation'!$B$16/3.6)</f>
        <v/>
      </c>
      <c r="O1061" s="31" t="n">
        <v>601.2134327024847</v>
      </c>
      <c r="P1061" s="32" t="n">
        <v>0.2137140835676829</v>
      </c>
      <c r="Q1061" s="33" t="n">
        <v>14.58672875926959</v>
      </c>
      <c r="R1061" s="31" t="n">
        <v>604.4228783824171</v>
      </c>
      <c r="S1061" s="31">
        <f>R1061*IF(A1061=4, 2.0, 3.0)</f>
        <v/>
      </c>
      <c r="T1061" s="30">
        <f>'Dashboard &amp; Optimisation'!$B$18*U1061</f>
        <v/>
      </c>
      <c r="U1061" s="34">
        <f>MIN(1, S1061/M1061)</f>
        <v/>
      </c>
      <c r="V1061" s="34">
        <f>N1061/(N1061+O1061)</f>
        <v/>
      </c>
      <c r="W1061" s="34">
        <f>U1061*V1061</f>
        <v/>
      </c>
      <c r="X1061" s="32">
        <f>T1061/N1061</f>
        <v/>
      </c>
      <c r="Y1061" s="35">
        <f>IF(W1061=MAXIFS(W$2:W$3601, A$2:A$3601, A1061, B$2:B$3601, B1061), "OPTIMAL", "")</f>
        <v/>
      </c>
    </row>
    <row r="1062" ht="20" customHeight="1">
      <c r="A1062" s="21" t="n">
        <v>4</v>
      </c>
      <c r="B1062" s="21" t="n">
        <v>35</v>
      </c>
      <c r="C1062" s="22" t="n">
        <v>120</v>
      </c>
      <c r="D1062" s="22" t="n">
        <v>3</v>
      </c>
      <c r="E1062" s="23" t="n">
        <v>0</v>
      </c>
      <c r="F1062" s="22" t="n">
        <v>0</v>
      </c>
      <c r="G1062" s="23" t="inlineStr">
        <is>
          <t>Oui</t>
        </is>
      </c>
      <c r="H1062" s="23" t="inlineStr">
        <is>
          <t>ON</t>
        </is>
      </c>
      <c r="I1062" s="24" t="n">
        <v>856.3651513317755</v>
      </c>
      <c r="J1062" s="24" t="n">
        <v>3449.488235315031</v>
      </c>
      <c r="K1062" s="24" t="n">
        <v>2287.037037037037</v>
      </c>
      <c r="L1062" s="24" t="n">
        <v>150</v>
      </c>
      <c r="M1062" s="24">
        <f>I1062+J1062+K1062+L1062</f>
        <v/>
      </c>
      <c r="N1062" s="24">
        <f>M1062*'Dashboard &amp; Optimisation'!$B$18/('Dashboard &amp; Optimisation'!$B$16/3.6)</f>
        <v/>
      </c>
      <c r="O1062" s="24" t="n">
        <v>370.2272050129562</v>
      </c>
      <c r="P1062" s="25" t="n">
        <v>0.4668943220842715</v>
      </c>
      <c r="Q1062" s="26" t="n">
        <v>0.2</v>
      </c>
      <c r="R1062" s="24" t="n">
        <v>266.3354539671267</v>
      </c>
      <c r="S1062" s="24">
        <f>R1062*IF(A1062=4, 2.0, 3.0)</f>
        <v/>
      </c>
      <c r="T1062" s="22">
        <f>'Dashboard &amp; Optimisation'!$B$18*U1062</f>
        <v/>
      </c>
      <c r="U1062" s="27">
        <f>MIN(1, S1062/M1062)</f>
        <v/>
      </c>
      <c r="V1062" s="27">
        <f>N1062/(N1062+O1062)</f>
        <v/>
      </c>
      <c r="W1062" s="27">
        <f>U1062*V1062</f>
        <v/>
      </c>
      <c r="X1062" s="25">
        <f>T1062/N1062</f>
        <v/>
      </c>
      <c r="Y1062" s="28">
        <f>IF(W1062=MAXIFS(W$2:W$3601, A$2:A$3601, A1062, B$2:B$3601, B1062), "OPTIMAL", "")</f>
        <v/>
      </c>
    </row>
    <row r="1063" ht="20" customHeight="1">
      <c r="A1063" s="29" t="n">
        <v>4</v>
      </c>
      <c r="B1063" s="29" t="n">
        <v>35</v>
      </c>
      <c r="C1063" s="30" t="n">
        <v>120</v>
      </c>
      <c r="D1063" s="30" t="n">
        <v>3</v>
      </c>
      <c r="E1063" s="6" t="n">
        <v>0</v>
      </c>
      <c r="F1063" s="30" t="n">
        <v>0</v>
      </c>
      <c r="G1063" s="6" t="inlineStr">
        <is>
          <t>Oui</t>
        </is>
      </c>
      <c r="H1063" s="6" t="inlineStr">
        <is>
          <t>OFF</t>
        </is>
      </c>
      <c r="I1063" s="31" t="n">
        <v>856.3651513317755</v>
      </c>
      <c r="J1063" s="31" t="n">
        <v>3449.488235315031</v>
      </c>
      <c r="K1063" s="31" t="n">
        <v>2287.037037037037</v>
      </c>
      <c r="L1063" s="31" t="n">
        <v>150</v>
      </c>
      <c r="M1063" s="31">
        <f>I1063+J1063+K1063+L1063</f>
        <v/>
      </c>
      <c r="N1063" s="31">
        <f>M1063*'Dashboard &amp; Optimisation'!$B$18/('Dashboard &amp; Optimisation'!$B$16/3.6)</f>
        <v/>
      </c>
      <c r="O1063" s="31" t="n">
        <v>370.2272050129562</v>
      </c>
      <c r="P1063" s="32" t="n">
        <v>0.7321525605707637</v>
      </c>
      <c r="Q1063" s="33" t="n">
        <v>0.2</v>
      </c>
      <c r="R1063" s="31" t="n">
        <v>169.842349701063</v>
      </c>
      <c r="S1063" s="31">
        <f>R1063*IF(A1063=4, 2.0, 3.0)</f>
        <v/>
      </c>
      <c r="T1063" s="30">
        <f>'Dashboard &amp; Optimisation'!$B$18*U1063</f>
        <v/>
      </c>
      <c r="U1063" s="34">
        <f>MIN(1, S1063/M1063)</f>
        <v/>
      </c>
      <c r="V1063" s="34">
        <f>N1063/(N1063+O1063)</f>
        <v/>
      </c>
      <c r="W1063" s="34">
        <f>U1063*V1063</f>
        <v/>
      </c>
      <c r="X1063" s="32">
        <f>T1063/N1063</f>
        <v/>
      </c>
      <c r="Y1063" s="35">
        <f>IF(W1063=MAXIFS(W$2:W$3601, A$2:A$3601, A1063, B$2:B$3601, B1063), "OPTIMAL", "")</f>
        <v/>
      </c>
    </row>
    <row r="1064" ht="20" customHeight="1">
      <c r="A1064" s="21" t="n">
        <v>4</v>
      </c>
      <c r="B1064" s="21" t="n">
        <v>35</v>
      </c>
      <c r="C1064" s="22" t="n">
        <v>120</v>
      </c>
      <c r="D1064" s="22" t="n">
        <v>3</v>
      </c>
      <c r="E1064" s="23" t="n">
        <v>0</v>
      </c>
      <c r="F1064" s="22" t="n">
        <v>0</v>
      </c>
      <c r="G1064" s="23" t="inlineStr">
        <is>
          <t>Non</t>
        </is>
      </c>
      <c r="H1064" s="23" t="inlineStr">
        <is>
          <t>ON</t>
        </is>
      </c>
      <c r="I1064" s="24" t="n">
        <v>856.3651513317755</v>
      </c>
      <c r="J1064" s="24" t="n">
        <v>3449.488235315031</v>
      </c>
      <c r="K1064" s="24" t="n">
        <v>2287.037037037037</v>
      </c>
      <c r="L1064" s="24" t="n">
        <v>150</v>
      </c>
      <c r="M1064" s="24">
        <f>I1064+J1064+K1064+L1064</f>
        <v/>
      </c>
      <c r="N1064" s="24">
        <f>M1064*'Dashboard &amp; Optimisation'!$B$18/('Dashboard &amp; Optimisation'!$B$16/3.6)</f>
        <v/>
      </c>
      <c r="O1064" s="24" t="n">
        <v>370.2272050129562</v>
      </c>
      <c r="P1064" s="25" t="n">
        <v>0.4642417396994065</v>
      </c>
      <c r="Q1064" s="26" t="n">
        <v>0.2</v>
      </c>
      <c r="R1064" s="24" t="n">
        <v>267.8572402979199</v>
      </c>
      <c r="S1064" s="24">
        <f>R1064*IF(A1064=4, 2.0, 3.0)</f>
        <v/>
      </c>
      <c r="T1064" s="22">
        <f>'Dashboard &amp; Optimisation'!$B$18*U1064</f>
        <v/>
      </c>
      <c r="U1064" s="27">
        <f>MIN(1, S1064/M1064)</f>
        <v/>
      </c>
      <c r="V1064" s="27">
        <f>N1064/(N1064+O1064)</f>
        <v/>
      </c>
      <c r="W1064" s="27">
        <f>U1064*V1064</f>
        <v/>
      </c>
      <c r="X1064" s="25">
        <f>T1064/N1064</f>
        <v/>
      </c>
      <c r="Y1064" s="28">
        <f>IF(W1064=MAXIFS(W$2:W$3601, A$2:A$3601, A1064, B$2:B$3601, B1064), "OPTIMAL", "")</f>
        <v/>
      </c>
    </row>
    <row r="1065" ht="20" customHeight="1">
      <c r="A1065" s="29" t="n">
        <v>4</v>
      </c>
      <c r="B1065" s="29" t="n">
        <v>35</v>
      </c>
      <c r="C1065" s="30" t="n">
        <v>120</v>
      </c>
      <c r="D1065" s="30" t="n">
        <v>3</v>
      </c>
      <c r="E1065" s="6" t="n">
        <v>0</v>
      </c>
      <c r="F1065" s="30" t="n">
        <v>0</v>
      </c>
      <c r="G1065" s="6" t="inlineStr">
        <is>
          <t>Non</t>
        </is>
      </c>
      <c r="H1065" s="6" t="inlineStr">
        <is>
          <t>OFF</t>
        </is>
      </c>
      <c r="I1065" s="31" t="n">
        <v>856.3651513317755</v>
      </c>
      <c r="J1065" s="31" t="n">
        <v>3449.488235315031</v>
      </c>
      <c r="K1065" s="31" t="n">
        <v>2287.037037037037</v>
      </c>
      <c r="L1065" s="31" t="n">
        <v>150</v>
      </c>
      <c r="M1065" s="31">
        <f>I1065+J1065+K1065+L1065</f>
        <v/>
      </c>
      <c r="N1065" s="31">
        <f>M1065*'Dashboard &amp; Optimisation'!$B$18/('Dashboard &amp; Optimisation'!$B$16/3.6)</f>
        <v/>
      </c>
      <c r="O1065" s="31" t="n">
        <v>370.2272050129562</v>
      </c>
      <c r="P1065" s="32" t="n">
        <v>0.7294999781858988</v>
      </c>
      <c r="Q1065" s="33" t="n">
        <v>0.2</v>
      </c>
      <c r="R1065" s="31" t="n">
        <v>170.4599245310739</v>
      </c>
      <c r="S1065" s="31">
        <f>R1065*IF(A1065=4, 2.0, 3.0)</f>
        <v/>
      </c>
      <c r="T1065" s="30">
        <f>'Dashboard &amp; Optimisation'!$B$18*U1065</f>
        <v/>
      </c>
      <c r="U1065" s="34">
        <f>MIN(1, S1065/M1065)</f>
        <v/>
      </c>
      <c r="V1065" s="34">
        <f>N1065/(N1065+O1065)</f>
        <v/>
      </c>
      <c r="W1065" s="34">
        <f>U1065*V1065</f>
        <v/>
      </c>
      <c r="X1065" s="32">
        <f>T1065/N1065</f>
        <v/>
      </c>
      <c r="Y1065" s="35">
        <f>IF(W1065=MAXIFS(W$2:W$3601, A$2:A$3601, A1065, B$2:B$3601, B1065), "OPTIMAL", "")</f>
        <v/>
      </c>
    </row>
    <row r="1066" ht="20" customHeight="1">
      <c r="A1066" s="21" t="n">
        <v>4</v>
      </c>
      <c r="B1066" s="21" t="n">
        <v>35</v>
      </c>
      <c r="C1066" s="22" t="n">
        <v>120</v>
      </c>
      <c r="D1066" s="22" t="n">
        <v>3</v>
      </c>
      <c r="E1066" s="23" t="n">
        <v>4</v>
      </c>
      <c r="F1066" s="22" t="n">
        <v>1.5</v>
      </c>
      <c r="G1066" s="23" t="inlineStr">
        <is>
          <t>Oui</t>
        </is>
      </c>
      <c r="H1066" s="23" t="inlineStr">
        <is>
          <t>ON</t>
        </is>
      </c>
      <c r="I1066" s="24" t="n">
        <v>856.3651513317755</v>
      </c>
      <c r="J1066" s="24" t="n">
        <v>3449.488235315031</v>
      </c>
      <c r="K1066" s="24" t="n">
        <v>2287.037037037037</v>
      </c>
      <c r="L1066" s="24" t="n">
        <v>150</v>
      </c>
      <c r="M1066" s="24">
        <f>I1066+J1066+K1066+L1066</f>
        <v/>
      </c>
      <c r="N1066" s="24">
        <f>M1066*'Dashboard &amp; Optimisation'!$B$18/('Dashboard &amp; Optimisation'!$B$16/3.6)</f>
        <v/>
      </c>
      <c r="O1066" s="24" t="n">
        <v>505.8643033212093</v>
      </c>
      <c r="P1066" s="25" t="n">
        <v>0.06783449726767998</v>
      </c>
      <c r="Q1066" s="26" t="n">
        <v>5.689672816037082</v>
      </c>
      <c r="R1066" s="24" t="n">
        <v>1883.636574690892</v>
      </c>
      <c r="S1066" s="24">
        <f>R1066*IF(A1066=4, 2.0, 3.0)</f>
        <v/>
      </c>
      <c r="T1066" s="22">
        <f>'Dashboard &amp; Optimisation'!$B$18*U1066</f>
        <v/>
      </c>
      <c r="U1066" s="27">
        <f>MIN(1, S1066/M1066)</f>
        <v/>
      </c>
      <c r="V1066" s="27">
        <f>N1066/(N1066+O1066)</f>
        <v/>
      </c>
      <c r="W1066" s="27">
        <f>U1066*V1066</f>
        <v/>
      </c>
      <c r="X1066" s="25">
        <f>T1066/N1066</f>
        <v/>
      </c>
      <c r="Y1066" s="28">
        <f>IF(W1066=MAXIFS(W$2:W$3601, A$2:A$3601, A1066, B$2:B$3601, B1066), "OPTIMAL", "")</f>
        <v/>
      </c>
    </row>
    <row r="1067" ht="20" customHeight="1">
      <c r="A1067" s="29" t="n">
        <v>4</v>
      </c>
      <c r="B1067" s="29" t="n">
        <v>35</v>
      </c>
      <c r="C1067" s="30" t="n">
        <v>120</v>
      </c>
      <c r="D1067" s="30" t="n">
        <v>3</v>
      </c>
      <c r="E1067" s="6" t="n">
        <v>4</v>
      </c>
      <c r="F1067" s="30" t="n">
        <v>1.5</v>
      </c>
      <c r="G1067" s="6" t="inlineStr">
        <is>
          <t>Oui</t>
        </is>
      </c>
      <c r="H1067" s="6" t="inlineStr">
        <is>
          <t>OFF</t>
        </is>
      </c>
      <c r="I1067" s="31" t="n">
        <v>856.3651513317755</v>
      </c>
      <c r="J1067" s="31" t="n">
        <v>3449.488235315031</v>
      </c>
      <c r="K1067" s="31" t="n">
        <v>2287.037037037037</v>
      </c>
      <c r="L1067" s="31" t="n">
        <v>150</v>
      </c>
      <c r="M1067" s="31">
        <f>I1067+J1067+K1067+L1067</f>
        <v/>
      </c>
      <c r="N1067" s="31">
        <f>M1067*'Dashboard &amp; Optimisation'!$B$18/('Dashboard &amp; Optimisation'!$B$16/3.6)</f>
        <v/>
      </c>
      <c r="O1067" s="31" t="n">
        <v>505.8643033212093</v>
      </c>
      <c r="P1067" s="32" t="n">
        <v>0.2715077102234196</v>
      </c>
      <c r="Q1067" s="33" t="n">
        <v>5.689672816037082</v>
      </c>
      <c r="R1067" s="31" t="n">
        <v>470.614775447912</v>
      </c>
      <c r="S1067" s="31">
        <f>R1067*IF(A1067=4, 2.0, 3.0)</f>
        <v/>
      </c>
      <c r="T1067" s="30">
        <f>'Dashboard &amp; Optimisation'!$B$18*U1067</f>
        <v/>
      </c>
      <c r="U1067" s="34">
        <f>MIN(1, S1067/M1067)</f>
        <v/>
      </c>
      <c r="V1067" s="34">
        <f>N1067/(N1067+O1067)</f>
        <v/>
      </c>
      <c r="W1067" s="34">
        <f>U1067*V1067</f>
        <v/>
      </c>
      <c r="X1067" s="32">
        <f>T1067/N1067</f>
        <v/>
      </c>
      <c r="Y1067" s="35">
        <f>IF(W1067=MAXIFS(W$2:W$3601, A$2:A$3601, A1067, B$2:B$3601, B1067), "OPTIMAL", "")</f>
        <v/>
      </c>
    </row>
    <row r="1068" ht="20" customHeight="1">
      <c r="A1068" s="21" t="n">
        <v>4</v>
      </c>
      <c r="B1068" s="21" t="n">
        <v>35</v>
      </c>
      <c r="C1068" s="22" t="n">
        <v>120</v>
      </c>
      <c r="D1068" s="22" t="n">
        <v>3</v>
      </c>
      <c r="E1068" s="23" t="n">
        <v>4</v>
      </c>
      <c r="F1068" s="22" t="n">
        <v>1.5</v>
      </c>
      <c r="G1068" s="23" t="inlineStr">
        <is>
          <t>Non</t>
        </is>
      </c>
      <c r="H1068" s="23" t="inlineStr">
        <is>
          <t>ON</t>
        </is>
      </c>
      <c r="I1068" s="24" t="n">
        <v>856.3651513317755</v>
      </c>
      <c r="J1068" s="24" t="n">
        <v>3449.488235315031</v>
      </c>
      <c r="K1068" s="24" t="n">
        <v>2287.037037037037</v>
      </c>
      <c r="L1068" s="24" t="n">
        <v>150</v>
      </c>
      <c r="M1068" s="24">
        <f>I1068+J1068+K1068+L1068</f>
        <v/>
      </c>
      <c r="N1068" s="24">
        <f>M1068*'Dashboard &amp; Optimisation'!$B$18/('Dashboard &amp; Optimisation'!$B$16/3.6)</f>
        <v/>
      </c>
      <c r="O1068" s="24" t="n">
        <v>505.8643033212093</v>
      </c>
      <c r="P1068" s="25" t="n">
        <v>0.06518191488281506</v>
      </c>
      <c r="Q1068" s="26" t="n">
        <v>5.689672816037082</v>
      </c>
      <c r="R1068" s="24" t="n">
        <v>1960.291291056545</v>
      </c>
      <c r="S1068" s="24">
        <f>R1068*IF(A1068=4, 2.0, 3.0)</f>
        <v/>
      </c>
      <c r="T1068" s="22">
        <f>'Dashboard &amp; Optimisation'!$B$18*U1068</f>
        <v/>
      </c>
      <c r="U1068" s="27">
        <f>MIN(1, S1068/M1068)</f>
        <v/>
      </c>
      <c r="V1068" s="27">
        <f>N1068/(N1068+O1068)</f>
        <v/>
      </c>
      <c r="W1068" s="27">
        <f>U1068*V1068</f>
        <v/>
      </c>
      <c r="X1068" s="25">
        <f>T1068/N1068</f>
        <v/>
      </c>
      <c r="Y1068" s="28">
        <f>IF(W1068=MAXIFS(W$2:W$3601, A$2:A$3601, A1068, B$2:B$3601, B1068), "OPTIMAL", "")</f>
        <v/>
      </c>
    </row>
    <row r="1069" ht="20" customHeight="1">
      <c r="A1069" s="29" t="n">
        <v>4</v>
      </c>
      <c r="B1069" s="29" t="n">
        <v>35</v>
      </c>
      <c r="C1069" s="30" t="n">
        <v>120</v>
      </c>
      <c r="D1069" s="30" t="n">
        <v>3</v>
      </c>
      <c r="E1069" s="6" t="n">
        <v>4</v>
      </c>
      <c r="F1069" s="30" t="n">
        <v>1.5</v>
      </c>
      <c r="G1069" s="6" t="inlineStr">
        <is>
          <t>Non</t>
        </is>
      </c>
      <c r="H1069" s="6" t="inlineStr">
        <is>
          <t>OFF</t>
        </is>
      </c>
      <c r="I1069" s="31" t="n">
        <v>856.3651513317755</v>
      </c>
      <c r="J1069" s="31" t="n">
        <v>3449.488235315031</v>
      </c>
      <c r="K1069" s="31" t="n">
        <v>2287.037037037037</v>
      </c>
      <c r="L1069" s="31" t="n">
        <v>150</v>
      </c>
      <c r="M1069" s="31">
        <f>I1069+J1069+K1069+L1069</f>
        <v/>
      </c>
      <c r="N1069" s="31">
        <f>M1069*'Dashboard &amp; Optimisation'!$B$18/('Dashboard &amp; Optimisation'!$B$16/3.6)</f>
        <v/>
      </c>
      <c r="O1069" s="31" t="n">
        <v>505.8643033212093</v>
      </c>
      <c r="P1069" s="32" t="n">
        <v>0.2688551278385546</v>
      </c>
      <c r="Q1069" s="33" t="n">
        <v>5.689672816037082</v>
      </c>
      <c r="R1069" s="31" t="n">
        <v>475.2579618116845</v>
      </c>
      <c r="S1069" s="31">
        <f>R1069*IF(A1069=4, 2.0, 3.0)</f>
        <v/>
      </c>
      <c r="T1069" s="30">
        <f>'Dashboard &amp; Optimisation'!$B$18*U1069</f>
        <v/>
      </c>
      <c r="U1069" s="34">
        <f>MIN(1, S1069/M1069)</f>
        <v/>
      </c>
      <c r="V1069" s="34">
        <f>N1069/(N1069+O1069)</f>
        <v/>
      </c>
      <c r="W1069" s="34">
        <f>U1069*V1069</f>
        <v/>
      </c>
      <c r="X1069" s="32">
        <f>T1069/N1069</f>
        <v/>
      </c>
      <c r="Y1069" s="35">
        <f>IF(W1069=MAXIFS(W$2:W$3601, A$2:A$3601, A1069, B$2:B$3601, B1069), "OPTIMAL", "")</f>
        <v/>
      </c>
    </row>
    <row r="1070" ht="20" customHeight="1">
      <c r="A1070" s="21" t="n">
        <v>4</v>
      </c>
      <c r="B1070" s="21" t="n">
        <v>35</v>
      </c>
      <c r="C1070" s="22" t="n">
        <v>120</v>
      </c>
      <c r="D1070" s="22" t="n">
        <v>3</v>
      </c>
      <c r="E1070" s="23" t="n">
        <v>4</v>
      </c>
      <c r="F1070" s="22" t="n">
        <v>2</v>
      </c>
      <c r="G1070" s="23" t="inlineStr">
        <is>
          <t>Oui</t>
        </is>
      </c>
      <c r="H1070" s="23" t="inlineStr">
        <is>
          <t>ON</t>
        </is>
      </c>
      <c r="I1070" s="24" t="n">
        <v>856.3651513317755</v>
      </c>
      <c r="J1070" s="24" t="n">
        <v>3449.488235315031</v>
      </c>
      <c r="K1070" s="24" t="n">
        <v>2287.037037037037</v>
      </c>
      <c r="L1070" s="24" t="n">
        <v>150</v>
      </c>
      <c r="M1070" s="24">
        <f>I1070+J1070+K1070+L1070</f>
        <v/>
      </c>
      <c r="N1070" s="24">
        <f>M1070*'Dashboard &amp; Optimisation'!$B$18/('Dashboard &amp; Optimisation'!$B$16/3.6)</f>
        <v/>
      </c>
      <c r="O1070" s="24" t="n">
        <v>552.7524546434117</v>
      </c>
      <c r="P1070" s="25" t="n">
        <v>0.06458187918791126</v>
      </c>
      <c r="Q1070" s="26" t="n">
        <v>7.519563754716109</v>
      </c>
      <c r="R1070" s="24" t="n">
        <v>1996.837718803765</v>
      </c>
      <c r="S1070" s="24">
        <f>R1070*IF(A1070=4, 2.0, 3.0)</f>
        <v/>
      </c>
      <c r="T1070" s="22">
        <f>'Dashboard &amp; Optimisation'!$B$18*U1070</f>
        <v/>
      </c>
      <c r="U1070" s="27">
        <f>MIN(1, S1070/M1070)</f>
        <v/>
      </c>
      <c r="V1070" s="27">
        <f>N1070/(N1070+O1070)</f>
        <v/>
      </c>
      <c r="W1070" s="27">
        <f>U1070*V1070</f>
        <v/>
      </c>
      <c r="X1070" s="25">
        <f>T1070/N1070</f>
        <v/>
      </c>
      <c r="Y1070" s="28">
        <f>IF(W1070=MAXIFS(W$2:W$3601, A$2:A$3601, A1070, B$2:B$3601, B1070), "OPTIMAL", "")</f>
        <v/>
      </c>
    </row>
    <row r="1071" ht="20" customHeight="1">
      <c r="A1071" s="29" t="n">
        <v>4</v>
      </c>
      <c r="B1071" s="29" t="n">
        <v>35</v>
      </c>
      <c r="C1071" s="30" t="n">
        <v>120</v>
      </c>
      <c r="D1071" s="30" t="n">
        <v>3</v>
      </c>
      <c r="E1071" s="6" t="n">
        <v>4</v>
      </c>
      <c r="F1071" s="30" t="n">
        <v>2</v>
      </c>
      <c r="G1071" s="6" t="inlineStr">
        <is>
          <t>Oui</t>
        </is>
      </c>
      <c r="H1071" s="6" t="inlineStr">
        <is>
          <t>OFF</t>
        </is>
      </c>
      <c r="I1071" s="31" t="n">
        <v>856.3651513317755</v>
      </c>
      <c r="J1071" s="31" t="n">
        <v>3449.488235315031</v>
      </c>
      <c r="K1071" s="31" t="n">
        <v>2287.037037037037</v>
      </c>
      <c r="L1071" s="31" t="n">
        <v>150</v>
      </c>
      <c r="M1071" s="31">
        <f>I1071+J1071+K1071+L1071</f>
        <v/>
      </c>
      <c r="N1071" s="31">
        <f>M1071*'Dashboard &amp; Optimisation'!$B$18/('Dashboard &amp; Optimisation'!$B$16/3.6)</f>
        <v/>
      </c>
      <c r="O1071" s="31" t="n">
        <v>552.7524546434117</v>
      </c>
      <c r="P1071" s="32" t="n">
        <v>0.2690865884190716</v>
      </c>
      <c r="Q1071" s="33" t="n">
        <v>7.519563754716109</v>
      </c>
      <c r="R1071" s="31" t="n">
        <v>479.2492003087473</v>
      </c>
      <c r="S1071" s="31">
        <f>R1071*IF(A1071=4, 2.0, 3.0)</f>
        <v/>
      </c>
      <c r="T1071" s="30">
        <f>'Dashboard &amp; Optimisation'!$B$18*U1071</f>
        <v/>
      </c>
      <c r="U1071" s="34">
        <f>MIN(1, S1071/M1071)</f>
        <v/>
      </c>
      <c r="V1071" s="34">
        <f>N1071/(N1071+O1071)</f>
        <v/>
      </c>
      <c r="W1071" s="34">
        <f>U1071*V1071</f>
        <v/>
      </c>
      <c r="X1071" s="32">
        <f>T1071/N1071</f>
        <v/>
      </c>
      <c r="Y1071" s="35">
        <f>IF(W1071=MAXIFS(W$2:W$3601, A$2:A$3601, A1071, B$2:B$3601, B1071), "OPTIMAL", "")</f>
        <v/>
      </c>
    </row>
    <row r="1072" ht="20" customHeight="1">
      <c r="A1072" s="21" t="n">
        <v>4</v>
      </c>
      <c r="B1072" s="21" t="n">
        <v>35</v>
      </c>
      <c r="C1072" s="22" t="n">
        <v>120</v>
      </c>
      <c r="D1072" s="22" t="n">
        <v>3</v>
      </c>
      <c r="E1072" s="23" t="n">
        <v>4</v>
      </c>
      <c r="F1072" s="22" t="n">
        <v>2</v>
      </c>
      <c r="G1072" s="23" t="inlineStr">
        <is>
          <t>Non</t>
        </is>
      </c>
      <c r="H1072" s="23" t="inlineStr">
        <is>
          <t>ON</t>
        </is>
      </c>
      <c r="I1072" s="24" t="n">
        <v>856.3651513317755</v>
      </c>
      <c r="J1072" s="24" t="n">
        <v>3449.488235315031</v>
      </c>
      <c r="K1072" s="24" t="n">
        <v>2287.037037037037</v>
      </c>
      <c r="L1072" s="24" t="n">
        <v>150</v>
      </c>
      <c r="M1072" s="24">
        <f>I1072+J1072+K1072+L1072</f>
        <v/>
      </c>
      <c r="N1072" s="24">
        <f>M1072*'Dashboard &amp; Optimisation'!$B$18/('Dashboard &amp; Optimisation'!$B$16/3.6)</f>
        <v/>
      </c>
      <c r="O1072" s="24" t="n">
        <v>552.7524546434117</v>
      </c>
      <c r="P1072" s="25" t="n">
        <v>0.06192929680304634</v>
      </c>
      <c r="Q1072" s="26" t="n">
        <v>7.519563754716109</v>
      </c>
      <c r="R1072" s="24" t="n">
        <v>2082.367134310905</v>
      </c>
      <c r="S1072" s="24">
        <f>R1072*IF(A1072=4, 2.0, 3.0)</f>
        <v/>
      </c>
      <c r="T1072" s="22">
        <f>'Dashboard &amp; Optimisation'!$B$18*U1072</f>
        <v/>
      </c>
      <c r="U1072" s="27">
        <f>MIN(1, S1072/M1072)</f>
        <v/>
      </c>
      <c r="V1072" s="27">
        <f>N1072/(N1072+O1072)</f>
        <v/>
      </c>
      <c r="W1072" s="27">
        <f>U1072*V1072</f>
        <v/>
      </c>
      <c r="X1072" s="25">
        <f>T1072/N1072</f>
        <v/>
      </c>
      <c r="Y1072" s="28">
        <f>IF(W1072=MAXIFS(W$2:W$3601, A$2:A$3601, A1072, B$2:B$3601, B1072), "OPTIMAL", "")</f>
        <v/>
      </c>
    </row>
    <row r="1073" ht="20" customHeight="1">
      <c r="A1073" s="29" t="n">
        <v>4</v>
      </c>
      <c r="B1073" s="29" t="n">
        <v>35</v>
      </c>
      <c r="C1073" s="30" t="n">
        <v>120</v>
      </c>
      <c r="D1073" s="30" t="n">
        <v>3</v>
      </c>
      <c r="E1073" s="6" t="n">
        <v>4</v>
      </c>
      <c r="F1073" s="30" t="n">
        <v>2</v>
      </c>
      <c r="G1073" s="6" t="inlineStr">
        <is>
          <t>Non</t>
        </is>
      </c>
      <c r="H1073" s="6" t="inlineStr">
        <is>
          <t>OFF</t>
        </is>
      </c>
      <c r="I1073" s="31" t="n">
        <v>856.3651513317755</v>
      </c>
      <c r="J1073" s="31" t="n">
        <v>3449.488235315031</v>
      </c>
      <c r="K1073" s="31" t="n">
        <v>2287.037037037037</v>
      </c>
      <c r="L1073" s="31" t="n">
        <v>150</v>
      </c>
      <c r="M1073" s="31">
        <f>I1073+J1073+K1073+L1073</f>
        <v/>
      </c>
      <c r="N1073" s="31">
        <f>M1073*'Dashboard &amp; Optimisation'!$B$18/('Dashboard &amp; Optimisation'!$B$16/3.6)</f>
        <v/>
      </c>
      <c r="O1073" s="31" t="n">
        <v>552.7524546434117</v>
      </c>
      <c r="P1073" s="32" t="n">
        <v>0.2664340060342067</v>
      </c>
      <c r="Q1073" s="33" t="n">
        <v>7.519563754716109</v>
      </c>
      <c r="R1073" s="31" t="n">
        <v>484.0205431475304</v>
      </c>
      <c r="S1073" s="31">
        <f>R1073*IF(A1073=4, 2.0, 3.0)</f>
        <v/>
      </c>
      <c r="T1073" s="30">
        <f>'Dashboard &amp; Optimisation'!$B$18*U1073</f>
        <v/>
      </c>
      <c r="U1073" s="34">
        <f>MIN(1, S1073/M1073)</f>
        <v/>
      </c>
      <c r="V1073" s="34">
        <f>N1073/(N1073+O1073)</f>
        <v/>
      </c>
      <c r="W1073" s="34">
        <f>U1073*V1073</f>
        <v/>
      </c>
      <c r="X1073" s="32">
        <f>T1073/N1073</f>
        <v/>
      </c>
      <c r="Y1073" s="35">
        <f>IF(W1073=MAXIFS(W$2:W$3601, A$2:A$3601, A1073, B$2:B$3601, B1073), "OPTIMAL", "")</f>
        <v/>
      </c>
    </row>
    <row r="1074" ht="20" customHeight="1">
      <c r="A1074" s="21" t="n">
        <v>4</v>
      </c>
      <c r="B1074" s="21" t="n">
        <v>35</v>
      </c>
      <c r="C1074" s="22" t="n">
        <v>120</v>
      </c>
      <c r="D1074" s="22" t="n">
        <v>3</v>
      </c>
      <c r="E1074" s="23" t="n">
        <v>8</v>
      </c>
      <c r="F1074" s="22" t="n">
        <v>1.5</v>
      </c>
      <c r="G1074" s="23" t="inlineStr">
        <is>
          <t>Oui</t>
        </is>
      </c>
      <c r="H1074" s="23" t="inlineStr">
        <is>
          <t>ON</t>
        </is>
      </c>
      <c r="I1074" s="24" t="n">
        <v>856.3651513317755</v>
      </c>
      <c r="J1074" s="24" t="n">
        <v>3449.488235315031</v>
      </c>
      <c r="K1074" s="24" t="n">
        <v>2287.037037037037</v>
      </c>
      <c r="L1074" s="24" t="n">
        <v>150</v>
      </c>
      <c r="M1074" s="24">
        <f>I1074+J1074+K1074+L1074</f>
        <v/>
      </c>
      <c r="N1074" s="24">
        <f>M1074*'Dashboard &amp; Optimisation'!$B$18/('Dashboard &amp; Optimisation'!$B$16/3.6)</f>
        <v/>
      </c>
      <c r="O1074" s="24" t="n">
        <v>649.1848272566971</v>
      </c>
      <c r="P1074" s="25" t="n">
        <v>0.05144850932496671</v>
      </c>
      <c r="Q1074" s="26" t="n">
        <v>11.17934563207417</v>
      </c>
      <c r="R1074" s="24" t="n">
        <v>2553.904632717562</v>
      </c>
      <c r="S1074" s="24">
        <f>R1074*IF(A1074=4, 2.0, 3.0)</f>
        <v/>
      </c>
      <c r="T1074" s="22">
        <f>'Dashboard &amp; Optimisation'!$B$18*U1074</f>
        <v/>
      </c>
      <c r="U1074" s="27">
        <f>MIN(1, S1074/M1074)</f>
        <v/>
      </c>
      <c r="V1074" s="27">
        <f>N1074/(N1074+O1074)</f>
        <v/>
      </c>
      <c r="W1074" s="27">
        <f>U1074*V1074</f>
        <v/>
      </c>
      <c r="X1074" s="25">
        <f>T1074/N1074</f>
        <v/>
      </c>
      <c r="Y1074" s="28">
        <f>IF(W1074=MAXIFS(W$2:W$3601, A$2:A$3601, A1074, B$2:B$3601, B1074), "OPTIMAL", "")</f>
        <v/>
      </c>
    </row>
    <row r="1075" ht="20" customHeight="1">
      <c r="A1075" s="29" t="n">
        <v>4</v>
      </c>
      <c r="B1075" s="29" t="n">
        <v>35</v>
      </c>
      <c r="C1075" s="30" t="n">
        <v>120</v>
      </c>
      <c r="D1075" s="30" t="n">
        <v>3</v>
      </c>
      <c r="E1075" s="6" t="n">
        <v>8</v>
      </c>
      <c r="F1075" s="30" t="n">
        <v>1.5</v>
      </c>
      <c r="G1075" s="6" t="inlineStr">
        <is>
          <t>Oui</t>
        </is>
      </c>
      <c r="H1075" s="6" t="inlineStr">
        <is>
          <t>OFF</t>
        </is>
      </c>
      <c r="I1075" s="31" t="n">
        <v>856.3651513317755</v>
      </c>
      <c r="J1075" s="31" t="n">
        <v>3449.488235315031</v>
      </c>
      <c r="K1075" s="31" t="n">
        <v>2287.037037037037</v>
      </c>
      <c r="L1075" s="31" t="n">
        <v>150</v>
      </c>
      <c r="M1075" s="31">
        <f>I1075+J1075+K1075+L1075</f>
        <v/>
      </c>
      <c r="N1075" s="31">
        <f>M1075*'Dashboard &amp; Optimisation'!$B$18/('Dashboard &amp; Optimisation'!$B$16/3.6)</f>
        <v/>
      </c>
      <c r="O1075" s="31" t="n">
        <v>649.1848272566971</v>
      </c>
      <c r="P1075" s="32" t="n">
        <v>0.2167441267000743</v>
      </c>
      <c r="Q1075" s="33" t="n">
        <v>11.17934563207417</v>
      </c>
      <c r="R1075" s="31" t="n">
        <v>606.2198238629371</v>
      </c>
      <c r="S1075" s="31">
        <f>R1075*IF(A1075=4, 2.0, 3.0)</f>
        <v/>
      </c>
      <c r="T1075" s="30">
        <f>'Dashboard &amp; Optimisation'!$B$18*U1075</f>
        <v/>
      </c>
      <c r="U1075" s="34">
        <f>MIN(1, S1075/M1075)</f>
        <v/>
      </c>
      <c r="V1075" s="34">
        <f>N1075/(N1075+O1075)</f>
        <v/>
      </c>
      <c r="W1075" s="34">
        <f>U1075*V1075</f>
        <v/>
      </c>
      <c r="X1075" s="32">
        <f>T1075/N1075</f>
        <v/>
      </c>
      <c r="Y1075" s="35">
        <f>IF(W1075=MAXIFS(W$2:W$3601, A$2:A$3601, A1075, B$2:B$3601, B1075), "OPTIMAL", "")</f>
        <v/>
      </c>
    </row>
    <row r="1076" ht="20" customHeight="1">
      <c r="A1076" s="21" t="n">
        <v>4</v>
      </c>
      <c r="B1076" s="21" t="n">
        <v>35</v>
      </c>
      <c r="C1076" s="22" t="n">
        <v>120</v>
      </c>
      <c r="D1076" s="22" t="n">
        <v>3</v>
      </c>
      <c r="E1076" s="23" t="n">
        <v>8</v>
      </c>
      <c r="F1076" s="22" t="n">
        <v>1.5</v>
      </c>
      <c r="G1076" s="23" t="inlineStr">
        <is>
          <t>Non</t>
        </is>
      </c>
      <c r="H1076" s="23" t="inlineStr">
        <is>
          <t>ON</t>
        </is>
      </c>
      <c r="I1076" s="24" t="n">
        <v>856.3651513317755</v>
      </c>
      <c r="J1076" s="24" t="n">
        <v>3449.488235315031</v>
      </c>
      <c r="K1076" s="24" t="n">
        <v>2287.037037037037</v>
      </c>
      <c r="L1076" s="24" t="n">
        <v>150</v>
      </c>
      <c r="M1076" s="24">
        <f>I1076+J1076+K1076+L1076</f>
        <v/>
      </c>
      <c r="N1076" s="24">
        <f>M1076*'Dashboard &amp; Optimisation'!$B$18/('Dashboard &amp; Optimisation'!$B$16/3.6)</f>
        <v/>
      </c>
      <c r="O1076" s="24" t="n">
        <v>649.1848272566971</v>
      </c>
      <c r="P1076" s="25" t="n">
        <v>0.04879592694010178</v>
      </c>
      <c r="Q1076" s="26" t="n">
        <v>11.17934563207417</v>
      </c>
      <c r="R1076" s="24" t="n">
        <v>2692.736762081296</v>
      </c>
      <c r="S1076" s="24">
        <f>R1076*IF(A1076=4, 2.0, 3.0)</f>
        <v/>
      </c>
      <c r="T1076" s="22">
        <f>'Dashboard &amp; Optimisation'!$B$18*U1076</f>
        <v/>
      </c>
      <c r="U1076" s="27">
        <f>MIN(1, S1076/M1076)</f>
        <v/>
      </c>
      <c r="V1076" s="27">
        <f>N1076/(N1076+O1076)</f>
        <v/>
      </c>
      <c r="W1076" s="27">
        <f>U1076*V1076</f>
        <v/>
      </c>
      <c r="X1076" s="25">
        <f>T1076/N1076</f>
        <v/>
      </c>
      <c r="Y1076" s="28">
        <f>IF(W1076=MAXIFS(W$2:W$3601, A$2:A$3601, A1076, B$2:B$3601, B1076), "OPTIMAL", "")</f>
        <v/>
      </c>
    </row>
    <row r="1077" ht="20" customHeight="1">
      <c r="A1077" s="29" t="n">
        <v>4</v>
      </c>
      <c r="B1077" s="29" t="n">
        <v>35</v>
      </c>
      <c r="C1077" s="30" t="n">
        <v>120</v>
      </c>
      <c r="D1077" s="30" t="n">
        <v>3</v>
      </c>
      <c r="E1077" s="6" t="n">
        <v>8</v>
      </c>
      <c r="F1077" s="30" t="n">
        <v>1.5</v>
      </c>
      <c r="G1077" s="6" t="inlineStr">
        <is>
          <t>Non</t>
        </is>
      </c>
      <c r="H1077" s="6" t="inlineStr">
        <is>
          <t>OFF</t>
        </is>
      </c>
      <c r="I1077" s="31" t="n">
        <v>856.3651513317755</v>
      </c>
      <c r="J1077" s="31" t="n">
        <v>3449.488235315031</v>
      </c>
      <c r="K1077" s="31" t="n">
        <v>2287.037037037037</v>
      </c>
      <c r="L1077" s="31" t="n">
        <v>150</v>
      </c>
      <c r="M1077" s="31">
        <f>I1077+J1077+K1077+L1077</f>
        <v/>
      </c>
      <c r="N1077" s="31">
        <f>M1077*'Dashboard &amp; Optimisation'!$B$18/('Dashboard &amp; Optimisation'!$B$16/3.6)</f>
        <v/>
      </c>
      <c r="O1077" s="31" t="n">
        <v>649.1848272566971</v>
      </c>
      <c r="P1077" s="32" t="n">
        <v>0.2140915443152093</v>
      </c>
      <c r="Q1077" s="33" t="n">
        <v>11.17934563207417</v>
      </c>
      <c r="R1077" s="31" t="n">
        <v>613.730853928502</v>
      </c>
      <c r="S1077" s="31">
        <f>R1077*IF(A1077=4, 2.0, 3.0)</f>
        <v/>
      </c>
      <c r="T1077" s="30">
        <f>'Dashboard &amp; Optimisation'!$B$18*U1077</f>
        <v/>
      </c>
      <c r="U1077" s="34">
        <f>MIN(1, S1077/M1077)</f>
        <v/>
      </c>
      <c r="V1077" s="34">
        <f>N1077/(N1077+O1077)</f>
        <v/>
      </c>
      <c r="W1077" s="34">
        <f>U1077*V1077</f>
        <v/>
      </c>
      <c r="X1077" s="32">
        <f>T1077/N1077</f>
        <v/>
      </c>
      <c r="Y1077" s="35">
        <f>IF(W1077=MAXIFS(W$2:W$3601, A$2:A$3601, A1077, B$2:B$3601, B1077), "OPTIMAL", "")</f>
        <v/>
      </c>
    </row>
    <row r="1078" ht="20" customHeight="1">
      <c r="A1078" s="21" t="n">
        <v>4</v>
      </c>
      <c r="B1078" s="21" t="n">
        <v>35</v>
      </c>
      <c r="C1078" s="22" t="n">
        <v>120</v>
      </c>
      <c r="D1078" s="22" t="n">
        <v>3</v>
      </c>
      <c r="E1078" s="23" t="n">
        <v>8</v>
      </c>
      <c r="F1078" s="22" t="n">
        <v>2</v>
      </c>
      <c r="G1078" s="23" t="inlineStr">
        <is>
          <t>Oui</t>
        </is>
      </c>
      <c r="H1078" s="23" t="inlineStr">
        <is>
          <t>ON</t>
        </is>
      </c>
      <c r="I1078" s="24" t="n">
        <v>856.3651513317755</v>
      </c>
      <c r="J1078" s="24" t="n">
        <v>3449.488235315031</v>
      </c>
      <c r="K1078" s="24" t="n">
        <v>2287.037037037037</v>
      </c>
      <c r="L1078" s="24" t="n">
        <v>150</v>
      </c>
      <c r="M1078" s="24">
        <f>I1078+J1078+K1078+L1078</f>
        <v/>
      </c>
      <c r="N1078" s="24">
        <f>M1078*'Dashboard &amp; Optimisation'!$B$18/('Dashboard &amp; Optimisation'!$B$16/3.6)</f>
        <v/>
      </c>
      <c r="O1078" s="24" t="n">
        <v>749.3290197102942</v>
      </c>
      <c r="P1078" s="25" t="n">
        <v>0.04989331996011</v>
      </c>
      <c r="Q1078" s="26" t="n">
        <v>14.83912750943222</v>
      </c>
      <c r="R1078" s="24" t="n">
        <v>2684.194379624354</v>
      </c>
      <c r="S1078" s="24">
        <f>R1078*IF(A1078=4, 2.0, 3.0)</f>
        <v/>
      </c>
      <c r="T1078" s="22">
        <f>'Dashboard &amp; Optimisation'!$B$18*U1078</f>
        <v/>
      </c>
      <c r="U1078" s="27">
        <f>MIN(1, S1078/M1078)</f>
        <v/>
      </c>
      <c r="V1078" s="27">
        <f>N1078/(N1078+O1078)</f>
        <v/>
      </c>
      <c r="W1078" s="27">
        <f>U1078*V1078</f>
        <v/>
      </c>
      <c r="X1078" s="25">
        <f>T1078/N1078</f>
        <v/>
      </c>
      <c r="Y1078" s="28">
        <f>IF(W1078=MAXIFS(W$2:W$3601, A$2:A$3601, A1078, B$2:B$3601, B1078), "OPTIMAL", "")</f>
        <v/>
      </c>
    </row>
    <row r="1079" ht="20" customHeight="1">
      <c r="A1079" s="29" t="n">
        <v>4</v>
      </c>
      <c r="B1079" s="29" t="n">
        <v>35</v>
      </c>
      <c r="C1079" s="30" t="n">
        <v>120</v>
      </c>
      <c r="D1079" s="30" t="n">
        <v>3</v>
      </c>
      <c r="E1079" s="6" t="n">
        <v>8</v>
      </c>
      <c r="F1079" s="30" t="n">
        <v>2</v>
      </c>
      <c r="G1079" s="6" t="inlineStr">
        <is>
          <t>Oui</t>
        </is>
      </c>
      <c r="H1079" s="6" t="inlineStr">
        <is>
          <t>OFF</t>
        </is>
      </c>
      <c r="I1079" s="31" t="n">
        <v>856.3651513317755</v>
      </c>
      <c r="J1079" s="31" t="n">
        <v>3449.488235315031</v>
      </c>
      <c r="K1079" s="31" t="n">
        <v>2287.037037037037</v>
      </c>
      <c r="L1079" s="31" t="n">
        <v>150</v>
      </c>
      <c r="M1079" s="31">
        <f>I1079+J1079+K1079+L1079</f>
        <v/>
      </c>
      <c r="N1079" s="31">
        <f>M1079*'Dashboard &amp; Optimisation'!$B$18/('Dashboard &amp; Optimisation'!$B$16/3.6)</f>
        <v/>
      </c>
      <c r="O1079" s="31" t="n">
        <v>749.3290197102942</v>
      </c>
      <c r="P1079" s="32" t="n">
        <v>0.2162873761903785</v>
      </c>
      <c r="Q1079" s="33" t="n">
        <v>14.83912750943222</v>
      </c>
      <c r="R1079" s="31" t="n">
        <v>619.1917964728837</v>
      </c>
      <c r="S1079" s="31">
        <f>R1079*IF(A1079=4, 2.0, 3.0)</f>
        <v/>
      </c>
      <c r="T1079" s="30">
        <f>'Dashboard &amp; Optimisation'!$B$18*U1079</f>
        <v/>
      </c>
      <c r="U1079" s="34">
        <f>MIN(1, S1079/M1079)</f>
        <v/>
      </c>
      <c r="V1079" s="34">
        <f>N1079/(N1079+O1079)</f>
        <v/>
      </c>
      <c r="W1079" s="34">
        <f>U1079*V1079</f>
        <v/>
      </c>
      <c r="X1079" s="32">
        <f>T1079/N1079</f>
        <v/>
      </c>
      <c r="Y1079" s="35">
        <f>IF(W1079=MAXIFS(W$2:W$3601, A$2:A$3601, A1079, B$2:B$3601, B1079), "OPTIMAL", "")</f>
        <v/>
      </c>
    </row>
    <row r="1080" ht="20" customHeight="1">
      <c r="A1080" s="21" t="n">
        <v>4</v>
      </c>
      <c r="B1080" s="21" t="n">
        <v>35</v>
      </c>
      <c r="C1080" s="22" t="n">
        <v>120</v>
      </c>
      <c r="D1080" s="22" t="n">
        <v>3</v>
      </c>
      <c r="E1080" s="23" t="n">
        <v>8</v>
      </c>
      <c r="F1080" s="22" t="n">
        <v>2</v>
      </c>
      <c r="G1080" s="23" t="inlineStr">
        <is>
          <t>Non</t>
        </is>
      </c>
      <c r="H1080" s="23" t="inlineStr">
        <is>
          <t>ON</t>
        </is>
      </c>
      <c r="I1080" s="24" t="n">
        <v>856.3651513317755</v>
      </c>
      <c r="J1080" s="24" t="n">
        <v>3449.488235315031</v>
      </c>
      <c r="K1080" s="24" t="n">
        <v>2287.037037037037</v>
      </c>
      <c r="L1080" s="24" t="n">
        <v>150</v>
      </c>
      <c r="M1080" s="24">
        <f>I1080+J1080+K1080+L1080</f>
        <v/>
      </c>
      <c r="N1080" s="24">
        <f>M1080*'Dashboard &amp; Optimisation'!$B$18/('Dashboard &amp; Optimisation'!$B$16/3.6)</f>
        <v/>
      </c>
      <c r="O1080" s="24" t="n">
        <v>749.3290197102942</v>
      </c>
      <c r="P1080" s="25" t="n">
        <v>0.04724073757524508</v>
      </c>
      <c r="Q1080" s="26" t="n">
        <v>14.83912750943222</v>
      </c>
      <c r="R1080" s="24" t="n">
        <v>2834.912744628799</v>
      </c>
      <c r="S1080" s="24">
        <f>R1080*IF(A1080=4, 2.0, 3.0)</f>
        <v/>
      </c>
      <c r="T1080" s="22">
        <f>'Dashboard &amp; Optimisation'!$B$18*U1080</f>
        <v/>
      </c>
      <c r="U1080" s="27">
        <f>MIN(1, S1080/M1080)</f>
        <v/>
      </c>
      <c r="V1080" s="27">
        <f>N1080/(N1080+O1080)</f>
        <v/>
      </c>
      <c r="W1080" s="27">
        <f>U1080*V1080</f>
        <v/>
      </c>
      <c r="X1080" s="25">
        <f>T1080/N1080</f>
        <v/>
      </c>
      <c r="Y1080" s="28">
        <f>IF(W1080=MAXIFS(W$2:W$3601, A$2:A$3601, A1080, B$2:B$3601, B1080), "OPTIMAL", "")</f>
        <v/>
      </c>
    </row>
    <row r="1081" ht="20" customHeight="1">
      <c r="A1081" s="29" t="n">
        <v>4</v>
      </c>
      <c r="B1081" s="29" t="n">
        <v>35</v>
      </c>
      <c r="C1081" s="30" t="n">
        <v>120</v>
      </c>
      <c r="D1081" s="30" t="n">
        <v>3</v>
      </c>
      <c r="E1081" s="6" t="n">
        <v>8</v>
      </c>
      <c r="F1081" s="30" t="n">
        <v>2</v>
      </c>
      <c r="G1081" s="6" t="inlineStr">
        <is>
          <t>Non</t>
        </is>
      </c>
      <c r="H1081" s="6" t="inlineStr">
        <is>
          <t>OFF</t>
        </is>
      </c>
      <c r="I1081" s="31" t="n">
        <v>856.3651513317755</v>
      </c>
      <c r="J1081" s="31" t="n">
        <v>3449.488235315031</v>
      </c>
      <c r="K1081" s="31" t="n">
        <v>2287.037037037037</v>
      </c>
      <c r="L1081" s="31" t="n">
        <v>150</v>
      </c>
      <c r="M1081" s="31">
        <f>I1081+J1081+K1081+L1081</f>
        <v/>
      </c>
      <c r="N1081" s="31">
        <f>M1081*'Dashboard &amp; Optimisation'!$B$18/('Dashboard &amp; Optimisation'!$B$16/3.6)</f>
        <v/>
      </c>
      <c r="O1081" s="31" t="n">
        <v>749.3290197102942</v>
      </c>
      <c r="P1081" s="32" t="n">
        <v>0.2136347938055135</v>
      </c>
      <c r="Q1081" s="33" t="n">
        <v>14.83912750943222</v>
      </c>
      <c r="R1081" s="31" t="n">
        <v>626.8799507426984</v>
      </c>
      <c r="S1081" s="31">
        <f>R1081*IF(A1081=4, 2.0, 3.0)</f>
        <v/>
      </c>
      <c r="T1081" s="30">
        <f>'Dashboard &amp; Optimisation'!$B$18*U1081</f>
        <v/>
      </c>
      <c r="U1081" s="34">
        <f>MIN(1, S1081/M1081)</f>
        <v/>
      </c>
      <c r="V1081" s="34">
        <f>N1081/(N1081+O1081)</f>
        <v/>
      </c>
      <c r="W1081" s="34">
        <f>U1081*V1081</f>
        <v/>
      </c>
      <c r="X1081" s="32">
        <f>T1081/N1081</f>
        <v/>
      </c>
      <c r="Y1081" s="35">
        <f>IF(W1081=MAXIFS(W$2:W$3601, A$2:A$3601, A1081, B$2:B$3601, B1081), "OPTIMAL", "")</f>
        <v/>
      </c>
    </row>
    <row r="1082" ht="20" customHeight="1">
      <c r="A1082" s="21" t="n">
        <v>4</v>
      </c>
      <c r="B1082" s="21" t="n">
        <v>40</v>
      </c>
      <c r="C1082" s="22" t="n">
        <v>80</v>
      </c>
      <c r="D1082" s="22" t="n">
        <v>2</v>
      </c>
      <c r="E1082" s="23" t="n">
        <v>0</v>
      </c>
      <c r="F1082" s="22" t="n">
        <v>0</v>
      </c>
      <c r="G1082" s="23" t="inlineStr">
        <is>
          <t>Oui</t>
        </is>
      </c>
      <c r="H1082" s="23" t="inlineStr">
        <is>
          <t>ON</t>
        </is>
      </c>
      <c r="I1082" s="24" t="n">
        <v>994.4885628369005</v>
      </c>
      <c r="J1082" s="24" t="n">
        <v>4850.441664768843</v>
      </c>
      <c r="K1082" s="24" t="n">
        <v>2726.851851851852</v>
      </c>
      <c r="L1082" s="24" t="n">
        <v>150</v>
      </c>
      <c r="M1082" s="24">
        <f>I1082+J1082+K1082+L1082</f>
        <v/>
      </c>
      <c r="N1082" s="24">
        <f>M1082*'Dashboard &amp; Optimisation'!$B$18/('Dashboard &amp; Optimisation'!$B$16/3.6)</f>
        <v/>
      </c>
      <c r="O1082" s="24" t="n">
        <v>478.8808358308675</v>
      </c>
      <c r="P1082" s="25" t="n">
        <v>0.5013778930875155</v>
      </c>
      <c r="Q1082" s="26" t="n">
        <v>0.2</v>
      </c>
      <c r="R1082" s="24" t="n">
        <v>721.811906012966</v>
      </c>
      <c r="S1082" s="24">
        <f>R1082*IF(A1082=4, 2.0, 3.0)</f>
        <v/>
      </c>
      <c r="T1082" s="22">
        <f>'Dashboard &amp; Optimisation'!$B$18*U1082</f>
        <v/>
      </c>
      <c r="U1082" s="27">
        <f>MIN(1, S1082/M1082)</f>
        <v/>
      </c>
      <c r="V1082" s="27">
        <f>N1082/(N1082+O1082)</f>
        <v/>
      </c>
      <c r="W1082" s="27">
        <f>U1082*V1082</f>
        <v/>
      </c>
      <c r="X1082" s="25">
        <f>T1082/N1082</f>
        <v/>
      </c>
      <c r="Y1082" s="28">
        <f>IF(W1082=MAXIFS(W$2:W$3601, A$2:A$3601, A1082, B$2:B$3601, B1082), "OPTIMAL", "")</f>
        <v/>
      </c>
    </row>
    <row r="1083" ht="20" customHeight="1">
      <c r="A1083" s="29" t="n">
        <v>4</v>
      </c>
      <c r="B1083" s="29" t="n">
        <v>40</v>
      </c>
      <c r="C1083" s="30" t="n">
        <v>80</v>
      </c>
      <c r="D1083" s="30" t="n">
        <v>2</v>
      </c>
      <c r="E1083" s="6" t="n">
        <v>0</v>
      </c>
      <c r="F1083" s="30" t="n">
        <v>0</v>
      </c>
      <c r="G1083" s="6" t="inlineStr">
        <is>
          <t>Oui</t>
        </is>
      </c>
      <c r="H1083" s="6" t="inlineStr">
        <is>
          <t>OFF</t>
        </is>
      </c>
      <c r="I1083" s="31" t="n">
        <v>994.4885628369005</v>
      </c>
      <c r="J1083" s="31" t="n">
        <v>4850.441664768843</v>
      </c>
      <c r="K1083" s="31" t="n">
        <v>2726.851851851852</v>
      </c>
      <c r="L1083" s="31" t="n">
        <v>150</v>
      </c>
      <c r="M1083" s="31">
        <f>I1083+J1083+K1083+L1083</f>
        <v/>
      </c>
      <c r="N1083" s="31">
        <f>M1083*'Dashboard &amp; Optimisation'!$B$18/('Dashboard &amp; Optimisation'!$B$16/3.6)</f>
        <v/>
      </c>
      <c r="O1083" s="31" t="n">
        <v>478.8808358308675</v>
      </c>
      <c r="P1083" s="32" t="n">
        <v>0.8992652508172538</v>
      </c>
      <c r="Q1083" s="33" t="n">
        <v>0.2</v>
      </c>
      <c r="R1083" s="31" t="n">
        <v>402.4402503192121</v>
      </c>
      <c r="S1083" s="31">
        <f>R1083*IF(A1083=4, 2.0, 3.0)</f>
        <v/>
      </c>
      <c r="T1083" s="30">
        <f>'Dashboard &amp; Optimisation'!$B$18*U1083</f>
        <v/>
      </c>
      <c r="U1083" s="34">
        <f>MIN(1, S1083/M1083)</f>
        <v/>
      </c>
      <c r="V1083" s="34">
        <f>N1083/(N1083+O1083)</f>
        <v/>
      </c>
      <c r="W1083" s="34">
        <f>U1083*V1083</f>
        <v/>
      </c>
      <c r="X1083" s="32">
        <f>T1083/N1083</f>
        <v/>
      </c>
      <c r="Y1083" s="35">
        <f>IF(W1083=MAXIFS(W$2:W$3601, A$2:A$3601, A1083, B$2:B$3601, B1083), "OPTIMAL", "")</f>
        <v/>
      </c>
    </row>
    <row r="1084" ht="20" customHeight="1">
      <c r="A1084" s="21" t="n">
        <v>4</v>
      </c>
      <c r="B1084" s="21" t="n">
        <v>40</v>
      </c>
      <c r="C1084" s="22" t="n">
        <v>80</v>
      </c>
      <c r="D1084" s="22" t="n">
        <v>2</v>
      </c>
      <c r="E1084" s="23" t="n">
        <v>0</v>
      </c>
      <c r="F1084" s="22" t="n">
        <v>0</v>
      </c>
      <c r="G1084" s="23" t="inlineStr">
        <is>
          <t>Non</t>
        </is>
      </c>
      <c r="H1084" s="23" t="inlineStr">
        <is>
          <t>ON</t>
        </is>
      </c>
      <c r="I1084" s="24" t="n">
        <v>994.4885628369005</v>
      </c>
      <c r="J1084" s="24" t="n">
        <v>4850.441664768843</v>
      </c>
      <c r="K1084" s="24" t="n">
        <v>2726.851851851852</v>
      </c>
      <c r="L1084" s="24" t="n">
        <v>150</v>
      </c>
      <c r="M1084" s="24">
        <f>I1084+J1084+K1084+L1084</f>
        <v/>
      </c>
      <c r="N1084" s="24">
        <f>M1084*'Dashboard &amp; Optimisation'!$B$18/('Dashboard &amp; Optimisation'!$B$16/3.6)</f>
        <v/>
      </c>
      <c r="O1084" s="24" t="n">
        <v>478.8808358308675</v>
      </c>
      <c r="P1084" s="25" t="n">
        <v>0.4973990195102181</v>
      </c>
      <c r="Q1084" s="26" t="n">
        <v>0.2</v>
      </c>
      <c r="R1084" s="24" t="n">
        <v>727.5859389482172</v>
      </c>
      <c r="S1084" s="24">
        <f>R1084*IF(A1084=4, 2.0, 3.0)</f>
        <v/>
      </c>
      <c r="T1084" s="22">
        <f>'Dashboard &amp; Optimisation'!$B$18*U1084</f>
        <v/>
      </c>
      <c r="U1084" s="27">
        <f>MIN(1, S1084/M1084)</f>
        <v/>
      </c>
      <c r="V1084" s="27">
        <f>N1084/(N1084+O1084)</f>
        <v/>
      </c>
      <c r="W1084" s="27">
        <f>U1084*V1084</f>
        <v/>
      </c>
      <c r="X1084" s="25">
        <f>T1084/N1084</f>
        <v/>
      </c>
      <c r="Y1084" s="28">
        <f>IF(W1084=MAXIFS(W$2:W$3601, A$2:A$3601, A1084, B$2:B$3601, B1084), "OPTIMAL", "")</f>
        <v/>
      </c>
    </row>
    <row r="1085" ht="20" customHeight="1">
      <c r="A1085" s="29" t="n">
        <v>4</v>
      </c>
      <c r="B1085" s="29" t="n">
        <v>40</v>
      </c>
      <c r="C1085" s="30" t="n">
        <v>80</v>
      </c>
      <c r="D1085" s="30" t="n">
        <v>2</v>
      </c>
      <c r="E1085" s="6" t="n">
        <v>0</v>
      </c>
      <c r="F1085" s="30" t="n">
        <v>0</v>
      </c>
      <c r="G1085" s="6" t="inlineStr">
        <is>
          <t>Non</t>
        </is>
      </c>
      <c r="H1085" s="6" t="inlineStr">
        <is>
          <t>OFF</t>
        </is>
      </c>
      <c r="I1085" s="31" t="n">
        <v>994.4885628369005</v>
      </c>
      <c r="J1085" s="31" t="n">
        <v>4850.441664768843</v>
      </c>
      <c r="K1085" s="31" t="n">
        <v>2726.851851851852</v>
      </c>
      <c r="L1085" s="31" t="n">
        <v>150</v>
      </c>
      <c r="M1085" s="31">
        <f>I1085+J1085+K1085+L1085</f>
        <v/>
      </c>
      <c r="N1085" s="31">
        <f>M1085*'Dashboard &amp; Optimisation'!$B$18/('Dashboard &amp; Optimisation'!$B$16/3.6)</f>
        <v/>
      </c>
      <c r="O1085" s="31" t="n">
        <v>478.8808358308675</v>
      </c>
      <c r="P1085" s="32" t="n">
        <v>0.8952863772399564</v>
      </c>
      <c r="Q1085" s="33" t="n">
        <v>0.2</v>
      </c>
      <c r="R1085" s="31" t="n">
        <v>404.2287940959782</v>
      </c>
      <c r="S1085" s="31">
        <f>R1085*IF(A1085=4, 2.0, 3.0)</f>
        <v/>
      </c>
      <c r="T1085" s="30">
        <f>'Dashboard &amp; Optimisation'!$B$18*U1085</f>
        <v/>
      </c>
      <c r="U1085" s="34">
        <f>MIN(1, S1085/M1085)</f>
        <v/>
      </c>
      <c r="V1085" s="34">
        <f>N1085/(N1085+O1085)</f>
        <v/>
      </c>
      <c r="W1085" s="34">
        <f>U1085*V1085</f>
        <v/>
      </c>
      <c r="X1085" s="32">
        <f>T1085/N1085</f>
        <v/>
      </c>
      <c r="Y1085" s="35">
        <f>IF(W1085=MAXIFS(W$2:W$3601, A$2:A$3601, A1085, B$2:B$3601, B1085), "OPTIMAL", "")</f>
        <v/>
      </c>
    </row>
    <row r="1086" ht="20" customHeight="1">
      <c r="A1086" s="21" t="n">
        <v>4</v>
      </c>
      <c r="B1086" s="21" t="n">
        <v>40</v>
      </c>
      <c r="C1086" s="22" t="n">
        <v>80</v>
      </c>
      <c r="D1086" s="22" t="n">
        <v>2</v>
      </c>
      <c r="E1086" s="23" t="n">
        <v>4</v>
      </c>
      <c r="F1086" s="22" t="n">
        <v>1.5</v>
      </c>
      <c r="G1086" s="23" t="inlineStr">
        <is>
          <t>Oui</t>
        </is>
      </c>
      <c r="H1086" s="23" t="inlineStr">
        <is>
          <t>ON</t>
        </is>
      </c>
      <c r="I1086" s="24" t="n">
        <v>994.4885628369005</v>
      </c>
      <c r="J1086" s="24" t="n">
        <v>4850.441664768843</v>
      </c>
      <c r="K1086" s="24" t="n">
        <v>2726.851851851852</v>
      </c>
      <c r="L1086" s="24" t="n">
        <v>150</v>
      </c>
      <c r="M1086" s="24">
        <f>I1086+J1086+K1086+L1086</f>
        <v/>
      </c>
      <c r="N1086" s="24">
        <f>M1086*'Dashboard &amp; Optimisation'!$B$18/('Dashboard &amp; Optimisation'!$B$16/3.6)</f>
        <v/>
      </c>
      <c r="O1086" s="24" t="n">
        <v>776.2630878052925</v>
      </c>
      <c r="P1086" s="25" t="n">
        <v>0.08231647342522849</v>
      </c>
      <c r="Q1086" s="26" t="n">
        <v>8.434509224055622</v>
      </c>
      <c r="R1086" s="24" t="n">
        <v>4580.629264005748</v>
      </c>
      <c r="S1086" s="24">
        <f>R1086*IF(A1086=4, 2.0, 3.0)</f>
        <v/>
      </c>
      <c r="T1086" s="22">
        <f>'Dashboard &amp; Optimisation'!$B$18*U1086</f>
        <v/>
      </c>
      <c r="U1086" s="27">
        <f>MIN(1, S1086/M1086)</f>
        <v/>
      </c>
      <c r="V1086" s="27">
        <f>N1086/(N1086+O1086)</f>
        <v/>
      </c>
      <c r="W1086" s="27">
        <f>U1086*V1086</f>
        <v/>
      </c>
      <c r="X1086" s="25">
        <f>T1086/N1086</f>
        <v/>
      </c>
      <c r="Y1086" s="28">
        <f>IF(W1086=MAXIFS(W$2:W$3601, A$2:A$3601, A1086, B$2:B$3601, B1086), "OPTIMAL", "")</f>
        <v/>
      </c>
    </row>
    <row r="1087" ht="20" customHeight="1">
      <c r="A1087" s="29" t="n">
        <v>4</v>
      </c>
      <c r="B1087" s="29" t="n">
        <v>40</v>
      </c>
      <c r="C1087" s="30" t="n">
        <v>80</v>
      </c>
      <c r="D1087" s="30" t="n">
        <v>2</v>
      </c>
      <c r="E1087" s="6" t="n">
        <v>4</v>
      </c>
      <c r="F1087" s="30" t="n">
        <v>1.5</v>
      </c>
      <c r="G1087" s="6" t="inlineStr">
        <is>
          <t>Oui</t>
        </is>
      </c>
      <c r="H1087" s="6" t="inlineStr">
        <is>
          <t>OFF</t>
        </is>
      </c>
      <c r="I1087" s="31" t="n">
        <v>994.4885628369005</v>
      </c>
      <c r="J1087" s="31" t="n">
        <v>4850.441664768843</v>
      </c>
      <c r="K1087" s="31" t="n">
        <v>2726.851851851852</v>
      </c>
      <c r="L1087" s="31" t="n">
        <v>150</v>
      </c>
      <c r="M1087" s="31">
        <f>I1087+J1087+K1087+L1087</f>
        <v/>
      </c>
      <c r="N1087" s="31">
        <f>M1087*'Dashboard &amp; Optimisation'!$B$18/('Dashboard &amp; Optimisation'!$B$16/3.6)</f>
        <v/>
      </c>
      <c r="O1087" s="31" t="n">
        <v>776.2630878052925</v>
      </c>
      <c r="P1087" s="32" t="n">
        <v>0.3560493820000729</v>
      </c>
      <c r="Q1087" s="33" t="n">
        <v>8.434509224055622</v>
      </c>
      <c r="R1087" s="31" t="n">
        <v>1059.013906900352</v>
      </c>
      <c r="S1087" s="31">
        <f>R1087*IF(A1087=4, 2.0, 3.0)</f>
        <v/>
      </c>
      <c r="T1087" s="30">
        <f>'Dashboard &amp; Optimisation'!$B$18*U1087</f>
        <v/>
      </c>
      <c r="U1087" s="34">
        <f>MIN(1, S1087/M1087)</f>
        <v/>
      </c>
      <c r="V1087" s="34">
        <f>N1087/(N1087+O1087)</f>
        <v/>
      </c>
      <c r="W1087" s="34">
        <f>U1087*V1087</f>
        <v/>
      </c>
      <c r="X1087" s="32">
        <f>T1087/N1087</f>
        <v/>
      </c>
      <c r="Y1087" s="35">
        <f>IF(W1087=MAXIFS(W$2:W$3601, A$2:A$3601, A1087, B$2:B$3601, B1087), "OPTIMAL", "")</f>
        <v/>
      </c>
    </row>
    <row r="1088" ht="20" customHeight="1">
      <c r="A1088" s="21" t="n">
        <v>4</v>
      </c>
      <c r="B1088" s="21" t="n">
        <v>40</v>
      </c>
      <c r="C1088" s="22" t="n">
        <v>80</v>
      </c>
      <c r="D1088" s="22" t="n">
        <v>2</v>
      </c>
      <c r="E1088" s="23" t="n">
        <v>4</v>
      </c>
      <c r="F1088" s="22" t="n">
        <v>1.5</v>
      </c>
      <c r="G1088" s="23" t="inlineStr">
        <is>
          <t>Non</t>
        </is>
      </c>
      <c r="H1088" s="23" t="inlineStr">
        <is>
          <t>ON</t>
        </is>
      </c>
      <c r="I1088" s="24" t="n">
        <v>994.4885628369005</v>
      </c>
      <c r="J1088" s="24" t="n">
        <v>4850.441664768843</v>
      </c>
      <c r="K1088" s="24" t="n">
        <v>2726.851851851852</v>
      </c>
      <c r="L1088" s="24" t="n">
        <v>150</v>
      </c>
      <c r="M1088" s="24">
        <f>I1088+J1088+K1088+L1088</f>
        <v/>
      </c>
      <c r="N1088" s="24">
        <f>M1088*'Dashboard &amp; Optimisation'!$B$18/('Dashboard &amp; Optimisation'!$B$16/3.6)</f>
        <v/>
      </c>
      <c r="O1088" s="24" t="n">
        <v>776.2630878052925</v>
      </c>
      <c r="P1088" s="25" t="n">
        <v>0.07833759984793112</v>
      </c>
      <c r="Q1088" s="26" t="n">
        <v>8.434509224055622</v>
      </c>
      <c r="R1088" s="24" t="n">
        <v>4813.285673971427</v>
      </c>
      <c r="S1088" s="24">
        <f>R1088*IF(A1088=4, 2.0, 3.0)</f>
        <v/>
      </c>
      <c r="T1088" s="22">
        <f>'Dashboard &amp; Optimisation'!$B$18*U1088</f>
        <v/>
      </c>
      <c r="U1088" s="27">
        <f>MIN(1, S1088/M1088)</f>
        <v/>
      </c>
      <c r="V1088" s="27">
        <f>N1088/(N1088+O1088)</f>
        <v/>
      </c>
      <c r="W1088" s="27">
        <f>U1088*V1088</f>
        <v/>
      </c>
      <c r="X1088" s="25">
        <f>T1088/N1088</f>
        <v/>
      </c>
      <c r="Y1088" s="28">
        <f>IF(W1088=MAXIFS(W$2:W$3601, A$2:A$3601, A1088, B$2:B$3601, B1088), "OPTIMAL", "")</f>
        <v/>
      </c>
    </row>
    <row r="1089" ht="20" customHeight="1">
      <c r="A1089" s="29" t="n">
        <v>4</v>
      </c>
      <c r="B1089" s="29" t="n">
        <v>40</v>
      </c>
      <c r="C1089" s="30" t="n">
        <v>80</v>
      </c>
      <c r="D1089" s="30" t="n">
        <v>2</v>
      </c>
      <c r="E1089" s="6" t="n">
        <v>4</v>
      </c>
      <c r="F1089" s="30" t="n">
        <v>1.5</v>
      </c>
      <c r="G1089" s="6" t="inlineStr">
        <is>
          <t>Non</t>
        </is>
      </c>
      <c r="H1089" s="6" t="inlineStr">
        <is>
          <t>OFF</t>
        </is>
      </c>
      <c r="I1089" s="31" t="n">
        <v>994.4885628369005</v>
      </c>
      <c r="J1089" s="31" t="n">
        <v>4850.441664768843</v>
      </c>
      <c r="K1089" s="31" t="n">
        <v>2726.851851851852</v>
      </c>
      <c r="L1089" s="31" t="n">
        <v>150</v>
      </c>
      <c r="M1089" s="31">
        <f>I1089+J1089+K1089+L1089</f>
        <v/>
      </c>
      <c r="N1089" s="31">
        <f>M1089*'Dashboard &amp; Optimisation'!$B$18/('Dashboard &amp; Optimisation'!$B$16/3.6)</f>
        <v/>
      </c>
      <c r="O1089" s="31" t="n">
        <v>776.2630878052925</v>
      </c>
      <c r="P1089" s="32" t="n">
        <v>0.3520705084227755</v>
      </c>
      <c r="Q1089" s="33" t="n">
        <v>8.434509224055622</v>
      </c>
      <c r="R1089" s="31" t="n">
        <v>1070.982198340135</v>
      </c>
      <c r="S1089" s="31">
        <f>R1089*IF(A1089=4, 2.0, 3.0)</f>
        <v/>
      </c>
      <c r="T1089" s="30">
        <f>'Dashboard &amp; Optimisation'!$B$18*U1089</f>
        <v/>
      </c>
      <c r="U1089" s="34">
        <f>MIN(1, S1089/M1089)</f>
        <v/>
      </c>
      <c r="V1089" s="34">
        <f>N1089/(N1089+O1089)</f>
        <v/>
      </c>
      <c r="W1089" s="34">
        <f>U1089*V1089</f>
        <v/>
      </c>
      <c r="X1089" s="32">
        <f>T1089/N1089</f>
        <v/>
      </c>
      <c r="Y1089" s="35">
        <f>IF(W1089=MAXIFS(W$2:W$3601, A$2:A$3601, A1089, B$2:B$3601, B1089), "OPTIMAL", "")</f>
        <v/>
      </c>
    </row>
    <row r="1090" ht="20" customHeight="1">
      <c r="A1090" s="21" t="n">
        <v>4</v>
      </c>
      <c r="B1090" s="21" t="n">
        <v>40</v>
      </c>
      <c r="C1090" s="22" t="n">
        <v>80</v>
      </c>
      <c r="D1090" s="22" t="n">
        <v>2</v>
      </c>
      <c r="E1090" s="23" t="n">
        <v>4</v>
      </c>
      <c r="F1090" s="22" t="n">
        <v>2</v>
      </c>
      <c r="G1090" s="23" t="inlineStr">
        <is>
          <t>Oui</t>
        </is>
      </c>
      <c r="H1090" s="23" t="inlineStr">
        <is>
          <t>ON</t>
        </is>
      </c>
      <c r="I1090" s="24" t="n">
        <v>994.4885628369005</v>
      </c>
      <c r="J1090" s="24" t="n">
        <v>4850.441664768843</v>
      </c>
      <c r="K1090" s="24" t="n">
        <v>2726.851851851852</v>
      </c>
      <c r="L1090" s="24" t="n">
        <v>150</v>
      </c>
      <c r="M1090" s="24">
        <f>I1090+J1090+K1090+L1090</f>
        <v/>
      </c>
      <c r="N1090" s="24">
        <f>M1090*'Dashboard &amp; Optimisation'!$B$18/('Dashboard &amp; Optimisation'!$B$16/3.6)</f>
        <v/>
      </c>
      <c r="O1090" s="24" t="n">
        <v>881.0057693029165</v>
      </c>
      <c r="P1090" s="25" t="n">
        <v>0.08027381372050572</v>
      </c>
      <c r="Q1090" s="26" t="n">
        <v>11.17934563207416</v>
      </c>
      <c r="R1090" s="24" t="n">
        <v>4763.708987563024</v>
      </c>
      <c r="S1090" s="24">
        <f>R1090*IF(A1090=4, 2.0, 3.0)</f>
        <v/>
      </c>
      <c r="T1090" s="22">
        <f>'Dashboard &amp; Optimisation'!$B$18*U1090</f>
        <v/>
      </c>
      <c r="U1090" s="27">
        <f>MIN(1, S1090/M1090)</f>
        <v/>
      </c>
      <c r="V1090" s="27">
        <f>N1090/(N1090+O1090)</f>
        <v/>
      </c>
      <c r="W1090" s="27">
        <f>U1090*V1090</f>
        <v/>
      </c>
      <c r="X1090" s="25">
        <f>T1090/N1090</f>
        <v/>
      </c>
      <c r="Y1090" s="28">
        <f>IF(W1090=MAXIFS(W$2:W$3601, A$2:A$3601, A1090, B$2:B$3601, B1090), "OPTIMAL", "")</f>
        <v/>
      </c>
    </row>
    <row r="1091" ht="20" customHeight="1">
      <c r="A1091" s="29" t="n">
        <v>4</v>
      </c>
      <c r="B1091" s="29" t="n">
        <v>40</v>
      </c>
      <c r="C1091" s="30" t="n">
        <v>80</v>
      </c>
      <c r="D1091" s="30" t="n">
        <v>2</v>
      </c>
      <c r="E1091" s="6" t="n">
        <v>4</v>
      </c>
      <c r="F1091" s="30" t="n">
        <v>2</v>
      </c>
      <c r="G1091" s="6" t="inlineStr">
        <is>
          <t>Oui</t>
        </is>
      </c>
      <c r="H1091" s="6" t="inlineStr">
        <is>
          <t>OFF</t>
        </is>
      </c>
      <c r="I1091" s="31" t="n">
        <v>994.4885628369005</v>
      </c>
      <c r="J1091" s="31" t="n">
        <v>4850.441664768843</v>
      </c>
      <c r="K1091" s="31" t="n">
        <v>2726.851851851852</v>
      </c>
      <c r="L1091" s="31" t="n">
        <v>150</v>
      </c>
      <c r="M1091" s="31">
        <f>I1091+J1091+K1091+L1091</f>
        <v/>
      </c>
      <c r="N1091" s="31">
        <f>M1091*'Dashboard &amp; Optimisation'!$B$18/('Dashboard &amp; Optimisation'!$B$16/3.6)</f>
        <v/>
      </c>
      <c r="O1091" s="31" t="n">
        <v>881.0057693029165</v>
      </c>
      <c r="P1091" s="32" t="n">
        <v>0.355510990994127</v>
      </c>
      <c r="Q1091" s="33" t="n">
        <v>11.17934563207416</v>
      </c>
      <c r="R1091" s="31" t="n">
        <v>1075.637877796724</v>
      </c>
      <c r="S1091" s="31">
        <f>R1091*IF(A1091=4, 2.0, 3.0)</f>
        <v/>
      </c>
      <c r="T1091" s="30">
        <f>'Dashboard &amp; Optimisation'!$B$18*U1091</f>
        <v/>
      </c>
      <c r="U1091" s="34">
        <f>MIN(1, S1091/M1091)</f>
        <v/>
      </c>
      <c r="V1091" s="34">
        <f>N1091/(N1091+O1091)</f>
        <v/>
      </c>
      <c r="W1091" s="34">
        <f>U1091*V1091</f>
        <v/>
      </c>
      <c r="X1091" s="32">
        <f>T1091/N1091</f>
        <v/>
      </c>
      <c r="Y1091" s="35">
        <f>IF(W1091=MAXIFS(W$2:W$3601, A$2:A$3601, A1091, B$2:B$3601, B1091), "OPTIMAL", "")</f>
        <v/>
      </c>
    </row>
    <row r="1092" ht="20" customHeight="1">
      <c r="A1092" s="21" t="n">
        <v>4</v>
      </c>
      <c r="B1092" s="21" t="n">
        <v>40</v>
      </c>
      <c r="C1092" s="22" t="n">
        <v>80</v>
      </c>
      <c r="D1092" s="22" t="n">
        <v>2</v>
      </c>
      <c r="E1092" s="23" t="n">
        <v>4</v>
      </c>
      <c r="F1092" s="22" t="n">
        <v>2</v>
      </c>
      <c r="G1092" s="23" t="inlineStr">
        <is>
          <t>Non</t>
        </is>
      </c>
      <c r="H1092" s="23" t="inlineStr">
        <is>
          <t>ON</t>
        </is>
      </c>
      <c r="I1092" s="24" t="n">
        <v>994.4885628369005</v>
      </c>
      <c r="J1092" s="24" t="n">
        <v>4850.441664768843</v>
      </c>
      <c r="K1092" s="24" t="n">
        <v>2726.851851851852</v>
      </c>
      <c r="L1092" s="24" t="n">
        <v>150</v>
      </c>
      <c r="M1092" s="24">
        <f>I1092+J1092+K1092+L1092</f>
        <v/>
      </c>
      <c r="N1092" s="24">
        <f>M1092*'Dashboard &amp; Optimisation'!$B$18/('Dashboard &amp; Optimisation'!$B$16/3.6)</f>
        <v/>
      </c>
      <c r="O1092" s="24" t="n">
        <v>881.0057693029165</v>
      </c>
      <c r="P1092" s="25" t="n">
        <v>0.07629494014320834</v>
      </c>
      <c r="Q1092" s="26" t="n">
        <v>11.17934563207416</v>
      </c>
      <c r="R1092" s="24" t="n">
        <v>5012.142183591107</v>
      </c>
      <c r="S1092" s="24">
        <f>R1092*IF(A1092=4, 2.0, 3.0)</f>
        <v/>
      </c>
      <c r="T1092" s="22">
        <f>'Dashboard &amp; Optimisation'!$B$18*U1092</f>
        <v/>
      </c>
      <c r="U1092" s="27">
        <f>MIN(1, S1092/M1092)</f>
        <v/>
      </c>
      <c r="V1092" s="27">
        <f>N1092/(N1092+O1092)</f>
        <v/>
      </c>
      <c r="W1092" s="27">
        <f>U1092*V1092</f>
        <v/>
      </c>
      <c r="X1092" s="25">
        <f>T1092/N1092</f>
        <v/>
      </c>
      <c r="Y1092" s="28">
        <f>IF(W1092=MAXIFS(W$2:W$3601, A$2:A$3601, A1092, B$2:B$3601, B1092), "OPTIMAL", "")</f>
        <v/>
      </c>
    </row>
    <row r="1093" ht="20" customHeight="1">
      <c r="A1093" s="29" t="n">
        <v>4</v>
      </c>
      <c r="B1093" s="29" t="n">
        <v>40</v>
      </c>
      <c r="C1093" s="30" t="n">
        <v>80</v>
      </c>
      <c r="D1093" s="30" t="n">
        <v>2</v>
      </c>
      <c r="E1093" s="6" t="n">
        <v>4</v>
      </c>
      <c r="F1093" s="30" t="n">
        <v>2</v>
      </c>
      <c r="G1093" s="6" t="inlineStr">
        <is>
          <t>Non</t>
        </is>
      </c>
      <c r="H1093" s="6" t="inlineStr">
        <is>
          <t>OFF</t>
        </is>
      </c>
      <c r="I1093" s="31" t="n">
        <v>994.4885628369005</v>
      </c>
      <c r="J1093" s="31" t="n">
        <v>4850.441664768843</v>
      </c>
      <c r="K1093" s="31" t="n">
        <v>2726.851851851852</v>
      </c>
      <c r="L1093" s="31" t="n">
        <v>150</v>
      </c>
      <c r="M1093" s="31">
        <f>I1093+J1093+K1093+L1093</f>
        <v/>
      </c>
      <c r="N1093" s="31">
        <f>M1093*'Dashboard &amp; Optimisation'!$B$18/('Dashboard &amp; Optimisation'!$B$16/3.6)</f>
        <v/>
      </c>
      <c r="O1093" s="31" t="n">
        <v>881.0057693029165</v>
      </c>
      <c r="P1093" s="32" t="n">
        <v>0.3515321174168297</v>
      </c>
      <c r="Q1093" s="33" t="n">
        <v>11.17934563207416</v>
      </c>
      <c r="R1093" s="31" t="n">
        <v>1087.812660465674</v>
      </c>
      <c r="S1093" s="31">
        <f>R1093*IF(A1093=4, 2.0, 3.0)</f>
        <v/>
      </c>
      <c r="T1093" s="30">
        <f>'Dashboard &amp; Optimisation'!$B$18*U1093</f>
        <v/>
      </c>
      <c r="U1093" s="34">
        <f>MIN(1, S1093/M1093)</f>
        <v/>
      </c>
      <c r="V1093" s="34">
        <f>N1093/(N1093+O1093)</f>
        <v/>
      </c>
      <c r="W1093" s="34">
        <f>U1093*V1093</f>
        <v/>
      </c>
      <c r="X1093" s="32">
        <f>T1093/N1093</f>
        <v/>
      </c>
      <c r="Y1093" s="35">
        <f>IF(W1093=MAXIFS(W$2:W$3601, A$2:A$3601, A1093, B$2:B$3601, B1093), "OPTIMAL", "")</f>
        <v/>
      </c>
    </row>
    <row r="1094" ht="20" customHeight="1">
      <c r="A1094" s="21" t="n">
        <v>4</v>
      </c>
      <c r="B1094" s="21" t="n">
        <v>40</v>
      </c>
      <c r="C1094" s="22" t="n">
        <v>80</v>
      </c>
      <c r="D1094" s="22" t="n">
        <v>2</v>
      </c>
      <c r="E1094" s="23" t="n">
        <v>8</v>
      </c>
      <c r="F1094" s="22" t="n">
        <v>1.5</v>
      </c>
      <c r="G1094" s="23" t="inlineStr">
        <is>
          <t>Oui</t>
        </is>
      </c>
      <c r="H1094" s="23" t="inlineStr">
        <is>
          <t>ON</t>
        </is>
      </c>
      <c r="I1094" s="24" t="n">
        <v>994.4885628369005</v>
      </c>
      <c r="J1094" s="24" t="n">
        <v>4850.441664768843</v>
      </c>
      <c r="K1094" s="24" t="n">
        <v>2726.851851851852</v>
      </c>
      <c r="L1094" s="24" t="n">
        <v>150</v>
      </c>
      <c r="M1094" s="24">
        <f>I1094+J1094+K1094+L1094</f>
        <v/>
      </c>
      <c r="N1094" s="24">
        <f>M1094*'Dashboard &amp; Optimisation'!$B$18/('Dashboard &amp; Optimisation'!$B$16/3.6)</f>
        <v/>
      </c>
      <c r="O1094" s="24" t="n">
        <v>1099.650587315468</v>
      </c>
      <c r="P1094" s="25" t="n">
        <v>0.06145178783543291</v>
      </c>
      <c r="Q1094" s="26" t="n">
        <v>16.66901844811125</v>
      </c>
      <c r="R1094" s="24" t="n">
        <v>6404.170448512035</v>
      </c>
      <c r="S1094" s="24">
        <f>R1094*IF(A1094=4, 2.0, 3.0)</f>
        <v/>
      </c>
      <c r="T1094" s="22">
        <f>'Dashboard &amp; Optimisation'!$B$18*U1094</f>
        <v/>
      </c>
      <c r="U1094" s="27">
        <f>MIN(1, S1094/M1094)</f>
        <v/>
      </c>
      <c r="V1094" s="27">
        <f>N1094/(N1094+O1094)</f>
        <v/>
      </c>
      <c r="W1094" s="27">
        <f>U1094*V1094</f>
        <v/>
      </c>
      <c r="X1094" s="25">
        <f>T1094/N1094</f>
        <v/>
      </c>
      <c r="Y1094" s="28">
        <f>IF(W1094=MAXIFS(W$2:W$3601, A$2:A$3601, A1094, B$2:B$3601, B1094), "OPTIMAL", "")</f>
        <v/>
      </c>
    </row>
    <row r="1095" ht="20" customHeight="1">
      <c r="A1095" s="29" t="n">
        <v>4</v>
      </c>
      <c r="B1095" s="29" t="n">
        <v>40</v>
      </c>
      <c r="C1095" s="30" t="n">
        <v>80</v>
      </c>
      <c r="D1095" s="30" t="n">
        <v>2</v>
      </c>
      <c r="E1095" s="6" t="n">
        <v>8</v>
      </c>
      <c r="F1095" s="30" t="n">
        <v>1.5</v>
      </c>
      <c r="G1095" s="6" t="inlineStr">
        <is>
          <t>Oui</t>
        </is>
      </c>
      <c r="H1095" s="6" t="inlineStr">
        <is>
          <t>OFF</t>
        </is>
      </c>
      <c r="I1095" s="31" t="n">
        <v>994.4885628369005</v>
      </c>
      <c r="J1095" s="31" t="n">
        <v>4850.441664768843</v>
      </c>
      <c r="K1095" s="31" t="n">
        <v>2726.851851851852</v>
      </c>
      <c r="L1095" s="31" t="n">
        <v>150</v>
      </c>
      <c r="M1095" s="31">
        <f>I1095+J1095+K1095+L1095</f>
        <v/>
      </c>
      <c r="N1095" s="31">
        <f>M1095*'Dashboard &amp; Optimisation'!$B$18/('Dashboard &amp; Optimisation'!$B$16/3.6)</f>
        <v/>
      </c>
      <c r="O1095" s="31" t="n">
        <v>1099.650587315468</v>
      </c>
      <c r="P1095" s="32" t="n">
        <v>0.2700829218988253</v>
      </c>
      <c r="Q1095" s="33" t="n">
        <v>16.66901844811125</v>
      </c>
      <c r="R1095" s="31" t="n">
        <v>1457.136648615406</v>
      </c>
      <c r="S1095" s="31">
        <f>R1095*IF(A1095=4, 2.0, 3.0)</f>
        <v/>
      </c>
      <c r="T1095" s="30">
        <f>'Dashboard &amp; Optimisation'!$B$18*U1095</f>
        <v/>
      </c>
      <c r="U1095" s="34">
        <f>MIN(1, S1095/M1095)</f>
        <v/>
      </c>
      <c r="V1095" s="34">
        <f>N1095/(N1095+O1095)</f>
        <v/>
      </c>
      <c r="W1095" s="34">
        <f>U1095*V1095</f>
        <v/>
      </c>
      <c r="X1095" s="32">
        <f>T1095/N1095</f>
        <v/>
      </c>
      <c r="Y1095" s="35">
        <f>IF(W1095=MAXIFS(W$2:W$3601, A$2:A$3601, A1095, B$2:B$3601, B1095), "OPTIMAL", "")</f>
        <v/>
      </c>
    </row>
    <row r="1096" ht="20" customHeight="1">
      <c r="A1096" s="21" t="n">
        <v>4</v>
      </c>
      <c r="B1096" s="21" t="n">
        <v>40</v>
      </c>
      <c r="C1096" s="22" t="n">
        <v>80</v>
      </c>
      <c r="D1096" s="22" t="n">
        <v>2</v>
      </c>
      <c r="E1096" s="23" t="n">
        <v>8</v>
      </c>
      <c r="F1096" s="22" t="n">
        <v>1.5</v>
      </c>
      <c r="G1096" s="23" t="inlineStr">
        <is>
          <t>Non</t>
        </is>
      </c>
      <c r="H1096" s="23" t="inlineStr">
        <is>
          <t>ON</t>
        </is>
      </c>
      <c r="I1096" s="24" t="n">
        <v>994.4885628369005</v>
      </c>
      <c r="J1096" s="24" t="n">
        <v>4850.441664768843</v>
      </c>
      <c r="K1096" s="24" t="n">
        <v>2726.851851851852</v>
      </c>
      <c r="L1096" s="24" t="n">
        <v>150</v>
      </c>
      <c r="M1096" s="24">
        <f>I1096+J1096+K1096+L1096</f>
        <v/>
      </c>
      <c r="N1096" s="24">
        <f>M1096*'Dashboard &amp; Optimisation'!$B$18/('Dashboard &amp; Optimisation'!$B$16/3.6)</f>
        <v/>
      </c>
      <c r="O1096" s="24" t="n">
        <v>1099.650587315468</v>
      </c>
      <c r="P1096" s="25" t="n">
        <v>0.05747291425813553</v>
      </c>
      <c r="Q1096" s="26" t="n">
        <v>16.66901844811125</v>
      </c>
      <c r="R1096" s="24" t="n">
        <v>6847.533812124422</v>
      </c>
      <c r="S1096" s="24">
        <f>R1096*IF(A1096=4, 2.0, 3.0)</f>
        <v/>
      </c>
      <c r="T1096" s="22">
        <f>'Dashboard &amp; Optimisation'!$B$18*U1096</f>
        <v/>
      </c>
      <c r="U1096" s="27">
        <f>MIN(1, S1096/M1096)</f>
        <v/>
      </c>
      <c r="V1096" s="27">
        <f>N1096/(N1096+O1096)</f>
        <v/>
      </c>
      <c r="W1096" s="27">
        <f>U1096*V1096</f>
        <v/>
      </c>
      <c r="X1096" s="25">
        <f>T1096/N1096</f>
        <v/>
      </c>
      <c r="Y1096" s="28">
        <f>IF(W1096=MAXIFS(W$2:W$3601, A$2:A$3601, A1096, B$2:B$3601, B1096), "OPTIMAL", "")</f>
        <v/>
      </c>
    </row>
    <row r="1097" ht="20" customHeight="1">
      <c r="A1097" s="29" t="n">
        <v>4</v>
      </c>
      <c r="B1097" s="29" t="n">
        <v>40</v>
      </c>
      <c r="C1097" s="30" t="n">
        <v>80</v>
      </c>
      <c r="D1097" s="30" t="n">
        <v>2</v>
      </c>
      <c r="E1097" s="6" t="n">
        <v>8</v>
      </c>
      <c r="F1097" s="30" t="n">
        <v>1.5</v>
      </c>
      <c r="G1097" s="6" t="inlineStr">
        <is>
          <t>Non</t>
        </is>
      </c>
      <c r="H1097" s="6" t="inlineStr">
        <is>
          <t>OFF</t>
        </is>
      </c>
      <c r="I1097" s="31" t="n">
        <v>994.4885628369005</v>
      </c>
      <c r="J1097" s="31" t="n">
        <v>4850.441664768843</v>
      </c>
      <c r="K1097" s="31" t="n">
        <v>2726.851851851852</v>
      </c>
      <c r="L1097" s="31" t="n">
        <v>150</v>
      </c>
      <c r="M1097" s="31">
        <f>I1097+J1097+K1097+L1097</f>
        <v/>
      </c>
      <c r="N1097" s="31">
        <f>M1097*'Dashboard &amp; Optimisation'!$B$18/('Dashboard &amp; Optimisation'!$B$16/3.6)</f>
        <v/>
      </c>
      <c r="O1097" s="31" t="n">
        <v>1099.650587315468</v>
      </c>
      <c r="P1097" s="32" t="n">
        <v>0.2661040483215279</v>
      </c>
      <c r="Q1097" s="33" t="n">
        <v>16.66901844811125</v>
      </c>
      <c r="R1097" s="31" t="n">
        <v>1478.924225866701</v>
      </c>
      <c r="S1097" s="31">
        <f>R1097*IF(A1097=4, 2.0, 3.0)</f>
        <v/>
      </c>
      <c r="T1097" s="30">
        <f>'Dashboard &amp; Optimisation'!$B$18*U1097</f>
        <v/>
      </c>
      <c r="U1097" s="34">
        <f>MIN(1, S1097/M1097)</f>
        <v/>
      </c>
      <c r="V1097" s="34">
        <f>N1097/(N1097+O1097)</f>
        <v/>
      </c>
      <c r="W1097" s="34">
        <f>U1097*V1097</f>
        <v/>
      </c>
      <c r="X1097" s="32">
        <f>T1097/N1097</f>
        <v/>
      </c>
      <c r="Y1097" s="35">
        <f>IF(W1097=MAXIFS(W$2:W$3601, A$2:A$3601, A1097, B$2:B$3601, B1097), "OPTIMAL", "")</f>
        <v/>
      </c>
    </row>
    <row r="1098" ht="20" customHeight="1">
      <c r="A1098" s="21" t="n">
        <v>4</v>
      </c>
      <c r="B1098" s="21" t="n">
        <v>40</v>
      </c>
      <c r="C1098" s="22" t="n">
        <v>80</v>
      </c>
      <c r="D1098" s="22" t="n">
        <v>2</v>
      </c>
      <c r="E1098" s="23" t="n">
        <v>8</v>
      </c>
      <c r="F1098" s="22" t="n">
        <v>2</v>
      </c>
      <c r="G1098" s="23" t="inlineStr">
        <is>
          <t>Oui</t>
        </is>
      </c>
      <c r="H1098" s="23" t="inlineStr">
        <is>
          <t>ON</t>
        </is>
      </c>
      <c r="I1098" s="24" t="n">
        <v>994.4885628369005</v>
      </c>
      <c r="J1098" s="24" t="n">
        <v>4850.441664768843</v>
      </c>
      <c r="K1098" s="24" t="n">
        <v>2726.851851851852</v>
      </c>
      <c r="L1098" s="24" t="n">
        <v>150</v>
      </c>
      <c r="M1098" s="24">
        <f>I1098+J1098+K1098+L1098</f>
        <v/>
      </c>
      <c r="N1098" s="24">
        <f>M1098*'Dashboard &amp; Optimisation'!$B$18/('Dashboard &amp; Optimisation'!$B$16/3.6)</f>
        <v/>
      </c>
      <c r="O1098" s="24" t="n">
        <v>1331.424697850694</v>
      </c>
      <c r="P1098" s="25" t="n">
        <v>0.06058998977604487</v>
      </c>
      <c r="Q1098" s="26" t="n">
        <v>22.15869126414833</v>
      </c>
      <c r="R1098" s="24" t="n">
        <v>6690.275071111524</v>
      </c>
      <c r="S1098" s="24">
        <f>R1098*IF(A1098=4, 2.0, 3.0)</f>
        <v/>
      </c>
      <c r="T1098" s="22">
        <f>'Dashboard &amp; Optimisation'!$B$18*U1098</f>
        <v/>
      </c>
      <c r="U1098" s="27">
        <f>MIN(1, S1098/M1098)</f>
        <v/>
      </c>
      <c r="V1098" s="27">
        <f>N1098/(N1098+O1098)</f>
        <v/>
      </c>
      <c r="W1098" s="27">
        <f>U1098*V1098</f>
        <v/>
      </c>
      <c r="X1098" s="25">
        <f>T1098/N1098</f>
        <v/>
      </c>
      <c r="Y1098" s="28">
        <f>IF(W1098=MAXIFS(W$2:W$3601, A$2:A$3601, A1098, B$2:B$3601, B1098), "OPTIMAL", "")</f>
        <v/>
      </c>
    </row>
    <row r="1099" ht="20" customHeight="1">
      <c r="A1099" s="29" t="n">
        <v>4</v>
      </c>
      <c r="B1099" s="29" t="n">
        <v>40</v>
      </c>
      <c r="C1099" s="30" t="n">
        <v>80</v>
      </c>
      <c r="D1099" s="30" t="n">
        <v>2</v>
      </c>
      <c r="E1099" s="6" t="n">
        <v>8</v>
      </c>
      <c r="F1099" s="30" t="n">
        <v>2</v>
      </c>
      <c r="G1099" s="6" t="inlineStr">
        <is>
          <t>Oui</t>
        </is>
      </c>
      <c r="H1099" s="6" t="inlineStr">
        <is>
          <t>OFF</t>
        </is>
      </c>
      <c r="I1099" s="31" t="n">
        <v>994.4885628369005</v>
      </c>
      <c r="J1099" s="31" t="n">
        <v>4850.441664768843</v>
      </c>
      <c r="K1099" s="31" t="n">
        <v>2726.851851851852</v>
      </c>
      <c r="L1099" s="31" t="n">
        <v>150</v>
      </c>
      <c r="M1099" s="31">
        <f>I1099+J1099+K1099+L1099</f>
        <v/>
      </c>
      <c r="N1099" s="31">
        <f>M1099*'Dashboard &amp; Optimisation'!$B$18/('Dashboard &amp; Optimisation'!$B$16/3.6)</f>
        <v/>
      </c>
      <c r="O1099" s="31" t="n">
        <v>1331.424697850694</v>
      </c>
      <c r="P1099" s="32" t="n">
        <v>0.2709744149858122</v>
      </c>
      <c r="Q1099" s="33" t="n">
        <v>22.15869126414833</v>
      </c>
      <c r="R1099" s="31" t="n">
        <v>1495.948236215583</v>
      </c>
      <c r="S1099" s="31">
        <f>R1099*IF(A1099=4, 2.0, 3.0)</f>
        <v/>
      </c>
      <c r="T1099" s="30">
        <f>'Dashboard &amp; Optimisation'!$B$18*U1099</f>
        <v/>
      </c>
      <c r="U1099" s="34">
        <f>MIN(1, S1099/M1099)</f>
        <v/>
      </c>
      <c r="V1099" s="34">
        <f>N1099/(N1099+O1099)</f>
        <v/>
      </c>
      <c r="W1099" s="34">
        <f>U1099*V1099</f>
        <v/>
      </c>
      <c r="X1099" s="32">
        <f>T1099/N1099</f>
        <v/>
      </c>
      <c r="Y1099" s="35">
        <f>IF(W1099=MAXIFS(W$2:W$3601, A$2:A$3601, A1099, B$2:B$3601, B1099), "OPTIMAL", "")</f>
        <v/>
      </c>
    </row>
    <row r="1100" ht="20" customHeight="1">
      <c r="A1100" s="21" t="n">
        <v>4</v>
      </c>
      <c r="B1100" s="21" t="n">
        <v>40</v>
      </c>
      <c r="C1100" s="22" t="n">
        <v>80</v>
      </c>
      <c r="D1100" s="22" t="n">
        <v>2</v>
      </c>
      <c r="E1100" s="23" t="n">
        <v>8</v>
      </c>
      <c r="F1100" s="22" t="n">
        <v>2</v>
      </c>
      <c r="G1100" s="23" t="inlineStr">
        <is>
          <t>Non</t>
        </is>
      </c>
      <c r="H1100" s="23" t="inlineStr">
        <is>
          <t>ON</t>
        </is>
      </c>
      <c r="I1100" s="24" t="n">
        <v>994.4885628369005</v>
      </c>
      <c r="J1100" s="24" t="n">
        <v>4850.441664768843</v>
      </c>
      <c r="K1100" s="24" t="n">
        <v>2726.851851851852</v>
      </c>
      <c r="L1100" s="24" t="n">
        <v>150</v>
      </c>
      <c r="M1100" s="24">
        <f>I1100+J1100+K1100+L1100</f>
        <v/>
      </c>
      <c r="N1100" s="24">
        <f>M1100*'Dashboard &amp; Optimisation'!$B$18/('Dashboard &amp; Optimisation'!$B$16/3.6)</f>
        <v/>
      </c>
      <c r="O1100" s="24" t="n">
        <v>1331.424697850694</v>
      </c>
      <c r="P1100" s="25" t="n">
        <v>0.05661111619874749</v>
      </c>
      <c r="Q1100" s="26" t="n">
        <v>22.15869126414833</v>
      </c>
      <c r="R1100" s="24" t="n">
        <v>7160.496478014044</v>
      </c>
      <c r="S1100" s="24">
        <f>R1100*IF(A1100=4, 2.0, 3.0)</f>
        <v/>
      </c>
      <c r="T1100" s="22">
        <f>'Dashboard &amp; Optimisation'!$B$18*U1100</f>
        <v/>
      </c>
      <c r="U1100" s="27">
        <f>MIN(1, S1100/M1100)</f>
        <v/>
      </c>
      <c r="V1100" s="27">
        <f>N1100/(N1100+O1100)</f>
        <v/>
      </c>
      <c r="W1100" s="27">
        <f>U1100*V1100</f>
        <v/>
      </c>
      <c r="X1100" s="25">
        <f>T1100/N1100</f>
        <v/>
      </c>
      <c r="Y1100" s="28">
        <f>IF(W1100=MAXIFS(W$2:W$3601, A$2:A$3601, A1100, B$2:B$3601, B1100), "OPTIMAL", "")</f>
        <v/>
      </c>
    </row>
    <row r="1101" ht="20" customHeight="1">
      <c r="A1101" s="29" t="n">
        <v>4</v>
      </c>
      <c r="B1101" s="29" t="n">
        <v>40</v>
      </c>
      <c r="C1101" s="30" t="n">
        <v>80</v>
      </c>
      <c r="D1101" s="30" t="n">
        <v>2</v>
      </c>
      <c r="E1101" s="6" t="n">
        <v>8</v>
      </c>
      <c r="F1101" s="30" t="n">
        <v>2</v>
      </c>
      <c r="G1101" s="6" t="inlineStr">
        <is>
          <t>Non</t>
        </is>
      </c>
      <c r="H1101" s="6" t="inlineStr">
        <is>
          <t>OFF</t>
        </is>
      </c>
      <c r="I1101" s="31" t="n">
        <v>994.4885628369005</v>
      </c>
      <c r="J1101" s="31" t="n">
        <v>4850.441664768843</v>
      </c>
      <c r="K1101" s="31" t="n">
        <v>2726.851851851852</v>
      </c>
      <c r="L1101" s="31" t="n">
        <v>150</v>
      </c>
      <c r="M1101" s="31">
        <f>I1101+J1101+K1101+L1101</f>
        <v/>
      </c>
      <c r="N1101" s="31">
        <f>M1101*'Dashboard &amp; Optimisation'!$B$18/('Dashboard &amp; Optimisation'!$B$16/3.6)</f>
        <v/>
      </c>
      <c r="O1101" s="31" t="n">
        <v>1331.424697850694</v>
      </c>
      <c r="P1101" s="32" t="n">
        <v>0.2669955414085148</v>
      </c>
      <c r="Q1101" s="33" t="n">
        <v>22.15869126414833</v>
      </c>
      <c r="R1101" s="31" t="n">
        <v>1518.241450846368</v>
      </c>
      <c r="S1101" s="31">
        <f>R1101*IF(A1101=4, 2.0, 3.0)</f>
        <v/>
      </c>
      <c r="T1101" s="30">
        <f>'Dashboard &amp; Optimisation'!$B$18*U1101</f>
        <v/>
      </c>
      <c r="U1101" s="34">
        <f>MIN(1, S1101/M1101)</f>
        <v/>
      </c>
      <c r="V1101" s="34">
        <f>N1101/(N1101+O1101)</f>
        <v/>
      </c>
      <c r="W1101" s="34">
        <f>U1101*V1101</f>
        <v/>
      </c>
      <c r="X1101" s="32">
        <f>T1101/N1101</f>
        <v/>
      </c>
      <c r="Y1101" s="35">
        <f>IF(W1101=MAXIFS(W$2:W$3601, A$2:A$3601, A1101, B$2:B$3601, B1101), "OPTIMAL", "")</f>
        <v/>
      </c>
    </row>
    <row r="1102" ht="20" customHeight="1">
      <c r="A1102" s="21" t="n">
        <v>4</v>
      </c>
      <c r="B1102" s="21" t="n">
        <v>40</v>
      </c>
      <c r="C1102" s="22" t="n">
        <v>80</v>
      </c>
      <c r="D1102" s="22" t="n">
        <v>3</v>
      </c>
      <c r="E1102" s="23" t="n">
        <v>0</v>
      </c>
      <c r="F1102" s="22" t="n">
        <v>0</v>
      </c>
      <c r="G1102" s="23" t="inlineStr">
        <is>
          <t>Oui</t>
        </is>
      </c>
      <c r="H1102" s="23" t="inlineStr">
        <is>
          <t>ON</t>
        </is>
      </c>
      <c r="I1102" s="24" t="n">
        <v>994.4885628369005</v>
      </c>
      <c r="J1102" s="24" t="n">
        <v>4850.441664768843</v>
      </c>
      <c r="K1102" s="24" t="n">
        <v>2726.851851851852</v>
      </c>
      <c r="L1102" s="24" t="n">
        <v>150</v>
      </c>
      <c r="M1102" s="24">
        <f>I1102+J1102+K1102+L1102</f>
        <v/>
      </c>
      <c r="N1102" s="24">
        <f>M1102*'Dashboard &amp; Optimisation'!$B$18/('Dashboard &amp; Optimisation'!$B$16/3.6)</f>
        <v/>
      </c>
      <c r="O1102" s="24" t="n">
        <v>747.9603637461723</v>
      </c>
      <c r="P1102" s="25" t="n">
        <v>0.5013985973965238</v>
      </c>
      <c r="Q1102" s="26" t="n">
        <v>0.2</v>
      </c>
      <c r="R1102" s="24" t="n">
        <v>761.3245818991055</v>
      </c>
      <c r="S1102" s="24">
        <f>R1102*IF(A1102=4, 2.0, 3.0)</f>
        <v/>
      </c>
      <c r="T1102" s="22">
        <f>'Dashboard &amp; Optimisation'!$B$18*U1102</f>
        <v/>
      </c>
      <c r="U1102" s="27">
        <f>MIN(1, S1102/M1102)</f>
        <v/>
      </c>
      <c r="V1102" s="27">
        <f>N1102/(N1102+O1102)</f>
        <v/>
      </c>
      <c r="W1102" s="27">
        <f>U1102*V1102</f>
        <v/>
      </c>
      <c r="X1102" s="25">
        <f>T1102/N1102</f>
        <v/>
      </c>
      <c r="Y1102" s="28">
        <f>IF(W1102=MAXIFS(W$2:W$3601, A$2:A$3601, A1102, B$2:B$3601, B1102), "OPTIMAL", "")</f>
        <v/>
      </c>
    </row>
    <row r="1103" ht="20" customHeight="1">
      <c r="A1103" s="29" t="n">
        <v>4</v>
      </c>
      <c r="B1103" s="29" t="n">
        <v>40</v>
      </c>
      <c r="C1103" s="30" t="n">
        <v>80</v>
      </c>
      <c r="D1103" s="30" t="n">
        <v>3</v>
      </c>
      <c r="E1103" s="6" t="n">
        <v>0</v>
      </c>
      <c r="F1103" s="30" t="n">
        <v>0</v>
      </c>
      <c r="G1103" s="6" t="inlineStr">
        <is>
          <t>Oui</t>
        </is>
      </c>
      <c r="H1103" s="6" t="inlineStr">
        <is>
          <t>OFF</t>
        </is>
      </c>
      <c r="I1103" s="31" t="n">
        <v>994.4885628369005</v>
      </c>
      <c r="J1103" s="31" t="n">
        <v>4850.441664768843</v>
      </c>
      <c r="K1103" s="31" t="n">
        <v>2726.851851851852</v>
      </c>
      <c r="L1103" s="31" t="n">
        <v>150</v>
      </c>
      <c r="M1103" s="31">
        <f>I1103+J1103+K1103+L1103</f>
        <v/>
      </c>
      <c r="N1103" s="31">
        <f>M1103*'Dashboard &amp; Optimisation'!$B$18/('Dashboard &amp; Optimisation'!$B$16/3.6)</f>
        <v/>
      </c>
      <c r="O1103" s="31" t="n">
        <v>747.9603637461723</v>
      </c>
      <c r="P1103" s="32" t="n">
        <v>0.8992859551262622</v>
      </c>
      <c r="Q1103" s="33" t="n">
        <v>0.2</v>
      </c>
      <c r="R1103" s="31" t="n">
        <v>424.4779709409682</v>
      </c>
      <c r="S1103" s="31">
        <f>R1103*IF(A1103=4, 2.0, 3.0)</f>
        <v/>
      </c>
      <c r="T1103" s="30">
        <f>'Dashboard &amp; Optimisation'!$B$18*U1103</f>
        <v/>
      </c>
      <c r="U1103" s="34">
        <f>MIN(1, S1103/M1103)</f>
        <v/>
      </c>
      <c r="V1103" s="34">
        <f>N1103/(N1103+O1103)</f>
        <v/>
      </c>
      <c r="W1103" s="34">
        <f>U1103*V1103</f>
        <v/>
      </c>
      <c r="X1103" s="32">
        <f>T1103/N1103</f>
        <v/>
      </c>
      <c r="Y1103" s="35">
        <f>IF(W1103=MAXIFS(W$2:W$3601, A$2:A$3601, A1103, B$2:B$3601, B1103), "OPTIMAL", "")</f>
        <v/>
      </c>
    </row>
    <row r="1104" ht="20" customHeight="1">
      <c r="A1104" s="21" t="n">
        <v>4</v>
      </c>
      <c r="B1104" s="21" t="n">
        <v>40</v>
      </c>
      <c r="C1104" s="22" t="n">
        <v>80</v>
      </c>
      <c r="D1104" s="22" t="n">
        <v>3</v>
      </c>
      <c r="E1104" s="23" t="n">
        <v>0</v>
      </c>
      <c r="F1104" s="22" t="n">
        <v>0</v>
      </c>
      <c r="G1104" s="23" t="inlineStr">
        <is>
          <t>Non</t>
        </is>
      </c>
      <c r="H1104" s="23" t="inlineStr">
        <is>
          <t>ON</t>
        </is>
      </c>
      <c r="I1104" s="24" t="n">
        <v>994.4885628369005</v>
      </c>
      <c r="J1104" s="24" t="n">
        <v>4850.441664768843</v>
      </c>
      <c r="K1104" s="24" t="n">
        <v>2726.851851851852</v>
      </c>
      <c r="L1104" s="24" t="n">
        <v>150</v>
      </c>
      <c r="M1104" s="24">
        <f>I1104+J1104+K1104+L1104</f>
        <v/>
      </c>
      <c r="N1104" s="24">
        <f>M1104*'Dashboard &amp; Optimisation'!$B$18/('Dashboard &amp; Optimisation'!$B$16/3.6)</f>
        <v/>
      </c>
      <c r="O1104" s="24" t="n">
        <v>747.9603637461723</v>
      </c>
      <c r="P1104" s="25" t="n">
        <v>0.4974197238192265</v>
      </c>
      <c r="Q1104" s="26" t="n">
        <v>0.2</v>
      </c>
      <c r="R1104" s="24" t="n">
        <v>767.4144374428437</v>
      </c>
      <c r="S1104" s="24">
        <f>R1104*IF(A1104=4, 2.0, 3.0)</f>
        <v/>
      </c>
      <c r="T1104" s="22">
        <f>'Dashboard &amp; Optimisation'!$B$18*U1104</f>
        <v/>
      </c>
      <c r="U1104" s="27">
        <f>MIN(1, S1104/M1104)</f>
        <v/>
      </c>
      <c r="V1104" s="27">
        <f>N1104/(N1104+O1104)</f>
        <v/>
      </c>
      <c r="W1104" s="27">
        <f>U1104*V1104</f>
        <v/>
      </c>
      <c r="X1104" s="25">
        <f>T1104/N1104</f>
        <v/>
      </c>
      <c r="Y1104" s="28">
        <f>IF(W1104=MAXIFS(W$2:W$3601, A$2:A$3601, A1104, B$2:B$3601, B1104), "OPTIMAL", "")</f>
        <v/>
      </c>
    </row>
    <row r="1105" ht="20" customHeight="1">
      <c r="A1105" s="29" t="n">
        <v>4</v>
      </c>
      <c r="B1105" s="29" t="n">
        <v>40</v>
      </c>
      <c r="C1105" s="30" t="n">
        <v>80</v>
      </c>
      <c r="D1105" s="30" t="n">
        <v>3</v>
      </c>
      <c r="E1105" s="6" t="n">
        <v>0</v>
      </c>
      <c r="F1105" s="30" t="n">
        <v>0</v>
      </c>
      <c r="G1105" s="6" t="inlineStr">
        <is>
          <t>Non</t>
        </is>
      </c>
      <c r="H1105" s="6" t="inlineStr">
        <is>
          <t>OFF</t>
        </is>
      </c>
      <c r="I1105" s="31" t="n">
        <v>994.4885628369005</v>
      </c>
      <c r="J1105" s="31" t="n">
        <v>4850.441664768843</v>
      </c>
      <c r="K1105" s="31" t="n">
        <v>2726.851851851852</v>
      </c>
      <c r="L1105" s="31" t="n">
        <v>150</v>
      </c>
      <c r="M1105" s="31">
        <f>I1105+J1105+K1105+L1105</f>
        <v/>
      </c>
      <c r="N1105" s="31">
        <f>M1105*'Dashboard &amp; Optimisation'!$B$18/('Dashboard &amp; Optimisation'!$B$16/3.6)</f>
        <v/>
      </c>
      <c r="O1105" s="31" t="n">
        <v>747.9603637461723</v>
      </c>
      <c r="P1105" s="32" t="n">
        <v>0.8953070815489648</v>
      </c>
      <c r="Q1105" s="33" t="n">
        <v>0.2</v>
      </c>
      <c r="R1105" s="31" t="n">
        <v>426.3644121604432</v>
      </c>
      <c r="S1105" s="31">
        <f>R1105*IF(A1105=4, 2.0, 3.0)</f>
        <v/>
      </c>
      <c r="T1105" s="30">
        <f>'Dashboard &amp; Optimisation'!$B$18*U1105</f>
        <v/>
      </c>
      <c r="U1105" s="34">
        <f>MIN(1, S1105/M1105)</f>
        <v/>
      </c>
      <c r="V1105" s="34">
        <f>N1105/(N1105+O1105)</f>
        <v/>
      </c>
      <c r="W1105" s="34">
        <f>U1105*V1105</f>
        <v/>
      </c>
      <c r="X1105" s="32">
        <f>T1105/N1105</f>
        <v/>
      </c>
      <c r="Y1105" s="35">
        <f>IF(W1105=MAXIFS(W$2:W$3601, A$2:A$3601, A1105, B$2:B$3601, B1105), "OPTIMAL", "")</f>
        <v/>
      </c>
    </row>
    <row r="1106" ht="20" customHeight="1">
      <c r="A1106" s="21" t="n">
        <v>4</v>
      </c>
      <c r="B1106" s="21" t="n">
        <v>40</v>
      </c>
      <c r="C1106" s="22" t="n">
        <v>80</v>
      </c>
      <c r="D1106" s="22" t="n">
        <v>3</v>
      </c>
      <c r="E1106" s="23" t="n">
        <v>4</v>
      </c>
      <c r="F1106" s="22" t="n">
        <v>1.5</v>
      </c>
      <c r="G1106" s="23" t="inlineStr">
        <is>
          <t>Oui</t>
        </is>
      </c>
      <c r="H1106" s="23" t="inlineStr">
        <is>
          <t>ON</t>
        </is>
      </c>
      <c r="I1106" s="24" t="n">
        <v>994.4885628369005</v>
      </c>
      <c r="J1106" s="24" t="n">
        <v>4850.441664768843</v>
      </c>
      <c r="K1106" s="24" t="n">
        <v>2726.851851851852</v>
      </c>
      <c r="L1106" s="24" t="n">
        <v>150</v>
      </c>
      <c r="M1106" s="24">
        <f>I1106+J1106+K1106+L1106</f>
        <v/>
      </c>
      <c r="N1106" s="24">
        <f>M1106*'Dashboard &amp; Optimisation'!$B$18/('Dashboard &amp; Optimisation'!$B$16/3.6)</f>
        <v/>
      </c>
      <c r="O1106" s="24" t="n">
        <v>1067.862394358219</v>
      </c>
      <c r="P1106" s="25" t="n">
        <v>0.08209463084427607</v>
      </c>
      <c r="Q1106" s="26" t="n">
        <v>8.657063527408475</v>
      </c>
      <c r="R1106" s="24" t="n">
        <v>4850.124462137809</v>
      </c>
      <c r="S1106" s="24">
        <f>R1106*IF(A1106=4, 2.0, 3.0)</f>
        <v/>
      </c>
      <c r="T1106" s="22">
        <f>'Dashboard &amp; Optimisation'!$B$18*U1106</f>
        <v/>
      </c>
      <c r="U1106" s="27">
        <f>MIN(1, S1106/M1106)</f>
        <v/>
      </c>
      <c r="V1106" s="27">
        <f>N1106/(N1106+O1106)</f>
        <v/>
      </c>
      <c r="W1106" s="27">
        <f>U1106*V1106</f>
        <v/>
      </c>
      <c r="X1106" s="25">
        <f>T1106/N1106</f>
        <v/>
      </c>
      <c r="Y1106" s="28">
        <f>IF(W1106=MAXIFS(W$2:W$3601, A$2:A$3601, A1106, B$2:B$3601, B1106), "OPTIMAL", "")</f>
        <v/>
      </c>
    </row>
    <row r="1107" ht="20" customHeight="1">
      <c r="A1107" s="29" t="n">
        <v>4</v>
      </c>
      <c r="B1107" s="29" t="n">
        <v>40</v>
      </c>
      <c r="C1107" s="30" t="n">
        <v>80</v>
      </c>
      <c r="D1107" s="30" t="n">
        <v>3</v>
      </c>
      <c r="E1107" s="6" t="n">
        <v>4</v>
      </c>
      <c r="F1107" s="30" t="n">
        <v>1.5</v>
      </c>
      <c r="G1107" s="6" t="inlineStr">
        <is>
          <t>Oui</t>
        </is>
      </c>
      <c r="H1107" s="6" t="inlineStr">
        <is>
          <t>OFF</t>
        </is>
      </c>
      <c r="I1107" s="31" t="n">
        <v>994.4885628369005</v>
      </c>
      <c r="J1107" s="31" t="n">
        <v>4850.441664768843</v>
      </c>
      <c r="K1107" s="31" t="n">
        <v>2726.851851851852</v>
      </c>
      <c r="L1107" s="31" t="n">
        <v>150</v>
      </c>
      <c r="M1107" s="31">
        <f>I1107+J1107+K1107+L1107</f>
        <v/>
      </c>
      <c r="N1107" s="31">
        <f>M1107*'Dashboard &amp; Optimisation'!$B$18/('Dashboard &amp; Optimisation'!$B$16/3.6)</f>
        <v/>
      </c>
      <c r="O1107" s="31" t="n">
        <v>1067.862394358219</v>
      </c>
      <c r="P1107" s="32" t="n">
        <v>0.3558275394191204</v>
      </c>
      <c r="Q1107" s="33" t="n">
        <v>8.657063527408475</v>
      </c>
      <c r="R1107" s="31" t="n">
        <v>1118.994830804827</v>
      </c>
      <c r="S1107" s="31">
        <f>R1107*IF(A1107=4, 2.0, 3.0)</f>
        <v/>
      </c>
      <c r="T1107" s="30">
        <f>'Dashboard &amp; Optimisation'!$B$18*U1107</f>
        <v/>
      </c>
      <c r="U1107" s="34">
        <f>MIN(1, S1107/M1107)</f>
        <v/>
      </c>
      <c r="V1107" s="34">
        <f>N1107/(N1107+O1107)</f>
        <v/>
      </c>
      <c r="W1107" s="34">
        <f>U1107*V1107</f>
        <v/>
      </c>
      <c r="X1107" s="32">
        <f>T1107/N1107</f>
        <v/>
      </c>
      <c r="Y1107" s="35">
        <f>IF(W1107=MAXIFS(W$2:W$3601, A$2:A$3601, A1107, B$2:B$3601, B1107), "OPTIMAL", "")</f>
        <v/>
      </c>
    </row>
    <row r="1108" ht="20" customHeight="1">
      <c r="A1108" s="21" t="n">
        <v>4</v>
      </c>
      <c r="B1108" s="21" t="n">
        <v>40</v>
      </c>
      <c r="C1108" s="22" t="n">
        <v>80</v>
      </c>
      <c r="D1108" s="22" t="n">
        <v>3</v>
      </c>
      <c r="E1108" s="23" t="n">
        <v>4</v>
      </c>
      <c r="F1108" s="22" t="n">
        <v>1.5</v>
      </c>
      <c r="G1108" s="23" t="inlineStr">
        <is>
          <t>Non</t>
        </is>
      </c>
      <c r="H1108" s="23" t="inlineStr">
        <is>
          <t>ON</t>
        </is>
      </c>
      <c r="I1108" s="24" t="n">
        <v>994.4885628369005</v>
      </c>
      <c r="J1108" s="24" t="n">
        <v>4850.441664768843</v>
      </c>
      <c r="K1108" s="24" t="n">
        <v>2726.851851851852</v>
      </c>
      <c r="L1108" s="24" t="n">
        <v>150</v>
      </c>
      <c r="M1108" s="24">
        <f>I1108+J1108+K1108+L1108</f>
        <v/>
      </c>
      <c r="N1108" s="24">
        <f>M1108*'Dashboard &amp; Optimisation'!$B$18/('Dashboard &amp; Optimisation'!$B$16/3.6)</f>
        <v/>
      </c>
      <c r="O1108" s="24" t="n">
        <v>1067.862394358219</v>
      </c>
      <c r="P1108" s="25" t="n">
        <v>0.07811575726697868</v>
      </c>
      <c r="Q1108" s="26" t="n">
        <v>8.657063527408475</v>
      </c>
      <c r="R1108" s="24" t="n">
        <v>5097.168499655724</v>
      </c>
      <c r="S1108" s="24">
        <f>R1108*IF(A1108=4, 2.0, 3.0)</f>
        <v/>
      </c>
      <c r="T1108" s="22">
        <f>'Dashboard &amp; Optimisation'!$B$18*U1108</f>
        <v/>
      </c>
      <c r="U1108" s="27">
        <f>MIN(1, S1108/M1108)</f>
        <v/>
      </c>
      <c r="V1108" s="27">
        <f>N1108/(N1108+O1108)</f>
        <v/>
      </c>
      <c r="W1108" s="27">
        <f>U1108*V1108</f>
        <v/>
      </c>
      <c r="X1108" s="25">
        <f>T1108/N1108</f>
        <v/>
      </c>
      <c r="Y1108" s="28">
        <f>IF(W1108=MAXIFS(W$2:W$3601, A$2:A$3601, A1108, B$2:B$3601, B1108), "OPTIMAL", "")</f>
        <v/>
      </c>
    </row>
    <row r="1109" ht="20" customHeight="1">
      <c r="A1109" s="29" t="n">
        <v>4</v>
      </c>
      <c r="B1109" s="29" t="n">
        <v>40</v>
      </c>
      <c r="C1109" s="30" t="n">
        <v>80</v>
      </c>
      <c r="D1109" s="30" t="n">
        <v>3</v>
      </c>
      <c r="E1109" s="6" t="n">
        <v>4</v>
      </c>
      <c r="F1109" s="30" t="n">
        <v>1.5</v>
      </c>
      <c r="G1109" s="6" t="inlineStr">
        <is>
          <t>Non</t>
        </is>
      </c>
      <c r="H1109" s="6" t="inlineStr">
        <is>
          <t>OFF</t>
        </is>
      </c>
      <c r="I1109" s="31" t="n">
        <v>994.4885628369005</v>
      </c>
      <c r="J1109" s="31" t="n">
        <v>4850.441664768843</v>
      </c>
      <c r="K1109" s="31" t="n">
        <v>2726.851851851852</v>
      </c>
      <c r="L1109" s="31" t="n">
        <v>150</v>
      </c>
      <c r="M1109" s="31">
        <f>I1109+J1109+K1109+L1109</f>
        <v/>
      </c>
      <c r="N1109" s="31">
        <f>M1109*'Dashboard &amp; Optimisation'!$B$18/('Dashboard &amp; Optimisation'!$B$16/3.6)</f>
        <v/>
      </c>
      <c r="O1109" s="31" t="n">
        <v>1067.862394358219</v>
      </c>
      <c r="P1109" s="32" t="n">
        <v>0.3518486658418231</v>
      </c>
      <c r="Q1109" s="33" t="n">
        <v>8.657063527408475</v>
      </c>
      <c r="R1109" s="31" t="n">
        <v>1131.648961394662</v>
      </c>
      <c r="S1109" s="31">
        <f>R1109*IF(A1109=4, 2.0, 3.0)</f>
        <v/>
      </c>
      <c r="T1109" s="30">
        <f>'Dashboard &amp; Optimisation'!$B$18*U1109</f>
        <v/>
      </c>
      <c r="U1109" s="34">
        <f>MIN(1, S1109/M1109)</f>
        <v/>
      </c>
      <c r="V1109" s="34">
        <f>N1109/(N1109+O1109)</f>
        <v/>
      </c>
      <c r="W1109" s="34">
        <f>U1109*V1109</f>
        <v/>
      </c>
      <c r="X1109" s="32">
        <f>T1109/N1109</f>
        <v/>
      </c>
      <c r="Y1109" s="35">
        <f>IF(W1109=MAXIFS(W$2:W$3601, A$2:A$3601, A1109, B$2:B$3601, B1109), "OPTIMAL", "")</f>
        <v/>
      </c>
    </row>
    <row r="1110" ht="20" customHeight="1">
      <c r="A1110" s="21" t="n">
        <v>4</v>
      </c>
      <c r="B1110" s="21" t="n">
        <v>40</v>
      </c>
      <c r="C1110" s="22" t="n">
        <v>80</v>
      </c>
      <c r="D1110" s="22" t="n">
        <v>3</v>
      </c>
      <c r="E1110" s="23" t="n">
        <v>4</v>
      </c>
      <c r="F1110" s="22" t="n">
        <v>2</v>
      </c>
      <c r="G1110" s="23" t="inlineStr">
        <is>
          <t>Oui</t>
        </is>
      </c>
      <c r="H1110" s="23" t="inlineStr">
        <is>
          <t>ON</t>
        </is>
      </c>
      <c r="I1110" s="24" t="n">
        <v>994.4885628369005</v>
      </c>
      <c r="J1110" s="24" t="n">
        <v>4850.441664768843</v>
      </c>
      <c r="K1110" s="24" t="n">
        <v>2726.851851851852</v>
      </c>
      <c r="L1110" s="24" t="n">
        <v>150</v>
      </c>
      <c r="M1110" s="24">
        <f>I1110+J1110+K1110+L1110</f>
        <v/>
      </c>
      <c r="N1110" s="24">
        <f>M1110*'Dashboard &amp; Optimisation'!$B$18/('Dashboard &amp; Optimisation'!$B$16/3.6)</f>
        <v/>
      </c>
      <c r="O1110" s="24" t="n">
        <v>1180.709663163682</v>
      </c>
      <c r="P1110" s="25" t="n">
        <v>0.08011046001180847</v>
      </c>
      <c r="Q1110" s="26" t="n">
        <v>11.4760847032113</v>
      </c>
      <c r="R1110" s="24" t="n">
        <v>5042.652630140453</v>
      </c>
      <c r="S1110" s="24">
        <f>R1110*IF(A1110=4, 2.0, 3.0)</f>
        <v/>
      </c>
      <c r="T1110" s="22">
        <f>'Dashboard &amp; Optimisation'!$B$18*U1110</f>
        <v/>
      </c>
      <c r="U1110" s="27">
        <f>MIN(1, S1110/M1110)</f>
        <v/>
      </c>
      <c r="V1110" s="27">
        <f>N1110/(N1110+O1110)</f>
        <v/>
      </c>
      <c r="W1110" s="27">
        <f>U1110*V1110</f>
        <v/>
      </c>
      <c r="X1110" s="25">
        <f>T1110/N1110</f>
        <v/>
      </c>
      <c r="Y1110" s="28">
        <f>IF(W1110=MAXIFS(W$2:W$3601, A$2:A$3601, A1110, B$2:B$3601, B1110), "OPTIMAL", "")</f>
        <v/>
      </c>
    </row>
    <row r="1111" ht="20" customHeight="1">
      <c r="A1111" s="29" t="n">
        <v>4</v>
      </c>
      <c r="B1111" s="29" t="n">
        <v>40</v>
      </c>
      <c r="C1111" s="30" t="n">
        <v>80</v>
      </c>
      <c r="D1111" s="30" t="n">
        <v>3</v>
      </c>
      <c r="E1111" s="6" t="n">
        <v>4</v>
      </c>
      <c r="F1111" s="30" t="n">
        <v>2</v>
      </c>
      <c r="G1111" s="6" t="inlineStr">
        <is>
          <t>Oui</t>
        </is>
      </c>
      <c r="H1111" s="6" t="inlineStr">
        <is>
          <t>OFF</t>
        </is>
      </c>
      <c r="I1111" s="31" t="n">
        <v>994.4885628369005</v>
      </c>
      <c r="J1111" s="31" t="n">
        <v>4850.441664768843</v>
      </c>
      <c r="K1111" s="31" t="n">
        <v>2726.851851851852</v>
      </c>
      <c r="L1111" s="31" t="n">
        <v>150</v>
      </c>
      <c r="M1111" s="31">
        <f>I1111+J1111+K1111+L1111</f>
        <v/>
      </c>
      <c r="N1111" s="31">
        <f>M1111*'Dashboard &amp; Optimisation'!$B$18/('Dashboard &amp; Optimisation'!$B$16/3.6)</f>
        <v/>
      </c>
      <c r="O1111" s="31" t="n">
        <v>1180.709663163682</v>
      </c>
      <c r="P1111" s="32" t="n">
        <v>0.3553476372854298</v>
      </c>
      <c r="Q1111" s="33" t="n">
        <v>11.4760847032113</v>
      </c>
      <c r="R1111" s="31" t="n">
        <v>1136.82821972958</v>
      </c>
      <c r="S1111" s="31">
        <f>R1111*IF(A1111=4, 2.0, 3.0)</f>
        <v/>
      </c>
      <c r="T1111" s="30">
        <f>'Dashboard &amp; Optimisation'!$B$18*U1111</f>
        <v/>
      </c>
      <c r="U1111" s="34">
        <f>MIN(1, S1111/M1111)</f>
        <v/>
      </c>
      <c r="V1111" s="34">
        <f>N1111/(N1111+O1111)</f>
        <v/>
      </c>
      <c r="W1111" s="34">
        <f>U1111*V1111</f>
        <v/>
      </c>
      <c r="X1111" s="32">
        <f>T1111/N1111</f>
        <v/>
      </c>
      <c r="Y1111" s="35">
        <f>IF(W1111=MAXIFS(W$2:W$3601, A$2:A$3601, A1111, B$2:B$3601, B1111), "OPTIMAL", "")</f>
        <v/>
      </c>
    </row>
    <row r="1112" ht="20" customHeight="1">
      <c r="A1112" s="21" t="n">
        <v>4</v>
      </c>
      <c r="B1112" s="21" t="n">
        <v>40</v>
      </c>
      <c r="C1112" s="22" t="n">
        <v>80</v>
      </c>
      <c r="D1112" s="22" t="n">
        <v>3</v>
      </c>
      <c r="E1112" s="23" t="n">
        <v>4</v>
      </c>
      <c r="F1112" s="22" t="n">
        <v>2</v>
      </c>
      <c r="G1112" s="23" t="inlineStr">
        <is>
          <t>Non</t>
        </is>
      </c>
      <c r="H1112" s="23" t="inlineStr">
        <is>
          <t>ON</t>
        </is>
      </c>
      <c r="I1112" s="24" t="n">
        <v>994.4885628369005</v>
      </c>
      <c r="J1112" s="24" t="n">
        <v>4850.441664768843</v>
      </c>
      <c r="K1112" s="24" t="n">
        <v>2726.851851851852</v>
      </c>
      <c r="L1112" s="24" t="n">
        <v>150</v>
      </c>
      <c r="M1112" s="24">
        <f>I1112+J1112+K1112+L1112</f>
        <v/>
      </c>
      <c r="N1112" s="24">
        <f>M1112*'Dashboard &amp; Optimisation'!$B$18/('Dashboard &amp; Optimisation'!$B$16/3.6)</f>
        <v/>
      </c>
      <c r="O1112" s="24" t="n">
        <v>1180.709663163682</v>
      </c>
      <c r="P1112" s="25" t="n">
        <v>0.07613158643451108</v>
      </c>
      <c r="Q1112" s="26" t="n">
        <v>11.4760847032113</v>
      </c>
      <c r="R1112" s="24" t="n">
        <v>5306.197345930846</v>
      </c>
      <c r="S1112" s="24">
        <f>R1112*IF(A1112=4, 2.0, 3.0)</f>
        <v/>
      </c>
      <c r="T1112" s="22">
        <f>'Dashboard &amp; Optimisation'!$B$18*U1112</f>
        <v/>
      </c>
      <c r="U1112" s="27">
        <f>MIN(1, S1112/M1112)</f>
        <v/>
      </c>
      <c r="V1112" s="27">
        <f>N1112/(N1112+O1112)</f>
        <v/>
      </c>
      <c r="W1112" s="27">
        <f>U1112*V1112</f>
        <v/>
      </c>
      <c r="X1112" s="25">
        <f>T1112/N1112</f>
        <v/>
      </c>
      <c r="Y1112" s="28">
        <f>IF(W1112=MAXIFS(W$2:W$3601, A$2:A$3601, A1112, B$2:B$3601, B1112), "OPTIMAL", "")</f>
        <v/>
      </c>
    </row>
    <row r="1113" ht="20" customHeight="1">
      <c r="A1113" s="29" t="n">
        <v>4</v>
      </c>
      <c r="B1113" s="29" t="n">
        <v>40</v>
      </c>
      <c r="C1113" s="30" t="n">
        <v>80</v>
      </c>
      <c r="D1113" s="30" t="n">
        <v>3</v>
      </c>
      <c r="E1113" s="6" t="n">
        <v>4</v>
      </c>
      <c r="F1113" s="30" t="n">
        <v>2</v>
      </c>
      <c r="G1113" s="6" t="inlineStr">
        <is>
          <t>Non</t>
        </is>
      </c>
      <c r="H1113" s="6" t="inlineStr">
        <is>
          <t>OFF</t>
        </is>
      </c>
      <c r="I1113" s="31" t="n">
        <v>994.4885628369005</v>
      </c>
      <c r="J1113" s="31" t="n">
        <v>4850.441664768843</v>
      </c>
      <c r="K1113" s="31" t="n">
        <v>2726.851851851852</v>
      </c>
      <c r="L1113" s="31" t="n">
        <v>150</v>
      </c>
      <c r="M1113" s="31">
        <f>I1113+J1113+K1113+L1113</f>
        <v/>
      </c>
      <c r="N1113" s="31">
        <f>M1113*'Dashboard &amp; Optimisation'!$B$18/('Dashboard &amp; Optimisation'!$B$16/3.6)</f>
        <v/>
      </c>
      <c r="O1113" s="31" t="n">
        <v>1180.709663163682</v>
      </c>
      <c r="P1113" s="32" t="n">
        <v>0.3513687637081325</v>
      </c>
      <c r="Q1113" s="33" t="n">
        <v>11.4760847032113</v>
      </c>
      <c r="R1113" s="31" t="n">
        <v>1149.701577388558</v>
      </c>
      <c r="S1113" s="31">
        <f>R1113*IF(A1113=4, 2.0, 3.0)</f>
        <v/>
      </c>
      <c r="T1113" s="30">
        <f>'Dashboard &amp; Optimisation'!$B$18*U1113</f>
        <v/>
      </c>
      <c r="U1113" s="34">
        <f>MIN(1, S1113/M1113)</f>
        <v/>
      </c>
      <c r="V1113" s="34">
        <f>N1113/(N1113+O1113)</f>
        <v/>
      </c>
      <c r="W1113" s="34">
        <f>U1113*V1113</f>
        <v/>
      </c>
      <c r="X1113" s="32">
        <f>T1113/N1113</f>
        <v/>
      </c>
      <c r="Y1113" s="35">
        <f>IF(W1113=MAXIFS(W$2:W$3601, A$2:A$3601, A1113, B$2:B$3601, B1113), "OPTIMAL", "")</f>
        <v/>
      </c>
    </row>
    <row r="1114" ht="20" customHeight="1">
      <c r="A1114" s="21" t="n">
        <v>4</v>
      </c>
      <c r="B1114" s="21" t="n">
        <v>40</v>
      </c>
      <c r="C1114" s="22" t="n">
        <v>80</v>
      </c>
      <c r="D1114" s="22" t="n">
        <v>3</v>
      </c>
      <c r="E1114" s="23" t="n">
        <v>8</v>
      </c>
      <c r="F1114" s="22" t="n">
        <v>1.5</v>
      </c>
      <c r="G1114" s="23" t="inlineStr">
        <is>
          <t>Oui</t>
        </is>
      </c>
      <c r="H1114" s="23" t="inlineStr">
        <is>
          <t>ON</t>
        </is>
      </c>
      <c r="I1114" s="24" t="n">
        <v>994.4885628369005</v>
      </c>
      <c r="J1114" s="24" t="n">
        <v>4850.441664768843</v>
      </c>
      <c r="K1114" s="24" t="n">
        <v>2726.851851851852</v>
      </c>
      <c r="L1114" s="24" t="n">
        <v>150</v>
      </c>
      <c r="M1114" s="24">
        <f>I1114+J1114+K1114+L1114</f>
        <v/>
      </c>
      <c r="N1114" s="24">
        <f>M1114*'Dashboard &amp; Optimisation'!$B$18/('Dashboard &amp; Optimisation'!$B$16/3.6)</f>
        <v/>
      </c>
      <c r="O1114" s="24" t="n">
        <v>1416.563096770592</v>
      </c>
      <c r="P1114" s="25" t="n">
        <v>0.06134832938702932</v>
      </c>
      <c r="Q1114" s="26" t="n">
        <v>17.11412705481695</v>
      </c>
      <c r="R1114" s="24" t="n">
        <v>6782.441430093279</v>
      </c>
      <c r="S1114" s="24">
        <f>R1114*IF(A1114=4, 2.0, 3.0)</f>
        <v/>
      </c>
      <c r="T1114" s="22">
        <f>'Dashboard &amp; Optimisation'!$B$18*U1114</f>
        <v/>
      </c>
      <c r="U1114" s="27">
        <f>MIN(1, S1114/M1114)</f>
        <v/>
      </c>
      <c r="V1114" s="27">
        <f>N1114/(N1114+O1114)</f>
        <v/>
      </c>
      <c r="W1114" s="27">
        <f>U1114*V1114</f>
        <v/>
      </c>
      <c r="X1114" s="25">
        <f>T1114/N1114</f>
        <v/>
      </c>
      <c r="Y1114" s="28">
        <f>IF(W1114=MAXIFS(W$2:W$3601, A$2:A$3601, A1114, B$2:B$3601, B1114), "OPTIMAL", "")</f>
        <v/>
      </c>
    </row>
    <row r="1115" ht="20" customHeight="1">
      <c r="A1115" s="29" t="n">
        <v>4</v>
      </c>
      <c r="B1115" s="29" t="n">
        <v>40</v>
      </c>
      <c r="C1115" s="30" t="n">
        <v>80</v>
      </c>
      <c r="D1115" s="30" t="n">
        <v>3</v>
      </c>
      <c r="E1115" s="6" t="n">
        <v>8</v>
      </c>
      <c r="F1115" s="30" t="n">
        <v>1.5</v>
      </c>
      <c r="G1115" s="6" t="inlineStr">
        <is>
          <t>Oui</t>
        </is>
      </c>
      <c r="H1115" s="6" t="inlineStr">
        <is>
          <t>OFF</t>
        </is>
      </c>
      <c r="I1115" s="31" t="n">
        <v>994.4885628369005</v>
      </c>
      <c r="J1115" s="31" t="n">
        <v>4850.441664768843</v>
      </c>
      <c r="K1115" s="31" t="n">
        <v>2726.851851851852</v>
      </c>
      <c r="L1115" s="31" t="n">
        <v>150</v>
      </c>
      <c r="M1115" s="31">
        <f>I1115+J1115+K1115+L1115</f>
        <v/>
      </c>
      <c r="N1115" s="31">
        <f>M1115*'Dashboard &amp; Optimisation'!$B$18/('Dashboard &amp; Optimisation'!$B$16/3.6)</f>
        <v/>
      </c>
      <c r="O1115" s="31" t="n">
        <v>1416.563096770592</v>
      </c>
      <c r="P1115" s="32" t="n">
        <v>0.2699794634504217</v>
      </c>
      <c r="Q1115" s="33" t="n">
        <v>17.11412705481695</v>
      </c>
      <c r="R1115" s="31" t="n">
        <v>1541.196673198096</v>
      </c>
      <c r="S1115" s="31">
        <f>R1115*IF(A1115=4, 2.0, 3.0)</f>
        <v/>
      </c>
      <c r="T1115" s="30">
        <f>'Dashboard &amp; Optimisation'!$B$18*U1115</f>
        <v/>
      </c>
      <c r="U1115" s="34">
        <f>MIN(1, S1115/M1115)</f>
        <v/>
      </c>
      <c r="V1115" s="34">
        <f>N1115/(N1115+O1115)</f>
        <v/>
      </c>
      <c r="W1115" s="34">
        <f>U1115*V1115</f>
        <v/>
      </c>
      <c r="X1115" s="32">
        <f>T1115/N1115</f>
        <v/>
      </c>
      <c r="Y1115" s="35">
        <f>IF(W1115=MAXIFS(W$2:W$3601, A$2:A$3601, A1115, B$2:B$3601, B1115), "OPTIMAL", "")</f>
        <v/>
      </c>
    </row>
    <row r="1116" ht="20" customHeight="1">
      <c r="A1116" s="21" t="n">
        <v>4</v>
      </c>
      <c r="B1116" s="21" t="n">
        <v>40</v>
      </c>
      <c r="C1116" s="22" t="n">
        <v>80</v>
      </c>
      <c r="D1116" s="22" t="n">
        <v>3</v>
      </c>
      <c r="E1116" s="23" t="n">
        <v>8</v>
      </c>
      <c r="F1116" s="22" t="n">
        <v>1.5</v>
      </c>
      <c r="G1116" s="23" t="inlineStr">
        <is>
          <t>Non</t>
        </is>
      </c>
      <c r="H1116" s="23" t="inlineStr">
        <is>
          <t>ON</t>
        </is>
      </c>
      <c r="I1116" s="24" t="n">
        <v>994.4885628369005</v>
      </c>
      <c r="J1116" s="24" t="n">
        <v>4850.441664768843</v>
      </c>
      <c r="K1116" s="24" t="n">
        <v>2726.851851851852</v>
      </c>
      <c r="L1116" s="24" t="n">
        <v>150</v>
      </c>
      <c r="M1116" s="24">
        <f>I1116+J1116+K1116+L1116</f>
        <v/>
      </c>
      <c r="N1116" s="24">
        <f>M1116*'Dashboard &amp; Optimisation'!$B$18/('Dashboard &amp; Optimisation'!$B$16/3.6)</f>
        <v/>
      </c>
      <c r="O1116" s="24" t="n">
        <v>1416.563096770592</v>
      </c>
      <c r="P1116" s="25" t="n">
        <v>0.05736945580973193</v>
      </c>
      <c r="Q1116" s="26" t="n">
        <v>17.11412705481695</v>
      </c>
      <c r="R1116" s="24" t="n">
        <v>7252.839425243643</v>
      </c>
      <c r="S1116" s="24">
        <f>R1116*IF(A1116=4, 2.0, 3.0)</f>
        <v/>
      </c>
      <c r="T1116" s="22">
        <f>'Dashboard &amp; Optimisation'!$B$18*U1116</f>
        <v/>
      </c>
      <c r="U1116" s="27">
        <f>MIN(1, S1116/M1116)</f>
        <v/>
      </c>
      <c r="V1116" s="27">
        <f>N1116/(N1116+O1116)</f>
        <v/>
      </c>
      <c r="W1116" s="27">
        <f>U1116*V1116</f>
        <v/>
      </c>
      <c r="X1116" s="25">
        <f>T1116/N1116</f>
        <v/>
      </c>
      <c r="Y1116" s="28">
        <f>IF(W1116=MAXIFS(W$2:W$3601, A$2:A$3601, A1116, B$2:B$3601, B1116), "OPTIMAL", "")</f>
        <v/>
      </c>
    </row>
    <row r="1117" ht="20" customHeight="1">
      <c r="A1117" s="29" t="n">
        <v>4</v>
      </c>
      <c r="B1117" s="29" t="n">
        <v>40</v>
      </c>
      <c r="C1117" s="30" t="n">
        <v>80</v>
      </c>
      <c r="D1117" s="30" t="n">
        <v>3</v>
      </c>
      <c r="E1117" s="6" t="n">
        <v>8</v>
      </c>
      <c r="F1117" s="30" t="n">
        <v>1.5</v>
      </c>
      <c r="G1117" s="6" t="inlineStr">
        <is>
          <t>Non</t>
        </is>
      </c>
      <c r="H1117" s="6" t="inlineStr">
        <is>
          <t>OFF</t>
        </is>
      </c>
      <c r="I1117" s="31" t="n">
        <v>994.4885628369005</v>
      </c>
      <c r="J1117" s="31" t="n">
        <v>4850.441664768843</v>
      </c>
      <c r="K1117" s="31" t="n">
        <v>2726.851851851852</v>
      </c>
      <c r="L1117" s="31" t="n">
        <v>150</v>
      </c>
      <c r="M1117" s="31">
        <f>I1117+J1117+K1117+L1117</f>
        <v/>
      </c>
      <c r="N1117" s="31">
        <f>M1117*'Dashboard &amp; Optimisation'!$B$18/('Dashboard &amp; Optimisation'!$B$16/3.6)</f>
        <v/>
      </c>
      <c r="O1117" s="31" t="n">
        <v>1416.563096770592</v>
      </c>
      <c r="P1117" s="32" t="n">
        <v>0.2660005898731243</v>
      </c>
      <c r="Q1117" s="33" t="n">
        <v>17.11412705481695</v>
      </c>
      <c r="R1117" s="31" t="n">
        <v>1564.25010598684</v>
      </c>
      <c r="S1117" s="31">
        <f>R1117*IF(A1117=4, 2.0, 3.0)</f>
        <v/>
      </c>
      <c r="T1117" s="30">
        <f>'Dashboard &amp; Optimisation'!$B$18*U1117</f>
        <v/>
      </c>
      <c r="U1117" s="34">
        <f>MIN(1, S1117/M1117)</f>
        <v/>
      </c>
      <c r="V1117" s="34">
        <f>N1117/(N1117+O1117)</f>
        <v/>
      </c>
      <c r="W1117" s="34">
        <f>U1117*V1117</f>
        <v/>
      </c>
      <c r="X1117" s="32">
        <f>T1117/N1117</f>
        <v/>
      </c>
      <c r="Y1117" s="35">
        <f>IF(W1117=MAXIFS(W$2:W$3601, A$2:A$3601, A1117, B$2:B$3601, B1117), "OPTIMAL", "")</f>
        <v/>
      </c>
    </row>
    <row r="1118" ht="20" customHeight="1">
      <c r="A1118" s="21" t="n">
        <v>4</v>
      </c>
      <c r="B1118" s="21" t="n">
        <v>40</v>
      </c>
      <c r="C1118" s="22" t="n">
        <v>80</v>
      </c>
      <c r="D1118" s="22" t="n">
        <v>3</v>
      </c>
      <c r="E1118" s="23" t="n">
        <v>8</v>
      </c>
      <c r="F1118" s="22" t="n">
        <v>2</v>
      </c>
      <c r="G1118" s="23" t="inlineStr">
        <is>
          <t>Oui</t>
        </is>
      </c>
      <c r="H1118" s="23" t="inlineStr">
        <is>
          <t>ON</t>
        </is>
      </c>
      <c r="I1118" s="24" t="n">
        <v>994.4885628369005</v>
      </c>
      <c r="J1118" s="24" t="n">
        <v>4850.441664768843</v>
      </c>
      <c r="K1118" s="24" t="n">
        <v>2726.851851851852</v>
      </c>
      <c r="L1118" s="24" t="n">
        <v>150</v>
      </c>
      <c r="M1118" s="24">
        <f>I1118+J1118+K1118+L1118</f>
        <v/>
      </c>
      <c r="N1118" s="24">
        <f>M1118*'Dashboard &amp; Optimisation'!$B$18/('Dashboard &amp; Optimisation'!$B$16/3.6)</f>
        <v/>
      </c>
      <c r="O1118" s="24" t="n">
        <v>1667.00931475377</v>
      </c>
      <c r="P1118" s="25" t="n">
        <v>0.060517018169736</v>
      </c>
      <c r="Q1118" s="26" t="n">
        <v>22.7521694064226</v>
      </c>
      <c r="R1118" s="24" t="n">
        <v>7088.315362716926</v>
      </c>
      <c r="S1118" s="24">
        <f>R1118*IF(A1118=4, 2.0, 3.0)</f>
        <v/>
      </c>
      <c r="T1118" s="22">
        <f>'Dashboard &amp; Optimisation'!$B$18*U1118</f>
        <v/>
      </c>
      <c r="U1118" s="27">
        <f>MIN(1, S1118/M1118)</f>
        <v/>
      </c>
      <c r="V1118" s="27">
        <f>N1118/(N1118+O1118)</f>
        <v/>
      </c>
      <c r="W1118" s="27">
        <f>U1118*V1118</f>
        <v/>
      </c>
      <c r="X1118" s="25">
        <f>T1118/N1118</f>
        <v/>
      </c>
      <c r="Y1118" s="28">
        <f>IF(W1118=MAXIFS(W$2:W$3601, A$2:A$3601, A1118, B$2:B$3601, B1118), "OPTIMAL", "")</f>
        <v/>
      </c>
    </row>
    <row r="1119" ht="20" customHeight="1">
      <c r="A1119" s="29" t="n">
        <v>4</v>
      </c>
      <c r="B1119" s="29" t="n">
        <v>40</v>
      </c>
      <c r="C1119" s="30" t="n">
        <v>80</v>
      </c>
      <c r="D1119" s="30" t="n">
        <v>3</v>
      </c>
      <c r="E1119" s="6" t="n">
        <v>8</v>
      </c>
      <c r="F1119" s="30" t="n">
        <v>2</v>
      </c>
      <c r="G1119" s="6" t="inlineStr">
        <is>
          <t>Oui</t>
        </is>
      </c>
      <c r="H1119" s="6" t="inlineStr">
        <is>
          <t>OFF</t>
        </is>
      </c>
      <c r="I1119" s="31" t="n">
        <v>994.4885628369005</v>
      </c>
      <c r="J1119" s="31" t="n">
        <v>4850.441664768843</v>
      </c>
      <c r="K1119" s="31" t="n">
        <v>2726.851851851852</v>
      </c>
      <c r="L1119" s="31" t="n">
        <v>150</v>
      </c>
      <c r="M1119" s="31">
        <f>I1119+J1119+K1119+L1119</f>
        <v/>
      </c>
      <c r="N1119" s="31">
        <f>M1119*'Dashboard &amp; Optimisation'!$B$18/('Dashboard &amp; Optimisation'!$B$16/3.6)</f>
        <v/>
      </c>
      <c r="O1119" s="31" t="n">
        <v>1667.00931475377</v>
      </c>
      <c r="P1119" s="32" t="n">
        <v>0.2709014433795033</v>
      </c>
      <c r="Q1119" s="33" t="n">
        <v>22.7521694064226</v>
      </c>
      <c r="R1119" s="31" t="n">
        <v>1583.467789049126</v>
      </c>
      <c r="S1119" s="31">
        <f>R1119*IF(A1119=4, 2.0, 3.0)</f>
        <v/>
      </c>
      <c r="T1119" s="30">
        <f>'Dashboard &amp; Optimisation'!$B$18*U1119</f>
        <v/>
      </c>
      <c r="U1119" s="34">
        <f>MIN(1, S1119/M1119)</f>
        <v/>
      </c>
      <c r="V1119" s="34">
        <f>N1119/(N1119+O1119)</f>
        <v/>
      </c>
      <c r="W1119" s="34">
        <f>U1119*V1119</f>
        <v/>
      </c>
      <c r="X1119" s="32">
        <f>T1119/N1119</f>
        <v/>
      </c>
      <c r="Y1119" s="35">
        <f>IF(W1119=MAXIFS(W$2:W$3601, A$2:A$3601, A1119, B$2:B$3601, B1119), "OPTIMAL", "")</f>
        <v/>
      </c>
    </row>
    <row r="1120" ht="20" customHeight="1">
      <c r="A1120" s="21" t="n">
        <v>4</v>
      </c>
      <c r="B1120" s="21" t="n">
        <v>40</v>
      </c>
      <c r="C1120" s="22" t="n">
        <v>80</v>
      </c>
      <c r="D1120" s="22" t="n">
        <v>3</v>
      </c>
      <c r="E1120" s="23" t="n">
        <v>8</v>
      </c>
      <c r="F1120" s="22" t="n">
        <v>2</v>
      </c>
      <c r="G1120" s="23" t="inlineStr">
        <is>
          <t>Non</t>
        </is>
      </c>
      <c r="H1120" s="23" t="inlineStr">
        <is>
          <t>ON</t>
        </is>
      </c>
      <c r="I1120" s="24" t="n">
        <v>994.4885628369005</v>
      </c>
      <c r="J1120" s="24" t="n">
        <v>4850.441664768843</v>
      </c>
      <c r="K1120" s="24" t="n">
        <v>2726.851851851852</v>
      </c>
      <c r="L1120" s="24" t="n">
        <v>150</v>
      </c>
      <c r="M1120" s="24">
        <f>I1120+J1120+K1120+L1120</f>
        <v/>
      </c>
      <c r="N1120" s="24">
        <f>M1120*'Dashboard &amp; Optimisation'!$B$18/('Dashboard &amp; Optimisation'!$B$16/3.6)</f>
        <v/>
      </c>
      <c r="O1120" s="24" t="n">
        <v>1667.00931475377</v>
      </c>
      <c r="P1120" s="25" t="n">
        <v>0.05653814459243862</v>
      </c>
      <c r="Q1120" s="26" t="n">
        <v>22.7521694064226</v>
      </c>
      <c r="R1120" s="24" t="n">
        <v>7587.155763433532</v>
      </c>
      <c r="S1120" s="24">
        <f>R1120*IF(A1120=4, 2.0, 3.0)</f>
        <v/>
      </c>
      <c r="T1120" s="22">
        <f>'Dashboard &amp; Optimisation'!$B$18*U1120</f>
        <v/>
      </c>
      <c r="U1120" s="27">
        <f>MIN(1, S1120/M1120)</f>
        <v/>
      </c>
      <c r="V1120" s="27">
        <f>N1120/(N1120+O1120)</f>
        <v/>
      </c>
      <c r="W1120" s="27">
        <f>U1120*V1120</f>
        <v/>
      </c>
      <c r="X1120" s="25">
        <f>T1120/N1120</f>
        <v/>
      </c>
      <c r="Y1120" s="28">
        <f>IF(W1120=MAXIFS(W$2:W$3601, A$2:A$3601, A1120, B$2:B$3601, B1120), "OPTIMAL", "")</f>
        <v/>
      </c>
    </row>
    <row r="1121" ht="20" customHeight="1">
      <c r="A1121" s="29" t="n">
        <v>4</v>
      </c>
      <c r="B1121" s="29" t="n">
        <v>40</v>
      </c>
      <c r="C1121" s="30" t="n">
        <v>80</v>
      </c>
      <c r="D1121" s="30" t="n">
        <v>3</v>
      </c>
      <c r="E1121" s="6" t="n">
        <v>8</v>
      </c>
      <c r="F1121" s="30" t="n">
        <v>2</v>
      </c>
      <c r="G1121" s="6" t="inlineStr">
        <is>
          <t>Non</t>
        </is>
      </c>
      <c r="H1121" s="6" t="inlineStr">
        <is>
          <t>OFF</t>
        </is>
      </c>
      <c r="I1121" s="31" t="n">
        <v>994.4885628369005</v>
      </c>
      <c r="J1121" s="31" t="n">
        <v>4850.441664768843</v>
      </c>
      <c r="K1121" s="31" t="n">
        <v>2726.851851851852</v>
      </c>
      <c r="L1121" s="31" t="n">
        <v>150</v>
      </c>
      <c r="M1121" s="31">
        <f>I1121+J1121+K1121+L1121</f>
        <v/>
      </c>
      <c r="N1121" s="31">
        <f>M1121*'Dashboard &amp; Optimisation'!$B$18/('Dashboard &amp; Optimisation'!$B$16/3.6)</f>
        <v/>
      </c>
      <c r="O1121" s="31" t="n">
        <v>1667.00931475377</v>
      </c>
      <c r="P1121" s="32" t="n">
        <v>0.266922569802206</v>
      </c>
      <c r="Q1121" s="33" t="n">
        <v>22.7521694064226</v>
      </c>
      <c r="R1121" s="31" t="n">
        <v>1607.071705911674</v>
      </c>
      <c r="S1121" s="31">
        <f>R1121*IF(A1121=4, 2.0, 3.0)</f>
        <v/>
      </c>
      <c r="T1121" s="30">
        <f>'Dashboard &amp; Optimisation'!$B$18*U1121</f>
        <v/>
      </c>
      <c r="U1121" s="34">
        <f>MIN(1, S1121/M1121)</f>
        <v/>
      </c>
      <c r="V1121" s="34">
        <f>N1121/(N1121+O1121)</f>
        <v/>
      </c>
      <c r="W1121" s="34">
        <f>U1121*V1121</f>
        <v/>
      </c>
      <c r="X1121" s="32">
        <f>T1121/N1121</f>
        <v/>
      </c>
      <c r="Y1121" s="35">
        <f>IF(W1121=MAXIFS(W$2:W$3601, A$2:A$3601, A1121, B$2:B$3601, B1121), "OPTIMAL", "")</f>
        <v/>
      </c>
    </row>
    <row r="1122" ht="20" customHeight="1">
      <c r="A1122" s="21" t="n">
        <v>4</v>
      </c>
      <c r="B1122" s="21" t="n">
        <v>40</v>
      </c>
      <c r="C1122" s="22" t="n">
        <v>85</v>
      </c>
      <c r="D1122" s="22" t="n">
        <v>2</v>
      </c>
      <c r="E1122" s="23" t="n">
        <v>0</v>
      </c>
      <c r="F1122" s="22" t="n">
        <v>0</v>
      </c>
      <c r="G1122" s="23" t="inlineStr">
        <is>
          <t>Oui</t>
        </is>
      </c>
      <c r="H1122" s="23" t="inlineStr">
        <is>
          <t>ON</t>
        </is>
      </c>
      <c r="I1122" s="24" t="n">
        <v>994.4885628369005</v>
      </c>
      <c r="J1122" s="24" t="n">
        <v>4850.441664768843</v>
      </c>
      <c r="K1122" s="24" t="n">
        <v>2726.851851851852</v>
      </c>
      <c r="L1122" s="24" t="n">
        <v>150</v>
      </c>
      <c r="M1122" s="24">
        <f>I1122+J1122+K1122+L1122</f>
        <v/>
      </c>
      <c r="N1122" s="24">
        <f>M1122*'Dashboard &amp; Optimisation'!$B$18/('Dashboard &amp; Optimisation'!$B$16/3.6)</f>
        <v/>
      </c>
      <c r="O1122" s="24" t="n">
        <v>448.6091155272702</v>
      </c>
      <c r="P1122" s="25" t="n">
        <v>0.4952901571326194</v>
      </c>
      <c r="Q1122" s="26" t="n">
        <v>0.2</v>
      </c>
      <c r="R1122" s="24" t="n">
        <v>643.2601856553164</v>
      </c>
      <c r="S1122" s="24">
        <f>R1122*IF(A1122=4, 2.0, 3.0)</f>
        <v/>
      </c>
      <c r="T1122" s="22">
        <f>'Dashboard &amp; Optimisation'!$B$18*U1122</f>
        <v/>
      </c>
      <c r="U1122" s="27">
        <f>MIN(1, S1122/M1122)</f>
        <v/>
      </c>
      <c r="V1122" s="27">
        <f>N1122/(N1122+O1122)</f>
        <v/>
      </c>
      <c r="W1122" s="27">
        <f>U1122*V1122</f>
        <v/>
      </c>
      <c r="X1122" s="25">
        <f>T1122/N1122</f>
        <v/>
      </c>
      <c r="Y1122" s="28">
        <f>IF(W1122=MAXIFS(W$2:W$3601, A$2:A$3601, A1122, B$2:B$3601, B1122), "OPTIMAL", "")</f>
        <v/>
      </c>
    </row>
    <row r="1123" ht="20" customHeight="1">
      <c r="A1123" s="29" t="n">
        <v>4</v>
      </c>
      <c r="B1123" s="29" t="n">
        <v>40</v>
      </c>
      <c r="C1123" s="30" t="n">
        <v>85</v>
      </c>
      <c r="D1123" s="30" t="n">
        <v>2</v>
      </c>
      <c r="E1123" s="6" t="n">
        <v>0</v>
      </c>
      <c r="F1123" s="30" t="n">
        <v>0</v>
      </c>
      <c r="G1123" s="6" t="inlineStr">
        <is>
          <t>Oui</t>
        </is>
      </c>
      <c r="H1123" s="6" t="inlineStr">
        <is>
          <t>OFF</t>
        </is>
      </c>
      <c r="I1123" s="31" t="n">
        <v>994.4885628369005</v>
      </c>
      <c r="J1123" s="31" t="n">
        <v>4850.441664768843</v>
      </c>
      <c r="K1123" s="31" t="n">
        <v>2726.851851851852</v>
      </c>
      <c r="L1123" s="31" t="n">
        <v>150</v>
      </c>
      <c r="M1123" s="31">
        <f>I1123+J1123+K1123+L1123</f>
        <v/>
      </c>
      <c r="N1123" s="31">
        <f>M1123*'Dashboard &amp; Optimisation'!$B$18/('Dashboard &amp; Optimisation'!$B$16/3.6)</f>
        <v/>
      </c>
      <c r="O1123" s="31" t="n">
        <v>448.6091155272702</v>
      </c>
      <c r="P1123" s="32" t="n">
        <v>0.869772376172373</v>
      </c>
      <c r="Q1123" s="33" t="n">
        <v>0.2</v>
      </c>
      <c r="R1123" s="31" t="n">
        <v>366.3032388226121</v>
      </c>
      <c r="S1123" s="31">
        <f>R1123*IF(A1123=4, 2.0, 3.0)</f>
        <v/>
      </c>
      <c r="T1123" s="30">
        <f>'Dashboard &amp; Optimisation'!$B$18*U1123</f>
        <v/>
      </c>
      <c r="U1123" s="34">
        <f>MIN(1, S1123/M1123)</f>
        <v/>
      </c>
      <c r="V1123" s="34">
        <f>N1123/(N1123+O1123)</f>
        <v/>
      </c>
      <c r="W1123" s="34">
        <f>U1123*V1123</f>
        <v/>
      </c>
      <c r="X1123" s="32">
        <f>T1123/N1123</f>
        <v/>
      </c>
      <c r="Y1123" s="35">
        <f>IF(W1123=MAXIFS(W$2:W$3601, A$2:A$3601, A1123, B$2:B$3601, B1123), "OPTIMAL", "")</f>
        <v/>
      </c>
    </row>
    <row r="1124" ht="20" customHeight="1">
      <c r="A1124" s="21" t="n">
        <v>4</v>
      </c>
      <c r="B1124" s="21" t="n">
        <v>40</v>
      </c>
      <c r="C1124" s="22" t="n">
        <v>85</v>
      </c>
      <c r="D1124" s="22" t="n">
        <v>2</v>
      </c>
      <c r="E1124" s="23" t="n">
        <v>0</v>
      </c>
      <c r="F1124" s="22" t="n">
        <v>0</v>
      </c>
      <c r="G1124" s="23" t="inlineStr">
        <is>
          <t>Non</t>
        </is>
      </c>
      <c r="H1124" s="23" t="inlineStr">
        <is>
          <t>ON</t>
        </is>
      </c>
      <c r="I1124" s="24" t="n">
        <v>994.4885628369005</v>
      </c>
      <c r="J1124" s="24" t="n">
        <v>4850.441664768843</v>
      </c>
      <c r="K1124" s="24" t="n">
        <v>2726.851851851852</v>
      </c>
      <c r="L1124" s="24" t="n">
        <v>150</v>
      </c>
      <c r="M1124" s="24">
        <f>I1124+J1124+K1124+L1124</f>
        <v/>
      </c>
      <c r="N1124" s="24">
        <f>M1124*'Dashboard &amp; Optimisation'!$B$18/('Dashboard &amp; Optimisation'!$B$16/3.6)</f>
        <v/>
      </c>
      <c r="O1124" s="24" t="n">
        <v>448.6091155272702</v>
      </c>
      <c r="P1124" s="25" t="n">
        <v>0.4915453349422219</v>
      </c>
      <c r="Q1124" s="26" t="n">
        <v>0.2</v>
      </c>
      <c r="R1124" s="24" t="n">
        <v>648.1608425148193</v>
      </c>
      <c r="S1124" s="24">
        <f>R1124*IF(A1124=4, 2.0, 3.0)</f>
        <v/>
      </c>
      <c r="T1124" s="22">
        <f>'Dashboard &amp; Optimisation'!$B$18*U1124</f>
        <v/>
      </c>
      <c r="U1124" s="27">
        <f>MIN(1, S1124/M1124)</f>
        <v/>
      </c>
      <c r="V1124" s="27">
        <f>N1124/(N1124+O1124)</f>
        <v/>
      </c>
      <c r="W1124" s="27">
        <f>U1124*V1124</f>
        <v/>
      </c>
      <c r="X1124" s="25">
        <f>T1124/N1124</f>
        <v/>
      </c>
      <c r="Y1124" s="28">
        <f>IF(W1124=MAXIFS(W$2:W$3601, A$2:A$3601, A1124, B$2:B$3601, B1124), "OPTIMAL", "")</f>
        <v/>
      </c>
    </row>
    <row r="1125" ht="20" customHeight="1">
      <c r="A1125" s="29" t="n">
        <v>4</v>
      </c>
      <c r="B1125" s="29" t="n">
        <v>40</v>
      </c>
      <c r="C1125" s="30" t="n">
        <v>85</v>
      </c>
      <c r="D1125" s="30" t="n">
        <v>2</v>
      </c>
      <c r="E1125" s="6" t="n">
        <v>0</v>
      </c>
      <c r="F1125" s="30" t="n">
        <v>0</v>
      </c>
      <c r="G1125" s="6" t="inlineStr">
        <is>
          <t>Non</t>
        </is>
      </c>
      <c r="H1125" s="6" t="inlineStr">
        <is>
          <t>OFF</t>
        </is>
      </c>
      <c r="I1125" s="31" t="n">
        <v>994.4885628369005</v>
      </c>
      <c r="J1125" s="31" t="n">
        <v>4850.441664768843</v>
      </c>
      <c r="K1125" s="31" t="n">
        <v>2726.851851851852</v>
      </c>
      <c r="L1125" s="31" t="n">
        <v>150</v>
      </c>
      <c r="M1125" s="31">
        <f>I1125+J1125+K1125+L1125</f>
        <v/>
      </c>
      <c r="N1125" s="31">
        <f>M1125*'Dashboard &amp; Optimisation'!$B$18/('Dashboard &amp; Optimisation'!$B$16/3.6)</f>
        <v/>
      </c>
      <c r="O1125" s="31" t="n">
        <v>448.6091155272702</v>
      </c>
      <c r="P1125" s="32" t="n">
        <v>0.8660275539819755</v>
      </c>
      <c r="Q1125" s="33" t="n">
        <v>0.2</v>
      </c>
      <c r="R1125" s="31" t="n">
        <v>367.8871843805221</v>
      </c>
      <c r="S1125" s="31">
        <f>R1125*IF(A1125=4, 2.0, 3.0)</f>
        <v/>
      </c>
      <c r="T1125" s="30">
        <f>'Dashboard &amp; Optimisation'!$B$18*U1125</f>
        <v/>
      </c>
      <c r="U1125" s="34">
        <f>MIN(1, S1125/M1125)</f>
        <v/>
      </c>
      <c r="V1125" s="34">
        <f>N1125/(N1125+O1125)</f>
        <v/>
      </c>
      <c r="W1125" s="34">
        <f>U1125*V1125</f>
        <v/>
      </c>
      <c r="X1125" s="32">
        <f>T1125/N1125</f>
        <v/>
      </c>
      <c r="Y1125" s="35">
        <f>IF(W1125=MAXIFS(W$2:W$3601, A$2:A$3601, A1125, B$2:B$3601, B1125), "OPTIMAL", "")</f>
        <v/>
      </c>
    </row>
    <row r="1126" ht="20" customHeight="1">
      <c r="A1126" s="21" t="n">
        <v>4</v>
      </c>
      <c r="B1126" s="21" t="n">
        <v>40</v>
      </c>
      <c r="C1126" s="22" t="n">
        <v>85</v>
      </c>
      <c r="D1126" s="22" t="n">
        <v>2</v>
      </c>
      <c r="E1126" s="23" t="n">
        <v>4</v>
      </c>
      <c r="F1126" s="22" t="n">
        <v>1.5</v>
      </c>
      <c r="G1126" s="23" t="inlineStr">
        <is>
          <t>Oui</t>
        </is>
      </c>
      <c r="H1126" s="23" t="inlineStr">
        <is>
          <t>ON</t>
        </is>
      </c>
      <c r="I1126" s="24" t="n">
        <v>994.4885628369005</v>
      </c>
      <c r="J1126" s="24" t="n">
        <v>4850.441664768843</v>
      </c>
      <c r="K1126" s="24" t="n">
        <v>2726.851851851852</v>
      </c>
      <c r="L1126" s="24" t="n">
        <v>150</v>
      </c>
      <c r="M1126" s="24">
        <f>I1126+J1126+K1126+L1126</f>
        <v/>
      </c>
      <c r="N1126" s="24">
        <f>M1126*'Dashboard &amp; Optimisation'!$B$18/('Dashboard &amp; Optimisation'!$B$16/3.6)</f>
        <v/>
      </c>
      <c r="O1126" s="24" t="n">
        <v>720.4348695312126</v>
      </c>
      <c r="P1126" s="25" t="n">
        <v>0.07982907988340278</v>
      </c>
      <c r="Q1126" s="26" t="n">
        <v>7.926206185533672</v>
      </c>
      <c r="R1126" s="24" t="n">
        <v>4147.499293033829</v>
      </c>
      <c r="S1126" s="24">
        <f>R1126*IF(A1126=4, 2.0, 3.0)</f>
        <v/>
      </c>
      <c r="T1126" s="22">
        <f>'Dashboard &amp; Optimisation'!$B$18*U1126</f>
        <v/>
      </c>
      <c r="U1126" s="27">
        <f>MIN(1, S1126/M1126)</f>
        <v/>
      </c>
      <c r="V1126" s="27">
        <f>N1126/(N1126+O1126)</f>
        <v/>
      </c>
      <c r="W1126" s="27">
        <f>U1126*V1126</f>
        <v/>
      </c>
      <c r="X1126" s="25">
        <f>T1126/N1126</f>
        <v/>
      </c>
      <c r="Y1126" s="28">
        <f>IF(W1126=MAXIFS(W$2:W$3601, A$2:A$3601, A1126, B$2:B$3601, B1126), "OPTIMAL", "")</f>
        <v/>
      </c>
    </row>
    <row r="1127" ht="20" customHeight="1">
      <c r="A1127" s="29" t="n">
        <v>4</v>
      </c>
      <c r="B1127" s="29" t="n">
        <v>40</v>
      </c>
      <c r="C1127" s="30" t="n">
        <v>85</v>
      </c>
      <c r="D1127" s="30" t="n">
        <v>2</v>
      </c>
      <c r="E1127" s="6" t="n">
        <v>4</v>
      </c>
      <c r="F1127" s="30" t="n">
        <v>1.5</v>
      </c>
      <c r="G1127" s="6" t="inlineStr">
        <is>
          <t>Oui</t>
        </is>
      </c>
      <c r="H1127" s="6" t="inlineStr">
        <is>
          <t>OFF</t>
        </is>
      </c>
      <c r="I1127" s="31" t="n">
        <v>994.4885628369005</v>
      </c>
      <c r="J1127" s="31" t="n">
        <v>4850.441664768843</v>
      </c>
      <c r="K1127" s="31" t="n">
        <v>2726.851851851852</v>
      </c>
      <c r="L1127" s="31" t="n">
        <v>150</v>
      </c>
      <c r="M1127" s="31">
        <f>I1127+J1127+K1127+L1127</f>
        <v/>
      </c>
      <c r="N1127" s="31">
        <f>M1127*'Dashboard &amp; Optimisation'!$B$18/('Dashboard &amp; Optimisation'!$B$16/3.6)</f>
        <v/>
      </c>
      <c r="O1127" s="31" t="n">
        <v>720.4348695312126</v>
      </c>
      <c r="P1127" s="32" t="n">
        <v>0.3422773582181225</v>
      </c>
      <c r="Q1127" s="33" t="n">
        <v>7.926206185533672</v>
      </c>
      <c r="R1127" s="31" t="n">
        <v>967.3180081311724</v>
      </c>
      <c r="S1127" s="31">
        <f>R1127*IF(A1127=4, 2.0, 3.0)</f>
        <v/>
      </c>
      <c r="T1127" s="30">
        <f>'Dashboard &amp; Optimisation'!$B$18*U1127</f>
        <v/>
      </c>
      <c r="U1127" s="34">
        <f>MIN(1, S1127/M1127)</f>
        <v/>
      </c>
      <c r="V1127" s="34">
        <f>N1127/(N1127+O1127)</f>
        <v/>
      </c>
      <c r="W1127" s="34">
        <f>U1127*V1127</f>
        <v/>
      </c>
      <c r="X1127" s="32">
        <f>T1127/N1127</f>
        <v/>
      </c>
      <c r="Y1127" s="35">
        <f>IF(W1127=MAXIFS(W$2:W$3601, A$2:A$3601, A1127, B$2:B$3601, B1127), "OPTIMAL", "")</f>
        <v/>
      </c>
    </row>
    <row r="1128" ht="20" customHeight="1">
      <c r="A1128" s="36" t="n">
        <v>4</v>
      </c>
      <c r="B1128" s="36" t="n">
        <v>40</v>
      </c>
      <c r="C1128" s="37" t="n">
        <v>85</v>
      </c>
      <c r="D1128" s="37" t="n">
        <v>2</v>
      </c>
      <c r="E1128" s="38" t="n">
        <v>4</v>
      </c>
      <c r="F1128" s="37" t="n">
        <v>1.5</v>
      </c>
      <c r="G1128" s="38" t="inlineStr">
        <is>
          <t>Non</t>
        </is>
      </c>
      <c r="H1128" s="38" t="inlineStr">
        <is>
          <t>ON</t>
        </is>
      </c>
      <c r="I1128" s="39" t="n">
        <v>994.4885628369005</v>
      </c>
      <c r="J1128" s="39" t="n">
        <v>4850.441664768843</v>
      </c>
      <c r="K1128" s="39" t="n">
        <v>2726.851851851852</v>
      </c>
      <c r="L1128" s="39" t="n">
        <v>150</v>
      </c>
      <c r="M1128" s="39">
        <f>I1128+J1128+K1128+L1128</f>
        <v/>
      </c>
      <c r="N1128" s="39">
        <f>M1128*'Dashboard &amp; Optimisation'!$B$18/('Dashboard &amp; Optimisation'!$B$16/3.6)</f>
        <v/>
      </c>
      <c r="O1128" s="39" t="n">
        <v>720.4348695312126</v>
      </c>
      <c r="P1128" s="40" t="n">
        <v>0.07608425769300524</v>
      </c>
      <c r="Q1128" s="41" t="n">
        <v>7.926206185533672</v>
      </c>
      <c r="R1128" s="39" t="n">
        <v>4351.636756658437</v>
      </c>
      <c r="S1128" s="39">
        <f>R1128*IF(A1128=4, 2.0, 3.0)</f>
        <v/>
      </c>
      <c r="T1128" s="37">
        <f>'Dashboard &amp; Optimisation'!$B$18*U1128</f>
        <v/>
      </c>
      <c r="U1128" s="42">
        <f>MIN(1, S1128/M1128)</f>
        <v/>
      </c>
      <c r="V1128" s="42">
        <f>N1128/(N1128+O1128)</f>
        <v/>
      </c>
      <c r="W1128" s="42">
        <f>U1128*V1128</f>
        <v/>
      </c>
      <c r="X1128" s="40">
        <f>T1128/N1128</f>
        <v/>
      </c>
      <c r="Y1128" s="15">
        <f>IF(W1128=MAXIFS(W$2:W$3601, A$2:A$3601, A1128, B$2:B$3601, B1128), "OPTIMAL", "")</f>
        <v/>
      </c>
    </row>
    <row r="1129" ht="20" customHeight="1">
      <c r="A1129" s="29" t="n">
        <v>4</v>
      </c>
      <c r="B1129" s="29" t="n">
        <v>40</v>
      </c>
      <c r="C1129" s="30" t="n">
        <v>85</v>
      </c>
      <c r="D1129" s="30" t="n">
        <v>2</v>
      </c>
      <c r="E1129" s="6" t="n">
        <v>4</v>
      </c>
      <c r="F1129" s="30" t="n">
        <v>1.5</v>
      </c>
      <c r="G1129" s="6" t="inlineStr">
        <is>
          <t>Non</t>
        </is>
      </c>
      <c r="H1129" s="6" t="inlineStr">
        <is>
          <t>OFF</t>
        </is>
      </c>
      <c r="I1129" s="31" t="n">
        <v>994.4885628369005</v>
      </c>
      <c r="J1129" s="31" t="n">
        <v>4850.441664768843</v>
      </c>
      <c r="K1129" s="31" t="n">
        <v>2726.851851851852</v>
      </c>
      <c r="L1129" s="31" t="n">
        <v>150</v>
      </c>
      <c r="M1129" s="31">
        <f>I1129+J1129+K1129+L1129</f>
        <v/>
      </c>
      <c r="N1129" s="31">
        <f>M1129*'Dashboard &amp; Optimisation'!$B$18/('Dashboard &amp; Optimisation'!$B$16/3.6)</f>
        <v/>
      </c>
      <c r="O1129" s="31" t="n">
        <v>720.4348695312126</v>
      </c>
      <c r="P1129" s="32" t="n">
        <v>0.338532536027725</v>
      </c>
      <c r="Q1129" s="33" t="n">
        <v>7.926206185533672</v>
      </c>
      <c r="R1129" s="31" t="n">
        <v>978.0184092935708</v>
      </c>
      <c r="S1129" s="31">
        <f>R1129*IF(A1129=4, 2.0, 3.0)</f>
        <v/>
      </c>
      <c r="T1129" s="30">
        <f>'Dashboard &amp; Optimisation'!$B$18*U1129</f>
        <v/>
      </c>
      <c r="U1129" s="34">
        <f>MIN(1, S1129/M1129)</f>
        <v/>
      </c>
      <c r="V1129" s="34">
        <f>N1129/(N1129+O1129)</f>
        <v/>
      </c>
      <c r="W1129" s="34">
        <f>U1129*V1129</f>
        <v/>
      </c>
      <c r="X1129" s="32">
        <f>T1129/N1129</f>
        <v/>
      </c>
      <c r="Y1129" s="35">
        <f>IF(W1129=MAXIFS(W$2:W$3601, A$2:A$3601, A1129, B$2:B$3601, B1129), "OPTIMAL", "")</f>
        <v/>
      </c>
    </row>
    <row r="1130" ht="20" customHeight="1">
      <c r="A1130" s="21" t="n">
        <v>4</v>
      </c>
      <c r="B1130" s="21" t="n">
        <v>40</v>
      </c>
      <c r="C1130" s="22" t="n">
        <v>85</v>
      </c>
      <c r="D1130" s="22" t="n">
        <v>2</v>
      </c>
      <c r="E1130" s="23" t="n">
        <v>4</v>
      </c>
      <c r="F1130" s="22" t="n">
        <v>2</v>
      </c>
      <c r="G1130" s="23" t="inlineStr">
        <is>
          <t>Oui</t>
        </is>
      </c>
      <c r="H1130" s="23" t="inlineStr">
        <is>
          <t>ON</t>
        </is>
      </c>
      <c r="I1130" s="24" t="n">
        <v>994.4885628369005</v>
      </c>
      <c r="J1130" s="24" t="n">
        <v>4850.441664768843</v>
      </c>
      <c r="K1130" s="24" t="n">
        <v>2726.851851851852</v>
      </c>
      <c r="L1130" s="24" t="n">
        <v>150</v>
      </c>
      <c r="M1130" s="24">
        <f>I1130+J1130+K1130+L1130</f>
        <v/>
      </c>
      <c r="N1130" s="24">
        <f>M1130*'Dashboard &amp; Optimisation'!$B$18/('Dashboard &amp; Optimisation'!$B$16/3.6)</f>
        <v/>
      </c>
      <c r="O1130" s="24" t="n">
        <v>815.8425383185424</v>
      </c>
      <c r="P1130" s="25" t="n">
        <v>0.07761847907948814</v>
      </c>
      <c r="Q1130" s="26" t="n">
        <v>10.50160824737823</v>
      </c>
      <c r="R1130" s="24" t="n">
        <v>4322.103655609367</v>
      </c>
      <c r="S1130" s="24">
        <f>R1130*IF(A1130=4, 2.0, 3.0)</f>
        <v/>
      </c>
      <c r="T1130" s="22">
        <f>'Dashboard &amp; Optimisation'!$B$18*U1130</f>
        <v/>
      </c>
      <c r="U1130" s="27">
        <f>MIN(1, S1130/M1130)</f>
        <v/>
      </c>
      <c r="V1130" s="27">
        <f>N1130/(N1130+O1130)</f>
        <v/>
      </c>
      <c r="W1130" s="27">
        <f>U1130*V1130</f>
        <v/>
      </c>
      <c r="X1130" s="25">
        <f>T1130/N1130</f>
        <v/>
      </c>
      <c r="Y1130" s="28">
        <f>IF(W1130=MAXIFS(W$2:W$3601, A$2:A$3601, A1130, B$2:B$3601, B1130), "OPTIMAL", "")</f>
        <v/>
      </c>
    </row>
    <row r="1131" ht="20" customHeight="1">
      <c r="A1131" s="29" t="n">
        <v>4</v>
      </c>
      <c r="B1131" s="29" t="n">
        <v>40</v>
      </c>
      <c r="C1131" s="30" t="n">
        <v>85</v>
      </c>
      <c r="D1131" s="30" t="n">
        <v>2</v>
      </c>
      <c r="E1131" s="6" t="n">
        <v>4</v>
      </c>
      <c r="F1131" s="30" t="n">
        <v>2</v>
      </c>
      <c r="G1131" s="6" t="inlineStr">
        <is>
          <t>Oui</t>
        </is>
      </c>
      <c r="H1131" s="6" t="inlineStr">
        <is>
          <t>OFF</t>
        </is>
      </c>
      <c r="I1131" s="31" t="n">
        <v>994.4885628369005</v>
      </c>
      <c r="J1131" s="31" t="n">
        <v>4850.441664768843</v>
      </c>
      <c r="K1131" s="31" t="n">
        <v>2726.851851851852</v>
      </c>
      <c r="L1131" s="31" t="n">
        <v>150</v>
      </c>
      <c r="M1131" s="31">
        <f>I1131+J1131+K1131+L1131</f>
        <v/>
      </c>
      <c r="N1131" s="31">
        <f>M1131*'Dashboard &amp; Optimisation'!$B$18/('Dashboard &amp; Optimisation'!$B$16/3.6)</f>
        <v/>
      </c>
      <c r="O1131" s="31" t="n">
        <v>815.8425383185424</v>
      </c>
      <c r="P1131" s="32" t="n">
        <v>0.3414492073746781</v>
      </c>
      <c r="Q1131" s="33" t="n">
        <v>10.50160824737823</v>
      </c>
      <c r="R1131" s="31" t="n">
        <v>982.5037075109454</v>
      </c>
      <c r="S1131" s="31">
        <f>R1131*IF(A1131=4, 2.0, 3.0)</f>
        <v/>
      </c>
      <c r="T1131" s="30">
        <f>'Dashboard &amp; Optimisation'!$B$18*U1131</f>
        <v/>
      </c>
      <c r="U1131" s="34">
        <f>MIN(1, S1131/M1131)</f>
        <v/>
      </c>
      <c r="V1131" s="34">
        <f>N1131/(N1131+O1131)</f>
        <v/>
      </c>
      <c r="W1131" s="34">
        <f>U1131*V1131</f>
        <v/>
      </c>
      <c r="X1131" s="32">
        <f>T1131/N1131</f>
        <v/>
      </c>
      <c r="Y1131" s="35">
        <f>IF(W1131=MAXIFS(W$2:W$3601, A$2:A$3601, A1131, B$2:B$3601, B1131), "OPTIMAL", "")</f>
        <v/>
      </c>
    </row>
    <row r="1132" ht="20" customHeight="1">
      <c r="A1132" s="21" t="n">
        <v>4</v>
      </c>
      <c r="B1132" s="21" t="n">
        <v>40</v>
      </c>
      <c r="C1132" s="22" t="n">
        <v>85</v>
      </c>
      <c r="D1132" s="22" t="n">
        <v>2</v>
      </c>
      <c r="E1132" s="23" t="n">
        <v>4</v>
      </c>
      <c r="F1132" s="22" t="n">
        <v>2</v>
      </c>
      <c r="G1132" s="23" t="inlineStr">
        <is>
          <t>Non</t>
        </is>
      </c>
      <c r="H1132" s="23" t="inlineStr">
        <is>
          <t>ON</t>
        </is>
      </c>
      <c r="I1132" s="24" t="n">
        <v>994.4885628369005</v>
      </c>
      <c r="J1132" s="24" t="n">
        <v>4850.441664768843</v>
      </c>
      <c r="K1132" s="24" t="n">
        <v>2726.851851851852</v>
      </c>
      <c r="L1132" s="24" t="n">
        <v>150</v>
      </c>
      <c r="M1132" s="24">
        <f>I1132+J1132+K1132+L1132</f>
        <v/>
      </c>
      <c r="N1132" s="24">
        <f>M1132*'Dashboard &amp; Optimisation'!$B$18/('Dashboard &amp; Optimisation'!$B$16/3.6)</f>
        <v/>
      </c>
      <c r="O1132" s="24" t="n">
        <v>815.8425383185424</v>
      </c>
      <c r="P1132" s="25" t="n">
        <v>0.0738736568890906</v>
      </c>
      <c r="Q1132" s="26" t="n">
        <v>10.50160824737823</v>
      </c>
      <c r="R1132" s="24" t="n">
        <v>4541.200832604736</v>
      </c>
      <c r="S1132" s="24">
        <f>R1132*IF(A1132=4, 2.0, 3.0)</f>
        <v/>
      </c>
      <c r="T1132" s="22">
        <f>'Dashboard &amp; Optimisation'!$B$18*U1132</f>
        <v/>
      </c>
      <c r="U1132" s="27">
        <f>MIN(1, S1132/M1132)</f>
        <v/>
      </c>
      <c r="V1132" s="27">
        <f>N1132/(N1132+O1132)</f>
        <v/>
      </c>
      <c r="W1132" s="27">
        <f>U1132*V1132</f>
        <v/>
      </c>
      <c r="X1132" s="25">
        <f>T1132/N1132</f>
        <v/>
      </c>
      <c r="Y1132" s="28">
        <f>IF(W1132=MAXIFS(W$2:W$3601, A$2:A$3601, A1132, B$2:B$3601, B1132), "OPTIMAL", "")</f>
        <v/>
      </c>
    </row>
    <row r="1133" ht="20" customHeight="1">
      <c r="A1133" s="29" t="n">
        <v>4</v>
      </c>
      <c r="B1133" s="29" t="n">
        <v>40</v>
      </c>
      <c r="C1133" s="30" t="n">
        <v>85</v>
      </c>
      <c r="D1133" s="30" t="n">
        <v>2</v>
      </c>
      <c r="E1133" s="6" t="n">
        <v>4</v>
      </c>
      <c r="F1133" s="30" t="n">
        <v>2</v>
      </c>
      <c r="G1133" s="6" t="inlineStr">
        <is>
          <t>Non</t>
        </is>
      </c>
      <c r="H1133" s="6" t="inlineStr">
        <is>
          <t>OFF</t>
        </is>
      </c>
      <c r="I1133" s="31" t="n">
        <v>994.4885628369005</v>
      </c>
      <c r="J1133" s="31" t="n">
        <v>4850.441664768843</v>
      </c>
      <c r="K1133" s="31" t="n">
        <v>2726.851851851852</v>
      </c>
      <c r="L1133" s="31" t="n">
        <v>150</v>
      </c>
      <c r="M1133" s="31">
        <f>I1133+J1133+K1133+L1133</f>
        <v/>
      </c>
      <c r="N1133" s="31">
        <f>M1133*'Dashboard &amp; Optimisation'!$B$18/('Dashboard &amp; Optimisation'!$B$16/3.6)</f>
        <v/>
      </c>
      <c r="O1133" s="31" t="n">
        <v>815.8425383185424</v>
      </c>
      <c r="P1133" s="32" t="n">
        <v>0.3377043851842806</v>
      </c>
      <c r="Q1133" s="33" t="n">
        <v>10.50160824737823</v>
      </c>
      <c r="R1133" s="31" t="n">
        <v>993.3987442574391</v>
      </c>
      <c r="S1133" s="31">
        <f>R1133*IF(A1133=4, 2.0, 3.0)</f>
        <v/>
      </c>
      <c r="T1133" s="30">
        <f>'Dashboard &amp; Optimisation'!$B$18*U1133</f>
        <v/>
      </c>
      <c r="U1133" s="34">
        <f>MIN(1, S1133/M1133)</f>
        <v/>
      </c>
      <c r="V1133" s="34">
        <f>N1133/(N1133+O1133)</f>
        <v/>
      </c>
      <c r="W1133" s="34">
        <f>U1133*V1133</f>
        <v/>
      </c>
      <c r="X1133" s="32">
        <f>T1133/N1133</f>
        <v/>
      </c>
      <c r="Y1133" s="35">
        <f>IF(W1133=MAXIFS(W$2:W$3601, A$2:A$3601, A1133, B$2:B$3601, B1133), "OPTIMAL", "")</f>
        <v/>
      </c>
    </row>
    <row r="1134" ht="20" customHeight="1">
      <c r="A1134" s="21" t="n">
        <v>4</v>
      </c>
      <c r="B1134" s="21" t="n">
        <v>40</v>
      </c>
      <c r="C1134" s="22" t="n">
        <v>85</v>
      </c>
      <c r="D1134" s="22" t="n">
        <v>2</v>
      </c>
      <c r="E1134" s="23" t="n">
        <v>8</v>
      </c>
      <c r="F1134" s="22" t="n">
        <v>1.5</v>
      </c>
      <c r="G1134" s="23" t="inlineStr">
        <is>
          <t>Oui</t>
        </is>
      </c>
      <c r="H1134" s="23" t="inlineStr">
        <is>
          <t>ON</t>
        </is>
      </c>
      <c r="I1134" s="24" t="n">
        <v>994.4885628369005</v>
      </c>
      <c r="J1134" s="24" t="n">
        <v>4850.441664768843</v>
      </c>
      <c r="K1134" s="24" t="n">
        <v>2726.851851851852</v>
      </c>
      <c r="L1134" s="24" t="n">
        <v>150</v>
      </c>
      <c r="M1134" s="24">
        <f>I1134+J1134+K1134+L1134</f>
        <v/>
      </c>
      <c r="N1134" s="24">
        <f>M1134*'Dashboard &amp; Optimisation'!$B$18/('Dashboard &amp; Optimisation'!$B$16/3.6)</f>
        <v/>
      </c>
      <c r="O1134" s="24" t="n">
        <v>1014.443972668584</v>
      </c>
      <c r="P1134" s="25" t="n">
        <v>0.05983888553171247</v>
      </c>
      <c r="Q1134" s="26" t="n">
        <v>15.65241237106734</v>
      </c>
      <c r="R1134" s="24" t="n">
        <v>5758.813957834104</v>
      </c>
      <c r="S1134" s="24">
        <f>R1134*IF(A1134=4, 2.0, 3.0)</f>
        <v/>
      </c>
      <c r="T1134" s="22">
        <f>'Dashboard &amp; Optimisation'!$B$18*U1134</f>
        <v/>
      </c>
      <c r="U1134" s="27">
        <f>MIN(1, S1134/M1134)</f>
        <v/>
      </c>
      <c r="V1134" s="27">
        <f>N1134/(N1134+O1134)</f>
        <v/>
      </c>
      <c r="W1134" s="27">
        <f>U1134*V1134</f>
        <v/>
      </c>
      <c r="X1134" s="25">
        <f>T1134/N1134</f>
        <v/>
      </c>
      <c r="Y1134" s="28">
        <f>IF(W1134=MAXIFS(W$2:W$3601, A$2:A$3601, A1134, B$2:B$3601, B1134), "OPTIMAL", "")</f>
        <v/>
      </c>
    </row>
    <row r="1135" ht="20" customHeight="1">
      <c r="A1135" s="29" t="n">
        <v>4</v>
      </c>
      <c r="B1135" s="29" t="n">
        <v>40</v>
      </c>
      <c r="C1135" s="30" t="n">
        <v>85</v>
      </c>
      <c r="D1135" s="30" t="n">
        <v>2</v>
      </c>
      <c r="E1135" s="6" t="n">
        <v>8</v>
      </c>
      <c r="F1135" s="30" t="n">
        <v>1.5</v>
      </c>
      <c r="G1135" s="6" t="inlineStr">
        <is>
          <t>Oui</t>
        </is>
      </c>
      <c r="H1135" s="6" t="inlineStr">
        <is>
          <t>OFF</t>
        </is>
      </c>
      <c r="I1135" s="31" t="n">
        <v>994.4885628369005</v>
      </c>
      <c r="J1135" s="31" t="n">
        <v>4850.441664768843</v>
      </c>
      <c r="K1135" s="31" t="n">
        <v>2726.851851851852</v>
      </c>
      <c r="L1135" s="31" t="n">
        <v>150</v>
      </c>
      <c r="M1135" s="31">
        <f>I1135+J1135+K1135+L1135</f>
        <v/>
      </c>
      <c r="N1135" s="31">
        <f>M1135*'Dashboard &amp; Optimisation'!$B$18/('Dashboard &amp; Optimisation'!$B$16/3.6)</f>
        <v/>
      </c>
      <c r="O1135" s="31" t="n">
        <v>1014.443972668584</v>
      </c>
      <c r="P1135" s="32" t="n">
        <v>0.261849893463025</v>
      </c>
      <c r="Q1135" s="33" t="n">
        <v>15.65241237106734</v>
      </c>
      <c r="R1135" s="31" t="n">
        <v>1316.025012131323</v>
      </c>
      <c r="S1135" s="31">
        <f>R1135*IF(A1135=4, 2.0, 3.0)</f>
        <v/>
      </c>
      <c r="T1135" s="30">
        <f>'Dashboard &amp; Optimisation'!$B$18*U1135</f>
        <v/>
      </c>
      <c r="U1135" s="34">
        <f>MIN(1, S1135/M1135)</f>
        <v/>
      </c>
      <c r="V1135" s="34">
        <f>N1135/(N1135+O1135)</f>
        <v/>
      </c>
      <c r="W1135" s="34">
        <f>U1135*V1135</f>
        <v/>
      </c>
      <c r="X1135" s="32">
        <f>T1135/N1135</f>
        <v/>
      </c>
      <c r="Y1135" s="35">
        <f>IF(W1135=MAXIFS(W$2:W$3601, A$2:A$3601, A1135, B$2:B$3601, B1135), "OPTIMAL", "")</f>
        <v/>
      </c>
    </row>
    <row r="1136" ht="20" customHeight="1">
      <c r="A1136" s="21" t="n">
        <v>4</v>
      </c>
      <c r="B1136" s="21" t="n">
        <v>40</v>
      </c>
      <c r="C1136" s="22" t="n">
        <v>85</v>
      </c>
      <c r="D1136" s="22" t="n">
        <v>2</v>
      </c>
      <c r="E1136" s="23" t="n">
        <v>8</v>
      </c>
      <c r="F1136" s="22" t="n">
        <v>1.5</v>
      </c>
      <c r="G1136" s="23" t="inlineStr">
        <is>
          <t>Non</t>
        </is>
      </c>
      <c r="H1136" s="23" t="inlineStr">
        <is>
          <t>ON</t>
        </is>
      </c>
      <c r="I1136" s="24" t="n">
        <v>994.4885628369005</v>
      </c>
      <c r="J1136" s="24" t="n">
        <v>4850.441664768843</v>
      </c>
      <c r="K1136" s="24" t="n">
        <v>2726.851851851852</v>
      </c>
      <c r="L1136" s="24" t="n">
        <v>150</v>
      </c>
      <c r="M1136" s="24">
        <f>I1136+J1136+K1136+L1136</f>
        <v/>
      </c>
      <c r="N1136" s="24">
        <f>M1136*'Dashboard &amp; Optimisation'!$B$18/('Dashboard &amp; Optimisation'!$B$16/3.6)</f>
        <v/>
      </c>
      <c r="O1136" s="24" t="n">
        <v>1014.443972668584</v>
      </c>
      <c r="P1136" s="25" t="n">
        <v>0.05609406334131493</v>
      </c>
      <c r="Q1136" s="26" t="n">
        <v>15.65241237106734</v>
      </c>
      <c r="R1136" s="24" t="n">
        <v>6143.270583278538</v>
      </c>
      <c r="S1136" s="24">
        <f>R1136*IF(A1136=4, 2.0, 3.0)</f>
        <v/>
      </c>
      <c r="T1136" s="22">
        <f>'Dashboard &amp; Optimisation'!$B$18*U1136</f>
        <v/>
      </c>
      <c r="U1136" s="27">
        <f>MIN(1, S1136/M1136)</f>
        <v/>
      </c>
      <c r="V1136" s="27">
        <f>N1136/(N1136+O1136)</f>
        <v/>
      </c>
      <c r="W1136" s="27">
        <f>U1136*V1136</f>
        <v/>
      </c>
      <c r="X1136" s="25">
        <f>T1136/N1136</f>
        <v/>
      </c>
      <c r="Y1136" s="28">
        <f>IF(W1136=MAXIFS(W$2:W$3601, A$2:A$3601, A1136, B$2:B$3601, B1136), "OPTIMAL", "")</f>
        <v/>
      </c>
    </row>
    <row r="1137" ht="20" customHeight="1">
      <c r="A1137" s="29" t="n">
        <v>4</v>
      </c>
      <c r="B1137" s="29" t="n">
        <v>40</v>
      </c>
      <c r="C1137" s="30" t="n">
        <v>85</v>
      </c>
      <c r="D1137" s="30" t="n">
        <v>2</v>
      </c>
      <c r="E1137" s="6" t="n">
        <v>8</v>
      </c>
      <c r="F1137" s="30" t="n">
        <v>1.5</v>
      </c>
      <c r="G1137" s="6" t="inlineStr">
        <is>
          <t>Non</t>
        </is>
      </c>
      <c r="H1137" s="6" t="inlineStr">
        <is>
          <t>OFF</t>
        </is>
      </c>
      <c r="I1137" s="31" t="n">
        <v>994.4885628369005</v>
      </c>
      <c r="J1137" s="31" t="n">
        <v>4850.441664768843</v>
      </c>
      <c r="K1137" s="31" t="n">
        <v>2726.851851851852</v>
      </c>
      <c r="L1137" s="31" t="n">
        <v>150</v>
      </c>
      <c r="M1137" s="31">
        <f>I1137+J1137+K1137+L1137</f>
        <v/>
      </c>
      <c r="N1137" s="31">
        <f>M1137*'Dashboard &amp; Optimisation'!$B$18/('Dashboard &amp; Optimisation'!$B$16/3.6)</f>
        <v/>
      </c>
      <c r="O1137" s="31" t="n">
        <v>1014.443972668584</v>
      </c>
      <c r="P1137" s="32" t="n">
        <v>0.2581050712726274</v>
      </c>
      <c r="Q1137" s="33" t="n">
        <v>15.65241237106734</v>
      </c>
      <c r="R1137" s="31" t="n">
        <v>1335.119095189234</v>
      </c>
      <c r="S1137" s="31">
        <f>R1137*IF(A1137=4, 2.0, 3.0)</f>
        <v/>
      </c>
      <c r="T1137" s="30">
        <f>'Dashboard &amp; Optimisation'!$B$18*U1137</f>
        <v/>
      </c>
      <c r="U1137" s="34">
        <f>MIN(1, S1137/M1137)</f>
        <v/>
      </c>
      <c r="V1137" s="34">
        <f>N1137/(N1137+O1137)</f>
        <v/>
      </c>
      <c r="W1137" s="34">
        <f>U1137*V1137</f>
        <v/>
      </c>
      <c r="X1137" s="32">
        <f>T1137/N1137</f>
        <v/>
      </c>
      <c r="Y1137" s="35">
        <f>IF(W1137=MAXIFS(W$2:W$3601, A$2:A$3601, A1137, B$2:B$3601, B1137), "OPTIMAL", "")</f>
        <v/>
      </c>
    </row>
    <row r="1138" ht="20" customHeight="1">
      <c r="A1138" s="21" t="n">
        <v>4</v>
      </c>
      <c r="B1138" s="21" t="n">
        <v>40</v>
      </c>
      <c r="C1138" s="22" t="n">
        <v>85</v>
      </c>
      <c r="D1138" s="22" t="n">
        <v>2</v>
      </c>
      <c r="E1138" s="23" t="n">
        <v>8</v>
      </c>
      <c r="F1138" s="22" t="n">
        <v>2</v>
      </c>
      <c r="G1138" s="23" t="inlineStr">
        <is>
          <t>Oui</t>
        </is>
      </c>
      <c r="H1138" s="23" t="inlineStr">
        <is>
          <t>ON</t>
        </is>
      </c>
      <c r="I1138" s="24" t="n">
        <v>994.4885628369005</v>
      </c>
      <c r="J1138" s="24" t="n">
        <v>4850.441664768843</v>
      </c>
      <c r="K1138" s="24" t="n">
        <v>2726.851851851852</v>
      </c>
      <c r="L1138" s="24" t="n">
        <v>150</v>
      </c>
      <c r="M1138" s="24">
        <f>I1138+J1138+K1138+L1138</f>
        <v/>
      </c>
      <c r="N1138" s="24">
        <f>M1138*'Dashboard &amp; Optimisation'!$B$18/('Dashboard &amp; Optimisation'!$B$16/3.6)</f>
        <v/>
      </c>
      <c r="O1138" s="24" t="n">
        <v>1224.152626890266</v>
      </c>
      <c r="P1138" s="25" t="n">
        <v>0.0588807326139491</v>
      </c>
      <c r="Q1138" s="26" t="n">
        <v>20.80321649475646</v>
      </c>
      <c r="R1138" s="24" t="n">
        <v>6016.183500263591</v>
      </c>
      <c r="S1138" s="24">
        <f>R1138*IF(A1138=4, 2.0, 3.0)</f>
        <v/>
      </c>
      <c r="T1138" s="22">
        <f>'Dashboard &amp; Optimisation'!$B$18*U1138</f>
        <v/>
      </c>
      <c r="U1138" s="27">
        <f>MIN(1, S1138/M1138)</f>
        <v/>
      </c>
      <c r="V1138" s="27">
        <f>N1138/(N1138+O1138)</f>
        <v/>
      </c>
      <c r="W1138" s="27">
        <f>U1138*V1138</f>
        <v/>
      </c>
      <c r="X1138" s="25">
        <f>T1138/N1138</f>
        <v/>
      </c>
      <c r="Y1138" s="28">
        <f>IF(W1138=MAXIFS(W$2:W$3601, A$2:A$3601, A1138, B$2:B$3601, B1138), "OPTIMAL", "")</f>
        <v/>
      </c>
    </row>
    <row r="1139" ht="20" customHeight="1">
      <c r="A1139" s="29" t="n">
        <v>4</v>
      </c>
      <c r="B1139" s="29" t="n">
        <v>40</v>
      </c>
      <c r="C1139" s="30" t="n">
        <v>85</v>
      </c>
      <c r="D1139" s="30" t="n">
        <v>2</v>
      </c>
      <c r="E1139" s="6" t="n">
        <v>8</v>
      </c>
      <c r="F1139" s="30" t="n">
        <v>2</v>
      </c>
      <c r="G1139" s="6" t="inlineStr">
        <is>
          <t>Oui</t>
        </is>
      </c>
      <c r="H1139" s="6" t="inlineStr">
        <is>
          <t>OFF</t>
        </is>
      </c>
      <c r="I1139" s="31" t="n">
        <v>994.4885628369005</v>
      </c>
      <c r="J1139" s="31" t="n">
        <v>4850.441664768843</v>
      </c>
      <c r="K1139" s="31" t="n">
        <v>2726.851851851852</v>
      </c>
      <c r="L1139" s="31" t="n">
        <v>150</v>
      </c>
      <c r="M1139" s="31">
        <f>I1139+J1139+K1139+L1139</f>
        <v/>
      </c>
      <c r="N1139" s="31">
        <f>M1139*'Dashboard &amp; Optimisation'!$B$18/('Dashboard &amp; Optimisation'!$B$16/3.6)</f>
        <v/>
      </c>
      <c r="O1139" s="31" t="n">
        <v>1224.152626890266</v>
      </c>
      <c r="P1139" s="32" t="n">
        <v>0.2625350412538471</v>
      </c>
      <c r="Q1139" s="33" t="n">
        <v>20.80321649475646</v>
      </c>
      <c r="R1139" s="31" t="n">
        <v>1349.295280141131</v>
      </c>
      <c r="S1139" s="31">
        <f>R1139*IF(A1139=4, 2.0, 3.0)</f>
        <v/>
      </c>
      <c r="T1139" s="30">
        <f>'Dashboard &amp; Optimisation'!$B$18*U1139</f>
        <v/>
      </c>
      <c r="U1139" s="34">
        <f>MIN(1, S1139/M1139)</f>
        <v/>
      </c>
      <c r="V1139" s="34">
        <f>N1139/(N1139+O1139)</f>
        <v/>
      </c>
      <c r="W1139" s="34">
        <f>U1139*V1139</f>
        <v/>
      </c>
      <c r="X1139" s="32">
        <f>T1139/N1139</f>
        <v/>
      </c>
      <c r="Y1139" s="35">
        <f>IF(W1139=MAXIFS(W$2:W$3601, A$2:A$3601, A1139, B$2:B$3601, B1139), "OPTIMAL", "")</f>
        <v/>
      </c>
    </row>
    <row r="1140" ht="20" customHeight="1">
      <c r="A1140" s="21" t="n">
        <v>4</v>
      </c>
      <c r="B1140" s="21" t="n">
        <v>40</v>
      </c>
      <c r="C1140" s="22" t="n">
        <v>85</v>
      </c>
      <c r="D1140" s="22" t="n">
        <v>2</v>
      </c>
      <c r="E1140" s="23" t="n">
        <v>8</v>
      </c>
      <c r="F1140" s="22" t="n">
        <v>2</v>
      </c>
      <c r="G1140" s="23" t="inlineStr">
        <is>
          <t>Non</t>
        </is>
      </c>
      <c r="H1140" s="23" t="inlineStr">
        <is>
          <t>ON</t>
        </is>
      </c>
      <c r="I1140" s="24" t="n">
        <v>994.4885628369005</v>
      </c>
      <c r="J1140" s="24" t="n">
        <v>4850.441664768843</v>
      </c>
      <c r="K1140" s="24" t="n">
        <v>2726.851851851852</v>
      </c>
      <c r="L1140" s="24" t="n">
        <v>150</v>
      </c>
      <c r="M1140" s="24">
        <f>I1140+J1140+K1140+L1140</f>
        <v/>
      </c>
      <c r="N1140" s="24">
        <f>M1140*'Dashboard &amp; Optimisation'!$B$18/('Dashboard &amp; Optimisation'!$B$16/3.6)</f>
        <v/>
      </c>
      <c r="O1140" s="24" t="n">
        <v>1224.152626890266</v>
      </c>
      <c r="P1140" s="25" t="n">
        <v>0.05513591042355157</v>
      </c>
      <c r="Q1140" s="26" t="n">
        <v>20.80321649475646</v>
      </c>
      <c r="R1140" s="24" t="n">
        <v>6424.80171841252</v>
      </c>
      <c r="S1140" s="24">
        <f>R1140*IF(A1140=4, 2.0, 3.0)</f>
        <v/>
      </c>
      <c r="T1140" s="22">
        <f>'Dashboard &amp; Optimisation'!$B$18*U1140</f>
        <v/>
      </c>
      <c r="U1140" s="27">
        <f>MIN(1, S1140/M1140)</f>
        <v/>
      </c>
      <c r="V1140" s="27">
        <f>N1140/(N1140+O1140)</f>
        <v/>
      </c>
      <c r="W1140" s="27">
        <f>U1140*V1140</f>
        <v/>
      </c>
      <c r="X1140" s="25">
        <f>T1140/N1140</f>
        <v/>
      </c>
      <c r="Y1140" s="28">
        <f>IF(W1140=MAXIFS(W$2:W$3601, A$2:A$3601, A1140, B$2:B$3601, B1140), "OPTIMAL", "")</f>
        <v/>
      </c>
    </row>
    <row r="1141" ht="20" customHeight="1">
      <c r="A1141" s="29" t="n">
        <v>4</v>
      </c>
      <c r="B1141" s="29" t="n">
        <v>40</v>
      </c>
      <c r="C1141" s="30" t="n">
        <v>85</v>
      </c>
      <c r="D1141" s="30" t="n">
        <v>2</v>
      </c>
      <c r="E1141" s="6" t="n">
        <v>8</v>
      </c>
      <c r="F1141" s="30" t="n">
        <v>2</v>
      </c>
      <c r="G1141" s="6" t="inlineStr">
        <is>
          <t>Non</t>
        </is>
      </c>
      <c r="H1141" s="6" t="inlineStr">
        <is>
          <t>OFF</t>
        </is>
      </c>
      <c r="I1141" s="31" t="n">
        <v>994.4885628369005</v>
      </c>
      <c r="J1141" s="31" t="n">
        <v>4850.441664768843</v>
      </c>
      <c r="K1141" s="31" t="n">
        <v>2726.851851851852</v>
      </c>
      <c r="L1141" s="31" t="n">
        <v>150</v>
      </c>
      <c r="M1141" s="31">
        <f>I1141+J1141+K1141+L1141</f>
        <v/>
      </c>
      <c r="N1141" s="31">
        <f>M1141*'Dashboard &amp; Optimisation'!$B$18/('Dashboard &amp; Optimisation'!$B$16/3.6)</f>
        <v/>
      </c>
      <c r="O1141" s="31" t="n">
        <v>1224.152626890266</v>
      </c>
      <c r="P1141" s="32" t="n">
        <v>0.2587902190634496</v>
      </c>
      <c r="Q1141" s="33" t="n">
        <v>20.80321649475646</v>
      </c>
      <c r="R1141" s="31" t="n">
        <v>1368.820248761495</v>
      </c>
      <c r="S1141" s="31">
        <f>R1141*IF(A1141=4, 2.0, 3.0)</f>
        <v/>
      </c>
      <c r="T1141" s="30">
        <f>'Dashboard &amp; Optimisation'!$B$18*U1141</f>
        <v/>
      </c>
      <c r="U1141" s="34">
        <f>MIN(1, S1141/M1141)</f>
        <v/>
      </c>
      <c r="V1141" s="34">
        <f>N1141/(N1141+O1141)</f>
        <v/>
      </c>
      <c r="W1141" s="34">
        <f>U1141*V1141</f>
        <v/>
      </c>
      <c r="X1141" s="32">
        <f>T1141/N1141</f>
        <v/>
      </c>
      <c r="Y1141" s="35">
        <f>IF(W1141=MAXIFS(W$2:W$3601, A$2:A$3601, A1141, B$2:B$3601, B1141), "OPTIMAL", "")</f>
        <v/>
      </c>
    </row>
    <row r="1142" ht="20" customHeight="1">
      <c r="A1142" s="21" t="n">
        <v>4</v>
      </c>
      <c r="B1142" s="21" t="n">
        <v>40</v>
      </c>
      <c r="C1142" s="22" t="n">
        <v>85</v>
      </c>
      <c r="D1142" s="22" t="n">
        <v>3</v>
      </c>
      <c r="E1142" s="23" t="n">
        <v>0</v>
      </c>
      <c r="F1142" s="22" t="n">
        <v>0</v>
      </c>
      <c r="G1142" s="23" t="inlineStr">
        <is>
          <t>Oui</t>
        </is>
      </c>
      <c r="H1142" s="23" t="inlineStr">
        <is>
          <t>ON</t>
        </is>
      </c>
      <c r="I1142" s="24" t="n">
        <v>994.4885628369005</v>
      </c>
      <c r="J1142" s="24" t="n">
        <v>4850.441664768843</v>
      </c>
      <c r="K1142" s="24" t="n">
        <v>2726.851851851852</v>
      </c>
      <c r="L1142" s="24" t="n">
        <v>150</v>
      </c>
      <c r="M1142" s="24">
        <f>I1142+J1142+K1142+L1142</f>
        <v/>
      </c>
      <c r="N1142" s="24">
        <f>M1142*'Dashboard &amp; Optimisation'!$B$18/('Dashboard &amp; Optimisation'!$B$16/3.6)</f>
        <v/>
      </c>
      <c r="O1142" s="24" t="n">
        <v>698.8934466747362</v>
      </c>
      <c r="P1142" s="25" t="n">
        <v>0.4953095672830083</v>
      </c>
      <c r="Q1142" s="26" t="n">
        <v>0.2</v>
      </c>
      <c r="R1142" s="24" t="n">
        <v>676.2161013009803</v>
      </c>
      <c r="S1142" s="24">
        <f>R1142*IF(A1142=4, 2.0, 3.0)</f>
        <v/>
      </c>
      <c r="T1142" s="22">
        <f>'Dashboard &amp; Optimisation'!$B$18*U1142</f>
        <v/>
      </c>
      <c r="U1142" s="27">
        <f>MIN(1, S1142/M1142)</f>
        <v/>
      </c>
      <c r="V1142" s="27">
        <f>N1142/(N1142+O1142)</f>
        <v/>
      </c>
      <c r="W1142" s="27">
        <f>U1142*V1142</f>
        <v/>
      </c>
      <c r="X1142" s="25">
        <f>T1142/N1142</f>
        <v/>
      </c>
      <c r="Y1142" s="28">
        <f>IF(W1142=MAXIFS(W$2:W$3601, A$2:A$3601, A1142, B$2:B$3601, B1142), "OPTIMAL", "")</f>
        <v/>
      </c>
    </row>
    <row r="1143" ht="20" customHeight="1">
      <c r="A1143" s="29" t="n">
        <v>4</v>
      </c>
      <c r="B1143" s="29" t="n">
        <v>40</v>
      </c>
      <c r="C1143" s="30" t="n">
        <v>85</v>
      </c>
      <c r="D1143" s="30" t="n">
        <v>3</v>
      </c>
      <c r="E1143" s="6" t="n">
        <v>0</v>
      </c>
      <c r="F1143" s="30" t="n">
        <v>0</v>
      </c>
      <c r="G1143" s="6" t="inlineStr">
        <is>
          <t>Oui</t>
        </is>
      </c>
      <c r="H1143" s="6" t="inlineStr">
        <is>
          <t>OFF</t>
        </is>
      </c>
      <c r="I1143" s="31" t="n">
        <v>994.4885628369005</v>
      </c>
      <c r="J1143" s="31" t="n">
        <v>4850.441664768843</v>
      </c>
      <c r="K1143" s="31" t="n">
        <v>2726.851851851852</v>
      </c>
      <c r="L1143" s="31" t="n">
        <v>150</v>
      </c>
      <c r="M1143" s="31">
        <f>I1143+J1143+K1143+L1143</f>
        <v/>
      </c>
      <c r="N1143" s="31">
        <f>M1143*'Dashboard &amp; Optimisation'!$B$18/('Dashboard &amp; Optimisation'!$B$16/3.6)</f>
        <v/>
      </c>
      <c r="O1143" s="31" t="n">
        <v>698.8934466747362</v>
      </c>
      <c r="P1143" s="32" t="n">
        <v>0.869791786322762</v>
      </c>
      <c r="Q1143" s="33" t="n">
        <v>0.2</v>
      </c>
      <c r="R1143" s="31" t="n">
        <v>385.076416898818</v>
      </c>
      <c r="S1143" s="31">
        <f>R1143*IF(A1143=4, 2.0, 3.0)</f>
        <v/>
      </c>
      <c r="T1143" s="30">
        <f>'Dashboard &amp; Optimisation'!$B$18*U1143</f>
        <v/>
      </c>
      <c r="U1143" s="34">
        <f>MIN(1, S1143/M1143)</f>
        <v/>
      </c>
      <c r="V1143" s="34">
        <f>N1143/(N1143+O1143)</f>
        <v/>
      </c>
      <c r="W1143" s="34">
        <f>U1143*V1143</f>
        <v/>
      </c>
      <c r="X1143" s="32">
        <f>T1143/N1143</f>
        <v/>
      </c>
      <c r="Y1143" s="35">
        <f>IF(W1143=MAXIFS(W$2:W$3601, A$2:A$3601, A1143, B$2:B$3601, B1143), "OPTIMAL", "")</f>
        <v/>
      </c>
    </row>
    <row r="1144" ht="20" customHeight="1">
      <c r="A1144" s="21" t="n">
        <v>4</v>
      </c>
      <c r="B1144" s="21" t="n">
        <v>40</v>
      </c>
      <c r="C1144" s="22" t="n">
        <v>85</v>
      </c>
      <c r="D1144" s="22" t="n">
        <v>3</v>
      </c>
      <c r="E1144" s="23" t="n">
        <v>0</v>
      </c>
      <c r="F1144" s="22" t="n">
        <v>0</v>
      </c>
      <c r="G1144" s="23" t="inlineStr">
        <is>
          <t>Non</t>
        </is>
      </c>
      <c r="H1144" s="23" t="inlineStr">
        <is>
          <t>ON</t>
        </is>
      </c>
      <c r="I1144" s="24" t="n">
        <v>994.4885628369005</v>
      </c>
      <c r="J1144" s="24" t="n">
        <v>4850.441664768843</v>
      </c>
      <c r="K1144" s="24" t="n">
        <v>2726.851851851852</v>
      </c>
      <c r="L1144" s="24" t="n">
        <v>150</v>
      </c>
      <c r="M1144" s="24">
        <f>I1144+J1144+K1144+L1144</f>
        <v/>
      </c>
      <c r="N1144" s="24">
        <f>M1144*'Dashboard &amp; Optimisation'!$B$18/('Dashboard &amp; Optimisation'!$B$16/3.6)</f>
        <v/>
      </c>
      <c r="O1144" s="24" t="n">
        <v>698.8934466747362</v>
      </c>
      <c r="P1144" s="25" t="n">
        <v>0.4915647450926108</v>
      </c>
      <c r="Q1144" s="26" t="n">
        <v>0.2</v>
      </c>
      <c r="R1144" s="24" t="n">
        <v>681.3676283112807</v>
      </c>
      <c r="S1144" s="24">
        <f>R1144*IF(A1144=4, 2.0, 3.0)</f>
        <v/>
      </c>
      <c r="T1144" s="22">
        <f>'Dashboard &amp; Optimisation'!$B$18*U1144</f>
        <v/>
      </c>
      <c r="U1144" s="27">
        <f>MIN(1, S1144/M1144)</f>
        <v/>
      </c>
      <c r="V1144" s="27">
        <f>N1144/(N1144+O1144)</f>
        <v/>
      </c>
      <c r="W1144" s="27">
        <f>U1144*V1144</f>
        <v/>
      </c>
      <c r="X1144" s="25">
        <f>T1144/N1144</f>
        <v/>
      </c>
      <c r="Y1144" s="28">
        <f>IF(W1144=MAXIFS(W$2:W$3601, A$2:A$3601, A1144, B$2:B$3601, B1144), "OPTIMAL", "")</f>
        <v/>
      </c>
    </row>
    <row r="1145" ht="20" customHeight="1">
      <c r="A1145" s="29" t="n">
        <v>4</v>
      </c>
      <c r="B1145" s="29" t="n">
        <v>40</v>
      </c>
      <c r="C1145" s="30" t="n">
        <v>85</v>
      </c>
      <c r="D1145" s="30" t="n">
        <v>3</v>
      </c>
      <c r="E1145" s="6" t="n">
        <v>0</v>
      </c>
      <c r="F1145" s="30" t="n">
        <v>0</v>
      </c>
      <c r="G1145" s="6" t="inlineStr">
        <is>
          <t>Non</t>
        </is>
      </c>
      <c r="H1145" s="6" t="inlineStr">
        <is>
          <t>OFF</t>
        </is>
      </c>
      <c r="I1145" s="31" t="n">
        <v>994.4885628369005</v>
      </c>
      <c r="J1145" s="31" t="n">
        <v>4850.441664768843</v>
      </c>
      <c r="K1145" s="31" t="n">
        <v>2726.851851851852</v>
      </c>
      <c r="L1145" s="31" t="n">
        <v>150</v>
      </c>
      <c r="M1145" s="31">
        <f>I1145+J1145+K1145+L1145</f>
        <v/>
      </c>
      <c r="N1145" s="31">
        <f>M1145*'Dashboard &amp; Optimisation'!$B$18/('Dashboard &amp; Optimisation'!$B$16/3.6)</f>
        <v/>
      </c>
      <c r="O1145" s="31" t="n">
        <v>698.8934466747362</v>
      </c>
      <c r="P1145" s="32" t="n">
        <v>0.8660469641323645</v>
      </c>
      <c r="Q1145" s="33" t="n">
        <v>0.2</v>
      </c>
      <c r="R1145" s="31" t="n">
        <v>386.7415029400191</v>
      </c>
      <c r="S1145" s="31">
        <f>R1145*IF(A1145=4, 2.0, 3.0)</f>
        <v/>
      </c>
      <c r="T1145" s="30">
        <f>'Dashboard &amp; Optimisation'!$B$18*U1145</f>
        <v/>
      </c>
      <c r="U1145" s="34">
        <f>MIN(1, S1145/M1145)</f>
        <v/>
      </c>
      <c r="V1145" s="34">
        <f>N1145/(N1145+O1145)</f>
        <v/>
      </c>
      <c r="W1145" s="34">
        <f>U1145*V1145</f>
        <v/>
      </c>
      <c r="X1145" s="32">
        <f>T1145/N1145</f>
        <v/>
      </c>
      <c r="Y1145" s="35">
        <f>IF(W1145=MAXIFS(W$2:W$3601, A$2:A$3601, A1145, B$2:B$3601, B1145), "OPTIMAL", "")</f>
        <v/>
      </c>
    </row>
    <row r="1146" ht="20" customHeight="1">
      <c r="A1146" s="21" t="n">
        <v>4</v>
      </c>
      <c r="B1146" s="21" t="n">
        <v>40</v>
      </c>
      <c r="C1146" s="22" t="n">
        <v>85</v>
      </c>
      <c r="D1146" s="22" t="n">
        <v>3</v>
      </c>
      <c r="E1146" s="23" t="n">
        <v>4</v>
      </c>
      <c r="F1146" s="22" t="n">
        <v>1.5</v>
      </c>
      <c r="G1146" s="23" t="inlineStr">
        <is>
          <t>Oui</t>
        </is>
      </c>
      <c r="H1146" s="23" t="inlineStr">
        <is>
          <t>ON</t>
        </is>
      </c>
      <c r="I1146" s="24" t="n">
        <v>994.4885628369005</v>
      </c>
      <c r="J1146" s="24" t="n">
        <v>4850.441664768843</v>
      </c>
      <c r="K1146" s="24" t="n">
        <v>2726.851851851852</v>
      </c>
      <c r="L1146" s="24" t="n">
        <v>150</v>
      </c>
      <c r="M1146" s="24">
        <f>I1146+J1146+K1146+L1146</f>
        <v/>
      </c>
      <c r="N1146" s="24">
        <f>M1146*'Dashboard &amp; Optimisation'!$B$18/('Dashboard &amp; Optimisation'!$B$16/3.6)</f>
        <v/>
      </c>
      <c r="O1146" s="24" t="n">
        <v>990.0389566362916</v>
      </c>
      <c r="P1146" s="25" t="n">
        <v>0.07960669836162382</v>
      </c>
      <c r="Q1146" s="26" t="n">
        <v>8.12180634212946</v>
      </c>
      <c r="R1146" s="24" t="n">
        <v>4376.681550579376</v>
      </c>
      <c r="S1146" s="24">
        <f>R1146*IF(A1146=4, 2.0, 3.0)</f>
        <v/>
      </c>
      <c r="T1146" s="22">
        <f>'Dashboard &amp; Optimisation'!$B$18*U1146</f>
        <v/>
      </c>
      <c r="U1146" s="27">
        <f>MIN(1, S1146/M1146)</f>
        <v/>
      </c>
      <c r="V1146" s="27">
        <f>N1146/(N1146+O1146)</f>
        <v/>
      </c>
      <c r="W1146" s="27">
        <f>U1146*V1146</f>
        <v/>
      </c>
      <c r="X1146" s="25">
        <f>T1146/N1146</f>
        <v/>
      </c>
      <c r="Y1146" s="28">
        <f>IF(W1146=MAXIFS(W$2:W$3601, A$2:A$3601, A1146, B$2:B$3601, B1146), "OPTIMAL", "")</f>
        <v/>
      </c>
    </row>
    <row r="1147" ht="20" customHeight="1">
      <c r="A1147" s="29" t="n">
        <v>4</v>
      </c>
      <c r="B1147" s="29" t="n">
        <v>40</v>
      </c>
      <c r="C1147" s="30" t="n">
        <v>85</v>
      </c>
      <c r="D1147" s="30" t="n">
        <v>3</v>
      </c>
      <c r="E1147" s="6" t="n">
        <v>4</v>
      </c>
      <c r="F1147" s="30" t="n">
        <v>1.5</v>
      </c>
      <c r="G1147" s="6" t="inlineStr">
        <is>
          <t>Oui</t>
        </is>
      </c>
      <c r="H1147" s="6" t="inlineStr">
        <is>
          <t>OFF</t>
        </is>
      </c>
      <c r="I1147" s="31" t="n">
        <v>994.4885628369005</v>
      </c>
      <c r="J1147" s="31" t="n">
        <v>4850.441664768843</v>
      </c>
      <c r="K1147" s="31" t="n">
        <v>2726.851851851852</v>
      </c>
      <c r="L1147" s="31" t="n">
        <v>150</v>
      </c>
      <c r="M1147" s="31">
        <f>I1147+J1147+K1147+L1147</f>
        <v/>
      </c>
      <c r="N1147" s="31">
        <f>M1147*'Dashboard &amp; Optimisation'!$B$18/('Dashboard &amp; Optimisation'!$B$16/3.6)</f>
        <v/>
      </c>
      <c r="O1147" s="31" t="n">
        <v>990.0389566362916</v>
      </c>
      <c r="P1147" s="32" t="n">
        <v>0.3420549766963435</v>
      </c>
      <c r="Q1147" s="33" t="n">
        <v>8.12180634212946</v>
      </c>
      <c r="R1147" s="31" t="n">
        <v>1018.588214640003</v>
      </c>
      <c r="S1147" s="31">
        <f>R1147*IF(A1147=4, 2.0, 3.0)</f>
        <v/>
      </c>
      <c r="T1147" s="30">
        <f>'Dashboard &amp; Optimisation'!$B$18*U1147</f>
        <v/>
      </c>
      <c r="U1147" s="34">
        <f>MIN(1, S1147/M1147)</f>
        <v/>
      </c>
      <c r="V1147" s="34">
        <f>N1147/(N1147+O1147)</f>
        <v/>
      </c>
      <c r="W1147" s="34">
        <f>U1147*V1147</f>
        <v/>
      </c>
      <c r="X1147" s="32">
        <f>T1147/N1147</f>
        <v/>
      </c>
      <c r="Y1147" s="35">
        <f>IF(W1147=MAXIFS(W$2:W$3601, A$2:A$3601, A1147, B$2:B$3601, B1147), "OPTIMAL", "")</f>
        <v/>
      </c>
    </row>
    <row r="1148" ht="20" customHeight="1">
      <c r="A1148" s="21" t="n">
        <v>4</v>
      </c>
      <c r="B1148" s="21" t="n">
        <v>40</v>
      </c>
      <c r="C1148" s="22" t="n">
        <v>85</v>
      </c>
      <c r="D1148" s="22" t="n">
        <v>3</v>
      </c>
      <c r="E1148" s="23" t="n">
        <v>4</v>
      </c>
      <c r="F1148" s="22" t="n">
        <v>1.5</v>
      </c>
      <c r="G1148" s="23" t="inlineStr">
        <is>
          <t>Non</t>
        </is>
      </c>
      <c r="H1148" s="23" t="inlineStr">
        <is>
          <t>ON</t>
        </is>
      </c>
      <c r="I1148" s="24" t="n">
        <v>994.4885628369005</v>
      </c>
      <c r="J1148" s="24" t="n">
        <v>4850.441664768843</v>
      </c>
      <c r="K1148" s="24" t="n">
        <v>2726.851851851852</v>
      </c>
      <c r="L1148" s="24" t="n">
        <v>150</v>
      </c>
      <c r="M1148" s="24">
        <f>I1148+J1148+K1148+L1148</f>
        <v/>
      </c>
      <c r="N1148" s="24">
        <f>M1148*'Dashboard &amp; Optimisation'!$B$18/('Dashboard &amp; Optimisation'!$B$16/3.6)</f>
        <v/>
      </c>
      <c r="O1148" s="24" t="n">
        <v>990.0389566362916</v>
      </c>
      <c r="P1148" s="25" t="n">
        <v>0.07586187617122628</v>
      </c>
      <c r="Q1148" s="26" t="n">
        <v>8.12180634212946</v>
      </c>
      <c r="R1148" s="24" t="n">
        <v>4592.730704886078</v>
      </c>
      <c r="S1148" s="24">
        <f>R1148*IF(A1148=4, 2.0, 3.0)</f>
        <v/>
      </c>
      <c r="T1148" s="22">
        <f>'Dashboard &amp; Optimisation'!$B$18*U1148</f>
        <v/>
      </c>
      <c r="U1148" s="27">
        <f>MIN(1, S1148/M1148)</f>
        <v/>
      </c>
      <c r="V1148" s="27">
        <f>N1148/(N1148+O1148)</f>
        <v/>
      </c>
      <c r="W1148" s="27">
        <f>U1148*V1148</f>
        <v/>
      </c>
      <c r="X1148" s="25">
        <f>T1148/N1148</f>
        <v/>
      </c>
      <c r="Y1148" s="28">
        <f>IF(W1148=MAXIFS(W$2:W$3601, A$2:A$3601, A1148, B$2:B$3601, B1148), "OPTIMAL", "")</f>
        <v/>
      </c>
    </row>
    <row r="1149" ht="20" customHeight="1">
      <c r="A1149" s="29" t="n">
        <v>4</v>
      </c>
      <c r="B1149" s="29" t="n">
        <v>40</v>
      </c>
      <c r="C1149" s="30" t="n">
        <v>85</v>
      </c>
      <c r="D1149" s="30" t="n">
        <v>3</v>
      </c>
      <c r="E1149" s="6" t="n">
        <v>4</v>
      </c>
      <c r="F1149" s="30" t="n">
        <v>1.5</v>
      </c>
      <c r="G1149" s="6" t="inlineStr">
        <is>
          <t>Non</t>
        </is>
      </c>
      <c r="H1149" s="6" t="inlineStr">
        <is>
          <t>OFF</t>
        </is>
      </c>
      <c r="I1149" s="31" t="n">
        <v>994.4885628369005</v>
      </c>
      <c r="J1149" s="31" t="n">
        <v>4850.441664768843</v>
      </c>
      <c r="K1149" s="31" t="n">
        <v>2726.851851851852</v>
      </c>
      <c r="L1149" s="31" t="n">
        <v>150</v>
      </c>
      <c r="M1149" s="31">
        <f>I1149+J1149+K1149+L1149</f>
        <v/>
      </c>
      <c r="N1149" s="31">
        <f>M1149*'Dashboard &amp; Optimisation'!$B$18/('Dashboard &amp; Optimisation'!$B$16/3.6)</f>
        <v/>
      </c>
      <c r="O1149" s="31" t="n">
        <v>990.0389566362916</v>
      </c>
      <c r="P1149" s="32" t="n">
        <v>0.338310154505946</v>
      </c>
      <c r="Q1149" s="33" t="n">
        <v>8.12180634212946</v>
      </c>
      <c r="R1149" s="31" t="n">
        <v>1029.863169583734</v>
      </c>
      <c r="S1149" s="31">
        <f>R1149*IF(A1149=4, 2.0, 3.0)</f>
        <v/>
      </c>
      <c r="T1149" s="30">
        <f>'Dashboard &amp; Optimisation'!$B$18*U1149</f>
        <v/>
      </c>
      <c r="U1149" s="34">
        <f>MIN(1, S1149/M1149)</f>
        <v/>
      </c>
      <c r="V1149" s="34">
        <f>N1149/(N1149+O1149)</f>
        <v/>
      </c>
      <c r="W1149" s="34">
        <f>U1149*V1149</f>
        <v/>
      </c>
      <c r="X1149" s="32">
        <f>T1149/N1149</f>
        <v/>
      </c>
      <c r="Y1149" s="35">
        <f>IF(W1149=MAXIFS(W$2:W$3601, A$2:A$3601, A1149, B$2:B$3601, B1149), "OPTIMAL", "")</f>
        <v/>
      </c>
    </row>
    <row r="1150" ht="20" customHeight="1">
      <c r="A1150" s="21" t="n">
        <v>4</v>
      </c>
      <c r="B1150" s="21" t="n">
        <v>40</v>
      </c>
      <c r="C1150" s="22" t="n">
        <v>85</v>
      </c>
      <c r="D1150" s="22" t="n">
        <v>3</v>
      </c>
      <c r="E1150" s="23" t="n">
        <v>4</v>
      </c>
      <c r="F1150" s="22" t="n">
        <v>2</v>
      </c>
      <c r="G1150" s="23" t="inlineStr">
        <is>
          <t>Oui</t>
        </is>
      </c>
      <c r="H1150" s="23" t="inlineStr">
        <is>
          <t>ON</t>
        </is>
      </c>
      <c r="I1150" s="24" t="n">
        <v>994.4885628369005</v>
      </c>
      <c r="J1150" s="24" t="n">
        <v>4850.441664768843</v>
      </c>
      <c r="K1150" s="24" t="n">
        <v>2726.851851851852</v>
      </c>
      <c r="L1150" s="24" t="n">
        <v>150</v>
      </c>
      <c r="M1150" s="24">
        <f>I1150+J1150+K1150+L1150</f>
        <v/>
      </c>
      <c r="N1150" s="24">
        <f>M1150*'Dashboard &amp; Optimisation'!$B$18/('Dashboard &amp; Optimisation'!$B$16/3.6)</f>
        <v/>
      </c>
      <c r="O1150" s="24" t="n">
        <v>1092.364841765265</v>
      </c>
      <c r="P1150" s="25" t="n">
        <v>0.07745426381627818</v>
      </c>
      <c r="Q1150" s="26" t="n">
        <v>10.76240845617261</v>
      </c>
      <c r="R1150" s="24" t="n">
        <v>4559.461593278985</v>
      </c>
      <c r="S1150" s="24">
        <f>R1150*IF(A1150=4, 2.0, 3.0)</f>
        <v/>
      </c>
      <c r="T1150" s="22">
        <f>'Dashboard &amp; Optimisation'!$B$18*U1150</f>
        <v/>
      </c>
      <c r="U1150" s="27">
        <f>MIN(1, S1150/M1150)</f>
        <v/>
      </c>
      <c r="V1150" s="27">
        <f>N1150/(N1150+O1150)</f>
        <v/>
      </c>
      <c r="W1150" s="27">
        <f>U1150*V1150</f>
        <v/>
      </c>
      <c r="X1150" s="25">
        <f>T1150/N1150</f>
        <v/>
      </c>
      <c r="Y1150" s="28">
        <f>IF(W1150=MAXIFS(W$2:W$3601, A$2:A$3601, A1150, B$2:B$3601, B1150), "OPTIMAL", "")</f>
        <v/>
      </c>
    </row>
    <row r="1151" ht="20" customHeight="1">
      <c r="A1151" s="29" t="n">
        <v>4</v>
      </c>
      <c r="B1151" s="29" t="n">
        <v>40</v>
      </c>
      <c r="C1151" s="30" t="n">
        <v>85</v>
      </c>
      <c r="D1151" s="30" t="n">
        <v>3</v>
      </c>
      <c r="E1151" s="6" t="n">
        <v>4</v>
      </c>
      <c r="F1151" s="30" t="n">
        <v>2</v>
      </c>
      <c r="G1151" s="6" t="inlineStr">
        <is>
          <t>Oui</t>
        </is>
      </c>
      <c r="H1151" s="6" t="inlineStr">
        <is>
          <t>OFF</t>
        </is>
      </c>
      <c r="I1151" s="31" t="n">
        <v>994.4885628369005</v>
      </c>
      <c r="J1151" s="31" t="n">
        <v>4850.441664768843</v>
      </c>
      <c r="K1151" s="31" t="n">
        <v>2726.851851851852</v>
      </c>
      <c r="L1151" s="31" t="n">
        <v>150</v>
      </c>
      <c r="M1151" s="31">
        <f>I1151+J1151+K1151+L1151</f>
        <v/>
      </c>
      <c r="N1151" s="31">
        <f>M1151*'Dashboard &amp; Optimisation'!$B$18/('Dashboard &amp; Optimisation'!$B$16/3.6)</f>
        <v/>
      </c>
      <c r="O1151" s="31" t="n">
        <v>1092.364841765265</v>
      </c>
      <c r="P1151" s="32" t="n">
        <v>0.3412849921114681</v>
      </c>
      <c r="Q1151" s="33" t="n">
        <v>10.76240845617261</v>
      </c>
      <c r="R1151" s="31" t="n">
        <v>1034.764930391886</v>
      </c>
      <c r="S1151" s="31">
        <f>R1151*IF(A1151=4, 2.0, 3.0)</f>
        <v/>
      </c>
      <c r="T1151" s="30">
        <f>'Dashboard &amp; Optimisation'!$B$18*U1151</f>
        <v/>
      </c>
      <c r="U1151" s="34">
        <f>MIN(1, S1151/M1151)</f>
        <v/>
      </c>
      <c r="V1151" s="34">
        <f>N1151/(N1151+O1151)</f>
        <v/>
      </c>
      <c r="W1151" s="34">
        <f>U1151*V1151</f>
        <v/>
      </c>
      <c r="X1151" s="32">
        <f>T1151/N1151</f>
        <v/>
      </c>
      <c r="Y1151" s="35">
        <f>IF(W1151=MAXIFS(W$2:W$3601, A$2:A$3601, A1151, B$2:B$3601, B1151), "OPTIMAL", "")</f>
        <v/>
      </c>
    </row>
    <row r="1152" ht="20" customHeight="1">
      <c r="A1152" s="21" t="n">
        <v>4</v>
      </c>
      <c r="B1152" s="21" t="n">
        <v>40</v>
      </c>
      <c r="C1152" s="22" t="n">
        <v>85</v>
      </c>
      <c r="D1152" s="22" t="n">
        <v>3</v>
      </c>
      <c r="E1152" s="23" t="n">
        <v>4</v>
      </c>
      <c r="F1152" s="22" t="n">
        <v>2</v>
      </c>
      <c r="G1152" s="23" t="inlineStr">
        <is>
          <t>Non</t>
        </is>
      </c>
      <c r="H1152" s="23" t="inlineStr">
        <is>
          <t>ON</t>
        </is>
      </c>
      <c r="I1152" s="24" t="n">
        <v>994.4885628369005</v>
      </c>
      <c r="J1152" s="24" t="n">
        <v>4850.441664768843</v>
      </c>
      <c r="K1152" s="24" t="n">
        <v>2726.851851851852</v>
      </c>
      <c r="L1152" s="24" t="n">
        <v>150</v>
      </c>
      <c r="M1152" s="24">
        <f>I1152+J1152+K1152+L1152</f>
        <v/>
      </c>
      <c r="N1152" s="24">
        <f>M1152*'Dashboard &amp; Optimisation'!$B$18/('Dashboard &amp; Optimisation'!$B$16/3.6)</f>
        <v/>
      </c>
      <c r="O1152" s="24" t="n">
        <v>1092.364841765265</v>
      </c>
      <c r="P1152" s="25" t="n">
        <v>0.07370944162588064</v>
      </c>
      <c r="Q1152" s="26" t="n">
        <v>10.76240845617261</v>
      </c>
      <c r="R1152" s="24" t="n">
        <v>4791.105906058331</v>
      </c>
      <c r="S1152" s="24">
        <f>R1152*IF(A1152=4, 2.0, 3.0)</f>
        <v/>
      </c>
      <c r="T1152" s="22">
        <f>'Dashboard &amp; Optimisation'!$B$18*U1152</f>
        <v/>
      </c>
      <c r="U1152" s="27">
        <f>MIN(1, S1152/M1152)</f>
        <v/>
      </c>
      <c r="V1152" s="27">
        <f>N1152/(N1152+O1152)</f>
        <v/>
      </c>
      <c r="W1152" s="27">
        <f>U1152*V1152</f>
        <v/>
      </c>
      <c r="X1152" s="25">
        <f>T1152/N1152</f>
        <v/>
      </c>
      <c r="Y1152" s="28">
        <f>IF(W1152=MAXIFS(W$2:W$3601, A$2:A$3601, A1152, B$2:B$3601, B1152), "OPTIMAL", "")</f>
        <v/>
      </c>
    </row>
    <row r="1153" ht="20" customHeight="1">
      <c r="A1153" s="29" t="n">
        <v>4</v>
      </c>
      <c r="B1153" s="29" t="n">
        <v>40</v>
      </c>
      <c r="C1153" s="30" t="n">
        <v>85</v>
      </c>
      <c r="D1153" s="30" t="n">
        <v>3</v>
      </c>
      <c r="E1153" s="6" t="n">
        <v>4</v>
      </c>
      <c r="F1153" s="30" t="n">
        <v>2</v>
      </c>
      <c r="G1153" s="6" t="inlineStr">
        <is>
          <t>Non</t>
        </is>
      </c>
      <c r="H1153" s="6" t="inlineStr">
        <is>
          <t>OFF</t>
        </is>
      </c>
      <c r="I1153" s="31" t="n">
        <v>994.4885628369005</v>
      </c>
      <c r="J1153" s="31" t="n">
        <v>4850.441664768843</v>
      </c>
      <c r="K1153" s="31" t="n">
        <v>2726.851851851852</v>
      </c>
      <c r="L1153" s="31" t="n">
        <v>150</v>
      </c>
      <c r="M1153" s="31">
        <f>I1153+J1153+K1153+L1153</f>
        <v/>
      </c>
      <c r="N1153" s="31">
        <f>M1153*'Dashboard &amp; Optimisation'!$B$18/('Dashboard &amp; Optimisation'!$B$16/3.6)</f>
        <v/>
      </c>
      <c r="O1153" s="31" t="n">
        <v>1092.364841765265</v>
      </c>
      <c r="P1153" s="32" t="n">
        <v>0.3375401699210706</v>
      </c>
      <c r="Q1153" s="33" t="n">
        <v>10.76240845617261</v>
      </c>
      <c r="R1153" s="31" t="n">
        <v>1046.245077107706</v>
      </c>
      <c r="S1153" s="31">
        <f>R1153*IF(A1153=4, 2.0, 3.0)</f>
        <v/>
      </c>
      <c r="T1153" s="30">
        <f>'Dashboard &amp; Optimisation'!$B$18*U1153</f>
        <v/>
      </c>
      <c r="U1153" s="34">
        <f>MIN(1, S1153/M1153)</f>
        <v/>
      </c>
      <c r="V1153" s="34">
        <f>N1153/(N1153+O1153)</f>
        <v/>
      </c>
      <c r="W1153" s="34">
        <f>U1153*V1153</f>
        <v/>
      </c>
      <c r="X1153" s="32">
        <f>T1153/N1153</f>
        <v/>
      </c>
      <c r="Y1153" s="35">
        <f>IF(W1153=MAXIFS(W$2:W$3601, A$2:A$3601, A1153, B$2:B$3601, B1153), "OPTIMAL", "")</f>
        <v/>
      </c>
    </row>
    <row r="1154" ht="20" customHeight="1">
      <c r="A1154" s="21" t="n">
        <v>4</v>
      </c>
      <c r="B1154" s="21" t="n">
        <v>40</v>
      </c>
      <c r="C1154" s="22" t="n">
        <v>85</v>
      </c>
      <c r="D1154" s="22" t="n">
        <v>3</v>
      </c>
      <c r="E1154" s="23" t="n">
        <v>8</v>
      </c>
      <c r="F1154" s="22" t="n">
        <v>1.5</v>
      </c>
      <c r="G1154" s="23" t="inlineStr">
        <is>
          <t>Oui</t>
        </is>
      </c>
      <c r="H1154" s="23" t="inlineStr">
        <is>
          <t>ON</t>
        </is>
      </c>
      <c r="I1154" s="24" t="n">
        <v>994.4885628369005</v>
      </c>
      <c r="J1154" s="24" t="n">
        <v>4850.441664768843</v>
      </c>
      <c r="K1154" s="24" t="n">
        <v>2726.851851851852</v>
      </c>
      <c r="L1154" s="24" t="n">
        <v>150</v>
      </c>
      <c r="M1154" s="24">
        <f>I1154+J1154+K1154+L1154</f>
        <v/>
      </c>
      <c r="N1154" s="24">
        <f>M1154*'Dashboard &amp; Optimisation'!$B$18/('Dashboard &amp; Optimisation'!$B$16/3.6)</f>
        <v/>
      </c>
      <c r="O1154" s="24" t="n">
        <v>1305.596431496836</v>
      </c>
      <c r="P1154" s="25" t="n">
        <v>0.05973432874252066</v>
      </c>
      <c r="Q1154" s="26" t="n">
        <v>16.04361268425892</v>
      </c>
      <c r="R1154" s="24" t="n">
        <v>6077.243136972667</v>
      </c>
      <c r="S1154" s="24">
        <f>R1154*IF(A1154=4, 2.0, 3.0)</f>
        <v/>
      </c>
      <c r="T1154" s="22">
        <f>'Dashboard &amp; Optimisation'!$B$18*U1154</f>
        <v/>
      </c>
      <c r="U1154" s="27">
        <f>MIN(1, S1154/M1154)</f>
        <v/>
      </c>
      <c r="V1154" s="27">
        <f>N1154/(N1154+O1154)</f>
        <v/>
      </c>
      <c r="W1154" s="27">
        <f>U1154*V1154</f>
        <v/>
      </c>
      <c r="X1154" s="25">
        <f>T1154/N1154</f>
        <v/>
      </c>
      <c r="Y1154" s="28">
        <f>IF(W1154=MAXIFS(W$2:W$3601, A$2:A$3601, A1154, B$2:B$3601, B1154), "OPTIMAL", "")</f>
        <v/>
      </c>
    </row>
    <row r="1155" ht="20" customHeight="1">
      <c r="A1155" s="29" t="n">
        <v>4</v>
      </c>
      <c r="B1155" s="29" t="n">
        <v>40</v>
      </c>
      <c r="C1155" s="30" t="n">
        <v>85</v>
      </c>
      <c r="D1155" s="30" t="n">
        <v>3</v>
      </c>
      <c r="E1155" s="6" t="n">
        <v>8</v>
      </c>
      <c r="F1155" s="30" t="n">
        <v>1.5</v>
      </c>
      <c r="G1155" s="6" t="inlineStr">
        <is>
          <t>Oui</t>
        </is>
      </c>
      <c r="H1155" s="6" t="inlineStr">
        <is>
          <t>OFF</t>
        </is>
      </c>
      <c r="I1155" s="31" t="n">
        <v>994.4885628369005</v>
      </c>
      <c r="J1155" s="31" t="n">
        <v>4850.441664768843</v>
      </c>
      <c r="K1155" s="31" t="n">
        <v>2726.851851851852</v>
      </c>
      <c r="L1155" s="31" t="n">
        <v>150</v>
      </c>
      <c r="M1155" s="31">
        <f>I1155+J1155+K1155+L1155</f>
        <v/>
      </c>
      <c r="N1155" s="31">
        <f>M1155*'Dashboard &amp; Optimisation'!$B$18/('Dashboard &amp; Optimisation'!$B$16/3.6)</f>
        <v/>
      </c>
      <c r="O1155" s="31" t="n">
        <v>1305.596431496836</v>
      </c>
      <c r="P1155" s="32" t="n">
        <v>0.2617453366738331</v>
      </c>
      <c r="Q1155" s="33" t="n">
        <v>16.04361268425892</v>
      </c>
      <c r="R1155" s="31" t="n">
        <v>1386.920752840462</v>
      </c>
      <c r="S1155" s="31">
        <f>R1155*IF(A1155=4, 2.0, 3.0)</f>
        <v/>
      </c>
      <c r="T1155" s="30">
        <f>'Dashboard &amp; Optimisation'!$B$18*U1155</f>
        <v/>
      </c>
      <c r="U1155" s="34">
        <f>MIN(1, S1155/M1155)</f>
        <v/>
      </c>
      <c r="V1155" s="34">
        <f>N1155/(N1155+O1155)</f>
        <v/>
      </c>
      <c r="W1155" s="34">
        <f>U1155*V1155</f>
        <v/>
      </c>
      <c r="X1155" s="32">
        <f>T1155/N1155</f>
        <v/>
      </c>
      <c r="Y1155" s="35">
        <f>IF(W1155=MAXIFS(W$2:W$3601, A$2:A$3601, A1155, B$2:B$3601, B1155), "OPTIMAL", "")</f>
        <v/>
      </c>
    </row>
    <row r="1156" ht="20" customHeight="1">
      <c r="A1156" s="21" t="n">
        <v>4</v>
      </c>
      <c r="B1156" s="21" t="n">
        <v>40</v>
      </c>
      <c r="C1156" s="22" t="n">
        <v>85</v>
      </c>
      <c r="D1156" s="22" t="n">
        <v>3</v>
      </c>
      <c r="E1156" s="23" t="n">
        <v>8</v>
      </c>
      <c r="F1156" s="22" t="n">
        <v>1.5</v>
      </c>
      <c r="G1156" s="23" t="inlineStr">
        <is>
          <t>Non</t>
        </is>
      </c>
      <c r="H1156" s="23" t="inlineStr">
        <is>
          <t>ON</t>
        </is>
      </c>
      <c r="I1156" s="24" t="n">
        <v>994.4885628369005</v>
      </c>
      <c r="J1156" s="24" t="n">
        <v>4850.441664768843</v>
      </c>
      <c r="K1156" s="24" t="n">
        <v>2726.851851851852</v>
      </c>
      <c r="L1156" s="24" t="n">
        <v>150</v>
      </c>
      <c r="M1156" s="24">
        <f>I1156+J1156+K1156+L1156</f>
        <v/>
      </c>
      <c r="N1156" s="24">
        <f>M1156*'Dashboard &amp; Optimisation'!$B$18/('Dashboard &amp; Optimisation'!$B$16/3.6)</f>
        <v/>
      </c>
      <c r="O1156" s="24" t="n">
        <v>1305.596431496836</v>
      </c>
      <c r="P1156" s="25" t="n">
        <v>0.05598950655212312</v>
      </c>
      <c r="Q1156" s="26" t="n">
        <v>16.04361268425892</v>
      </c>
      <c r="R1156" s="24" t="n">
        <v>6483.715641505098</v>
      </c>
      <c r="S1156" s="24">
        <f>R1156*IF(A1156=4, 2.0, 3.0)</f>
        <v/>
      </c>
      <c r="T1156" s="22">
        <f>'Dashboard &amp; Optimisation'!$B$18*U1156</f>
        <v/>
      </c>
      <c r="U1156" s="27">
        <f>MIN(1, S1156/M1156)</f>
        <v/>
      </c>
      <c r="V1156" s="27">
        <f>N1156/(N1156+O1156)</f>
        <v/>
      </c>
      <c r="W1156" s="27">
        <f>U1156*V1156</f>
        <v/>
      </c>
      <c r="X1156" s="25">
        <f>T1156/N1156</f>
        <v/>
      </c>
      <c r="Y1156" s="28">
        <f>IF(W1156=MAXIFS(W$2:W$3601, A$2:A$3601, A1156, B$2:B$3601, B1156), "OPTIMAL", "")</f>
        <v/>
      </c>
    </row>
    <row r="1157" ht="20" customHeight="1">
      <c r="A1157" s="29" t="n">
        <v>4</v>
      </c>
      <c r="B1157" s="29" t="n">
        <v>40</v>
      </c>
      <c r="C1157" s="30" t="n">
        <v>85</v>
      </c>
      <c r="D1157" s="30" t="n">
        <v>3</v>
      </c>
      <c r="E1157" s="6" t="n">
        <v>8</v>
      </c>
      <c r="F1157" s="30" t="n">
        <v>1.5</v>
      </c>
      <c r="G1157" s="6" t="inlineStr">
        <is>
          <t>Non</t>
        </is>
      </c>
      <c r="H1157" s="6" t="inlineStr">
        <is>
          <t>OFF</t>
        </is>
      </c>
      <c r="I1157" s="31" t="n">
        <v>994.4885628369005</v>
      </c>
      <c r="J1157" s="31" t="n">
        <v>4850.441664768843</v>
      </c>
      <c r="K1157" s="31" t="n">
        <v>2726.851851851852</v>
      </c>
      <c r="L1157" s="31" t="n">
        <v>150</v>
      </c>
      <c r="M1157" s="31">
        <f>I1157+J1157+K1157+L1157</f>
        <v/>
      </c>
      <c r="N1157" s="31">
        <f>M1157*'Dashboard &amp; Optimisation'!$B$18/('Dashboard &amp; Optimisation'!$B$16/3.6)</f>
        <v/>
      </c>
      <c r="O1157" s="31" t="n">
        <v>1305.596431496836</v>
      </c>
      <c r="P1157" s="32" t="n">
        <v>0.2580005144834356</v>
      </c>
      <c r="Q1157" s="33" t="n">
        <v>16.04361268425892</v>
      </c>
      <c r="R1157" s="31" t="n">
        <v>1407.051610416303</v>
      </c>
      <c r="S1157" s="31">
        <f>R1157*IF(A1157=4, 2.0, 3.0)</f>
        <v/>
      </c>
      <c r="T1157" s="30">
        <f>'Dashboard &amp; Optimisation'!$B$18*U1157</f>
        <v/>
      </c>
      <c r="U1157" s="34">
        <f>MIN(1, S1157/M1157)</f>
        <v/>
      </c>
      <c r="V1157" s="34">
        <f>N1157/(N1157+O1157)</f>
        <v/>
      </c>
      <c r="W1157" s="34">
        <f>U1157*V1157</f>
        <v/>
      </c>
      <c r="X1157" s="32">
        <f>T1157/N1157</f>
        <v/>
      </c>
      <c r="Y1157" s="35">
        <f>IF(W1157=MAXIFS(W$2:W$3601, A$2:A$3601, A1157, B$2:B$3601, B1157), "OPTIMAL", "")</f>
        <v/>
      </c>
    </row>
    <row r="1158" ht="20" customHeight="1">
      <c r="A1158" s="21" t="n">
        <v>4</v>
      </c>
      <c r="B1158" s="21" t="n">
        <v>40</v>
      </c>
      <c r="C1158" s="22" t="n">
        <v>85</v>
      </c>
      <c r="D1158" s="22" t="n">
        <v>3</v>
      </c>
      <c r="E1158" s="23" t="n">
        <v>8</v>
      </c>
      <c r="F1158" s="22" t="n">
        <v>2</v>
      </c>
      <c r="G1158" s="23" t="inlineStr">
        <is>
          <t>Oui</t>
        </is>
      </c>
      <c r="H1158" s="23" t="inlineStr">
        <is>
          <t>ON</t>
        </is>
      </c>
      <c r="I1158" s="24" t="n">
        <v>994.4885628369005</v>
      </c>
      <c r="J1158" s="24" t="n">
        <v>4850.441664768843</v>
      </c>
      <c r="K1158" s="24" t="n">
        <v>2726.851851851852</v>
      </c>
      <c r="L1158" s="24" t="n">
        <v>150</v>
      </c>
      <c r="M1158" s="24">
        <f>I1158+J1158+K1158+L1158</f>
        <v/>
      </c>
      <c r="N1158" s="24">
        <f>M1158*'Dashboard &amp; Optimisation'!$B$18/('Dashboard &amp; Optimisation'!$B$16/3.6)</f>
        <v/>
      </c>
      <c r="O1158" s="24" t="n">
        <v>1531.090097730214</v>
      </c>
      <c r="P1158" s="25" t="n">
        <v>0.05880657801325698</v>
      </c>
      <c r="Q1158" s="26" t="n">
        <v>21.32481691234523</v>
      </c>
      <c r="R1158" s="24" t="n">
        <v>6350.615029394927</v>
      </c>
      <c r="S1158" s="24">
        <f>R1158*IF(A1158=4, 2.0, 3.0)</f>
        <v/>
      </c>
      <c r="T1158" s="22">
        <f>'Dashboard &amp; Optimisation'!$B$18*U1158</f>
        <v/>
      </c>
      <c r="U1158" s="27">
        <f>MIN(1, S1158/M1158)</f>
        <v/>
      </c>
      <c r="V1158" s="27">
        <f>N1158/(N1158+O1158)</f>
        <v/>
      </c>
      <c r="W1158" s="27">
        <f>U1158*V1158</f>
        <v/>
      </c>
      <c r="X1158" s="25">
        <f>T1158/N1158</f>
        <v/>
      </c>
      <c r="Y1158" s="28">
        <f>IF(W1158=MAXIFS(W$2:W$3601, A$2:A$3601, A1158, B$2:B$3601, B1158), "OPTIMAL", "")</f>
        <v/>
      </c>
    </row>
    <row r="1159" ht="20" customHeight="1">
      <c r="A1159" s="29" t="n">
        <v>4</v>
      </c>
      <c r="B1159" s="29" t="n">
        <v>40</v>
      </c>
      <c r="C1159" s="30" t="n">
        <v>85</v>
      </c>
      <c r="D1159" s="30" t="n">
        <v>3</v>
      </c>
      <c r="E1159" s="6" t="n">
        <v>8</v>
      </c>
      <c r="F1159" s="30" t="n">
        <v>2</v>
      </c>
      <c r="G1159" s="6" t="inlineStr">
        <is>
          <t>Oui</t>
        </is>
      </c>
      <c r="H1159" s="6" t="inlineStr">
        <is>
          <t>OFF</t>
        </is>
      </c>
      <c r="I1159" s="31" t="n">
        <v>994.4885628369005</v>
      </c>
      <c r="J1159" s="31" t="n">
        <v>4850.441664768843</v>
      </c>
      <c r="K1159" s="31" t="n">
        <v>2726.851851851852</v>
      </c>
      <c r="L1159" s="31" t="n">
        <v>150</v>
      </c>
      <c r="M1159" s="31">
        <f>I1159+J1159+K1159+L1159</f>
        <v/>
      </c>
      <c r="N1159" s="31">
        <f>M1159*'Dashboard &amp; Optimisation'!$B$18/('Dashboard &amp; Optimisation'!$B$16/3.6)</f>
        <v/>
      </c>
      <c r="O1159" s="31" t="n">
        <v>1531.090097730214</v>
      </c>
      <c r="P1159" s="32" t="n">
        <v>0.2624608866531549</v>
      </c>
      <c r="Q1159" s="33" t="n">
        <v>21.32481691234523</v>
      </c>
      <c r="R1159" s="31" t="n">
        <v>1422.9089252899</v>
      </c>
      <c r="S1159" s="31">
        <f>R1159*IF(A1159=4, 2.0, 3.0)</f>
        <v/>
      </c>
      <c r="T1159" s="30">
        <f>'Dashboard &amp; Optimisation'!$B$18*U1159</f>
        <v/>
      </c>
      <c r="U1159" s="34">
        <f>MIN(1, S1159/M1159)</f>
        <v/>
      </c>
      <c r="V1159" s="34">
        <f>N1159/(N1159+O1159)</f>
        <v/>
      </c>
      <c r="W1159" s="34">
        <f>U1159*V1159</f>
        <v/>
      </c>
      <c r="X1159" s="32">
        <f>T1159/N1159</f>
        <v/>
      </c>
      <c r="Y1159" s="35">
        <f>IF(W1159=MAXIFS(W$2:W$3601, A$2:A$3601, A1159, B$2:B$3601, B1159), "OPTIMAL", "")</f>
        <v/>
      </c>
    </row>
    <row r="1160" ht="20" customHeight="1">
      <c r="A1160" s="21" t="n">
        <v>4</v>
      </c>
      <c r="B1160" s="21" t="n">
        <v>40</v>
      </c>
      <c r="C1160" s="22" t="n">
        <v>85</v>
      </c>
      <c r="D1160" s="22" t="n">
        <v>3</v>
      </c>
      <c r="E1160" s="23" t="n">
        <v>8</v>
      </c>
      <c r="F1160" s="22" t="n">
        <v>2</v>
      </c>
      <c r="G1160" s="23" t="inlineStr">
        <is>
          <t>Non</t>
        </is>
      </c>
      <c r="H1160" s="23" t="inlineStr">
        <is>
          <t>ON</t>
        </is>
      </c>
      <c r="I1160" s="24" t="n">
        <v>994.4885628369005</v>
      </c>
      <c r="J1160" s="24" t="n">
        <v>4850.441664768843</v>
      </c>
      <c r="K1160" s="24" t="n">
        <v>2726.851851851852</v>
      </c>
      <c r="L1160" s="24" t="n">
        <v>150</v>
      </c>
      <c r="M1160" s="24">
        <f>I1160+J1160+K1160+L1160</f>
        <v/>
      </c>
      <c r="N1160" s="24">
        <f>M1160*'Dashboard &amp; Optimisation'!$B$18/('Dashboard &amp; Optimisation'!$B$16/3.6)</f>
        <v/>
      </c>
      <c r="O1160" s="24" t="n">
        <v>1531.090097730214</v>
      </c>
      <c r="P1160" s="25" t="n">
        <v>0.05506175582285944</v>
      </c>
      <c r="Q1160" s="26" t="n">
        <v>21.32481691234523</v>
      </c>
      <c r="R1160" s="24" t="n">
        <v>6782.52868215347</v>
      </c>
      <c r="S1160" s="24">
        <f>R1160*IF(A1160=4, 2.0, 3.0)</f>
        <v/>
      </c>
      <c r="T1160" s="22">
        <f>'Dashboard &amp; Optimisation'!$B$18*U1160</f>
        <v/>
      </c>
      <c r="U1160" s="27">
        <f>MIN(1, S1160/M1160)</f>
        <v/>
      </c>
      <c r="V1160" s="27">
        <f>N1160/(N1160+O1160)</f>
        <v/>
      </c>
      <c r="W1160" s="27">
        <f>U1160*V1160</f>
        <v/>
      </c>
      <c r="X1160" s="25">
        <f>T1160/N1160</f>
        <v/>
      </c>
      <c r="Y1160" s="28">
        <f>IF(W1160=MAXIFS(W$2:W$3601, A$2:A$3601, A1160, B$2:B$3601, B1160), "OPTIMAL", "")</f>
        <v/>
      </c>
    </row>
    <row r="1161" ht="20" customHeight="1">
      <c r="A1161" s="29" t="n">
        <v>4</v>
      </c>
      <c r="B1161" s="29" t="n">
        <v>40</v>
      </c>
      <c r="C1161" s="30" t="n">
        <v>85</v>
      </c>
      <c r="D1161" s="30" t="n">
        <v>3</v>
      </c>
      <c r="E1161" s="6" t="n">
        <v>8</v>
      </c>
      <c r="F1161" s="30" t="n">
        <v>2</v>
      </c>
      <c r="G1161" s="6" t="inlineStr">
        <is>
          <t>Non</t>
        </is>
      </c>
      <c r="H1161" s="6" t="inlineStr">
        <is>
          <t>OFF</t>
        </is>
      </c>
      <c r="I1161" s="31" t="n">
        <v>994.4885628369005</v>
      </c>
      <c r="J1161" s="31" t="n">
        <v>4850.441664768843</v>
      </c>
      <c r="K1161" s="31" t="n">
        <v>2726.851851851852</v>
      </c>
      <c r="L1161" s="31" t="n">
        <v>150</v>
      </c>
      <c r="M1161" s="31">
        <f>I1161+J1161+K1161+L1161</f>
        <v/>
      </c>
      <c r="N1161" s="31">
        <f>M1161*'Dashboard &amp; Optimisation'!$B$18/('Dashboard &amp; Optimisation'!$B$16/3.6)</f>
        <v/>
      </c>
      <c r="O1161" s="31" t="n">
        <v>1531.090097730214</v>
      </c>
      <c r="P1161" s="32" t="n">
        <v>0.2587160644627574</v>
      </c>
      <c r="Q1161" s="33" t="n">
        <v>21.32481691234523</v>
      </c>
      <c r="R1161" s="31" t="n">
        <v>1443.505021359178</v>
      </c>
      <c r="S1161" s="31">
        <f>R1161*IF(A1161=4, 2.0, 3.0)</f>
        <v/>
      </c>
      <c r="T1161" s="30">
        <f>'Dashboard &amp; Optimisation'!$B$18*U1161</f>
        <v/>
      </c>
      <c r="U1161" s="34">
        <f>MIN(1, S1161/M1161)</f>
        <v/>
      </c>
      <c r="V1161" s="34">
        <f>N1161/(N1161+O1161)</f>
        <v/>
      </c>
      <c r="W1161" s="34">
        <f>U1161*V1161</f>
        <v/>
      </c>
      <c r="X1161" s="32">
        <f>T1161/N1161</f>
        <v/>
      </c>
      <c r="Y1161" s="35">
        <f>IF(W1161=MAXIFS(W$2:W$3601, A$2:A$3601, A1161, B$2:B$3601, B1161), "OPTIMAL", "")</f>
        <v/>
      </c>
    </row>
    <row r="1162" ht="20" customHeight="1">
      <c r="A1162" s="21" t="n">
        <v>4</v>
      </c>
      <c r="B1162" s="21" t="n">
        <v>40</v>
      </c>
      <c r="C1162" s="22" t="n">
        <v>90</v>
      </c>
      <c r="D1162" s="22" t="n">
        <v>2</v>
      </c>
      <c r="E1162" s="23" t="n">
        <v>0</v>
      </c>
      <c r="F1162" s="22" t="n">
        <v>0</v>
      </c>
      <c r="G1162" s="23" t="inlineStr">
        <is>
          <t>Oui</t>
        </is>
      </c>
      <c r="H1162" s="23" t="inlineStr">
        <is>
          <t>ON</t>
        </is>
      </c>
      <c r="I1162" s="24" t="n">
        <v>994.4885628369005</v>
      </c>
      <c r="J1162" s="24" t="n">
        <v>4850.441664768843</v>
      </c>
      <c r="K1162" s="24" t="n">
        <v>2726.851851851852</v>
      </c>
      <c r="L1162" s="24" t="n">
        <v>150</v>
      </c>
      <c r="M1162" s="24">
        <f>I1162+J1162+K1162+L1162</f>
        <v/>
      </c>
      <c r="N1162" s="24">
        <f>M1162*'Dashboard &amp; Optimisation'!$B$18/('Dashboard &amp; Optimisation'!$B$16/3.6)</f>
        <v/>
      </c>
      <c r="O1162" s="24" t="n">
        <v>421.9352496200303</v>
      </c>
      <c r="P1162" s="25" t="n">
        <v>0.4898788424939614</v>
      </c>
      <c r="Q1162" s="26" t="n">
        <v>0.2</v>
      </c>
      <c r="R1162" s="24" t="n">
        <v>576.9402273894285</v>
      </c>
      <c r="S1162" s="24">
        <f>R1162*IF(A1162=4, 2.0, 3.0)</f>
        <v/>
      </c>
      <c r="T1162" s="22">
        <f>'Dashboard &amp; Optimisation'!$B$18*U1162</f>
        <v/>
      </c>
      <c r="U1162" s="27">
        <f>MIN(1, S1162/M1162)</f>
        <v/>
      </c>
      <c r="V1162" s="27">
        <f>N1162/(N1162+O1162)</f>
        <v/>
      </c>
      <c r="W1162" s="27">
        <f>U1162*V1162</f>
        <v/>
      </c>
      <c r="X1162" s="25">
        <f>T1162/N1162</f>
        <v/>
      </c>
      <c r="Y1162" s="28">
        <f>IF(W1162=MAXIFS(W$2:W$3601, A$2:A$3601, A1162, B$2:B$3601, B1162), "OPTIMAL", "")</f>
        <v/>
      </c>
    </row>
    <row r="1163" ht="20" customHeight="1">
      <c r="A1163" s="29" t="n">
        <v>4</v>
      </c>
      <c r="B1163" s="29" t="n">
        <v>40</v>
      </c>
      <c r="C1163" s="30" t="n">
        <v>90</v>
      </c>
      <c r="D1163" s="30" t="n">
        <v>2</v>
      </c>
      <c r="E1163" s="6" t="n">
        <v>0</v>
      </c>
      <c r="F1163" s="30" t="n">
        <v>0</v>
      </c>
      <c r="G1163" s="6" t="inlineStr">
        <is>
          <t>Oui</t>
        </is>
      </c>
      <c r="H1163" s="6" t="inlineStr">
        <is>
          <t>OFF</t>
        </is>
      </c>
      <c r="I1163" s="31" t="n">
        <v>994.4885628369005</v>
      </c>
      <c r="J1163" s="31" t="n">
        <v>4850.441664768843</v>
      </c>
      <c r="K1163" s="31" t="n">
        <v>2726.851851851852</v>
      </c>
      <c r="L1163" s="31" t="n">
        <v>150</v>
      </c>
      <c r="M1163" s="31">
        <f>I1163+J1163+K1163+L1163</f>
        <v/>
      </c>
      <c r="N1163" s="31">
        <f>M1163*'Dashboard &amp; Optimisation'!$B$18/('Dashboard &amp; Optimisation'!$B$16/3.6)</f>
        <v/>
      </c>
      <c r="O1163" s="31" t="n">
        <v>421.9352496200303</v>
      </c>
      <c r="P1163" s="32" t="n">
        <v>0.8435564938092843</v>
      </c>
      <c r="Q1163" s="33" t="n">
        <v>0.2</v>
      </c>
      <c r="R1163" s="31" t="n">
        <v>335.0466896478362</v>
      </c>
      <c r="S1163" s="31">
        <f>R1163*IF(A1163=4, 2.0, 3.0)</f>
        <v/>
      </c>
      <c r="T1163" s="30">
        <f>'Dashboard &amp; Optimisation'!$B$18*U1163</f>
        <v/>
      </c>
      <c r="U1163" s="34">
        <f>MIN(1, S1163/M1163)</f>
        <v/>
      </c>
      <c r="V1163" s="34">
        <f>N1163/(N1163+O1163)</f>
        <v/>
      </c>
      <c r="W1163" s="34">
        <f>U1163*V1163</f>
        <v/>
      </c>
      <c r="X1163" s="32">
        <f>T1163/N1163</f>
        <v/>
      </c>
      <c r="Y1163" s="35">
        <f>IF(W1163=MAXIFS(W$2:W$3601, A$2:A$3601, A1163, B$2:B$3601, B1163), "OPTIMAL", "")</f>
        <v/>
      </c>
    </row>
    <row r="1164" ht="20" customHeight="1">
      <c r="A1164" s="21" t="n">
        <v>4</v>
      </c>
      <c r="B1164" s="21" t="n">
        <v>40</v>
      </c>
      <c r="C1164" s="22" t="n">
        <v>90</v>
      </c>
      <c r="D1164" s="22" t="n">
        <v>2</v>
      </c>
      <c r="E1164" s="23" t="n">
        <v>0</v>
      </c>
      <c r="F1164" s="22" t="n">
        <v>0</v>
      </c>
      <c r="G1164" s="23" t="inlineStr">
        <is>
          <t>Non</t>
        </is>
      </c>
      <c r="H1164" s="23" t="inlineStr">
        <is>
          <t>ON</t>
        </is>
      </c>
      <c r="I1164" s="24" t="n">
        <v>994.4885628369005</v>
      </c>
      <c r="J1164" s="24" t="n">
        <v>4850.441664768843</v>
      </c>
      <c r="K1164" s="24" t="n">
        <v>2726.851851851852</v>
      </c>
      <c r="L1164" s="24" t="n">
        <v>150</v>
      </c>
      <c r="M1164" s="24">
        <f>I1164+J1164+K1164+L1164</f>
        <v/>
      </c>
      <c r="N1164" s="24">
        <f>M1164*'Dashboard &amp; Optimisation'!$B$18/('Dashboard &amp; Optimisation'!$B$16/3.6)</f>
        <v/>
      </c>
      <c r="O1164" s="24" t="n">
        <v>421.9352496200303</v>
      </c>
      <c r="P1164" s="25" t="n">
        <v>0.4863420659808082</v>
      </c>
      <c r="Q1164" s="26" t="n">
        <v>0.2</v>
      </c>
      <c r="R1164" s="24" t="n">
        <v>581.1358518037163</v>
      </c>
      <c r="S1164" s="24">
        <f>R1164*IF(A1164=4, 2.0, 3.0)</f>
        <v/>
      </c>
      <c r="T1164" s="22">
        <f>'Dashboard &amp; Optimisation'!$B$18*U1164</f>
        <v/>
      </c>
      <c r="U1164" s="27">
        <f>MIN(1, S1164/M1164)</f>
        <v/>
      </c>
      <c r="V1164" s="27">
        <f>N1164/(N1164+O1164)</f>
        <v/>
      </c>
      <c r="W1164" s="27">
        <f>U1164*V1164</f>
        <v/>
      </c>
      <c r="X1164" s="25">
        <f>T1164/N1164</f>
        <v/>
      </c>
      <c r="Y1164" s="28">
        <f>IF(W1164=MAXIFS(W$2:W$3601, A$2:A$3601, A1164, B$2:B$3601, B1164), "OPTIMAL", "")</f>
        <v/>
      </c>
    </row>
    <row r="1165" ht="20" customHeight="1">
      <c r="A1165" s="29" t="n">
        <v>4</v>
      </c>
      <c r="B1165" s="29" t="n">
        <v>40</v>
      </c>
      <c r="C1165" s="30" t="n">
        <v>90</v>
      </c>
      <c r="D1165" s="30" t="n">
        <v>2</v>
      </c>
      <c r="E1165" s="6" t="n">
        <v>0</v>
      </c>
      <c r="F1165" s="30" t="n">
        <v>0</v>
      </c>
      <c r="G1165" s="6" t="inlineStr">
        <is>
          <t>Non</t>
        </is>
      </c>
      <c r="H1165" s="6" t="inlineStr">
        <is>
          <t>OFF</t>
        </is>
      </c>
      <c r="I1165" s="31" t="n">
        <v>994.4885628369005</v>
      </c>
      <c r="J1165" s="31" t="n">
        <v>4850.441664768843</v>
      </c>
      <c r="K1165" s="31" t="n">
        <v>2726.851851851852</v>
      </c>
      <c r="L1165" s="31" t="n">
        <v>150</v>
      </c>
      <c r="M1165" s="31">
        <f>I1165+J1165+K1165+L1165</f>
        <v/>
      </c>
      <c r="N1165" s="31">
        <f>M1165*'Dashboard &amp; Optimisation'!$B$18/('Dashboard &amp; Optimisation'!$B$16/3.6)</f>
        <v/>
      </c>
      <c r="O1165" s="31" t="n">
        <v>421.9352496200303</v>
      </c>
      <c r="P1165" s="32" t="n">
        <v>0.8400197172961312</v>
      </c>
      <c r="Q1165" s="33" t="n">
        <v>0.2</v>
      </c>
      <c r="R1165" s="31" t="n">
        <v>336.4573532767453</v>
      </c>
      <c r="S1165" s="31">
        <f>R1165*IF(A1165=4, 2.0, 3.0)</f>
        <v/>
      </c>
      <c r="T1165" s="30">
        <f>'Dashboard &amp; Optimisation'!$B$18*U1165</f>
        <v/>
      </c>
      <c r="U1165" s="34">
        <f>MIN(1, S1165/M1165)</f>
        <v/>
      </c>
      <c r="V1165" s="34">
        <f>N1165/(N1165+O1165)</f>
        <v/>
      </c>
      <c r="W1165" s="34">
        <f>U1165*V1165</f>
        <v/>
      </c>
      <c r="X1165" s="32">
        <f>T1165/N1165</f>
        <v/>
      </c>
      <c r="Y1165" s="35">
        <f>IF(W1165=MAXIFS(W$2:W$3601, A$2:A$3601, A1165, B$2:B$3601, B1165), "OPTIMAL", "")</f>
        <v/>
      </c>
    </row>
    <row r="1166" ht="20" customHeight="1">
      <c r="A1166" s="21" t="n">
        <v>4</v>
      </c>
      <c r="B1166" s="21" t="n">
        <v>40</v>
      </c>
      <c r="C1166" s="22" t="n">
        <v>90</v>
      </c>
      <c r="D1166" s="22" t="n">
        <v>2</v>
      </c>
      <c r="E1166" s="23" t="n">
        <v>4</v>
      </c>
      <c r="F1166" s="22" t="n">
        <v>1.5</v>
      </c>
      <c r="G1166" s="23" t="inlineStr">
        <is>
          <t>Oui</t>
        </is>
      </c>
      <c r="H1166" s="23" t="inlineStr">
        <is>
          <t>ON</t>
        </is>
      </c>
      <c r="I1166" s="24" t="n">
        <v>994.4885628369005</v>
      </c>
      <c r="J1166" s="24" t="n">
        <v>4850.441664768843</v>
      </c>
      <c r="K1166" s="24" t="n">
        <v>2726.851851851852</v>
      </c>
      <c r="L1166" s="24" t="n">
        <v>150</v>
      </c>
      <c r="M1166" s="24">
        <f>I1166+J1166+K1166+L1166</f>
        <v/>
      </c>
      <c r="N1166" s="24">
        <f>M1166*'Dashboard &amp; Optimisation'!$B$18/('Dashboard &amp; Optimisation'!$B$16/3.6)</f>
        <v/>
      </c>
      <c r="O1166" s="24" t="n">
        <v>671.9965969514919</v>
      </c>
      <c r="P1166" s="25" t="n">
        <v>0.07759354469391215</v>
      </c>
      <c r="Q1166" s="26" t="n">
        <v>7.477008151491015</v>
      </c>
      <c r="R1166" s="24" t="n">
        <v>3776.64539819653</v>
      </c>
      <c r="S1166" s="24">
        <f>R1166*IF(A1166=4, 2.0, 3.0)</f>
        <v/>
      </c>
      <c r="T1166" s="22">
        <f>'Dashboard &amp; Optimisation'!$B$18*U1166</f>
        <v/>
      </c>
      <c r="U1166" s="27">
        <f>MIN(1, S1166/M1166)</f>
        <v/>
      </c>
      <c r="V1166" s="27">
        <f>N1166/(N1166+O1166)</f>
        <v/>
      </c>
      <c r="W1166" s="27">
        <f>U1166*V1166</f>
        <v/>
      </c>
      <c r="X1166" s="25">
        <f>T1166/N1166</f>
        <v/>
      </c>
      <c r="Y1166" s="28">
        <f>IF(W1166=MAXIFS(W$2:W$3601, A$2:A$3601, A1166, B$2:B$3601, B1166), "OPTIMAL", "")</f>
        <v/>
      </c>
    </row>
    <row r="1167" ht="20" customHeight="1">
      <c r="A1167" s="29" t="n">
        <v>4</v>
      </c>
      <c r="B1167" s="29" t="n">
        <v>40</v>
      </c>
      <c r="C1167" s="30" t="n">
        <v>90</v>
      </c>
      <c r="D1167" s="30" t="n">
        <v>2</v>
      </c>
      <c r="E1167" s="6" t="n">
        <v>4</v>
      </c>
      <c r="F1167" s="30" t="n">
        <v>1.5</v>
      </c>
      <c r="G1167" s="6" t="inlineStr">
        <is>
          <t>Oui</t>
        </is>
      </c>
      <c r="H1167" s="6" t="inlineStr">
        <is>
          <t>OFF</t>
        </is>
      </c>
      <c r="I1167" s="31" t="n">
        <v>994.4885628369005</v>
      </c>
      <c r="J1167" s="31" t="n">
        <v>4850.441664768843</v>
      </c>
      <c r="K1167" s="31" t="n">
        <v>2726.851851851852</v>
      </c>
      <c r="L1167" s="31" t="n">
        <v>150</v>
      </c>
      <c r="M1167" s="31">
        <f>I1167+J1167+K1167+L1167</f>
        <v/>
      </c>
      <c r="N1167" s="31">
        <f>M1167*'Dashboard &amp; Optimisation'!$B$18/('Dashboard &amp; Optimisation'!$B$16/3.6)</f>
        <v/>
      </c>
      <c r="O1167" s="31" t="n">
        <v>671.9965969514919</v>
      </c>
      <c r="P1167" s="32" t="n">
        <v>0.3296507660240217</v>
      </c>
      <c r="Q1167" s="33" t="n">
        <v>7.477008151491015</v>
      </c>
      <c r="R1167" s="31" t="n">
        <v>888.9507736701754</v>
      </c>
      <c r="S1167" s="31">
        <f>R1167*IF(A1167=4, 2.0, 3.0)</f>
        <v/>
      </c>
      <c r="T1167" s="30">
        <f>'Dashboard &amp; Optimisation'!$B$18*U1167</f>
        <v/>
      </c>
      <c r="U1167" s="34">
        <f>MIN(1, S1167/M1167)</f>
        <v/>
      </c>
      <c r="V1167" s="34">
        <f>N1167/(N1167+O1167)</f>
        <v/>
      </c>
      <c r="W1167" s="34">
        <f>U1167*V1167</f>
        <v/>
      </c>
      <c r="X1167" s="32">
        <f>T1167/N1167</f>
        <v/>
      </c>
      <c r="Y1167" s="35">
        <f>IF(W1167=MAXIFS(W$2:W$3601, A$2:A$3601, A1167, B$2:B$3601, B1167), "OPTIMAL", "")</f>
        <v/>
      </c>
    </row>
    <row r="1168" ht="20" customHeight="1">
      <c r="A1168" s="21" t="n">
        <v>4</v>
      </c>
      <c r="B1168" s="21" t="n">
        <v>40</v>
      </c>
      <c r="C1168" s="22" t="n">
        <v>90</v>
      </c>
      <c r="D1168" s="22" t="n">
        <v>2</v>
      </c>
      <c r="E1168" s="23" t="n">
        <v>4</v>
      </c>
      <c r="F1168" s="22" t="n">
        <v>1.5</v>
      </c>
      <c r="G1168" s="23" t="inlineStr">
        <is>
          <t>Non</t>
        </is>
      </c>
      <c r="H1168" s="23" t="inlineStr">
        <is>
          <t>ON</t>
        </is>
      </c>
      <c r="I1168" s="24" t="n">
        <v>994.4885628369005</v>
      </c>
      <c r="J1168" s="24" t="n">
        <v>4850.441664768843</v>
      </c>
      <c r="K1168" s="24" t="n">
        <v>2726.851851851852</v>
      </c>
      <c r="L1168" s="24" t="n">
        <v>150</v>
      </c>
      <c r="M1168" s="24">
        <f>I1168+J1168+K1168+L1168</f>
        <v/>
      </c>
      <c r="N1168" s="24">
        <f>M1168*'Dashboard &amp; Optimisation'!$B$18/('Dashboard &amp; Optimisation'!$B$16/3.6)</f>
        <v/>
      </c>
      <c r="O1168" s="24" t="n">
        <v>671.9965969514919</v>
      </c>
      <c r="P1168" s="25" t="n">
        <v>0.07405676818075892</v>
      </c>
      <c r="Q1168" s="26" t="n">
        <v>7.477008151491015</v>
      </c>
      <c r="R1168" s="24" t="n">
        <v>3957.009071510593</v>
      </c>
      <c r="S1168" s="24">
        <f>R1168*IF(A1168=4, 2.0, 3.0)</f>
        <v/>
      </c>
      <c r="T1168" s="22">
        <f>'Dashboard &amp; Optimisation'!$B$18*U1168</f>
        <v/>
      </c>
      <c r="U1168" s="27">
        <f>MIN(1, S1168/M1168)</f>
        <v/>
      </c>
      <c r="V1168" s="27">
        <f>N1168/(N1168+O1168)</f>
        <v/>
      </c>
      <c r="W1168" s="27">
        <f>U1168*V1168</f>
        <v/>
      </c>
      <c r="X1168" s="25">
        <f>T1168/N1168</f>
        <v/>
      </c>
      <c r="Y1168" s="28">
        <f>IF(W1168=MAXIFS(W$2:W$3601, A$2:A$3601, A1168, B$2:B$3601, B1168), "OPTIMAL", "")</f>
        <v/>
      </c>
    </row>
    <row r="1169" ht="20" customHeight="1">
      <c r="A1169" s="29" t="n">
        <v>4</v>
      </c>
      <c r="B1169" s="29" t="n">
        <v>40</v>
      </c>
      <c r="C1169" s="30" t="n">
        <v>90</v>
      </c>
      <c r="D1169" s="30" t="n">
        <v>2</v>
      </c>
      <c r="E1169" s="6" t="n">
        <v>4</v>
      </c>
      <c r="F1169" s="30" t="n">
        <v>1.5</v>
      </c>
      <c r="G1169" s="6" t="inlineStr">
        <is>
          <t>Non</t>
        </is>
      </c>
      <c r="H1169" s="6" t="inlineStr">
        <is>
          <t>OFF</t>
        </is>
      </c>
      <c r="I1169" s="31" t="n">
        <v>994.4885628369005</v>
      </c>
      <c r="J1169" s="31" t="n">
        <v>4850.441664768843</v>
      </c>
      <c r="K1169" s="31" t="n">
        <v>2726.851851851852</v>
      </c>
      <c r="L1169" s="31" t="n">
        <v>150</v>
      </c>
      <c r="M1169" s="31">
        <f>I1169+J1169+K1169+L1169</f>
        <v/>
      </c>
      <c r="N1169" s="31">
        <f>M1169*'Dashboard &amp; Optimisation'!$B$18/('Dashboard &amp; Optimisation'!$B$16/3.6)</f>
        <v/>
      </c>
      <c r="O1169" s="31" t="n">
        <v>671.9965969514919</v>
      </c>
      <c r="P1169" s="32" t="n">
        <v>0.3261139895108685</v>
      </c>
      <c r="Q1169" s="33" t="n">
        <v>7.477008151491015</v>
      </c>
      <c r="R1169" s="31" t="n">
        <v>898.5916364322474</v>
      </c>
      <c r="S1169" s="31">
        <f>R1169*IF(A1169=4, 2.0, 3.0)</f>
        <v/>
      </c>
      <c r="T1169" s="30">
        <f>'Dashboard &amp; Optimisation'!$B$18*U1169</f>
        <v/>
      </c>
      <c r="U1169" s="34">
        <f>MIN(1, S1169/M1169)</f>
        <v/>
      </c>
      <c r="V1169" s="34">
        <f>N1169/(N1169+O1169)</f>
        <v/>
      </c>
      <c r="W1169" s="34">
        <f>U1169*V1169</f>
        <v/>
      </c>
      <c r="X1169" s="32">
        <f>T1169/N1169</f>
        <v/>
      </c>
      <c r="Y1169" s="35">
        <f>IF(W1169=MAXIFS(W$2:W$3601, A$2:A$3601, A1169, B$2:B$3601, B1169), "OPTIMAL", "")</f>
        <v/>
      </c>
    </row>
    <row r="1170" ht="20" customHeight="1">
      <c r="A1170" s="21" t="n">
        <v>4</v>
      </c>
      <c r="B1170" s="21" t="n">
        <v>40</v>
      </c>
      <c r="C1170" s="22" t="n">
        <v>90</v>
      </c>
      <c r="D1170" s="22" t="n">
        <v>2</v>
      </c>
      <c r="E1170" s="23" t="n">
        <v>4</v>
      </c>
      <c r="F1170" s="22" t="n">
        <v>2</v>
      </c>
      <c r="G1170" s="23" t="inlineStr">
        <is>
          <t>Oui</t>
        </is>
      </c>
      <c r="H1170" s="23" t="inlineStr">
        <is>
          <t>ON</t>
        </is>
      </c>
      <c r="I1170" s="24" t="n">
        <v>994.4885628369005</v>
      </c>
      <c r="J1170" s="24" t="n">
        <v>4850.441664768843</v>
      </c>
      <c r="K1170" s="24" t="n">
        <v>2726.851851851852</v>
      </c>
      <c r="L1170" s="24" t="n">
        <v>150</v>
      </c>
      <c r="M1170" s="24">
        <f>I1170+J1170+K1170+L1170</f>
        <v/>
      </c>
      <c r="N1170" s="24">
        <f>M1170*'Dashboard &amp; Optimisation'!$B$18/('Dashboard &amp; Optimisation'!$B$16/3.6)</f>
        <v/>
      </c>
      <c r="O1170" s="24" t="n">
        <v>759.4957713575632</v>
      </c>
      <c r="P1170" s="25" t="n">
        <v>0.07521841927673642</v>
      </c>
      <c r="Q1170" s="26" t="n">
        <v>9.902677535321354</v>
      </c>
      <c r="R1170" s="24" t="n">
        <v>3944.336378686014</v>
      </c>
      <c r="S1170" s="24">
        <f>R1170*IF(A1170=4, 2.0, 3.0)</f>
        <v/>
      </c>
      <c r="T1170" s="22">
        <f>'Dashboard &amp; Optimisation'!$B$18*U1170</f>
        <v/>
      </c>
      <c r="U1170" s="27">
        <f>MIN(1, S1170/M1170)</f>
        <v/>
      </c>
      <c r="V1170" s="27">
        <f>N1170/(N1170+O1170)</f>
        <v/>
      </c>
      <c r="W1170" s="27">
        <f>U1170*V1170</f>
        <v/>
      </c>
      <c r="X1170" s="25">
        <f>T1170/N1170</f>
        <v/>
      </c>
      <c r="Y1170" s="28">
        <f>IF(W1170=MAXIFS(W$2:W$3601, A$2:A$3601, A1170, B$2:B$3601, B1170), "OPTIMAL", "")</f>
        <v/>
      </c>
    </row>
    <row r="1171" ht="20" customHeight="1">
      <c r="A1171" s="29" t="n">
        <v>4</v>
      </c>
      <c r="B1171" s="29" t="n">
        <v>40</v>
      </c>
      <c r="C1171" s="30" t="n">
        <v>90</v>
      </c>
      <c r="D1171" s="30" t="n">
        <v>2</v>
      </c>
      <c r="E1171" s="6" t="n">
        <v>4</v>
      </c>
      <c r="F1171" s="30" t="n">
        <v>2</v>
      </c>
      <c r="G1171" s="6" t="inlineStr">
        <is>
          <t>Oui</t>
        </is>
      </c>
      <c r="H1171" s="6" t="inlineStr">
        <is>
          <t>OFF</t>
        </is>
      </c>
      <c r="I1171" s="31" t="n">
        <v>994.4885628369005</v>
      </c>
      <c r="J1171" s="31" t="n">
        <v>4850.441664768843</v>
      </c>
      <c r="K1171" s="31" t="n">
        <v>2726.851851851852</v>
      </c>
      <c r="L1171" s="31" t="n">
        <v>150</v>
      </c>
      <c r="M1171" s="31">
        <f>I1171+J1171+K1171+L1171</f>
        <v/>
      </c>
      <c r="N1171" s="31">
        <f>M1171*'Dashboard &amp; Optimisation'!$B$18/('Dashboard &amp; Optimisation'!$B$16/3.6)</f>
        <v/>
      </c>
      <c r="O1171" s="31" t="n">
        <v>759.4957713575632</v>
      </c>
      <c r="P1171" s="32" t="n">
        <v>0.328550491855213</v>
      </c>
      <c r="Q1171" s="33" t="n">
        <v>9.902677535321354</v>
      </c>
      <c r="R1171" s="31" t="n">
        <v>903.017206960183</v>
      </c>
      <c r="S1171" s="31">
        <f>R1171*IF(A1171=4, 2.0, 3.0)</f>
        <v/>
      </c>
      <c r="T1171" s="30">
        <f>'Dashboard &amp; Optimisation'!$B$18*U1171</f>
        <v/>
      </c>
      <c r="U1171" s="34">
        <f>MIN(1, S1171/M1171)</f>
        <v/>
      </c>
      <c r="V1171" s="34">
        <f>N1171/(N1171+O1171)</f>
        <v/>
      </c>
      <c r="W1171" s="34">
        <f>U1171*V1171</f>
        <v/>
      </c>
      <c r="X1171" s="32">
        <f>T1171/N1171</f>
        <v/>
      </c>
      <c r="Y1171" s="35">
        <f>IF(W1171=MAXIFS(W$2:W$3601, A$2:A$3601, A1171, B$2:B$3601, B1171), "OPTIMAL", "")</f>
        <v/>
      </c>
    </row>
    <row r="1172" ht="20" customHeight="1">
      <c r="A1172" s="21" t="n">
        <v>4</v>
      </c>
      <c r="B1172" s="21" t="n">
        <v>40</v>
      </c>
      <c r="C1172" s="22" t="n">
        <v>90</v>
      </c>
      <c r="D1172" s="22" t="n">
        <v>2</v>
      </c>
      <c r="E1172" s="23" t="n">
        <v>4</v>
      </c>
      <c r="F1172" s="22" t="n">
        <v>2</v>
      </c>
      <c r="G1172" s="23" t="inlineStr">
        <is>
          <t>Non</t>
        </is>
      </c>
      <c r="H1172" s="23" t="inlineStr">
        <is>
          <t>ON</t>
        </is>
      </c>
      <c r="I1172" s="24" t="n">
        <v>994.4885628369005</v>
      </c>
      <c r="J1172" s="24" t="n">
        <v>4850.441664768843</v>
      </c>
      <c r="K1172" s="24" t="n">
        <v>2726.851851851852</v>
      </c>
      <c r="L1172" s="24" t="n">
        <v>150</v>
      </c>
      <c r="M1172" s="24">
        <f>I1172+J1172+K1172+L1172</f>
        <v/>
      </c>
      <c r="N1172" s="24">
        <f>M1172*'Dashboard &amp; Optimisation'!$B$18/('Dashboard &amp; Optimisation'!$B$16/3.6)</f>
        <v/>
      </c>
      <c r="O1172" s="24" t="n">
        <v>759.4957713575632</v>
      </c>
      <c r="P1172" s="25" t="n">
        <v>0.07168164276358319</v>
      </c>
      <c r="Q1172" s="26" t="n">
        <v>9.902677535321354</v>
      </c>
      <c r="R1172" s="24" t="n">
        <v>4138.950169975962</v>
      </c>
      <c r="S1172" s="24">
        <f>R1172*IF(A1172=4, 2.0, 3.0)</f>
        <v/>
      </c>
      <c r="T1172" s="22">
        <f>'Dashboard &amp; Optimisation'!$B$18*U1172</f>
        <v/>
      </c>
      <c r="U1172" s="27">
        <f>MIN(1, S1172/M1172)</f>
        <v/>
      </c>
      <c r="V1172" s="27">
        <f>N1172/(N1172+O1172)</f>
        <v/>
      </c>
      <c r="W1172" s="27">
        <f>U1172*V1172</f>
        <v/>
      </c>
      <c r="X1172" s="25">
        <f>T1172/N1172</f>
        <v/>
      </c>
      <c r="Y1172" s="28">
        <f>IF(W1172=MAXIFS(W$2:W$3601, A$2:A$3601, A1172, B$2:B$3601, B1172), "OPTIMAL", "")</f>
        <v/>
      </c>
    </row>
    <row r="1173" ht="20" customHeight="1">
      <c r="A1173" s="29" t="n">
        <v>4</v>
      </c>
      <c r="B1173" s="29" t="n">
        <v>40</v>
      </c>
      <c r="C1173" s="30" t="n">
        <v>90</v>
      </c>
      <c r="D1173" s="30" t="n">
        <v>2</v>
      </c>
      <c r="E1173" s="6" t="n">
        <v>4</v>
      </c>
      <c r="F1173" s="30" t="n">
        <v>2</v>
      </c>
      <c r="G1173" s="6" t="inlineStr">
        <is>
          <t>Non</t>
        </is>
      </c>
      <c r="H1173" s="6" t="inlineStr">
        <is>
          <t>OFF</t>
        </is>
      </c>
      <c r="I1173" s="31" t="n">
        <v>994.4885628369005</v>
      </c>
      <c r="J1173" s="31" t="n">
        <v>4850.441664768843</v>
      </c>
      <c r="K1173" s="31" t="n">
        <v>2726.851851851852</v>
      </c>
      <c r="L1173" s="31" t="n">
        <v>150</v>
      </c>
      <c r="M1173" s="31">
        <f>I1173+J1173+K1173+L1173</f>
        <v/>
      </c>
      <c r="N1173" s="31">
        <f>M1173*'Dashboard &amp; Optimisation'!$B$18/('Dashboard &amp; Optimisation'!$B$16/3.6)</f>
        <v/>
      </c>
      <c r="O1173" s="31" t="n">
        <v>759.4957713575632</v>
      </c>
      <c r="P1173" s="32" t="n">
        <v>0.3250137153420598</v>
      </c>
      <c r="Q1173" s="33" t="n">
        <v>9.902677535321354</v>
      </c>
      <c r="R1173" s="31" t="n">
        <v>912.8437770333527</v>
      </c>
      <c r="S1173" s="31">
        <f>R1173*IF(A1173=4, 2.0, 3.0)</f>
        <v/>
      </c>
      <c r="T1173" s="30">
        <f>'Dashboard &amp; Optimisation'!$B$18*U1173</f>
        <v/>
      </c>
      <c r="U1173" s="34">
        <f>MIN(1, S1173/M1173)</f>
        <v/>
      </c>
      <c r="V1173" s="34">
        <f>N1173/(N1173+O1173)</f>
        <v/>
      </c>
      <c r="W1173" s="34">
        <f>U1173*V1173</f>
        <v/>
      </c>
      <c r="X1173" s="32">
        <f>T1173/N1173</f>
        <v/>
      </c>
      <c r="Y1173" s="35">
        <f>IF(W1173=MAXIFS(W$2:W$3601, A$2:A$3601, A1173, B$2:B$3601, B1173), "OPTIMAL", "")</f>
        <v/>
      </c>
    </row>
    <row r="1174" ht="20" customHeight="1">
      <c r="A1174" s="21" t="n">
        <v>4</v>
      </c>
      <c r="B1174" s="21" t="n">
        <v>40</v>
      </c>
      <c r="C1174" s="22" t="n">
        <v>90</v>
      </c>
      <c r="D1174" s="22" t="n">
        <v>2</v>
      </c>
      <c r="E1174" s="23" t="n">
        <v>8</v>
      </c>
      <c r="F1174" s="22" t="n">
        <v>1.5</v>
      </c>
      <c r="G1174" s="23" t="inlineStr">
        <is>
          <t>Oui</t>
        </is>
      </c>
      <c r="H1174" s="23" t="inlineStr">
        <is>
          <t>ON</t>
        </is>
      </c>
      <c r="I1174" s="24" t="n">
        <v>994.4885628369005</v>
      </c>
      <c r="J1174" s="24" t="n">
        <v>4850.441664768843</v>
      </c>
      <c r="K1174" s="24" t="n">
        <v>2726.851851851852</v>
      </c>
      <c r="L1174" s="24" t="n">
        <v>150</v>
      </c>
      <c r="M1174" s="24">
        <f>I1174+J1174+K1174+L1174</f>
        <v/>
      </c>
      <c r="N1174" s="24">
        <f>M1174*'Dashboard &amp; Optimisation'!$B$18/('Dashboard &amp; Optimisation'!$B$16/3.6)</f>
        <v/>
      </c>
      <c r="O1174" s="24" t="n">
        <v>941.1878983302555</v>
      </c>
      <c r="P1174" s="25" t="n">
        <v>0.05835644876127537</v>
      </c>
      <c r="Q1174" s="26" t="n">
        <v>14.75401630298203</v>
      </c>
      <c r="R1174" s="24" t="n">
        <v>5213.688790740682</v>
      </c>
      <c r="S1174" s="24">
        <f>R1174*IF(A1174=4, 2.0, 3.0)</f>
        <v/>
      </c>
      <c r="T1174" s="22">
        <f>'Dashboard &amp; Optimisation'!$B$18*U1174</f>
        <v/>
      </c>
      <c r="U1174" s="27">
        <f>MIN(1, S1174/M1174)</f>
        <v/>
      </c>
      <c r="V1174" s="27">
        <f>N1174/(N1174+O1174)</f>
        <v/>
      </c>
      <c r="W1174" s="27">
        <f>U1174*V1174</f>
        <v/>
      </c>
      <c r="X1174" s="25">
        <f>T1174/N1174</f>
        <v/>
      </c>
      <c r="Y1174" s="28">
        <f>IF(W1174=MAXIFS(W$2:W$3601, A$2:A$3601, A1174, B$2:B$3601, B1174), "OPTIMAL", "")</f>
        <v/>
      </c>
    </row>
    <row r="1175" ht="20" customHeight="1">
      <c r="A1175" s="29" t="n">
        <v>4</v>
      </c>
      <c r="B1175" s="29" t="n">
        <v>40</v>
      </c>
      <c r="C1175" s="30" t="n">
        <v>90</v>
      </c>
      <c r="D1175" s="30" t="n">
        <v>2</v>
      </c>
      <c r="E1175" s="6" t="n">
        <v>8</v>
      </c>
      <c r="F1175" s="30" t="n">
        <v>1.5</v>
      </c>
      <c r="G1175" s="6" t="inlineStr">
        <is>
          <t>Oui</t>
        </is>
      </c>
      <c r="H1175" s="6" t="inlineStr">
        <is>
          <t>OFF</t>
        </is>
      </c>
      <c r="I1175" s="31" t="n">
        <v>994.4885628369005</v>
      </c>
      <c r="J1175" s="31" t="n">
        <v>4850.441664768843</v>
      </c>
      <c r="K1175" s="31" t="n">
        <v>2726.851851851852</v>
      </c>
      <c r="L1175" s="31" t="n">
        <v>150</v>
      </c>
      <c r="M1175" s="31">
        <f>I1175+J1175+K1175+L1175</f>
        <v/>
      </c>
      <c r="N1175" s="31">
        <f>M1175*'Dashboard &amp; Optimisation'!$B$18/('Dashboard &amp; Optimisation'!$B$16/3.6)</f>
        <v/>
      </c>
      <c r="O1175" s="31" t="n">
        <v>941.1878983302555</v>
      </c>
      <c r="P1175" s="32" t="n">
        <v>0.2541545323509655</v>
      </c>
      <c r="Q1175" s="33" t="n">
        <v>14.75401630298203</v>
      </c>
      <c r="R1175" s="31" t="n">
        <v>1197.11562866779</v>
      </c>
      <c r="S1175" s="31">
        <f>R1175*IF(A1175=4, 2.0, 3.0)</f>
        <v/>
      </c>
      <c r="T1175" s="30">
        <f>'Dashboard &amp; Optimisation'!$B$18*U1175</f>
        <v/>
      </c>
      <c r="U1175" s="34">
        <f>MIN(1, S1175/M1175)</f>
        <v/>
      </c>
      <c r="V1175" s="34">
        <f>N1175/(N1175+O1175)</f>
        <v/>
      </c>
      <c r="W1175" s="34">
        <f>U1175*V1175</f>
        <v/>
      </c>
      <c r="X1175" s="32">
        <f>T1175/N1175</f>
        <v/>
      </c>
      <c r="Y1175" s="35">
        <f>IF(W1175=MAXIFS(W$2:W$3601, A$2:A$3601, A1175, B$2:B$3601, B1175), "OPTIMAL", "")</f>
        <v/>
      </c>
    </row>
    <row r="1176" ht="20" customHeight="1">
      <c r="A1176" s="21" t="n">
        <v>4</v>
      </c>
      <c r="B1176" s="21" t="n">
        <v>40</v>
      </c>
      <c r="C1176" s="22" t="n">
        <v>90</v>
      </c>
      <c r="D1176" s="22" t="n">
        <v>2</v>
      </c>
      <c r="E1176" s="23" t="n">
        <v>8</v>
      </c>
      <c r="F1176" s="22" t="n">
        <v>1.5</v>
      </c>
      <c r="G1176" s="23" t="inlineStr">
        <is>
          <t>Non</t>
        </is>
      </c>
      <c r="H1176" s="23" t="inlineStr">
        <is>
          <t>ON</t>
        </is>
      </c>
      <c r="I1176" s="24" t="n">
        <v>994.4885628369005</v>
      </c>
      <c r="J1176" s="24" t="n">
        <v>4850.441664768843</v>
      </c>
      <c r="K1176" s="24" t="n">
        <v>2726.851851851852</v>
      </c>
      <c r="L1176" s="24" t="n">
        <v>150</v>
      </c>
      <c r="M1176" s="24">
        <f>I1176+J1176+K1176+L1176</f>
        <v/>
      </c>
      <c r="N1176" s="24">
        <f>M1176*'Dashboard &amp; Optimisation'!$B$18/('Dashboard &amp; Optimisation'!$B$16/3.6)</f>
        <v/>
      </c>
      <c r="O1176" s="24" t="n">
        <v>941.1878983302555</v>
      </c>
      <c r="P1176" s="25" t="n">
        <v>0.05481967224812215</v>
      </c>
      <c r="Q1176" s="26" t="n">
        <v>14.75401630298203</v>
      </c>
      <c r="R1176" s="24" t="n">
        <v>5550.058041153586</v>
      </c>
      <c r="S1176" s="24">
        <f>R1176*IF(A1176=4, 2.0, 3.0)</f>
        <v/>
      </c>
      <c r="T1176" s="22">
        <f>'Dashboard &amp; Optimisation'!$B$18*U1176</f>
        <v/>
      </c>
      <c r="U1176" s="27">
        <f>MIN(1, S1176/M1176)</f>
        <v/>
      </c>
      <c r="V1176" s="27">
        <f>N1176/(N1176+O1176)</f>
        <v/>
      </c>
      <c r="W1176" s="27">
        <f>U1176*V1176</f>
        <v/>
      </c>
      <c r="X1176" s="25">
        <f>T1176/N1176</f>
        <v/>
      </c>
      <c r="Y1176" s="28">
        <f>IF(W1176=MAXIFS(W$2:W$3601, A$2:A$3601, A1176, B$2:B$3601, B1176), "OPTIMAL", "")</f>
        <v/>
      </c>
    </row>
    <row r="1177" ht="20" customHeight="1">
      <c r="A1177" s="29" t="n">
        <v>4</v>
      </c>
      <c r="B1177" s="29" t="n">
        <v>40</v>
      </c>
      <c r="C1177" s="30" t="n">
        <v>90</v>
      </c>
      <c r="D1177" s="30" t="n">
        <v>2</v>
      </c>
      <c r="E1177" s="6" t="n">
        <v>8</v>
      </c>
      <c r="F1177" s="30" t="n">
        <v>1.5</v>
      </c>
      <c r="G1177" s="6" t="inlineStr">
        <is>
          <t>Non</t>
        </is>
      </c>
      <c r="H1177" s="6" t="inlineStr">
        <is>
          <t>OFF</t>
        </is>
      </c>
      <c r="I1177" s="31" t="n">
        <v>994.4885628369005</v>
      </c>
      <c r="J1177" s="31" t="n">
        <v>4850.441664768843</v>
      </c>
      <c r="K1177" s="31" t="n">
        <v>2726.851851851852</v>
      </c>
      <c r="L1177" s="31" t="n">
        <v>150</v>
      </c>
      <c r="M1177" s="31">
        <f>I1177+J1177+K1177+L1177</f>
        <v/>
      </c>
      <c r="N1177" s="31">
        <f>M1177*'Dashboard &amp; Optimisation'!$B$18/('Dashboard &amp; Optimisation'!$B$16/3.6)</f>
        <v/>
      </c>
      <c r="O1177" s="31" t="n">
        <v>941.1878983302555</v>
      </c>
      <c r="P1177" s="32" t="n">
        <v>0.2506177558378123</v>
      </c>
      <c r="Q1177" s="33" t="n">
        <v>14.75401630298203</v>
      </c>
      <c r="R1177" s="31" t="n">
        <v>1214.009605013748</v>
      </c>
      <c r="S1177" s="31">
        <f>R1177*IF(A1177=4, 2.0, 3.0)</f>
        <v/>
      </c>
      <c r="T1177" s="30">
        <f>'Dashboard &amp; Optimisation'!$B$18*U1177</f>
        <v/>
      </c>
      <c r="U1177" s="34">
        <f>MIN(1, S1177/M1177)</f>
        <v/>
      </c>
      <c r="V1177" s="34">
        <f>N1177/(N1177+O1177)</f>
        <v/>
      </c>
      <c r="W1177" s="34">
        <f>U1177*V1177</f>
        <v/>
      </c>
      <c r="X1177" s="32">
        <f>T1177/N1177</f>
        <v/>
      </c>
      <c r="Y1177" s="35">
        <f>IF(W1177=MAXIFS(W$2:W$3601, A$2:A$3601, A1177, B$2:B$3601, B1177), "OPTIMAL", "")</f>
        <v/>
      </c>
    </row>
    <row r="1178" ht="20" customHeight="1">
      <c r="A1178" s="21" t="n">
        <v>4</v>
      </c>
      <c r="B1178" s="21" t="n">
        <v>40</v>
      </c>
      <c r="C1178" s="22" t="n">
        <v>90</v>
      </c>
      <c r="D1178" s="22" t="n">
        <v>2</v>
      </c>
      <c r="E1178" s="23" t="n">
        <v>8</v>
      </c>
      <c r="F1178" s="22" t="n">
        <v>2</v>
      </c>
      <c r="G1178" s="23" t="inlineStr">
        <is>
          <t>Oui</t>
        </is>
      </c>
      <c r="H1178" s="23" t="inlineStr">
        <is>
          <t>ON</t>
        </is>
      </c>
      <c r="I1178" s="24" t="n">
        <v>994.4885628369005</v>
      </c>
      <c r="J1178" s="24" t="n">
        <v>4850.441664768843</v>
      </c>
      <c r="K1178" s="24" t="n">
        <v>2726.851851851852</v>
      </c>
      <c r="L1178" s="24" t="n">
        <v>150</v>
      </c>
      <c r="M1178" s="24">
        <f>I1178+J1178+K1178+L1178</f>
        <v/>
      </c>
      <c r="N1178" s="24">
        <f>M1178*'Dashboard &amp; Optimisation'!$B$18/('Dashboard &amp; Optimisation'!$B$16/3.6)</f>
        <v/>
      </c>
      <c r="O1178" s="24" t="n">
        <v>1132.388930586563</v>
      </c>
      <c r="P1178" s="25" t="n">
        <v>0.05730401653259074</v>
      </c>
      <c r="Q1178" s="26" t="n">
        <v>19.60535507064271</v>
      </c>
      <c r="R1178" s="24" t="n">
        <v>5448.377712522611</v>
      </c>
      <c r="S1178" s="24">
        <f>R1178*IF(A1178=4, 2.0, 3.0)</f>
        <v/>
      </c>
      <c r="T1178" s="22">
        <f>'Dashboard &amp; Optimisation'!$B$18*U1178</f>
        <v/>
      </c>
      <c r="U1178" s="27">
        <f>MIN(1, S1178/M1178)</f>
        <v/>
      </c>
      <c r="V1178" s="27">
        <f>N1178/(N1178+O1178)</f>
        <v/>
      </c>
      <c r="W1178" s="27">
        <f>U1178*V1178</f>
        <v/>
      </c>
      <c r="X1178" s="25">
        <f>T1178/N1178</f>
        <v/>
      </c>
      <c r="Y1178" s="28">
        <f>IF(W1178=MAXIFS(W$2:W$3601, A$2:A$3601, A1178, B$2:B$3601, B1178), "OPTIMAL", "")</f>
        <v/>
      </c>
    </row>
    <row r="1179" ht="20" customHeight="1">
      <c r="A1179" s="29" t="n">
        <v>4</v>
      </c>
      <c r="B1179" s="29" t="n">
        <v>40</v>
      </c>
      <c r="C1179" s="30" t="n">
        <v>90</v>
      </c>
      <c r="D1179" s="30" t="n">
        <v>2</v>
      </c>
      <c r="E1179" s="6" t="n">
        <v>8</v>
      </c>
      <c r="F1179" s="30" t="n">
        <v>2</v>
      </c>
      <c r="G1179" s="6" t="inlineStr">
        <is>
          <t>Oui</t>
        </is>
      </c>
      <c r="H1179" s="6" t="inlineStr">
        <is>
          <t>OFF</t>
        </is>
      </c>
      <c r="I1179" s="31" t="n">
        <v>994.4885628369005</v>
      </c>
      <c r="J1179" s="31" t="n">
        <v>4850.441664768843</v>
      </c>
      <c r="K1179" s="31" t="n">
        <v>2726.851851851852</v>
      </c>
      <c r="L1179" s="31" t="n">
        <v>150</v>
      </c>
      <c r="M1179" s="31">
        <f>I1179+J1179+K1179+L1179</f>
        <v/>
      </c>
      <c r="N1179" s="31">
        <f>M1179*'Dashboard &amp; Optimisation'!$B$18/('Dashboard &amp; Optimisation'!$B$16/3.6)</f>
        <v/>
      </c>
      <c r="O1179" s="31" t="n">
        <v>1132.388930586563</v>
      </c>
      <c r="P1179" s="32" t="n">
        <v>0.2546454449662799</v>
      </c>
      <c r="Q1179" s="33" t="n">
        <v>19.60535507064271</v>
      </c>
      <c r="R1179" s="31" t="n">
        <v>1226.073085876474</v>
      </c>
      <c r="S1179" s="31">
        <f>R1179*IF(A1179=4, 2.0, 3.0)</f>
        <v/>
      </c>
      <c r="T1179" s="30">
        <f>'Dashboard &amp; Optimisation'!$B$18*U1179</f>
        <v/>
      </c>
      <c r="U1179" s="34">
        <f>MIN(1, S1179/M1179)</f>
        <v/>
      </c>
      <c r="V1179" s="34">
        <f>N1179/(N1179+O1179)</f>
        <v/>
      </c>
      <c r="W1179" s="34">
        <f>U1179*V1179</f>
        <v/>
      </c>
      <c r="X1179" s="32">
        <f>T1179/N1179</f>
        <v/>
      </c>
      <c r="Y1179" s="35">
        <f>IF(W1179=MAXIFS(W$2:W$3601, A$2:A$3601, A1179, B$2:B$3601, B1179), "OPTIMAL", "")</f>
        <v/>
      </c>
    </row>
    <row r="1180" ht="20" customHeight="1">
      <c r="A1180" s="21" t="n">
        <v>4</v>
      </c>
      <c r="B1180" s="21" t="n">
        <v>40</v>
      </c>
      <c r="C1180" s="22" t="n">
        <v>90</v>
      </c>
      <c r="D1180" s="22" t="n">
        <v>2</v>
      </c>
      <c r="E1180" s="23" t="n">
        <v>8</v>
      </c>
      <c r="F1180" s="22" t="n">
        <v>2</v>
      </c>
      <c r="G1180" s="23" t="inlineStr">
        <is>
          <t>Non</t>
        </is>
      </c>
      <c r="H1180" s="23" t="inlineStr">
        <is>
          <t>ON</t>
        </is>
      </c>
      <c r="I1180" s="24" t="n">
        <v>994.4885628369005</v>
      </c>
      <c r="J1180" s="24" t="n">
        <v>4850.441664768843</v>
      </c>
      <c r="K1180" s="24" t="n">
        <v>2726.851851851852</v>
      </c>
      <c r="L1180" s="24" t="n">
        <v>150</v>
      </c>
      <c r="M1180" s="24">
        <f>I1180+J1180+K1180+L1180</f>
        <v/>
      </c>
      <c r="N1180" s="24">
        <f>M1180*'Dashboard &amp; Optimisation'!$B$18/('Dashboard &amp; Optimisation'!$B$16/3.6)</f>
        <v/>
      </c>
      <c r="O1180" s="24" t="n">
        <v>1132.388930586563</v>
      </c>
      <c r="P1180" s="25" t="n">
        <v>0.05376724001943751</v>
      </c>
      <c r="Q1180" s="26" t="n">
        <v>19.60535507064271</v>
      </c>
      <c r="R1180" s="24" t="n">
        <v>5806.768701561127</v>
      </c>
      <c r="S1180" s="24">
        <f>R1180*IF(A1180=4, 2.0, 3.0)</f>
        <v/>
      </c>
      <c r="T1180" s="22">
        <f>'Dashboard &amp; Optimisation'!$B$18*U1180</f>
        <v/>
      </c>
      <c r="U1180" s="27">
        <f>MIN(1, S1180/M1180)</f>
        <v/>
      </c>
      <c r="V1180" s="27">
        <f>N1180/(N1180+O1180)</f>
        <v/>
      </c>
      <c r="W1180" s="27">
        <f>U1180*V1180</f>
        <v/>
      </c>
      <c r="X1180" s="25">
        <f>T1180/N1180</f>
        <v/>
      </c>
      <c r="Y1180" s="28">
        <f>IF(W1180=MAXIFS(W$2:W$3601, A$2:A$3601, A1180, B$2:B$3601, B1180), "OPTIMAL", "")</f>
        <v/>
      </c>
    </row>
    <row r="1181" ht="20" customHeight="1">
      <c r="A1181" s="29" t="n">
        <v>4</v>
      </c>
      <c r="B1181" s="29" t="n">
        <v>40</v>
      </c>
      <c r="C1181" s="30" t="n">
        <v>90</v>
      </c>
      <c r="D1181" s="30" t="n">
        <v>2</v>
      </c>
      <c r="E1181" s="6" t="n">
        <v>8</v>
      </c>
      <c r="F1181" s="30" t="n">
        <v>2</v>
      </c>
      <c r="G1181" s="6" t="inlineStr">
        <is>
          <t>Non</t>
        </is>
      </c>
      <c r="H1181" s="6" t="inlineStr">
        <is>
          <t>OFF</t>
        </is>
      </c>
      <c r="I1181" s="31" t="n">
        <v>994.4885628369005</v>
      </c>
      <c r="J1181" s="31" t="n">
        <v>4850.441664768843</v>
      </c>
      <c r="K1181" s="31" t="n">
        <v>2726.851851851852</v>
      </c>
      <c r="L1181" s="31" t="n">
        <v>150</v>
      </c>
      <c r="M1181" s="31">
        <f>I1181+J1181+K1181+L1181</f>
        <v/>
      </c>
      <c r="N1181" s="31">
        <f>M1181*'Dashboard &amp; Optimisation'!$B$18/('Dashboard &amp; Optimisation'!$B$16/3.6)</f>
        <v/>
      </c>
      <c r="O1181" s="31" t="n">
        <v>1132.388930586563</v>
      </c>
      <c r="P1181" s="32" t="n">
        <v>0.2511086684531266</v>
      </c>
      <c r="Q1181" s="33" t="n">
        <v>19.60535507064271</v>
      </c>
      <c r="R1181" s="31" t="n">
        <v>1243.341890335714</v>
      </c>
      <c r="S1181" s="31">
        <f>R1181*IF(A1181=4, 2.0, 3.0)</f>
        <v/>
      </c>
      <c r="T1181" s="30">
        <f>'Dashboard &amp; Optimisation'!$B$18*U1181</f>
        <v/>
      </c>
      <c r="U1181" s="34">
        <f>MIN(1, S1181/M1181)</f>
        <v/>
      </c>
      <c r="V1181" s="34">
        <f>N1181/(N1181+O1181)</f>
        <v/>
      </c>
      <c r="W1181" s="34">
        <f>U1181*V1181</f>
        <v/>
      </c>
      <c r="X1181" s="32">
        <f>T1181/N1181</f>
        <v/>
      </c>
      <c r="Y1181" s="35">
        <f>IF(W1181=MAXIFS(W$2:W$3601, A$2:A$3601, A1181, B$2:B$3601, B1181), "OPTIMAL", "")</f>
        <v/>
      </c>
    </row>
    <row r="1182" ht="20" customHeight="1">
      <c r="A1182" s="21" t="n">
        <v>4</v>
      </c>
      <c r="B1182" s="21" t="n">
        <v>40</v>
      </c>
      <c r="C1182" s="22" t="n">
        <v>90</v>
      </c>
      <c r="D1182" s="22" t="n">
        <v>3</v>
      </c>
      <c r="E1182" s="23" t="n">
        <v>0</v>
      </c>
      <c r="F1182" s="22" t="n">
        <v>0</v>
      </c>
      <c r="G1182" s="23" t="inlineStr">
        <is>
          <t>Oui</t>
        </is>
      </c>
      <c r="H1182" s="23" t="inlineStr">
        <is>
          <t>ON</t>
        </is>
      </c>
      <c r="I1182" s="24" t="n">
        <v>994.4885628369005</v>
      </c>
      <c r="J1182" s="24" t="n">
        <v>4850.441664768843</v>
      </c>
      <c r="K1182" s="24" t="n">
        <v>2726.851851851852</v>
      </c>
      <c r="L1182" s="24" t="n">
        <v>150</v>
      </c>
      <c r="M1182" s="24">
        <f>I1182+J1182+K1182+L1182</f>
        <v/>
      </c>
      <c r="N1182" s="24">
        <f>M1182*'Dashboard &amp; Optimisation'!$B$18/('Dashboard &amp; Optimisation'!$B$16/3.6)</f>
        <v/>
      </c>
      <c r="O1182" s="24" t="n">
        <v>655.86125985261</v>
      </c>
      <c r="P1182" s="25" t="n">
        <v>0.4898971107621382</v>
      </c>
      <c r="Q1182" s="26" t="n">
        <v>0.2</v>
      </c>
      <c r="R1182" s="24" t="n">
        <v>604.7180843874444</v>
      </c>
      <c r="S1182" s="24">
        <f>R1182*IF(A1182=4, 2.0, 3.0)</f>
        <v/>
      </c>
      <c r="T1182" s="22">
        <f>'Dashboard &amp; Optimisation'!$B$18*U1182</f>
        <v/>
      </c>
      <c r="U1182" s="27">
        <f>MIN(1, S1182/M1182)</f>
        <v/>
      </c>
      <c r="V1182" s="27">
        <f>N1182/(N1182+O1182)</f>
        <v/>
      </c>
      <c r="W1182" s="27">
        <f>U1182*V1182</f>
        <v/>
      </c>
      <c r="X1182" s="25">
        <f>T1182/N1182</f>
        <v/>
      </c>
      <c r="Y1182" s="28">
        <f>IF(W1182=MAXIFS(W$2:W$3601, A$2:A$3601, A1182, B$2:B$3601, B1182), "OPTIMAL", "")</f>
        <v/>
      </c>
    </row>
    <row r="1183" ht="20" customHeight="1">
      <c r="A1183" s="29" t="n">
        <v>4</v>
      </c>
      <c r="B1183" s="29" t="n">
        <v>40</v>
      </c>
      <c r="C1183" s="30" t="n">
        <v>90</v>
      </c>
      <c r="D1183" s="30" t="n">
        <v>3</v>
      </c>
      <c r="E1183" s="6" t="n">
        <v>0</v>
      </c>
      <c r="F1183" s="30" t="n">
        <v>0</v>
      </c>
      <c r="G1183" s="6" t="inlineStr">
        <is>
          <t>Oui</t>
        </is>
      </c>
      <c r="H1183" s="6" t="inlineStr">
        <is>
          <t>OFF</t>
        </is>
      </c>
      <c r="I1183" s="31" t="n">
        <v>994.4885628369005</v>
      </c>
      <c r="J1183" s="31" t="n">
        <v>4850.441664768843</v>
      </c>
      <c r="K1183" s="31" t="n">
        <v>2726.851851851852</v>
      </c>
      <c r="L1183" s="31" t="n">
        <v>150</v>
      </c>
      <c r="M1183" s="31">
        <f>I1183+J1183+K1183+L1183</f>
        <v/>
      </c>
      <c r="N1183" s="31">
        <f>M1183*'Dashboard &amp; Optimisation'!$B$18/('Dashboard &amp; Optimisation'!$B$16/3.6)</f>
        <v/>
      </c>
      <c r="O1183" s="31" t="n">
        <v>655.86125985261</v>
      </c>
      <c r="P1183" s="32" t="n">
        <v>0.8435747620774612</v>
      </c>
      <c r="Q1183" s="33" t="n">
        <v>0.2</v>
      </c>
      <c r="R1183" s="31" t="n">
        <v>351.183624362414</v>
      </c>
      <c r="S1183" s="31">
        <f>R1183*IF(A1183=4, 2.0, 3.0)</f>
        <v/>
      </c>
      <c r="T1183" s="30">
        <f>'Dashboard &amp; Optimisation'!$B$18*U1183</f>
        <v/>
      </c>
      <c r="U1183" s="34">
        <f>MIN(1, S1183/M1183)</f>
        <v/>
      </c>
      <c r="V1183" s="34">
        <f>N1183/(N1183+O1183)</f>
        <v/>
      </c>
      <c r="W1183" s="34">
        <f>U1183*V1183</f>
        <v/>
      </c>
      <c r="X1183" s="32">
        <f>T1183/N1183</f>
        <v/>
      </c>
      <c r="Y1183" s="35">
        <f>IF(W1183=MAXIFS(W$2:W$3601, A$2:A$3601, A1183, B$2:B$3601, B1183), "OPTIMAL", "")</f>
        <v/>
      </c>
    </row>
    <row r="1184" ht="20" customHeight="1">
      <c r="A1184" s="21" t="n">
        <v>4</v>
      </c>
      <c r="B1184" s="21" t="n">
        <v>40</v>
      </c>
      <c r="C1184" s="22" t="n">
        <v>90</v>
      </c>
      <c r="D1184" s="22" t="n">
        <v>3</v>
      </c>
      <c r="E1184" s="23" t="n">
        <v>0</v>
      </c>
      <c r="F1184" s="22" t="n">
        <v>0</v>
      </c>
      <c r="G1184" s="23" t="inlineStr">
        <is>
          <t>Non</t>
        </is>
      </c>
      <c r="H1184" s="23" t="inlineStr">
        <is>
          <t>ON</t>
        </is>
      </c>
      <c r="I1184" s="24" t="n">
        <v>994.4885628369005</v>
      </c>
      <c r="J1184" s="24" t="n">
        <v>4850.441664768843</v>
      </c>
      <c r="K1184" s="24" t="n">
        <v>2726.851851851852</v>
      </c>
      <c r="L1184" s="24" t="n">
        <v>150</v>
      </c>
      <c r="M1184" s="24">
        <f>I1184+J1184+K1184+L1184</f>
        <v/>
      </c>
      <c r="N1184" s="24">
        <f>M1184*'Dashboard &amp; Optimisation'!$B$18/('Dashboard &amp; Optimisation'!$B$16/3.6)</f>
        <v/>
      </c>
      <c r="O1184" s="24" t="n">
        <v>655.86125985261</v>
      </c>
      <c r="P1184" s="25" t="n">
        <v>0.486360334248985</v>
      </c>
      <c r="Q1184" s="26" t="n">
        <v>0.2</v>
      </c>
      <c r="R1184" s="24" t="n">
        <v>609.1155497384028</v>
      </c>
      <c r="S1184" s="24">
        <f>R1184*IF(A1184=4, 2.0, 3.0)</f>
        <v/>
      </c>
      <c r="T1184" s="22">
        <f>'Dashboard &amp; Optimisation'!$B$18*U1184</f>
        <v/>
      </c>
      <c r="U1184" s="27">
        <f>MIN(1, S1184/M1184)</f>
        <v/>
      </c>
      <c r="V1184" s="27">
        <f>N1184/(N1184+O1184)</f>
        <v/>
      </c>
      <c r="W1184" s="27">
        <f>U1184*V1184</f>
        <v/>
      </c>
      <c r="X1184" s="25">
        <f>T1184/N1184</f>
        <v/>
      </c>
      <c r="Y1184" s="28">
        <f>IF(W1184=MAXIFS(W$2:W$3601, A$2:A$3601, A1184, B$2:B$3601, B1184), "OPTIMAL", "")</f>
        <v/>
      </c>
    </row>
    <row r="1185" ht="20" customHeight="1">
      <c r="A1185" s="29" t="n">
        <v>4</v>
      </c>
      <c r="B1185" s="29" t="n">
        <v>40</v>
      </c>
      <c r="C1185" s="30" t="n">
        <v>90</v>
      </c>
      <c r="D1185" s="30" t="n">
        <v>3</v>
      </c>
      <c r="E1185" s="6" t="n">
        <v>0</v>
      </c>
      <c r="F1185" s="30" t="n">
        <v>0</v>
      </c>
      <c r="G1185" s="6" t="inlineStr">
        <is>
          <t>Non</t>
        </is>
      </c>
      <c r="H1185" s="6" t="inlineStr">
        <is>
          <t>OFF</t>
        </is>
      </c>
      <c r="I1185" s="31" t="n">
        <v>994.4885628369005</v>
      </c>
      <c r="J1185" s="31" t="n">
        <v>4850.441664768843</v>
      </c>
      <c r="K1185" s="31" t="n">
        <v>2726.851851851852</v>
      </c>
      <c r="L1185" s="31" t="n">
        <v>150</v>
      </c>
      <c r="M1185" s="31">
        <f>I1185+J1185+K1185+L1185</f>
        <v/>
      </c>
      <c r="N1185" s="31">
        <f>M1185*'Dashboard &amp; Optimisation'!$B$18/('Dashboard &amp; Optimisation'!$B$16/3.6)</f>
        <v/>
      </c>
      <c r="O1185" s="31" t="n">
        <v>655.86125985261</v>
      </c>
      <c r="P1185" s="32" t="n">
        <v>0.840037985564308</v>
      </c>
      <c r="Q1185" s="33" t="n">
        <v>0.2</v>
      </c>
      <c r="R1185" s="31" t="n">
        <v>352.6621979695523</v>
      </c>
      <c r="S1185" s="31">
        <f>R1185*IF(A1185=4, 2.0, 3.0)</f>
        <v/>
      </c>
      <c r="T1185" s="30">
        <f>'Dashboard &amp; Optimisation'!$B$18*U1185</f>
        <v/>
      </c>
      <c r="U1185" s="34">
        <f>MIN(1, S1185/M1185)</f>
        <v/>
      </c>
      <c r="V1185" s="34">
        <f>N1185/(N1185+O1185)</f>
        <v/>
      </c>
      <c r="W1185" s="34">
        <f>U1185*V1185</f>
        <v/>
      </c>
      <c r="X1185" s="32">
        <f>T1185/N1185</f>
        <v/>
      </c>
      <c r="Y1185" s="35">
        <f>IF(W1185=MAXIFS(W$2:W$3601, A$2:A$3601, A1185, B$2:B$3601, B1185), "OPTIMAL", "")</f>
        <v/>
      </c>
    </row>
    <row r="1186" ht="20" customHeight="1">
      <c r="A1186" s="21" t="n">
        <v>4</v>
      </c>
      <c r="B1186" s="21" t="n">
        <v>40</v>
      </c>
      <c r="C1186" s="22" t="n">
        <v>90</v>
      </c>
      <c r="D1186" s="22" t="n">
        <v>3</v>
      </c>
      <c r="E1186" s="23" t="n">
        <v>4</v>
      </c>
      <c r="F1186" s="22" t="n">
        <v>1.5</v>
      </c>
      <c r="G1186" s="23" t="inlineStr">
        <is>
          <t>Oui</t>
        </is>
      </c>
      <c r="H1186" s="23" t="inlineStr">
        <is>
          <t>ON</t>
        </is>
      </c>
      <c r="I1186" s="24" t="n">
        <v>994.4885628369005</v>
      </c>
      <c r="J1186" s="24" t="n">
        <v>4850.441664768843</v>
      </c>
      <c r="K1186" s="24" t="n">
        <v>2726.851851851852</v>
      </c>
      <c r="L1186" s="24" t="n">
        <v>150</v>
      </c>
      <c r="M1186" s="24">
        <f>I1186+J1186+K1186+L1186</f>
        <v/>
      </c>
      <c r="N1186" s="24">
        <f>M1186*'Dashboard &amp; Optimisation'!$B$18/('Dashboard &amp; Optimisation'!$B$16/3.6)</f>
        <v/>
      </c>
      <c r="O1186" s="24" t="n">
        <v>922.6696566695551</v>
      </c>
      <c r="P1186" s="25" t="n">
        <v>0.07737077298591719</v>
      </c>
      <c r="Q1186" s="26" t="n">
        <v>7.65027025033604</v>
      </c>
      <c r="R1186" s="24" t="n">
        <v>3973.510045108938</v>
      </c>
      <c r="S1186" s="24">
        <f>R1186*IF(A1186=4, 2.0, 3.0)</f>
        <v/>
      </c>
      <c r="T1186" s="22">
        <f>'Dashboard &amp; Optimisation'!$B$18*U1186</f>
        <v/>
      </c>
      <c r="U1186" s="27">
        <f>MIN(1, S1186/M1186)</f>
        <v/>
      </c>
      <c r="V1186" s="27">
        <f>N1186/(N1186+O1186)</f>
        <v/>
      </c>
      <c r="W1186" s="27">
        <f>U1186*V1186</f>
        <v/>
      </c>
      <c r="X1186" s="25">
        <f>T1186/N1186</f>
        <v/>
      </c>
      <c r="Y1186" s="28">
        <f>IF(W1186=MAXIFS(W$2:W$3601, A$2:A$3601, A1186, B$2:B$3601, B1186), "OPTIMAL", "")</f>
        <v/>
      </c>
    </row>
    <row r="1187" ht="20" customHeight="1">
      <c r="A1187" s="29" t="n">
        <v>4</v>
      </c>
      <c r="B1187" s="29" t="n">
        <v>40</v>
      </c>
      <c r="C1187" s="30" t="n">
        <v>90</v>
      </c>
      <c r="D1187" s="30" t="n">
        <v>3</v>
      </c>
      <c r="E1187" s="6" t="n">
        <v>4</v>
      </c>
      <c r="F1187" s="30" t="n">
        <v>1.5</v>
      </c>
      <c r="G1187" s="6" t="inlineStr">
        <is>
          <t>Oui</t>
        </is>
      </c>
      <c r="H1187" s="6" t="inlineStr">
        <is>
          <t>OFF</t>
        </is>
      </c>
      <c r="I1187" s="31" t="n">
        <v>994.4885628369005</v>
      </c>
      <c r="J1187" s="31" t="n">
        <v>4850.441664768843</v>
      </c>
      <c r="K1187" s="31" t="n">
        <v>2726.851851851852</v>
      </c>
      <c r="L1187" s="31" t="n">
        <v>150</v>
      </c>
      <c r="M1187" s="31">
        <f>I1187+J1187+K1187+L1187</f>
        <v/>
      </c>
      <c r="N1187" s="31">
        <f>M1187*'Dashboard &amp; Optimisation'!$B$18/('Dashboard &amp; Optimisation'!$B$16/3.6)</f>
        <v/>
      </c>
      <c r="O1187" s="31" t="n">
        <v>922.6696566695551</v>
      </c>
      <c r="P1187" s="32" t="n">
        <v>0.3294279943160268</v>
      </c>
      <c r="Q1187" s="33" t="n">
        <v>7.65027025033604</v>
      </c>
      <c r="R1187" s="31" t="n">
        <v>933.2344213663218</v>
      </c>
      <c r="S1187" s="31">
        <f>R1187*IF(A1187=4, 2.0, 3.0)</f>
        <v/>
      </c>
      <c r="T1187" s="30">
        <f>'Dashboard &amp; Optimisation'!$B$18*U1187</f>
        <v/>
      </c>
      <c r="U1187" s="34">
        <f>MIN(1, S1187/M1187)</f>
        <v/>
      </c>
      <c r="V1187" s="34">
        <f>N1187/(N1187+O1187)</f>
        <v/>
      </c>
      <c r="W1187" s="34">
        <f>U1187*V1187</f>
        <v/>
      </c>
      <c r="X1187" s="32">
        <f>T1187/N1187</f>
        <v/>
      </c>
      <c r="Y1187" s="35">
        <f>IF(W1187=MAXIFS(W$2:W$3601, A$2:A$3601, A1187, B$2:B$3601, B1187), "OPTIMAL", "")</f>
        <v/>
      </c>
    </row>
    <row r="1188" ht="20" customHeight="1">
      <c r="A1188" s="21" t="n">
        <v>4</v>
      </c>
      <c r="B1188" s="21" t="n">
        <v>40</v>
      </c>
      <c r="C1188" s="22" t="n">
        <v>90</v>
      </c>
      <c r="D1188" s="22" t="n">
        <v>3</v>
      </c>
      <c r="E1188" s="23" t="n">
        <v>4</v>
      </c>
      <c r="F1188" s="22" t="n">
        <v>1.5</v>
      </c>
      <c r="G1188" s="23" t="inlineStr">
        <is>
          <t>Non</t>
        </is>
      </c>
      <c r="H1188" s="23" t="inlineStr">
        <is>
          <t>ON</t>
        </is>
      </c>
      <c r="I1188" s="24" t="n">
        <v>994.4885628369005</v>
      </c>
      <c r="J1188" s="24" t="n">
        <v>4850.441664768843</v>
      </c>
      <c r="K1188" s="24" t="n">
        <v>2726.851851851852</v>
      </c>
      <c r="L1188" s="24" t="n">
        <v>150</v>
      </c>
      <c r="M1188" s="24">
        <f>I1188+J1188+K1188+L1188</f>
        <v/>
      </c>
      <c r="N1188" s="24">
        <f>M1188*'Dashboard &amp; Optimisation'!$B$18/('Dashboard &amp; Optimisation'!$B$16/3.6)</f>
        <v/>
      </c>
      <c r="O1188" s="24" t="n">
        <v>922.6696566695551</v>
      </c>
      <c r="P1188" s="25" t="n">
        <v>0.07383399647276395</v>
      </c>
      <c r="Q1188" s="26" t="n">
        <v>7.65027025033604</v>
      </c>
      <c r="R1188" s="24" t="n">
        <v>4163.84806923992</v>
      </c>
      <c r="S1188" s="24">
        <f>R1188*IF(A1188=4, 2.0, 3.0)</f>
        <v/>
      </c>
      <c r="T1188" s="22">
        <f>'Dashboard &amp; Optimisation'!$B$18*U1188</f>
        <v/>
      </c>
      <c r="U1188" s="27">
        <f>MIN(1, S1188/M1188)</f>
        <v/>
      </c>
      <c r="V1188" s="27">
        <f>N1188/(N1188+O1188)</f>
        <v/>
      </c>
      <c r="W1188" s="27">
        <f>U1188*V1188</f>
        <v/>
      </c>
      <c r="X1188" s="25">
        <f>T1188/N1188</f>
        <v/>
      </c>
      <c r="Y1188" s="28">
        <f>IF(W1188=MAXIFS(W$2:W$3601, A$2:A$3601, A1188, B$2:B$3601, B1188), "OPTIMAL", "")</f>
        <v/>
      </c>
    </row>
    <row r="1189" ht="20" customHeight="1">
      <c r="A1189" s="29" t="n">
        <v>4</v>
      </c>
      <c r="B1189" s="29" t="n">
        <v>40</v>
      </c>
      <c r="C1189" s="30" t="n">
        <v>90</v>
      </c>
      <c r="D1189" s="30" t="n">
        <v>3</v>
      </c>
      <c r="E1189" s="6" t="n">
        <v>4</v>
      </c>
      <c r="F1189" s="30" t="n">
        <v>1.5</v>
      </c>
      <c r="G1189" s="6" t="inlineStr">
        <is>
          <t>Non</t>
        </is>
      </c>
      <c r="H1189" s="6" t="inlineStr">
        <is>
          <t>OFF</t>
        </is>
      </c>
      <c r="I1189" s="31" t="n">
        <v>994.4885628369005</v>
      </c>
      <c r="J1189" s="31" t="n">
        <v>4850.441664768843</v>
      </c>
      <c r="K1189" s="31" t="n">
        <v>2726.851851851852</v>
      </c>
      <c r="L1189" s="31" t="n">
        <v>150</v>
      </c>
      <c r="M1189" s="31">
        <f>I1189+J1189+K1189+L1189</f>
        <v/>
      </c>
      <c r="N1189" s="31">
        <f>M1189*'Dashboard &amp; Optimisation'!$B$18/('Dashboard &amp; Optimisation'!$B$16/3.6)</f>
        <v/>
      </c>
      <c r="O1189" s="31" t="n">
        <v>922.6696566695551</v>
      </c>
      <c r="P1189" s="32" t="n">
        <v>0.3258912178028736</v>
      </c>
      <c r="Q1189" s="33" t="n">
        <v>7.65027025033604</v>
      </c>
      <c r="R1189" s="31" t="n">
        <v>943.3624684030206</v>
      </c>
      <c r="S1189" s="31">
        <f>R1189*IF(A1189=4, 2.0, 3.0)</f>
        <v/>
      </c>
      <c r="T1189" s="30">
        <f>'Dashboard &amp; Optimisation'!$B$18*U1189</f>
        <v/>
      </c>
      <c r="U1189" s="34">
        <f>MIN(1, S1189/M1189)</f>
        <v/>
      </c>
      <c r="V1189" s="34">
        <f>N1189/(N1189+O1189)</f>
        <v/>
      </c>
      <c r="W1189" s="34">
        <f>U1189*V1189</f>
        <v/>
      </c>
      <c r="X1189" s="32">
        <f>T1189/N1189</f>
        <v/>
      </c>
      <c r="Y1189" s="35">
        <f>IF(W1189=MAXIFS(W$2:W$3601, A$2:A$3601, A1189, B$2:B$3601, B1189), "OPTIMAL", "")</f>
        <v/>
      </c>
    </row>
    <row r="1190" ht="20" customHeight="1">
      <c r="A1190" s="21" t="n">
        <v>4</v>
      </c>
      <c r="B1190" s="21" t="n">
        <v>40</v>
      </c>
      <c r="C1190" s="22" t="n">
        <v>90</v>
      </c>
      <c r="D1190" s="22" t="n">
        <v>3</v>
      </c>
      <c r="E1190" s="23" t="n">
        <v>4</v>
      </c>
      <c r="F1190" s="22" t="n">
        <v>2</v>
      </c>
      <c r="G1190" s="23" t="inlineStr">
        <is>
          <t>Oui</t>
        </is>
      </c>
      <c r="H1190" s="23" t="inlineStr">
        <is>
          <t>ON</t>
        </is>
      </c>
      <c r="I1190" s="24" t="n">
        <v>994.4885628369005</v>
      </c>
      <c r="J1190" s="24" t="n">
        <v>4850.441664768843</v>
      </c>
      <c r="K1190" s="24" t="n">
        <v>2726.851851851852</v>
      </c>
      <c r="L1190" s="24" t="n">
        <v>150</v>
      </c>
      <c r="M1190" s="24">
        <f>I1190+J1190+K1190+L1190</f>
        <v/>
      </c>
      <c r="N1190" s="24">
        <f>M1190*'Dashboard &amp; Optimisation'!$B$18/('Dashboard &amp; Optimisation'!$B$16/3.6)</f>
        <v/>
      </c>
      <c r="O1190" s="24" t="n">
        <v>1016.139483404277</v>
      </c>
      <c r="P1190" s="25" t="n">
        <v>0.07505349321204312</v>
      </c>
      <c r="Q1190" s="26" t="n">
        <v>10.13369366711472</v>
      </c>
      <c r="R1190" s="24" t="n">
        <v>4148.395203110023</v>
      </c>
      <c r="S1190" s="24">
        <f>R1190*IF(A1190=4, 2.0, 3.0)</f>
        <v/>
      </c>
      <c r="T1190" s="22">
        <f>'Dashboard &amp; Optimisation'!$B$18*U1190</f>
        <v/>
      </c>
      <c r="U1190" s="27">
        <f>MIN(1, S1190/M1190)</f>
        <v/>
      </c>
      <c r="V1190" s="27">
        <f>N1190/(N1190+O1190)</f>
        <v/>
      </c>
      <c r="W1190" s="27">
        <f>U1190*V1190</f>
        <v/>
      </c>
      <c r="X1190" s="25">
        <f>T1190/N1190</f>
        <v/>
      </c>
      <c r="Y1190" s="28">
        <f>IF(W1190=MAXIFS(W$2:W$3601, A$2:A$3601, A1190, B$2:B$3601, B1190), "OPTIMAL", "")</f>
        <v/>
      </c>
    </row>
    <row r="1191" ht="20" customHeight="1">
      <c r="A1191" s="29" t="n">
        <v>4</v>
      </c>
      <c r="B1191" s="29" t="n">
        <v>40</v>
      </c>
      <c r="C1191" s="30" t="n">
        <v>90</v>
      </c>
      <c r="D1191" s="30" t="n">
        <v>3</v>
      </c>
      <c r="E1191" s="6" t="n">
        <v>4</v>
      </c>
      <c r="F1191" s="30" t="n">
        <v>2</v>
      </c>
      <c r="G1191" s="6" t="inlineStr">
        <is>
          <t>Oui</t>
        </is>
      </c>
      <c r="H1191" s="6" t="inlineStr">
        <is>
          <t>OFF</t>
        </is>
      </c>
      <c r="I1191" s="31" t="n">
        <v>994.4885628369005</v>
      </c>
      <c r="J1191" s="31" t="n">
        <v>4850.441664768843</v>
      </c>
      <c r="K1191" s="31" t="n">
        <v>2726.851851851852</v>
      </c>
      <c r="L1191" s="31" t="n">
        <v>150</v>
      </c>
      <c r="M1191" s="31">
        <f>I1191+J1191+K1191+L1191</f>
        <v/>
      </c>
      <c r="N1191" s="31">
        <f>M1191*'Dashboard &amp; Optimisation'!$B$18/('Dashboard &amp; Optimisation'!$B$16/3.6)</f>
        <v/>
      </c>
      <c r="O1191" s="31" t="n">
        <v>1016.139483404277</v>
      </c>
      <c r="P1191" s="32" t="n">
        <v>0.3283855657905198</v>
      </c>
      <c r="Q1191" s="33" t="n">
        <v>10.13369366711472</v>
      </c>
      <c r="R1191" s="31" t="n">
        <v>948.1280045545742</v>
      </c>
      <c r="S1191" s="31">
        <f>R1191*IF(A1191=4, 2.0, 3.0)</f>
        <v/>
      </c>
      <c r="T1191" s="30">
        <f>'Dashboard &amp; Optimisation'!$B$18*U1191</f>
        <v/>
      </c>
      <c r="U1191" s="34">
        <f>MIN(1, S1191/M1191)</f>
        <v/>
      </c>
      <c r="V1191" s="34">
        <f>N1191/(N1191+O1191)</f>
        <v/>
      </c>
      <c r="W1191" s="34">
        <f>U1191*V1191</f>
        <v/>
      </c>
      <c r="X1191" s="32">
        <f>T1191/N1191</f>
        <v/>
      </c>
      <c r="Y1191" s="35">
        <f>IF(W1191=MAXIFS(W$2:W$3601, A$2:A$3601, A1191, B$2:B$3601, B1191), "OPTIMAL", "")</f>
        <v/>
      </c>
    </row>
    <row r="1192" ht="20" customHeight="1">
      <c r="A1192" s="21" t="n">
        <v>4</v>
      </c>
      <c r="B1192" s="21" t="n">
        <v>40</v>
      </c>
      <c r="C1192" s="22" t="n">
        <v>90</v>
      </c>
      <c r="D1192" s="22" t="n">
        <v>3</v>
      </c>
      <c r="E1192" s="23" t="n">
        <v>4</v>
      </c>
      <c r="F1192" s="22" t="n">
        <v>2</v>
      </c>
      <c r="G1192" s="23" t="inlineStr">
        <is>
          <t>Non</t>
        </is>
      </c>
      <c r="H1192" s="23" t="inlineStr">
        <is>
          <t>ON</t>
        </is>
      </c>
      <c r="I1192" s="24" t="n">
        <v>994.4885628369005</v>
      </c>
      <c r="J1192" s="24" t="n">
        <v>4850.441664768843</v>
      </c>
      <c r="K1192" s="24" t="n">
        <v>2726.851851851852</v>
      </c>
      <c r="L1192" s="24" t="n">
        <v>150</v>
      </c>
      <c r="M1192" s="24">
        <f>I1192+J1192+K1192+L1192</f>
        <v/>
      </c>
      <c r="N1192" s="24">
        <f>M1192*'Dashboard &amp; Optimisation'!$B$18/('Dashboard &amp; Optimisation'!$B$16/3.6)</f>
        <v/>
      </c>
      <c r="O1192" s="24" t="n">
        <v>1016.139483404277</v>
      </c>
      <c r="P1192" s="25" t="n">
        <v>0.07151671669888988</v>
      </c>
      <c r="Q1192" s="26" t="n">
        <v>10.13369366711472</v>
      </c>
      <c r="R1192" s="24" t="n">
        <v>4353.549290138529</v>
      </c>
      <c r="S1192" s="24">
        <f>R1192*IF(A1192=4, 2.0, 3.0)</f>
        <v/>
      </c>
      <c r="T1192" s="22">
        <f>'Dashboard &amp; Optimisation'!$B$18*U1192</f>
        <v/>
      </c>
      <c r="U1192" s="27">
        <f>MIN(1, S1192/M1192)</f>
        <v/>
      </c>
      <c r="V1192" s="27">
        <f>N1192/(N1192+O1192)</f>
        <v/>
      </c>
      <c r="W1192" s="27">
        <f>U1192*V1192</f>
        <v/>
      </c>
      <c r="X1192" s="25">
        <f>T1192/N1192</f>
        <v/>
      </c>
      <c r="Y1192" s="28">
        <f>IF(W1192=MAXIFS(W$2:W$3601, A$2:A$3601, A1192, B$2:B$3601, B1192), "OPTIMAL", "")</f>
        <v/>
      </c>
    </row>
    <row r="1193" ht="20" customHeight="1">
      <c r="A1193" s="29" t="n">
        <v>4</v>
      </c>
      <c r="B1193" s="29" t="n">
        <v>40</v>
      </c>
      <c r="C1193" s="30" t="n">
        <v>90</v>
      </c>
      <c r="D1193" s="30" t="n">
        <v>3</v>
      </c>
      <c r="E1193" s="6" t="n">
        <v>4</v>
      </c>
      <c r="F1193" s="30" t="n">
        <v>2</v>
      </c>
      <c r="G1193" s="6" t="inlineStr">
        <is>
          <t>Non</t>
        </is>
      </c>
      <c r="H1193" s="6" t="inlineStr">
        <is>
          <t>OFF</t>
        </is>
      </c>
      <c r="I1193" s="31" t="n">
        <v>994.4885628369005</v>
      </c>
      <c r="J1193" s="31" t="n">
        <v>4850.441664768843</v>
      </c>
      <c r="K1193" s="31" t="n">
        <v>2726.851851851852</v>
      </c>
      <c r="L1193" s="31" t="n">
        <v>150</v>
      </c>
      <c r="M1193" s="31">
        <f>I1193+J1193+K1193+L1193</f>
        <v/>
      </c>
      <c r="N1193" s="31">
        <f>M1193*'Dashboard &amp; Optimisation'!$B$18/('Dashboard &amp; Optimisation'!$B$16/3.6)</f>
        <v/>
      </c>
      <c r="O1193" s="31" t="n">
        <v>1016.139483404277</v>
      </c>
      <c r="P1193" s="32" t="n">
        <v>0.3248487892773665</v>
      </c>
      <c r="Q1193" s="33" t="n">
        <v>10.13369366711472</v>
      </c>
      <c r="R1193" s="31" t="n">
        <v>958.4507053577108</v>
      </c>
      <c r="S1193" s="31">
        <f>R1193*IF(A1193=4, 2.0, 3.0)</f>
        <v/>
      </c>
      <c r="T1193" s="30">
        <f>'Dashboard &amp; Optimisation'!$B$18*U1193</f>
        <v/>
      </c>
      <c r="U1193" s="34">
        <f>MIN(1, S1193/M1193)</f>
        <v/>
      </c>
      <c r="V1193" s="34">
        <f>N1193/(N1193+O1193)</f>
        <v/>
      </c>
      <c r="W1193" s="34">
        <f>U1193*V1193</f>
        <v/>
      </c>
      <c r="X1193" s="32">
        <f>T1193/N1193</f>
        <v/>
      </c>
      <c r="Y1193" s="35">
        <f>IF(W1193=MAXIFS(W$2:W$3601, A$2:A$3601, A1193, B$2:B$3601, B1193), "OPTIMAL", "")</f>
        <v/>
      </c>
    </row>
    <row r="1194" ht="20" customHeight="1">
      <c r="A1194" s="21" t="n">
        <v>4</v>
      </c>
      <c r="B1194" s="21" t="n">
        <v>40</v>
      </c>
      <c r="C1194" s="22" t="n">
        <v>90</v>
      </c>
      <c r="D1194" s="22" t="n">
        <v>3</v>
      </c>
      <c r="E1194" s="23" t="n">
        <v>8</v>
      </c>
      <c r="F1194" s="22" t="n">
        <v>1.5</v>
      </c>
      <c r="G1194" s="23" t="inlineStr">
        <is>
          <t>Oui</t>
        </is>
      </c>
      <c r="H1194" s="23" t="inlineStr">
        <is>
          <t>ON</t>
        </is>
      </c>
      <c r="I1194" s="24" t="n">
        <v>994.4885628369005</v>
      </c>
      <c r="J1194" s="24" t="n">
        <v>4850.441664768843</v>
      </c>
      <c r="K1194" s="24" t="n">
        <v>2726.851851851852</v>
      </c>
      <c r="L1194" s="24" t="n">
        <v>150</v>
      </c>
      <c r="M1194" s="24">
        <f>I1194+J1194+K1194+L1194</f>
        <v/>
      </c>
      <c r="N1194" s="24">
        <f>M1194*'Dashboard &amp; Optimisation'!$B$18/('Dashboard &amp; Optimisation'!$B$16/3.6)</f>
        <v/>
      </c>
      <c r="O1194" s="24" t="n">
        <v>1210.413285915134</v>
      </c>
      <c r="P1194" s="25" t="n">
        <v>0.05825094544482953</v>
      </c>
      <c r="Q1194" s="26" t="n">
        <v>15.10054050067208</v>
      </c>
      <c r="R1194" s="24" t="n">
        <v>5484.803585581511</v>
      </c>
      <c r="S1194" s="24">
        <f>R1194*IF(A1194=4, 2.0, 3.0)</f>
        <v/>
      </c>
      <c r="T1194" s="22">
        <f>'Dashboard &amp; Optimisation'!$B$18*U1194</f>
        <v/>
      </c>
      <c r="U1194" s="27">
        <f>MIN(1, S1194/M1194)</f>
        <v/>
      </c>
      <c r="V1194" s="27">
        <f>N1194/(N1194+O1194)</f>
        <v/>
      </c>
      <c r="W1194" s="27">
        <f>U1194*V1194</f>
        <v/>
      </c>
      <c r="X1194" s="25">
        <f>T1194/N1194</f>
        <v/>
      </c>
      <c r="Y1194" s="28">
        <f>IF(W1194=MAXIFS(W$2:W$3601, A$2:A$3601, A1194, B$2:B$3601, B1194), "OPTIMAL", "")</f>
        <v/>
      </c>
    </row>
    <row r="1195" ht="20" customHeight="1">
      <c r="A1195" s="29" t="n">
        <v>4</v>
      </c>
      <c r="B1195" s="29" t="n">
        <v>40</v>
      </c>
      <c r="C1195" s="30" t="n">
        <v>90</v>
      </c>
      <c r="D1195" s="30" t="n">
        <v>3</v>
      </c>
      <c r="E1195" s="6" t="n">
        <v>8</v>
      </c>
      <c r="F1195" s="30" t="n">
        <v>1.5</v>
      </c>
      <c r="G1195" s="6" t="inlineStr">
        <is>
          <t>Oui</t>
        </is>
      </c>
      <c r="H1195" s="6" t="inlineStr">
        <is>
          <t>OFF</t>
        </is>
      </c>
      <c r="I1195" s="31" t="n">
        <v>994.4885628369005</v>
      </c>
      <c r="J1195" s="31" t="n">
        <v>4850.441664768843</v>
      </c>
      <c r="K1195" s="31" t="n">
        <v>2726.851851851852</v>
      </c>
      <c r="L1195" s="31" t="n">
        <v>150</v>
      </c>
      <c r="M1195" s="31">
        <f>I1195+J1195+K1195+L1195</f>
        <v/>
      </c>
      <c r="N1195" s="31">
        <f>M1195*'Dashboard &amp; Optimisation'!$B$18/('Dashboard &amp; Optimisation'!$B$16/3.6)</f>
        <v/>
      </c>
      <c r="O1195" s="31" t="n">
        <v>1210.413285915134</v>
      </c>
      <c r="P1195" s="32" t="n">
        <v>0.2540490290345196</v>
      </c>
      <c r="Q1195" s="33" t="n">
        <v>15.10054050067208</v>
      </c>
      <c r="R1195" s="31" t="n">
        <v>1257.611554956589</v>
      </c>
      <c r="S1195" s="31">
        <f>R1195*IF(A1195=4, 2.0, 3.0)</f>
        <v/>
      </c>
      <c r="T1195" s="30">
        <f>'Dashboard &amp; Optimisation'!$B$18*U1195</f>
        <v/>
      </c>
      <c r="U1195" s="34">
        <f>MIN(1, S1195/M1195)</f>
        <v/>
      </c>
      <c r="V1195" s="34">
        <f>N1195/(N1195+O1195)</f>
        <v/>
      </c>
      <c r="W1195" s="34">
        <f>U1195*V1195</f>
        <v/>
      </c>
      <c r="X1195" s="32">
        <f>T1195/N1195</f>
        <v/>
      </c>
      <c r="Y1195" s="35">
        <f>IF(W1195=MAXIFS(W$2:W$3601, A$2:A$3601, A1195, B$2:B$3601, B1195), "OPTIMAL", "")</f>
        <v/>
      </c>
    </row>
    <row r="1196" ht="20" customHeight="1">
      <c r="A1196" s="21" t="n">
        <v>4</v>
      </c>
      <c r="B1196" s="21" t="n">
        <v>40</v>
      </c>
      <c r="C1196" s="22" t="n">
        <v>90</v>
      </c>
      <c r="D1196" s="22" t="n">
        <v>3</v>
      </c>
      <c r="E1196" s="23" t="n">
        <v>8</v>
      </c>
      <c r="F1196" s="22" t="n">
        <v>1.5</v>
      </c>
      <c r="G1196" s="23" t="inlineStr">
        <is>
          <t>Non</t>
        </is>
      </c>
      <c r="H1196" s="23" t="inlineStr">
        <is>
          <t>ON</t>
        </is>
      </c>
      <c r="I1196" s="24" t="n">
        <v>994.4885628369005</v>
      </c>
      <c r="J1196" s="24" t="n">
        <v>4850.441664768843</v>
      </c>
      <c r="K1196" s="24" t="n">
        <v>2726.851851851852</v>
      </c>
      <c r="L1196" s="24" t="n">
        <v>150</v>
      </c>
      <c r="M1196" s="24">
        <f>I1196+J1196+K1196+L1196</f>
        <v/>
      </c>
      <c r="N1196" s="24">
        <f>M1196*'Dashboard &amp; Optimisation'!$B$18/('Dashboard &amp; Optimisation'!$B$16/3.6)</f>
        <v/>
      </c>
      <c r="O1196" s="24" t="n">
        <v>1210.413285915134</v>
      </c>
      <c r="P1196" s="25" t="n">
        <v>0.0547141689316763</v>
      </c>
      <c r="Q1196" s="26" t="n">
        <v>15.10054050067208</v>
      </c>
      <c r="R1196" s="24" t="n">
        <v>5839.346565572067</v>
      </c>
      <c r="S1196" s="24">
        <f>R1196*IF(A1196=4, 2.0, 3.0)</f>
        <v/>
      </c>
      <c r="T1196" s="22">
        <f>'Dashboard &amp; Optimisation'!$B$18*U1196</f>
        <v/>
      </c>
      <c r="U1196" s="27">
        <f>MIN(1, S1196/M1196)</f>
        <v/>
      </c>
      <c r="V1196" s="27">
        <f>N1196/(N1196+O1196)</f>
        <v/>
      </c>
      <c r="W1196" s="27">
        <f>U1196*V1196</f>
        <v/>
      </c>
      <c r="X1196" s="25">
        <f>T1196/N1196</f>
        <v/>
      </c>
      <c r="Y1196" s="28">
        <f>IF(W1196=MAXIFS(W$2:W$3601, A$2:A$3601, A1196, B$2:B$3601, B1196), "OPTIMAL", "")</f>
        <v/>
      </c>
    </row>
    <row r="1197" ht="20" customHeight="1">
      <c r="A1197" s="29" t="n">
        <v>4</v>
      </c>
      <c r="B1197" s="29" t="n">
        <v>40</v>
      </c>
      <c r="C1197" s="30" t="n">
        <v>90</v>
      </c>
      <c r="D1197" s="30" t="n">
        <v>3</v>
      </c>
      <c r="E1197" s="6" t="n">
        <v>8</v>
      </c>
      <c r="F1197" s="30" t="n">
        <v>1.5</v>
      </c>
      <c r="G1197" s="6" t="inlineStr">
        <is>
          <t>Non</t>
        </is>
      </c>
      <c r="H1197" s="6" t="inlineStr">
        <is>
          <t>OFF</t>
        </is>
      </c>
      <c r="I1197" s="31" t="n">
        <v>994.4885628369005</v>
      </c>
      <c r="J1197" s="31" t="n">
        <v>4850.441664768843</v>
      </c>
      <c r="K1197" s="31" t="n">
        <v>2726.851851851852</v>
      </c>
      <c r="L1197" s="31" t="n">
        <v>150</v>
      </c>
      <c r="M1197" s="31">
        <f>I1197+J1197+K1197+L1197</f>
        <v/>
      </c>
      <c r="N1197" s="31">
        <f>M1197*'Dashboard &amp; Optimisation'!$B$18/('Dashboard &amp; Optimisation'!$B$16/3.6)</f>
        <v/>
      </c>
      <c r="O1197" s="31" t="n">
        <v>1210.413285915134</v>
      </c>
      <c r="P1197" s="32" t="n">
        <v>0.2505122525213664</v>
      </c>
      <c r="Q1197" s="33" t="n">
        <v>15.10054050067208</v>
      </c>
      <c r="R1197" s="31" t="n">
        <v>1275.366738447509</v>
      </c>
      <c r="S1197" s="31">
        <f>R1197*IF(A1197=4, 2.0, 3.0)</f>
        <v/>
      </c>
      <c r="T1197" s="30">
        <f>'Dashboard &amp; Optimisation'!$B$18*U1197</f>
        <v/>
      </c>
      <c r="U1197" s="34">
        <f>MIN(1, S1197/M1197)</f>
        <v/>
      </c>
      <c r="V1197" s="34">
        <f>N1197/(N1197+O1197)</f>
        <v/>
      </c>
      <c r="W1197" s="34">
        <f>U1197*V1197</f>
        <v/>
      </c>
      <c r="X1197" s="32">
        <f>T1197/N1197</f>
        <v/>
      </c>
      <c r="Y1197" s="35">
        <f>IF(W1197=MAXIFS(W$2:W$3601, A$2:A$3601, A1197, B$2:B$3601, B1197), "OPTIMAL", "")</f>
        <v/>
      </c>
    </row>
    <row r="1198" ht="20" customHeight="1">
      <c r="A1198" s="21" t="n">
        <v>4</v>
      </c>
      <c r="B1198" s="21" t="n">
        <v>40</v>
      </c>
      <c r="C1198" s="22" t="n">
        <v>90</v>
      </c>
      <c r="D1198" s="22" t="n">
        <v>3</v>
      </c>
      <c r="E1198" s="23" t="n">
        <v>8</v>
      </c>
      <c r="F1198" s="22" t="n">
        <v>2</v>
      </c>
      <c r="G1198" s="23" t="inlineStr">
        <is>
          <t>Oui</t>
        </is>
      </c>
      <c r="H1198" s="23" t="inlineStr">
        <is>
          <t>ON</t>
        </is>
      </c>
      <c r="I1198" s="24" t="n">
        <v>994.4885628369005</v>
      </c>
      <c r="J1198" s="24" t="n">
        <v>4850.441664768843</v>
      </c>
      <c r="K1198" s="24" t="n">
        <v>2726.851851851852</v>
      </c>
      <c r="L1198" s="24" t="n">
        <v>150</v>
      </c>
      <c r="M1198" s="24">
        <f>I1198+J1198+K1198+L1198</f>
        <v/>
      </c>
      <c r="N1198" s="24">
        <f>M1198*'Dashboard &amp; Optimisation'!$B$18/('Dashboard &amp; Optimisation'!$B$16/3.6)</f>
        <v/>
      </c>
      <c r="O1198" s="24" t="n">
        <v>1415.122546044145</v>
      </c>
      <c r="P1198" s="25" t="n">
        <v>0.05722883101616391</v>
      </c>
      <c r="Q1198" s="26" t="n">
        <v>20.06738733422944</v>
      </c>
      <c r="R1198" s="24" t="n">
        <v>5732.702530846502</v>
      </c>
      <c r="S1198" s="24">
        <f>R1198*IF(A1198=4, 2.0, 3.0)</f>
        <v/>
      </c>
      <c r="T1198" s="22">
        <f>'Dashboard &amp; Optimisation'!$B$18*U1198</f>
        <v/>
      </c>
      <c r="U1198" s="27">
        <f>MIN(1, S1198/M1198)</f>
        <v/>
      </c>
      <c r="V1198" s="27">
        <f>N1198/(N1198+O1198)</f>
        <v/>
      </c>
      <c r="W1198" s="27">
        <f>U1198*V1198</f>
        <v/>
      </c>
      <c r="X1198" s="25">
        <f>T1198/N1198</f>
        <v/>
      </c>
      <c r="Y1198" s="28">
        <f>IF(W1198=MAXIFS(W$2:W$3601, A$2:A$3601, A1198, B$2:B$3601, B1198), "OPTIMAL", "")</f>
        <v/>
      </c>
    </row>
    <row r="1199" ht="20" customHeight="1">
      <c r="A1199" s="29" t="n">
        <v>4</v>
      </c>
      <c r="B1199" s="29" t="n">
        <v>40</v>
      </c>
      <c r="C1199" s="30" t="n">
        <v>90</v>
      </c>
      <c r="D1199" s="30" t="n">
        <v>3</v>
      </c>
      <c r="E1199" s="6" t="n">
        <v>8</v>
      </c>
      <c r="F1199" s="30" t="n">
        <v>2</v>
      </c>
      <c r="G1199" s="6" t="inlineStr">
        <is>
          <t>Oui</t>
        </is>
      </c>
      <c r="H1199" s="6" t="inlineStr">
        <is>
          <t>OFF</t>
        </is>
      </c>
      <c r="I1199" s="31" t="n">
        <v>994.4885628369005</v>
      </c>
      <c r="J1199" s="31" t="n">
        <v>4850.441664768843</v>
      </c>
      <c r="K1199" s="31" t="n">
        <v>2726.851851851852</v>
      </c>
      <c r="L1199" s="31" t="n">
        <v>150</v>
      </c>
      <c r="M1199" s="31">
        <f>I1199+J1199+K1199+L1199</f>
        <v/>
      </c>
      <c r="N1199" s="31">
        <f>M1199*'Dashboard &amp; Optimisation'!$B$18/('Dashboard &amp; Optimisation'!$B$16/3.6)</f>
        <v/>
      </c>
      <c r="O1199" s="31" t="n">
        <v>1415.122546044145</v>
      </c>
      <c r="P1199" s="32" t="n">
        <v>0.2545702594498531</v>
      </c>
      <c r="Q1199" s="33" t="n">
        <v>20.06738733422944</v>
      </c>
      <c r="R1199" s="31" t="n">
        <v>1288.743881994496</v>
      </c>
      <c r="S1199" s="31">
        <f>R1199*IF(A1199=4, 2.0, 3.0)</f>
        <v/>
      </c>
      <c r="T1199" s="30">
        <f>'Dashboard &amp; Optimisation'!$B$18*U1199</f>
        <v/>
      </c>
      <c r="U1199" s="34">
        <f>MIN(1, S1199/M1199)</f>
        <v/>
      </c>
      <c r="V1199" s="34">
        <f>N1199/(N1199+O1199)</f>
        <v/>
      </c>
      <c r="W1199" s="34">
        <f>U1199*V1199</f>
        <v/>
      </c>
      <c r="X1199" s="32">
        <f>T1199/N1199</f>
        <v/>
      </c>
      <c r="Y1199" s="35">
        <f>IF(W1199=MAXIFS(W$2:W$3601, A$2:A$3601, A1199, B$2:B$3601, B1199), "OPTIMAL", "")</f>
        <v/>
      </c>
    </row>
    <row r="1200" ht="20" customHeight="1">
      <c r="A1200" s="21" t="n">
        <v>4</v>
      </c>
      <c r="B1200" s="21" t="n">
        <v>40</v>
      </c>
      <c r="C1200" s="22" t="n">
        <v>90</v>
      </c>
      <c r="D1200" s="22" t="n">
        <v>3</v>
      </c>
      <c r="E1200" s="23" t="n">
        <v>8</v>
      </c>
      <c r="F1200" s="22" t="n">
        <v>2</v>
      </c>
      <c r="G1200" s="23" t="inlineStr">
        <is>
          <t>Non</t>
        </is>
      </c>
      <c r="H1200" s="23" t="inlineStr">
        <is>
          <t>ON</t>
        </is>
      </c>
      <c r="I1200" s="24" t="n">
        <v>994.4885628369005</v>
      </c>
      <c r="J1200" s="24" t="n">
        <v>4850.441664768843</v>
      </c>
      <c r="K1200" s="24" t="n">
        <v>2726.851851851852</v>
      </c>
      <c r="L1200" s="24" t="n">
        <v>150</v>
      </c>
      <c r="M1200" s="24">
        <f>I1200+J1200+K1200+L1200</f>
        <v/>
      </c>
      <c r="N1200" s="24">
        <f>M1200*'Dashboard &amp; Optimisation'!$B$18/('Dashboard &amp; Optimisation'!$B$16/3.6)</f>
        <v/>
      </c>
      <c r="O1200" s="24" t="n">
        <v>1415.122546044145</v>
      </c>
      <c r="P1200" s="25" t="n">
        <v>0.05369205450301068</v>
      </c>
      <c r="Q1200" s="26" t="n">
        <v>20.06738733422944</v>
      </c>
      <c r="R1200" s="24" t="n">
        <v>6110.324282438352</v>
      </c>
      <c r="S1200" s="24">
        <f>R1200*IF(A1200=4, 2.0, 3.0)</f>
        <v/>
      </c>
      <c r="T1200" s="22">
        <f>'Dashboard &amp; Optimisation'!$B$18*U1200</f>
        <v/>
      </c>
      <c r="U1200" s="27">
        <f>MIN(1, S1200/M1200)</f>
        <v/>
      </c>
      <c r="V1200" s="27">
        <f>N1200/(N1200+O1200)</f>
        <v/>
      </c>
      <c r="W1200" s="27">
        <f>U1200*V1200</f>
        <v/>
      </c>
      <c r="X1200" s="25">
        <f>T1200/N1200</f>
        <v/>
      </c>
      <c r="Y1200" s="28">
        <f>IF(W1200=MAXIFS(W$2:W$3601, A$2:A$3601, A1200, B$2:B$3601, B1200), "OPTIMAL", "")</f>
        <v/>
      </c>
    </row>
    <row r="1201" ht="20" customHeight="1">
      <c r="A1201" s="29" t="n">
        <v>4</v>
      </c>
      <c r="B1201" s="29" t="n">
        <v>40</v>
      </c>
      <c r="C1201" s="30" t="n">
        <v>90</v>
      </c>
      <c r="D1201" s="30" t="n">
        <v>3</v>
      </c>
      <c r="E1201" s="6" t="n">
        <v>8</v>
      </c>
      <c r="F1201" s="30" t="n">
        <v>2</v>
      </c>
      <c r="G1201" s="6" t="inlineStr">
        <is>
          <t>Non</t>
        </is>
      </c>
      <c r="H1201" s="6" t="inlineStr">
        <is>
          <t>OFF</t>
        </is>
      </c>
      <c r="I1201" s="31" t="n">
        <v>994.4885628369005</v>
      </c>
      <c r="J1201" s="31" t="n">
        <v>4850.441664768843</v>
      </c>
      <c r="K1201" s="31" t="n">
        <v>2726.851851851852</v>
      </c>
      <c r="L1201" s="31" t="n">
        <v>150</v>
      </c>
      <c r="M1201" s="31">
        <f>I1201+J1201+K1201+L1201</f>
        <v/>
      </c>
      <c r="N1201" s="31">
        <f>M1201*'Dashboard &amp; Optimisation'!$B$18/('Dashboard &amp; Optimisation'!$B$16/3.6)</f>
        <v/>
      </c>
      <c r="O1201" s="31" t="n">
        <v>1415.122546044145</v>
      </c>
      <c r="P1201" s="32" t="n">
        <v>0.2510334829366998</v>
      </c>
      <c r="Q1201" s="33" t="n">
        <v>20.06738733422944</v>
      </c>
      <c r="R1201" s="31" t="n">
        <v>1306.900818830119</v>
      </c>
      <c r="S1201" s="31">
        <f>R1201*IF(A1201=4, 2.0, 3.0)</f>
        <v/>
      </c>
      <c r="T1201" s="30">
        <f>'Dashboard &amp; Optimisation'!$B$18*U1201</f>
        <v/>
      </c>
      <c r="U1201" s="34">
        <f>MIN(1, S1201/M1201)</f>
        <v/>
      </c>
      <c r="V1201" s="34">
        <f>N1201/(N1201+O1201)</f>
        <v/>
      </c>
      <c r="W1201" s="34">
        <f>U1201*V1201</f>
        <v/>
      </c>
      <c r="X1201" s="32">
        <f>T1201/N1201</f>
        <v/>
      </c>
      <c r="Y1201" s="35">
        <f>IF(W1201=MAXIFS(W$2:W$3601, A$2:A$3601, A1201, B$2:B$3601, B1201), "OPTIMAL", "")</f>
        <v/>
      </c>
    </row>
    <row r="1202" ht="20" customHeight="1">
      <c r="A1202" s="21" t="n">
        <v>4</v>
      </c>
      <c r="B1202" s="21" t="n">
        <v>40</v>
      </c>
      <c r="C1202" s="22" t="n">
        <v>95</v>
      </c>
      <c r="D1202" s="22" t="n">
        <v>2</v>
      </c>
      <c r="E1202" s="23" t="n">
        <v>0</v>
      </c>
      <c r="F1202" s="22" t="n">
        <v>0</v>
      </c>
      <c r="G1202" s="23" t="inlineStr">
        <is>
          <t>Oui</t>
        </is>
      </c>
      <c r="H1202" s="23" t="inlineStr">
        <is>
          <t>ON</t>
        </is>
      </c>
      <c r="I1202" s="24" t="n">
        <v>994.4885628369005</v>
      </c>
      <c r="J1202" s="24" t="n">
        <v>4850.441664768843</v>
      </c>
      <c r="K1202" s="24" t="n">
        <v>2726.851851851852</v>
      </c>
      <c r="L1202" s="24" t="n">
        <v>150</v>
      </c>
      <c r="M1202" s="24">
        <f>I1202+J1202+K1202+L1202</f>
        <v/>
      </c>
      <c r="N1202" s="24">
        <f>M1202*'Dashboard &amp; Optimisation'!$B$18/('Dashboard &amp; Optimisation'!$B$16/3.6)</f>
        <v/>
      </c>
      <c r="O1202" s="24" t="n">
        <v>398.2540520957693</v>
      </c>
      <c r="P1202" s="25" t="n">
        <v>0.4850371448496216</v>
      </c>
      <c r="Q1202" s="26" t="n">
        <v>0.2</v>
      </c>
      <c r="R1202" s="24" t="n">
        <v>520.4255662780829</v>
      </c>
      <c r="S1202" s="24">
        <f>R1202*IF(A1202=4, 2.0, 3.0)</f>
        <v/>
      </c>
      <c r="T1202" s="22">
        <f>'Dashboard &amp; Optimisation'!$B$18*U1202</f>
        <v/>
      </c>
      <c r="U1202" s="27">
        <f>MIN(1, S1202/M1202)</f>
        <v/>
      </c>
      <c r="V1202" s="27">
        <f>N1202/(N1202+O1202)</f>
        <v/>
      </c>
      <c r="W1202" s="27">
        <f>U1202*V1202</f>
        <v/>
      </c>
      <c r="X1202" s="25">
        <f>T1202/N1202</f>
        <v/>
      </c>
      <c r="Y1202" s="28">
        <f>IF(W1202=MAXIFS(W$2:W$3601, A$2:A$3601, A1202, B$2:B$3601, B1202), "OPTIMAL", "")</f>
        <v/>
      </c>
    </row>
    <row r="1203" ht="20" customHeight="1">
      <c r="A1203" s="29" t="n">
        <v>4</v>
      </c>
      <c r="B1203" s="29" t="n">
        <v>40</v>
      </c>
      <c r="C1203" s="30" t="n">
        <v>95</v>
      </c>
      <c r="D1203" s="30" t="n">
        <v>2</v>
      </c>
      <c r="E1203" s="6" t="n">
        <v>0</v>
      </c>
      <c r="F1203" s="30" t="n">
        <v>0</v>
      </c>
      <c r="G1203" s="6" t="inlineStr">
        <is>
          <t>Oui</t>
        </is>
      </c>
      <c r="H1203" s="6" t="inlineStr">
        <is>
          <t>OFF</t>
        </is>
      </c>
      <c r="I1203" s="31" t="n">
        <v>994.4885628369005</v>
      </c>
      <c r="J1203" s="31" t="n">
        <v>4850.441664768843</v>
      </c>
      <c r="K1203" s="31" t="n">
        <v>2726.851851851852</v>
      </c>
      <c r="L1203" s="31" t="n">
        <v>150</v>
      </c>
      <c r="M1203" s="31">
        <f>I1203+J1203+K1203+L1203</f>
        <v/>
      </c>
      <c r="N1203" s="31">
        <f>M1203*'Dashboard &amp; Optimisation'!$B$18/('Dashboard &amp; Optimisation'!$B$16/3.6)</f>
        <v/>
      </c>
      <c r="O1203" s="31" t="n">
        <v>398.2540520957693</v>
      </c>
      <c r="P1203" s="32" t="n">
        <v>0.8201001829378223</v>
      </c>
      <c r="Q1203" s="33" t="n">
        <v>0.2</v>
      </c>
      <c r="R1203" s="31" t="n">
        <v>307.7986519525103</v>
      </c>
      <c r="S1203" s="31">
        <f>R1203*IF(A1203=4, 2.0, 3.0)</f>
        <v/>
      </c>
      <c r="T1203" s="30">
        <f>'Dashboard &amp; Optimisation'!$B$18*U1203</f>
        <v/>
      </c>
      <c r="U1203" s="34">
        <f>MIN(1, S1203/M1203)</f>
        <v/>
      </c>
      <c r="V1203" s="34">
        <f>N1203/(N1203+O1203)</f>
        <v/>
      </c>
      <c r="W1203" s="34">
        <f>U1203*V1203</f>
        <v/>
      </c>
      <c r="X1203" s="32">
        <f>T1203/N1203</f>
        <v/>
      </c>
      <c r="Y1203" s="35">
        <f>IF(W1203=MAXIFS(W$2:W$3601, A$2:A$3601, A1203, B$2:B$3601, B1203), "OPTIMAL", "")</f>
        <v/>
      </c>
    </row>
    <row r="1204" ht="20" customHeight="1">
      <c r="A1204" s="21" t="n">
        <v>4</v>
      </c>
      <c r="B1204" s="21" t="n">
        <v>40</v>
      </c>
      <c r="C1204" s="22" t="n">
        <v>95</v>
      </c>
      <c r="D1204" s="22" t="n">
        <v>2</v>
      </c>
      <c r="E1204" s="23" t="n">
        <v>0</v>
      </c>
      <c r="F1204" s="22" t="n">
        <v>0</v>
      </c>
      <c r="G1204" s="23" t="inlineStr">
        <is>
          <t>Non</t>
        </is>
      </c>
      <c r="H1204" s="23" t="inlineStr">
        <is>
          <t>ON</t>
        </is>
      </c>
      <c r="I1204" s="24" t="n">
        <v>994.4885628369005</v>
      </c>
      <c r="J1204" s="24" t="n">
        <v>4850.441664768843</v>
      </c>
      <c r="K1204" s="24" t="n">
        <v>2726.851851851852</v>
      </c>
      <c r="L1204" s="24" t="n">
        <v>150</v>
      </c>
      <c r="M1204" s="24">
        <f>I1204+J1204+K1204+L1204</f>
        <v/>
      </c>
      <c r="N1204" s="24">
        <f>M1204*'Dashboard &amp; Optimisation'!$B$18/('Dashboard &amp; Optimisation'!$B$16/3.6)</f>
        <v/>
      </c>
      <c r="O1204" s="24" t="n">
        <v>398.2540520957693</v>
      </c>
      <c r="P1204" s="25" t="n">
        <v>0.4816865144687396</v>
      </c>
      <c r="Q1204" s="26" t="n">
        <v>0.2</v>
      </c>
      <c r="R1204" s="24" t="n">
        <v>524.0456670302957</v>
      </c>
      <c r="S1204" s="24">
        <f>R1204*IF(A1204=4, 2.0, 3.0)</f>
        <v/>
      </c>
      <c r="T1204" s="22">
        <f>'Dashboard &amp; Optimisation'!$B$18*U1204</f>
        <v/>
      </c>
      <c r="U1204" s="27">
        <f>MIN(1, S1204/M1204)</f>
        <v/>
      </c>
      <c r="V1204" s="27">
        <f>N1204/(N1204+O1204)</f>
        <v/>
      </c>
      <c r="W1204" s="27">
        <f>U1204*V1204</f>
        <v/>
      </c>
      <c r="X1204" s="25">
        <f>T1204/N1204</f>
        <v/>
      </c>
      <c r="Y1204" s="28">
        <f>IF(W1204=MAXIFS(W$2:W$3601, A$2:A$3601, A1204, B$2:B$3601, B1204), "OPTIMAL", "")</f>
        <v/>
      </c>
    </row>
    <row r="1205" ht="20" customHeight="1">
      <c r="A1205" s="29" t="n">
        <v>4</v>
      </c>
      <c r="B1205" s="29" t="n">
        <v>40</v>
      </c>
      <c r="C1205" s="30" t="n">
        <v>95</v>
      </c>
      <c r="D1205" s="30" t="n">
        <v>2</v>
      </c>
      <c r="E1205" s="6" t="n">
        <v>0</v>
      </c>
      <c r="F1205" s="30" t="n">
        <v>0</v>
      </c>
      <c r="G1205" s="6" t="inlineStr">
        <is>
          <t>Non</t>
        </is>
      </c>
      <c r="H1205" s="6" t="inlineStr">
        <is>
          <t>OFF</t>
        </is>
      </c>
      <c r="I1205" s="31" t="n">
        <v>994.4885628369005</v>
      </c>
      <c r="J1205" s="31" t="n">
        <v>4850.441664768843</v>
      </c>
      <c r="K1205" s="31" t="n">
        <v>2726.851851851852</v>
      </c>
      <c r="L1205" s="31" t="n">
        <v>150</v>
      </c>
      <c r="M1205" s="31">
        <f>I1205+J1205+K1205+L1205</f>
        <v/>
      </c>
      <c r="N1205" s="31">
        <f>M1205*'Dashboard &amp; Optimisation'!$B$18/('Dashboard &amp; Optimisation'!$B$16/3.6)</f>
        <v/>
      </c>
      <c r="O1205" s="31" t="n">
        <v>398.2540520957693</v>
      </c>
      <c r="P1205" s="32" t="n">
        <v>0.8167495525569404</v>
      </c>
      <c r="Q1205" s="33" t="n">
        <v>0.2</v>
      </c>
      <c r="R1205" s="31" t="n">
        <v>309.0613640179138</v>
      </c>
      <c r="S1205" s="31">
        <f>R1205*IF(A1205=4, 2.0, 3.0)</f>
        <v/>
      </c>
      <c r="T1205" s="30">
        <f>'Dashboard &amp; Optimisation'!$B$18*U1205</f>
        <v/>
      </c>
      <c r="U1205" s="34">
        <f>MIN(1, S1205/M1205)</f>
        <v/>
      </c>
      <c r="V1205" s="34">
        <f>N1205/(N1205+O1205)</f>
        <v/>
      </c>
      <c r="W1205" s="34">
        <f>U1205*V1205</f>
        <v/>
      </c>
      <c r="X1205" s="32">
        <f>T1205/N1205</f>
        <v/>
      </c>
      <c r="Y1205" s="35">
        <f>IF(W1205=MAXIFS(W$2:W$3601, A$2:A$3601, A1205, B$2:B$3601, B1205), "OPTIMAL", "")</f>
        <v/>
      </c>
    </row>
    <row r="1206" ht="20" customHeight="1">
      <c r="A1206" s="21" t="n">
        <v>4</v>
      </c>
      <c r="B1206" s="21" t="n">
        <v>40</v>
      </c>
      <c r="C1206" s="22" t="n">
        <v>95</v>
      </c>
      <c r="D1206" s="22" t="n">
        <v>2</v>
      </c>
      <c r="E1206" s="23" t="n">
        <v>4</v>
      </c>
      <c r="F1206" s="22" t="n">
        <v>1.5</v>
      </c>
      <c r="G1206" s="23" t="inlineStr">
        <is>
          <t>Oui</t>
        </is>
      </c>
      <c r="H1206" s="23" t="inlineStr">
        <is>
          <t>ON</t>
        </is>
      </c>
      <c r="I1206" s="24" t="n">
        <v>994.4885628369005</v>
      </c>
      <c r="J1206" s="24" t="n">
        <v>4850.441664768843</v>
      </c>
      <c r="K1206" s="24" t="n">
        <v>2726.851851851852</v>
      </c>
      <c r="L1206" s="24" t="n">
        <v>150</v>
      </c>
      <c r="M1206" s="24">
        <f>I1206+J1206+K1206+L1206</f>
        <v/>
      </c>
      <c r="N1206" s="24">
        <f>M1206*'Dashboard &amp; Optimisation'!$B$18/('Dashboard &amp; Optimisation'!$B$16/3.6)</f>
        <v/>
      </c>
      <c r="O1206" s="24" t="n">
        <v>629.5853504308524</v>
      </c>
      <c r="P1206" s="25" t="n">
        <v>0.07557959322797822</v>
      </c>
      <c r="Q1206" s="26" t="n">
        <v>7.077172538771729</v>
      </c>
      <c r="R1206" s="24" t="n">
        <v>3455.915680859761</v>
      </c>
      <c r="S1206" s="24">
        <f>R1206*IF(A1206=4, 2.0, 3.0)</f>
        <v/>
      </c>
      <c r="T1206" s="22">
        <f>'Dashboard &amp; Optimisation'!$B$18*U1206</f>
        <v/>
      </c>
      <c r="U1206" s="27">
        <f>MIN(1, S1206/M1206)</f>
        <v/>
      </c>
      <c r="V1206" s="27">
        <f>N1206/(N1206+O1206)</f>
        <v/>
      </c>
      <c r="W1206" s="27">
        <f>U1206*V1206</f>
        <v/>
      </c>
      <c r="X1206" s="25">
        <f>T1206/N1206</f>
        <v/>
      </c>
      <c r="Y1206" s="28">
        <f>IF(W1206=MAXIFS(W$2:W$3601, A$2:A$3601, A1206, B$2:B$3601, B1206), "OPTIMAL", "")</f>
        <v/>
      </c>
    </row>
    <row r="1207" ht="20" customHeight="1">
      <c r="A1207" s="29" t="n">
        <v>4</v>
      </c>
      <c r="B1207" s="29" t="n">
        <v>40</v>
      </c>
      <c r="C1207" s="30" t="n">
        <v>95</v>
      </c>
      <c r="D1207" s="30" t="n">
        <v>2</v>
      </c>
      <c r="E1207" s="6" t="n">
        <v>4</v>
      </c>
      <c r="F1207" s="30" t="n">
        <v>1.5</v>
      </c>
      <c r="G1207" s="6" t="inlineStr">
        <is>
          <t>Oui</t>
        </is>
      </c>
      <c r="H1207" s="6" t="inlineStr">
        <is>
          <t>OFF</t>
        </is>
      </c>
      <c r="I1207" s="31" t="n">
        <v>994.4885628369005</v>
      </c>
      <c r="J1207" s="31" t="n">
        <v>4850.441664768843</v>
      </c>
      <c r="K1207" s="31" t="n">
        <v>2726.851851851852</v>
      </c>
      <c r="L1207" s="31" t="n">
        <v>150</v>
      </c>
      <c r="M1207" s="31">
        <f>I1207+J1207+K1207+L1207</f>
        <v/>
      </c>
      <c r="N1207" s="31">
        <f>M1207*'Dashboard &amp; Optimisation'!$B$18/('Dashboard &amp; Optimisation'!$B$16/3.6)</f>
        <v/>
      </c>
      <c r="O1207" s="31" t="n">
        <v>629.5853504308524</v>
      </c>
      <c r="P1207" s="32" t="n">
        <v>0.3180372372232345</v>
      </c>
      <c r="Q1207" s="33" t="n">
        <v>7.077172538771729</v>
      </c>
      <c r="R1207" s="31" t="n">
        <v>821.2771047505822</v>
      </c>
      <c r="S1207" s="31">
        <f>R1207*IF(A1207=4, 2.0, 3.0)</f>
        <v/>
      </c>
      <c r="T1207" s="30">
        <f>'Dashboard &amp; Optimisation'!$B$18*U1207</f>
        <v/>
      </c>
      <c r="U1207" s="34">
        <f>MIN(1, S1207/M1207)</f>
        <v/>
      </c>
      <c r="V1207" s="34">
        <f>N1207/(N1207+O1207)</f>
        <v/>
      </c>
      <c r="W1207" s="34">
        <f>U1207*V1207</f>
        <v/>
      </c>
      <c r="X1207" s="32">
        <f>T1207/N1207</f>
        <v/>
      </c>
      <c r="Y1207" s="35">
        <f>IF(W1207=MAXIFS(W$2:W$3601, A$2:A$3601, A1207, B$2:B$3601, B1207), "OPTIMAL", "")</f>
        <v/>
      </c>
    </row>
    <row r="1208" ht="20" customHeight="1">
      <c r="A1208" s="21" t="n">
        <v>4</v>
      </c>
      <c r="B1208" s="21" t="n">
        <v>40</v>
      </c>
      <c r="C1208" s="22" t="n">
        <v>95</v>
      </c>
      <c r="D1208" s="22" t="n">
        <v>2</v>
      </c>
      <c r="E1208" s="23" t="n">
        <v>4</v>
      </c>
      <c r="F1208" s="22" t="n">
        <v>1.5</v>
      </c>
      <c r="G1208" s="23" t="inlineStr">
        <is>
          <t>Non</t>
        </is>
      </c>
      <c r="H1208" s="23" t="inlineStr">
        <is>
          <t>ON</t>
        </is>
      </c>
      <c r="I1208" s="24" t="n">
        <v>994.4885628369005</v>
      </c>
      <c r="J1208" s="24" t="n">
        <v>4850.441664768843</v>
      </c>
      <c r="K1208" s="24" t="n">
        <v>2726.851851851852</v>
      </c>
      <c r="L1208" s="24" t="n">
        <v>150</v>
      </c>
      <c r="M1208" s="24">
        <f>I1208+J1208+K1208+L1208</f>
        <v/>
      </c>
      <c r="N1208" s="24">
        <f>M1208*'Dashboard &amp; Optimisation'!$B$18/('Dashboard &amp; Optimisation'!$B$16/3.6)</f>
        <v/>
      </c>
      <c r="O1208" s="24" t="n">
        <v>629.5853504308524</v>
      </c>
      <c r="P1208" s="25" t="n">
        <v>0.07222896284709622</v>
      </c>
      <c r="Q1208" s="26" t="n">
        <v>7.077172538771729</v>
      </c>
      <c r="R1208" s="24" t="n">
        <v>3616.232202343922</v>
      </c>
      <c r="S1208" s="24">
        <f>R1208*IF(A1208=4, 2.0, 3.0)</f>
        <v/>
      </c>
      <c r="T1208" s="22">
        <f>'Dashboard &amp; Optimisation'!$B$18*U1208</f>
        <v/>
      </c>
      <c r="U1208" s="27">
        <f>MIN(1, S1208/M1208)</f>
        <v/>
      </c>
      <c r="V1208" s="27">
        <f>N1208/(N1208+O1208)</f>
        <v/>
      </c>
      <c r="W1208" s="27">
        <f>U1208*V1208</f>
        <v/>
      </c>
      <c r="X1208" s="25">
        <f>T1208/N1208</f>
        <v/>
      </c>
      <c r="Y1208" s="28">
        <f>IF(W1208=MAXIFS(W$2:W$3601, A$2:A$3601, A1208, B$2:B$3601, B1208), "OPTIMAL", "")</f>
        <v/>
      </c>
    </row>
    <row r="1209" ht="20" customHeight="1">
      <c r="A1209" s="29" t="n">
        <v>4</v>
      </c>
      <c r="B1209" s="29" t="n">
        <v>40</v>
      </c>
      <c r="C1209" s="30" t="n">
        <v>95</v>
      </c>
      <c r="D1209" s="30" t="n">
        <v>2</v>
      </c>
      <c r="E1209" s="6" t="n">
        <v>4</v>
      </c>
      <c r="F1209" s="30" t="n">
        <v>1.5</v>
      </c>
      <c r="G1209" s="6" t="inlineStr">
        <is>
          <t>Non</t>
        </is>
      </c>
      <c r="H1209" s="6" t="inlineStr">
        <is>
          <t>OFF</t>
        </is>
      </c>
      <c r="I1209" s="31" t="n">
        <v>994.4885628369005</v>
      </c>
      <c r="J1209" s="31" t="n">
        <v>4850.441664768843</v>
      </c>
      <c r="K1209" s="31" t="n">
        <v>2726.851851851852</v>
      </c>
      <c r="L1209" s="31" t="n">
        <v>150</v>
      </c>
      <c r="M1209" s="31">
        <f>I1209+J1209+K1209+L1209</f>
        <v/>
      </c>
      <c r="N1209" s="31">
        <f>M1209*'Dashboard &amp; Optimisation'!$B$18/('Dashboard &amp; Optimisation'!$B$16/3.6)</f>
        <v/>
      </c>
      <c r="O1209" s="31" t="n">
        <v>629.5853504308524</v>
      </c>
      <c r="P1209" s="32" t="n">
        <v>0.3146866068423525</v>
      </c>
      <c r="Q1209" s="33" t="n">
        <v>7.077172538771729</v>
      </c>
      <c r="R1209" s="31" t="n">
        <v>830.0216650797057</v>
      </c>
      <c r="S1209" s="31">
        <f>R1209*IF(A1209=4, 2.0, 3.0)</f>
        <v/>
      </c>
      <c r="T1209" s="30">
        <f>'Dashboard &amp; Optimisation'!$B$18*U1209</f>
        <v/>
      </c>
      <c r="U1209" s="34">
        <f>MIN(1, S1209/M1209)</f>
        <v/>
      </c>
      <c r="V1209" s="34">
        <f>N1209/(N1209+O1209)</f>
        <v/>
      </c>
      <c r="W1209" s="34">
        <f>U1209*V1209</f>
        <v/>
      </c>
      <c r="X1209" s="32">
        <f>T1209/N1209</f>
        <v/>
      </c>
      <c r="Y1209" s="35">
        <f>IF(W1209=MAXIFS(W$2:W$3601, A$2:A$3601, A1209, B$2:B$3601, B1209), "OPTIMAL", "")</f>
        <v/>
      </c>
    </row>
    <row r="1210" ht="20" customHeight="1">
      <c r="A1210" s="21" t="n">
        <v>4</v>
      </c>
      <c r="B1210" s="21" t="n">
        <v>40</v>
      </c>
      <c r="C1210" s="22" t="n">
        <v>95</v>
      </c>
      <c r="D1210" s="22" t="n">
        <v>2</v>
      </c>
      <c r="E1210" s="23" t="n">
        <v>4</v>
      </c>
      <c r="F1210" s="22" t="n">
        <v>2</v>
      </c>
      <c r="G1210" s="23" t="inlineStr">
        <is>
          <t>Oui</t>
        </is>
      </c>
      <c r="H1210" s="23" t="inlineStr">
        <is>
          <t>ON</t>
        </is>
      </c>
      <c r="I1210" s="24" t="n">
        <v>994.4885628369005</v>
      </c>
      <c r="J1210" s="24" t="n">
        <v>4850.441664768843</v>
      </c>
      <c r="K1210" s="24" t="n">
        <v>2726.851851851852</v>
      </c>
      <c r="L1210" s="24" t="n">
        <v>150</v>
      </c>
      <c r="M1210" s="24">
        <f>I1210+J1210+K1210+L1210</f>
        <v/>
      </c>
      <c r="N1210" s="24">
        <f>M1210*'Dashboard &amp; Optimisation'!$B$18/('Dashboard &amp; Optimisation'!$B$16/3.6)</f>
        <v/>
      </c>
      <c r="O1210" s="24" t="n">
        <v>710.3100929927153</v>
      </c>
      <c r="P1210" s="25" t="n">
        <v>0.07304296145994044</v>
      </c>
      <c r="Q1210" s="26" t="n">
        <v>9.36956338502897</v>
      </c>
      <c r="R1210" s="24" t="n">
        <v>3617.835178493169</v>
      </c>
      <c r="S1210" s="24">
        <f>R1210*IF(A1210=4, 2.0, 3.0)</f>
        <v/>
      </c>
      <c r="T1210" s="22">
        <f>'Dashboard &amp; Optimisation'!$B$18*U1210</f>
        <v/>
      </c>
      <c r="U1210" s="27">
        <f>MIN(1, S1210/M1210)</f>
        <v/>
      </c>
      <c r="V1210" s="27">
        <f>N1210/(N1210+O1210)</f>
        <v/>
      </c>
      <c r="W1210" s="27">
        <f>U1210*V1210</f>
        <v/>
      </c>
      <c r="X1210" s="25">
        <f>T1210/N1210</f>
        <v/>
      </c>
      <c r="Y1210" s="28">
        <f>IF(W1210=MAXIFS(W$2:W$3601, A$2:A$3601, A1210, B$2:B$3601, B1210), "OPTIMAL", "")</f>
        <v/>
      </c>
    </row>
    <row r="1211" ht="20" customHeight="1">
      <c r="A1211" s="29" t="n">
        <v>4</v>
      </c>
      <c r="B1211" s="29" t="n">
        <v>40</v>
      </c>
      <c r="C1211" s="30" t="n">
        <v>95</v>
      </c>
      <c r="D1211" s="30" t="n">
        <v>2</v>
      </c>
      <c r="E1211" s="6" t="n">
        <v>4</v>
      </c>
      <c r="F1211" s="30" t="n">
        <v>2</v>
      </c>
      <c r="G1211" s="6" t="inlineStr">
        <is>
          <t>Oui</t>
        </is>
      </c>
      <c r="H1211" s="6" t="inlineStr">
        <is>
          <t>OFF</t>
        </is>
      </c>
      <c r="I1211" s="31" t="n">
        <v>994.4885628369005</v>
      </c>
      <c r="J1211" s="31" t="n">
        <v>4850.441664768843</v>
      </c>
      <c r="K1211" s="31" t="n">
        <v>2726.851851851852</v>
      </c>
      <c r="L1211" s="31" t="n">
        <v>150</v>
      </c>
      <c r="M1211" s="31">
        <f>I1211+J1211+K1211+L1211</f>
        <v/>
      </c>
      <c r="N1211" s="31">
        <f>M1211*'Dashboard &amp; Optimisation'!$B$18/('Dashboard &amp; Optimisation'!$B$16/3.6)</f>
        <v/>
      </c>
      <c r="O1211" s="31" t="n">
        <v>710.3100929927153</v>
      </c>
      <c r="P1211" s="32" t="n">
        <v>0.316679947936384</v>
      </c>
      <c r="Q1211" s="33" t="n">
        <v>9.36956338502897</v>
      </c>
      <c r="R1211" s="31" t="n">
        <v>834.4620404073655</v>
      </c>
      <c r="S1211" s="31">
        <f>R1211*IF(A1211=4, 2.0, 3.0)</f>
        <v/>
      </c>
      <c r="T1211" s="30">
        <f>'Dashboard &amp; Optimisation'!$B$18*U1211</f>
        <v/>
      </c>
      <c r="U1211" s="34">
        <f>MIN(1, S1211/M1211)</f>
        <v/>
      </c>
      <c r="V1211" s="34">
        <f>N1211/(N1211+O1211)</f>
        <v/>
      </c>
      <c r="W1211" s="34">
        <f>U1211*V1211</f>
        <v/>
      </c>
      <c r="X1211" s="32">
        <f>T1211/N1211</f>
        <v/>
      </c>
      <c r="Y1211" s="35">
        <f>IF(W1211=MAXIFS(W$2:W$3601, A$2:A$3601, A1211, B$2:B$3601, B1211), "OPTIMAL", "")</f>
        <v/>
      </c>
    </row>
    <row r="1212" ht="20" customHeight="1">
      <c r="A1212" s="21" t="n">
        <v>4</v>
      </c>
      <c r="B1212" s="21" t="n">
        <v>40</v>
      </c>
      <c r="C1212" s="22" t="n">
        <v>95</v>
      </c>
      <c r="D1212" s="22" t="n">
        <v>2</v>
      </c>
      <c r="E1212" s="23" t="n">
        <v>4</v>
      </c>
      <c r="F1212" s="22" t="n">
        <v>2</v>
      </c>
      <c r="G1212" s="23" t="inlineStr">
        <is>
          <t>Non</t>
        </is>
      </c>
      <c r="H1212" s="23" t="inlineStr">
        <is>
          <t>ON</t>
        </is>
      </c>
      <c r="I1212" s="24" t="n">
        <v>994.4885628369005</v>
      </c>
      <c r="J1212" s="24" t="n">
        <v>4850.441664768843</v>
      </c>
      <c r="K1212" s="24" t="n">
        <v>2726.851851851852</v>
      </c>
      <c r="L1212" s="24" t="n">
        <v>150</v>
      </c>
      <c r="M1212" s="24">
        <f>I1212+J1212+K1212+L1212</f>
        <v/>
      </c>
      <c r="N1212" s="24">
        <f>M1212*'Dashboard &amp; Optimisation'!$B$18/('Dashboard &amp; Optimisation'!$B$16/3.6)</f>
        <v/>
      </c>
      <c r="O1212" s="24" t="n">
        <v>710.3100929927153</v>
      </c>
      <c r="P1212" s="25" t="n">
        <v>0.06969233107905842</v>
      </c>
      <c r="Q1212" s="26" t="n">
        <v>9.36956338502897</v>
      </c>
      <c r="R1212" s="24" t="n">
        <v>3791.771510861386</v>
      </c>
      <c r="S1212" s="24">
        <f>R1212*IF(A1212=4, 2.0, 3.0)</f>
        <v/>
      </c>
      <c r="T1212" s="22">
        <f>'Dashboard &amp; Optimisation'!$B$18*U1212</f>
        <v/>
      </c>
      <c r="U1212" s="27">
        <f>MIN(1, S1212/M1212)</f>
        <v/>
      </c>
      <c r="V1212" s="27">
        <f>N1212/(N1212+O1212)</f>
        <v/>
      </c>
      <c r="W1212" s="27">
        <f>U1212*V1212</f>
        <v/>
      </c>
      <c r="X1212" s="25">
        <f>T1212/N1212</f>
        <v/>
      </c>
      <c r="Y1212" s="28">
        <f>IF(W1212=MAXIFS(W$2:W$3601, A$2:A$3601, A1212, B$2:B$3601, B1212), "OPTIMAL", "")</f>
        <v/>
      </c>
    </row>
    <row r="1213" ht="20" customHeight="1">
      <c r="A1213" s="29" t="n">
        <v>4</v>
      </c>
      <c r="B1213" s="29" t="n">
        <v>40</v>
      </c>
      <c r="C1213" s="30" t="n">
        <v>95</v>
      </c>
      <c r="D1213" s="30" t="n">
        <v>2</v>
      </c>
      <c r="E1213" s="6" t="n">
        <v>4</v>
      </c>
      <c r="F1213" s="30" t="n">
        <v>2</v>
      </c>
      <c r="G1213" s="6" t="inlineStr">
        <is>
          <t>Non</t>
        </is>
      </c>
      <c r="H1213" s="6" t="inlineStr">
        <is>
          <t>OFF</t>
        </is>
      </c>
      <c r="I1213" s="31" t="n">
        <v>994.4885628369005</v>
      </c>
      <c r="J1213" s="31" t="n">
        <v>4850.441664768843</v>
      </c>
      <c r="K1213" s="31" t="n">
        <v>2726.851851851852</v>
      </c>
      <c r="L1213" s="31" t="n">
        <v>150</v>
      </c>
      <c r="M1213" s="31">
        <f>I1213+J1213+K1213+L1213</f>
        <v/>
      </c>
      <c r="N1213" s="31">
        <f>M1213*'Dashboard &amp; Optimisation'!$B$18/('Dashboard &amp; Optimisation'!$B$16/3.6)</f>
        <v/>
      </c>
      <c r="O1213" s="31" t="n">
        <v>710.3100929927153</v>
      </c>
      <c r="P1213" s="32" t="n">
        <v>0.313329317555502</v>
      </c>
      <c r="Q1213" s="33" t="n">
        <v>9.36956338502897</v>
      </c>
      <c r="R1213" s="31" t="n">
        <v>843.3854756163495</v>
      </c>
      <c r="S1213" s="31">
        <f>R1213*IF(A1213=4, 2.0, 3.0)</f>
        <v/>
      </c>
      <c r="T1213" s="30">
        <f>'Dashboard &amp; Optimisation'!$B$18*U1213</f>
        <v/>
      </c>
      <c r="U1213" s="34">
        <f>MIN(1, S1213/M1213)</f>
        <v/>
      </c>
      <c r="V1213" s="34">
        <f>N1213/(N1213+O1213)</f>
        <v/>
      </c>
      <c r="W1213" s="34">
        <f>U1213*V1213</f>
        <v/>
      </c>
      <c r="X1213" s="32">
        <f>T1213/N1213</f>
        <v/>
      </c>
      <c r="Y1213" s="35">
        <f>IF(W1213=MAXIFS(W$2:W$3601, A$2:A$3601, A1213, B$2:B$3601, B1213), "OPTIMAL", "")</f>
        <v/>
      </c>
    </row>
    <row r="1214" ht="20" customHeight="1">
      <c r="A1214" s="21" t="n">
        <v>4</v>
      </c>
      <c r="B1214" s="21" t="n">
        <v>40</v>
      </c>
      <c r="C1214" s="22" t="n">
        <v>95</v>
      </c>
      <c r="D1214" s="22" t="n">
        <v>2</v>
      </c>
      <c r="E1214" s="23" t="n">
        <v>8</v>
      </c>
      <c r="F1214" s="22" t="n">
        <v>1.5</v>
      </c>
      <c r="G1214" s="23" t="inlineStr">
        <is>
          <t>Oui</t>
        </is>
      </c>
      <c r="H1214" s="23" t="inlineStr">
        <is>
          <t>ON</t>
        </is>
      </c>
      <c r="I1214" s="24" t="n">
        <v>994.4885628369005</v>
      </c>
      <c r="J1214" s="24" t="n">
        <v>4850.441664768843</v>
      </c>
      <c r="K1214" s="24" t="n">
        <v>2726.851851851852</v>
      </c>
      <c r="L1214" s="24" t="n">
        <v>150</v>
      </c>
      <c r="M1214" s="24">
        <f>I1214+J1214+K1214+L1214</f>
        <v/>
      </c>
      <c r="N1214" s="24">
        <f>M1214*'Dashboard &amp; Optimisation'!$B$18/('Dashboard &amp; Optimisation'!$B$16/3.6)</f>
        <v/>
      </c>
      <c r="O1214" s="24" t="n">
        <v>877.5713615141966</v>
      </c>
      <c r="P1214" s="25" t="n">
        <v>0.05699087655301123</v>
      </c>
      <c r="Q1214" s="26" t="n">
        <v>13.95434507754346</v>
      </c>
      <c r="R1214" s="24" t="n">
        <v>4748.113294702639</v>
      </c>
      <c r="S1214" s="24">
        <f>R1214*IF(A1214=4, 2.0, 3.0)</f>
        <v/>
      </c>
      <c r="T1214" s="22">
        <f>'Dashboard &amp; Optimisation'!$B$18*U1214</f>
        <v/>
      </c>
      <c r="U1214" s="27">
        <f>MIN(1, S1214/M1214)</f>
        <v/>
      </c>
      <c r="V1214" s="27">
        <f>N1214/(N1214+O1214)</f>
        <v/>
      </c>
      <c r="W1214" s="27">
        <f>U1214*V1214</f>
        <v/>
      </c>
      <c r="X1214" s="25">
        <f>T1214/N1214</f>
        <v/>
      </c>
      <c r="Y1214" s="28">
        <f>IF(W1214=MAXIFS(W$2:W$3601, A$2:A$3601, A1214, B$2:B$3601, B1214), "OPTIMAL", "")</f>
        <v/>
      </c>
    </row>
    <row r="1215" ht="20" customHeight="1">
      <c r="A1215" s="29" t="n">
        <v>4</v>
      </c>
      <c r="B1215" s="29" t="n">
        <v>40</v>
      </c>
      <c r="C1215" s="30" t="n">
        <v>95</v>
      </c>
      <c r="D1215" s="30" t="n">
        <v>2</v>
      </c>
      <c r="E1215" s="6" t="n">
        <v>8</v>
      </c>
      <c r="F1215" s="30" t="n">
        <v>1.5</v>
      </c>
      <c r="G1215" s="6" t="inlineStr">
        <is>
          <t>Oui</t>
        </is>
      </c>
      <c r="H1215" s="6" t="inlineStr">
        <is>
          <t>OFF</t>
        </is>
      </c>
      <c r="I1215" s="31" t="n">
        <v>994.4885628369005</v>
      </c>
      <c r="J1215" s="31" t="n">
        <v>4850.441664768843</v>
      </c>
      <c r="K1215" s="31" t="n">
        <v>2726.851851851852</v>
      </c>
      <c r="L1215" s="31" t="n">
        <v>150</v>
      </c>
      <c r="M1215" s="31">
        <f>I1215+J1215+K1215+L1215</f>
        <v/>
      </c>
      <c r="N1215" s="31">
        <f>M1215*'Dashboard &amp; Optimisation'!$B$18/('Dashboard &amp; Optimisation'!$B$16/3.6)</f>
        <v/>
      </c>
      <c r="O1215" s="31" t="n">
        <v>877.5713615141966</v>
      </c>
      <c r="P1215" s="32" t="n">
        <v>0.2469467888801933</v>
      </c>
      <c r="Q1215" s="33" t="n">
        <v>13.95434507754346</v>
      </c>
      <c r="R1215" s="31" t="n">
        <v>1095.779134708211</v>
      </c>
      <c r="S1215" s="31">
        <f>R1215*IF(A1215=4, 2.0, 3.0)</f>
        <v/>
      </c>
      <c r="T1215" s="30">
        <f>'Dashboard &amp; Optimisation'!$B$18*U1215</f>
        <v/>
      </c>
      <c r="U1215" s="34">
        <f>MIN(1, S1215/M1215)</f>
        <v/>
      </c>
      <c r="V1215" s="34">
        <f>N1215/(N1215+O1215)</f>
        <v/>
      </c>
      <c r="W1215" s="34">
        <f>U1215*V1215</f>
        <v/>
      </c>
      <c r="X1215" s="32">
        <f>T1215/N1215</f>
        <v/>
      </c>
      <c r="Y1215" s="35">
        <f>IF(W1215=MAXIFS(W$2:W$3601, A$2:A$3601, A1215, B$2:B$3601, B1215), "OPTIMAL", "")</f>
        <v/>
      </c>
    </row>
    <row r="1216" ht="20" customHeight="1">
      <c r="A1216" s="21" t="n">
        <v>4</v>
      </c>
      <c r="B1216" s="21" t="n">
        <v>40</v>
      </c>
      <c r="C1216" s="22" t="n">
        <v>95</v>
      </c>
      <c r="D1216" s="22" t="n">
        <v>2</v>
      </c>
      <c r="E1216" s="23" t="n">
        <v>8</v>
      </c>
      <c r="F1216" s="22" t="n">
        <v>1.5</v>
      </c>
      <c r="G1216" s="23" t="inlineStr">
        <is>
          <t>Non</t>
        </is>
      </c>
      <c r="H1216" s="23" t="inlineStr">
        <is>
          <t>ON</t>
        </is>
      </c>
      <c r="I1216" s="24" t="n">
        <v>994.4885628369005</v>
      </c>
      <c r="J1216" s="24" t="n">
        <v>4850.441664768843</v>
      </c>
      <c r="K1216" s="24" t="n">
        <v>2726.851851851852</v>
      </c>
      <c r="L1216" s="24" t="n">
        <v>150</v>
      </c>
      <c r="M1216" s="24">
        <f>I1216+J1216+K1216+L1216</f>
        <v/>
      </c>
      <c r="N1216" s="24">
        <f>M1216*'Dashboard &amp; Optimisation'!$B$18/('Dashboard &amp; Optimisation'!$B$16/3.6)</f>
        <v/>
      </c>
      <c r="O1216" s="24" t="n">
        <v>877.5713615141966</v>
      </c>
      <c r="P1216" s="25" t="n">
        <v>0.05364024617212922</v>
      </c>
      <c r="Q1216" s="26" t="n">
        <v>13.95434507754346</v>
      </c>
      <c r="R1216" s="24" t="n">
        <v>5044.703519252477</v>
      </c>
      <c r="S1216" s="24">
        <f>R1216*IF(A1216=4, 2.0, 3.0)</f>
        <v/>
      </c>
      <c r="T1216" s="22">
        <f>'Dashboard &amp; Optimisation'!$B$18*U1216</f>
        <v/>
      </c>
      <c r="U1216" s="27">
        <f>MIN(1, S1216/M1216)</f>
        <v/>
      </c>
      <c r="V1216" s="27">
        <f>N1216/(N1216+O1216)</f>
        <v/>
      </c>
      <c r="W1216" s="27">
        <f>U1216*V1216</f>
        <v/>
      </c>
      <c r="X1216" s="25">
        <f>T1216/N1216</f>
        <v/>
      </c>
      <c r="Y1216" s="28">
        <f>IF(W1216=MAXIFS(W$2:W$3601, A$2:A$3601, A1216, B$2:B$3601, B1216), "OPTIMAL", "")</f>
        <v/>
      </c>
    </row>
    <row r="1217" ht="20" customHeight="1">
      <c r="A1217" s="29" t="n">
        <v>4</v>
      </c>
      <c r="B1217" s="29" t="n">
        <v>40</v>
      </c>
      <c r="C1217" s="30" t="n">
        <v>95</v>
      </c>
      <c r="D1217" s="30" t="n">
        <v>2</v>
      </c>
      <c r="E1217" s="6" t="n">
        <v>8</v>
      </c>
      <c r="F1217" s="30" t="n">
        <v>1.5</v>
      </c>
      <c r="G1217" s="6" t="inlineStr">
        <is>
          <t>Non</t>
        </is>
      </c>
      <c r="H1217" s="6" t="inlineStr">
        <is>
          <t>OFF</t>
        </is>
      </c>
      <c r="I1217" s="31" t="n">
        <v>994.4885628369005</v>
      </c>
      <c r="J1217" s="31" t="n">
        <v>4850.441664768843</v>
      </c>
      <c r="K1217" s="31" t="n">
        <v>2726.851851851852</v>
      </c>
      <c r="L1217" s="31" t="n">
        <v>150</v>
      </c>
      <c r="M1217" s="31">
        <f>I1217+J1217+K1217+L1217</f>
        <v/>
      </c>
      <c r="N1217" s="31">
        <f>M1217*'Dashboard &amp; Optimisation'!$B$18/('Dashboard &amp; Optimisation'!$B$16/3.6)</f>
        <v/>
      </c>
      <c r="O1217" s="31" t="n">
        <v>877.5713615141966</v>
      </c>
      <c r="P1217" s="32" t="n">
        <v>0.2435961584993113</v>
      </c>
      <c r="Q1217" s="33" t="n">
        <v>13.95434507754346</v>
      </c>
      <c r="R1217" s="31" t="n">
        <v>1110.851420257001</v>
      </c>
      <c r="S1217" s="31">
        <f>R1217*IF(A1217=4, 2.0, 3.0)</f>
        <v/>
      </c>
      <c r="T1217" s="30">
        <f>'Dashboard &amp; Optimisation'!$B$18*U1217</f>
        <v/>
      </c>
      <c r="U1217" s="34">
        <f>MIN(1, S1217/M1217)</f>
        <v/>
      </c>
      <c r="V1217" s="34">
        <f>N1217/(N1217+O1217)</f>
        <v/>
      </c>
      <c r="W1217" s="34">
        <f>U1217*V1217</f>
        <v/>
      </c>
      <c r="X1217" s="32">
        <f>T1217/N1217</f>
        <v/>
      </c>
      <c r="Y1217" s="35">
        <f>IF(W1217=MAXIFS(W$2:W$3601, A$2:A$3601, A1217, B$2:B$3601, B1217), "OPTIMAL", "")</f>
        <v/>
      </c>
    </row>
    <row r="1218" ht="20" customHeight="1">
      <c r="A1218" s="21" t="n">
        <v>4</v>
      </c>
      <c r="B1218" s="21" t="n">
        <v>40</v>
      </c>
      <c r="C1218" s="22" t="n">
        <v>95</v>
      </c>
      <c r="D1218" s="22" t="n">
        <v>2</v>
      </c>
      <c r="E1218" s="23" t="n">
        <v>8</v>
      </c>
      <c r="F1218" s="22" t="n">
        <v>2</v>
      </c>
      <c r="G1218" s="23" t="inlineStr">
        <is>
          <t>Oui</t>
        </is>
      </c>
      <c r="H1218" s="23" t="inlineStr">
        <is>
          <t>ON</t>
        </is>
      </c>
      <c r="I1218" s="24" t="n">
        <v>994.4885628369005</v>
      </c>
      <c r="J1218" s="24" t="n">
        <v>4850.441664768843</v>
      </c>
      <c r="K1218" s="24" t="n">
        <v>2726.851851851852</v>
      </c>
      <c r="L1218" s="24" t="n">
        <v>150</v>
      </c>
      <c r="M1218" s="24">
        <f>I1218+J1218+K1218+L1218</f>
        <v/>
      </c>
      <c r="N1218" s="24">
        <f>M1218*'Dashboard &amp; Optimisation'!$B$18/('Dashboard &amp; Optimisation'!$B$16/3.6)</f>
        <v/>
      </c>
      <c r="O1218" s="24" t="n">
        <v>1053.058016825949</v>
      </c>
      <c r="P1218" s="25" t="n">
        <v>0.05584601824581075</v>
      </c>
      <c r="Q1218" s="26" t="n">
        <v>18.53912677005794</v>
      </c>
      <c r="R1218" s="24" t="n">
        <v>4964.592957460854</v>
      </c>
      <c r="S1218" s="24">
        <f>R1218*IF(A1218=4, 2.0, 3.0)</f>
        <v/>
      </c>
      <c r="T1218" s="22">
        <f>'Dashboard &amp; Optimisation'!$B$18*U1218</f>
        <v/>
      </c>
      <c r="U1218" s="27">
        <f>MIN(1, S1218/M1218)</f>
        <v/>
      </c>
      <c r="V1218" s="27">
        <f>N1218/(N1218+O1218)</f>
        <v/>
      </c>
      <c r="W1218" s="27">
        <f>U1218*V1218</f>
        <v/>
      </c>
      <c r="X1218" s="25">
        <f>T1218/N1218</f>
        <v/>
      </c>
      <c r="Y1218" s="28">
        <f>IF(W1218=MAXIFS(W$2:W$3601, A$2:A$3601, A1218, B$2:B$3601, B1218), "OPTIMAL", "")</f>
        <v/>
      </c>
    </row>
    <row r="1219" ht="20" customHeight="1">
      <c r="A1219" s="29" t="n">
        <v>4</v>
      </c>
      <c r="B1219" s="29" t="n">
        <v>40</v>
      </c>
      <c r="C1219" s="30" t="n">
        <v>95</v>
      </c>
      <c r="D1219" s="30" t="n">
        <v>2</v>
      </c>
      <c r="E1219" s="6" t="n">
        <v>8</v>
      </c>
      <c r="F1219" s="30" t="n">
        <v>2</v>
      </c>
      <c r="G1219" s="6" t="inlineStr">
        <is>
          <t>Oui</t>
        </is>
      </c>
      <c r="H1219" s="6" t="inlineStr">
        <is>
          <t>OFF</t>
        </is>
      </c>
      <c r="I1219" s="31" t="n">
        <v>994.4885628369005</v>
      </c>
      <c r="J1219" s="31" t="n">
        <v>4850.441664768843</v>
      </c>
      <c r="K1219" s="31" t="n">
        <v>2726.851851851852</v>
      </c>
      <c r="L1219" s="31" t="n">
        <v>150</v>
      </c>
      <c r="M1219" s="31">
        <f>I1219+J1219+K1219+L1219</f>
        <v/>
      </c>
      <c r="N1219" s="31">
        <f>M1219*'Dashboard &amp; Optimisation'!$B$18/('Dashboard &amp; Optimisation'!$B$16/3.6)</f>
        <v/>
      </c>
      <c r="O1219" s="31" t="n">
        <v>1053.058016825949</v>
      </c>
      <c r="P1219" s="32" t="n">
        <v>0.2472541696165357</v>
      </c>
      <c r="Q1219" s="33" t="n">
        <v>18.53912677005794</v>
      </c>
      <c r="R1219" s="31" t="n">
        <v>1121.326889311396</v>
      </c>
      <c r="S1219" s="31">
        <f>R1219*IF(A1219=4, 2.0, 3.0)</f>
        <v/>
      </c>
      <c r="T1219" s="30">
        <f>'Dashboard &amp; Optimisation'!$B$18*U1219</f>
        <v/>
      </c>
      <c r="U1219" s="34">
        <f>MIN(1, S1219/M1219)</f>
        <v/>
      </c>
      <c r="V1219" s="34">
        <f>N1219/(N1219+O1219)</f>
        <v/>
      </c>
      <c r="W1219" s="34">
        <f>U1219*V1219</f>
        <v/>
      </c>
      <c r="X1219" s="32">
        <f>T1219/N1219</f>
        <v/>
      </c>
      <c r="Y1219" s="35">
        <f>IF(W1219=MAXIFS(W$2:W$3601, A$2:A$3601, A1219, B$2:B$3601, B1219), "OPTIMAL", "")</f>
        <v/>
      </c>
    </row>
    <row r="1220" ht="20" customHeight="1">
      <c r="A1220" s="21" t="n">
        <v>4</v>
      </c>
      <c r="B1220" s="21" t="n">
        <v>40</v>
      </c>
      <c r="C1220" s="22" t="n">
        <v>95</v>
      </c>
      <c r="D1220" s="22" t="n">
        <v>2</v>
      </c>
      <c r="E1220" s="23" t="n">
        <v>8</v>
      </c>
      <c r="F1220" s="22" t="n">
        <v>2</v>
      </c>
      <c r="G1220" s="23" t="inlineStr">
        <is>
          <t>Non</t>
        </is>
      </c>
      <c r="H1220" s="23" t="inlineStr">
        <is>
          <t>ON</t>
        </is>
      </c>
      <c r="I1220" s="24" t="n">
        <v>994.4885628369005</v>
      </c>
      <c r="J1220" s="24" t="n">
        <v>4850.441664768843</v>
      </c>
      <c r="K1220" s="24" t="n">
        <v>2726.851851851852</v>
      </c>
      <c r="L1220" s="24" t="n">
        <v>150</v>
      </c>
      <c r="M1220" s="24">
        <f>I1220+J1220+K1220+L1220</f>
        <v/>
      </c>
      <c r="N1220" s="24">
        <f>M1220*'Dashboard &amp; Optimisation'!$B$18/('Dashboard &amp; Optimisation'!$B$16/3.6)</f>
        <v/>
      </c>
      <c r="O1220" s="24" t="n">
        <v>1053.058016825949</v>
      </c>
      <c r="P1220" s="25" t="n">
        <v>0.05249538786492874</v>
      </c>
      <c r="Q1220" s="26" t="n">
        <v>18.53912677005794</v>
      </c>
      <c r="R1220" s="24" t="n">
        <v>5281.468718714052</v>
      </c>
      <c r="S1220" s="24">
        <f>R1220*IF(A1220=4, 2.0, 3.0)</f>
        <v/>
      </c>
      <c r="T1220" s="22">
        <f>'Dashboard &amp; Optimisation'!$B$18*U1220</f>
        <v/>
      </c>
      <c r="U1220" s="27">
        <f>MIN(1, S1220/M1220)</f>
        <v/>
      </c>
      <c r="V1220" s="27">
        <f>N1220/(N1220+O1220)</f>
        <v/>
      </c>
      <c r="W1220" s="27">
        <f>U1220*V1220</f>
        <v/>
      </c>
      <c r="X1220" s="25">
        <f>T1220/N1220</f>
        <v/>
      </c>
      <c r="Y1220" s="28">
        <f>IF(W1220=MAXIFS(W$2:W$3601, A$2:A$3601, A1220, B$2:B$3601, B1220), "OPTIMAL", "")</f>
        <v/>
      </c>
    </row>
    <row r="1221" ht="20" customHeight="1">
      <c r="A1221" s="29" t="n">
        <v>4</v>
      </c>
      <c r="B1221" s="29" t="n">
        <v>40</v>
      </c>
      <c r="C1221" s="30" t="n">
        <v>95</v>
      </c>
      <c r="D1221" s="30" t="n">
        <v>2</v>
      </c>
      <c r="E1221" s="6" t="n">
        <v>8</v>
      </c>
      <c r="F1221" s="30" t="n">
        <v>2</v>
      </c>
      <c r="G1221" s="6" t="inlineStr">
        <is>
          <t>Non</t>
        </is>
      </c>
      <c r="H1221" s="6" t="inlineStr">
        <is>
          <t>OFF</t>
        </is>
      </c>
      <c r="I1221" s="31" t="n">
        <v>994.4885628369005</v>
      </c>
      <c r="J1221" s="31" t="n">
        <v>4850.441664768843</v>
      </c>
      <c r="K1221" s="31" t="n">
        <v>2726.851851851852</v>
      </c>
      <c r="L1221" s="31" t="n">
        <v>150</v>
      </c>
      <c r="M1221" s="31">
        <f>I1221+J1221+K1221+L1221</f>
        <v/>
      </c>
      <c r="N1221" s="31">
        <f>M1221*'Dashboard &amp; Optimisation'!$B$18/('Dashboard &amp; Optimisation'!$B$16/3.6)</f>
        <v/>
      </c>
      <c r="O1221" s="31" t="n">
        <v>1053.058016825949</v>
      </c>
      <c r="P1221" s="32" t="n">
        <v>0.2439035392356537</v>
      </c>
      <c r="Q1221" s="33" t="n">
        <v>18.53912677005794</v>
      </c>
      <c r="R1221" s="31" t="n">
        <v>1136.731142788</v>
      </c>
      <c r="S1221" s="31">
        <f>R1221*IF(A1221=4, 2.0, 3.0)</f>
        <v/>
      </c>
      <c r="T1221" s="30">
        <f>'Dashboard &amp; Optimisation'!$B$18*U1221</f>
        <v/>
      </c>
      <c r="U1221" s="34">
        <f>MIN(1, S1221/M1221)</f>
        <v/>
      </c>
      <c r="V1221" s="34">
        <f>N1221/(N1221+O1221)</f>
        <v/>
      </c>
      <c r="W1221" s="34">
        <f>U1221*V1221</f>
        <v/>
      </c>
      <c r="X1221" s="32">
        <f>T1221/N1221</f>
        <v/>
      </c>
      <c r="Y1221" s="35">
        <f>IF(W1221=MAXIFS(W$2:W$3601, A$2:A$3601, A1221, B$2:B$3601, B1221), "OPTIMAL", "")</f>
        <v/>
      </c>
    </row>
    <row r="1222" ht="20" customHeight="1">
      <c r="A1222" s="21" t="n">
        <v>4</v>
      </c>
      <c r="B1222" s="21" t="n">
        <v>40</v>
      </c>
      <c r="C1222" s="22" t="n">
        <v>95</v>
      </c>
      <c r="D1222" s="22" t="n">
        <v>3</v>
      </c>
      <c r="E1222" s="23" t="n">
        <v>0</v>
      </c>
      <c r="F1222" s="22" t="n">
        <v>0</v>
      </c>
      <c r="G1222" s="23" t="inlineStr">
        <is>
          <t>Oui</t>
        </is>
      </c>
      <c r="H1222" s="23" t="inlineStr">
        <is>
          <t>ON</t>
        </is>
      </c>
      <c r="I1222" s="24" t="n">
        <v>994.4885628369005</v>
      </c>
      <c r="J1222" s="24" t="n">
        <v>4850.441664768843</v>
      </c>
      <c r="K1222" s="24" t="n">
        <v>2726.851851851852</v>
      </c>
      <c r="L1222" s="24" t="n">
        <v>150</v>
      </c>
      <c r="M1222" s="24">
        <f>I1222+J1222+K1222+L1222</f>
        <v/>
      </c>
      <c r="N1222" s="24">
        <f>M1222*'Dashboard &amp; Optimisation'!$B$18/('Dashboard &amp; Optimisation'!$B$16/3.6)</f>
        <v/>
      </c>
      <c r="O1222" s="24" t="n">
        <v>617.8159447472549</v>
      </c>
      <c r="P1222" s="25" t="n">
        <v>0.4850543981280133</v>
      </c>
      <c r="Q1222" s="26" t="n">
        <v>0.2</v>
      </c>
      <c r="R1222" s="24" t="n">
        <v>544.0589346363259</v>
      </c>
      <c r="S1222" s="24">
        <f>R1222*IF(A1222=4, 2.0, 3.0)</f>
        <v/>
      </c>
      <c r="T1222" s="22">
        <f>'Dashboard &amp; Optimisation'!$B$18*U1222</f>
        <v/>
      </c>
      <c r="U1222" s="27">
        <f>MIN(1, S1222/M1222)</f>
        <v/>
      </c>
      <c r="V1222" s="27">
        <f>N1222/(N1222+O1222)</f>
        <v/>
      </c>
      <c r="W1222" s="27">
        <f>U1222*V1222</f>
        <v/>
      </c>
      <c r="X1222" s="25">
        <f>T1222/N1222</f>
        <v/>
      </c>
      <c r="Y1222" s="28">
        <f>IF(W1222=MAXIFS(W$2:W$3601, A$2:A$3601, A1222, B$2:B$3601, B1222), "OPTIMAL", "")</f>
        <v/>
      </c>
    </row>
    <row r="1223" ht="20" customHeight="1">
      <c r="A1223" s="29" t="n">
        <v>4</v>
      </c>
      <c r="B1223" s="29" t="n">
        <v>40</v>
      </c>
      <c r="C1223" s="30" t="n">
        <v>95</v>
      </c>
      <c r="D1223" s="30" t="n">
        <v>3</v>
      </c>
      <c r="E1223" s="6" t="n">
        <v>0</v>
      </c>
      <c r="F1223" s="30" t="n">
        <v>0</v>
      </c>
      <c r="G1223" s="6" t="inlineStr">
        <is>
          <t>Oui</t>
        </is>
      </c>
      <c r="H1223" s="6" t="inlineStr">
        <is>
          <t>OFF</t>
        </is>
      </c>
      <c r="I1223" s="31" t="n">
        <v>994.4885628369005</v>
      </c>
      <c r="J1223" s="31" t="n">
        <v>4850.441664768843</v>
      </c>
      <c r="K1223" s="31" t="n">
        <v>2726.851851851852</v>
      </c>
      <c r="L1223" s="31" t="n">
        <v>150</v>
      </c>
      <c r="M1223" s="31">
        <f>I1223+J1223+K1223+L1223</f>
        <v/>
      </c>
      <c r="N1223" s="31">
        <f>M1223*'Dashboard &amp; Optimisation'!$B$18/('Dashboard &amp; Optimisation'!$B$16/3.6)</f>
        <v/>
      </c>
      <c r="O1223" s="31" t="n">
        <v>617.8159447472549</v>
      </c>
      <c r="P1223" s="32" t="n">
        <v>0.820117436216214</v>
      </c>
      <c r="Q1223" s="33" t="n">
        <v>0.2</v>
      </c>
      <c r="R1223" s="31" t="n">
        <v>321.7809638382297</v>
      </c>
      <c r="S1223" s="31">
        <f>R1223*IF(A1223=4, 2.0, 3.0)</f>
        <v/>
      </c>
      <c r="T1223" s="30">
        <f>'Dashboard &amp; Optimisation'!$B$18*U1223</f>
        <v/>
      </c>
      <c r="U1223" s="34">
        <f>MIN(1, S1223/M1223)</f>
        <v/>
      </c>
      <c r="V1223" s="34">
        <f>N1223/(N1223+O1223)</f>
        <v/>
      </c>
      <c r="W1223" s="34">
        <f>U1223*V1223</f>
        <v/>
      </c>
      <c r="X1223" s="32">
        <f>T1223/N1223</f>
        <v/>
      </c>
      <c r="Y1223" s="35">
        <f>IF(W1223=MAXIFS(W$2:W$3601, A$2:A$3601, A1223, B$2:B$3601, B1223), "OPTIMAL", "")</f>
        <v/>
      </c>
    </row>
    <row r="1224" ht="20" customHeight="1">
      <c r="A1224" s="21" t="n">
        <v>4</v>
      </c>
      <c r="B1224" s="21" t="n">
        <v>40</v>
      </c>
      <c r="C1224" s="22" t="n">
        <v>95</v>
      </c>
      <c r="D1224" s="22" t="n">
        <v>3</v>
      </c>
      <c r="E1224" s="23" t="n">
        <v>0</v>
      </c>
      <c r="F1224" s="22" t="n">
        <v>0</v>
      </c>
      <c r="G1224" s="23" t="inlineStr">
        <is>
          <t>Non</t>
        </is>
      </c>
      <c r="H1224" s="23" t="inlineStr">
        <is>
          <t>ON</t>
        </is>
      </c>
      <c r="I1224" s="24" t="n">
        <v>994.4885628369005</v>
      </c>
      <c r="J1224" s="24" t="n">
        <v>4850.441664768843</v>
      </c>
      <c r="K1224" s="24" t="n">
        <v>2726.851851851852</v>
      </c>
      <c r="L1224" s="24" t="n">
        <v>150</v>
      </c>
      <c r="M1224" s="24">
        <f>I1224+J1224+K1224+L1224</f>
        <v/>
      </c>
      <c r="N1224" s="24">
        <f>M1224*'Dashboard &amp; Optimisation'!$B$18/('Dashboard &amp; Optimisation'!$B$16/3.6)</f>
        <v/>
      </c>
      <c r="O1224" s="24" t="n">
        <v>617.8159447472549</v>
      </c>
      <c r="P1224" s="25" t="n">
        <v>0.4817037677471313</v>
      </c>
      <c r="Q1224" s="26" t="n">
        <v>0.2</v>
      </c>
      <c r="R1224" s="24" t="n">
        <v>547.8432944803614</v>
      </c>
      <c r="S1224" s="24">
        <f>R1224*IF(A1224=4, 2.0, 3.0)</f>
        <v/>
      </c>
      <c r="T1224" s="22">
        <f>'Dashboard &amp; Optimisation'!$B$18*U1224</f>
        <v/>
      </c>
      <c r="U1224" s="27">
        <f>MIN(1, S1224/M1224)</f>
        <v/>
      </c>
      <c r="V1224" s="27">
        <f>N1224/(N1224+O1224)</f>
        <v/>
      </c>
      <c r="W1224" s="27">
        <f>U1224*V1224</f>
        <v/>
      </c>
      <c r="X1224" s="25">
        <f>T1224/N1224</f>
        <v/>
      </c>
      <c r="Y1224" s="28">
        <f>IF(W1224=MAXIFS(W$2:W$3601, A$2:A$3601, A1224, B$2:B$3601, B1224), "OPTIMAL", "")</f>
        <v/>
      </c>
    </row>
    <row r="1225" ht="20" customHeight="1">
      <c r="A1225" s="29" t="n">
        <v>4</v>
      </c>
      <c r="B1225" s="29" t="n">
        <v>40</v>
      </c>
      <c r="C1225" s="30" t="n">
        <v>95</v>
      </c>
      <c r="D1225" s="30" t="n">
        <v>3</v>
      </c>
      <c r="E1225" s="6" t="n">
        <v>0</v>
      </c>
      <c r="F1225" s="30" t="n">
        <v>0</v>
      </c>
      <c r="G1225" s="6" t="inlineStr">
        <is>
          <t>Non</t>
        </is>
      </c>
      <c r="H1225" s="6" t="inlineStr">
        <is>
          <t>OFF</t>
        </is>
      </c>
      <c r="I1225" s="31" t="n">
        <v>994.4885628369005</v>
      </c>
      <c r="J1225" s="31" t="n">
        <v>4850.441664768843</v>
      </c>
      <c r="K1225" s="31" t="n">
        <v>2726.851851851852</v>
      </c>
      <c r="L1225" s="31" t="n">
        <v>150</v>
      </c>
      <c r="M1225" s="31">
        <f>I1225+J1225+K1225+L1225</f>
        <v/>
      </c>
      <c r="N1225" s="31">
        <f>M1225*'Dashboard &amp; Optimisation'!$B$18/('Dashboard &amp; Optimisation'!$B$16/3.6)</f>
        <v/>
      </c>
      <c r="O1225" s="31" t="n">
        <v>617.8159447472549</v>
      </c>
      <c r="P1225" s="32" t="n">
        <v>0.816766805835332</v>
      </c>
      <c r="Q1225" s="33" t="n">
        <v>0.2</v>
      </c>
      <c r="R1225" s="31" t="n">
        <v>323.1010090037811</v>
      </c>
      <c r="S1225" s="31">
        <f>R1225*IF(A1225=4, 2.0, 3.0)</f>
        <v/>
      </c>
      <c r="T1225" s="30">
        <f>'Dashboard &amp; Optimisation'!$B$18*U1225</f>
        <v/>
      </c>
      <c r="U1225" s="34">
        <f>MIN(1, S1225/M1225)</f>
        <v/>
      </c>
      <c r="V1225" s="34">
        <f>N1225/(N1225+O1225)</f>
        <v/>
      </c>
      <c r="W1225" s="34">
        <f>U1225*V1225</f>
        <v/>
      </c>
      <c r="X1225" s="32">
        <f>T1225/N1225</f>
        <v/>
      </c>
      <c r="Y1225" s="35">
        <f>IF(W1225=MAXIFS(W$2:W$3601, A$2:A$3601, A1225, B$2:B$3601, B1225), "OPTIMAL", "")</f>
        <v/>
      </c>
    </row>
    <row r="1226" ht="20" customHeight="1">
      <c r="A1226" s="21" t="n">
        <v>4</v>
      </c>
      <c r="B1226" s="21" t="n">
        <v>40</v>
      </c>
      <c r="C1226" s="22" t="n">
        <v>95</v>
      </c>
      <c r="D1226" s="22" t="n">
        <v>3</v>
      </c>
      <c r="E1226" s="23" t="n">
        <v>4</v>
      </c>
      <c r="F1226" s="22" t="n">
        <v>1.5</v>
      </c>
      <c r="G1226" s="23" t="inlineStr">
        <is>
          <t>Oui</t>
        </is>
      </c>
      <c r="H1226" s="23" t="inlineStr">
        <is>
          <t>ON</t>
        </is>
      </c>
      <c r="I1226" s="24" t="n">
        <v>994.4885628369005</v>
      </c>
      <c r="J1226" s="24" t="n">
        <v>4850.441664768843</v>
      </c>
      <c r="K1226" s="24" t="n">
        <v>2726.851851851852</v>
      </c>
      <c r="L1226" s="24" t="n">
        <v>150</v>
      </c>
      <c r="M1226" s="24">
        <f>I1226+J1226+K1226+L1226</f>
        <v/>
      </c>
      <c r="N1226" s="24">
        <f>M1226*'Dashboard &amp; Optimisation'!$B$18/('Dashboard &amp; Optimisation'!$B$16/3.6)</f>
        <v/>
      </c>
      <c r="O1226" s="24" t="n">
        <v>863.7966282152731</v>
      </c>
      <c r="P1226" s="25" t="n">
        <v>0.07535655472626097</v>
      </c>
      <c r="Q1226" s="26" t="n">
        <v>7.231715741890194</v>
      </c>
      <c r="R1226" s="24" t="n">
        <v>3626.508215030347</v>
      </c>
      <c r="S1226" s="24">
        <f>R1226*IF(A1226=4, 2.0, 3.0)</f>
        <v/>
      </c>
      <c r="T1226" s="22">
        <f>'Dashboard &amp; Optimisation'!$B$18*U1226</f>
        <v/>
      </c>
      <c r="U1226" s="27">
        <f>MIN(1, S1226/M1226)</f>
        <v/>
      </c>
      <c r="V1226" s="27">
        <f>N1226/(N1226+O1226)</f>
        <v/>
      </c>
      <c r="W1226" s="27">
        <f>U1226*V1226</f>
        <v/>
      </c>
      <c r="X1226" s="25">
        <f>T1226/N1226</f>
        <v/>
      </c>
      <c r="Y1226" s="28">
        <f>IF(W1226=MAXIFS(W$2:W$3601, A$2:A$3601, A1226, B$2:B$3601, B1226), "OPTIMAL", "")</f>
        <v/>
      </c>
    </row>
    <row r="1227" ht="20" customHeight="1">
      <c r="A1227" s="29" t="n">
        <v>4</v>
      </c>
      <c r="B1227" s="29" t="n">
        <v>40</v>
      </c>
      <c r="C1227" s="30" t="n">
        <v>95</v>
      </c>
      <c r="D1227" s="30" t="n">
        <v>3</v>
      </c>
      <c r="E1227" s="6" t="n">
        <v>4</v>
      </c>
      <c r="F1227" s="30" t="n">
        <v>1.5</v>
      </c>
      <c r="G1227" s="6" t="inlineStr">
        <is>
          <t>Oui</t>
        </is>
      </c>
      <c r="H1227" s="6" t="inlineStr">
        <is>
          <t>OFF</t>
        </is>
      </c>
      <c r="I1227" s="31" t="n">
        <v>994.4885628369005</v>
      </c>
      <c r="J1227" s="31" t="n">
        <v>4850.441664768843</v>
      </c>
      <c r="K1227" s="31" t="n">
        <v>2726.851851851852</v>
      </c>
      <c r="L1227" s="31" t="n">
        <v>150</v>
      </c>
      <c r="M1227" s="31">
        <f>I1227+J1227+K1227+L1227</f>
        <v/>
      </c>
      <c r="N1227" s="31">
        <f>M1227*'Dashboard &amp; Optimisation'!$B$18/('Dashboard &amp; Optimisation'!$B$16/3.6)</f>
        <v/>
      </c>
      <c r="O1227" s="31" t="n">
        <v>863.7966282152731</v>
      </c>
      <c r="P1227" s="32" t="n">
        <v>0.3178141987215173</v>
      </c>
      <c r="Q1227" s="33" t="n">
        <v>7.231715741890194</v>
      </c>
      <c r="R1227" s="31" t="n">
        <v>859.8771416459914</v>
      </c>
      <c r="S1227" s="31">
        <f>R1227*IF(A1227=4, 2.0, 3.0)</f>
        <v/>
      </c>
      <c r="T1227" s="30">
        <f>'Dashboard &amp; Optimisation'!$B$18*U1227</f>
        <v/>
      </c>
      <c r="U1227" s="34">
        <f>MIN(1, S1227/M1227)</f>
        <v/>
      </c>
      <c r="V1227" s="34">
        <f>N1227/(N1227+O1227)</f>
        <v/>
      </c>
      <c r="W1227" s="34">
        <f>U1227*V1227</f>
        <v/>
      </c>
      <c r="X1227" s="32">
        <f>T1227/N1227</f>
        <v/>
      </c>
      <c r="Y1227" s="35">
        <f>IF(W1227=MAXIFS(W$2:W$3601, A$2:A$3601, A1227, B$2:B$3601, B1227), "OPTIMAL", "")</f>
        <v/>
      </c>
    </row>
    <row r="1228" ht="20" customHeight="1">
      <c r="A1228" s="21" t="n">
        <v>4</v>
      </c>
      <c r="B1228" s="21" t="n">
        <v>40</v>
      </c>
      <c r="C1228" s="22" t="n">
        <v>95</v>
      </c>
      <c r="D1228" s="22" t="n">
        <v>3</v>
      </c>
      <c r="E1228" s="23" t="n">
        <v>4</v>
      </c>
      <c r="F1228" s="22" t="n">
        <v>1.5</v>
      </c>
      <c r="G1228" s="23" t="inlineStr">
        <is>
          <t>Non</t>
        </is>
      </c>
      <c r="H1228" s="23" t="inlineStr">
        <is>
          <t>ON</t>
        </is>
      </c>
      <c r="I1228" s="24" t="n">
        <v>994.4885628369005</v>
      </c>
      <c r="J1228" s="24" t="n">
        <v>4850.441664768843</v>
      </c>
      <c r="K1228" s="24" t="n">
        <v>2726.851851851852</v>
      </c>
      <c r="L1228" s="24" t="n">
        <v>150</v>
      </c>
      <c r="M1228" s="24">
        <f>I1228+J1228+K1228+L1228</f>
        <v/>
      </c>
      <c r="N1228" s="24">
        <f>M1228*'Dashboard &amp; Optimisation'!$B$18/('Dashboard &amp; Optimisation'!$B$16/3.6)</f>
        <v/>
      </c>
      <c r="O1228" s="24" t="n">
        <v>863.7966282152731</v>
      </c>
      <c r="P1228" s="25" t="n">
        <v>0.07200592434537897</v>
      </c>
      <c r="Q1228" s="26" t="n">
        <v>7.231715741890194</v>
      </c>
      <c r="R1228" s="24" t="n">
        <v>3795.259449213742</v>
      </c>
      <c r="S1228" s="24">
        <f>R1228*IF(A1228=4, 2.0, 3.0)</f>
        <v/>
      </c>
      <c r="T1228" s="22">
        <f>'Dashboard &amp; Optimisation'!$B$18*U1228</f>
        <v/>
      </c>
      <c r="U1228" s="27">
        <f>MIN(1, S1228/M1228)</f>
        <v/>
      </c>
      <c r="V1228" s="27">
        <f>N1228/(N1228+O1228)</f>
        <v/>
      </c>
      <c r="W1228" s="27">
        <f>U1228*V1228</f>
        <v/>
      </c>
      <c r="X1228" s="25">
        <f>T1228/N1228</f>
        <v/>
      </c>
      <c r="Y1228" s="28">
        <f>IF(W1228=MAXIFS(W$2:W$3601, A$2:A$3601, A1228, B$2:B$3601, B1228), "OPTIMAL", "")</f>
        <v/>
      </c>
    </row>
    <row r="1229" ht="20" customHeight="1">
      <c r="A1229" s="29" t="n">
        <v>4</v>
      </c>
      <c r="B1229" s="29" t="n">
        <v>40</v>
      </c>
      <c r="C1229" s="30" t="n">
        <v>95</v>
      </c>
      <c r="D1229" s="30" t="n">
        <v>3</v>
      </c>
      <c r="E1229" s="6" t="n">
        <v>4</v>
      </c>
      <c r="F1229" s="30" t="n">
        <v>1.5</v>
      </c>
      <c r="G1229" s="6" t="inlineStr">
        <is>
          <t>Non</t>
        </is>
      </c>
      <c r="H1229" s="6" t="inlineStr">
        <is>
          <t>OFF</t>
        </is>
      </c>
      <c r="I1229" s="31" t="n">
        <v>994.4885628369005</v>
      </c>
      <c r="J1229" s="31" t="n">
        <v>4850.441664768843</v>
      </c>
      <c r="K1229" s="31" t="n">
        <v>2726.851851851852</v>
      </c>
      <c r="L1229" s="31" t="n">
        <v>150</v>
      </c>
      <c r="M1229" s="31">
        <f>I1229+J1229+K1229+L1229</f>
        <v/>
      </c>
      <c r="N1229" s="31">
        <f>M1229*'Dashboard &amp; Optimisation'!$B$18/('Dashboard &amp; Optimisation'!$B$16/3.6)</f>
        <v/>
      </c>
      <c r="O1229" s="31" t="n">
        <v>863.7966282152731</v>
      </c>
      <c r="P1229" s="32" t="n">
        <v>0.3144635683406353</v>
      </c>
      <c r="Q1229" s="33" t="n">
        <v>7.231715741890194</v>
      </c>
      <c r="R1229" s="31" t="n">
        <v>869.0391901778077</v>
      </c>
      <c r="S1229" s="31">
        <f>R1229*IF(A1229=4, 2.0, 3.0)</f>
        <v/>
      </c>
      <c r="T1229" s="30">
        <f>'Dashboard &amp; Optimisation'!$B$18*U1229</f>
        <v/>
      </c>
      <c r="U1229" s="34">
        <f>MIN(1, S1229/M1229)</f>
        <v/>
      </c>
      <c r="V1229" s="34">
        <f>N1229/(N1229+O1229)</f>
        <v/>
      </c>
      <c r="W1229" s="34">
        <f>U1229*V1229</f>
        <v/>
      </c>
      <c r="X1229" s="32">
        <f>T1229/N1229</f>
        <v/>
      </c>
      <c r="Y1229" s="35">
        <f>IF(W1229=MAXIFS(W$2:W$3601, A$2:A$3601, A1229, B$2:B$3601, B1229), "OPTIMAL", "")</f>
        <v/>
      </c>
    </row>
    <row r="1230" ht="20" customHeight="1">
      <c r="A1230" s="21" t="n">
        <v>4</v>
      </c>
      <c r="B1230" s="21" t="n">
        <v>40</v>
      </c>
      <c r="C1230" s="22" t="n">
        <v>95</v>
      </c>
      <c r="D1230" s="22" t="n">
        <v>3</v>
      </c>
      <c r="E1230" s="23" t="n">
        <v>4</v>
      </c>
      <c r="F1230" s="22" t="n">
        <v>2</v>
      </c>
      <c r="G1230" s="23" t="inlineStr">
        <is>
          <t>Oui</t>
        </is>
      </c>
      <c r="H1230" s="23" t="inlineStr">
        <is>
          <t>ON</t>
        </is>
      </c>
      <c r="I1230" s="24" t="n">
        <v>994.4885628369005</v>
      </c>
      <c r="J1230" s="24" t="n">
        <v>4850.441664768843</v>
      </c>
      <c r="K1230" s="24" t="n">
        <v>2726.851851851852</v>
      </c>
      <c r="L1230" s="24" t="n">
        <v>150</v>
      </c>
      <c r="M1230" s="24">
        <f>I1230+J1230+K1230+L1230</f>
        <v/>
      </c>
      <c r="N1230" s="24">
        <f>M1230*'Dashboard &amp; Optimisation'!$B$18/('Dashboard &amp; Optimisation'!$B$16/3.6)</f>
        <v/>
      </c>
      <c r="O1230" s="24" t="n">
        <v>949.7238876992132</v>
      </c>
      <c r="P1230" s="25" t="n">
        <v>0.072877449969957</v>
      </c>
      <c r="Q1230" s="26" t="n">
        <v>9.575620989186925</v>
      </c>
      <c r="R1230" s="24" t="n">
        <v>3794.848455080272</v>
      </c>
      <c r="S1230" s="24">
        <f>R1230*IF(A1230=4, 2.0, 3.0)</f>
        <v/>
      </c>
      <c r="T1230" s="22">
        <f>'Dashboard &amp; Optimisation'!$B$18*U1230</f>
        <v/>
      </c>
      <c r="U1230" s="27">
        <f>MIN(1, S1230/M1230)</f>
        <v/>
      </c>
      <c r="V1230" s="27">
        <f>N1230/(N1230+O1230)</f>
        <v/>
      </c>
      <c r="W1230" s="27">
        <f>U1230*V1230</f>
        <v/>
      </c>
      <c r="X1230" s="25">
        <f>T1230/N1230</f>
        <v/>
      </c>
      <c r="Y1230" s="28">
        <f>IF(W1230=MAXIFS(W$2:W$3601, A$2:A$3601, A1230, B$2:B$3601, B1230), "OPTIMAL", "")</f>
        <v/>
      </c>
    </row>
    <row r="1231" ht="20" customHeight="1">
      <c r="A1231" s="29" t="n">
        <v>4</v>
      </c>
      <c r="B1231" s="29" t="n">
        <v>40</v>
      </c>
      <c r="C1231" s="30" t="n">
        <v>95</v>
      </c>
      <c r="D1231" s="30" t="n">
        <v>3</v>
      </c>
      <c r="E1231" s="6" t="n">
        <v>4</v>
      </c>
      <c r="F1231" s="30" t="n">
        <v>2</v>
      </c>
      <c r="G1231" s="6" t="inlineStr">
        <is>
          <t>Oui</t>
        </is>
      </c>
      <c r="H1231" s="6" t="inlineStr">
        <is>
          <t>OFF</t>
        </is>
      </c>
      <c r="I1231" s="31" t="n">
        <v>994.4885628369005</v>
      </c>
      <c r="J1231" s="31" t="n">
        <v>4850.441664768843</v>
      </c>
      <c r="K1231" s="31" t="n">
        <v>2726.851851851852</v>
      </c>
      <c r="L1231" s="31" t="n">
        <v>150</v>
      </c>
      <c r="M1231" s="31">
        <f>I1231+J1231+K1231+L1231</f>
        <v/>
      </c>
      <c r="N1231" s="31">
        <f>M1231*'Dashboard &amp; Optimisation'!$B$18/('Dashboard &amp; Optimisation'!$B$16/3.6)</f>
        <v/>
      </c>
      <c r="O1231" s="31" t="n">
        <v>949.7238876992132</v>
      </c>
      <c r="P1231" s="32" t="n">
        <v>0.3165144364464006</v>
      </c>
      <c r="Q1231" s="33" t="n">
        <v>9.575620989186925</v>
      </c>
      <c r="R1231" s="31" t="n">
        <v>873.7638685100367</v>
      </c>
      <c r="S1231" s="31">
        <f>R1231*IF(A1231=4, 2.0, 3.0)</f>
        <v/>
      </c>
      <c r="T1231" s="30">
        <f>'Dashboard &amp; Optimisation'!$B$18*U1231</f>
        <v/>
      </c>
      <c r="U1231" s="34">
        <f>MIN(1, S1231/M1231)</f>
        <v/>
      </c>
      <c r="V1231" s="34">
        <f>N1231/(N1231+O1231)</f>
        <v/>
      </c>
      <c r="W1231" s="34">
        <f>U1231*V1231</f>
        <v/>
      </c>
      <c r="X1231" s="32">
        <f>T1231/N1231</f>
        <v/>
      </c>
      <c r="Y1231" s="35">
        <f>IF(W1231=MAXIFS(W$2:W$3601, A$2:A$3601, A1231, B$2:B$3601, B1231), "OPTIMAL", "")</f>
        <v/>
      </c>
    </row>
    <row r="1232" ht="20" customHeight="1">
      <c r="A1232" s="21" t="n">
        <v>4</v>
      </c>
      <c r="B1232" s="21" t="n">
        <v>40</v>
      </c>
      <c r="C1232" s="22" t="n">
        <v>95</v>
      </c>
      <c r="D1232" s="22" t="n">
        <v>3</v>
      </c>
      <c r="E1232" s="23" t="n">
        <v>4</v>
      </c>
      <c r="F1232" s="22" t="n">
        <v>2</v>
      </c>
      <c r="G1232" s="23" t="inlineStr">
        <is>
          <t>Non</t>
        </is>
      </c>
      <c r="H1232" s="23" t="inlineStr">
        <is>
          <t>ON</t>
        </is>
      </c>
      <c r="I1232" s="24" t="n">
        <v>994.4885628369005</v>
      </c>
      <c r="J1232" s="24" t="n">
        <v>4850.441664768843</v>
      </c>
      <c r="K1232" s="24" t="n">
        <v>2726.851851851852</v>
      </c>
      <c r="L1232" s="24" t="n">
        <v>150</v>
      </c>
      <c r="M1232" s="24">
        <f>I1232+J1232+K1232+L1232</f>
        <v/>
      </c>
      <c r="N1232" s="24">
        <f>M1232*'Dashboard &amp; Optimisation'!$B$18/('Dashboard &amp; Optimisation'!$B$16/3.6)</f>
        <v/>
      </c>
      <c r="O1232" s="24" t="n">
        <v>949.7238876992132</v>
      </c>
      <c r="P1232" s="25" t="n">
        <v>0.06952681958907499</v>
      </c>
      <c r="Q1232" s="26" t="n">
        <v>9.575620989186925</v>
      </c>
      <c r="R1232" s="24" t="n">
        <v>3977.729458405111</v>
      </c>
      <c r="S1232" s="24">
        <f>R1232*IF(A1232=4, 2.0, 3.0)</f>
        <v/>
      </c>
      <c r="T1232" s="22">
        <f>'Dashboard &amp; Optimisation'!$B$18*U1232</f>
        <v/>
      </c>
      <c r="U1232" s="27">
        <f>MIN(1, S1232/M1232)</f>
        <v/>
      </c>
      <c r="V1232" s="27">
        <f>N1232/(N1232+O1232)</f>
        <v/>
      </c>
      <c r="W1232" s="27">
        <f>U1232*V1232</f>
        <v/>
      </c>
      <c r="X1232" s="25">
        <f>T1232/N1232</f>
        <v/>
      </c>
      <c r="Y1232" s="28">
        <f>IF(W1232=MAXIFS(W$2:W$3601, A$2:A$3601, A1232, B$2:B$3601, B1232), "OPTIMAL", "")</f>
        <v/>
      </c>
    </row>
    <row r="1233" ht="20" customHeight="1">
      <c r="A1233" s="29" t="n">
        <v>4</v>
      </c>
      <c r="B1233" s="29" t="n">
        <v>40</v>
      </c>
      <c r="C1233" s="30" t="n">
        <v>95</v>
      </c>
      <c r="D1233" s="30" t="n">
        <v>3</v>
      </c>
      <c r="E1233" s="6" t="n">
        <v>4</v>
      </c>
      <c r="F1233" s="30" t="n">
        <v>2</v>
      </c>
      <c r="G1233" s="6" t="inlineStr">
        <is>
          <t>Non</t>
        </is>
      </c>
      <c r="H1233" s="6" t="inlineStr">
        <is>
          <t>OFF</t>
        </is>
      </c>
      <c r="I1233" s="31" t="n">
        <v>994.4885628369005</v>
      </c>
      <c r="J1233" s="31" t="n">
        <v>4850.441664768843</v>
      </c>
      <c r="K1233" s="31" t="n">
        <v>2726.851851851852</v>
      </c>
      <c r="L1233" s="31" t="n">
        <v>150</v>
      </c>
      <c r="M1233" s="31">
        <f>I1233+J1233+K1233+L1233</f>
        <v/>
      </c>
      <c r="N1233" s="31">
        <f>M1233*'Dashboard &amp; Optimisation'!$B$18/('Dashboard &amp; Optimisation'!$B$16/3.6)</f>
        <v/>
      </c>
      <c r="O1233" s="31" t="n">
        <v>949.7238876992132</v>
      </c>
      <c r="P1233" s="32" t="n">
        <v>0.3131638060655186</v>
      </c>
      <c r="Q1233" s="33" t="n">
        <v>9.575620989186925</v>
      </c>
      <c r="R1233" s="31" t="n">
        <v>883.1125215371179</v>
      </c>
      <c r="S1233" s="31">
        <f>R1233*IF(A1233=4, 2.0, 3.0)</f>
        <v/>
      </c>
      <c r="T1233" s="30">
        <f>'Dashboard &amp; Optimisation'!$B$18*U1233</f>
        <v/>
      </c>
      <c r="U1233" s="34">
        <f>MIN(1, S1233/M1233)</f>
        <v/>
      </c>
      <c r="V1233" s="34">
        <f>N1233/(N1233+O1233)</f>
        <v/>
      </c>
      <c r="W1233" s="34">
        <f>U1233*V1233</f>
        <v/>
      </c>
      <c r="X1233" s="32">
        <f>T1233/N1233</f>
        <v/>
      </c>
      <c r="Y1233" s="35">
        <f>IF(W1233=MAXIFS(W$2:W$3601, A$2:A$3601, A1233, B$2:B$3601, B1233), "OPTIMAL", "")</f>
        <v/>
      </c>
    </row>
    <row r="1234" ht="20" customHeight="1">
      <c r="A1234" s="21" t="n">
        <v>4</v>
      </c>
      <c r="B1234" s="21" t="n">
        <v>40</v>
      </c>
      <c r="C1234" s="22" t="n">
        <v>95</v>
      </c>
      <c r="D1234" s="22" t="n">
        <v>3</v>
      </c>
      <c r="E1234" s="23" t="n">
        <v>8</v>
      </c>
      <c r="F1234" s="22" t="n">
        <v>1.5</v>
      </c>
      <c r="G1234" s="23" t="inlineStr">
        <is>
          <t>Oui</t>
        </is>
      </c>
      <c r="H1234" s="23" t="inlineStr">
        <is>
          <t>ON</t>
        </is>
      </c>
      <c r="I1234" s="24" t="n">
        <v>994.4885628369005</v>
      </c>
      <c r="J1234" s="24" t="n">
        <v>4850.441664768843</v>
      </c>
      <c r="K1234" s="24" t="n">
        <v>2726.851851851852</v>
      </c>
      <c r="L1234" s="24" t="n">
        <v>150</v>
      </c>
      <c r="M1234" s="24">
        <f>I1234+J1234+K1234+L1234</f>
        <v/>
      </c>
      <c r="N1234" s="24">
        <f>M1234*'Dashboard &amp; Optimisation'!$B$18/('Dashboard &amp; Optimisation'!$B$16/3.6)</f>
        <v/>
      </c>
      <c r="O1234" s="24" t="n">
        <v>1127.914014651142</v>
      </c>
      <c r="P1234" s="25" t="n">
        <v>0.05688455314032285</v>
      </c>
      <c r="Q1234" s="26" t="n">
        <v>14.26343148378039</v>
      </c>
      <c r="R1234" s="24" t="n">
        <v>4981.246458310996</v>
      </c>
      <c r="S1234" s="24">
        <f>R1234*IF(A1234=4, 2.0, 3.0)</f>
        <v/>
      </c>
      <c r="T1234" s="22">
        <f>'Dashboard &amp; Optimisation'!$B$18*U1234</f>
        <v/>
      </c>
      <c r="U1234" s="27">
        <f>MIN(1, S1234/M1234)</f>
        <v/>
      </c>
      <c r="V1234" s="27">
        <f>N1234/(N1234+O1234)</f>
        <v/>
      </c>
      <c r="W1234" s="27">
        <f>U1234*V1234</f>
        <v/>
      </c>
      <c r="X1234" s="25">
        <f>T1234/N1234</f>
        <v/>
      </c>
      <c r="Y1234" s="28">
        <f>IF(W1234=MAXIFS(W$2:W$3601, A$2:A$3601, A1234, B$2:B$3601, B1234), "OPTIMAL", "")</f>
        <v/>
      </c>
    </row>
    <row r="1235" ht="20" customHeight="1">
      <c r="A1235" s="29" t="n">
        <v>4</v>
      </c>
      <c r="B1235" s="29" t="n">
        <v>40</v>
      </c>
      <c r="C1235" s="30" t="n">
        <v>95</v>
      </c>
      <c r="D1235" s="30" t="n">
        <v>3</v>
      </c>
      <c r="E1235" s="6" t="n">
        <v>8</v>
      </c>
      <c r="F1235" s="30" t="n">
        <v>1.5</v>
      </c>
      <c r="G1235" s="6" t="inlineStr">
        <is>
          <t>Oui</t>
        </is>
      </c>
      <c r="H1235" s="6" t="inlineStr">
        <is>
          <t>OFF</t>
        </is>
      </c>
      <c r="I1235" s="31" t="n">
        <v>994.4885628369005</v>
      </c>
      <c r="J1235" s="31" t="n">
        <v>4850.441664768843</v>
      </c>
      <c r="K1235" s="31" t="n">
        <v>2726.851851851852</v>
      </c>
      <c r="L1235" s="31" t="n">
        <v>150</v>
      </c>
      <c r="M1235" s="31">
        <f>I1235+J1235+K1235+L1235</f>
        <v/>
      </c>
      <c r="N1235" s="31">
        <f>M1235*'Dashboard &amp; Optimisation'!$B$18/('Dashboard &amp; Optimisation'!$B$16/3.6)</f>
        <v/>
      </c>
      <c r="O1235" s="31" t="n">
        <v>1127.914014651142</v>
      </c>
      <c r="P1235" s="32" t="n">
        <v>0.246840465467505</v>
      </c>
      <c r="Q1235" s="33" t="n">
        <v>14.26343148378039</v>
      </c>
      <c r="R1235" s="31" t="n">
        <v>1147.931634005685</v>
      </c>
      <c r="S1235" s="31">
        <f>R1235*IF(A1235=4, 2.0, 3.0)</f>
        <v/>
      </c>
      <c r="T1235" s="30">
        <f>'Dashboard &amp; Optimisation'!$B$18*U1235</f>
        <v/>
      </c>
      <c r="U1235" s="34">
        <f>MIN(1, S1235/M1235)</f>
        <v/>
      </c>
      <c r="V1235" s="34">
        <f>N1235/(N1235+O1235)</f>
        <v/>
      </c>
      <c r="W1235" s="34">
        <f>U1235*V1235</f>
        <v/>
      </c>
      <c r="X1235" s="32">
        <f>T1235/N1235</f>
        <v/>
      </c>
      <c r="Y1235" s="35">
        <f>IF(W1235=MAXIFS(W$2:W$3601, A$2:A$3601, A1235, B$2:B$3601, B1235), "OPTIMAL", "")</f>
        <v/>
      </c>
    </row>
    <row r="1236" ht="20" customHeight="1">
      <c r="A1236" s="21" t="n">
        <v>4</v>
      </c>
      <c r="B1236" s="21" t="n">
        <v>40</v>
      </c>
      <c r="C1236" s="22" t="n">
        <v>95</v>
      </c>
      <c r="D1236" s="22" t="n">
        <v>3</v>
      </c>
      <c r="E1236" s="23" t="n">
        <v>8</v>
      </c>
      <c r="F1236" s="22" t="n">
        <v>1.5</v>
      </c>
      <c r="G1236" s="23" t="inlineStr">
        <is>
          <t>Non</t>
        </is>
      </c>
      <c r="H1236" s="23" t="inlineStr">
        <is>
          <t>ON</t>
        </is>
      </c>
      <c r="I1236" s="24" t="n">
        <v>994.4885628369005</v>
      </c>
      <c r="J1236" s="24" t="n">
        <v>4850.441664768843</v>
      </c>
      <c r="K1236" s="24" t="n">
        <v>2726.851851851852</v>
      </c>
      <c r="L1236" s="24" t="n">
        <v>150</v>
      </c>
      <c r="M1236" s="24">
        <f>I1236+J1236+K1236+L1236</f>
        <v/>
      </c>
      <c r="N1236" s="24">
        <f>M1236*'Dashboard &amp; Optimisation'!$B$18/('Dashboard &amp; Optimisation'!$B$16/3.6)</f>
        <v/>
      </c>
      <c r="O1236" s="24" t="n">
        <v>1127.914014651142</v>
      </c>
      <c r="P1236" s="25" t="n">
        <v>0.05353392275944084</v>
      </c>
      <c r="Q1236" s="26" t="n">
        <v>14.26343148378039</v>
      </c>
      <c r="R1236" s="24" t="n">
        <v>5293.017291785633</v>
      </c>
      <c r="S1236" s="24">
        <f>R1236*IF(A1236=4, 2.0, 3.0)</f>
        <v/>
      </c>
      <c r="T1236" s="22">
        <f>'Dashboard &amp; Optimisation'!$B$18*U1236</f>
        <v/>
      </c>
      <c r="U1236" s="27">
        <f>MIN(1, S1236/M1236)</f>
        <v/>
      </c>
      <c r="V1236" s="27">
        <f>N1236/(N1236+O1236)</f>
        <v/>
      </c>
      <c r="W1236" s="27">
        <f>U1236*V1236</f>
        <v/>
      </c>
      <c r="X1236" s="25">
        <f>T1236/N1236</f>
        <v/>
      </c>
      <c r="Y1236" s="28">
        <f>IF(W1236=MAXIFS(W$2:W$3601, A$2:A$3601, A1236, B$2:B$3601, B1236), "OPTIMAL", "")</f>
        <v/>
      </c>
    </row>
    <row r="1237" ht="20" customHeight="1">
      <c r="A1237" s="29" t="n">
        <v>4</v>
      </c>
      <c r="B1237" s="29" t="n">
        <v>40</v>
      </c>
      <c r="C1237" s="30" t="n">
        <v>95</v>
      </c>
      <c r="D1237" s="30" t="n">
        <v>3</v>
      </c>
      <c r="E1237" s="6" t="n">
        <v>8</v>
      </c>
      <c r="F1237" s="30" t="n">
        <v>1.5</v>
      </c>
      <c r="G1237" s="6" t="inlineStr">
        <is>
          <t>Non</t>
        </is>
      </c>
      <c r="H1237" s="6" t="inlineStr">
        <is>
          <t>OFF</t>
        </is>
      </c>
      <c r="I1237" s="31" t="n">
        <v>994.4885628369005</v>
      </c>
      <c r="J1237" s="31" t="n">
        <v>4850.441664768843</v>
      </c>
      <c r="K1237" s="31" t="n">
        <v>2726.851851851852</v>
      </c>
      <c r="L1237" s="31" t="n">
        <v>150</v>
      </c>
      <c r="M1237" s="31">
        <f>I1237+J1237+K1237+L1237</f>
        <v/>
      </c>
      <c r="N1237" s="31">
        <f>M1237*'Dashboard &amp; Optimisation'!$B$18/('Dashboard &amp; Optimisation'!$B$16/3.6)</f>
        <v/>
      </c>
      <c r="O1237" s="31" t="n">
        <v>1127.914014651142</v>
      </c>
      <c r="P1237" s="32" t="n">
        <v>0.2434898350866229</v>
      </c>
      <c r="Q1237" s="33" t="n">
        <v>14.26343148378039</v>
      </c>
      <c r="R1237" s="31" t="n">
        <v>1163.728164512622</v>
      </c>
      <c r="S1237" s="31">
        <f>R1237*IF(A1237=4, 2.0, 3.0)</f>
        <v/>
      </c>
      <c r="T1237" s="30">
        <f>'Dashboard &amp; Optimisation'!$B$18*U1237</f>
        <v/>
      </c>
      <c r="U1237" s="34">
        <f>MIN(1, S1237/M1237)</f>
        <v/>
      </c>
      <c r="V1237" s="34">
        <f>N1237/(N1237+O1237)</f>
        <v/>
      </c>
      <c r="W1237" s="34">
        <f>U1237*V1237</f>
        <v/>
      </c>
      <c r="X1237" s="32">
        <f>T1237/N1237</f>
        <v/>
      </c>
      <c r="Y1237" s="35">
        <f>IF(W1237=MAXIFS(W$2:W$3601, A$2:A$3601, A1237, B$2:B$3601, B1237), "OPTIMAL", "")</f>
        <v/>
      </c>
    </row>
    <row r="1238" ht="20" customHeight="1">
      <c r="A1238" s="21" t="n">
        <v>4</v>
      </c>
      <c r="B1238" s="21" t="n">
        <v>40</v>
      </c>
      <c r="C1238" s="22" t="n">
        <v>95</v>
      </c>
      <c r="D1238" s="22" t="n">
        <v>3</v>
      </c>
      <c r="E1238" s="23" t="n">
        <v>8</v>
      </c>
      <c r="F1238" s="22" t="n">
        <v>2</v>
      </c>
      <c r="G1238" s="23" t="inlineStr">
        <is>
          <t>Oui</t>
        </is>
      </c>
      <c r="H1238" s="23" t="inlineStr">
        <is>
          <t>ON</t>
        </is>
      </c>
      <c r="I1238" s="24" t="n">
        <v>994.4885628369005</v>
      </c>
      <c r="J1238" s="24" t="n">
        <v>4850.441664768843</v>
      </c>
      <c r="K1238" s="24" t="n">
        <v>2726.851851851852</v>
      </c>
      <c r="L1238" s="24" t="n">
        <v>150</v>
      </c>
      <c r="M1238" s="24">
        <f>I1238+J1238+K1238+L1238</f>
        <v/>
      </c>
      <c r="N1238" s="24">
        <f>M1238*'Dashboard &amp; Optimisation'!$B$18/('Dashboard &amp; Optimisation'!$B$16/3.6)</f>
        <v/>
      </c>
      <c r="O1238" s="24" t="n">
        <v>1315.083739812065</v>
      </c>
      <c r="P1238" s="25" t="n">
        <v>0.0557699285087862</v>
      </c>
      <c r="Q1238" s="26" t="n">
        <v>18.95124197837385</v>
      </c>
      <c r="R1238" s="24" t="n">
        <v>5208.821595350465</v>
      </c>
      <c r="S1238" s="24">
        <f>R1238*IF(A1238=4, 2.0, 3.0)</f>
        <v/>
      </c>
      <c r="T1238" s="22">
        <f>'Dashboard &amp; Optimisation'!$B$18*U1238</f>
        <v/>
      </c>
      <c r="U1238" s="27">
        <f>MIN(1, S1238/M1238)</f>
        <v/>
      </c>
      <c r="V1238" s="27">
        <f>N1238/(N1238+O1238)</f>
        <v/>
      </c>
      <c r="W1238" s="27">
        <f>U1238*V1238</f>
        <v/>
      </c>
      <c r="X1238" s="25">
        <f>T1238/N1238</f>
        <v/>
      </c>
      <c r="Y1238" s="28">
        <f>IF(W1238=MAXIFS(W$2:W$3601, A$2:A$3601, A1238, B$2:B$3601, B1238), "OPTIMAL", "")</f>
        <v/>
      </c>
    </row>
    <row r="1239" ht="20" customHeight="1">
      <c r="A1239" s="29" t="n">
        <v>4</v>
      </c>
      <c r="B1239" s="29" t="n">
        <v>40</v>
      </c>
      <c r="C1239" s="30" t="n">
        <v>95</v>
      </c>
      <c r="D1239" s="30" t="n">
        <v>3</v>
      </c>
      <c r="E1239" s="6" t="n">
        <v>8</v>
      </c>
      <c r="F1239" s="30" t="n">
        <v>2</v>
      </c>
      <c r="G1239" s="6" t="inlineStr">
        <is>
          <t>Oui</t>
        </is>
      </c>
      <c r="H1239" s="6" t="inlineStr">
        <is>
          <t>OFF</t>
        </is>
      </c>
      <c r="I1239" s="31" t="n">
        <v>994.4885628369005</v>
      </c>
      <c r="J1239" s="31" t="n">
        <v>4850.441664768843</v>
      </c>
      <c r="K1239" s="31" t="n">
        <v>2726.851851851852</v>
      </c>
      <c r="L1239" s="31" t="n">
        <v>150</v>
      </c>
      <c r="M1239" s="31">
        <f>I1239+J1239+K1239+L1239</f>
        <v/>
      </c>
      <c r="N1239" s="31">
        <f>M1239*'Dashboard &amp; Optimisation'!$B$18/('Dashboard &amp; Optimisation'!$B$16/3.6)</f>
        <v/>
      </c>
      <c r="O1239" s="31" t="n">
        <v>1315.083739812065</v>
      </c>
      <c r="P1239" s="32" t="n">
        <v>0.2471780798795112</v>
      </c>
      <c r="Q1239" s="33" t="n">
        <v>18.95124197837385</v>
      </c>
      <c r="R1239" s="31" t="n">
        <v>1175.248258782985</v>
      </c>
      <c r="S1239" s="31">
        <f>R1239*IF(A1239=4, 2.0, 3.0)</f>
        <v/>
      </c>
      <c r="T1239" s="30">
        <f>'Dashboard &amp; Optimisation'!$B$18*U1239</f>
        <v/>
      </c>
      <c r="U1239" s="34">
        <f>MIN(1, S1239/M1239)</f>
        <v/>
      </c>
      <c r="V1239" s="34">
        <f>N1239/(N1239+O1239)</f>
        <v/>
      </c>
      <c r="W1239" s="34">
        <f>U1239*V1239</f>
        <v/>
      </c>
      <c r="X1239" s="32">
        <f>T1239/N1239</f>
        <v/>
      </c>
      <c r="Y1239" s="35">
        <f>IF(W1239=MAXIFS(W$2:W$3601, A$2:A$3601, A1239, B$2:B$3601, B1239), "OPTIMAL", "")</f>
        <v/>
      </c>
    </row>
    <row r="1240" ht="20" customHeight="1">
      <c r="A1240" s="21" t="n">
        <v>4</v>
      </c>
      <c r="B1240" s="21" t="n">
        <v>40</v>
      </c>
      <c r="C1240" s="22" t="n">
        <v>95</v>
      </c>
      <c r="D1240" s="22" t="n">
        <v>3</v>
      </c>
      <c r="E1240" s="23" t="n">
        <v>8</v>
      </c>
      <c r="F1240" s="22" t="n">
        <v>2</v>
      </c>
      <c r="G1240" s="23" t="inlineStr">
        <is>
          <t>Non</t>
        </is>
      </c>
      <c r="H1240" s="23" t="inlineStr">
        <is>
          <t>ON</t>
        </is>
      </c>
      <c r="I1240" s="24" t="n">
        <v>994.4885628369005</v>
      </c>
      <c r="J1240" s="24" t="n">
        <v>4850.441664768843</v>
      </c>
      <c r="K1240" s="24" t="n">
        <v>2726.851851851852</v>
      </c>
      <c r="L1240" s="24" t="n">
        <v>150</v>
      </c>
      <c r="M1240" s="24">
        <f>I1240+J1240+K1240+L1240</f>
        <v/>
      </c>
      <c r="N1240" s="24">
        <f>M1240*'Dashboard &amp; Optimisation'!$B$18/('Dashboard &amp; Optimisation'!$B$16/3.6)</f>
        <v/>
      </c>
      <c r="O1240" s="24" t="n">
        <v>1315.083739812065</v>
      </c>
      <c r="P1240" s="25" t="n">
        <v>0.05241929812790419</v>
      </c>
      <c r="Q1240" s="26" t="n">
        <v>18.95124197837385</v>
      </c>
      <c r="R1240" s="24" t="n">
        <v>5541.768363225729</v>
      </c>
      <c r="S1240" s="24">
        <f>R1240*IF(A1240=4, 2.0, 3.0)</f>
        <v/>
      </c>
      <c r="T1240" s="22">
        <f>'Dashboard &amp; Optimisation'!$B$18*U1240</f>
        <v/>
      </c>
      <c r="U1240" s="27">
        <f>MIN(1, S1240/M1240)</f>
        <v/>
      </c>
      <c r="V1240" s="27">
        <f>N1240/(N1240+O1240)</f>
        <v/>
      </c>
      <c r="W1240" s="27">
        <f>U1240*V1240</f>
        <v/>
      </c>
      <c r="X1240" s="25">
        <f>T1240/N1240</f>
        <v/>
      </c>
      <c r="Y1240" s="28">
        <f>IF(W1240=MAXIFS(W$2:W$3601, A$2:A$3601, A1240, B$2:B$3601, B1240), "OPTIMAL", "")</f>
        <v/>
      </c>
    </row>
    <row r="1241" ht="20" customHeight="1">
      <c r="A1241" s="29" t="n">
        <v>4</v>
      </c>
      <c r="B1241" s="29" t="n">
        <v>40</v>
      </c>
      <c r="C1241" s="30" t="n">
        <v>95</v>
      </c>
      <c r="D1241" s="30" t="n">
        <v>3</v>
      </c>
      <c r="E1241" s="6" t="n">
        <v>8</v>
      </c>
      <c r="F1241" s="30" t="n">
        <v>2</v>
      </c>
      <c r="G1241" s="6" t="inlineStr">
        <is>
          <t>Non</t>
        </is>
      </c>
      <c r="H1241" s="6" t="inlineStr">
        <is>
          <t>OFF</t>
        </is>
      </c>
      <c r="I1241" s="31" t="n">
        <v>994.4885628369005</v>
      </c>
      <c r="J1241" s="31" t="n">
        <v>4850.441664768843</v>
      </c>
      <c r="K1241" s="31" t="n">
        <v>2726.851851851852</v>
      </c>
      <c r="L1241" s="31" t="n">
        <v>150</v>
      </c>
      <c r="M1241" s="31">
        <f>I1241+J1241+K1241+L1241</f>
        <v/>
      </c>
      <c r="N1241" s="31">
        <f>M1241*'Dashboard &amp; Optimisation'!$B$18/('Dashboard &amp; Optimisation'!$B$16/3.6)</f>
        <v/>
      </c>
      <c r="O1241" s="31" t="n">
        <v>1315.083739812065</v>
      </c>
      <c r="P1241" s="32" t="n">
        <v>0.2438274494986292</v>
      </c>
      <c r="Q1241" s="33" t="n">
        <v>18.95124197837385</v>
      </c>
      <c r="R1241" s="31" t="n">
        <v>1191.398296561972</v>
      </c>
      <c r="S1241" s="31">
        <f>R1241*IF(A1241=4, 2.0, 3.0)</f>
        <v/>
      </c>
      <c r="T1241" s="30">
        <f>'Dashboard &amp; Optimisation'!$B$18*U1241</f>
        <v/>
      </c>
      <c r="U1241" s="34">
        <f>MIN(1, S1241/M1241)</f>
        <v/>
      </c>
      <c r="V1241" s="34">
        <f>N1241/(N1241+O1241)</f>
        <v/>
      </c>
      <c r="W1241" s="34">
        <f>U1241*V1241</f>
        <v/>
      </c>
      <c r="X1241" s="32">
        <f>T1241/N1241</f>
        <v/>
      </c>
      <c r="Y1241" s="35">
        <f>IF(W1241=MAXIFS(W$2:W$3601, A$2:A$3601, A1241, B$2:B$3601, B1241), "OPTIMAL", "")</f>
        <v/>
      </c>
    </row>
    <row r="1242" ht="20" customHeight="1">
      <c r="A1242" s="21" t="n">
        <v>4</v>
      </c>
      <c r="B1242" s="21" t="n">
        <v>40</v>
      </c>
      <c r="C1242" s="22" t="n">
        <v>100</v>
      </c>
      <c r="D1242" s="22" t="n">
        <v>2</v>
      </c>
      <c r="E1242" s="23" t="n">
        <v>0</v>
      </c>
      <c r="F1242" s="22" t="n">
        <v>0</v>
      </c>
      <c r="G1242" s="23" t="inlineStr">
        <is>
          <t>Oui</t>
        </is>
      </c>
      <c r="H1242" s="23" t="inlineStr">
        <is>
          <t>ON</t>
        </is>
      </c>
      <c r="I1242" s="24" t="n">
        <v>994.4885628369005</v>
      </c>
      <c r="J1242" s="24" t="n">
        <v>4850.441664768843</v>
      </c>
      <c r="K1242" s="24" t="n">
        <v>2726.851851851852</v>
      </c>
      <c r="L1242" s="24" t="n">
        <v>150</v>
      </c>
      <c r="M1242" s="24">
        <f>I1242+J1242+K1242+L1242</f>
        <v/>
      </c>
      <c r="N1242" s="24">
        <f>M1242*'Dashboard &amp; Optimisation'!$B$18/('Dashboard &amp; Optimisation'!$B$16/3.6)</f>
        <v/>
      </c>
      <c r="O1242" s="24" t="n">
        <v>377.0888134353733</v>
      </c>
      <c r="P1242" s="25" t="n">
        <v>0.4806796209288155</v>
      </c>
      <c r="Q1242" s="26" t="n">
        <v>0.2</v>
      </c>
      <c r="R1242" s="24" t="n">
        <v>471.8655057582359</v>
      </c>
      <c r="S1242" s="24">
        <f>R1242*IF(A1242=4, 2.0, 3.0)</f>
        <v/>
      </c>
      <c r="T1242" s="22">
        <f>'Dashboard &amp; Optimisation'!$B$18*U1242</f>
        <v/>
      </c>
      <c r="U1242" s="27">
        <f>MIN(1, S1242/M1242)</f>
        <v/>
      </c>
      <c r="V1242" s="27">
        <f>N1242/(N1242+O1242)</f>
        <v/>
      </c>
      <c r="W1242" s="27">
        <f>U1242*V1242</f>
        <v/>
      </c>
      <c r="X1242" s="25">
        <f>T1242/N1242</f>
        <v/>
      </c>
      <c r="Y1242" s="28">
        <f>IF(W1242=MAXIFS(W$2:W$3601, A$2:A$3601, A1242, B$2:B$3601, B1242), "OPTIMAL", "")</f>
        <v/>
      </c>
    </row>
    <row r="1243" ht="20" customHeight="1">
      <c r="A1243" s="29" t="n">
        <v>4</v>
      </c>
      <c r="B1243" s="29" t="n">
        <v>40</v>
      </c>
      <c r="C1243" s="30" t="n">
        <v>100</v>
      </c>
      <c r="D1243" s="30" t="n">
        <v>2</v>
      </c>
      <c r="E1243" s="6" t="n">
        <v>0</v>
      </c>
      <c r="F1243" s="30" t="n">
        <v>0</v>
      </c>
      <c r="G1243" s="6" t="inlineStr">
        <is>
          <t>Oui</t>
        </is>
      </c>
      <c r="H1243" s="6" t="inlineStr">
        <is>
          <t>OFF</t>
        </is>
      </c>
      <c r="I1243" s="31" t="n">
        <v>994.4885628369005</v>
      </c>
      <c r="J1243" s="31" t="n">
        <v>4850.441664768843</v>
      </c>
      <c r="K1243" s="31" t="n">
        <v>2726.851851851852</v>
      </c>
      <c r="L1243" s="31" t="n">
        <v>150</v>
      </c>
      <c r="M1243" s="31">
        <f>I1243+J1243+K1243+L1243</f>
        <v/>
      </c>
      <c r="N1243" s="31">
        <f>M1243*'Dashboard &amp; Optimisation'!$B$18/('Dashboard &amp; Optimisation'!$B$16/3.6)</f>
        <v/>
      </c>
      <c r="O1243" s="31" t="n">
        <v>377.0888134353733</v>
      </c>
      <c r="P1243" s="32" t="n">
        <v>0.7989895071126063</v>
      </c>
      <c r="Q1243" s="33" t="n">
        <v>0.2</v>
      </c>
      <c r="R1243" s="31" t="n">
        <v>283.8787373527874</v>
      </c>
      <c r="S1243" s="31">
        <f>R1243*IF(A1243=4, 2.0, 3.0)</f>
        <v/>
      </c>
      <c r="T1243" s="30">
        <f>'Dashboard &amp; Optimisation'!$B$18*U1243</f>
        <v/>
      </c>
      <c r="U1243" s="34">
        <f>MIN(1, S1243/M1243)</f>
        <v/>
      </c>
      <c r="V1243" s="34">
        <f>N1243/(N1243+O1243)</f>
        <v/>
      </c>
      <c r="W1243" s="34">
        <f>U1243*V1243</f>
        <v/>
      </c>
      <c r="X1243" s="32">
        <f>T1243/N1243</f>
        <v/>
      </c>
      <c r="Y1243" s="35">
        <f>IF(W1243=MAXIFS(W$2:W$3601, A$2:A$3601, A1243, B$2:B$3601, B1243), "OPTIMAL", "")</f>
        <v/>
      </c>
    </row>
    <row r="1244" ht="20" customHeight="1">
      <c r="A1244" s="21" t="n">
        <v>4</v>
      </c>
      <c r="B1244" s="21" t="n">
        <v>40</v>
      </c>
      <c r="C1244" s="22" t="n">
        <v>100</v>
      </c>
      <c r="D1244" s="22" t="n">
        <v>2</v>
      </c>
      <c r="E1244" s="23" t="n">
        <v>0</v>
      </c>
      <c r="F1244" s="22" t="n">
        <v>0</v>
      </c>
      <c r="G1244" s="23" t="inlineStr">
        <is>
          <t>Non</t>
        </is>
      </c>
      <c r="H1244" s="23" t="inlineStr">
        <is>
          <t>ON</t>
        </is>
      </c>
      <c r="I1244" s="24" t="n">
        <v>994.4885628369005</v>
      </c>
      <c r="J1244" s="24" t="n">
        <v>4850.441664768843</v>
      </c>
      <c r="K1244" s="24" t="n">
        <v>2726.851851851852</v>
      </c>
      <c r="L1244" s="24" t="n">
        <v>150</v>
      </c>
      <c r="M1244" s="24">
        <f>I1244+J1244+K1244+L1244</f>
        <v/>
      </c>
      <c r="N1244" s="24">
        <f>M1244*'Dashboard &amp; Optimisation'!$B$18/('Dashboard &amp; Optimisation'!$B$16/3.6)</f>
        <v/>
      </c>
      <c r="O1244" s="24" t="n">
        <v>377.0888134353733</v>
      </c>
      <c r="P1244" s="25" t="n">
        <v>0.4774965220669776</v>
      </c>
      <c r="Q1244" s="26" t="n">
        <v>0.2</v>
      </c>
      <c r="R1244" s="24" t="n">
        <v>475.0110670029918</v>
      </c>
      <c r="S1244" s="24">
        <f>R1244*IF(A1244=4, 2.0, 3.0)</f>
        <v/>
      </c>
      <c r="T1244" s="22">
        <f>'Dashboard &amp; Optimisation'!$B$18*U1244</f>
        <v/>
      </c>
      <c r="U1244" s="27">
        <f>MIN(1, S1244/M1244)</f>
        <v/>
      </c>
      <c r="V1244" s="27">
        <f>N1244/(N1244+O1244)</f>
        <v/>
      </c>
      <c r="W1244" s="27">
        <f>U1244*V1244</f>
        <v/>
      </c>
      <c r="X1244" s="25">
        <f>T1244/N1244</f>
        <v/>
      </c>
      <c r="Y1244" s="28">
        <f>IF(W1244=MAXIFS(W$2:W$3601, A$2:A$3601, A1244, B$2:B$3601, B1244), "OPTIMAL", "")</f>
        <v/>
      </c>
    </row>
    <row r="1245" ht="20" customHeight="1">
      <c r="A1245" s="29" t="n">
        <v>4</v>
      </c>
      <c r="B1245" s="29" t="n">
        <v>40</v>
      </c>
      <c r="C1245" s="30" t="n">
        <v>100</v>
      </c>
      <c r="D1245" s="30" t="n">
        <v>2</v>
      </c>
      <c r="E1245" s="6" t="n">
        <v>0</v>
      </c>
      <c r="F1245" s="30" t="n">
        <v>0</v>
      </c>
      <c r="G1245" s="6" t="inlineStr">
        <is>
          <t>Non</t>
        </is>
      </c>
      <c r="H1245" s="6" t="inlineStr">
        <is>
          <t>OFF</t>
        </is>
      </c>
      <c r="I1245" s="31" t="n">
        <v>994.4885628369005</v>
      </c>
      <c r="J1245" s="31" t="n">
        <v>4850.441664768843</v>
      </c>
      <c r="K1245" s="31" t="n">
        <v>2726.851851851852</v>
      </c>
      <c r="L1245" s="31" t="n">
        <v>150</v>
      </c>
      <c r="M1245" s="31">
        <f>I1245+J1245+K1245+L1245</f>
        <v/>
      </c>
      <c r="N1245" s="31">
        <f>M1245*'Dashboard &amp; Optimisation'!$B$18/('Dashboard &amp; Optimisation'!$B$16/3.6)</f>
        <v/>
      </c>
      <c r="O1245" s="31" t="n">
        <v>377.0888134353733</v>
      </c>
      <c r="P1245" s="32" t="n">
        <v>0.7958064082507683</v>
      </c>
      <c r="Q1245" s="33" t="n">
        <v>0.2</v>
      </c>
      <c r="R1245" s="31" t="n">
        <v>285.0142070805995</v>
      </c>
      <c r="S1245" s="31">
        <f>R1245*IF(A1245=4, 2.0, 3.0)</f>
        <v/>
      </c>
      <c r="T1245" s="30">
        <f>'Dashboard &amp; Optimisation'!$B$18*U1245</f>
        <v/>
      </c>
      <c r="U1245" s="34">
        <f>MIN(1, S1245/M1245)</f>
        <v/>
      </c>
      <c r="V1245" s="34">
        <f>N1245/(N1245+O1245)</f>
        <v/>
      </c>
      <c r="W1245" s="34">
        <f>U1245*V1245</f>
        <v/>
      </c>
      <c r="X1245" s="32">
        <f>T1245/N1245</f>
        <v/>
      </c>
      <c r="Y1245" s="35">
        <f>IF(W1245=MAXIFS(W$2:W$3601, A$2:A$3601, A1245, B$2:B$3601, B1245), "OPTIMAL", "")</f>
        <v/>
      </c>
    </row>
    <row r="1246" ht="20" customHeight="1">
      <c r="A1246" s="21" t="n">
        <v>4</v>
      </c>
      <c r="B1246" s="21" t="n">
        <v>40</v>
      </c>
      <c r="C1246" s="22" t="n">
        <v>100</v>
      </c>
      <c r="D1246" s="22" t="n">
        <v>2</v>
      </c>
      <c r="E1246" s="23" t="n">
        <v>4</v>
      </c>
      <c r="F1246" s="22" t="n">
        <v>1.5</v>
      </c>
      <c r="G1246" s="23" t="inlineStr">
        <is>
          <t>Oui</t>
        </is>
      </c>
      <c r="H1246" s="23" t="inlineStr">
        <is>
          <t>ON</t>
        </is>
      </c>
      <c r="I1246" s="24" t="n">
        <v>994.4885628369005</v>
      </c>
      <c r="J1246" s="24" t="n">
        <v>4850.441664768843</v>
      </c>
      <c r="K1246" s="24" t="n">
        <v>2726.851851851852</v>
      </c>
      <c r="L1246" s="24" t="n">
        <v>150</v>
      </c>
      <c r="M1246" s="24">
        <f>I1246+J1246+K1246+L1246</f>
        <v/>
      </c>
      <c r="N1246" s="24">
        <f>M1246*'Dashboard &amp; Optimisation'!$B$18/('Dashboard &amp; Optimisation'!$B$16/3.6)</f>
        <v/>
      </c>
      <c r="O1246" s="24" t="n">
        <v>592.1516868899395</v>
      </c>
      <c r="P1246" s="25" t="n">
        <v>0.07376163664698646</v>
      </c>
      <c r="Q1246" s="26" t="n">
        <v>6.718986469044035</v>
      </c>
      <c r="R1246" s="24" t="n">
        <v>3176.085744293441</v>
      </c>
      <c r="S1246" s="24">
        <f>R1246*IF(A1246=4, 2.0, 3.0)</f>
        <v/>
      </c>
      <c r="T1246" s="22">
        <f>'Dashboard &amp; Optimisation'!$B$18*U1246</f>
        <v/>
      </c>
      <c r="U1246" s="27">
        <f>MIN(1, S1246/M1246)</f>
        <v/>
      </c>
      <c r="V1246" s="27">
        <f>N1246/(N1246+O1246)</f>
        <v/>
      </c>
      <c r="W1246" s="27">
        <f>U1246*V1246</f>
        <v/>
      </c>
      <c r="X1246" s="25">
        <f>T1246/N1246</f>
        <v/>
      </c>
      <c r="Y1246" s="28">
        <f>IF(W1246=MAXIFS(W$2:W$3601, A$2:A$3601, A1246, B$2:B$3601, B1246), "OPTIMAL", "")</f>
        <v/>
      </c>
    </row>
    <row r="1247" ht="20" customHeight="1">
      <c r="A1247" s="29" t="n">
        <v>4</v>
      </c>
      <c r="B1247" s="29" t="n">
        <v>40</v>
      </c>
      <c r="C1247" s="30" t="n">
        <v>100</v>
      </c>
      <c r="D1247" s="30" t="n">
        <v>2</v>
      </c>
      <c r="E1247" s="6" t="n">
        <v>4</v>
      </c>
      <c r="F1247" s="30" t="n">
        <v>1.5</v>
      </c>
      <c r="G1247" s="6" t="inlineStr">
        <is>
          <t>Oui</t>
        </is>
      </c>
      <c r="H1247" s="6" t="inlineStr">
        <is>
          <t>OFF</t>
        </is>
      </c>
      <c r="I1247" s="31" t="n">
        <v>994.4885628369005</v>
      </c>
      <c r="J1247" s="31" t="n">
        <v>4850.441664768843</v>
      </c>
      <c r="K1247" s="31" t="n">
        <v>2726.851851851852</v>
      </c>
      <c r="L1247" s="31" t="n">
        <v>150</v>
      </c>
      <c r="M1247" s="31">
        <f>I1247+J1247+K1247+L1247</f>
        <v/>
      </c>
      <c r="N1247" s="31">
        <f>M1247*'Dashboard &amp; Optimisation'!$B$18/('Dashboard &amp; Optimisation'!$B$16/3.6)</f>
        <v/>
      </c>
      <c r="O1247" s="31" t="n">
        <v>592.1516868899395</v>
      </c>
      <c r="P1247" s="32" t="n">
        <v>0.3073240714228834</v>
      </c>
      <c r="Q1247" s="33" t="n">
        <v>6.718986469044035</v>
      </c>
      <c r="R1247" s="31" t="n">
        <v>762.3004652566968</v>
      </c>
      <c r="S1247" s="31">
        <f>R1247*IF(A1247=4, 2.0, 3.0)</f>
        <v/>
      </c>
      <c r="T1247" s="30">
        <f>'Dashboard &amp; Optimisation'!$B$18*U1247</f>
        <v/>
      </c>
      <c r="U1247" s="34">
        <f>MIN(1, S1247/M1247)</f>
        <v/>
      </c>
      <c r="V1247" s="34">
        <f>N1247/(N1247+O1247)</f>
        <v/>
      </c>
      <c r="W1247" s="34">
        <f>U1247*V1247</f>
        <v/>
      </c>
      <c r="X1247" s="32">
        <f>T1247/N1247</f>
        <v/>
      </c>
      <c r="Y1247" s="35">
        <f>IF(W1247=MAXIFS(W$2:W$3601, A$2:A$3601, A1247, B$2:B$3601, B1247), "OPTIMAL", "")</f>
        <v/>
      </c>
    </row>
    <row r="1248" ht="20" customHeight="1">
      <c r="A1248" s="21" t="n">
        <v>4</v>
      </c>
      <c r="B1248" s="21" t="n">
        <v>40</v>
      </c>
      <c r="C1248" s="22" t="n">
        <v>100</v>
      </c>
      <c r="D1248" s="22" t="n">
        <v>2</v>
      </c>
      <c r="E1248" s="23" t="n">
        <v>4</v>
      </c>
      <c r="F1248" s="22" t="n">
        <v>1.5</v>
      </c>
      <c r="G1248" s="23" t="inlineStr">
        <is>
          <t>Non</t>
        </is>
      </c>
      <c r="H1248" s="23" t="inlineStr">
        <is>
          <t>ON</t>
        </is>
      </c>
      <c r="I1248" s="24" t="n">
        <v>994.4885628369005</v>
      </c>
      <c r="J1248" s="24" t="n">
        <v>4850.441664768843</v>
      </c>
      <c r="K1248" s="24" t="n">
        <v>2726.851851851852</v>
      </c>
      <c r="L1248" s="24" t="n">
        <v>150</v>
      </c>
      <c r="M1248" s="24">
        <f>I1248+J1248+K1248+L1248</f>
        <v/>
      </c>
      <c r="N1248" s="24">
        <f>M1248*'Dashboard &amp; Optimisation'!$B$18/('Dashboard &amp; Optimisation'!$B$16/3.6)</f>
        <v/>
      </c>
      <c r="O1248" s="24" t="n">
        <v>592.1516868899395</v>
      </c>
      <c r="P1248" s="25" t="n">
        <v>0.07057853778514854</v>
      </c>
      <c r="Q1248" s="26" t="n">
        <v>6.718986469044035</v>
      </c>
      <c r="R1248" s="24" t="n">
        <v>3319.327517713794</v>
      </c>
      <c r="S1248" s="24">
        <f>R1248*IF(A1248=4, 2.0, 3.0)</f>
        <v/>
      </c>
      <c r="T1248" s="22">
        <f>'Dashboard &amp; Optimisation'!$B$18*U1248</f>
        <v/>
      </c>
      <c r="U1248" s="27">
        <f>MIN(1, S1248/M1248)</f>
        <v/>
      </c>
      <c r="V1248" s="27">
        <f>N1248/(N1248+O1248)</f>
        <v/>
      </c>
      <c r="W1248" s="27">
        <f>U1248*V1248</f>
        <v/>
      </c>
      <c r="X1248" s="25">
        <f>T1248/N1248</f>
        <v/>
      </c>
      <c r="Y1248" s="28">
        <f>IF(W1248=MAXIFS(W$2:W$3601, A$2:A$3601, A1248, B$2:B$3601, B1248), "OPTIMAL", "")</f>
        <v/>
      </c>
    </row>
    <row r="1249" ht="20" customHeight="1">
      <c r="A1249" s="29" t="n">
        <v>4</v>
      </c>
      <c r="B1249" s="29" t="n">
        <v>40</v>
      </c>
      <c r="C1249" s="30" t="n">
        <v>100</v>
      </c>
      <c r="D1249" s="30" t="n">
        <v>2</v>
      </c>
      <c r="E1249" s="6" t="n">
        <v>4</v>
      </c>
      <c r="F1249" s="30" t="n">
        <v>1.5</v>
      </c>
      <c r="G1249" s="6" t="inlineStr">
        <is>
          <t>Non</t>
        </is>
      </c>
      <c r="H1249" s="6" t="inlineStr">
        <is>
          <t>OFF</t>
        </is>
      </c>
      <c r="I1249" s="31" t="n">
        <v>994.4885628369005</v>
      </c>
      <c r="J1249" s="31" t="n">
        <v>4850.441664768843</v>
      </c>
      <c r="K1249" s="31" t="n">
        <v>2726.851851851852</v>
      </c>
      <c r="L1249" s="31" t="n">
        <v>150</v>
      </c>
      <c r="M1249" s="31">
        <f>I1249+J1249+K1249+L1249</f>
        <v/>
      </c>
      <c r="N1249" s="31">
        <f>M1249*'Dashboard &amp; Optimisation'!$B$18/('Dashboard &amp; Optimisation'!$B$16/3.6)</f>
        <v/>
      </c>
      <c r="O1249" s="31" t="n">
        <v>592.1516868899395</v>
      </c>
      <c r="P1249" s="32" t="n">
        <v>0.3041409725610454</v>
      </c>
      <c r="Q1249" s="33" t="n">
        <v>6.718986469044035</v>
      </c>
      <c r="R1249" s="31" t="n">
        <v>770.2786002738395</v>
      </c>
      <c r="S1249" s="31">
        <f>R1249*IF(A1249=4, 2.0, 3.0)</f>
        <v/>
      </c>
      <c r="T1249" s="30">
        <f>'Dashboard &amp; Optimisation'!$B$18*U1249</f>
        <v/>
      </c>
      <c r="U1249" s="34">
        <f>MIN(1, S1249/M1249)</f>
        <v/>
      </c>
      <c r="V1249" s="34">
        <f>N1249/(N1249+O1249)</f>
        <v/>
      </c>
      <c r="W1249" s="34">
        <f>U1249*V1249</f>
        <v/>
      </c>
      <c r="X1249" s="32">
        <f>T1249/N1249</f>
        <v/>
      </c>
      <c r="Y1249" s="35">
        <f>IF(W1249=MAXIFS(W$2:W$3601, A$2:A$3601, A1249, B$2:B$3601, B1249), "OPTIMAL", "")</f>
        <v/>
      </c>
    </row>
    <row r="1250" ht="20" customHeight="1">
      <c r="A1250" s="21" t="n">
        <v>4</v>
      </c>
      <c r="B1250" s="21" t="n">
        <v>40</v>
      </c>
      <c r="C1250" s="22" t="n">
        <v>100</v>
      </c>
      <c r="D1250" s="22" t="n">
        <v>2</v>
      </c>
      <c r="E1250" s="23" t="n">
        <v>4</v>
      </c>
      <c r="F1250" s="22" t="n">
        <v>2</v>
      </c>
      <c r="G1250" s="23" t="inlineStr">
        <is>
          <t>Oui</t>
        </is>
      </c>
      <c r="H1250" s="23" t="inlineStr">
        <is>
          <t>ON</t>
        </is>
      </c>
      <c r="I1250" s="24" t="n">
        <v>994.4885628369005</v>
      </c>
      <c r="J1250" s="24" t="n">
        <v>4850.441664768843</v>
      </c>
      <c r="K1250" s="24" t="n">
        <v>2726.851851851852</v>
      </c>
      <c r="L1250" s="24" t="n">
        <v>150</v>
      </c>
      <c r="M1250" s="24">
        <f>I1250+J1250+K1250+L1250</f>
        <v/>
      </c>
      <c r="N1250" s="24">
        <f>M1250*'Dashboard &amp; Optimisation'!$B$18/('Dashboard &amp; Optimisation'!$B$16/3.6)</f>
        <v/>
      </c>
      <c r="O1250" s="24" t="n">
        <v>667.0166803824969</v>
      </c>
      <c r="P1250" s="25" t="n">
        <v>0.07106618988155999</v>
      </c>
      <c r="Q1250" s="26" t="n">
        <v>8.891981958725379</v>
      </c>
      <c r="R1250" s="24" t="n">
        <v>3333.078257567925</v>
      </c>
      <c r="S1250" s="24">
        <f>R1250*IF(A1250=4, 2.0, 3.0)</f>
        <v/>
      </c>
      <c r="T1250" s="22">
        <f>'Dashboard &amp; Optimisation'!$B$18*U1250</f>
        <v/>
      </c>
      <c r="U1250" s="27">
        <f>MIN(1, S1250/M1250)</f>
        <v/>
      </c>
      <c r="V1250" s="27">
        <f>N1250/(N1250+O1250)</f>
        <v/>
      </c>
      <c r="W1250" s="27">
        <f>U1250*V1250</f>
        <v/>
      </c>
      <c r="X1250" s="25">
        <f>T1250/N1250</f>
        <v/>
      </c>
      <c r="Y1250" s="28">
        <f>IF(W1250=MAXIFS(W$2:W$3601, A$2:A$3601, A1250, B$2:B$3601, B1250), "OPTIMAL", "")</f>
        <v/>
      </c>
    </row>
    <row r="1251" ht="20" customHeight="1">
      <c r="A1251" s="29" t="n">
        <v>4</v>
      </c>
      <c r="B1251" s="29" t="n">
        <v>40</v>
      </c>
      <c r="C1251" s="30" t="n">
        <v>100</v>
      </c>
      <c r="D1251" s="30" t="n">
        <v>2</v>
      </c>
      <c r="E1251" s="6" t="n">
        <v>4</v>
      </c>
      <c r="F1251" s="30" t="n">
        <v>2</v>
      </c>
      <c r="G1251" s="6" t="inlineStr">
        <is>
          <t>Oui</t>
        </is>
      </c>
      <c r="H1251" s="6" t="inlineStr">
        <is>
          <t>OFF</t>
        </is>
      </c>
      <c r="I1251" s="31" t="n">
        <v>994.4885628369005</v>
      </c>
      <c r="J1251" s="31" t="n">
        <v>4850.441664768843</v>
      </c>
      <c r="K1251" s="31" t="n">
        <v>2726.851851851852</v>
      </c>
      <c r="L1251" s="31" t="n">
        <v>150</v>
      </c>
      <c r="M1251" s="31">
        <f>I1251+J1251+K1251+L1251</f>
        <v/>
      </c>
      <c r="N1251" s="31">
        <f>M1251*'Dashboard &amp; Optimisation'!$B$18/('Dashboard &amp; Optimisation'!$B$16/3.6)</f>
        <v/>
      </c>
      <c r="O1251" s="31" t="n">
        <v>667.0166803824969</v>
      </c>
      <c r="P1251" s="32" t="n">
        <v>0.3057228026390766</v>
      </c>
      <c r="Q1251" s="33" t="n">
        <v>8.891981958725379</v>
      </c>
      <c r="R1251" s="31" t="n">
        <v>774.7841191357223</v>
      </c>
      <c r="S1251" s="31">
        <f>R1251*IF(A1251=4, 2.0, 3.0)</f>
        <v/>
      </c>
      <c r="T1251" s="30">
        <f>'Dashboard &amp; Optimisation'!$B$18*U1251</f>
        <v/>
      </c>
      <c r="U1251" s="34">
        <f>MIN(1, S1251/M1251)</f>
        <v/>
      </c>
      <c r="V1251" s="34">
        <f>N1251/(N1251+O1251)</f>
        <v/>
      </c>
      <c r="W1251" s="34">
        <f>U1251*V1251</f>
        <v/>
      </c>
      <c r="X1251" s="32">
        <f>T1251/N1251</f>
        <v/>
      </c>
      <c r="Y1251" s="35">
        <f>IF(W1251=MAXIFS(W$2:W$3601, A$2:A$3601, A1251, B$2:B$3601, B1251), "OPTIMAL", "")</f>
        <v/>
      </c>
    </row>
    <row r="1252" ht="20" customHeight="1">
      <c r="A1252" s="21" t="n">
        <v>4</v>
      </c>
      <c r="B1252" s="21" t="n">
        <v>40</v>
      </c>
      <c r="C1252" s="22" t="n">
        <v>100</v>
      </c>
      <c r="D1252" s="22" t="n">
        <v>2</v>
      </c>
      <c r="E1252" s="23" t="n">
        <v>4</v>
      </c>
      <c r="F1252" s="22" t="n">
        <v>2</v>
      </c>
      <c r="G1252" s="23" t="inlineStr">
        <is>
          <t>Non</t>
        </is>
      </c>
      <c r="H1252" s="23" t="inlineStr">
        <is>
          <t>ON</t>
        </is>
      </c>
      <c r="I1252" s="24" t="n">
        <v>994.4885628369005</v>
      </c>
      <c r="J1252" s="24" t="n">
        <v>4850.441664768843</v>
      </c>
      <c r="K1252" s="24" t="n">
        <v>2726.851851851852</v>
      </c>
      <c r="L1252" s="24" t="n">
        <v>150</v>
      </c>
      <c r="M1252" s="24">
        <f>I1252+J1252+K1252+L1252</f>
        <v/>
      </c>
      <c r="N1252" s="24">
        <f>M1252*'Dashboard &amp; Optimisation'!$B$18/('Dashboard &amp; Optimisation'!$B$16/3.6)</f>
        <v/>
      </c>
      <c r="O1252" s="24" t="n">
        <v>667.0166803824969</v>
      </c>
      <c r="P1252" s="25" t="n">
        <v>0.06788309101972209</v>
      </c>
      <c r="Q1252" s="26" t="n">
        <v>8.891981958725379</v>
      </c>
      <c r="R1252" s="24" t="n">
        <v>3489.369278626449</v>
      </c>
      <c r="S1252" s="24">
        <f>R1252*IF(A1252=4, 2.0, 3.0)</f>
        <v/>
      </c>
      <c r="T1252" s="22">
        <f>'Dashboard &amp; Optimisation'!$B$18*U1252</f>
        <v/>
      </c>
      <c r="U1252" s="27">
        <f>MIN(1, S1252/M1252)</f>
        <v/>
      </c>
      <c r="V1252" s="27">
        <f>N1252/(N1252+O1252)</f>
        <v/>
      </c>
      <c r="W1252" s="27">
        <f>U1252*V1252</f>
        <v/>
      </c>
      <c r="X1252" s="25">
        <f>T1252/N1252</f>
        <v/>
      </c>
      <c r="Y1252" s="28">
        <f>IF(W1252=MAXIFS(W$2:W$3601, A$2:A$3601, A1252, B$2:B$3601, B1252), "OPTIMAL", "")</f>
        <v/>
      </c>
    </row>
    <row r="1253" ht="20" customHeight="1">
      <c r="A1253" s="29" t="n">
        <v>4</v>
      </c>
      <c r="B1253" s="29" t="n">
        <v>40</v>
      </c>
      <c r="C1253" s="30" t="n">
        <v>100</v>
      </c>
      <c r="D1253" s="30" t="n">
        <v>2</v>
      </c>
      <c r="E1253" s="6" t="n">
        <v>4</v>
      </c>
      <c r="F1253" s="30" t="n">
        <v>2</v>
      </c>
      <c r="G1253" s="6" t="inlineStr">
        <is>
          <t>Non</t>
        </is>
      </c>
      <c r="H1253" s="6" t="inlineStr">
        <is>
          <t>OFF</t>
        </is>
      </c>
      <c r="I1253" s="31" t="n">
        <v>994.4885628369005</v>
      </c>
      <c r="J1253" s="31" t="n">
        <v>4850.441664768843</v>
      </c>
      <c r="K1253" s="31" t="n">
        <v>2726.851851851852</v>
      </c>
      <c r="L1253" s="31" t="n">
        <v>150</v>
      </c>
      <c r="M1253" s="31">
        <f>I1253+J1253+K1253+L1253</f>
        <v/>
      </c>
      <c r="N1253" s="31">
        <f>M1253*'Dashboard &amp; Optimisation'!$B$18/('Dashboard &amp; Optimisation'!$B$16/3.6)</f>
        <v/>
      </c>
      <c r="O1253" s="31" t="n">
        <v>667.0166803824969</v>
      </c>
      <c r="P1253" s="32" t="n">
        <v>0.3025397037772387</v>
      </c>
      <c r="Q1253" s="33" t="n">
        <v>8.891981958725379</v>
      </c>
      <c r="R1253" s="31" t="n">
        <v>782.9358242408708</v>
      </c>
      <c r="S1253" s="31">
        <f>R1253*IF(A1253=4, 2.0, 3.0)</f>
        <v/>
      </c>
      <c r="T1253" s="30">
        <f>'Dashboard &amp; Optimisation'!$B$18*U1253</f>
        <v/>
      </c>
      <c r="U1253" s="34">
        <f>MIN(1, S1253/M1253)</f>
        <v/>
      </c>
      <c r="V1253" s="34">
        <f>N1253/(N1253+O1253)</f>
        <v/>
      </c>
      <c r="W1253" s="34">
        <f>U1253*V1253</f>
        <v/>
      </c>
      <c r="X1253" s="32">
        <f>T1253/N1253</f>
        <v/>
      </c>
      <c r="Y1253" s="35">
        <f>IF(W1253=MAXIFS(W$2:W$3601, A$2:A$3601, A1253, B$2:B$3601, B1253), "OPTIMAL", "")</f>
        <v/>
      </c>
    </row>
    <row r="1254" ht="20" customHeight="1">
      <c r="A1254" s="21" t="n">
        <v>4</v>
      </c>
      <c r="B1254" s="21" t="n">
        <v>40</v>
      </c>
      <c r="C1254" s="22" t="n">
        <v>100</v>
      </c>
      <c r="D1254" s="22" t="n">
        <v>2</v>
      </c>
      <c r="E1254" s="23" t="n">
        <v>8</v>
      </c>
      <c r="F1254" s="22" t="n">
        <v>1.5</v>
      </c>
      <c r="G1254" s="23" t="inlineStr">
        <is>
          <t>Oui</t>
        </is>
      </c>
      <c r="H1254" s="23" t="inlineStr">
        <is>
          <t>ON</t>
        </is>
      </c>
      <c r="I1254" s="24" t="n">
        <v>994.4885628369005</v>
      </c>
      <c r="J1254" s="24" t="n">
        <v>4850.441664768843</v>
      </c>
      <c r="K1254" s="24" t="n">
        <v>2726.851851851852</v>
      </c>
      <c r="L1254" s="24" t="n">
        <v>150</v>
      </c>
      <c r="M1254" s="24">
        <f>I1254+J1254+K1254+L1254</f>
        <v/>
      </c>
      <c r="N1254" s="24">
        <f>M1254*'Dashboard &amp; Optimisation'!$B$18/('Dashboard &amp; Optimisation'!$B$16/3.6)</f>
        <v/>
      </c>
      <c r="O1254" s="24" t="n">
        <v>821.8367666647528</v>
      </c>
      <c r="P1254" s="25" t="n">
        <v>0.05573050288457804</v>
      </c>
      <c r="Q1254" s="26" t="n">
        <v>13.23797293808807</v>
      </c>
      <c r="R1254" s="24" t="n">
        <v>4346.586424931098</v>
      </c>
      <c r="S1254" s="24">
        <f>R1254*IF(A1254=4, 2.0, 3.0)</f>
        <v/>
      </c>
      <c r="T1254" s="22">
        <f>'Dashboard &amp; Optimisation'!$B$18*U1254</f>
        <v/>
      </c>
      <c r="U1254" s="27">
        <f>MIN(1, S1254/M1254)</f>
        <v/>
      </c>
      <c r="V1254" s="27">
        <f>N1254/(N1254+O1254)</f>
        <v/>
      </c>
      <c r="W1254" s="27">
        <f>U1254*V1254</f>
        <v/>
      </c>
      <c r="X1254" s="25">
        <f>T1254/N1254</f>
        <v/>
      </c>
      <c r="Y1254" s="28">
        <f>IF(W1254=MAXIFS(W$2:W$3601, A$2:A$3601, A1254, B$2:B$3601, B1254), "OPTIMAL", "")</f>
        <v/>
      </c>
    </row>
    <row r="1255" ht="20" customHeight="1">
      <c r="A1255" s="29" t="n">
        <v>4</v>
      </c>
      <c r="B1255" s="29" t="n">
        <v>40</v>
      </c>
      <c r="C1255" s="30" t="n">
        <v>100</v>
      </c>
      <c r="D1255" s="30" t="n">
        <v>2</v>
      </c>
      <c r="E1255" s="6" t="n">
        <v>8</v>
      </c>
      <c r="F1255" s="30" t="n">
        <v>1.5</v>
      </c>
      <c r="G1255" s="6" t="inlineStr">
        <is>
          <t>Oui</t>
        </is>
      </c>
      <c r="H1255" s="6" t="inlineStr">
        <is>
          <t>OFF</t>
        </is>
      </c>
      <c r="I1255" s="31" t="n">
        <v>994.4885628369005</v>
      </c>
      <c r="J1255" s="31" t="n">
        <v>4850.441664768843</v>
      </c>
      <c r="K1255" s="31" t="n">
        <v>2726.851851851852</v>
      </c>
      <c r="L1255" s="31" t="n">
        <v>150</v>
      </c>
      <c r="M1255" s="31">
        <f>I1255+J1255+K1255+L1255</f>
        <v/>
      </c>
      <c r="N1255" s="31">
        <f>M1255*'Dashboard &amp; Optimisation'!$B$18/('Dashboard &amp; Optimisation'!$B$16/3.6)</f>
        <v/>
      </c>
      <c r="O1255" s="31" t="n">
        <v>821.8367666647528</v>
      </c>
      <c r="P1255" s="32" t="n">
        <v>0.2401827722650424</v>
      </c>
      <c r="Q1255" s="33" t="n">
        <v>13.23797293808807</v>
      </c>
      <c r="R1255" s="31" t="n">
        <v>1008.554631159726</v>
      </c>
      <c r="S1255" s="31">
        <f>R1255*IF(A1255=4, 2.0, 3.0)</f>
        <v/>
      </c>
      <c r="T1255" s="30">
        <f>'Dashboard &amp; Optimisation'!$B$18*U1255</f>
        <v/>
      </c>
      <c r="U1255" s="34">
        <f>MIN(1, S1255/M1255)</f>
        <v/>
      </c>
      <c r="V1255" s="34">
        <f>N1255/(N1255+O1255)</f>
        <v/>
      </c>
      <c r="W1255" s="34">
        <f>U1255*V1255</f>
        <v/>
      </c>
      <c r="X1255" s="32">
        <f>T1255/N1255</f>
        <v/>
      </c>
      <c r="Y1255" s="35">
        <f>IF(W1255=MAXIFS(W$2:W$3601, A$2:A$3601, A1255, B$2:B$3601, B1255), "OPTIMAL", "")</f>
        <v/>
      </c>
    </row>
    <row r="1256" ht="20" customHeight="1">
      <c r="A1256" s="21" t="n">
        <v>4</v>
      </c>
      <c r="B1256" s="21" t="n">
        <v>40</v>
      </c>
      <c r="C1256" s="22" t="n">
        <v>100</v>
      </c>
      <c r="D1256" s="22" t="n">
        <v>2</v>
      </c>
      <c r="E1256" s="23" t="n">
        <v>8</v>
      </c>
      <c r="F1256" s="22" t="n">
        <v>1.5</v>
      </c>
      <c r="G1256" s="23" t="inlineStr">
        <is>
          <t>Non</t>
        </is>
      </c>
      <c r="H1256" s="23" t="inlineStr">
        <is>
          <t>ON</t>
        </is>
      </c>
      <c r="I1256" s="24" t="n">
        <v>994.4885628369005</v>
      </c>
      <c r="J1256" s="24" t="n">
        <v>4850.441664768843</v>
      </c>
      <c r="K1256" s="24" t="n">
        <v>2726.851851851852</v>
      </c>
      <c r="L1256" s="24" t="n">
        <v>150</v>
      </c>
      <c r="M1256" s="24">
        <f>I1256+J1256+K1256+L1256</f>
        <v/>
      </c>
      <c r="N1256" s="24">
        <f>M1256*'Dashboard &amp; Optimisation'!$B$18/('Dashboard &amp; Optimisation'!$B$16/3.6)</f>
        <v/>
      </c>
      <c r="O1256" s="24" t="n">
        <v>821.8367666647528</v>
      </c>
      <c r="P1256" s="25" t="n">
        <v>0.05254740402274013</v>
      </c>
      <c r="Q1256" s="26" t="n">
        <v>13.23797293808807</v>
      </c>
      <c r="R1256" s="24" t="n">
        <v>4609.884194999641</v>
      </c>
      <c r="S1256" s="24">
        <f>R1256*IF(A1256=4, 2.0, 3.0)</f>
        <v/>
      </c>
      <c r="T1256" s="22">
        <f>'Dashboard &amp; Optimisation'!$B$18*U1256</f>
        <v/>
      </c>
      <c r="U1256" s="27">
        <f>MIN(1, S1256/M1256)</f>
        <v/>
      </c>
      <c r="V1256" s="27">
        <f>N1256/(N1256+O1256)</f>
        <v/>
      </c>
      <c r="W1256" s="27">
        <f>U1256*V1256</f>
        <v/>
      </c>
      <c r="X1256" s="25">
        <f>T1256/N1256</f>
        <v/>
      </c>
      <c r="Y1256" s="28">
        <f>IF(W1256=MAXIFS(W$2:W$3601, A$2:A$3601, A1256, B$2:B$3601, B1256), "OPTIMAL", "")</f>
        <v/>
      </c>
    </row>
    <row r="1257" ht="20" customHeight="1">
      <c r="A1257" s="29" t="n">
        <v>4</v>
      </c>
      <c r="B1257" s="29" t="n">
        <v>40</v>
      </c>
      <c r="C1257" s="30" t="n">
        <v>100</v>
      </c>
      <c r="D1257" s="30" t="n">
        <v>2</v>
      </c>
      <c r="E1257" s="6" t="n">
        <v>8</v>
      </c>
      <c r="F1257" s="30" t="n">
        <v>1.5</v>
      </c>
      <c r="G1257" s="6" t="inlineStr">
        <is>
          <t>Non</t>
        </is>
      </c>
      <c r="H1257" s="6" t="inlineStr">
        <is>
          <t>OFF</t>
        </is>
      </c>
      <c r="I1257" s="31" t="n">
        <v>994.4885628369005</v>
      </c>
      <c r="J1257" s="31" t="n">
        <v>4850.441664768843</v>
      </c>
      <c r="K1257" s="31" t="n">
        <v>2726.851851851852</v>
      </c>
      <c r="L1257" s="31" t="n">
        <v>150</v>
      </c>
      <c r="M1257" s="31">
        <f>I1257+J1257+K1257+L1257</f>
        <v/>
      </c>
      <c r="N1257" s="31">
        <f>M1257*'Dashboard &amp; Optimisation'!$B$18/('Dashboard &amp; Optimisation'!$B$16/3.6)</f>
        <v/>
      </c>
      <c r="O1257" s="31" t="n">
        <v>821.8367666647528</v>
      </c>
      <c r="P1257" s="32" t="n">
        <v>0.2369996734032044</v>
      </c>
      <c r="Q1257" s="33" t="n">
        <v>13.23797293808807</v>
      </c>
      <c r="R1257" s="31" t="n">
        <v>1022.100342225261</v>
      </c>
      <c r="S1257" s="31">
        <f>R1257*IF(A1257=4, 2.0, 3.0)</f>
        <v/>
      </c>
      <c r="T1257" s="30">
        <f>'Dashboard &amp; Optimisation'!$B$18*U1257</f>
        <v/>
      </c>
      <c r="U1257" s="34">
        <f>MIN(1, S1257/M1257)</f>
        <v/>
      </c>
      <c r="V1257" s="34">
        <f>N1257/(N1257+O1257)</f>
        <v/>
      </c>
      <c r="W1257" s="34">
        <f>U1257*V1257</f>
        <v/>
      </c>
      <c r="X1257" s="32">
        <f>T1257/N1257</f>
        <v/>
      </c>
      <c r="Y1257" s="35">
        <f>IF(W1257=MAXIFS(W$2:W$3601, A$2:A$3601, A1257, B$2:B$3601, B1257), "OPTIMAL", "")</f>
        <v/>
      </c>
    </row>
    <row r="1258" ht="20" customHeight="1">
      <c r="A1258" s="21" t="n">
        <v>4</v>
      </c>
      <c r="B1258" s="21" t="n">
        <v>40</v>
      </c>
      <c r="C1258" s="22" t="n">
        <v>100</v>
      </c>
      <c r="D1258" s="22" t="n">
        <v>2</v>
      </c>
      <c r="E1258" s="23" t="n">
        <v>8</v>
      </c>
      <c r="F1258" s="22" t="n">
        <v>2</v>
      </c>
      <c r="G1258" s="23" t="inlineStr">
        <is>
          <t>Oui</t>
        </is>
      </c>
      <c r="H1258" s="23" t="inlineStr">
        <is>
          <t>ON</t>
        </is>
      </c>
      <c r="I1258" s="24" t="n">
        <v>994.4885628369005</v>
      </c>
      <c r="J1258" s="24" t="n">
        <v>4850.441664768843</v>
      </c>
      <c r="K1258" s="24" t="n">
        <v>2726.851851851852</v>
      </c>
      <c r="L1258" s="24" t="n">
        <v>150</v>
      </c>
      <c r="M1258" s="24">
        <f>I1258+J1258+K1258+L1258</f>
        <v/>
      </c>
      <c r="N1258" s="24">
        <f>M1258*'Dashboard &amp; Optimisation'!$B$18/('Dashboard &amp; Optimisation'!$B$16/3.6)</f>
        <v/>
      </c>
      <c r="O1258" s="24" t="n">
        <v>983.8370997654874</v>
      </c>
      <c r="P1258" s="25" t="n">
        <v>0.05449488140602117</v>
      </c>
      <c r="Q1258" s="26" t="n">
        <v>17.58396391745076</v>
      </c>
      <c r="R1258" s="24" t="n">
        <v>4548.219681067679</v>
      </c>
      <c r="S1258" s="24">
        <f>R1258*IF(A1258=4, 2.0, 3.0)</f>
        <v/>
      </c>
      <c r="T1258" s="22">
        <f>'Dashboard &amp; Optimisation'!$B$18*U1258</f>
        <v/>
      </c>
      <c r="U1258" s="27">
        <f>MIN(1, S1258/M1258)</f>
        <v/>
      </c>
      <c r="V1258" s="27">
        <f>N1258/(N1258+O1258)</f>
        <v/>
      </c>
      <c r="W1258" s="27">
        <f>U1258*V1258</f>
        <v/>
      </c>
      <c r="X1258" s="25">
        <f>T1258/N1258</f>
        <v/>
      </c>
      <c r="Y1258" s="28">
        <f>IF(W1258=MAXIFS(W$2:W$3601, A$2:A$3601, A1258, B$2:B$3601, B1258), "OPTIMAL", "")</f>
        <v/>
      </c>
    </row>
    <row r="1259" ht="20" customHeight="1">
      <c r="A1259" s="29" t="n">
        <v>4</v>
      </c>
      <c r="B1259" s="29" t="n">
        <v>40</v>
      </c>
      <c r="C1259" s="30" t="n">
        <v>100</v>
      </c>
      <c r="D1259" s="30" t="n">
        <v>2</v>
      </c>
      <c r="E1259" s="6" t="n">
        <v>8</v>
      </c>
      <c r="F1259" s="30" t="n">
        <v>2</v>
      </c>
      <c r="G1259" s="6" t="inlineStr">
        <is>
          <t>Oui</t>
        </is>
      </c>
      <c r="H1259" s="6" t="inlineStr">
        <is>
          <t>OFF</t>
        </is>
      </c>
      <c r="I1259" s="31" t="n">
        <v>994.4885628369005</v>
      </c>
      <c r="J1259" s="31" t="n">
        <v>4850.441664768843</v>
      </c>
      <c r="K1259" s="31" t="n">
        <v>2726.851851851852</v>
      </c>
      <c r="L1259" s="31" t="n">
        <v>150</v>
      </c>
      <c r="M1259" s="31">
        <f>I1259+J1259+K1259+L1259</f>
        <v/>
      </c>
      <c r="N1259" s="31">
        <f>M1259*'Dashboard &amp; Optimisation'!$B$18/('Dashboard &amp; Optimisation'!$B$16/3.6)</f>
        <v/>
      </c>
      <c r="O1259" s="31" t="n">
        <v>983.8370997654874</v>
      </c>
      <c r="P1259" s="32" t="n">
        <v>0.2403161193409352</v>
      </c>
      <c r="Q1259" s="33" t="n">
        <v>17.58396391745076</v>
      </c>
      <c r="R1259" s="31" t="n">
        <v>1031.369401303807</v>
      </c>
      <c r="S1259" s="31">
        <f>R1259*IF(A1259=4, 2.0, 3.0)</f>
        <v/>
      </c>
      <c r="T1259" s="30">
        <f>'Dashboard &amp; Optimisation'!$B$18*U1259</f>
        <v/>
      </c>
      <c r="U1259" s="34">
        <f>MIN(1, S1259/M1259)</f>
        <v/>
      </c>
      <c r="V1259" s="34">
        <f>N1259/(N1259+O1259)</f>
        <v/>
      </c>
      <c r="W1259" s="34">
        <f>U1259*V1259</f>
        <v/>
      </c>
      <c r="X1259" s="32">
        <f>T1259/N1259</f>
        <v/>
      </c>
      <c r="Y1259" s="35">
        <f>IF(W1259=MAXIFS(W$2:W$3601, A$2:A$3601, A1259, B$2:B$3601, B1259), "OPTIMAL", "")</f>
        <v/>
      </c>
    </row>
    <row r="1260" ht="20" customHeight="1">
      <c r="A1260" s="21" t="n">
        <v>4</v>
      </c>
      <c r="B1260" s="21" t="n">
        <v>40</v>
      </c>
      <c r="C1260" s="22" t="n">
        <v>100</v>
      </c>
      <c r="D1260" s="22" t="n">
        <v>2</v>
      </c>
      <c r="E1260" s="23" t="n">
        <v>8</v>
      </c>
      <c r="F1260" s="22" t="n">
        <v>2</v>
      </c>
      <c r="G1260" s="23" t="inlineStr">
        <is>
          <t>Non</t>
        </is>
      </c>
      <c r="H1260" s="23" t="inlineStr">
        <is>
          <t>ON</t>
        </is>
      </c>
      <c r="I1260" s="24" t="n">
        <v>994.4885628369005</v>
      </c>
      <c r="J1260" s="24" t="n">
        <v>4850.441664768843</v>
      </c>
      <c r="K1260" s="24" t="n">
        <v>2726.851851851852</v>
      </c>
      <c r="L1260" s="24" t="n">
        <v>150</v>
      </c>
      <c r="M1260" s="24">
        <f>I1260+J1260+K1260+L1260</f>
        <v/>
      </c>
      <c r="N1260" s="24">
        <f>M1260*'Dashboard &amp; Optimisation'!$B$18/('Dashboard &amp; Optimisation'!$B$16/3.6)</f>
        <v/>
      </c>
      <c r="O1260" s="24" t="n">
        <v>983.8370997654874</v>
      </c>
      <c r="P1260" s="25" t="n">
        <v>0.05131178254418326</v>
      </c>
      <c r="Q1260" s="26" t="n">
        <v>17.58396391745076</v>
      </c>
      <c r="R1260" s="24" t="n">
        <v>4830.366045359919</v>
      </c>
      <c r="S1260" s="24">
        <f>R1260*IF(A1260=4, 2.0, 3.0)</f>
        <v/>
      </c>
      <c r="T1260" s="22">
        <f>'Dashboard &amp; Optimisation'!$B$18*U1260</f>
        <v/>
      </c>
      <c r="U1260" s="27">
        <f>MIN(1, S1260/M1260)</f>
        <v/>
      </c>
      <c r="V1260" s="27">
        <f>N1260/(N1260+O1260)</f>
        <v/>
      </c>
      <c r="W1260" s="27">
        <f>U1260*V1260</f>
        <v/>
      </c>
      <c r="X1260" s="25">
        <f>T1260/N1260</f>
        <v/>
      </c>
      <c r="Y1260" s="28">
        <f>IF(W1260=MAXIFS(W$2:W$3601, A$2:A$3601, A1260, B$2:B$3601, B1260), "OPTIMAL", "")</f>
        <v/>
      </c>
    </row>
    <row r="1261" ht="20" customHeight="1">
      <c r="A1261" s="29" t="n">
        <v>4</v>
      </c>
      <c r="B1261" s="29" t="n">
        <v>40</v>
      </c>
      <c r="C1261" s="30" t="n">
        <v>100</v>
      </c>
      <c r="D1261" s="30" t="n">
        <v>2</v>
      </c>
      <c r="E1261" s="6" t="n">
        <v>8</v>
      </c>
      <c r="F1261" s="30" t="n">
        <v>2</v>
      </c>
      <c r="G1261" s="6" t="inlineStr">
        <is>
          <t>Non</t>
        </is>
      </c>
      <c r="H1261" s="6" t="inlineStr">
        <is>
          <t>OFF</t>
        </is>
      </c>
      <c r="I1261" s="31" t="n">
        <v>994.4885628369005</v>
      </c>
      <c r="J1261" s="31" t="n">
        <v>4850.441664768843</v>
      </c>
      <c r="K1261" s="31" t="n">
        <v>2726.851851851852</v>
      </c>
      <c r="L1261" s="31" t="n">
        <v>150</v>
      </c>
      <c r="M1261" s="31">
        <f>I1261+J1261+K1261+L1261</f>
        <v/>
      </c>
      <c r="N1261" s="31">
        <f>M1261*'Dashboard &amp; Optimisation'!$B$18/('Dashboard &amp; Optimisation'!$B$16/3.6)</f>
        <v/>
      </c>
      <c r="O1261" s="31" t="n">
        <v>983.8370997654874</v>
      </c>
      <c r="P1261" s="32" t="n">
        <v>0.2371330204790973</v>
      </c>
      <c r="Q1261" s="33" t="n">
        <v>17.58396391745076</v>
      </c>
      <c r="R1261" s="31" t="n">
        <v>1045.213743862223</v>
      </c>
      <c r="S1261" s="31">
        <f>R1261*IF(A1261=4, 2.0, 3.0)</f>
        <v/>
      </c>
      <c r="T1261" s="30">
        <f>'Dashboard &amp; Optimisation'!$B$18*U1261</f>
        <v/>
      </c>
      <c r="U1261" s="34">
        <f>MIN(1, S1261/M1261)</f>
        <v/>
      </c>
      <c r="V1261" s="34">
        <f>N1261/(N1261+O1261)</f>
        <v/>
      </c>
      <c r="W1261" s="34">
        <f>U1261*V1261</f>
        <v/>
      </c>
      <c r="X1261" s="32">
        <f>T1261/N1261</f>
        <v/>
      </c>
      <c r="Y1261" s="35">
        <f>IF(W1261=MAXIFS(W$2:W$3601, A$2:A$3601, A1261, B$2:B$3601, B1261), "OPTIMAL", "")</f>
        <v/>
      </c>
    </row>
    <row r="1262" ht="20" customHeight="1">
      <c r="A1262" s="21" t="n">
        <v>4</v>
      </c>
      <c r="B1262" s="21" t="n">
        <v>40</v>
      </c>
      <c r="C1262" s="22" t="n">
        <v>100</v>
      </c>
      <c r="D1262" s="22" t="n">
        <v>3</v>
      </c>
      <c r="E1262" s="23" t="n">
        <v>0</v>
      </c>
      <c r="F1262" s="22" t="n">
        <v>0</v>
      </c>
      <c r="G1262" s="23" t="inlineStr">
        <is>
          <t>Oui</t>
        </is>
      </c>
      <c r="H1262" s="23" t="inlineStr">
        <is>
          <t>ON</t>
        </is>
      </c>
      <c r="I1262" s="24" t="n">
        <v>994.4885628369005</v>
      </c>
      <c r="J1262" s="24" t="n">
        <v>4850.441664768843</v>
      </c>
      <c r="K1262" s="24" t="n">
        <v>2726.851851851852</v>
      </c>
      <c r="L1262" s="24" t="n">
        <v>150</v>
      </c>
      <c r="M1262" s="24">
        <f>I1262+J1262+K1262+L1262</f>
        <v/>
      </c>
      <c r="N1262" s="24">
        <f>M1262*'Dashboard &amp; Optimisation'!$B$18/('Dashboard &amp; Optimisation'!$B$16/3.6)</f>
        <v/>
      </c>
      <c r="O1262" s="24" t="n">
        <v>583.938789855817</v>
      </c>
      <c r="P1262" s="25" t="n">
        <v>0.4806959660709754</v>
      </c>
      <c r="Q1262" s="26" t="n">
        <v>0.2</v>
      </c>
      <c r="R1262" s="24" t="n">
        <v>492.141764538248</v>
      </c>
      <c r="S1262" s="24">
        <f>R1262*IF(A1262=4, 2.0, 3.0)</f>
        <v/>
      </c>
      <c r="T1262" s="22">
        <f>'Dashboard &amp; Optimisation'!$B$18*U1262</f>
        <v/>
      </c>
      <c r="U1262" s="27">
        <f>MIN(1, S1262/M1262)</f>
        <v/>
      </c>
      <c r="V1262" s="27">
        <f>N1262/(N1262+O1262)</f>
        <v/>
      </c>
      <c r="W1262" s="27">
        <f>U1262*V1262</f>
        <v/>
      </c>
      <c r="X1262" s="25">
        <f>T1262/N1262</f>
        <v/>
      </c>
      <c r="Y1262" s="28">
        <f>IF(W1262=MAXIFS(W$2:W$3601, A$2:A$3601, A1262, B$2:B$3601, B1262), "OPTIMAL", "")</f>
        <v/>
      </c>
    </row>
    <row r="1263" ht="20" customHeight="1">
      <c r="A1263" s="29" t="n">
        <v>4</v>
      </c>
      <c r="B1263" s="29" t="n">
        <v>40</v>
      </c>
      <c r="C1263" s="30" t="n">
        <v>100</v>
      </c>
      <c r="D1263" s="30" t="n">
        <v>3</v>
      </c>
      <c r="E1263" s="6" t="n">
        <v>0</v>
      </c>
      <c r="F1263" s="30" t="n">
        <v>0</v>
      </c>
      <c r="G1263" s="6" t="inlineStr">
        <is>
          <t>Oui</t>
        </is>
      </c>
      <c r="H1263" s="6" t="inlineStr">
        <is>
          <t>OFF</t>
        </is>
      </c>
      <c r="I1263" s="31" t="n">
        <v>994.4885628369005</v>
      </c>
      <c r="J1263" s="31" t="n">
        <v>4850.441664768843</v>
      </c>
      <c r="K1263" s="31" t="n">
        <v>2726.851851851852</v>
      </c>
      <c r="L1263" s="31" t="n">
        <v>150</v>
      </c>
      <c r="M1263" s="31">
        <f>I1263+J1263+K1263+L1263</f>
        <v/>
      </c>
      <c r="N1263" s="31">
        <f>M1263*'Dashboard &amp; Optimisation'!$B$18/('Dashboard &amp; Optimisation'!$B$16/3.6)</f>
        <v/>
      </c>
      <c r="O1263" s="31" t="n">
        <v>583.938789855817</v>
      </c>
      <c r="P1263" s="32" t="n">
        <v>0.7990058522547661</v>
      </c>
      <c r="Q1263" s="33" t="n">
        <v>0.2</v>
      </c>
      <c r="R1263" s="31" t="n">
        <v>296.0811366787789</v>
      </c>
      <c r="S1263" s="31">
        <f>R1263*IF(A1263=4, 2.0, 3.0)</f>
        <v/>
      </c>
      <c r="T1263" s="30">
        <f>'Dashboard &amp; Optimisation'!$B$18*U1263</f>
        <v/>
      </c>
      <c r="U1263" s="34">
        <f>MIN(1, S1263/M1263)</f>
        <v/>
      </c>
      <c r="V1263" s="34">
        <f>N1263/(N1263+O1263)</f>
        <v/>
      </c>
      <c r="W1263" s="34">
        <f>U1263*V1263</f>
        <v/>
      </c>
      <c r="X1263" s="32">
        <f>T1263/N1263</f>
        <v/>
      </c>
      <c r="Y1263" s="35">
        <f>IF(W1263=MAXIFS(W$2:W$3601, A$2:A$3601, A1263, B$2:B$3601, B1263), "OPTIMAL", "")</f>
        <v/>
      </c>
    </row>
    <row r="1264" ht="20" customHeight="1">
      <c r="A1264" s="21" t="n">
        <v>4</v>
      </c>
      <c r="B1264" s="21" t="n">
        <v>40</v>
      </c>
      <c r="C1264" s="22" t="n">
        <v>100</v>
      </c>
      <c r="D1264" s="22" t="n">
        <v>3</v>
      </c>
      <c r="E1264" s="23" t="n">
        <v>0</v>
      </c>
      <c r="F1264" s="22" t="n">
        <v>0</v>
      </c>
      <c r="G1264" s="23" t="inlineStr">
        <is>
          <t>Non</t>
        </is>
      </c>
      <c r="H1264" s="23" t="inlineStr">
        <is>
          <t>ON</t>
        </is>
      </c>
      <c r="I1264" s="24" t="n">
        <v>994.4885628369005</v>
      </c>
      <c r="J1264" s="24" t="n">
        <v>4850.441664768843</v>
      </c>
      <c r="K1264" s="24" t="n">
        <v>2726.851851851852</v>
      </c>
      <c r="L1264" s="24" t="n">
        <v>150</v>
      </c>
      <c r="M1264" s="24">
        <f>I1264+J1264+K1264+L1264</f>
        <v/>
      </c>
      <c r="N1264" s="24">
        <f>M1264*'Dashboard &amp; Optimisation'!$B$18/('Dashboard &amp; Optimisation'!$B$16/3.6)</f>
        <v/>
      </c>
      <c r="O1264" s="24" t="n">
        <v>583.938789855817</v>
      </c>
      <c r="P1264" s="25" t="n">
        <v>0.4775128672091374</v>
      </c>
      <c r="Q1264" s="26" t="n">
        <v>0.2</v>
      </c>
      <c r="R1264" s="24" t="n">
        <v>495.4223795711379</v>
      </c>
      <c r="S1264" s="24">
        <f>R1264*IF(A1264=4, 2.0, 3.0)</f>
        <v/>
      </c>
      <c r="T1264" s="22">
        <f>'Dashboard &amp; Optimisation'!$B$18*U1264</f>
        <v/>
      </c>
      <c r="U1264" s="27">
        <f>MIN(1, S1264/M1264)</f>
        <v/>
      </c>
      <c r="V1264" s="27">
        <f>N1264/(N1264+O1264)</f>
        <v/>
      </c>
      <c r="W1264" s="27">
        <f>U1264*V1264</f>
        <v/>
      </c>
      <c r="X1264" s="25">
        <f>T1264/N1264</f>
        <v/>
      </c>
      <c r="Y1264" s="28">
        <f>IF(W1264=MAXIFS(W$2:W$3601, A$2:A$3601, A1264, B$2:B$3601, B1264), "OPTIMAL", "")</f>
        <v/>
      </c>
    </row>
    <row r="1265" ht="20" customHeight="1">
      <c r="A1265" s="29" t="n">
        <v>4</v>
      </c>
      <c r="B1265" s="29" t="n">
        <v>40</v>
      </c>
      <c r="C1265" s="30" t="n">
        <v>100</v>
      </c>
      <c r="D1265" s="30" t="n">
        <v>3</v>
      </c>
      <c r="E1265" s="6" t="n">
        <v>0</v>
      </c>
      <c r="F1265" s="30" t="n">
        <v>0</v>
      </c>
      <c r="G1265" s="6" t="inlineStr">
        <is>
          <t>Non</t>
        </is>
      </c>
      <c r="H1265" s="6" t="inlineStr">
        <is>
          <t>OFF</t>
        </is>
      </c>
      <c r="I1265" s="31" t="n">
        <v>994.4885628369005</v>
      </c>
      <c r="J1265" s="31" t="n">
        <v>4850.441664768843</v>
      </c>
      <c r="K1265" s="31" t="n">
        <v>2726.851851851852</v>
      </c>
      <c r="L1265" s="31" t="n">
        <v>150</v>
      </c>
      <c r="M1265" s="31">
        <f>I1265+J1265+K1265+L1265</f>
        <v/>
      </c>
      <c r="N1265" s="31">
        <f>M1265*'Dashboard &amp; Optimisation'!$B$18/('Dashboard &amp; Optimisation'!$B$16/3.6)</f>
        <v/>
      </c>
      <c r="O1265" s="31" t="n">
        <v>583.938789855817</v>
      </c>
      <c r="P1265" s="32" t="n">
        <v>0.7958227533929282</v>
      </c>
      <c r="Q1265" s="33" t="n">
        <v>0.2</v>
      </c>
      <c r="R1265" s="31" t="n">
        <v>297.2653897365808</v>
      </c>
      <c r="S1265" s="31">
        <f>R1265*IF(A1265=4, 2.0, 3.0)</f>
        <v/>
      </c>
      <c r="T1265" s="30">
        <f>'Dashboard &amp; Optimisation'!$B$18*U1265</f>
        <v/>
      </c>
      <c r="U1265" s="34">
        <f>MIN(1, S1265/M1265)</f>
        <v/>
      </c>
      <c r="V1265" s="34">
        <f>N1265/(N1265+O1265)</f>
        <v/>
      </c>
      <c r="W1265" s="34">
        <f>U1265*V1265</f>
        <v/>
      </c>
      <c r="X1265" s="32">
        <f>T1265/N1265</f>
        <v/>
      </c>
      <c r="Y1265" s="35">
        <f>IF(W1265=MAXIFS(W$2:W$3601, A$2:A$3601, A1265, B$2:B$3601, B1265), "OPTIMAL", "")</f>
        <v/>
      </c>
    </row>
    <row r="1266" ht="20" customHeight="1">
      <c r="A1266" s="21" t="n">
        <v>4</v>
      </c>
      <c r="B1266" s="21" t="n">
        <v>40</v>
      </c>
      <c r="C1266" s="22" t="n">
        <v>100</v>
      </c>
      <c r="D1266" s="22" t="n">
        <v>3</v>
      </c>
      <c r="E1266" s="23" t="n">
        <v>4</v>
      </c>
      <c r="F1266" s="22" t="n">
        <v>1.5</v>
      </c>
      <c r="G1266" s="23" t="inlineStr">
        <is>
          <t>Oui</t>
        </is>
      </c>
      <c r="H1266" s="23" t="inlineStr">
        <is>
          <t>ON</t>
        </is>
      </c>
      <c r="I1266" s="24" t="n">
        <v>994.4885628369005</v>
      </c>
      <c r="J1266" s="24" t="n">
        <v>4850.441664768843</v>
      </c>
      <c r="K1266" s="24" t="n">
        <v>2726.851851851852</v>
      </c>
      <c r="L1266" s="24" t="n">
        <v>150</v>
      </c>
      <c r="M1266" s="24">
        <f>I1266+J1266+K1266+L1266</f>
        <v/>
      </c>
      <c r="N1266" s="24">
        <f>M1266*'Dashboard &amp; Optimisation'!$B$18/('Dashboard &amp; Optimisation'!$B$16/3.6)</f>
        <v/>
      </c>
      <c r="O1266" s="24" t="n">
        <v>811.9193689584154</v>
      </c>
      <c r="P1266" s="25" t="n">
        <v>0.0735384347268611</v>
      </c>
      <c r="Q1266" s="26" t="n">
        <v>6.857688308810928</v>
      </c>
      <c r="R1266" s="24" t="n">
        <v>3325.056618650066</v>
      </c>
      <c r="S1266" s="24">
        <f>R1266*IF(A1266=4, 2.0, 3.0)</f>
        <v/>
      </c>
      <c r="T1266" s="22">
        <f>'Dashboard &amp; Optimisation'!$B$18*U1266</f>
        <v/>
      </c>
      <c r="U1266" s="27">
        <f>MIN(1, S1266/M1266)</f>
        <v/>
      </c>
      <c r="V1266" s="27">
        <f>N1266/(N1266+O1266)</f>
        <v/>
      </c>
      <c r="W1266" s="27">
        <f>U1266*V1266</f>
        <v/>
      </c>
      <c r="X1266" s="25">
        <f>T1266/N1266</f>
        <v/>
      </c>
      <c r="Y1266" s="28">
        <f>IF(W1266=MAXIFS(W$2:W$3601, A$2:A$3601, A1266, B$2:B$3601, B1266), "OPTIMAL", "")</f>
        <v/>
      </c>
    </row>
    <row r="1267" ht="20" customHeight="1">
      <c r="A1267" s="29" t="n">
        <v>4</v>
      </c>
      <c r="B1267" s="29" t="n">
        <v>40</v>
      </c>
      <c r="C1267" s="30" t="n">
        <v>100</v>
      </c>
      <c r="D1267" s="30" t="n">
        <v>3</v>
      </c>
      <c r="E1267" s="6" t="n">
        <v>4</v>
      </c>
      <c r="F1267" s="30" t="n">
        <v>1.5</v>
      </c>
      <c r="G1267" s="6" t="inlineStr">
        <is>
          <t>Oui</t>
        </is>
      </c>
      <c r="H1267" s="6" t="inlineStr">
        <is>
          <t>OFF</t>
        </is>
      </c>
      <c r="I1267" s="31" t="n">
        <v>994.4885628369005</v>
      </c>
      <c r="J1267" s="31" t="n">
        <v>4850.441664768843</v>
      </c>
      <c r="K1267" s="31" t="n">
        <v>2726.851851851852</v>
      </c>
      <c r="L1267" s="31" t="n">
        <v>150</v>
      </c>
      <c r="M1267" s="31">
        <f>I1267+J1267+K1267+L1267</f>
        <v/>
      </c>
      <c r="N1267" s="31">
        <f>M1267*'Dashboard &amp; Optimisation'!$B$18/('Dashboard &amp; Optimisation'!$B$16/3.6)</f>
        <v/>
      </c>
      <c r="O1267" s="31" t="n">
        <v>811.9193689584154</v>
      </c>
      <c r="P1267" s="32" t="n">
        <v>0.307100869502758</v>
      </c>
      <c r="Q1267" s="33" t="n">
        <v>6.857688308810928</v>
      </c>
      <c r="R1267" s="31" t="n">
        <v>796.2187131206392</v>
      </c>
      <c r="S1267" s="31">
        <f>R1267*IF(A1267=4, 2.0, 3.0)</f>
        <v/>
      </c>
      <c r="T1267" s="30">
        <f>'Dashboard &amp; Optimisation'!$B$18*U1267</f>
        <v/>
      </c>
      <c r="U1267" s="34">
        <f>MIN(1, S1267/M1267)</f>
        <v/>
      </c>
      <c r="V1267" s="34">
        <f>N1267/(N1267+O1267)</f>
        <v/>
      </c>
      <c r="W1267" s="34">
        <f>U1267*V1267</f>
        <v/>
      </c>
      <c r="X1267" s="32">
        <f>T1267/N1267</f>
        <v/>
      </c>
      <c r="Y1267" s="35">
        <f>IF(W1267=MAXIFS(W$2:W$3601, A$2:A$3601, A1267, B$2:B$3601, B1267), "OPTIMAL", "")</f>
        <v/>
      </c>
    </row>
    <row r="1268" ht="20" customHeight="1">
      <c r="A1268" s="21" t="n">
        <v>4</v>
      </c>
      <c r="B1268" s="21" t="n">
        <v>40</v>
      </c>
      <c r="C1268" s="22" t="n">
        <v>100</v>
      </c>
      <c r="D1268" s="22" t="n">
        <v>3</v>
      </c>
      <c r="E1268" s="23" t="n">
        <v>4</v>
      </c>
      <c r="F1268" s="22" t="n">
        <v>1.5</v>
      </c>
      <c r="G1268" s="23" t="inlineStr">
        <is>
          <t>Non</t>
        </is>
      </c>
      <c r="H1268" s="23" t="inlineStr">
        <is>
          <t>ON</t>
        </is>
      </c>
      <c r="I1268" s="24" t="n">
        <v>994.4885628369005</v>
      </c>
      <c r="J1268" s="24" t="n">
        <v>4850.441664768843</v>
      </c>
      <c r="K1268" s="24" t="n">
        <v>2726.851851851852</v>
      </c>
      <c r="L1268" s="24" t="n">
        <v>150</v>
      </c>
      <c r="M1268" s="24">
        <f>I1268+J1268+K1268+L1268</f>
        <v/>
      </c>
      <c r="N1268" s="24">
        <f>M1268*'Dashboard &amp; Optimisation'!$B$18/('Dashboard &amp; Optimisation'!$B$16/3.6)</f>
        <v/>
      </c>
      <c r="O1268" s="24" t="n">
        <v>811.9193689584154</v>
      </c>
      <c r="P1268" s="25" t="n">
        <v>0.07035533586502318</v>
      </c>
      <c r="Q1268" s="26" t="n">
        <v>6.857688308810928</v>
      </c>
      <c r="R1268" s="24" t="n">
        <v>3475.492741344115</v>
      </c>
      <c r="S1268" s="24">
        <f>R1268*IF(A1268=4, 2.0, 3.0)</f>
        <v/>
      </c>
      <c r="T1268" s="22">
        <f>'Dashboard &amp; Optimisation'!$B$18*U1268</f>
        <v/>
      </c>
      <c r="U1268" s="27">
        <f>MIN(1, S1268/M1268)</f>
        <v/>
      </c>
      <c r="V1268" s="27">
        <f>N1268/(N1268+O1268)</f>
        <v/>
      </c>
      <c r="W1268" s="27">
        <f>U1268*V1268</f>
        <v/>
      </c>
      <c r="X1268" s="25">
        <f>T1268/N1268</f>
        <v/>
      </c>
      <c r="Y1268" s="28">
        <f>IF(W1268=MAXIFS(W$2:W$3601, A$2:A$3601, A1268, B$2:B$3601, B1268), "OPTIMAL", "")</f>
        <v/>
      </c>
    </row>
    <row r="1269" ht="20" customHeight="1">
      <c r="A1269" s="29" t="n">
        <v>4</v>
      </c>
      <c r="B1269" s="29" t="n">
        <v>40</v>
      </c>
      <c r="C1269" s="30" t="n">
        <v>100</v>
      </c>
      <c r="D1269" s="30" t="n">
        <v>3</v>
      </c>
      <c r="E1269" s="6" t="n">
        <v>4</v>
      </c>
      <c r="F1269" s="30" t="n">
        <v>1.5</v>
      </c>
      <c r="G1269" s="6" t="inlineStr">
        <is>
          <t>Non</t>
        </is>
      </c>
      <c r="H1269" s="6" t="inlineStr">
        <is>
          <t>OFF</t>
        </is>
      </c>
      <c r="I1269" s="31" t="n">
        <v>994.4885628369005</v>
      </c>
      <c r="J1269" s="31" t="n">
        <v>4850.441664768843</v>
      </c>
      <c r="K1269" s="31" t="n">
        <v>2726.851851851852</v>
      </c>
      <c r="L1269" s="31" t="n">
        <v>150</v>
      </c>
      <c r="M1269" s="31">
        <f>I1269+J1269+K1269+L1269</f>
        <v/>
      </c>
      <c r="N1269" s="31">
        <f>M1269*'Dashboard &amp; Optimisation'!$B$18/('Dashboard &amp; Optimisation'!$B$16/3.6)</f>
        <v/>
      </c>
      <c r="O1269" s="31" t="n">
        <v>811.9193689584154</v>
      </c>
      <c r="P1269" s="32" t="n">
        <v>0.3039177706409201</v>
      </c>
      <c r="Q1269" s="33" t="n">
        <v>6.857688308810928</v>
      </c>
      <c r="R1269" s="31" t="n">
        <v>804.5579519685801</v>
      </c>
      <c r="S1269" s="31">
        <f>R1269*IF(A1269=4, 2.0, 3.0)</f>
        <v/>
      </c>
      <c r="T1269" s="30">
        <f>'Dashboard &amp; Optimisation'!$B$18*U1269</f>
        <v/>
      </c>
      <c r="U1269" s="34">
        <f>MIN(1, S1269/M1269)</f>
        <v/>
      </c>
      <c r="V1269" s="34">
        <f>N1269/(N1269+O1269)</f>
        <v/>
      </c>
      <c r="W1269" s="34">
        <f>U1269*V1269</f>
        <v/>
      </c>
      <c r="X1269" s="32">
        <f>T1269/N1269</f>
        <v/>
      </c>
      <c r="Y1269" s="35">
        <f>IF(W1269=MAXIFS(W$2:W$3601, A$2:A$3601, A1269, B$2:B$3601, B1269), "OPTIMAL", "")</f>
        <v/>
      </c>
    </row>
    <row r="1270" ht="20" customHeight="1">
      <c r="A1270" s="21" t="n">
        <v>4</v>
      </c>
      <c r="B1270" s="21" t="n">
        <v>40</v>
      </c>
      <c r="C1270" s="22" t="n">
        <v>100</v>
      </c>
      <c r="D1270" s="22" t="n">
        <v>3</v>
      </c>
      <c r="E1270" s="23" t="n">
        <v>4</v>
      </c>
      <c r="F1270" s="22" t="n">
        <v>2</v>
      </c>
      <c r="G1270" s="23" t="inlineStr">
        <is>
          <t>Oui</t>
        </is>
      </c>
      <c r="H1270" s="23" t="inlineStr">
        <is>
          <t>ON</t>
        </is>
      </c>
      <c r="I1270" s="24" t="n">
        <v>994.4885628369005</v>
      </c>
      <c r="J1270" s="24" t="n">
        <v>4850.441664768843</v>
      </c>
      <c r="K1270" s="24" t="n">
        <v>2726.851851851852</v>
      </c>
      <c r="L1270" s="24" t="n">
        <v>150</v>
      </c>
      <c r="M1270" s="24">
        <f>I1270+J1270+K1270+L1270</f>
        <v/>
      </c>
      <c r="N1270" s="24">
        <f>M1270*'Dashboard &amp; Optimisation'!$B$18/('Dashboard &amp; Optimisation'!$B$16/3.6)</f>
        <v/>
      </c>
      <c r="O1270" s="24" t="n">
        <v>891.3560234911407</v>
      </c>
      <c r="P1270" s="25" t="n">
        <v>0.07090019831070833</v>
      </c>
      <c r="Q1270" s="26" t="n">
        <v>9.076917745081236</v>
      </c>
      <c r="R1270" s="24" t="n">
        <v>3487.848380632407</v>
      </c>
      <c r="S1270" s="24">
        <f>R1270*IF(A1270=4, 2.0, 3.0)</f>
        <v/>
      </c>
      <c r="T1270" s="22">
        <f>'Dashboard &amp; Optimisation'!$B$18*U1270</f>
        <v/>
      </c>
      <c r="U1270" s="27">
        <f>MIN(1, S1270/M1270)</f>
        <v/>
      </c>
      <c r="V1270" s="27">
        <f>N1270/(N1270+O1270)</f>
        <v/>
      </c>
      <c r="W1270" s="27">
        <f>U1270*V1270</f>
        <v/>
      </c>
      <c r="X1270" s="25">
        <f>T1270/N1270</f>
        <v/>
      </c>
      <c r="Y1270" s="28">
        <f>IF(W1270=MAXIFS(W$2:W$3601, A$2:A$3601, A1270, B$2:B$3601, B1270), "OPTIMAL", "")</f>
        <v/>
      </c>
    </row>
    <row r="1271" ht="20" customHeight="1">
      <c r="A1271" s="29" t="n">
        <v>4</v>
      </c>
      <c r="B1271" s="29" t="n">
        <v>40</v>
      </c>
      <c r="C1271" s="30" t="n">
        <v>100</v>
      </c>
      <c r="D1271" s="30" t="n">
        <v>3</v>
      </c>
      <c r="E1271" s="6" t="n">
        <v>4</v>
      </c>
      <c r="F1271" s="30" t="n">
        <v>2</v>
      </c>
      <c r="G1271" s="6" t="inlineStr">
        <is>
          <t>Oui</t>
        </is>
      </c>
      <c r="H1271" s="6" t="inlineStr">
        <is>
          <t>OFF</t>
        </is>
      </c>
      <c r="I1271" s="31" t="n">
        <v>994.4885628369005</v>
      </c>
      <c r="J1271" s="31" t="n">
        <v>4850.441664768843</v>
      </c>
      <c r="K1271" s="31" t="n">
        <v>2726.851851851852</v>
      </c>
      <c r="L1271" s="31" t="n">
        <v>150</v>
      </c>
      <c r="M1271" s="31">
        <f>I1271+J1271+K1271+L1271</f>
        <v/>
      </c>
      <c r="N1271" s="31">
        <f>M1271*'Dashboard &amp; Optimisation'!$B$18/('Dashboard &amp; Optimisation'!$B$16/3.6)</f>
        <v/>
      </c>
      <c r="O1271" s="31" t="n">
        <v>891.3560234911407</v>
      </c>
      <c r="P1271" s="32" t="n">
        <v>0.305556811068225</v>
      </c>
      <c r="Q1271" s="33" t="n">
        <v>9.076917745081236</v>
      </c>
      <c r="R1271" s="31" t="n">
        <v>809.3065934285644</v>
      </c>
      <c r="S1271" s="31">
        <f>R1271*IF(A1271=4, 2.0, 3.0)</f>
        <v/>
      </c>
      <c r="T1271" s="30">
        <f>'Dashboard &amp; Optimisation'!$B$18*U1271</f>
        <v/>
      </c>
      <c r="U1271" s="34">
        <f>MIN(1, S1271/M1271)</f>
        <v/>
      </c>
      <c r="V1271" s="34">
        <f>N1271/(N1271+O1271)</f>
        <v/>
      </c>
      <c r="W1271" s="34">
        <f>U1271*V1271</f>
        <v/>
      </c>
      <c r="X1271" s="32">
        <f>T1271/N1271</f>
        <v/>
      </c>
      <c r="Y1271" s="35">
        <f>IF(W1271=MAXIFS(W$2:W$3601, A$2:A$3601, A1271, B$2:B$3601, B1271), "OPTIMAL", "")</f>
        <v/>
      </c>
    </row>
    <row r="1272" ht="20" customHeight="1">
      <c r="A1272" s="21" t="n">
        <v>4</v>
      </c>
      <c r="B1272" s="21" t="n">
        <v>40</v>
      </c>
      <c r="C1272" s="22" t="n">
        <v>100</v>
      </c>
      <c r="D1272" s="22" t="n">
        <v>3</v>
      </c>
      <c r="E1272" s="23" t="n">
        <v>4</v>
      </c>
      <c r="F1272" s="22" t="n">
        <v>2</v>
      </c>
      <c r="G1272" s="23" t="inlineStr">
        <is>
          <t>Non</t>
        </is>
      </c>
      <c r="H1272" s="23" t="inlineStr">
        <is>
          <t>ON</t>
        </is>
      </c>
      <c r="I1272" s="24" t="n">
        <v>994.4885628369005</v>
      </c>
      <c r="J1272" s="24" t="n">
        <v>4850.441664768843</v>
      </c>
      <c r="K1272" s="24" t="n">
        <v>2726.851851851852</v>
      </c>
      <c r="L1272" s="24" t="n">
        <v>150</v>
      </c>
      <c r="M1272" s="24">
        <f>I1272+J1272+K1272+L1272</f>
        <v/>
      </c>
      <c r="N1272" s="24">
        <f>M1272*'Dashboard &amp; Optimisation'!$B$18/('Dashboard &amp; Optimisation'!$B$16/3.6)</f>
        <v/>
      </c>
      <c r="O1272" s="24" t="n">
        <v>891.3560234911407</v>
      </c>
      <c r="P1272" s="25" t="n">
        <v>0.06771709944887042</v>
      </c>
      <c r="Q1272" s="26" t="n">
        <v>9.076917745081236</v>
      </c>
      <c r="R1272" s="24" t="n">
        <v>3651.797609128777</v>
      </c>
      <c r="S1272" s="24">
        <f>R1272*IF(A1272=4, 2.0, 3.0)</f>
        <v/>
      </c>
      <c r="T1272" s="22">
        <f>'Dashboard &amp; Optimisation'!$B$18*U1272</f>
        <v/>
      </c>
      <c r="U1272" s="27">
        <f>MIN(1, S1272/M1272)</f>
        <v/>
      </c>
      <c r="V1272" s="27">
        <f>N1272/(N1272+O1272)</f>
        <v/>
      </c>
      <c r="W1272" s="27">
        <f>U1272*V1272</f>
        <v/>
      </c>
      <c r="X1272" s="25">
        <f>T1272/N1272</f>
        <v/>
      </c>
      <c r="Y1272" s="28">
        <f>IF(W1272=MAXIFS(W$2:W$3601, A$2:A$3601, A1272, B$2:B$3601, B1272), "OPTIMAL", "")</f>
        <v/>
      </c>
    </row>
    <row r="1273" ht="20" customHeight="1">
      <c r="A1273" s="29" t="n">
        <v>4</v>
      </c>
      <c r="B1273" s="29" t="n">
        <v>40</v>
      </c>
      <c r="C1273" s="30" t="n">
        <v>100</v>
      </c>
      <c r="D1273" s="30" t="n">
        <v>3</v>
      </c>
      <c r="E1273" s="6" t="n">
        <v>4</v>
      </c>
      <c r="F1273" s="30" t="n">
        <v>2</v>
      </c>
      <c r="G1273" s="6" t="inlineStr">
        <is>
          <t>Non</t>
        </is>
      </c>
      <c r="H1273" s="6" t="inlineStr">
        <is>
          <t>OFF</t>
        </is>
      </c>
      <c r="I1273" s="31" t="n">
        <v>994.4885628369005</v>
      </c>
      <c r="J1273" s="31" t="n">
        <v>4850.441664768843</v>
      </c>
      <c r="K1273" s="31" t="n">
        <v>2726.851851851852</v>
      </c>
      <c r="L1273" s="31" t="n">
        <v>150</v>
      </c>
      <c r="M1273" s="31">
        <f>I1273+J1273+K1273+L1273</f>
        <v/>
      </c>
      <c r="N1273" s="31">
        <f>M1273*'Dashboard &amp; Optimisation'!$B$18/('Dashboard &amp; Optimisation'!$B$16/3.6)</f>
        <v/>
      </c>
      <c r="O1273" s="31" t="n">
        <v>891.3560234911407</v>
      </c>
      <c r="P1273" s="32" t="n">
        <v>0.302373712206387</v>
      </c>
      <c r="Q1273" s="33" t="n">
        <v>9.076917745081236</v>
      </c>
      <c r="R1273" s="31" t="n">
        <v>817.8261928263521</v>
      </c>
      <c r="S1273" s="31">
        <f>R1273*IF(A1273=4, 2.0, 3.0)</f>
        <v/>
      </c>
      <c r="T1273" s="30">
        <f>'Dashboard &amp; Optimisation'!$B$18*U1273</f>
        <v/>
      </c>
      <c r="U1273" s="34">
        <f>MIN(1, S1273/M1273)</f>
        <v/>
      </c>
      <c r="V1273" s="34">
        <f>N1273/(N1273+O1273)</f>
        <v/>
      </c>
      <c r="W1273" s="34">
        <f>U1273*V1273</f>
        <v/>
      </c>
      <c r="X1273" s="32">
        <f>T1273/N1273</f>
        <v/>
      </c>
      <c r="Y1273" s="35">
        <f>IF(W1273=MAXIFS(W$2:W$3601, A$2:A$3601, A1273, B$2:B$3601, B1273), "OPTIMAL", "")</f>
        <v/>
      </c>
    </row>
    <row r="1274" ht="20" customHeight="1">
      <c r="A1274" s="21" t="n">
        <v>4</v>
      </c>
      <c r="B1274" s="21" t="n">
        <v>40</v>
      </c>
      <c r="C1274" s="22" t="n">
        <v>100</v>
      </c>
      <c r="D1274" s="22" t="n">
        <v>3</v>
      </c>
      <c r="E1274" s="23" t="n">
        <v>8</v>
      </c>
      <c r="F1274" s="22" t="n">
        <v>1.5</v>
      </c>
      <c r="G1274" s="23" t="inlineStr">
        <is>
          <t>Oui</t>
        </is>
      </c>
      <c r="H1274" s="23" t="inlineStr">
        <is>
          <t>ON</t>
        </is>
      </c>
      <c r="I1274" s="24" t="n">
        <v>994.4885628369005</v>
      </c>
      <c r="J1274" s="24" t="n">
        <v>4850.441664768843</v>
      </c>
      <c r="K1274" s="24" t="n">
        <v>2726.851851851852</v>
      </c>
      <c r="L1274" s="24" t="n">
        <v>150</v>
      </c>
      <c r="M1274" s="24">
        <f>I1274+J1274+K1274+L1274</f>
        <v/>
      </c>
      <c r="N1274" s="24">
        <f>M1274*'Dashboard &amp; Optimisation'!$B$18/('Dashboard &amp; Optimisation'!$B$16/3.6)</f>
        <v/>
      </c>
      <c r="O1274" s="24" t="n">
        <v>1055.753164985867</v>
      </c>
      <c r="P1274" s="25" t="n">
        <v>0.05562346576923688</v>
      </c>
      <c r="Q1274" s="26" t="n">
        <v>13.51537661762185</v>
      </c>
      <c r="R1274" s="24" t="n">
        <v>4548.81947560712</v>
      </c>
      <c r="S1274" s="24">
        <f>R1274*IF(A1274=4, 2.0, 3.0)</f>
        <v/>
      </c>
      <c r="T1274" s="22">
        <f>'Dashboard &amp; Optimisation'!$B$18*U1274</f>
        <v/>
      </c>
      <c r="U1274" s="27">
        <f>MIN(1, S1274/M1274)</f>
        <v/>
      </c>
      <c r="V1274" s="27">
        <f>N1274/(N1274+O1274)</f>
        <v/>
      </c>
      <c r="W1274" s="27">
        <f>U1274*V1274</f>
        <v/>
      </c>
      <c r="X1274" s="25">
        <f>T1274/N1274</f>
        <v/>
      </c>
      <c r="Y1274" s="28">
        <f>IF(W1274=MAXIFS(W$2:W$3601, A$2:A$3601, A1274, B$2:B$3601, B1274), "OPTIMAL", "")</f>
        <v/>
      </c>
    </row>
    <row r="1275" ht="20" customHeight="1">
      <c r="A1275" s="29" t="n">
        <v>4</v>
      </c>
      <c r="B1275" s="29" t="n">
        <v>40</v>
      </c>
      <c r="C1275" s="30" t="n">
        <v>100</v>
      </c>
      <c r="D1275" s="30" t="n">
        <v>3</v>
      </c>
      <c r="E1275" s="6" t="n">
        <v>8</v>
      </c>
      <c r="F1275" s="30" t="n">
        <v>1.5</v>
      </c>
      <c r="G1275" s="6" t="inlineStr">
        <is>
          <t>Oui</t>
        </is>
      </c>
      <c r="H1275" s="6" t="inlineStr">
        <is>
          <t>OFF</t>
        </is>
      </c>
      <c r="I1275" s="31" t="n">
        <v>994.4885628369005</v>
      </c>
      <c r="J1275" s="31" t="n">
        <v>4850.441664768843</v>
      </c>
      <c r="K1275" s="31" t="n">
        <v>2726.851851851852</v>
      </c>
      <c r="L1275" s="31" t="n">
        <v>150</v>
      </c>
      <c r="M1275" s="31">
        <f>I1275+J1275+K1275+L1275</f>
        <v/>
      </c>
      <c r="N1275" s="31">
        <f>M1275*'Dashboard &amp; Optimisation'!$B$18/('Dashboard &amp; Optimisation'!$B$16/3.6)</f>
        <v/>
      </c>
      <c r="O1275" s="31" t="n">
        <v>1055.753164985867</v>
      </c>
      <c r="P1275" s="32" t="n">
        <v>0.2400757351497012</v>
      </c>
      <c r="Q1275" s="33" t="n">
        <v>13.51537661762185</v>
      </c>
      <c r="R1275" s="31" t="n">
        <v>1053.922022707115</v>
      </c>
      <c r="S1275" s="31">
        <f>R1275*IF(A1275=4, 2.0, 3.0)</f>
        <v/>
      </c>
      <c r="T1275" s="30">
        <f>'Dashboard &amp; Optimisation'!$B$18*U1275</f>
        <v/>
      </c>
      <c r="U1275" s="34">
        <f>MIN(1, S1275/M1275)</f>
        <v/>
      </c>
      <c r="V1275" s="34">
        <f>N1275/(N1275+O1275)</f>
        <v/>
      </c>
      <c r="W1275" s="34">
        <f>U1275*V1275</f>
        <v/>
      </c>
      <c r="X1275" s="32">
        <f>T1275/N1275</f>
        <v/>
      </c>
      <c r="Y1275" s="35">
        <f>IF(W1275=MAXIFS(W$2:W$3601, A$2:A$3601, A1275, B$2:B$3601, B1275), "OPTIMAL", "")</f>
        <v/>
      </c>
    </row>
    <row r="1276" ht="20" customHeight="1">
      <c r="A1276" s="21" t="n">
        <v>4</v>
      </c>
      <c r="B1276" s="21" t="n">
        <v>40</v>
      </c>
      <c r="C1276" s="22" t="n">
        <v>100</v>
      </c>
      <c r="D1276" s="22" t="n">
        <v>3</v>
      </c>
      <c r="E1276" s="23" t="n">
        <v>8</v>
      </c>
      <c r="F1276" s="22" t="n">
        <v>1.5</v>
      </c>
      <c r="G1276" s="23" t="inlineStr">
        <is>
          <t>Non</t>
        </is>
      </c>
      <c r="H1276" s="23" t="inlineStr">
        <is>
          <t>ON</t>
        </is>
      </c>
      <c r="I1276" s="24" t="n">
        <v>994.4885628369005</v>
      </c>
      <c r="J1276" s="24" t="n">
        <v>4850.441664768843</v>
      </c>
      <c r="K1276" s="24" t="n">
        <v>2726.851851851852</v>
      </c>
      <c r="L1276" s="24" t="n">
        <v>150</v>
      </c>
      <c r="M1276" s="24">
        <f>I1276+J1276+K1276+L1276</f>
        <v/>
      </c>
      <c r="N1276" s="24">
        <f>M1276*'Dashboard &amp; Optimisation'!$B$18/('Dashboard &amp; Optimisation'!$B$16/3.6)</f>
        <v/>
      </c>
      <c r="O1276" s="24" t="n">
        <v>1055.753164985867</v>
      </c>
      <c r="P1276" s="25" t="n">
        <v>0.05244036690739898</v>
      </c>
      <c r="Q1276" s="26" t="n">
        <v>13.51537661762185</v>
      </c>
      <c r="R1276" s="24" t="n">
        <v>4824.930093236459</v>
      </c>
      <c r="S1276" s="24">
        <f>R1276*IF(A1276=4, 2.0, 3.0)</f>
        <v/>
      </c>
      <c r="T1276" s="22">
        <f>'Dashboard &amp; Optimisation'!$B$18*U1276</f>
        <v/>
      </c>
      <c r="U1276" s="27">
        <f>MIN(1, S1276/M1276)</f>
        <v/>
      </c>
      <c r="V1276" s="27">
        <f>N1276/(N1276+O1276)</f>
        <v/>
      </c>
      <c r="W1276" s="27">
        <f>U1276*V1276</f>
        <v/>
      </c>
      <c r="X1276" s="25">
        <f>T1276/N1276</f>
        <v/>
      </c>
      <c r="Y1276" s="28">
        <f>IF(W1276=MAXIFS(W$2:W$3601, A$2:A$3601, A1276, B$2:B$3601, B1276), "OPTIMAL", "")</f>
        <v/>
      </c>
    </row>
    <row r="1277" ht="20" customHeight="1">
      <c r="A1277" s="29" t="n">
        <v>4</v>
      </c>
      <c r="B1277" s="29" t="n">
        <v>40</v>
      </c>
      <c r="C1277" s="30" t="n">
        <v>100</v>
      </c>
      <c r="D1277" s="30" t="n">
        <v>3</v>
      </c>
      <c r="E1277" s="6" t="n">
        <v>8</v>
      </c>
      <c r="F1277" s="30" t="n">
        <v>1.5</v>
      </c>
      <c r="G1277" s="6" t="inlineStr">
        <is>
          <t>Non</t>
        </is>
      </c>
      <c r="H1277" s="6" t="inlineStr">
        <is>
          <t>OFF</t>
        </is>
      </c>
      <c r="I1277" s="31" t="n">
        <v>994.4885628369005</v>
      </c>
      <c r="J1277" s="31" t="n">
        <v>4850.441664768843</v>
      </c>
      <c r="K1277" s="31" t="n">
        <v>2726.851851851852</v>
      </c>
      <c r="L1277" s="31" t="n">
        <v>150</v>
      </c>
      <c r="M1277" s="31">
        <f>I1277+J1277+K1277+L1277</f>
        <v/>
      </c>
      <c r="N1277" s="31">
        <f>M1277*'Dashboard &amp; Optimisation'!$B$18/('Dashboard &amp; Optimisation'!$B$16/3.6)</f>
        <v/>
      </c>
      <c r="O1277" s="31" t="n">
        <v>1055.753164985867</v>
      </c>
      <c r="P1277" s="32" t="n">
        <v>0.2368926362878633</v>
      </c>
      <c r="Q1277" s="33" t="n">
        <v>13.51537661762185</v>
      </c>
      <c r="R1277" s="31" t="n">
        <v>1068.083450616036</v>
      </c>
      <c r="S1277" s="31">
        <f>R1277*IF(A1277=4, 2.0, 3.0)</f>
        <v/>
      </c>
      <c r="T1277" s="30">
        <f>'Dashboard &amp; Optimisation'!$B$18*U1277</f>
        <v/>
      </c>
      <c r="U1277" s="34">
        <f>MIN(1, S1277/M1277)</f>
        <v/>
      </c>
      <c r="V1277" s="34">
        <f>N1277/(N1277+O1277)</f>
        <v/>
      </c>
      <c r="W1277" s="34">
        <f>U1277*V1277</f>
        <v/>
      </c>
      <c r="X1277" s="32">
        <f>T1277/N1277</f>
        <v/>
      </c>
      <c r="Y1277" s="35">
        <f>IF(W1277=MAXIFS(W$2:W$3601, A$2:A$3601, A1277, B$2:B$3601, B1277), "OPTIMAL", "")</f>
        <v/>
      </c>
    </row>
    <row r="1278" ht="20" customHeight="1">
      <c r="A1278" s="21" t="n">
        <v>4</v>
      </c>
      <c r="B1278" s="21" t="n">
        <v>40</v>
      </c>
      <c r="C1278" s="22" t="n">
        <v>100</v>
      </c>
      <c r="D1278" s="22" t="n">
        <v>3</v>
      </c>
      <c r="E1278" s="23" t="n">
        <v>8</v>
      </c>
      <c r="F1278" s="22" t="n">
        <v>2</v>
      </c>
      <c r="G1278" s="23" t="inlineStr">
        <is>
          <t>Oui</t>
        </is>
      </c>
      <c r="H1278" s="23" t="inlineStr">
        <is>
          <t>ON</t>
        </is>
      </c>
      <c r="I1278" s="24" t="n">
        <v>994.4885628369005</v>
      </c>
      <c r="J1278" s="24" t="n">
        <v>4850.441664768843</v>
      </c>
      <c r="K1278" s="24" t="n">
        <v>2726.851851851852</v>
      </c>
      <c r="L1278" s="24" t="n">
        <v>150</v>
      </c>
      <c r="M1278" s="24">
        <f>I1278+J1278+K1278+L1278</f>
        <v/>
      </c>
      <c r="N1278" s="24">
        <f>M1278*'Dashboard &amp; Optimisation'!$B$18/('Dashboard &amp; Optimisation'!$B$16/3.6)</f>
        <v/>
      </c>
      <c r="O1278" s="24" t="n">
        <v>1227.952337099074</v>
      </c>
      <c r="P1278" s="25" t="n">
        <v>0.05441799410512958</v>
      </c>
      <c r="Q1278" s="26" t="n">
        <v>17.95383549016247</v>
      </c>
      <c r="R1278" s="24" t="n">
        <v>4759.916294868586</v>
      </c>
      <c r="S1278" s="24">
        <f>R1278*IF(A1278=4, 2.0, 3.0)</f>
        <v/>
      </c>
      <c r="T1278" s="22">
        <f>'Dashboard &amp; Optimisation'!$B$18*U1278</f>
        <v/>
      </c>
      <c r="U1278" s="27">
        <f>MIN(1, S1278/M1278)</f>
        <v/>
      </c>
      <c r="V1278" s="27">
        <f>N1278/(N1278+O1278)</f>
        <v/>
      </c>
      <c r="W1278" s="27">
        <f>U1278*V1278</f>
        <v/>
      </c>
      <c r="X1278" s="25">
        <f>T1278/N1278</f>
        <v/>
      </c>
      <c r="Y1278" s="28">
        <f>IF(W1278=MAXIFS(W$2:W$3601, A$2:A$3601, A1278, B$2:B$3601, B1278), "OPTIMAL", "")</f>
        <v/>
      </c>
    </row>
    <row r="1279" ht="20" customHeight="1">
      <c r="A1279" s="29" t="n">
        <v>4</v>
      </c>
      <c r="B1279" s="29" t="n">
        <v>40</v>
      </c>
      <c r="C1279" s="30" t="n">
        <v>100</v>
      </c>
      <c r="D1279" s="30" t="n">
        <v>3</v>
      </c>
      <c r="E1279" s="6" t="n">
        <v>8</v>
      </c>
      <c r="F1279" s="30" t="n">
        <v>2</v>
      </c>
      <c r="G1279" s="6" t="inlineStr">
        <is>
          <t>Oui</t>
        </is>
      </c>
      <c r="H1279" s="6" t="inlineStr">
        <is>
          <t>OFF</t>
        </is>
      </c>
      <c r="I1279" s="31" t="n">
        <v>994.4885628369005</v>
      </c>
      <c r="J1279" s="31" t="n">
        <v>4850.441664768843</v>
      </c>
      <c r="K1279" s="31" t="n">
        <v>2726.851851851852</v>
      </c>
      <c r="L1279" s="31" t="n">
        <v>150</v>
      </c>
      <c r="M1279" s="31">
        <f>I1279+J1279+K1279+L1279</f>
        <v/>
      </c>
      <c r="N1279" s="31">
        <f>M1279*'Dashboard &amp; Optimisation'!$B$18/('Dashboard &amp; Optimisation'!$B$16/3.6)</f>
        <v/>
      </c>
      <c r="O1279" s="31" t="n">
        <v>1227.952337099074</v>
      </c>
      <c r="P1279" s="32" t="n">
        <v>0.2402392320400437</v>
      </c>
      <c r="Q1279" s="33" t="n">
        <v>17.95383549016247</v>
      </c>
      <c r="R1279" s="31" t="n">
        <v>1078.19649053779</v>
      </c>
      <c r="S1279" s="31">
        <f>R1279*IF(A1279=4, 2.0, 3.0)</f>
        <v/>
      </c>
      <c r="T1279" s="30">
        <f>'Dashboard &amp; Optimisation'!$B$18*U1279</f>
        <v/>
      </c>
      <c r="U1279" s="34">
        <f>MIN(1, S1279/M1279)</f>
        <v/>
      </c>
      <c r="V1279" s="34">
        <f>N1279/(N1279+O1279)</f>
        <v/>
      </c>
      <c r="W1279" s="34">
        <f>U1279*V1279</f>
        <v/>
      </c>
      <c r="X1279" s="32">
        <f>T1279/N1279</f>
        <v/>
      </c>
      <c r="Y1279" s="35">
        <f>IF(W1279=MAXIFS(W$2:W$3601, A$2:A$3601, A1279, B$2:B$3601, B1279), "OPTIMAL", "")</f>
        <v/>
      </c>
    </row>
    <row r="1280" ht="20" customHeight="1">
      <c r="A1280" s="21" t="n">
        <v>4</v>
      </c>
      <c r="B1280" s="21" t="n">
        <v>40</v>
      </c>
      <c r="C1280" s="22" t="n">
        <v>100</v>
      </c>
      <c r="D1280" s="22" t="n">
        <v>3</v>
      </c>
      <c r="E1280" s="23" t="n">
        <v>8</v>
      </c>
      <c r="F1280" s="22" t="n">
        <v>2</v>
      </c>
      <c r="G1280" s="23" t="inlineStr">
        <is>
          <t>Non</t>
        </is>
      </c>
      <c r="H1280" s="23" t="inlineStr">
        <is>
          <t>ON</t>
        </is>
      </c>
      <c r="I1280" s="24" t="n">
        <v>994.4885628369005</v>
      </c>
      <c r="J1280" s="24" t="n">
        <v>4850.441664768843</v>
      </c>
      <c r="K1280" s="24" t="n">
        <v>2726.851851851852</v>
      </c>
      <c r="L1280" s="24" t="n">
        <v>150</v>
      </c>
      <c r="M1280" s="24">
        <f>I1280+J1280+K1280+L1280</f>
        <v/>
      </c>
      <c r="N1280" s="24">
        <f>M1280*'Dashboard &amp; Optimisation'!$B$18/('Dashboard &amp; Optimisation'!$B$16/3.6)</f>
        <v/>
      </c>
      <c r="O1280" s="24" t="n">
        <v>1227.952337099074</v>
      </c>
      <c r="P1280" s="25" t="n">
        <v>0.05123489524329167</v>
      </c>
      <c r="Q1280" s="26" t="n">
        <v>17.95383549016247</v>
      </c>
      <c r="R1280" s="24" t="n">
        <v>5055.638264606071</v>
      </c>
      <c r="S1280" s="24">
        <f>R1280*IF(A1280=4, 2.0, 3.0)</f>
        <v/>
      </c>
      <c r="T1280" s="22">
        <f>'Dashboard &amp; Optimisation'!$B$18*U1280</f>
        <v/>
      </c>
      <c r="U1280" s="27">
        <f>MIN(1, S1280/M1280)</f>
        <v/>
      </c>
      <c r="V1280" s="27">
        <f>N1280/(N1280+O1280)</f>
        <v/>
      </c>
      <c r="W1280" s="27">
        <f>U1280*V1280</f>
        <v/>
      </c>
      <c r="X1280" s="25">
        <f>T1280/N1280</f>
        <v/>
      </c>
      <c r="Y1280" s="28">
        <f>IF(W1280=MAXIFS(W$2:W$3601, A$2:A$3601, A1280, B$2:B$3601, B1280), "OPTIMAL", "")</f>
        <v/>
      </c>
    </row>
    <row r="1281" ht="20" customHeight="1">
      <c r="A1281" s="29" t="n">
        <v>4</v>
      </c>
      <c r="B1281" s="29" t="n">
        <v>40</v>
      </c>
      <c r="C1281" s="30" t="n">
        <v>100</v>
      </c>
      <c r="D1281" s="30" t="n">
        <v>3</v>
      </c>
      <c r="E1281" s="6" t="n">
        <v>8</v>
      </c>
      <c r="F1281" s="30" t="n">
        <v>2</v>
      </c>
      <c r="G1281" s="6" t="inlineStr">
        <is>
          <t>Non</t>
        </is>
      </c>
      <c r="H1281" s="6" t="inlineStr">
        <is>
          <t>OFF</t>
        </is>
      </c>
      <c r="I1281" s="31" t="n">
        <v>994.4885628369005</v>
      </c>
      <c r="J1281" s="31" t="n">
        <v>4850.441664768843</v>
      </c>
      <c r="K1281" s="31" t="n">
        <v>2726.851851851852</v>
      </c>
      <c r="L1281" s="31" t="n">
        <v>150</v>
      </c>
      <c r="M1281" s="31">
        <f>I1281+J1281+K1281+L1281</f>
        <v/>
      </c>
      <c r="N1281" s="31">
        <f>M1281*'Dashboard &amp; Optimisation'!$B$18/('Dashboard &amp; Optimisation'!$B$16/3.6)</f>
        <v/>
      </c>
      <c r="O1281" s="31" t="n">
        <v>1227.952337099074</v>
      </c>
      <c r="P1281" s="32" t="n">
        <v>0.2370561331782058</v>
      </c>
      <c r="Q1281" s="33" t="n">
        <v>17.95383549016247</v>
      </c>
      <c r="R1281" s="31" t="n">
        <v>1092.674099599642</v>
      </c>
      <c r="S1281" s="31">
        <f>R1281*IF(A1281=4, 2.0, 3.0)</f>
        <v/>
      </c>
      <c r="T1281" s="30">
        <f>'Dashboard &amp; Optimisation'!$B$18*U1281</f>
        <v/>
      </c>
      <c r="U1281" s="34">
        <f>MIN(1, S1281/M1281)</f>
        <v/>
      </c>
      <c r="V1281" s="34">
        <f>N1281/(N1281+O1281)</f>
        <v/>
      </c>
      <c r="W1281" s="34">
        <f>U1281*V1281</f>
        <v/>
      </c>
      <c r="X1281" s="32">
        <f>T1281/N1281</f>
        <v/>
      </c>
      <c r="Y1281" s="35">
        <f>IF(W1281=MAXIFS(W$2:W$3601, A$2:A$3601, A1281, B$2:B$3601, B1281), "OPTIMAL", "")</f>
        <v/>
      </c>
    </row>
    <row r="1282" ht="20" customHeight="1">
      <c r="A1282" s="21" t="n">
        <v>4</v>
      </c>
      <c r="B1282" s="21" t="n">
        <v>40</v>
      </c>
      <c r="C1282" s="22" t="n">
        <v>105</v>
      </c>
      <c r="D1282" s="22" t="n">
        <v>2</v>
      </c>
      <c r="E1282" s="23" t="n">
        <v>0</v>
      </c>
      <c r="F1282" s="22" t="n">
        <v>0</v>
      </c>
      <c r="G1282" s="23" t="inlineStr">
        <is>
          <t>Oui</t>
        </is>
      </c>
      <c r="H1282" s="23" t="inlineStr">
        <is>
          <t>ON</t>
        </is>
      </c>
      <c r="I1282" s="24" t="n">
        <v>994.4885628369005</v>
      </c>
      <c r="J1282" s="24" t="n">
        <v>4850.441664768843</v>
      </c>
      <c r="K1282" s="24" t="n">
        <v>2726.851851851852</v>
      </c>
      <c r="L1282" s="24" t="n">
        <v>150</v>
      </c>
      <c r="M1282" s="24">
        <f>I1282+J1282+K1282+L1282</f>
        <v/>
      </c>
      <c r="N1282" s="24">
        <f>M1282*'Dashboard &amp; Optimisation'!$B$18/('Dashboard &amp; Optimisation'!$B$16/3.6)</f>
        <v/>
      </c>
      <c r="O1282" s="24" t="n">
        <v>358.0589357745044</v>
      </c>
      <c r="P1282" s="25" t="n">
        <v>0.4767371025038626</v>
      </c>
      <c r="Q1282" s="26" t="n">
        <v>0.2</v>
      </c>
      <c r="R1282" s="24" t="n">
        <v>429.8280036143144</v>
      </c>
      <c r="S1282" s="24">
        <f>R1282*IF(A1282=4, 2.0, 3.0)</f>
        <v/>
      </c>
      <c r="T1282" s="22">
        <f>'Dashboard &amp; Optimisation'!$B$18*U1282</f>
        <v/>
      </c>
      <c r="U1282" s="27">
        <f>MIN(1, S1282/M1282)</f>
        <v/>
      </c>
      <c r="V1282" s="27">
        <f>N1282/(N1282+O1282)</f>
        <v/>
      </c>
      <c r="W1282" s="27">
        <f>U1282*V1282</f>
        <v/>
      </c>
      <c r="X1282" s="25">
        <f>T1282/N1282</f>
        <v/>
      </c>
      <c r="Y1282" s="28">
        <f>IF(W1282=MAXIFS(W$2:W$3601, A$2:A$3601, A1282, B$2:B$3601, B1282), "OPTIMAL", "")</f>
        <v/>
      </c>
    </row>
    <row r="1283" ht="20" customHeight="1">
      <c r="A1283" s="29" t="n">
        <v>4</v>
      </c>
      <c r="B1283" s="29" t="n">
        <v>40</v>
      </c>
      <c r="C1283" s="30" t="n">
        <v>105</v>
      </c>
      <c r="D1283" s="30" t="n">
        <v>2</v>
      </c>
      <c r="E1283" s="6" t="n">
        <v>0</v>
      </c>
      <c r="F1283" s="30" t="n">
        <v>0</v>
      </c>
      <c r="G1283" s="6" t="inlineStr">
        <is>
          <t>Oui</t>
        </is>
      </c>
      <c r="H1283" s="6" t="inlineStr">
        <is>
          <t>OFF</t>
        </is>
      </c>
      <c r="I1283" s="31" t="n">
        <v>994.4885628369005</v>
      </c>
      <c r="J1283" s="31" t="n">
        <v>4850.441664768843</v>
      </c>
      <c r="K1283" s="31" t="n">
        <v>2726.851851851852</v>
      </c>
      <c r="L1283" s="31" t="n">
        <v>150</v>
      </c>
      <c r="M1283" s="31">
        <f>I1283+J1283+K1283+L1283</f>
        <v/>
      </c>
      <c r="N1283" s="31">
        <f>M1283*'Dashboard &amp; Optimisation'!$B$18/('Dashboard &amp; Optimisation'!$B$16/3.6)</f>
        <v/>
      </c>
      <c r="O1283" s="31" t="n">
        <v>358.0589357745044</v>
      </c>
      <c r="P1283" s="32" t="n">
        <v>0.7798893750598538</v>
      </c>
      <c r="Q1283" s="33" t="n">
        <v>0.2</v>
      </c>
      <c r="R1283" s="31" t="n">
        <v>262.7487481828837</v>
      </c>
      <c r="S1283" s="31">
        <f>R1283*IF(A1283=4, 2.0, 3.0)</f>
        <v/>
      </c>
      <c r="T1283" s="30">
        <f>'Dashboard &amp; Optimisation'!$B$18*U1283</f>
        <v/>
      </c>
      <c r="U1283" s="34">
        <f>MIN(1, S1283/M1283)</f>
        <v/>
      </c>
      <c r="V1283" s="34">
        <f>N1283/(N1283+O1283)</f>
        <v/>
      </c>
      <c r="W1283" s="34">
        <f>U1283*V1283</f>
        <v/>
      </c>
      <c r="X1283" s="32">
        <f>T1283/N1283</f>
        <v/>
      </c>
      <c r="Y1283" s="35">
        <f>IF(W1283=MAXIFS(W$2:W$3601, A$2:A$3601, A1283, B$2:B$3601, B1283), "OPTIMAL", "")</f>
        <v/>
      </c>
    </row>
    <row r="1284" ht="20" customHeight="1">
      <c r="A1284" s="21" t="n">
        <v>4</v>
      </c>
      <c r="B1284" s="21" t="n">
        <v>40</v>
      </c>
      <c r="C1284" s="22" t="n">
        <v>105</v>
      </c>
      <c r="D1284" s="22" t="n">
        <v>2</v>
      </c>
      <c r="E1284" s="23" t="n">
        <v>0</v>
      </c>
      <c r="F1284" s="22" t="n">
        <v>0</v>
      </c>
      <c r="G1284" s="23" t="inlineStr">
        <is>
          <t>Non</t>
        </is>
      </c>
      <c r="H1284" s="23" t="inlineStr">
        <is>
          <t>ON</t>
        </is>
      </c>
      <c r="I1284" s="24" t="n">
        <v>994.4885628369005</v>
      </c>
      <c r="J1284" s="24" t="n">
        <v>4850.441664768843</v>
      </c>
      <c r="K1284" s="24" t="n">
        <v>2726.851851851852</v>
      </c>
      <c r="L1284" s="24" t="n">
        <v>150</v>
      </c>
      <c r="M1284" s="24">
        <f>I1284+J1284+K1284+L1284</f>
        <v/>
      </c>
      <c r="N1284" s="24">
        <f>M1284*'Dashboard &amp; Optimisation'!$B$18/('Dashboard &amp; Optimisation'!$B$16/3.6)</f>
        <v/>
      </c>
      <c r="O1284" s="24" t="n">
        <v>358.0589357745044</v>
      </c>
      <c r="P1284" s="25" t="n">
        <v>0.4737055797783027</v>
      </c>
      <c r="Q1284" s="26" t="n">
        <v>0.2</v>
      </c>
      <c r="R1284" s="24" t="n">
        <v>432.5787277279055</v>
      </c>
      <c r="S1284" s="24">
        <f>R1284*IF(A1284=4, 2.0, 3.0)</f>
        <v/>
      </c>
      <c r="T1284" s="22">
        <f>'Dashboard &amp; Optimisation'!$B$18*U1284</f>
        <v/>
      </c>
      <c r="U1284" s="27">
        <f>MIN(1, S1284/M1284)</f>
        <v/>
      </c>
      <c r="V1284" s="27">
        <f>N1284/(N1284+O1284)</f>
        <v/>
      </c>
      <c r="W1284" s="27">
        <f>U1284*V1284</f>
        <v/>
      </c>
      <c r="X1284" s="25">
        <f>T1284/N1284</f>
        <v/>
      </c>
      <c r="Y1284" s="28">
        <f>IF(W1284=MAXIFS(W$2:W$3601, A$2:A$3601, A1284, B$2:B$3601, B1284), "OPTIMAL", "")</f>
        <v/>
      </c>
    </row>
    <row r="1285" ht="20" customHeight="1">
      <c r="A1285" s="29" t="n">
        <v>4</v>
      </c>
      <c r="B1285" s="29" t="n">
        <v>40</v>
      </c>
      <c r="C1285" s="30" t="n">
        <v>105</v>
      </c>
      <c r="D1285" s="30" t="n">
        <v>2</v>
      </c>
      <c r="E1285" s="6" t="n">
        <v>0</v>
      </c>
      <c r="F1285" s="30" t="n">
        <v>0</v>
      </c>
      <c r="G1285" s="6" t="inlineStr">
        <is>
          <t>Non</t>
        </is>
      </c>
      <c r="H1285" s="6" t="inlineStr">
        <is>
          <t>OFF</t>
        </is>
      </c>
      <c r="I1285" s="31" t="n">
        <v>994.4885628369005</v>
      </c>
      <c r="J1285" s="31" t="n">
        <v>4850.441664768843</v>
      </c>
      <c r="K1285" s="31" t="n">
        <v>2726.851851851852</v>
      </c>
      <c r="L1285" s="31" t="n">
        <v>150</v>
      </c>
      <c r="M1285" s="31">
        <f>I1285+J1285+K1285+L1285</f>
        <v/>
      </c>
      <c r="N1285" s="31">
        <f>M1285*'Dashboard &amp; Optimisation'!$B$18/('Dashboard &amp; Optimisation'!$B$16/3.6)</f>
        <v/>
      </c>
      <c r="O1285" s="31" t="n">
        <v>358.0589357745044</v>
      </c>
      <c r="P1285" s="32" t="n">
        <v>0.7768578523342939</v>
      </c>
      <c r="Q1285" s="33" t="n">
        <v>0.2</v>
      </c>
      <c r="R1285" s="31" t="n">
        <v>263.7740693517892</v>
      </c>
      <c r="S1285" s="31">
        <f>R1285*IF(A1285=4, 2.0, 3.0)</f>
        <v/>
      </c>
      <c r="T1285" s="30">
        <f>'Dashboard &amp; Optimisation'!$B$18*U1285</f>
        <v/>
      </c>
      <c r="U1285" s="34">
        <f>MIN(1, S1285/M1285)</f>
        <v/>
      </c>
      <c r="V1285" s="34">
        <f>N1285/(N1285+O1285)</f>
        <v/>
      </c>
      <c r="W1285" s="34">
        <f>U1285*V1285</f>
        <v/>
      </c>
      <c r="X1285" s="32">
        <f>T1285/N1285</f>
        <v/>
      </c>
      <c r="Y1285" s="35">
        <f>IF(W1285=MAXIFS(W$2:W$3601, A$2:A$3601, A1285, B$2:B$3601, B1285), "OPTIMAL", "")</f>
        <v/>
      </c>
    </row>
    <row r="1286" ht="20" customHeight="1">
      <c r="A1286" s="21" t="n">
        <v>4</v>
      </c>
      <c r="B1286" s="21" t="n">
        <v>40</v>
      </c>
      <c r="C1286" s="22" t="n">
        <v>105</v>
      </c>
      <c r="D1286" s="22" t="n">
        <v>2</v>
      </c>
      <c r="E1286" s="23" t="n">
        <v>4</v>
      </c>
      <c r="F1286" s="22" t="n">
        <v>1.5</v>
      </c>
      <c r="G1286" s="23" t="inlineStr">
        <is>
          <t>Oui</t>
        </is>
      </c>
      <c r="H1286" s="23" t="inlineStr">
        <is>
          <t>ON</t>
        </is>
      </c>
      <c r="I1286" s="24" t="n">
        <v>994.4885628369005</v>
      </c>
      <c r="J1286" s="24" t="n">
        <v>4850.441664768843</v>
      </c>
      <c r="K1286" s="24" t="n">
        <v>2726.851851851852</v>
      </c>
      <c r="L1286" s="24" t="n">
        <v>150</v>
      </c>
      <c r="M1286" s="24">
        <f>I1286+J1286+K1286+L1286</f>
        <v/>
      </c>
      <c r="N1286" s="24">
        <f>M1286*'Dashboard &amp; Optimisation'!$B$18/('Dashboard &amp; Optimisation'!$B$16/3.6)</f>
        <v/>
      </c>
      <c r="O1286" s="24" t="n">
        <v>558.8748810819526</v>
      </c>
      <c r="P1286" s="25" t="n">
        <v>0.07211788842163316</v>
      </c>
      <c r="Q1286" s="26" t="n">
        <v>6.39626436661611</v>
      </c>
      <c r="R1286" s="24" t="n">
        <v>2930.037618195835</v>
      </c>
      <c r="S1286" s="24">
        <f>R1286*IF(A1286=4, 2.0, 3.0)</f>
        <v/>
      </c>
      <c r="T1286" s="22">
        <f>'Dashboard &amp; Optimisation'!$B$18*U1286</f>
        <v/>
      </c>
      <c r="U1286" s="27">
        <f>MIN(1, S1286/M1286)</f>
        <v/>
      </c>
      <c r="V1286" s="27">
        <f>N1286/(N1286+O1286)</f>
        <v/>
      </c>
      <c r="W1286" s="27">
        <f>U1286*V1286</f>
        <v/>
      </c>
      <c r="X1286" s="25">
        <f>T1286/N1286</f>
        <v/>
      </c>
      <c r="Y1286" s="28">
        <f>IF(W1286=MAXIFS(W$2:W$3601, A$2:A$3601, A1286, B$2:B$3601, B1286), "OPTIMAL", "")</f>
        <v/>
      </c>
    </row>
    <row r="1287" ht="20" customHeight="1">
      <c r="A1287" s="29" t="n">
        <v>4</v>
      </c>
      <c r="B1287" s="29" t="n">
        <v>40</v>
      </c>
      <c r="C1287" s="30" t="n">
        <v>105</v>
      </c>
      <c r="D1287" s="30" t="n">
        <v>2</v>
      </c>
      <c r="E1287" s="6" t="n">
        <v>4</v>
      </c>
      <c r="F1287" s="30" t="n">
        <v>1.5</v>
      </c>
      <c r="G1287" s="6" t="inlineStr">
        <is>
          <t>Oui</t>
        </is>
      </c>
      <c r="H1287" s="6" t="inlineStr">
        <is>
          <t>OFF</t>
        </is>
      </c>
      <c r="I1287" s="31" t="n">
        <v>994.4885628369005</v>
      </c>
      <c r="J1287" s="31" t="n">
        <v>4850.441664768843</v>
      </c>
      <c r="K1287" s="31" t="n">
        <v>2726.851851851852</v>
      </c>
      <c r="L1287" s="31" t="n">
        <v>150</v>
      </c>
      <c r="M1287" s="31">
        <f>I1287+J1287+K1287+L1287</f>
        <v/>
      </c>
      <c r="N1287" s="31">
        <f>M1287*'Dashboard &amp; Optimisation'!$B$18/('Dashboard &amp; Optimisation'!$B$16/3.6)</f>
        <v/>
      </c>
      <c r="O1287" s="31" t="n">
        <v>558.8748810819526</v>
      </c>
      <c r="P1287" s="32" t="n">
        <v>0.297414701598841</v>
      </c>
      <c r="Q1287" s="33" t="n">
        <v>6.39626436661611</v>
      </c>
      <c r="R1287" s="31" t="n">
        <v>710.4831230073211</v>
      </c>
      <c r="S1287" s="31">
        <f>R1287*IF(A1287=4, 2.0, 3.0)</f>
        <v/>
      </c>
      <c r="T1287" s="30">
        <f>'Dashboard &amp; Optimisation'!$B$18*U1287</f>
        <v/>
      </c>
      <c r="U1287" s="34">
        <f>MIN(1, S1287/M1287)</f>
        <v/>
      </c>
      <c r="V1287" s="34">
        <f>N1287/(N1287+O1287)</f>
        <v/>
      </c>
      <c r="W1287" s="34">
        <f>U1287*V1287</f>
        <v/>
      </c>
      <c r="X1287" s="32">
        <f>T1287/N1287</f>
        <v/>
      </c>
      <c r="Y1287" s="35">
        <f>IF(W1287=MAXIFS(W$2:W$3601, A$2:A$3601, A1287, B$2:B$3601, B1287), "OPTIMAL", "")</f>
        <v/>
      </c>
    </row>
    <row r="1288" ht="20" customHeight="1">
      <c r="A1288" s="21" t="n">
        <v>4</v>
      </c>
      <c r="B1288" s="21" t="n">
        <v>40</v>
      </c>
      <c r="C1288" s="22" t="n">
        <v>105</v>
      </c>
      <c r="D1288" s="22" t="n">
        <v>2</v>
      </c>
      <c r="E1288" s="23" t="n">
        <v>4</v>
      </c>
      <c r="F1288" s="22" t="n">
        <v>1.5</v>
      </c>
      <c r="G1288" s="23" t="inlineStr">
        <is>
          <t>Non</t>
        </is>
      </c>
      <c r="H1288" s="23" t="inlineStr">
        <is>
          <t>ON</t>
        </is>
      </c>
      <c r="I1288" s="24" t="n">
        <v>994.4885628369005</v>
      </c>
      <c r="J1288" s="24" t="n">
        <v>4850.441664768843</v>
      </c>
      <c r="K1288" s="24" t="n">
        <v>2726.851851851852</v>
      </c>
      <c r="L1288" s="24" t="n">
        <v>150</v>
      </c>
      <c r="M1288" s="24">
        <f>I1288+J1288+K1288+L1288</f>
        <v/>
      </c>
      <c r="N1288" s="24">
        <f>M1288*'Dashboard &amp; Optimisation'!$B$18/('Dashboard &amp; Optimisation'!$B$16/3.6)</f>
        <v/>
      </c>
      <c r="O1288" s="24" t="n">
        <v>558.8748810819526</v>
      </c>
      <c r="P1288" s="25" t="n">
        <v>0.06908636569607325</v>
      </c>
      <c r="Q1288" s="26" t="n">
        <v>6.39626436661611</v>
      </c>
      <c r="R1288" s="24" t="n">
        <v>3058.608220178029</v>
      </c>
      <c r="S1288" s="24">
        <f>R1288*IF(A1288=4, 2.0, 3.0)</f>
        <v/>
      </c>
      <c r="T1288" s="22">
        <f>'Dashboard &amp; Optimisation'!$B$18*U1288</f>
        <v/>
      </c>
      <c r="U1288" s="27">
        <f>MIN(1, S1288/M1288)</f>
        <v/>
      </c>
      <c r="V1288" s="27">
        <f>N1288/(N1288+O1288)</f>
        <v/>
      </c>
      <c r="W1288" s="27">
        <f>U1288*V1288</f>
        <v/>
      </c>
      <c r="X1288" s="25">
        <f>T1288/N1288</f>
        <v/>
      </c>
      <c r="Y1288" s="28">
        <f>IF(W1288=MAXIFS(W$2:W$3601, A$2:A$3601, A1288, B$2:B$3601, B1288), "OPTIMAL", "")</f>
        <v/>
      </c>
    </row>
    <row r="1289" ht="20" customHeight="1">
      <c r="A1289" s="29" t="n">
        <v>4</v>
      </c>
      <c r="B1289" s="29" t="n">
        <v>40</v>
      </c>
      <c r="C1289" s="30" t="n">
        <v>105</v>
      </c>
      <c r="D1289" s="30" t="n">
        <v>2</v>
      </c>
      <c r="E1289" s="6" t="n">
        <v>4</v>
      </c>
      <c r="F1289" s="30" t="n">
        <v>1.5</v>
      </c>
      <c r="G1289" s="6" t="inlineStr">
        <is>
          <t>Non</t>
        </is>
      </c>
      <c r="H1289" s="6" t="inlineStr">
        <is>
          <t>OFF</t>
        </is>
      </c>
      <c r="I1289" s="31" t="n">
        <v>994.4885628369005</v>
      </c>
      <c r="J1289" s="31" t="n">
        <v>4850.441664768843</v>
      </c>
      <c r="K1289" s="31" t="n">
        <v>2726.851851851852</v>
      </c>
      <c r="L1289" s="31" t="n">
        <v>150</v>
      </c>
      <c r="M1289" s="31">
        <f>I1289+J1289+K1289+L1289</f>
        <v/>
      </c>
      <c r="N1289" s="31">
        <f>M1289*'Dashboard &amp; Optimisation'!$B$18/('Dashboard &amp; Optimisation'!$B$16/3.6)</f>
        <v/>
      </c>
      <c r="O1289" s="31" t="n">
        <v>558.8748810819526</v>
      </c>
      <c r="P1289" s="32" t="n">
        <v>0.2943831788732811</v>
      </c>
      <c r="Q1289" s="33" t="n">
        <v>6.39626436661611</v>
      </c>
      <c r="R1289" s="31" t="n">
        <v>717.7995931323026</v>
      </c>
      <c r="S1289" s="31">
        <f>R1289*IF(A1289=4, 2.0, 3.0)</f>
        <v/>
      </c>
      <c r="T1289" s="30">
        <f>'Dashboard &amp; Optimisation'!$B$18*U1289</f>
        <v/>
      </c>
      <c r="U1289" s="34">
        <f>MIN(1, S1289/M1289)</f>
        <v/>
      </c>
      <c r="V1289" s="34">
        <f>N1289/(N1289+O1289)</f>
        <v/>
      </c>
      <c r="W1289" s="34">
        <f>U1289*V1289</f>
        <v/>
      </c>
      <c r="X1289" s="32">
        <f>T1289/N1289</f>
        <v/>
      </c>
      <c r="Y1289" s="35">
        <f>IF(W1289=MAXIFS(W$2:W$3601, A$2:A$3601, A1289, B$2:B$3601, B1289), "OPTIMAL", "")</f>
        <v/>
      </c>
    </row>
    <row r="1290" ht="20" customHeight="1">
      <c r="A1290" s="21" t="n">
        <v>4</v>
      </c>
      <c r="B1290" s="21" t="n">
        <v>40</v>
      </c>
      <c r="C1290" s="22" t="n">
        <v>105</v>
      </c>
      <c r="D1290" s="22" t="n">
        <v>2</v>
      </c>
      <c r="E1290" s="23" t="n">
        <v>4</v>
      </c>
      <c r="F1290" s="22" t="n">
        <v>2</v>
      </c>
      <c r="G1290" s="23" t="inlineStr">
        <is>
          <t>Oui</t>
        </is>
      </c>
      <c r="H1290" s="23" t="inlineStr">
        <is>
          <t>ON</t>
        </is>
      </c>
      <c r="I1290" s="24" t="n">
        <v>994.4885628369005</v>
      </c>
      <c r="J1290" s="24" t="n">
        <v>4850.441664768843</v>
      </c>
      <c r="K1290" s="24" t="n">
        <v>2726.851851851852</v>
      </c>
      <c r="L1290" s="24" t="n">
        <v>150</v>
      </c>
      <c r="M1290" s="24">
        <f>I1290+J1290+K1290+L1290</f>
        <v/>
      </c>
      <c r="N1290" s="24">
        <f>M1290*'Dashboard &amp; Optimisation'!$B$18/('Dashboard &amp; Optimisation'!$B$16/3.6)</f>
        <v/>
      </c>
      <c r="O1290" s="24" t="n">
        <v>628.6273629682579</v>
      </c>
      <c r="P1290" s="25" t="n">
        <v>0.06926604745833413</v>
      </c>
      <c r="Q1290" s="26" t="n">
        <v>8.461685822154816</v>
      </c>
      <c r="R1290" s="24" t="n">
        <v>3082.733478914113</v>
      </c>
      <c r="S1290" s="24">
        <f>R1290*IF(A1290=4, 2.0, 3.0)</f>
        <v/>
      </c>
      <c r="T1290" s="22">
        <f>'Dashboard &amp; Optimisation'!$B$18*U1290</f>
        <v/>
      </c>
      <c r="U1290" s="27">
        <f>MIN(1, S1290/M1290)</f>
        <v/>
      </c>
      <c r="V1290" s="27">
        <f>N1290/(N1290+O1290)</f>
        <v/>
      </c>
      <c r="W1290" s="27">
        <f>U1290*V1290</f>
        <v/>
      </c>
      <c r="X1290" s="25">
        <f>T1290/N1290</f>
        <v/>
      </c>
      <c r="Y1290" s="28">
        <f>IF(W1290=MAXIFS(W$2:W$3601, A$2:A$3601, A1290, B$2:B$3601, B1290), "OPTIMAL", "")</f>
        <v/>
      </c>
    </row>
    <row r="1291" ht="20" customHeight="1">
      <c r="A1291" s="29" t="n">
        <v>4</v>
      </c>
      <c r="B1291" s="29" t="n">
        <v>40</v>
      </c>
      <c r="C1291" s="30" t="n">
        <v>105</v>
      </c>
      <c r="D1291" s="30" t="n">
        <v>2</v>
      </c>
      <c r="E1291" s="6" t="n">
        <v>4</v>
      </c>
      <c r="F1291" s="30" t="n">
        <v>2</v>
      </c>
      <c r="G1291" s="6" t="inlineStr">
        <is>
          <t>Oui</t>
        </is>
      </c>
      <c r="H1291" s="6" t="inlineStr">
        <is>
          <t>OFF</t>
        </is>
      </c>
      <c r="I1291" s="31" t="n">
        <v>994.4885628369005</v>
      </c>
      <c r="J1291" s="31" t="n">
        <v>4850.441664768843</v>
      </c>
      <c r="K1291" s="31" t="n">
        <v>2726.851851851852</v>
      </c>
      <c r="L1291" s="31" t="n">
        <v>150</v>
      </c>
      <c r="M1291" s="31">
        <f>I1291+J1291+K1291+L1291</f>
        <v/>
      </c>
      <c r="N1291" s="31">
        <f>M1291*'Dashboard &amp; Optimisation'!$B$18/('Dashboard &amp; Optimisation'!$B$16/3.6)</f>
        <v/>
      </c>
      <c r="O1291" s="31" t="n">
        <v>628.6273629682579</v>
      </c>
      <c r="P1291" s="32" t="n">
        <v>0.2955807767744409</v>
      </c>
      <c r="Q1291" s="33" t="n">
        <v>8.461685822154816</v>
      </c>
      <c r="R1291" s="31" t="n">
        <v>722.4040946844294</v>
      </c>
      <c r="S1291" s="31">
        <f>R1291*IF(A1291=4, 2.0, 3.0)</f>
        <v/>
      </c>
      <c r="T1291" s="30">
        <f>'Dashboard &amp; Optimisation'!$B$18*U1291</f>
        <v/>
      </c>
      <c r="U1291" s="34">
        <f>MIN(1, S1291/M1291)</f>
        <v/>
      </c>
      <c r="V1291" s="34">
        <f>N1291/(N1291+O1291)</f>
        <v/>
      </c>
      <c r="W1291" s="34">
        <f>U1291*V1291</f>
        <v/>
      </c>
      <c r="X1291" s="32">
        <f>T1291/N1291</f>
        <v/>
      </c>
      <c r="Y1291" s="35">
        <f>IF(W1291=MAXIFS(W$2:W$3601, A$2:A$3601, A1291, B$2:B$3601, B1291), "OPTIMAL", "")</f>
        <v/>
      </c>
    </row>
    <row r="1292" ht="20" customHeight="1">
      <c r="A1292" s="21" t="n">
        <v>4</v>
      </c>
      <c r="B1292" s="21" t="n">
        <v>40</v>
      </c>
      <c r="C1292" s="22" t="n">
        <v>105</v>
      </c>
      <c r="D1292" s="22" t="n">
        <v>2</v>
      </c>
      <c r="E1292" s="23" t="n">
        <v>4</v>
      </c>
      <c r="F1292" s="22" t="n">
        <v>2</v>
      </c>
      <c r="G1292" s="23" t="inlineStr">
        <is>
          <t>Non</t>
        </is>
      </c>
      <c r="H1292" s="23" t="inlineStr">
        <is>
          <t>ON</t>
        </is>
      </c>
      <c r="I1292" s="24" t="n">
        <v>994.4885628369005</v>
      </c>
      <c r="J1292" s="24" t="n">
        <v>4850.441664768843</v>
      </c>
      <c r="K1292" s="24" t="n">
        <v>2726.851851851852</v>
      </c>
      <c r="L1292" s="24" t="n">
        <v>150</v>
      </c>
      <c r="M1292" s="24">
        <f>I1292+J1292+K1292+L1292</f>
        <v/>
      </c>
      <c r="N1292" s="24">
        <f>M1292*'Dashboard &amp; Optimisation'!$B$18/('Dashboard &amp; Optimisation'!$B$16/3.6)</f>
        <v/>
      </c>
      <c r="O1292" s="24" t="n">
        <v>628.6273629682579</v>
      </c>
      <c r="P1292" s="25" t="n">
        <v>0.06623452473277422</v>
      </c>
      <c r="Q1292" s="26" t="n">
        <v>8.461685822154816</v>
      </c>
      <c r="R1292" s="24" t="n">
        <v>3223.828725477394</v>
      </c>
      <c r="S1292" s="24">
        <f>R1292*IF(A1292=4, 2.0, 3.0)</f>
        <v/>
      </c>
      <c r="T1292" s="22">
        <f>'Dashboard &amp; Optimisation'!$B$18*U1292</f>
        <v/>
      </c>
      <c r="U1292" s="27">
        <f>MIN(1, S1292/M1292)</f>
        <v/>
      </c>
      <c r="V1292" s="27">
        <f>N1292/(N1292+O1292)</f>
        <v/>
      </c>
      <c r="W1292" s="27">
        <f>U1292*V1292</f>
        <v/>
      </c>
      <c r="X1292" s="25">
        <f>T1292/N1292</f>
        <v/>
      </c>
      <c r="Y1292" s="28">
        <f>IF(W1292=MAXIFS(W$2:W$3601, A$2:A$3601, A1292, B$2:B$3601, B1292), "OPTIMAL", "")</f>
        <v/>
      </c>
    </row>
    <row r="1293" ht="20" customHeight="1">
      <c r="A1293" s="29" t="n">
        <v>4</v>
      </c>
      <c r="B1293" s="29" t="n">
        <v>40</v>
      </c>
      <c r="C1293" s="30" t="n">
        <v>105</v>
      </c>
      <c r="D1293" s="30" t="n">
        <v>2</v>
      </c>
      <c r="E1293" s="6" t="n">
        <v>4</v>
      </c>
      <c r="F1293" s="30" t="n">
        <v>2</v>
      </c>
      <c r="G1293" s="6" t="inlineStr">
        <is>
          <t>Non</t>
        </is>
      </c>
      <c r="H1293" s="6" t="inlineStr">
        <is>
          <t>OFF</t>
        </is>
      </c>
      <c r="I1293" s="31" t="n">
        <v>994.4885628369005</v>
      </c>
      <c r="J1293" s="31" t="n">
        <v>4850.441664768843</v>
      </c>
      <c r="K1293" s="31" t="n">
        <v>2726.851851851852</v>
      </c>
      <c r="L1293" s="31" t="n">
        <v>150</v>
      </c>
      <c r="M1293" s="31">
        <f>I1293+J1293+K1293+L1293</f>
        <v/>
      </c>
      <c r="N1293" s="31">
        <f>M1293*'Dashboard &amp; Optimisation'!$B$18/('Dashboard &amp; Optimisation'!$B$16/3.6)</f>
        <v/>
      </c>
      <c r="O1293" s="31" t="n">
        <v>628.6273629682579</v>
      </c>
      <c r="P1293" s="32" t="n">
        <v>0.292549254048881</v>
      </c>
      <c r="Q1293" s="33" t="n">
        <v>8.461685822154816</v>
      </c>
      <c r="R1293" s="31" t="n">
        <v>729.8899603968317</v>
      </c>
      <c r="S1293" s="31">
        <f>R1293*IF(A1293=4, 2.0, 3.0)</f>
        <v/>
      </c>
      <c r="T1293" s="30">
        <f>'Dashboard &amp; Optimisation'!$B$18*U1293</f>
        <v/>
      </c>
      <c r="U1293" s="34">
        <f>MIN(1, S1293/M1293)</f>
        <v/>
      </c>
      <c r="V1293" s="34">
        <f>N1293/(N1293+O1293)</f>
        <v/>
      </c>
      <c r="W1293" s="34">
        <f>U1293*V1293</f>
        <v/>
      </c>
      <c r="X1293" s="32">
        <f>T1293/N1293</f>
        <v/>
      </c>
      <c r="Y1293" s="35">
        <f>IF(W1293=MAXIFS(W$2:W$3601, A$2:A$3601, A1293, B$2:B$3601, B1293), "OPTIMAL", "")</f>
        <v/>
      </c>
    </row>
    <row r="1294" ht="20" customHeight="1">
      <c r="A1294" s="21" t="n">
        <v>4</v>
      </c>
      <c r="B1294" s="21" t="n">
        <v>40</v>
      </c>
      <c r="C1294" s="22" t="n">
        <v>105</v>
      </c>
      <c r="D1294" s="22" t="n">
        <v>2</v>
      </c>
      <c r="E1294" s="23" t="n">
        <v>8</v>
      </c>
      <c r="F1294" s="22" t="n">
        <v>1.5</v>
      </c>
      <c r="G1294" s="23" t="inlineStr">
        <is>
          <t>Oui</t>
        </is>
      </c>
      <c r="H1294" s="23" t="inlineStr">
        <is>
          <t>ON</t>
        </is>
      </c>
      <c r="I1294" s="24" t="n">
        <v>994.4885628369005</v>
      </c>
      <c r="J1294" s="24" t="n">
        <v>4850.441664768843</v>
      </c>
      <c r="K1294" s="24" t="n">
        <v>2726.851851851852</v>
      </c>
      <c r="L1294" s="24" t="n">
        <v>150</v>
      </c>
      <c r="M1294" s="24">
        <f>I1294+J1294+K1294+L1294</f>
        <v/>
      </c>
      <c r="N1294" s="24">
        <f>M1294*'Dashboard &amp; Optimisation'!$B$18/('Dashboard &amp; Optimisation'!$B$16/3.6)</f>
        <v/>
      </c>
      <c r="O1294" s="24" t="n">
        <v>772.6249258603267</v>
      </c>
      <c r="P1294" s="25" t="n">
        <v>0.0545652421498049</v>
      </c>
      <c r="Q1294" s="26" t="n">
        <v>12.59252873323222</v>
      </c>
      <c r="R1294" s="24" t="n">
        <v>3997.289408806851</v>
      </c>
      <c r="S1294" s="24">
        <f>R1294*IF(A1294=4, 2.0, 3.0)</f>
        <v/>
      </c>
      <c r="T1294" s="22">
        <f>'Dashboard &amp; Optimisation'!$B$18*U1294</f>
        <v/>
      </c>
      <c r="U1294" s="27">
        <f>MIN(1, S1294/M1294)</f>
        <v/>
      </c>
      <c r="V1294" s="27">
        <f>N1294/(N1294+O1294)</f>
        <v/>
      </c>
      <c r="W1294" s="27">
        <f>U1294*V1294</f>
        <v/>
      </c>
      <c r="X1294" s="25">
        <f>T1294/N1294</f>
        <v/>
      </c>
      <c r="Y1294" s="28">
        <f>IF(W1294=MAXIFS(W$2:W$3601, A$2:A$3601, A1294, B$2:B$3601, B1294), "OPTIMAL", "")</f>
        <v/>
      </c>
    </row>
    <row r="1295" ht="20" customHeight="1">
      <c r="A1295" s="29" t="n">
        <v>4</v>
      </c>
      <c r="B1295" s="29" t="n">
        <v>40</v>
      </c>
      <c r="C1295" s="30" t="n">
        <v>105</v>
      </c>
      <c r="D1295" s="30" t="n">
        <v>2</v>
      </c>
      <c r="E1295" s="6" t="n">
        <v>8</v>
      </c>
      <c r="F1295" s="30" t="n">
        <v>1.5</v>
      </c>
      <c r="G1295" s="6" t="inlineStr">
        <is>
          <t>Oui</t>
        </is>
      </c>
      <c r="H1295" s="6" t="inlineStr">
        <is>
          <t>OFF</t>
        </is>
      </c>
      <c r="I1295" s="31" t="n">
        <v>994.4885628369005</v>
      </c>
      <c r="J1295" s="31" t="n">
        <v>4850.441664768843</v>
      </c>
      <c r="K1295" s="31" t="n">
        <v>2726.851851851852</v>
      </c>
      <c r="L1295" s="31" t="n">
        <v>150</v>
      </c>
      <c r="M1295" s="31">
        <f>I1295+J1295+K1295+L1295</f>
        <v/>
      </c>
      <c r="N1295" s="31">
        <f>M1295*'Dashboard &amp; Optimisation'!$B$18/('Dashboard &amp; Optimisation'!$B$16/3.6)</f>
        <v/>
      </c>
      <c r="O1295" s="31" t="n">
        <v>772.6249258603267</v>
      </c>
      <c r="P1295" s="32" t="n">
        <v>0.233823801442431</v>
      </c>
      <c r="Q1295" s="33" t="n">
        <v>12.59252873323222</v>
      </c>
      <c r="R1295" s="31" t="n">
        <v>932.8095052295062</v>
      </c>
      <c r="S1295" s="31">
        <f>R1295*IF(A1295=4, 2.0, 3.0)</f>
        <v/>
      </c>
      <c r="T1295" s="30">
        <f>'Dashboard &amp; Optimisation'!$B$18*U1295</f>
        <v/>
      </c>
      <c r="U1295" s="34">
        <f>MIN(1, S1295/M1295)</f>
        <v/>
      </c>
      <c r="V1295" s="34">
        <f>N1295/(N1295+O1295)</f>
        <v/>
      </c>
      <c r="W1295" s="34">
        <f>U1295*V1295</f>
        <v/>
      </c>
      <c r="X1295" s="32">
        <f>T1295/N1295</f>
        <v/>
      </c>
      <c r="Y1295" s="35">
        <f>IF(W1295=MAXIFS(W$2:W$3601, A$2:A$3601, A1295, B$2:B$3601, B1295), "OPTIMAL", "")</f>
        <v/>
      </c>
    </row>
    <row r="1296" ht="20" customHeight="1">
      <c r="A1296" s="21" t="n">
        <v>4</v>
      </c>
      <c r="B1296" s="21" t="n">
        <v>40</v>
      </c>
      <c r="C1296" s="22" t="n">
        <v>105</v>
      </c>
      <c r="D1296" s="22" t="n">
        <v>2</v>
      </c>
      <c r="E1296" s="23" t="n">
        <v>8</v>
      </c>
      <c r="F1296" s="22" t="n">
        <v>1.5</v>
      </c>
      <c r="G1296" s="23" t="inlineStr">
        <is>
          <t>Non</t>
        </is>
      </c>
      <c r="H1296" s="23" t="inlineStr">
        <is>
          <t>ON</t>
        </is>
      </c>
      <c r="I1296" s="24" t="n">
        <v>994.4885628369005</v>
      </c>
      <c r="J1296" s="24" t="n">
        <v>4850.441664768843</v>
      </c>
      <c r="K1296" s="24" t="n">
        <v>2726.851851851852</v>
      </c>
      <c r="L1296" s="24" t="n">
        <v>150</v>
      </c>
      <c r="M1296" s="24">
        <f>I1296+J1296+K1296+L1296</f>
        <v/>
      </c>
      <c r="N1296" s="24">
        <f>M1296*'Dashboard &amp; Optimisation'!$B$18/('Dashboard &amp; Optimisation'!$B$16/3.6)</f>
        <v/>
      </c>
      <c r="O1296" s="24" t="n">
        <v>772.6249258603267</v>
      </c>
      <c r="P1296" s="25" t="n">
        <v>0.05153371942424499</v>
      </c>
      <c r="Q1296" s="26" t="n">
        <v>12.59252873323222</v>
      </c>
      <c r="R1296" s="24" t="n">
        <v>4232.433966949045</v>
      </c>
      <c r="S1296" s="24">
        <f>R1296*IF(A1296=4, 2.0, 3.0)</f>
        <v/>
      </c>
      <c r="T1296" s="22">
        <f>'Dashboard &amp; Optimisation'!$B$18*U1296</f>
        <v/>
      </c>
      <c r="U1296" s="27">
        <f>MIN(1, S1296/M1296)</f>
        <v/>
      </c>
      <c r="V1296" s="27">
        <f>N1296/(N1296+O1296)</f>
        <v/>
      </c>
      <c r="W1296" s="27">
        <f>U1296*V1296</f>
        <v/>
      </c>
      <c r="X1296" s="25">
        <f>T1296/N1296</f>
        <v/>
      </c>
      <c r="Y1296" s="28">
        <f>IF(W1296=MAXIFS(W$2:W$3601, A$2:A$3601, A1296, B$2:B$3601, B1296), "OPTIMAL", "")</f>
        <v/>
      </c>
    </row>
    <row r="1297" ht="20" customHeight="1">
      <c r="A1297" s="29" t="n">
        <v>4</v>
      </c>
      <c r="B1297" s="29" t="n">
        <v>40</v>
      </c>
      <c r="C1297" s="30" t="n">
        <v>105</v>
      </c>
      <c r="D1297" s="30" t="n">
        <v>2</v>
      </c>
      <c r="E1297" s="6" t="n">
        <v>8</v>
      </c>
      <c r="F1297" s="30" t="n">
        <v>1.5</v>
      </c>
      <c r="G1297" s="6" t="inlineStr">
        <is>
          <t>Non</t>
        </is>
      </c>
      <c r="H1297" s="6" t="inlineStr">
        <is>
          <t>OFF</t>
        </is>
      </c>
      <c r="I1297" s="31" t="n">
        <v>994.4885628369005</v>
      </c>
      <c r="J1297" s="31" t="n">
        <v>4850.441664768843</v>
      </c>
      <c r="K1297" s="31" t="n">
        <v>2726.851851851852</v>
      </c>
      <c r="L1297" s="31" t="n">
        <v>150</v>
      </c>
      <c r="M1297" s="31">
        <f>I1297+J1297+K1297+L1297</f>
        <v/>
      </c>
      <c r="N1297" s="31">
        <f>M1297*'Dashboard &amp; Optimisation'!$B$18/('Dashboard &amp; Optimisation'!$B$16/3.6)</f>
        <v/>
      </c>
      <c r="O1297" s="31" t="n">
        <v>772.6249258603267</v>
      </c>
      <c r="P1297" s="32" t="n">
        <v>0.2307922787168711</v>
      </c>
      <c r="Q1297" s="33" t="n">
        <v>12.59252873323222</v>
      </c>
      <c r="R1297" s="31" t="n">
        <v>945.0622254220679</v>
      </c>
      <c r="S1297" s="31">
        <f>R1297*IF(A1297=4, 2.0, 3.0)</f>
        <v/>
      </c>
      <c r="T1297" s="30">
        <f>'Dashboard &amp; Optimisation'!$B$18*U1297</f>
        <v/>
      </c>
      <c r="U1297" s="34">
        <f>MIN(1, S1297/M1297)</f>
        <v/>
      </c>
      <c r="V1297" s="34">
        <f>N1297/(N1297+O1297)</f>
        <v/>
      </c>
      <c r="W1297" s="34">
        <f>U1297*V1297</f>
        <v/>
      </c>
      <c r="X1297" s="32">
        <f>T1297/N1297</f>
        <v/>
      </c>
      <c r="Y1297" s="35">
        <f>IF(W1297=MAXIFS(W$2:W$3601, A$2:A$3601, A1297, B$2:B$3601, B1297), "OPTIMAL", "")</f>
        <v/>
      </c>
    </row>
    <row r="1298" ht="20" customHeight="1">
      <c r="A1298" s="21" t="n">
        <v>4</v>
      </c>
      <c r="B1298" s="21" t="n">
        <v>40</v>
      </c>
      <c r="C1298" s="22" t="n">
        <v>105</v>
      </c>
      <c r="D1298" s="22" t="n">
        <v>2</v>
      </c>
      <c r="E1298" s="23" t="n">
        <v>8</v>
      </c>
      <c r="F1298" s="22" t="n">
        <v>2</v>
      </c>
      <c r="G1298" s="23" t="inlineStr">
        <is>
          <t>Oui</t>
        </is>
      </c>
      <c r="H1298" s="23" t="inlineStr">
        <is>
          <t>ON</t>
        </is>
      </c>
      <c r="I1298" s="24" t="n">
        <v>994.4885628369005</v>
      </c>
      <c r="J1298" s="24" t="n">
        <v>4850.441664768843</v>
      </c>
      <c r="K1298" s="24" t="n">
        <v>2726.851851851852</v>
      </c>
      <c r="L1298" s="24" t="n">
        <v>150</v>
      </c>
      <c r="M1298" s="24">
        <f>I1298+J1298+K1298+L1298</f>
        <v/>
      </c>
      <c r="N1298" s="24">
        <f>M1298*'Dashboard &amp; Optimisation'!$B$18/('Dashboard &amp; Optimisation'!$B$16/3.6)</f>
        <v/>
      </c>
      <c r="O1298" s="24" t="n">
        <v>922.9411839306564</v>
      </c>
      <c r="P1298" s="25" t="n">
        <v>0.05324035668794291</v>
      </c>
      <c r="Q1298" s="26" t="n">
        <v>16.72337164430963</v>
      </c>
      <c r="R1298" s="24" t="n">
        <v>4186.64601871903</v>
      </c>
      <c r="S1298" s="24">
        <f>R1298*IF(A1298=4, 2.0, 3.0)</f>
        <v/>
      </c>
      <c r="T1298" s="22">
        <f>'Dashboard &amp; Optimisation'!$B$18*U1298</f>
        <v/>
      </c>
      <c r="U1298" s="27">
        <f>MIN(1, S1298/M1298)</f>
        <v/>
      </c>
      <c r="V1298" s="27">
        <f>N1298/(N1298+O1298)</f>
        <v/>
      </c>
      <c r="W1298" s="27">
        <f>U1298*V1298</f>
        <v/>
      </c>
      <c r="X1298" s="25">
        <f>T1298/N1298</f>
        <v/>
      </c>
      <c r="Y1298" s="28">
        <f>IF(W1298=MAXIFS(W$2:W$3601, A$2:A$3601, A1298, B$2:B$3601, B1298), "OPTIMAL", "")</f>
        <v/>
      </c>
    </row>
    <row r="1299" ht="20" customHeight="1">
      <c r="A1299" s="29" t="n">
        <v>4</v>
      </c>
      <c r="B1299" s="29" t="n">
        <v>40</v>
      </c>
      <c r="C1299" s="30" t="n">
        <v>105</v>
      </c>
      <c r="D1299" s="30" t="n">
        <v>2</v>
      </c>
      <c r="E1299" s="6" t="n">
        <v>8</v>
      </c>
      <c r="F1299" s="30" t="n">
        <v>2</v>
      </c>
      <c r="G1299" s="6" t="inlineStr">
        <is>
          <t>Oui</t>
        </is>
      </c>
      <c r="H1299" s="6" t="inlineStr">
        <is>
          <t>OFF</t>
        </is>
      </c>
      <c r="I1299" s="31" t="n">
        <v>994.4885628369005</v>
      </c>
      <c r="J1299" s="31" t="n">
        <v>4850.441664768843</v>
      </c>
      <c r="K1299" s="31" t="n">
        <v>2726.851851851852</v>
      </c>
      <c r="L1299" s="31" t="n">
        <v>150</v>
      </c>
      <c r="M1299" s="31">
        <f>I1299+J1299+K1299+L1299</f>
        <v/>
      </c>
      <c r="N1299" s="31">
        <f>M1299*'Dashboard &amp; Optimisation'!$B$18/('Dashboard &amp; Optimisation'!$B$16/3.6)</f>
        <v/>
      </c>
      <c r="O1299" s="31" t="n">
        <v>922.9411839306564</v>
      </c>
      <c r="P1299" s="32" t="n">
        <v>0.2337915759821405</v>
      </c>
      <c r="Q1299" s="33" t="n">
        <v>16.72337164430963</v>
      </c>
      <c r="R1299" s="31" t="n">
        <v>953.4070097537845</v>
      </c>
      <c r="S1299" s="31">
        <f>R1299*IF(A1299=4, 2.0, 3.0)</f>
        <v/>
      </c>
      <c r="T1299" s="30">
        <f>'Dashboard &amp; Optimisation'!$B$18*U1299</f>
        <v/>
      </c>
      <c r="U1299" s="34">
        <f>MIN(1, S1299/M1299)</f>
        <v/>
      </c>
      <c r="V1299" s="34">
        <f>N1299/(N1299+O1299)</f>
        <v/>
      </c>
      <c r="W1299" s="34">
        <f>U1299*V1299</f>
        <v/>
      </c>
      <c r="X1299" s="32">
        <f>T1299/N1299</f>
        <v/>
      </c>
      <c r="Y1299" s="35">
        <f>IF(W1299=MAXIFS(W$2:W$3601, A$2:A$3601, A1299, B$2:B$3601, B1299), "OPTIMAL", "")</f>
        <v/>
      </c>
    </row>
    <row r="1300" ht="20" customHeight="1">
      <c r="A1300" s="21" t="n">
        <v>4</v>
      </c>
      <c r="B1300" s="21" t="n">
        <v>40</v>
      </c>
      <c r="C1300" s="22" t="n">
        <v>105</v>
      </c>
      <c r="D1300" s="22" t="n">
        <v>2</v>
      </c>
      <c r="E1300" s="23" t="n">
        <v>8</v>
      </c>
      <c r="F1300" s="22" t="n">
        <v>2</v>
      </c>
      <c r="G1300" s="23" t="inlineStr">
        <is>
          <t>Non</t>
        </is>
      </c>
      <c r="H1300" s="23" t="inlineStr">
        <is>
          <t>ON</t>
        </is>
      </c>
      <c r="I1300" s="24" t="n">
        <v>994.4885628369005</v>
      </c>
      <c r="J1300" s="24" t="n">
        <v>4850.441664768843</v>
      </c>
      <c r="K1300" s="24" t="n">
        <v>2726.851851851852</v>
      </c>
      <c r="L1300" s="24" t="n">
        <v>150</v>
      </c>
      <c r="M1300" s="24">
        <f>I1300+J1300+K1300+L1300</f>
        <v/>
      </c>
      <c r="N1300" s="24">
        <f>M1300*'Dashboard &amp; Optimisation'!$B$18/('Dashboard &amp; Optimisation'!$B$16/3.6)</f>
        <v/>
      </c>
      <c r="O1300" s="24" t="n">
        <v>922.9411839306564</v>
      </c>
      <c r="P1300" s="25" t="n">
        <v>0.05020883396238299</v>
      </c>
      <c r="Q1300" s="26" t="n">
        <v>16.72337164430963</v>
      </c>
      <c r="R1300" s="24" t="n">
        <v>4439.4284784577</v>
      </c>
      <c r="S1300" s="24">
        <f>R1300*IF(A1300=4, 2.0, 3.0)</f>
        <v/>
      </c>
      <c r="T1300" s="22">
        <f>'Dashboard &amp; Optimisation'!$B$18*U1300</f>
        <v/>
      </c>
      <c r="U1300" s="27">
        <f>MIN(1, S1300/M1300)</f>
        <v/>
      </c>
      <c r="V1300" s="27">
        <f>N1300/(N1300+O1300)</f>
        <v/>
      </c>
      <c r="W1300" s="27">
        <f>U1300*V1300</f>
        <v/>
      </c>
      <c r="X1300" s="25">
        <f>T1300/N1300</f>
        <v/>
      </c>
      <c r="Y1300" s="28">
        <f>IF(W1300=MAXIFS(W$2:W$3601, A$2:A$3601, A1300, B$2:B$3601, B1300), "OPTIMAL", "")</f>
        <v/>
      </c>
    </row>
    <row r="1301" ht="20" customHeight="1">
      <c r="A1301" s="29" t="n">
        <v>4</v>
      </c>
      <c r="B1301" s="29" t="n">
        <v>40</v>
      </c>
      <c r="C1301" s="30" t="n">
        <v>105</v>
      </c>
      <c r="D1301" s="30" t="n">
        <v>2</v>
      </c>
      <c r="E1301" s="6" t="n">
        <v>8</v>
      </c>
      <c r="F1301" s="30" t="n">
        <v>2</v>
      </c>
      <c r="G1301" s="6" t="inlineStr">
        <is>
          <t>Non</t>
        </is>
      </c>
      <c r="H1301" s="6" t="inlineStr">
        <is>
          <t>OFF</t>
        </is>
      </c>
      <c r="I1301" s="31" t="n">
        <v>994.4885628369005</v>
      </c>
      <c r="J1301" s="31" t="n">
        <v>4850.441664768843</v>
      </c>
      <c r="K1301" s="31" t="n">
        <v>2726.851851851852</v>
      </c>
      <c r="L1301" s="31" t="n">
        <v>150</v>
      </c>
      <c r="M1301" s="31">
        <f>I1301+J1301+K1301+L1301</f>
        <v/>
      </c>
      <c r="N1301" s="31">
        <f>M1301*'Dashboard &amp; Optimisation'!$B$18/('Dashboard &amp; Optimisation'!$B$16/3.6)</f>
        <v/>
      </c>
      <c r="O1301" s="31" t="n">
        <v>922.9411839306564</v>
      </c>
      <c r="P1301" s="32" t="n">
        <v>0.2307600532565806</v>
      </c>
      <c r="Q1301" s="33" t="n">
        <v>16.72337164430963</v>
      </c>
      <c r="R1301" s="31" t="n">
        <v>965.9320329369045</v>
      </c>
      <c r="S1301" s="31">
        <f>R1301*IF(A1301=4, 2.0, 3.0)</f>
        <v/>
      </c>
      <c r="T1301" s="30">
        <f>'Dashboard &amp; Optimisation'!$B$18*U1301</f>
        <v/>
      </c>
      <c r="U1301" s="34">
        <f>MIN(1, S1301/M1301)</f>
        <v/>
      </c>
      <c r="V1301" s="34">
        <f>N1301/(N1301+O1301)</f>
        <v/>
      </c>
      <c r="W1301" s="34">
        <f>U1301*V1301</f>
        <v/>
      </c>
      <c r="X1301" s="32">
        <f>T1301/N1301</f>
        <v/>
      </c>
      <c r="Y1301" s="35">
        <f>IF(W1301=MAXIFS(W$2:W$3601, A$2:A$3601, A1301, B$2:B$3601, B1301), "OPTIMAL", "")</f>
        <v/>
      </c>
    </row>
    <row r="1302" ht="20" customHeight="1">
      <c r="A1302" s="21" t="n">
        <v>4</v>
      </c>
      <c r="B1302" s="21" t="n">
        <v>40</v>
      </c>
      <c r="C1302" s="22" t="n">
        <v>105</v>
      </c>
      <c r="D1302" s="22" t="n">
        <v>3</v>
      </c>
      <c r="E1302" s="23" t="n">
        <v>0</v>
      </c>
      <c r="F1302" s="22" t="n">
        <v>0</v>
      </c>
      <c r="G1302" s="23" t="inlineStr">
        <is>
          <t>Oui</t>
        </is>
      </c>
      <c r="H1302" s="23" t="inlineStr">
        <is>
          <t>ON</t>
        </is>
      </c>
      <c r="I1302" s="24" t="n">
        <v>994.4885628369005</v>
      </c>
      <c r="J1302" s="24" t="n">
        <v>4850.441664768843</v>
      </c>
      <c r="K1302" s="24" t="n">
        <v>2726.851851851852</v>
      </c>
      <c r="L1302" s="24" t="n">
        <v>150</v>
      </c>
      <c r="M1302" s="24">
        <f>I1302+J1302+K1302+L1302</f>
        <v/>
      </c>
      <c r="N1302" s="24">
        <f>M1302*'Dashboard &amp; Optimisation'!$B$18/('Dashboard &amp; Optimisation'!$B$16/3.6)</f>
        <v/>
      </c>
      <c r="O1302" s="24" t="n">
        <v>553.5808790928454</v>
      </c>
      <c r="P1302" s="25" t="n">
        <v>0.4767526303329919</v>
      </c>
      <c r="Q1302" s="26" t="n">
        <v>0.2</v>
      </c>
      <c r="R1302" s="24" t="n">
        <v>447.3556428963261</v>
      </c>
      <c r="S1302" s="24">
        <f>R1302*IF(A1302=4, 2.0, 3.0)</f>
        <v/>
      </c>
      <c r="T1302" s="22">
        <f>'Dashboard &amp; Optimisation'!$B$18*U1302</f>
        <v/>
      </c>
      <c r="U1302" s="27">
        <f>MIN(1, S1302/M1302)</f>
        <v/>
      </c>
      <c r="V1302" s="27">
        <f>N1302/(N1302+O1302)</f>
        <v/>
      </c>
      <c r="W1302" s="27">
        <f>U1302*V1302</f>
        <v/>
      </c>
      <c r="X1302" s="25">
        <f>T1302/N1302</f>
        <v/>
      </c>
      <c r="Y1302" s="28">
        <f>IF(W1302=MAXIFS(W$2:W$3601, A$2:A$3601, A1302, B$2:B$3601, B1302), "OPTIMAL", "")</f>
        <v/>
      </c>
    </row>
    <row r="1303" ht="20" customHeight="1">
      <c r="A1303" s="29" t="n">
        <v>4</v>
      </c>
      <c r="B1303" s="29" t="n">
        <v>40</v>
      </c>
      <c r="C1303" s="30" t="n">
        <v>105</v>
      </c>
      <c r="D1303" s="30" t="n">
        <v>3</v>
      </c>
      <c r="E1303" s="6" t="n">
        <v>0</v>
      </c>
      <c r="F1303" s="30" t="n">
        <v>0</v>
      </c>
      <c r="G1303" s="6" t="inlineStr">
        <is>
          <t>Oui</t>
        </is>
      </c>
      <c r="H1303" s="6" t="inlineStr">
        <is>
          <t>OFF</t>
        </is>
      </c>
      <c r="I1303" s="31" t="n">
        <v>994.4885628369005</v>
      </c>
      <c r="J1303" s="31" t="n">
        <v>4850.441664768843</v>
      </c>
      <c r="K1303" s="31" t="n">
        <v>2726.851851851852</v>
      </c>
      <c r="L1303" s="31" t="n">
        <v>150</v>
      </c>
      <c r="M1303" s="31">
        <f>I1303+J1303+K1303+L1303</f>
        <v/>
      </c>
      <c r="N1303" s="31">
        <f>M1303*'Dashboard &amp; Optimisation'!$B$18/('Dashboard &amp; Optimisation'!$B$16/3.6)</f>
        <v/>
      </c>
      <c r="O1303" s="31" t="n">
        <v>553.5808790928454</v>
      </c>
      <c r="P1303" s="32" t="n">
        <v>0.7799049028889831</v>
      </c>
      <c r="Q1303" s="33" t="n">
        <v>0.2</v>
      </c>
      <c r="R1303" s="31" t="n">
        <v>273.4666478632069</v>
      </c>
      <c r="S1303" s="31">
        <f>R1303*IF(A1303=4, 2.0, 3.0)</f>
        <v/>
      </c>
      <c r="T1303" s="30">
        <f>'Dashboard &amp; Optimisation'!$B$18*U1303</f>
        <v/>
      </c>
      <c r="U1303" s="34">
        <f>MIN(1, S1303/M1303)</f>
        <v/>
      </c>
      <c r="V1303" s="34">
        <f>N1303/(N1303+O1303)</f>
        <v/>
      </c>
      <c r="W1303" s="34">
        <f>U1303*V1303</f>
        <v/>
      </c>
      <c r="X1303" s="32">
        <f>T1303/N1303</f>
        <v/>
      </c>
      <c r="Y1303" s="35">
        <f>IF(W1303=MAXIFS(W$2:W$3601, A$2:A$3601, A1303, B$2:B$3601, B1303), "OPTIMAL", "")</f>
        <v/>
      </c>
    </row>
    <row r="1304" ht="20" customHeight="1">
      <c r="A1304" s="21" t="n">
        <v>4</v>
      </c>
      <c r="B1304" s="21" t="n">
        <v>40</v>
      </c>
      <c r="C1304" s="22" t="n">
        <v>105</v>
      </c>
      <c r="D1304" s="22" t="n">
        <v>3</v>
      </c>
      <c r="E1304" s="23" t="n">
        <v>0</v>
      </c>
      <c r="F1304" s="22" t="n">
        <v>0</v>
      </c>
      <c r="G1304" s="23" t="inlineStr">
        <is>
          <t>Non</t>
        </is>
      </c>
      <c r="H1304" s="23" t="inlineStr">
        <is>
          <t>ON</t>
        </is>
      </c>
      <c r="I1304" s="24" t="n">
        <v>994.4885628369005</v>
      </c>
      <c r="J1304" s="24" t="n">
        <v>4850.441664768843</v>
      </c>
      <c r="K1304" s="24" t="n">
        <v>2726.851851851852</v>
      </c>
      <c r="L1304" s="24" t="n">
        <v>150</v>
      </c>
      <c r="M1304" s="24">
        <f>I1304+J1304+K1304+L1304</f>
        <v/>
      </c>
      <c r="N1304" s="24">
        <f>M1304*'Dashboard &amp; Optimisation'!$B$18/('Dashboard &amp; Optimisation'!$B$16/3.6)</f>
        <v/>
      </c>
      <c r="O1304" s="24" t="n">
        <v>553.5808790928454</v>
      </c>
      <c r="P1304" s="25" t="n">
        <v>0.473721107607432</v>
      </c>
      <c r="Q1304" s="26" t="n">
        <v>0.2</v>
      </c>
      <c r="R1304" s="24" t="n">
        <v>450.2184429195236</v>
      </c>
      <c r="S1304" s="24">
        <f>R1304*IF(A1304=4, 2.0, 3.0)</f>
        <v/>
      </c>
      <c r="T1304" s="22">
        <f>'Dashboard &amp; Optimisation'!$B$18*U1304</f>
        <v/>
      </c>
      <c r="U1304" s="27">
        <f>MIN(1, S1304/M1304)</f>
        <v/>
      </c>
      <c r="V1304" s="27">
        <f>N1304/(N1304+O1304)</f>
        <v/>
      </c>
      <c r="W1304" s="27">
        <f>U1304*V1304</f>
        <v/>
      </c>
      <c r="X1304" s="25">
        <f>T1304/N1304</f>
        <v/>
      </c>
      <c r="Y1304" s="28">
        <f>IF(W1304=MAXIFS(W$2:W$3601, A$2:A$3601, A1304, B$2:B$3601, B1304), "OPTIMAL", "")</f>
        <v/>
      </c>
    </row>
    <row r="1305" ht="20" customHeight="1">
      <c r="A1305" s="29" t="n">
        <v>4</v>
      </c>
      <c r="B1305" s="29" t="n">
        <v>40</v>
      </c>
      <c r="C1305" s="30" t="n">
        <v>105</v>
      </c>
      <c r="D1305" s="30" t="n">
        <v>3</v>
      </c>
      <c r="E1305" s="6" t="n">
        <v>0</v>
      </c>
      <c r="F1305" s="30" t="n">
        <v>0</v>
      </c>
      <c r="G1305" s="6" t="inlineStr">
        <is>
          <t>Non</t>
        </is>
      </c>
      <c r="H1305" s="6" t="inlineStr">
        <is>
          <t>OFF</t>
        </is>
      </c>
      <c r="I1305" s="31" t="n">
        <v>994.4885628369005</v>
      </c>
      <c r="J1305" s="31" t="n">
        <v>4850.441664768843</v>
      </c>
      <c r="K1305" s="31" t="n">
        <v>2726.851851851852</v>
      </c>
      <c r="L1305" s="31" t="n">
        <v>150</v>
      </c>
      <c r="M1305" s="31">
        <f>I1305+J1305+K1305+L1305</f>
        <v/>
      </c>
      <c r="N1305" s="31">
        <f>M1305*'Dashboard &amp; Optimisation'!$B$18/('Dashboard &amp; Optimisation'!$B$16/3.6)</f>
        <v/>
      </c>
      <c r="O1305" s="31" t="n">
        <v>553.5808790928454</v>
      </c>
      <c r="P1305" s="32" t="n">
        <v>0.7768733801634231</v>
      </c>
      <c r="Q1305" s="33" t="n">
        <v>0.2</v>
      </c>
      <c r="R1305" s="31" t="n">
        <v>274.5337720289309</v>
      </c>
      <c r="S1305" s="31">
        <f>R1305*IF(A1305=4, 2.0, 3.0)</f>
        <v/>
      </c>
      <c r="T1305" s="30">
        <f>'Dashboard &amp; Optimisation'!$B$18*U1305</f>
        <v/>
      </c>
      <c r="U1305" s="34">
        <f>MIN(1, S1305/M1305)</f>
        <v/>
      </c>
      <c r="V1305" s="34">
        <f>N1305/(N1305+O1305)</f>
        <v/>
      </c>
      <c r="W1305" s="34">
        <f>U1305*V1305</f>
        <v/>
      </c>
      <c r="X1305" s="32">
        <f>T1305/N1305</f>
        <v/>
      </c>
      <c r="Y1305" s="35">
        <f>IF(W1305=MAXIFS(W$2:W$3601, A$2:A$3601, A1305, B$2:B$3601, B1305), "OPTIMAL", "")</f>
        <v/>
      </c>
    </row>
    <row r="1306" ht="20" customHeight="1">
      <c r="A1306" s="21" t="n">
        <v>4</v>
      </c>
      <c r="B1306" s="21" t="n">
        <v>40</v>
      </c>
      <c r="C1306" s="22" t="n">
        <v>105</v>
      </c>
      <c r="D1306" s="22" t="n">
        <v>3</v>
      </c>
      <c r="E1306" s="23" t="n">
        <v>4</v>
      </c>
      <c r="F1306" s="22" t="n">
        <v>1.5</v>
      </c>
      <c r="G1306" s="23" t="inlineStr">
        <is>
          <t>Oui</t>
        </is>
      </c>
      <c r="H1306" s="23" t="inlineStr">
        <is>
          <t>ON</t>
        </is>
      </c>
      <c r="I1306" s="24" t="n">
        <v>994.4885628369005</v>
      </c>
      <c r="J1306" s="24" t="n">
        <v>4850.441664768843</v>
      </c>
      <c r="K1306" s="24" t="n">
        <v>2726.851851851852</v>
      </c>
      <c r="L1306" s="24" t="n">
        <v>150</v>
      </c>
      <c r="M1306" s="24">
        <f>I1306+J1306+K1306+L1306</f>
        <v/>
      </c>
      <c r="N1306" s="24">
        <f>M1306*'Dashboard &amp; Optimisation'!$B$18/('Dashboard &amp; Optimisation'!$B$16/3.6)</f>
        <v/>
      </c>
      <c r="O1306" s="24" t="n">
        <v>765.8691511526284</v>
      </c>
      <c r="P1306" s="25" t="n">
        <v>0.07189461044958809</v>
      </c>
      <c r="Q1306" s="26" t="n">
        <v>6.521441424527548</v>
      </c>
      <c r="R1306" s="24" t="n">
        <v>3061.019088107691</v>
      </c>
      <c r="S1306" s="24">
        <f>R1306*IF(A1306=4, 2.0, 3.0)</f>
        <v/>
      </c>
      <c r="T1306" s="22">
        <f>'Dashboard &amp; Optimisation'!$B$18*U1306</f>
        <v/>
      </c>
      <c r="U1306" s="27">
        <f>MIN(1, S1306/M1306)</f>
        <v/>
      </c>
      <c r="V1306" s="27">
        <f>N1306/(N1306+O1306)</f>
        <v/>
      </c>
      <c r="W1306" s="27">
        <f>U1306*V1306</f>
        <v/>
      </c>
      <c r="X1306" s="25">
        <f>T1306/N1306</f>
        <v/>
      </c>
      <c r="Y1306" s="28">
        <f>IF(W1306=MAXIFS(W$2:W$3601, A$2:A$3601, A1306, B$2:B$3601, B1306), "OPTIMAL", "")</f>
        <v/>
      </c>
    </row>
    <row r="1307" ht="20" customHeight="1">
      <c r="A1307" s="29" t="n">
        <v>4</v>
      </c>
      <c r="B1307" s="29" t="n">
        <v>40</v>
      </c>
      <c r="C1307" s="30" t="n">
        <v>105</v>
      </c>
      <c r="D1307" s="30" t="n">
        <v>3</v>
      </c>
      <c r="E1307" s="6" t="n">
        <v>4</v>
      </c>
      <c r="F1307" s="30" t="n">
        <v>1.5</v>
      </c>
      <c r="G1307" s="6" t="inlineStr">
        <is>
          <t>Oui</t>
        </is>
      </c>
      <c r="H1307" s="6" t="inlineStr">
        <is>
          <t>OFF</t>
        </is>
      </c>
      <c r="I1307" s="31" t="n">
        <v>994.4885628369005</v>
      </c>
      <c r="J1307" s="31" t="n">
        <v>4850.441664768843</v>
      </c>
      <c r="K1307" s="31" t="n">
        <v>2726.851851851852</v>
      </c>
      <c r="L1307" s="31" t="n">
        <v>150</v>
      </c>
      <c r="M1307" s="31">
        <f>I1307+J1307+K1307+L1307</f>
        <v/>
      </c>
      <c r="N1307" s="31">
        <f>M1307*'Dashboard &amp; Optimisation'!$B$18/('Dashboard &amp; Optimisation'!$B$16/3.6)</f>
        <v/>
      </c>
      <c r="O1307" s="31" t="n">
        <v>765.8691511526284</v>
      </c>
      <c r="P1307" s="32" t="n">
        <v>0.297191423626796</v>
      </c>
      <c r="Q1307" s="33" t="n">
        <v>6.521441424527548</v>
      </c>
      <c r="R1307" s="31" t="n">
        <v>740.5017689696659</v>
      </c>
      <c r="S1307" s="31">
        <f>R1307*IF(A1307=4, 2.0, 3.0)</f>
        <v/>
      </c>
      <c r="T1307" s="30">
        <f>'Dashboard &amp; Optimisation'!$B$18*U1307</f>
        <v/>
      </c>
      <c r="U1307" s="34">
        <f>MIN(1, S1307/M1307)</f>
        <v/>
      </c>
      <c r="V1307" s="34">
        <f>N1307/(N1307+O1307)</f>
        <v/>
      </c>
      <c r="W1307" s="34">
        <f>U1307*V1307</f>
        <v/>
      </c>
      <c r="X1307" s="32">
        <f>T1307/N1307</f>
        <v/>
      </c>
      <c r="Y1307" s="35">
        <f>IF(W1307=MAXIFS(W$2:W$3601, A$2:A$3601, A1307, B$2:B$3601, B1307), "OPTIMAL", "")</f>
        <v/>
      </c>
    </row>
    <row r="1308" ht="20" customHeight="1">
      <c r="A1308" s="21" t="n">
        <v>4</v>
      </c>
      <c r="B1308" s="21" t="n">
        <v>40</v>
      </c>
      <c r="C1308" s="22" t="n">
        <v>105</v>
      </c>
      <c r="D1308" s="22" t="n">
        <v>3</v>
      </c>
      <c r="E1308" s="23" t="n">
        <v>4</v>
      </c>
      <c r="F1308" s="22" t="n">
        <v>1.5</v>
      </c>
      <c r="G1308" s="23" t="inlineStr">
        <is>
          <t>Non</t>
        </is>
      </c>
      <c r="H1308" s="23" t="inlineStr">
        <is>
          <t>ON</t>
        </is>
      </c>
      <c r="I1308" s="24" t="n">
        <v>994.4885628369005</v>
      </c>
      <c r="J1308" s="24" t="n">
        <v>4850.441664768843</v>
      </c>
      <c r="K1308" s="24" t="n">
        <v>2726.851851851852</v>
      </c>
      <c r="L1308" s="24" t="n">
        <v>150</v>
      </c>
      <c r="M1308" s="24">
        <f>I1308+J1308+K1308+L1308</f>
        <v/>
      </c>
      <c r="N1308" s="24">
        <f>M1308*'Dashboard &amp; Optimisation'!$B$18/('Dashboard &amp; Optimisation'!$B$16/3.6)</f>
        <v/>
      </c>
      <c r="O1308" s="24" t="n">
        <v>765.8691511526284</v>
      </c>
      <c r="P1308" s="25" t="n">
        <v>0.06886308772402817</v>
      </c>
      <c r="Q1308" s="26" t="n">
        <v>6.521441424527548</v>
      </c>
      <c r="R1308" s="24" t="n">
        <v>3195.772687396752</v>
      </c>
      <c r="S1308" s="24">
        <f>R1308*IF(A1308=4, 2.0, 3.0)</f>
        <v/>
      </c>
      <c r="T1308" s="22">
        <f>'Dashboard &amp; Optimisation'!$B$18*U1308</f>
        <v/>
      </c>
      <c r="U1308" s="27">
        <f>MIN(1, S1308/M1308)</f>
        <v/>
      </c>
      <c r="V1308" s="27">
        <f>N1308/(N1308+O1308)</f>
        <v/>
      </c>
      <c r="W1308" s="27">
        <f>U1308*V1308</f>
        <v/>
      </c>
      <c r="X1308" s="25">
        <f>T1308/N1308</f>
        <v/>
      </c>
      <c r="Y1308" s="28">
        <f>IF(W1308=MAXIFS(W$2:W$3601, A$2:A$3601, A1308, B$2:B$3601, B1308), "OPTIMAL", "")</f>
        <v/>
      </c>
    </row>
    <row r="1309" ht="20" customHeight="1">
      <c r="A1309" s="29" t="n">
        <v>4</v>
      </c>
      <c r="B1309" s="29" t="n">
        <v>40</v>
      </c>
      <c r="C1309" s="30" t="n">
        <v>105</v>
      </c>
      <c r="D1309" s="30" t="n">
        <v>3</v>
      </c>
      <c r="E1309" s="6" t="n">
        <v>4</v>
      </c>
      <c r="F1309" s="30" t="n">
        <v>1.5</v>
      </c>
      <c r="G1309" s="6" t="inlineStr">
        <is>
          <t>Non</t>
        </is>
      </c>
      <c r="H1309" s="6" t="inlineStr">
        <is>
          <t>OFF</t>
        </is>
      </c>
      <c r="I1309" s="31" t="n">
        <v>994.4885628369005</v>
      </c>
      <c r="J1309" s="31" t="n">
        <v>4850.441664768843</v>
      </c>
      <c r="K1309" s="31" t="n">
        <v>2726.851851851852</v>
      </c>
      <c r="L1309" s="31" t="n">
        <v>150</v>
      </c>
      <c r="M1309" s="31">
        <f>I1309+J1309+K1309+L1309</f>
        <v/>
      </c>
      <c r="N1309" s="31">
        <f>M1309*'Dashboard &amp; Optimisation'!$B$18/('Dashboard &amp; Optimisation'!$B$16/3.6)</f>
        <v/>
      </c>
      <c r="O1309" s="31" t="n">
        <v>765.8691511526284</v>
      </c>
      <c r="P1309" s="32" t="n">
        <v>0.2941599009012361</v>
      </c>
      <c r="Q1309" s="33" t="n">
        <v>6.521441424527548</v>
      </c>
      <c r="R1309" s="31" t="n">
        <v>748.1331556205016</v>
      </c>
      <c r="S1309" s="31">
        <f>R1309*IF(A1309=4, 2.0, 3.0)</f>
        <v/>
      </c>
      <c r="T1309" s="30">
        <f>'Dashboard &amp; Optimisation'!$B$18*U1309</f>
        <v/>
      </c>
      <c r="U1309" s="34">
        <f>MIN(1, S1309/M1309)</f>
        <v/>
      </c>
      <c r="V1309" s="34">
        <f>N1309/(N1309+O1309)</f>
        <v/>
      </c>
      <c r="W1309" s="34">
        <f>U1309*V1309</f>
        <v/>
      </c>
      <c r="X1309" s="32">
        <f>T1309/N1309</f>
        <v/>
      </c>
      <c r="Y1309" s="35">
        <f>IF(W1309=MAXIFS(W$2:W$3601, A$2:A$3601, A1309, B$2:B$3601, B1309), "OPTIMAL", "")</f>
        <v/>
      </c>
    </row>
    <row r="1310" ht="20" customHeight="1">
      <c r="A1310" s="21" t="n">
        <v>4</v>
      </c>
      <c r="B1310" s="21" t="n">
        <v>40</v>
      </c>
      <c r="C1310" s="22" t="n">
        <v>105</v>
      </c>
      <c r="D1310" s="22" t="n">
        <v>3</v>
      </c>
      <c r="E1310" s="23" t="n">
        <v>4</v>
      </c>
      <c r="F1310" s="22" t="n">
        <v>2</v>
      </c>
      <c r="G1310" s="23" t="inlineStr">
        <is>
          <t>Oui</t>
        </is>
      </c>
      <c r="H1310" s="23" t="inlineStr">
        <is>
          <t>ON</t>
        </is>
      </c>
      <c r="I1310" s="24" t="n">
        <v>994.4885628369005</v>
      </c>
      <c r="J1310" s="24" t="n">
        <v>4850.441664768843</v>
      </c>
      <c r="K1310" s="24" t="n">
        <v>2726.851851851852</v>
      </c>
      <c r="L1310" s="24" t="n">
        <v>150</v>
      </c>
      <c r="M1310" s="24">
        <f>I1310+J1310+K1310+L1310</f>
        <v/>
      </c>
      <c r="N1310" s="24">
        <f>M1310*'Dashboard &amp; Optimisation'!$B$18/('Dashboard &amp; Optimisation'!$B$16/3.6)</f>
        <v/>
      </c>
      <c r="O1310" s="24" t="n">
        <v>839.6691640981041</v>
      </c>
      <c r="P1310" s="25" t="n">
        <v>0.06909966512774487</v>
      </c>
      <c r="Q1310" s="26" t="n">
        <v>8.628588566036731</v>
      </c>
      <c r="R1310" s="24" t="n">
        <v>3219.005847605406</v>
      </c>
      <c r="S1310" s="24">
        <f>R1310*IF(A1310=4, 2.0, 3.0)</f>
        <v/>
      </c>
      <c r="T1310" s="22">
        <f>'Dashboard &amp; Optimisation'!$B$18*U1310</f>
        <v/>
      </c>
      <c r="U1310" s="27">
        <f>MIN(1, S1310/M1310)</f>
        <v/>
      </c>
      <c r="V1310" s="27">
        <f>N1310/(N1310+O1310)</f>
        <v/>
      </c>
      <c r="W1310" s="27">
        <f>U1310*V1310</f>
        <v/>
      </c>
      <c r="X1310" s="25">
        <f>T1310/N1310</f>
        <v/>
      </c>
      <c r="Y1310" s="28">
        <f>IF(W1310=MAXIFS(W$2:W$3601, A$2:A$3601, A1310, B$2:B$3601, B1310), "OPTIMAL", "")</f>
        <v/>
      </c>
    </row>
    <row r="1311" ht="20" customHeight="1">
      <c r="A1311" s="29" t="n">
        <v>4</v>
      </c>
      <c r="B1311" s="29" t="n">
        <v>40</v>
      </c>
      <c r="C1311" s="30" t="n">
        <v>105</v>
      </c>
      <c r="D1311" s="30" t="n">
        <v>3</v>
      </c>
      <c r="E1311" s="6" t="n">
        <v>4</v>
      </c>
      <c r="F1311" s="30" t="n">
        <v>2</v>
      </c>
      <c r="G1311" s="6" t="inlineStr">
        <is>
          <t>Oui</t>
        </is>
      </c>
      <c r="H1311" s="6" t="inlineStr">
        <is>
          <t>OFF</t>
        </is>
      </c>
      <c r="I1311" s="31" t="n">
        <v>994.4885628369005</v>
      </c>
      <c r="J1311" s="31" t="n">
        <v>4850.441664768843</v>
      </c>
      <c r="K1311" s="31" t="n">
        <v>2726.851851851852</v>
      </c>
      <c r="L1311" s="31" t="n">
        <v>150</v>
      </c>
      <c r="M1311" s="31">
        <f>I1311+J1311+K1311+L1311</f>
        <v/>
      </c>
      <c r="N1311" s="31">
        <f>M1311*'Dashboard &amp; Optimisation'!$B$18/('Dashboard &amp; Optimisation'!$B$16/3.6)</f>
        <v/>
      </c>
      <c r="O1311" s="31" t="n">
        <v>839.6691640981041</v>
      </c>
      <c r="P1311" s="32" t="n">
        <v>0.2954143944438517</v>
      </c>
      <c r="Q1311" s="33" t="n">
        <v>8.628588566036731</v>
      </c>
      <c r="R1311" s="31" t="n">
        <v>752.9498572083392</v>
      </c>
      <c r="S1311" s="31">
        <f>R1311*IF(A1311=4, 2.0, 3.0)</f>
        <v/>
      </c>
      <c r="T1311" s="30">
        <f>'Dashboard &amp; Optimisation'!$B$18*U1311</f>
        <v/>
      </c>
      <c r="U1311" s="34">
        <f>MIN(1, S1311/M1311)</f>
        <v/>
      </c>
      <c r="V1311" s="34">
        <f>N1311/(N1311+O1311)</f>
        <v/>
      </c>
      <c r="W1311" s="34">
        <f>U1311*V1311</f>
        <v/>
      </c>
      <c r="X1311" s="32">
        <f>T1311/N1311</f>
        <v/>
      </c>
      <c r="Y1311" s="35">
        <f>IF(W1311=MAXIFS(W$2:W$3601, A$2:A$3601, A1311, B$2:B$3601, B1311), "OPTIMAL", "")</f>
        <v/>
      </c>
    </row>
    <row r="1312" ht="20" customHeight="1">
      <c r="A1312" s="21" t="n">
        <v>4</v>
      </c>
      <c r="B1312" s="21" t="n">
        <v>40</v>
      </c>
      <c r="C1312" s="22" t="n">
        <v>105</v>
      </c>
      <c r="D1312" s="22" t="n">
        <v>3</v>
      </c>
      <c r="E1312" s="23" t="n">
        <v>4</v>
      </c>
      <c r="F1312" s="22" t="n">
        <v>2</v>
      </c>
      <c r="G1312" s="23" t="inlineStr">
        <is>
          <t>Non</t>
        </is>
      </c>
      <c r="H1312" s="23" t="inlineStr">
        <is>
          <t>ON</t>
        </is>
      </c>
      <c r="I1312" s="24" t="n">
        <v>994.4885628369005</v>
      </c>
      <c r="J1312" s="24" t="n">
        <v>4850.441664768843</v>
      </c>
      <c r="K1312" s="24" t="n">
        <v>2726.851851851852</v>
      </c>
      <c r="L1312" s="24" t="n">
        <v>150</v>
      </c>
      <c r="M1312" s="24">
        <f>I1312+J1312+K1312+L1312</f>
        <v/>
      </c>
      <c r="N1312" s="24">
        <f>M1312*'Dashboard &amp; Optimisation'!$B$18/('Dashboard &amp; Optimisation'!$B$16/3.6)</f>
        <v/>
      </c>
      <c r="O1312" s="24" t="n">
        <v>839.6691640981041</v>
      </c>
      <c r="P1312" s="25" t="n">
        <v>0.06606814240218496</v>
      </c>
      <c r="Q1312" s="26" t="n">
        <v>8.628588566036731</v>
      </c>
      <c r="R1312" s="24" t="n">
        <v>3366.709249364789</v>
      </c>
      <c r="S1312" s="24">
        <f>R1312*IF(A1312=4, 2.0, 3.0)</f>
        <v/>
      </c>
      <c r="T1312" s="22">
        <f>'Dashboard &amp; Optimisation'!$B$18*U1312</f>
        <v/>
      </c>
      <c r="U1312" s="27">
        <f>MIN(1, S1312/M1312)</f>
        <v/>
      </c>
      <c r="V1312" s="27">
        <f>N1312/(N1312+O1312)</f>
        <v/>
      </c>
      <c r="W1312" s="27">
        <f>U1312*V1312</f>
        <v/>
      </c>
      <c r="X1312" s="25">
        <f>T1312/N1312</f>
        <v/>
      </c>
      <c r="Y1312" s="28">
        <f>IF(W1312=MAXIFS(W$2:W$3601, A$2:A$3601, A1312, B$2:B$3601, B1312), "OPTIMAL", "")</f>
        <v/>
      </c>
    </row>
    <row r="1313" ht="20" customHeight="1">
      <c r="A1313" s="29" t="n">
        <v>4</v>
      </c>
      <c r="B1313" s="29" t="n">
        <v>40</v>
      </c>
      <c r="C1313" s="30" t="n">
        <v>105</v>
      </c>
      <c r="D1313" s="30" t="n">
        <v>3</v>
      </c>
      <c r="E1313" s="6" t="n">
        <v>4</v>
      </c>
      <c r="F1313" s="30" t="n">
        <v>2</v>
      </c>
      <c r="G1313" s="6" t="inlineStr">
        <is>
          <t>Non</t>
        </is>
      </c>
      <c r="H1313" s="6" t="inlineStr">
        <is>
          <t>OFF</t>
        </is>
      </c>
      <c r="I1313" s="31" t="n">
        <v>994.4885628369005</v>
      </c>
      <c r="J1313" s="31" t="n">
        <v>4850.441664768843</v>
      </c>
      <c r="K1313" s="31" t="n">
        <v>2726.851851851852</v>
      </c>
      <c r="L1313" s="31" t="n">
        <v>150</v>
      </c>
      <c r="M1313" s="31">
        <f>I1313+J1313+K1313+L1313</f>
        <v/>
      </c>
      <c r="N1313" s="31">
        <f>M1313*'Dashboard &amp; Optimisation'!$B$18/('Dashboard &amp; Optimisation'!$B$16/3.6)</f>
        <v/>
      </c>
      <c r="O1313" s="31" t="n">
        <v>839.6691640981041</v>
      </c>
      <c r="P1313" s="32" t="n">
        <v>0.2923828717182918</v>
      </c>
      <c r="Q1313" s="33" t="n">
        <v>8.628588566036731</v>
      </c>
      <c r="R1313" s="31" t="n">
        <v>760.7566914114501</v>
      </c>
      <c r="S1313" s="31">
        <f>R1313*IF(A1313=4, 2.0, 3.0)</f>
        <v/>
      </c>
      <c r="T1313" s="30">
        <f>'Dashboard &amp; Optimisation'!$B$18*U1313</f>
        <v/>
      </c>
      <c r="U1313" s="34">
        <f>MIN(1, S1313/M1313)</f>
        <v/>
      </c>
      <c r="V1313" s="34">
        <f>N1313/(N1313+O1313)</f>
        <v/>
      </c>
      <c r="W1313" s="34">
        <f>U1313*V1313</f>
        <v/>
      </c>
      <c r="X1313" s="32">
        <f>T1313/N1313</f>
        <v/>
      </c>
      <c r="Y1313" s="35">
        <f>IF(W1313=MAXIFS(W$2:W$3601, A$2:A$3601, A1313, B$2:B$3601, B1313), "OPTIMAL", "")</f>
        <v/>
      </c>
    </row>
    <row r="1314" ht="20" customHeight="1">
      <c r="A1314" s="21" t="n">
        <v>4</v>
      </c>
      <c r="B1314" s="21" t="n">
        <v>40</v>
      </c>
      <c r="C1314" s="22" t="n">
        <v>105</v>
      </c>
      <c r="D1314" s="22" t="n">
        <v>3</v>
      </c>
      <c r="E1314" s="23" t="n">
        <v>8</v>
      </c>
      <c r="F1314" s="22" t="n">
        <v>1.5</v>
      </c>
      <c r="G1314" s="23" t="inlineStr">
        <is>
          <t>Oui</t>
        </is>
      </c>
      <c r="H1314" s="23" t="inlineStr">
        <is>
          <t>ON</t>
        </is>
      </c>
      <c r="I1314" s="24" t="n">
        <v>994.4885628369005</v>
      </c>
      <c r="J1314" s="24" t="n">
        <v>4850.441664768843</v>
      </c>
      <c r="K1314" s="24" t="n">
        <v>2726.851851851852</v>
      </c>
      <c r="L1314" s="24" t="n">
        <v>150</v>
      </c>
      <c r="M1314" s="24">
        <f>I1314+J1314+K1314+L1314</f>
        <v/>
      </c>
      <c r="N1314" s="24">
        <f>M1314*'Dashboard &amp; Optimisation'!$B$18/('Dashboard &amp; Optimisation'!$B$16/3.6)</f>
        <v/>
      </c>
      <c r="O1314" s="24" t="n">
        <v>992.1248254802746</v>
      </c>
      <c r="P1314" s="25" t="n">
        <v>0.05445758169649494</v>
      </c>
      <c r="Q1314" s="26" t="n">
        <v>12.84288284905509</v>
      </c>
      <c r="R1314" s="24" t="n">
        <v>4174.083606753764</v>
      </c>
      <c r="S1314" s="24">
        <f>R1314*IF(A1314=4, 2.0, 3.0)</f>
        <v/>
      </c>
      <c r="T1314" s="22">
        <f>'Dashboard &amp; Optimisation'!$B$18*U1314</f>
        <v/>
      </c>
      <c r="U1314" s="27">
        <f>MIN(1, S1314/M1314)</f>
        <v/>
      </c>
      <c r="V1314" s="27">
        <f>N1314/(N1314+O1314)</f>
        <v/>
      </c>
      <c r="W1314" s="27">
        <f>U1314*V1314</f>
        <v/>
      </c>
      <c r="X1314" s="25">
        <f>T1314/N1314</f>
        <v/>
      </c>
      <c r="Y1314" s="28">
        <f>IF(W1314=MAXIFS(W$2:W$3601, A$2:A$3601, A1314, B$2:B$3601, B1314), "OPTIMAL", "")</f>
        <v/>
      </c>
    </row>
    <row r="1315" ht="20" customHeight="1">
      <c r="A1315" s="29" t="n">
        <v>4</v>
      </c>
      <c r="B1315" s="29" t="n">
        <v>40</v>
      </c>
      <c r="C1315" s="30" t="n">
        <v>105</v>
      </c>
      <c r="D1315" s="30" t="n">
        <v>3</v>
      </c>
      <c r="E1315" s="6" t="n">
        <v>8</v>
      </c>
      <c r="F1315" s="30" t="n">
        <v>1.5</v>
      </c>
      <c r="G1315" s="6" t="inlineStr">
        <is>
          <t>Oui</t>
        </is>
      </c>
      <c r="H1315" s="6" t="inlineStr">
        <is>
          <t>OFF</t>
        </is>
      </c>
      <c r="I1315" s="31" t="n">
        <v>994.4885628369005</v>
      </c>
      <c r="J1315" s="31" t="n">
        <v>4850.441664768843</v>
      </c>
      <c r="K1315" s="31" t="n">
        <v>2726.851851851852</v>
      </c>
      <c r="L1315" s="31" t="n">
        <v>150</v>
      </c>
      <c r="M1315" s="31">
        <f>I1315+J1315+K1315+L1315</f>
        <v/>
      </c>
      <c r="N1315" s="31">
        <f>M1315*'Dashboard &amp; Optimisation'!$B$18/('Dashboard &amp; Optimisation'!$B$16/3.6)</f>
        <v/>
      </c>
      <c r="O1315" s="31" t="n">
        <v>992.1248254802746</v>
      </c>
      <c r="P1315" s="32" t="n">
        <v>0.233716140989121</v>
      </c>
      <c r="Q1315" s="33" t="n">
        <v>12.84288284905509</v>
      </c>
      <c r="R1315" s="31" t="n">
        <v>972.5922140455594</v>
      </c>
      <c r="S1315" s="31">
        <f>R1315*IF(A1315=4, 2.0, 3.0)</f>
        <v/>
      </c>
      <c r="T1315" s="30">
        <f>'Dashboard &amp; Optimisation'!$B$18*U1315</f>
        <v/>
      </c>
      <c r="U1315" s="34">
        <f>MIN(1, S1315/M1315)</f>
        <v/>
      </c>
      <c r="V1315" s="34">
        <f>N1315/(N1315+O1315)</f>
        <v/>
      </c>
      <c r="W1315" s="34">
        <f>U1315*V1315</f>
        <v/>
      </c>
      <c r="X1315" s="32">
        <f>T1315/N1315</f>
        <v/>
      </c>
      <c r="Y1315" s="35">
        <f>IF(W1315=MAXIFS(W$2:W$3601, A$2:A$3601, A1315, B$2:B$3601, B1315), "OPTIMAL", "")</f>
        <v/>
      </c>
    </row>
    <row r="1316" ht="20" customHeight="1">
      <c r="A1316" s="21" t="n">
        <v>4</v>
      </c>
      <c r="B1316" s="21" t="n">
        <v>40</v>
      </c>
      <c r="C1316" s="22" t="n">
        <v>105</v>
      </c>
      <c r="D1316" s="22" t="n">
        <v>3</v>
      </c>
      <c r="E1316" s="23" t="n">
        <v>8</v>
      </c>
      <c r="F1316" s="22" t="n">
        <v>1.5</v>
      </c>
      <c r="G1316" s="23" t="inlineStr">
        <is>
          <t>Non</t>
        </is>
      </c>
      <c r="H1316" s="23" t="inlineStr">
        <is>
          <t>ON</t>
        </is>
      </c>
      <c r="I1316" s="24" t="n">
        <v>994.4885628369005</v>
      </c>
      <c r="J1316" s="24" t="n">
        <v>4850.441664768843</v>
      </c>
      <c r="K1316" s="24" t="n">
        <v>2726.851851851852</v>
      </c>
      <c r="L1316" s="24" t="n">
        <v>150</v>
      </c>
      <c r="M1316" s="24">
        <f>I1316+J1316+K1316+L1316</f>
        <v/>
      </c>
      <c r="N1316" s="24">
        <f>M1316*'Dashboard &amp; Optimisation'!$B$18/('Dashboard &amp; Optimisation'!$B$16/3.6)</f>
        <v/>
      </c>
      <c r="O1316" s="24" t="n">
        <v>992.1248254802746</v>
      </c>
      <c r="P1316" s="25" t="n">
        <v>0.05142605897093502</v>
      </c>
      <c r="Q1316" s="26" t="n">
        <v>12.84288284905509</v>
      </c>
      <c r="R1316" s="24" t="n">
        <v>4420.142308615651</v>
      </c>
      <c r="S1316" s="24">
        <f>R1316*IF(A1316=4, 2.0, 3.0)</f>
        <v/>
      </c>
      <c r="T1316" s="22">
        <f>'Dashboard &amp; Optimisation'!$B$18*U1316</f>
        <v/>
      </c>
      <c r="U1316" s="27">
        <f>MIN(1, S1316/M1316)</f>
        <v/>
      </c>
      <c r="V1316" s="27">
        <f>N1316/(N1316+O1316)</f>
        <v/>
      </c>
      <c r="W1316" s="27">
        <f>U1316*V1316</f>
        <v/>
      </c>
      <c r="X1316" s="25">
        <f>T1316/N1316</f>
        <v/>
      </c>
      <c r="Y1316" s="28">
        <f>IF(W1316=MAXIFS(W$2:W$3601, A$2:A$3601, A1316, B$2:B$3601, B1316), "OPTIMAL", "")</f>
        <v/>
      </c>
    </row>
    <row r="1317" ht="20" customHeight="1">
      <c r="A1317" s="29" t="n">
        <v>4</v>
      </c>
      <c r="B1317" s="29" t="n">
        <v>40</v>
      </c>
      <c r="C1317" s="30" t="n">
        <v>105</v>
      </c>
      <c r="D1317" s="30" t="n">
        <v>3</v>
      </c>
      <c r="E1317" s="6" t="n">
        <v>8</v>
      </c>
      <c r="F1317" s="30" t="n">
        <v>1.5</v>
      </c>
      <c r="G1317" s="6" t="inlineStr">
        <is>
          <t>Non</t>
        </is>
      </c>
      <c r="H1317" s="6" t="inlineStr">
        <is>
          <t>OFF</t>
        </is>
      </c>
      <c r="I1317" s="31" t="n">
        <v>994.4885628369005</v>
      </c>
      <c r="J1317" s="31" t="n">
        <v>4850.441664768843</v>
      </c>
      <c r="K1317" s="31" t="n">
        <v>2726.851851851852</v>
      </c>
      <c r="L1317" s="31" t="n">
        <v>150</v>
      </c>
      <c r="M1317" s="31">
        <f>I1317+J1317+K1317+L1317</f>
        <v/>
      </c>
      <c r="N1317" s="31">
        <f>M1317*'Dashboard &amp; Optimisation'!$B$18/('Dashboard &amp; Optimisation'!$B$16/3.6)</f>
        <v/>
      </c>
      <c r="O1317" s="31" t="n">
        <v>992.1248254802746</v>
      </c>
      <c r="P1317" s="32" t="n">
        <v>0.2306846182635611</v>
      </c>
      <c r="Q1317" s="33" t="n">
        <v>12.84288284905509</v>
      </c>
      <c r="R1317" s="31" t="n">
        <v>985.3734537388497</v>
      </c>
      <c r="S1317" s="31">
        <f>R1317*IF(A1317=4, 2.0, 3.0)</f>
        <v/>
      </c>
      <c r="T1317" s="30">
        <f>'Dashboard &amp; Optimisation'!$B$18*U1317</f>
        <v/>
      </c>
      <c r="U1317" s="34">
        <f>MIN(1, S1317/M1317)</f>
        <v/>
      </c>
      <c r="V1317" s="34">
        <f>N1317/(N1317+O1317)</f>
        <v/>
      </c>
      <c r="W1317" s="34">
        <f>U1317*V1317</f>
        <v/>
      </c>
      <c r="X1317" s="32">
        <f>T1317/N1317</f>
        <v/>
      </c>
      <c r="Y1317" s="35">
        <f>IF(W1317=MAXIFS(W$2:W$3601, A$2:A$3601, A1317, B$2:B$3601, B1317), "OPTIMAL", "")</f>
        <v/>
      </c>
    </row>
    <row r="1318" ht="20" customHeight="1">
      <c r="A1318" s="21" t="n">
        <v>4</v>
      </c>
      <c r="B1318" s="21" t="n">
        <v>40</v>
      </c>
      <c r="C1318" s="22" t="n">
        <v>105</v>
      </c>
      <c r="D1318" s="22" t="n">
        <v>3</v>
      </c>
      <c r="E1318" s="23" t="n">
        <v>8</v>
      </c>
      <c r="F1318" s="22" t="n">
        <v>2</v>
      </c>
      <c r="G1318" s="23" t="inlineStr">
        <is>
          <t>Oui</t>
        </is>
      </c>
      <c r="H1318" s="23" t="inlineStr">
        <is>
          <t>ON</t>
        </is>
      </c>
      <c r="I1318" s="24" t="n">
        <v>994.4885628369005</v>
      </c>
      <c r="J1318" s="24" t="n">
        <v>4850.441664768843</v>
      </c>
      <c r="K1318" s="24" t="n">
        <v>2726.851851851852</v>
      </c>
      <c r="L1318" s="24" t="n">
        <v>150</v>
      </c>
      <c r="M1318" s="24">
        <f>I1318+J1318+K1318+L1318</f>
        <v/>
      </c>
      <c r="N1318" s="24">
        <f>M1318*'Dashboard &amp; Optimisation'!$B$18/('Dashboard &amp; Optimisation'!$B$16/3.6)</f>
        <v/>
      </c>
      <c r="O1318" s="24" t="n">
        <v>1151.417598409164</v>
      </c>
      <c r="P1318" s="25" t="n">
        <v>0.05316276245002891</v>
      </c>
      <c r="Q1318" s="26" t="n">
        <v>17.05717713207346</v>
      </c>
      <c r="R1318" s="24" t="n">
        <v>4371.622823316694</v>
      </c>
      <c r="S1318" s="24">
        <f>R1318*IF(A1318=4, 2.0, 3.0)</f>
        <v/>
      </c>
      <c r="T1318" s="22">
        <f>'Dashboard &amp; Optimisation'!$B$18*U1318</f>
        <v/>
      </c>
      <c r="U1318" s="27">
        <f>MIN(1, S1318/M1318)</f>
        <v/>
      </c>
      <c r="V1318" s="27">
        <f>N1318/(N1318+O1318)</f>
        <v/>
      </c>
      <c r="W1318" s="27">
        <f>U1318*V1318</f>
        <v/>
      </c>
      <c r="X1318" s="25">
        <f>T1318/N1318</f>
        <v/>
      </c>
      <c r="Y1318" s="28">
        <f>IF(W1318=MAXIFS(W$2:W$3601, A$2:A$3601, A1318, B$2:B$3601, B1318), "OPTIMAL", "")</f>
        <v/>
      </c>
    </row>
    <row r="1319" ht="20" customHeight="1">
      <c r="A1319" s="29" t="n">
        <v>4</v>
      </c>
      <c r="B1319" s="29" t="n">
        <v>40</v>
      </c>
      <c r="C1319" s="30" t="n">
        <v>105</v>
      </c>
      <c r="D1319" s="30" t="n">
        <v>3</v>
      </c>
      <c r="E1319" s="6" t="n">
        <v>8</v>
      </c>
      <c r="F1319" s="30" t="n">
        <v>2</v>
      </c>
      <c r="G1319" s="6" t="inlineStr">
        <is>
          <t>Oui</t>
        </is>
      </c>
      <c r="H1319" s="6" t="inlineStr">
        <is>
          <t>OFF</t>
        </is>
      </c>
      <c r="I1319" s="31" t="n">
        <v>994.4885628369005</v>
      </c>
      <c r="J1319" s="31" t="n">
        <v>4850.441664768843</v>
      </c>
      <c r="K1319" s="31" t="n">
        <v>2726.851851851852</v>
      </c>
      <c r="L1319" s="31" t="n">
        <v>150</v>
      </c>
      <c r="M1319" s="31">
        <f>I1319+J1319+K1319+L1319</f>
        <v/>
      </c>
      <c r="N1319" s="31">
        <f>M1319*'Dashboard &amp; Optimisation'!$B$18/('Dashboard &amp; Optimisation'!$B$16/3.6)</f>
        <v/>
      </c>
      <c r="O1319" s="31" t="n">
        <v>1151.417598409164</v>
      </c>
      <c r="P1319" s="32" t="n">
        <v>0.2337139817442265</v>
      </c>
      <c r="Q1319" s="33" t="n">
        <v>17.05717713207346</v>
      </c>
      <c r="R1319" s="31" t="n">
        <v>994.4101073570081</v>
      </c>
      <c r="S1319" s="31">
        <f>R1319*IF(A1319=4, 2.0, 3.0)</f>
        <v/>
      </c>
      <c r="T1319" s="30">
        <f>'Dashboard &amp; Optimisation'!$B$18*U1319</f>
        <v/>
      </c>
      <c r="U1319" s="34">
        <f>MIN(1, S1319/M1319)</f>
        <v/>
      </c>
      <c r="V1319" s="34">
        <f>N1319/(N1319+O1319)</f>
        <v/>
      </c>
      <c r="W1319" s="34">
        <f>U1319*V1319</f>
        <v/>
      </c>
      <c r="X1319" s="32">
        <f>T1319/N1319</f>
        <v/>
      </c>
      <c r="Y1319" s="35">
        <f>IF(W1319=MAXIFS(W$2:W$3601, A$2:A$3601, A1319, B$2:B$3601, B1319), "OPTIMAL", "")</f>
        <v/>
      </c>
    </row>
    <row r="1320" ht="20" customHeight="1">
      <c r="A1320" s="21" t="n">
        <v>4</v>
      </c>
      <c r="B1320" s="21" t="n">
        <v>40</v>
      </c>
      <c r="C1320" s="22" t="n">
        <v>105</v>
      </c>
      <c r="D1320" s="22" t="n">
        <v>3</v>
      </c>
      <c r="E1320" s="23" t="n">
        <v>8</v>
      </c>
      <c r="F1320" s="22" t="n">
        <v>2</v>
      </c>
      <c r="G1320" s="23" t="inlineStr">
        <is>
          <t>Non</t>
        </is>
      </c>
      <c r="H1320" s="23" t="inlineStr">
        <is>
          <t>ON</t>
        </is>
      </c>
      <c r="I1320" s="24" t="n">
        <v>994.4885628369005</v>
      </c>
      <c r="J1320" s="24" t="n">
        <v>4850.441664768843</v>
      </c>
      <c r="K1320" s="24" t="n">
        <v>2726.851851851852</v>
      </c>
      <c r="L1320" s="24" t="n">
        <v>150</v>
      </c>
      <c r="M1320" s="24">
        <f>I1320+J1320+K1320+L1320</f>
        <v/>
      </c>
      <c r="N1320" s="24">
        <f>M1320*'Dashboard &amp; Optimisation'!$B$18/('Dashboard &amp; Optimisation'!$B$16/3.6)</f>
        <v/>
      </c>
      <c r="O1320" s="24" t="n">
        <v>1151.417598409164</v>
      </c>
      <c r="P1320" s="25" t="n">
        <v>0.050131239724469</v>
      </c>
      <c r="Q1320" s="26" t="n">
        <v>17.05717713207346</v>
      </c>
      <c r="R1320" s="24" t="n">
        <v>4635.982412453132</v>
      </c>
      <c r="S1320" s="24">
        <f>R1320*IF(A1320=4, 2.0, 3.0)</f>
        <v/>
      </c>
      <c r="T1320" s="22">
        <f>'Dashboard &amp; Optimisation'!$B$18*U1320</f>
        <v/>
      </c>
      <c r="U1320" s="27">
        <f>MIN(1, S1320/M1320)</f>
        <v/>
      </c>
      <c r="V1320" s="27">
        <f>N1320/(N1320+O1320)</f>
        <v/>
      </c>
      <c r="W1320" s="27">
        <f>U1320*V1320</f>
        <v/>
      </c>
      <c r="X1320" s="25">
        <f>T1320/N1320</f>
        <v/>
      </c>
      <c r="Y1320" s="28">
        <f>IF(W1320=MAXIFS(W$2:W$3601, A$2:A$3601, A1320, B$2:B$3601, B1320), "OPTIMAL", "")</f>
        <v/>
      </c>
    </row>
    <row r="1321" ht="20" customHeight="1">
      <c r="A1321" s="29" t="n">
        <v>4</v>
      </c>
      <c r="B1321" s="29" t="n">
        <v>40</v>
      </c>
      <c r="C1321" s="30" t="n">
        <v>105</v>
      </c>
      <c r="D1321" s="30" t="n">
        <v>3</v>
      </c>
      <c r="E1321" s="6" t="n">
        <v>8</v>
      </c>
      <c r="F1321" s="30" t="n">
        <v>2</v>
      </c>
      <c r="G1321" s="6" t="inlineStr">
        <is>
          <t>Non</t>
        </is>
      </c>
      <c r="H1321" s="6" t="inlineStr">
        <is>
          <t>OFF</t>
        </is>
      </c>
      <c r="I1321" s="31" t="n">
        <v>994.4885628369005</v>
      </c>
      <c r="J1321" s="31" t="n">
        <v>4850.441664768843</v>
      </c>
      <c r="K1321" s="31" t="n">
        <v>2726.851851851852</v>
      </c>
      <c r="L1321" s="31" t="n">
        <v>150</v>
      </c>
      <c r="M1321" s="31">
        <f>I1321+J1321+K1321+L1321</f>
        <v/>
      </c>
      <c r="N1321" s="31">
        <f>M1321*'Dashboard &amp; Optimisation'!$B$18/('Dashboard &amp; Optimisation'!$B$16/3.6)</f>
        <v/>
      </c>
      <c r="O1321" s="31" t="n">
        <v>1151.417598409164</v>
      </c>
      <c r="P1321" s="32" t="n">
        <v>0.2306824590186666</v>
      </c>
      <c r="Q1321" s="33" t="n">
        <v>17.05717713207346</v>
      </c>
      <c r="R1321" s="31" t="n">
        <v>1007.478187400039</v>
      </c>
      <c r="S1321" s="31">
        <f>R1321*IF(A1321=4, 2.0, 3.0)</f>
        <v/>
      </c>
      <c r="T1321" s="30">
        <f>'Dashboard &amp; Optimisation'!$B$18*U1321</f>
        <v/>
      </c>
      <c r="U1321" s="34">
        <f>MIN(1, S1321/M1321)</f>
        <v/>
      </c>
      <c r="V1321" s="34">
        <f>N1321/(N1321+O1321)</f>
        <v/>
      </c>
      <c r="W1321" s="34">
        <f>U1321*V1321</f>
        <v/>
      </c>
      <c r="X1321" s="32">
        <f>T1321/N1321</f>
        <v/>
      </c>
      <c r="Y1321" s="35">
        <f>IF(W1321=MAXIFS(W$2:W$3601, A$2:A$3601, A1321, B$2:B$3601, B1321), "OPTIMAL", "")</f>
        <v/>
      </c>
    </row>
    <row r="1322" ht="20" customHeight="1">
      <c r="A1322" s="21" t="n">
        <v>4</v>
      </c>
      <c r="B1322" s="21" t="n">
        <v>40</v>
      </c>
      <c r="C1322" s="22" t="n">
        <v>110</v>
      </c>
      <c r="D1322" s="22" t="n">
        <v>2</v>
      </c>
      <c r="E1322" s="23" t="n">
        <v>0</v>
      </c>
      <c r="F1322" s="22" t="n">
        <v>0</v>
      </c>
      <c r="G1322" s="23" t="inlineStr">
        <is>
          <t>Oui</t>
        </is>
      </c>
      <c r="H1322" s="23" t="inlineStr">
        <is>
          <t>ON</t>
        </is>
      </c>
      <c r="I1322" s="24" t="n">
        <v>994.4885628369005</v>
      </c>
      <c r="J1322" s="24" t="n">
        <v>4850.441664768843</v>
      </c>
      <c r="K1322" s="24" t="n">
        <v>2726.851851851852</v>
      </c>
      <c r="L1322" s="24" t="n">
        <v>150</v>
      </c>
      <c r="M1322" s="24">
        <f>I1322+J1322+K1322+L1322</f>
        <v/>
      </c>
      <c r="N1322" s="24">
        <f>M1322*'Dashboard &amp; Optimisation'!$B$18/('Dashboard &amp; Optimisation'!$B$16/3.6)</f>
        <v/>
      </c>
      <c r="O1322" s="24" t="n">
        <v>340.8568799440233</v>
      </c>
      <c r="P1322" s="25" t="n">
        <v>0.4731529974868604</v>
      </c>
      <c r="Q1322" s="26" t="n">
        <v>0.2</v>
      </c>
      <c r="R1322" s="24" t="n">
        <v>393.190558325089</v>
      </c>
      <c r="S1322" s="24">
        <f>R1322*IF(A1322=4, 2.0, 3.0)</f>
        <v/>
      </c>
      <c r="T1322" s="22">
        <f>'Dashboard &amp; Optimisation'!$B$18*U1322</f>
        <v/>
      </c>
      <c r="U1322" s="27">
        <f>MIN(1, S1322/M1322)</f>
        <v/>
      </c>
      <c r="V1322" s="27">
        <f>N1322/(N1322+O1322)</f>
        <v/>
      </c>
      <c r="W1322" s="27">
        <f>U1322*V1322</f>
        <v/>
      </c>
      <c r="X1322" s="25">
        <f>T1322/N1322</f>
        <v/>
      </c>
      <c r="Y1322" s="28">
        <f>IF(W1322=MAXIFS(W$2:W$3601, A$2:A$3601, A1322, B$2:B$3601, B1322), "OPTIMAL", "")</f>
        <v/>
      </c>
    </row>
    <row r="1323" ht="20" customHeight="1">
      <c r="A1323" s="29" t="n">
        <v>4</v>
      </c>
      <c r="B1323" s="29" t="n">
        <v>40</v>
      </c>
      <c r="C1323" s="30" t="n">
        <v>110</v>
      </c>
      <c r="D1323" s="30" t="n">
        <v>2</v>
      </c>
      <c r="E1323" s="6" t="n">
        <v>0</v>
      </c>
      <c r="F1323" s="30" t="n">
        <v>0</v>
      </c>
      <c r="G1323" s="6" t="inlineStr">
        <is>
          <t>Oui</t>
        </is>
      </c>
      <c r="H1323" s="6" t="inlineStr">
        <is>
          <t>OFF</t>
        </is>
      </c>
      <c r="I1323" s="31" t="n">
        <v>994.4885628369005</v>
      </c>
      <c r="J1323" s="31" t="n">
        <v>4850.441664768843</v>
      </c>
      <c r="K1323" s="31" t="n">
        <v>2726.851851851852</v>
      </c>
      <c r="L1323" s="31" t="n">
        <v>150</v>
      </c>
      <c r="M1323" s="31">
        <f>I1323+J1323+K1323+L1323</f>
        <v/>
      </c>
      <c r="N1323" s="31">
        <f>M1323*'Dashboard &amp; Optimisation'!$B$18/('Dashboard &amp; Optimisation'!$B$16/3.6)</f>
        <v/>
      </c>
      <c r="O1323" s="31" t="n">
        <v>340.8568799440233</v>
      </c>
      <c r="P1323" s="32" t="n">
        <v>0.7625256212903064</v>
      </c>
      <c r="Q1323" s="33" t="n">
        <v>0.2</v>
      </c>
      <c r="R1323" s="31" t="n">
        <v>243.9777576788069</v>
      </c>
      <c r="S1323" s="31">
        <f>R1323*IF(A1323=4, 2.0, 3.0)</f>
        <v/>
      </c>
      <c r="T1323" s="30">
        <f>'Dashboard &amp; Optimisation'!$B$18*U1323</f>
        <v/>
      </c>
      <c r="U1323" s="34">
        <f>MIN(1, S1323/M1323)</f>
        <v/>
      </c>
      <c r="V1323" s="34">
        <f>N1323/(N1323+O1323)</f>
        <v/>
      </c>
      <c r="W1323" s="34">
        <f>U1323*V1323</f>
        <v/>
      </c>
      <c r="X1323" s="32">
        <f>T1323/N1323</f>
        <v/>
      </c>
      <c r="Y1323" s="35">
        <f>IF(W1323=MAXIFS(W$2:W$3601, A$2:A$3601, A1323, B$2:B$3601, B1323), "OPTIMAL", "")</f>
        <v/>
      </c>
    </row>
    <row r="1324" ht="20" customHeight="1">
      <c r="A1324" s="21" t="n">
        <v>4</v>
      </c>
      <c r="B1324" s="21" t="n">
        <v>40</v>
      </c>
      <c r="C1324" s="22" t="n">
        <v>110</v>
      </c>
      <c r="D1324" s="22" t="n">
        <v>2</v>
      </c>
      <c r="E1324" s="23" t="n">
        <v>0</v>
      </c>
      <c r="F1324" s="22" t="n">
        <v>0</v>
      </c>
      <c r="G1324" s="23" t="inlineStr">
        <is>
          <t>Non</t>
        </is>
      </c>
      <c r="H1324" s="23" t="inlineStr">
        <is>
          <t>ON</t>
        </is>
      </c>
      <c r="I1324" s="24" t="n">
        <v>994.4885628369005</v>
      </c>
      <c r="J1324" s="24" t="n">
        <v>4850.441664768843</v>
      </c>
      <c r="K1324" s="24" t="n">
        <v>2726.851851851852</v>
      </c>
      <c r="L1324" s="24" t="n">
        <v>150</v>
      </c>
      <c r="M1324" s="24">
        <f>I1324+J1324+K1324+L1324</f>
        <v/>
      </c>
      <c r="N1324" s="24">
        <f>M1324*'Dashboard &amp; Optimisation'!$B$18/('Dashboard &amp; Optimisation'!$B$16/3.6)</f>
        <v/>
      </c>
      <c r="O1324" s="24" t="n">
        <v>340.8568799440233</v>
      </c>
      <c r="P1324" s="25" t="n">
        <v>0.4702592712488259</v>
      </c>
      <c r="Q1324" s="26" t="n">
        <v>0.2</v>
      </c>
      <c r="R1324" s="24" t="n">
        <v>395.6100445632895</v>
      </c>
      <c r="S1324" s="24">
        <f>R1324*IF(A1324=4, 2.0, 3.0)</f>
        <v/>
      </c>
      <c r="T1324" s="22">
        <f>'Dashboard &amp; Optimisation'!$B$18*U1324</f>
        <v/>
      </c>
      <c r="U1324" s="27">
        <f>MIN(1, S1324/M1324)</f>
        <v/>
      </c>
      <c r="V1324" s="27">
        <f>N1324/(N1324+O1324)</f>
        <v/>
      </c>
      <c r="W1324" s="27">
        <f>U1324*V1324</f>
        <v/>
      </c>
      <c r="X1324" s="25">
        <f>T1324/N1324</f>
        <v/>
      </c>
      <c r="Y1324" s="28">
        <f>IF(W1324=MAXIFS(W$2:W$3601, A$2:A$3601, A1324, B$2:B$3601, B1324), "OPTIMAL", "")</f>
        <v/>
      </c>
    </row>
    <row r="1325" ht="20" customHeight="1">
      <c r="A1325" s="29" t="n">
        <v>4</v>
      </c>
      <c r="B1325" s="29" t="n">
        <v>40</v>
      </c>
      <c r="C1325" s="30" t="n">
        <v>110</v>
      </c>
      <c r="D1325" s="30" t="n">
        <v>2</v>
      </c>
      <c r="E1325" s="6" t="n">
        <v>0</v>
      </c>
      <c r="F1325" s="30" t="n">
        <v>0</v>
      </c>
      <c r="G1325" s="6" t="inlineStr">
        <is>
          <t>Non</t>
        </is>
      </c>
      <c r="H1325" s="6" t="inlineStr">
        <is>
          <t>OFF</t>
        </is>
      </c>
      <c r="I1325" s="31" t="n">
        <v>994.4885628369005</v>
      </c>
      <c r="J1325" s="31" t="n">
        <v>4850.441664768843</v>
      </c>
      <c r="K1325" s="31" t="n">
        <v>2726.851851851852</v>
      </c>
      <c r="L1325" s="31" t="n">
        <v>150</v>
      </c>
      <c r="M1325" s="31">
        <f>I1325+J1325+K1325+L1325</f>
        <v/>
      </c>
      <c r="N1325" s="31">
        <f>M1325*'Dashboard &amp; Optimisation'!$B$18/('Dashboard &amp; Optimisation'!$B$16/3.6)</f>
        <v/>
      </c>
      <c r="O1325" s="31" t="n">
        <v>340.8568799440233</v>
      </c>
      <c r="P1325" s="32" t="n">
        <v>0.759631895052272</v>
      </c>
      <c r="Q1325" s="33" t="n">
        <v>0.2</v>
      </c>
      <c r="R1325" s="31" t="n">
        <v>244.9071615696788</v>
      </c>
      <c r="S1325" s="31">
        <f>R1325*IF(A1325=4, 2.0, 3.0)</f>
        <v/>
      </c>
      <c r="T1325" s="30">
        <f>'Dashboard &amp; Optimisation'!$B$18*U1325</f>
        <v/>
      </c>
      <c r="U1325" s="34">
        <f>MIN(1, S1325/M1325)</f>
        <v/>
      </c>
      <c r="V1325" s="34">
        <f>N1325/(N1325+O1325)</f>
        <v/>
      </c>
      <c r="W1325" s="34">
        <f>U1325*V1325</f>
        <v/>
      </c>
      <c r="X1325" s="32">
        <f>T1325/N1325</f>
        <v/>
      </c>
      <c r="Y1325" s="35">
        <f>IF(W1325=MAXIFS(W$2:W$3601, A$2:A$3601, A1325, B$2:B$3601, B1325), "OPTIMAL", "")</f>
        <v/>
      </c>
    </row>
    <row r="1326" ht="20" customHeight="1">
      <c r="A1326" s="21" t="n">
        <v>4</v>
      </c>
      <c r="B1326" s="21" t="n">
        <v>40</v>
      </c>
      <c r="C1326" s="22" t="n">
        <v>110</v>
      </c>
      <c r="D1326" s="22" t="n">
        <v>2</v>
      </c>
      <c r="E1326" s="23" t="n">
        <v>4</v>
      </c>
      <c r="F1326" s="22" t="n">
        <v>1.5</v>
      </c>
      <c r="G1326" s="23" t="inlineStr">
        <is>
          <t>Oui</t>
        </is>
      </c>
      <c r="H1326" s="23" t="inlineStr">
        <is>
          <t>ON</t>
        </is>
      </c>
      <c r="I1326" s="24" t="n">
        <v>994.4885628369005</v>
      </c>
      <c r="J1326" s="24" t="n">
        <v>4850.441664768843</v>
      </c>
      <c r="K1326" s="24" t="n">
        <v>2726.851851851852</v>
      </c>
      <c r="L1326" s="24" t="n">
        <v>150</v>
      </c>
      <c r="M1326" s="24">
        <f>I1326+J1326+K1326+L1326</f>
        <v/>
      </c>
      <c r="N1326" s="24">
        <f>M1326*'Dashboard &amp; Optimisation'!$B$18/('Dashboard &amp; Optimisation'!$B$16/3.6)</f>
        <v/>
      </c>
      <c r="O1326" s="24" t="n">
        <v>529.1041448628173</v>
      </c>
      <c r="P1326" s="25" t="n">
        <v>0.07062967612279852</v>
      </c>
      <c r="Q1326" s="26" t="n">
        <v>6.103987745549313</v>
      </c>
      <c r="R1326" s="24" t="n">
        <v>2712.197666641211</v>
      </c>
      <c r="S1326" s="24">
        <f>R1326*IF(A1326=4, 2.0, 3.0)</f>
        <v/>
      </c>
      <c r="T1326" s="22">
        <f>'Dashboard &amp; Optimisation'!$B$18*U1326</f>
        <v/>
      </c>
      <c r="U1326" s="27">
        <f>MIN(1, S1326/M1326)</f>
        <v/>
      </c>
      <c r="V1326" s="27">
        <f>N1326/(N1326+O1326)</f>
        <v/>
      </c>
      <c r="W1326" s="27">
        <f>U1326*V1326</f>
        <v/>
      </c>
      <c r="X1326" s="25">
        <f>T1326/N1326</f>
        <v/>
      </c>
      <c r="Y1326" s="28">
        <f>IF(W1326=MAXIFS(W$2:W$3601, A$2:A$3601, A1326, B$2:B$3601, B1326), "OPTIMAL", "")</f>
        <v/>
      </c>
    </row>
    <row r="1327" ht="20" customHeight="1">
      <c r="A1327" s="29" t="n">
        <v>4</v>
      </c>
      <c r="B1327" s="29" t="n">
        <v>40</v>
      </c>
      <c r="C1327" s="30" t="n">
        <v>110</v>
      </c>
      <c r="D1327" s="30" t="n">
        <v>2</v>
      </c>
      <c r="E1327" s="6" t="n">
        <v>4</v>
      </c>
      <c r="F1327" s="30" t="n">
        <v>1.5</v>
      </c>
      <c r="G1327" s="6" t="inlineStr">
        <is>
          <t>Oui</t>
        </is>
      </c>
      <c r="H1327" s="6" t="inlineStr">
        <is>
          <t>OFF</t>
        </is>
      </c>
      <c r="I1327" s="31" t="n">
        <v>994.4885628369005</v>
      </c>
      <c r="J1327" s="31" t="n">
        <v>4850.441664768843</v>
      </c>
      <c r="K1327" s="31" t="n">
        <v>2726.851851851852</v>
      </c>
      <c r="L1327" s="31" t="n">
        <v>150</v>
      </c>
      <c r="M1327" s="31">
        <f>I1327+J1327+K1327+L1327</f>
        <v/>
      </c>
      <c r="N1327" s="31">
        <f>M1327*'Dashboard &amp; Optimisation'!$B$18/('Dashboard &amp; Optimisation'!$B$16/3.6)</f>
        <v/>
      </c>
      <c r="O1327" s="31" t="n">
        <v>529.1041448628173</v>
      </c>
      <c r="P1327" s="32" t="n">
        <v>0.2882258985719243</v>
      </c>
      <c r="Q1327" s="33" t="n">
        <v>6.103987745549313</v>
      </c>
      <c r="R1327" s="31" t="n">
        <v>664.6232823802821</v>
      </c>
      <c r="S1327" s="31">
        <f>R1327*IF(A1327=4, 2.0, 3.0)</f>
        <v/>
      </c>
      <c r="T1327" s="30">
        <f>'Dashboard &amp; Optimisation'!$B$18*U1327</f>
        <v/>
      </c>
      <c r="U1327" s="34">
        <f>MIN(1, S1327/M1327)</f>
        <v/>
      </c>
      <c r="V1327" s="34">
        <f>N1327/(N1327+O1327)</f>
        <v/>
      </c>
      <c r="W1327" s="34">
        <f>U1327*V1327</f>
        <v/>
      </c>
      <c r="X1327" s="32">
        <f>T1327/N1327</f>
        <v/>
      </c>
      <c r="Y1327" s="35">
        <f>IF(W1327=MAXIFS(W$2:W$3601, A$2:A$3601, A1327, B$2:B$3601, B1327), "OPTIMAL", "")</f>
        <v/>
      </c>
    </row>
    <row r="1328" ht="20" customHeight="1">
      <c r="A1328" s="21" t="n">
        <v>4</v>
      </c>
      <c r="B1328" s="21" t="n">
        <v>40</v>
      </c>
      <c r="C1328" s="22" t="n">
        <v>110</v>
      </c>
      <c r="D1328" s="22" t="n">
        <v>2</v>
      </c>
      <c r="E1328" s="23" t="n">
        <v>4</v>
      </c>
      <c r="F1328" s="22" t="n">
        <v>1.5</v>
      </c>
      <c r="G1328" s="23" t="inlineStr">
        <is>
          <t>Non</t>
        </is>
      </c>
      <c r="H1328" s="23" t="inlineStr">
        <is>
          <t>ON</t>
        </is>
      </c>
      <c r="I1328" s="24" t="n">
        <v>994.4885628369005</v>
      </c>
      <c r="J1328" s="24" t="n">
        <v>4850.441664768843</v>
      </c>
      <c r="K1328" s="24" t="n">
        <v>2726.851851851852</v>
      </c>
      <c r="L1328" s="24" t="n">
        <v>150</v>
      </c>
      <c r="M1328" s="24">
        <f>I1328+J1328+K1328+L1328</f>
        <v/>
      </c>
      <c r="N1328" s="24">
        <f>M1328*'Dashboard &amp; Optimisation'!$B$18/('Dashboard &amp; Optimisation'!$B$16/3.6)</f>
        <v/>
      </c>
      <c r="O1328" s="24" t="n">
        <v>529.1041448628173</v>
      </c>
      <c r="P1328" s="25" t="n">
        <v>0.06773594988476406</v>
      </c>
      <c r="Q1328" s="26" t="n">
        <v>6.103987745549313</v>
      </c>
      <c r="R1328" s="24" t="n">
        <v>2828.064611211229</v>
      </c>
      <c r="S1328" s="24">
        <f>R1328*IF(A1328=4, 2.0, 3.0)</f>
        <v/>
      </c>
      <c r="T1328" s="22">
        <f>'Dashboard &amp; Optimisation'!$B$18*U1328</f>
        <v/>
      </c>
      <c r="U1328" s="27">
        <f>MIN(1, S1328/M1328)</f>
        <v/>
      </c>
      <c r="V1328" s="27">
        <f>N1328/(N1328+O1328)</f>
        <v/>
      </c>
      <c r="W1328" s="27">
        <f>U1328*V1328</f>
        <v/>
      </c>
      <c r="X1328" s="25">
        <f>T1328/N1328</f>
        <v/>
      </c>
      <c r="Y1328" s="28">
        <f>IF(W1328=MAXIFS(W$2:W$3601, A$2:A$3601, A1328, B$2:B$3601, B1328), "OPTIMAL", "")</f>
        <v/>
      </c>
    </row>
    <row r="1329" ht="20" customHeight="1">
      <c r="A1329" s="29" t="n">
        <v>4</v>
      </c>
      <c r="B1329" s="29" t="n">
        <v>40</v>
      </c>
      <c r="C1329" s="30" t="n">
        <v>110</v>
      </c>
      <c r="D1329" s="30" t="n">
        <v>2</v>
      </c>
      <c r="E1329" s="6" t="n">
        <v>4</v>
      </c>
      <c r="F1329" s="30" t="n">
        <v>1.5</v>
      </c>
      <c r="G1329" s="6" t="inlineStr">
        <is>
          <t>Non</t>
        </is>
      </c>
      <c r="H1329" s="6" t="inlineStr">
        <is>
          <t>OFF</t>
        </is>
      </c>
      <c r="I1329" s="31" t="n">
        <v>994.4885628369005</v>
      </c>
      <c r="J1329" s="31" t="n">
        <v>4850.441664768843</v>
      </c>
      <c r="K1329" s="31" t="n">
        <v>2726.851851851852</v>
      </c>
      <c r="L1329" s="31" t="n">
        <v>150</v>
      </c>
      <c r="M1329" s="31">
        <f>I1329+J1329+K1329+L1329</f>
        <v/>
      </c>
      <c r="N1329" s="31">
        <f>M1329*'Dashboard &amp; Optimisation'!$B$18/('Dashboard &amp; Optimisation'!$B$16/3.6)</f>
        <v/>
      </c>
      <c r="O1329" s="31" t="n">
        <v>529.1041448628173</v>
      </c>
      <c r="P1329" s="32" t="n">
        <v>0.2853321723338898</v>
      </c>
      <c r="Q1329" s="33" t="n">
        <v>6.103987745549313</v>
      </c>
      <c r="R1329" s="31" t="n">
        <v>671.3636293061165</v>
      </c>
      <c r="S1329" s="31">
        <f>R1329*IF(A1329=4, 2.0, 3.0)</f>
        <v/>
      </c>
      <c r="T1329" s="30">
        <f>'Dashboard &amp; Optimisation'!$B$18*U1329</f>
        <v/>
      </c>
      <c r="U1329" s="34">
        <f>MIN(1, S1329/M1329)</f>
        <v/>
      </c>
      <c r="V1329" s="34">
        <f>N1329/(N1329+O1329)</f>
        <v/>
      </c>
      <c r="W1329" s="34">
        <f>U1329*V1329</f>
        <v/>
      </c>
      <c r="X1329" s="32">
        <f>T1329/N1329</f>
        <v/>
      </c>
      <c r="Y1329" s="35">
        <f>IF(W1329=MAXIFS(W$2:W$3601, A$2:A$3601, A1329, B$2:B$3601, B1329), "OPTIMAL", "")</f>
        <v/>
      </c>
    </row>
    <row r="1330" ht="20" customHeight="1">
      <c r="A1330" s="21" t="n">
        <v>4</v>
      </c>
      <c r="B1330" s="21" t="n">
        <v>40</v>
      </c>
      <c r="C1330" s="22" t="n">
        <v>110</v>
      </c>
      <c r="D1330" s="22" t="n">
        <v>2</v>
      </c>
      <c r="E1330" s="23" t="n">
        <v>4</v>
      </c>
      <c r="F1330" s="22" t="n">
        <v>2</v>
      </c>
      <c r="G1330" s="23" t="inlineStr">
        <is>
          <t>Oui</t>
        </is>
      </c>
      <c r="H1330" s="23" t="inlineStr">
        <is>
          <t>ON</t>
        </is>
      </c>
      <c r="I1330" s="24" t="n">
        <v>994.4885628369005</v>
      </c>
      <c r="J1330" s="24" t="n">
        <v>4850.441664768843</v>
      </c>
      <c r="K1330" s="24" t="n">
        <v>2726.851851851852</v>
      </c>
      <c r="L1330" s="24" t="n">
        <v>150</v>
      </c>
      <c r="M1330" s="24">
        <f>I1330+J1330+K1330+L1330</f>
        <v/>
      </c>
      <c r="N1330" s="24">
        <f>M1330*'Dashboard &amp; Optimisation'!$B$18/('Dashboard &amp; Optimisation'!$B$16/3.6)</f>
        <v/>
      </c>
      <c r="O1330" s="24" t="n">
        <v>594.3615598513646</v>
      </c>
      <c r="P1330" s="25" t="n">
        <v>0.06762363614121064</v>
      </c>
      <c r="Q1330" s="26" t="n">
        <v>8.071983660732418</v>
      </c>
      <c r="R1330" s="24" t="n">
        <v>2861.070788144739</v>
      </c>
      <c r="S1330" s="24">
        <f>R1330*IF(A1330=4, 2.0, 3.0)</f>
        <v/>
      </c>
      <c r="T1330" s="22">
        <f>'Dashboard &amp; Optimisation'!$B$18*U1330</f>
        <v/>
      </c>
      <c r="U1330" s="27">
        <f>MIN(1, S1330/M1330)</f>
        <v/>
      </c>
      <c r="V1330" s="27">
        <f>N1330/(N1330+O1330)</f>
        <v/>
      </c>
      <c r="W1330" s="27">
        <f>U1330*V1330</f>
        <v/>
      </c>
      <c r="X1330" s="25">
        <f>T1330/N1330</f>
        <v/>
      </c>
      <c r="Y1330" s="28">
        <f>IF(W1330=MAXIFS(W$2:W$3601, A$2:A$3601, A1330, B$2:B$3601, B1330), "OPTIMAL", "")</f>
        <v/>
      </c>
    </row>
    <row r="1331" ht="20" customHeight="1">
      <c r="A1331" s="29" t="n">
        <v>4</v>
      </c>
      <c r="B1331" s="29" t="n">
        <v>40</v>
      </c>
      <c r="C1331" s="30" t="n">
        <v>110</v>
      </c>
      <c r="D1331" s="30" t="n">
        <v>2</v>
      </c>
      <c r="E1331" s="6" t="n">
        <v>4</v>
      </c>
      <c r="F1331" s="30" t="n">
        <v>2</v>
      </c>
      <c r="G1331" s="6" t="inlineStr">
        <is>
          <t>Oui</t>
        </is>
      </c>
      <c r="H1331" s="6" t="inlineStr">
        <is>
          <t>OFF</t>
        </is>
      </c>
      <c r="I1331" s="31" t="n">
        <v>994.4885628369005</v>
      </c>
      <c r="J1331" s="31" t="n">
        <v>4850.441664768843</v>
      </c>
      <c r="K1331" s="31" t="n">
        <v>2726.851851851852</v>
      </c>
      <c r="L1331" s="31" t="n">
        <v>150</v>
      </c>
      <c r="M1331" s="31">
        <f>I1331+J1331+K1331+L1331</f>
        <v/>
      </c>
      <c r="N1331" s="31">
        <f>M1331*'Dashboard &amp; Optimisation'!$B$18/('Dashboard &amp; Optimisation'!$B$16/3.6)</f>
        <v/>
      </c>
      <c r="O1331" s="31" t="n">
        <v>594.3615598513646</v>
      </c>
      <c r="P1331" s="32" t="n">
        <v>0.2861692165887991</v>
      </c>
      <c r="Q1331" s="33" t="n">
        <v>8.071983660732418</v>
      </c>
      <c r="R1331" s="31" t="n">
        <v>676.0895258337838</v>
      </c>
      <c r="S1331" s="31">
        <f>R1331*IF(A1331=4, 2.0, 3.0)</f>
        <v/>
      </c>
      <c r="T1331" s="30">
        <f>'Dashboard &amp; Optimisation'!$B$18*U1331</f>
        <v/>
      </c>
      <c r="U1331" s="34">
        <f>MIN(1, S1331/M1331)</f>
        <v/>
      </c>
      <c r="V1331" s="34">
        <f>N1331/(N1331+O1331)</f>
        <v/>
      </c>
      <c r="W1331" s="34">
        <f>U1331*V1331</f>
        <v/>
      </c>
      <c r="X1331" s="32">
        <f>T1331/N1331</f>
        <v/>
      </c>
      <c r="Y1331" s="35">
        <f>IF(W1331=MAXIFS(W$2:W$3601, A$2:A$3601, A1331, B$2:B$3601, B1331), "OPTIMAL", "")</f>
        <v/>
      </c>
    </row>
    <row r="1332" ht="20" customHeight="1">
      <c r="A1332" s="21" t="n">
        <v>4</v>
      </c>
      <c r="B1332" s="21" t="n">
        <v>40</v>
      </c>
      <c r="C1332" s="22" t="n">
        <v>110</v>
      </c>
      <c r="D1332" s="22" t="n">
        <v>2</v>
      </c>
      <c r="E1332" s="23" t="n">
        <v>4</v>
      </c>
      <c r="F1332" s="22" t="n">
        <v>2</v>
      </c>
      <c r="G1332" s="23" t="inlineStr">
        <is>
          <t>Non</t>
        </is>
      </c>
      <c r="H1332" s="23" t="inlineStr">
        <is>
          <t>ON</t>
        </is>
      </c>
      <c r="I1332" s="24" t="n">
        <v>994.4885628369005</v>
      </c>
      <c r="J1332" s="24" t="n">
        <v>4850.441664768843</v>
      </c>
      <c r="K1332" s="24" t="n">
        <v>2726.851851851852</v>
      </c>
      <c r="L1332" s="24" t="n">
        <v>150</v>
      </c>
      <c r="M1332" s="24">
        <f>I1332+J1332+K1332+L1332</f>
        <v/>
      </c>
      <c r="N1332" s="24">
        <f>M1332*'Dashboard &amp; Optimisation'!$B$18/('Dashboard &amp; Optimisation'!$B$16/3.6)</f>
        <v/>
      </c>
      <c r="O1332" s="24" t="n">
        <v>594.3615598513646</v>
      </c>
      <c r="P1332" s="25" t="n">
        <v>0.06472990990317617</v>
      </c>
      <c r="Q1332" s="26" t="n">
        <v>8.071983660732418</v>
      </c>
      <c r="R1332" s="24" t="n">
        <v>2988.973879944379</v>
      </c>
      <c r="S1332" s="24">
        <f>R1332*IF(A1332=4, 2.0, 3.0)</f>
        <v/>
      </c>
      <c r="T1332" s="22">
        <f>'Dashboard &amp; Optimisation'!$B$18*U1332</f>
        <v/>
      </c>
      <c r="U1332" s="27">
        <f>MIN(1, S1332/M1332)</f>
        <v/>
      </c>
      <c r="V1332" s="27">
        <f>N1332/(N1332+O1332)</f>
        <v/>
      </c>
      <c r="W1332" s="27">
        <f>U1332*V1332</f>
        <v/>
      </c>
      <c r="X1332" s="25">
        <f>T1332/N1332</f>
        <v/>
      </c>
      <c r="Y1332" s="28">
        <f>IF(W1332=MAXIFS(W$2:W$3601, A$2:A$3601, A1332, B$2:B$3601, B1332), "OPTIMAL", "")</f>
        <v/>
      </c>
    </row>
    <row r="1333" ht="20" customHeight="1">
      <c r="A1333" s="29" t="n">
        <v>4</v>
      </c>
      <c r="B1333" s="29" t="n">
        <v>40</v>
      </c>
      <c r="C1333" s="30" t="n">
        <v>110</v>
      </c>
      <c r="D1333" s="30" t="n">
        <v>2</v>
      </c>
      <c r="E1333" s="6" t="n">
        <v>4</v>
      </c>
      <c r="F1333" s="30" t="n">
        <v>2</v>
      </c>
      <c r="G1333" s="6" t="inlineStr">
        <is>
          <t>Non</t>
        </is>
      </c>
      <c r="H1333" s="6" t="inlineStr">
        <is>
          <t>OFF</t>
        </is>
      </c>
      <c r="I1333" s="31" t="n">
        <v>994.4885628369005</v>
      </c>
      <c r="J1333" s="31" t="n">
        <v>4850.441664768843</v>
      </c>
      <c r="K1333" s="31" t="n">
        <v>2726.851851851852</v>
      </c>
      <c r="L1333" s="31" t="n">
        <v>150</v>
      </c>
      <c r="M1333" s="31">
        <f>I1333+J1333+K1333+L1333</f>
        <v/>
      </c>
      <c r="N1333" s="31">
        <f>M1333*'Dashboard &amp; Optimisation'!$B$18/('Dashboard &amp; Optimisation'!$B$16/3.6)</f>
        <v/>
      </c>
      <c r="O1333" s="31" t="n">
        <v>594.3615598513646</v>
      </c>
      <c r="P1333" s="32" t="n">
        <v>0.2832754903507647</v>
      </c>
      <c r="Q1333" s="33" t="n">
        <v>8.071983660732418</v>
      </c>
      <c r="R1333" s="31" t="n">
        <v>682.9959404965665</v>
      </c>
      <c r="S1333" s="31">
        <f>R1333*IF(A1333=4, 2.0, 3.0)</f>
        <v/>
      </c>
      <c r="T1333" s="30">
        <f>'Dashboard &amp; Optimisation'!$B$18*U1333</f>
        <v/>
      </c>
      <c r="U1333" s="34">
        <f>MIN(1, S1333/M1333)</f>
        <v/>
      </c>
      <c r="V1333" s="34">
        <f>N1333/(N1333+O1333)</f>
        <v/>
      </c>
      <c r="W1333" s="34">
        <f>U1333*V1333</f>
        <v/>
      </c>
      <c r="X1333" s="32">
        <f>T1333/N1333</f>
        <v/>
      </c>
      <c r="Y1333" s="35">
        <f>IF(W1333=MAXIFS(W$2:W$3601, A$2:A$3601, A1333, B$2:B$3601, B1333), "OPTIMAL", "")</f>
        <v/>
      </c>
    </row>
    <row r="1334" ht="20" customHeight="1">
      <c r="A1334" s="21" t="n">
        <v>4</v>
      </c>
      <c r="B1334" s="21" t="n">
        <v>40</v>
      </c>
      <c r="C1334" s="22" t="n">
        <v>110</v>
      </c>
      <c r="D1334" s="22" t="n">
        <v>2</v>
      </c>
      <c r="E1334" s="23" t="n">
        <v>8</v>
      </c>
      <c r="F1334" s="22" t="n">
        <v>1.5</v>
      </c>
      <c r="G1334" s="23" t="inlineStr">
        <is>
          <t>Oui</t>
        </is>
      </c>
      <c r="H1334" s="23" t="inlineStr">
        <is>
          <t>ON</t>
        </is>
      </c>
      <c r="I1334" s="24" t="n">
        <v>994.4885628369005</v>
      </c>
      <c r="J1334" s="24" t="n">
        <v>4850.441664768843</v>
      </c>
      <c r="K1334" s="24" t="n">
        <v>2726.851851851852</v>
      </c>
      <c r="L1334" s="24" t="n">
        <v>150</v>
      </c>
      <c r="M1334" s="24">
        <f>I1334+J1334+K1334+L1334</f>
        <v/>
      </c>
      <c r="N1334" s="24">
        <f>M1334*'Dashboard &amp; Optimisation'!$B$18/('Dashboard &amp; Optimisation'!$B$16/3.6)</f>
        <v/>
      </c>
      <c r="O1334" s="24" t="n">
        <v>728.8690830952303</v>
      </c>
      <c r="P1334" s="25" t="n">
        <v>0.05348631453507773</v>
      </c>
      <c r="Q1334" s="26" t="n">
        <v>12.00797549109863</v>
      </c>
      <c r="R1334" s="24" t="n">
        <v>3691.072645019194</v>
      </c>
      <c r="S1334" s="24">
        <f>R1334*IF(A1334=4, 2.0, 3.0)</f>
        <v/>
      </c>
      <c r="T1334" s="22">
        <f>'Dashboard &amp; Optimisation'!$B$18*U1334</f>
        <v/>
      </c>
      <c r="U1334" s="27">
        <f>MIN(1, S1334/M1334)</f>
        <v/>
      </c>
      <c r="V1334" s="27">
        <f>N1334/(N1334+O1334)</f>
        <v/>
      </c>
      <c r="W1334" s="27">
        <f>U1334*V1334</f>
        <v/>
      </c>
      <c r="X1334" s="25">
        <f>T1334/N1334</f>
        <v/>
      </c>
      <c r="Y1334" s="28">
        <f>IF(W1334=MAXIFS(W$2:W$3601, A$2:A$3601, A1334, B$2:B$3601, B1334), "OPTIMAL", "")</f>
        <v/>
      </c>
    </row>
    <row r="1335" ht="20" customHeight="1">
      <c r="A1335" s="29" t="n">
        <v>4</v>
      </c>
      <c r="B1335" s="29" t="n">
        <v>40</v>
      </c>
      <c r="C1335" s="30" t="n">
        <v>110</v>
      </c>
      <c r="D1335" s="30" t="n">
        <v>2</v>
      </c>
      <c r="E1335" s="6" t="n">
        <v>8</v>
      </c>
      <c r="F1335" s="30" t="n">
        <v>1.5</v>
      </c>
      <c r="G1335" s="6" t="inlineStr">
        <is>
          <t>Oui</t>
        </is>
      </c>
      <c r="H1335" s="6" t="inlineStr">
        <is>
          <t>OFF</t>
        </is>
      </c>
      <c r="I1335" s="31" t="n">
        <v>994.4885628369005</v>
      </c>
      <c r="J1335" s="31" t="n">
        <v>4850.441664768843</v>
      </c>
      <c r="K1335" s="31" t="n">
        <v>2726.851851851852</v>
      </c>
      <c r="L1335" s="31" t="n">
        <v>150</v>
      </c>
      <c r="M1335" s="31">
        <f>I1335+J1335+K1335+L1335</f>
        <v/>
      </c>
      <c r="N1335" s="31">
        <f>M1335*'Dashboard &amp; Optimisation'!$B$18/('Dashboard &amp; Optimisation'!$B$16/3.6)</f>
        <v/>
      </c>
      <c r="O1335" s="31" t="n">
        <v>728.8690830952303</v>
      </c>
      <c r="P1335" s="32" t="n">
        <v>0.2278356335097701</v>
      </c>
      <c r="Q1335" s="33" t="n">
        <v>12.00797549109863</v>
      </c>
      <c r="R1335" s="31" t="n">
        <v>866.5100775592771</v>
      </c>
      <c r="S1335" s="31">
        <f>R1335*IF(A1335=4, 2.0, 3.0)</f>
        <v/>
      </c>
      <c r="T1335" s="30">
        <f>'Dashboard &amp; Optimisation'!$B$18*U1335</f>
        <v/>
      </c>
      <c r="U1335" s="34">
        <f>MIN(1, S1335/M1335)</f>
        <v/>
      </c>
      <c r="V1335" s="34">
        <f>N1335/(N1335+O1335)</f>
        <v/>
      </c>
      <c r="W1335" s="34">
        <f>U1335*V1335</f>
        <v/>
      </c>
      <c r="X1335" s="32">
        <f>T1335/N1335</f>
        <v/>
      </c>
      <c r="Y1335" s="35">
        <f>IF(W1335=MAXIFS(W$2:W$3601, A$2:A$3601, A1335, B$2:B$3601, B1335), "OPTIMAL", "")</f>
        <v/>
      </c>
    </row>
    <row r="1336" ht="20" customHeight="1">
      <c r="A1336" s="21" t="n">
        <v>4</v>
      </c>
      <c r="B1336" s="21" t="n">
        <v>40</v>
      </c>
      <c r="C1336" s="22" t="n">
        <v>110</v>
      </c>
      <c r="D1336" s="22" t="n">
        <v>2</v>
      </c>
      <c r="E1336" s="23" t="n">
        <v>8</v>
      </c>
      <c r="F1336" s="22" t="n">
        <v>1.5</v>
      </c>
      <c r="G1336" s="23" t="inlineStr">
        <is>
          <t>Non</t>
        </is>
      </c>
      <c r="H1336" s="23" t="inlineStr">
        <is>
          <t>ON</t>
        </is>
      </c>
      <c r="I1336" s="24" t="n">
        <v>994.4885628369005</v>
      </c>
      <c r="J1336" s="24" t="n">
        <v>4850.441664768843</v>
      </c>
      <c r="K1336" s="24" t="n">
        <v>2726.851851851852</v>
      </c>
      <c r="L1336" s="24" t="n">
        <v>150</v>
      </c>
      <c r="M1336" s="24">
        <f>I1336+J1336+K1336+L1336</f>
        <v/>
      </c>
      <c r="N1336" s="24">
        <f>M1336*'Dashboard &amp; Optimisation'!$B$18/('Dashboard &amp; Optimisation'!$B$16/3.6)</f>
        <v/>
      </c>
      <c r="O1336" s="24" t="n">
        <v>728.8690830952303</v>
      </c>
      <c r="P1336" s="25" t="n">
        <v>0.05059258829704327</v>
      </c>
      <c r="Q1336" s="26" t="n">
        <v>12.00797549109863</v>
      </c>
      <c r="R1336" s="24" t="n">
        <v>3902.189611335928</v>
      </c>
      <c r="S1336" s="24">
        <f>R1336*IF(A1336=4, 2.0, 3.0)</f>
        <v/>
      </c>
      <c r="T1336" s="22">
        <f>'Dashboard &amp; Optimisation'!$B$18*U1336</f>
        <v/>
      </c>
      <c r="U1336" s="27">
        <f>MIN(1, S1336/M1336)</f>
        <v/>
      </c>
      <c r="V1336" s="27">
        <f>N1336/(N1336+O1336)</f>
        <v/>
      </c>
      <c r="W1336" s="27">
        <f>U1336*V1336</f>
        <v/>
      </c>
      <c r="X1336" s="25">
        <f>T1336/N1336</f>
        <v/>
      </c>
      <c r="Y1336" s="28">
        <f>IF(W1336=MAXIFS(W$2:W$3601, A$2:A$3601, A1336, B$2:B$3601, B1336), "OPTIMAL", "")</f>
        <v/>
      </c>
    </row>
    <row r="1337" ht="20" customHeight="1">
      <c r="A1337" s="29" t="n">
        <v>4</v>
      </c>
      <c r="B1337" s="29" t="n">
        <v>40</v>
      </c>
      <c r="C1337" s="30" t="n">
        <v>110</v>
      </c>
      <c r="D1337" s="30" t="n">
        <v>2</v>
      </c>
      <c r="E1337" s="6" t="n">
        <v>8</v>
      </c>
      <c r="F1337" s="30" t="n">
        <v>1.5</v>
      </c>
      <c r="G1337" s="6" t="inlineStr">
        <is>
          <t>Non</t>
        </is>
      </c>
      <c r="H1337" s="6" t="inlineStr">
        <is>
          <t>OFF</t>
        </is>
      </c>
      <c r="I1337" s="31" t="n">
        <v>994.4885628369005</v>
      </c>
      <c r="J1337" s="31" t="n">
        <v>4850.441664768843</v>
      </c>
      <c r="K1337" s="31" t="n">
        <v>2726.851851851852</v>
      </c>
      <c r="L1337" s="31" t="n">
        <v>150</v>
      </c>
      <c r="M1337" s="31">
        <f>I1337+J1337+K1337+L1337</f>
        <v/>
      </c>
      <c r="N1337" s="31">
        <f>M1337*'Dashboard &amp; Optimisation'!$B$18/('Dashboard &amp; Optimisation'!$B$16/3.6)</f>
        <v/>
      </c>
      <c r="O1337" s="31" t="n">
        <v>728.8690830952303</v>
      </c>
      <c r="P1337" s="32" t="n">
        <v>0.2249419072717356</v>
      </c>
      <c r="Q1337" s="33" t="n">
        <v>12.00797549109863</v>
      </c>
      <c r="R1337" s="31" t="n">
        <v>877.6571464952824</v>
      </c>
      <c r="S1337" s="31">
        <f>R1337*IF(A1337=4, 2.0, 3.0)</f>
        <v/>
      </c>
      <c r="T1337" s="30">
        <f>'Dashboard &amp; Optimisation'!$B$18*U1337</f>
        <v/>
      </c>
      <c r="U1337" s="34">
        <f>MIN(1, S1337/M1337)</f>
        <v/>
      </c>
      <c r="V1337" s="34">
        <f>N1337/(N1337+O1337)</f>
        <v/>
      </c>
      <c r="W1337" s="34">
        <f>U1337*V1337</f>
        <v/>
      </c>
      <c r="X1337" s="32">
        <f>T1337/N1337</f>
        <v/>
      </c>
      <c r="Y1337" s="35">
        <f>IF(W1337=MAXIFS(W$2:W$3601, A$2:A$3601, A1337, B$2:B$3601, B1337), "OPTIMAL", "")</f>
        <v/>
      </c>
    </row>
    <row r="1338" ht="20" customHeight="1">
      <c r="A1338" s="21" t="n">
        <v>4</v>
      </c>
      <c r="B1338" s="21" t="n">
        <v>40</v>
      </c>
      <c r="C1338" s="22" t="n">
        <v>110</v>
      </c>
      <c r="D1338" s="22" t="n">
        <v>2</v>
      </c>
      <c r="E1338" s="23" t="n">
        <v>8</v>
      </c>
      <c r="F1338" s="22" t="n">
        <v>2</v>
      </c>
      <c r="G1338" s="23" t="inlineStr">
        <is>
          <t>Oui</t>
        </is>
      </c>
      <c r="H1338" s="23" t="inlineStr">
        <is>
          <t>ON</t>
        </is>
      </c>
      <c r="I1338" s="24" t="n">
        <v>994.4885628369005</v>
      </c>
      <c r="J1338" s="24" t="n">
        <v>4850.441664768843</v>
      </c>
      <c r="K1338" s="24" t="n">
        <v>2726.851851851852</v>
      </c>
      <c r="L1338" s="24" t="n">
        <v>150</v>
      </c>
      <c r="M1338" s="24">
        <f>I1338+J1338+K1338+L1338</f>
        <v/>
      </c>
      <c r="N1338" s="24">
        <f>M1338*'Dashboard &amp; Optimisation'!$B$18/('Dashboard &amp; Optimisation'!$B$16/3.6)</f>
        <v/>
      </c>
      <c r="O1338" s="24" t="n">
        <v>868.9772793788277</v>
      </c>
      <c r="P1338" s="25" t="n">
        <v>0.05207352280953786</v>
      </c>
      <c r="Q1338" s="26" t="n">
        <v>15.94396732146484</v>
      </c>
      <c r="R1338" s="24" t="n">
        <v>3870.144045496141</v>
      </c>
      <c r="S1338" s="24">
        <f>R1338*IF(A1338=4, 2.0, 3.0)</f>
        <v/>
      </c>
      <c r="T1338" s="22">
        <f>'Dashboard &amp; Optimisation'!$B$18*U1338</f>
        <v/>
      </c>
      <c r="U1338" s="27">
        <f>MIN(1, S1338/M1338)</f>
        <v/>
      </c>
      <c r="V1338" s="27">
        <f>N1338/(N1338+O1338)</f>
        <v/>
      </c>
      <c r="W1338" s="27">
        <f>U1338*V1338</f>
        <v/>
      </c>
      <c r="X1338" s="25">
        <f>T1338/N1338</f>
        <v/>
      </c>
      <c r="Y1338" s="28">
        <f>IF(W1338=MAXIFS(W$2:W$3601, A$2:A$3601, A1338, B$2:B$3601, B1338), "OPTIMAL", "")</f>
        <v/>
      </c>
    </row>
    <row r="1339" ht="20" customHeight="1">
      <c r="A1339" s="29" t="n">
        <v>4</v>
      </c>
      <c r="B1339" s="29" t="n">
        <v>40</v>
      </c>
      <c r="C1339" s="30" t="n">
        <v>110</v>
      </c>
      <c r="D1339" s="30" t="n">
        <v>2</v>
      </c>
      <c r="E1339" s="6" t="n">
        <v>8</v>
      </c>
      <c r="F1339" s="30" t="n">
        <v>2</v>
      </c>
      <c r="G1339" s="6" t="inlineStr">
        <is>
          <t>Oui</t>
        </is>
      </c>
      <c r="H1339" s="6" t="inlineStr">
        <is>
          <t>OFF</t>
        </is>
      </c>
      <c r="I1339" s="31" t="n">
        <v>994.4885628369005</v>
      </c>
      <c r="J1339" s="31" t="n">
        <v>4850.441664768843</v>
      </c>
      <c r="K1339" s="31" t="n">
        <v>2726.851851851852</v>
      </c>
      <c r="L1339" s="31" t="n">
        <v>150</v>
      </c>
      <c r="M1339" s="31">
        <f>I1339+J1339+K1339+L1339</f>
        <v/>
      </c>
      <c r="N1339" s="31">
        <f>M1339*'Dashboard &amp; Optimisation'!$B$18/('Dashboard &amp; Optimisation'!$B$16/3.6)</f>
        <v/>
      </c>
      <c r="O1339" s="31" t="n">
        <v>868.9772793788277</v>
      </c>
      <c r="P1339" s="32" t="n">
        <v>0.2276454001773911</v>
      </c>
      <c r="Q1339" s="33" t="n">
        <v>15.94396732146484</v>
      </c>
      <c r="R1339" s="31" t="n">
        <v>885.2892879552937</v>
      </c>
      <c r="S1339" s="31">
        <f>R1339*IF(A1339=4, 2.0, 3.0)</f>
        <v/>
      </c>
      <c r="T1339" s="30">
        <f>'Dashboard &amp; Optimisation'!$B$18*U1339</f>
        <v/>
      </c>
      <c r="U1339" s="34">
        <f>MIN(1, S1339/M1339)</f>
        <v/>
      </c>
      <c r="V1339" s="34">
        <f>N1339/(N1339+O1339)</f>
        <v/>
      </c>
      <c r="W1339" s="34">
        <f>U1339*V1339</f>
        <v/>
      </c>
      <c r="X1339" s="32">
        <f>T1339/N1339</f>
        <v/>
      </c>
      <c r="Y1339" s="35">
        <f>IF(W1339=MAXIFS(W$2:W$3601, A$2:A$3601, A1339, B$2:B$3601, B1339), "OPTIMAL", "")</f>
        <v/>
      </c>
    </row>
    <row r="1340" ht="20" customHeight="1">
      <c r="A1340" s="21" t="n">
        <v>4</v>
      </c>
      <c r="B1340" s="21" t="n">
        <v>40</v>
      </c>
      <c r="C1340" s="22" t="n">
        <v>110</v>
      </c>
      <c r="D1340" s="22" t="n">
        <v>2</v>
      </c>
      <c r="E1340" s="23" t="n">
        <v>8</v>
      </c>
      <c r="F1340" s="22" t="n">
        <v>2</v>
      </c>
      <c r="G1340" s="23" t="inlineStr">
        <is>
          <t>Non</t>
        </is>
      </c>
      <c r="H1340" s="23" t="inlineStr">
        <is>
          <t>ON</t>
        </is>
      </c>
      <c r="I1340" s="24" t="n">
        <v>994.4885628369005</v>
      </c>
      <c r="J1340" s="24" t="n">
        <v>4850.441664768843</v>
      </c>
      <c r="K1340" s="24" t="n">
        <v>2726.851851851852</v>
      </c>
      <c r="L1340" s="24" t="n">
        <v>150</v>
      </c>
      <c r="M1340" s="24">
        <f>I1340+J1340+K1340+L1340</f>
        <v/>
      </c>
      <c r="N1340" s="24">
        <f>M1340*'Dashboard &amp; Optimisation'!$B$18/('Dashboard &amp; Optimisation'!$B$16/3.6)</f>
        <v/>
      </c>
      <c r="O1340" s="24" t="n">
        <v>868.9772793788277</v>
      </c>
      <c r="P1340" s="25" t="n">
        <v>0.0491797965715034</v>
      </c>
      <c r="Q1340" s="26" t="n">
        <v>15.94396732146484</v>
      </c>
      <c r="R1340" s="24" t="n">
        <v>4097.862298725237</v>
      </c>
      <c r="S1340" s="24">
        <f>R1340*IF(A1340=4, 2.0, 3.0)</f>
        <v/>
      </c>
      <c r="T1340" s="22">
        <f>'Dashboard &amp; Optimisation'!$B$18*U1340</f>
        <v/>
      </c>
      <c r="U1340" s="27">
        <f>MIN(1, S1340/M1340)</f>
        <v/>
      </c>
      <c r="V1340" s="27">
        <f>N1340/(N1340+O1340)</f>
        <v/>
      </c>
      <c r="W1340" s="27">
        <f>U1340*V1340</f>
        <v/>
      </c>
      <c r="X1340" s="25">
        <f>T1340/N1340</f>
        <v/>
      </c>
      <c r="Y1340" s="28">
        <f>IF(W1340=MAXIFS(W$2:W$3601, A$2:A$3601, A1340, B$2:B$3601, B1340), "OPTIMAL", "")</f>
        <v/>
      </c>
    </row>
    <row r="1341" ht="20" customHeight="1">
      <c r="A1341" s="29" t="n">
        <v>4</v>
      </c>
      <c r="B1341" s="29" t="n">
        <v>40</v>
      </c>
      <c r="C1341" s="30" t="n">
        <v>110</v>
      </c>
      <c r="D1341" s="30" t="n">
        <v>2</v>
      </c>
      <c r="E1341" s="6" t="n">
        <v>8</v>
      </c>
      <c r="F1341" s="30" t="n">
        <v>2</v>
      </c>
      <c r="G1341" s="6" t="inlineStr">
        <is>
          <t>Non</t>
        </is>
      </c>
      <c r="H1341" s="6" t="inlineStr">
        <is>
          <t>OFF</t>
        </is>
      </c>
      <c r="I1341" s="31" t="n">
        <v>994.4885628369005</v>
      </c>
      <c r="J1341" s="31" t="n">
        <v>4850.441664768843</v>
      </c>
      <c r="K1341" s="31" t="n">
        <v>2726.851851851852</v>
      </c>
      <c r="L1341" s="31" t="n">
        <v>150</v>
      </c>
      <c r="M1341" s="31">
        <f>I1341+J1341+K1341+L1341</f>
        <v/>
      </c>
      <c r="N1341" s="31">
        <f>M1341*'Dashboard &amp; Optimisation'!$B$18/('Dashboard &amp; Optimisation'!$B$16/3.6)</f>
        <v/>
      </c>
      <c r="O1341" s="31" t="n">
        <v>868.9772793788277</v>
      </c>
      <c r="P1341" s="32" t="n">
        <v>0.2247516739393566</v>
      </c>
      <c r="Q1341" s="33" t="n">
        <v>15.94396732146484</v>
      </c>
      <c r="R1341" s="31" t="n">
        <v>896.6875783257508</v>
      </c>
      <c r="S1341" s="31">
        <f>R1341*IF(A1341=4, 2.0, 3.0)</f>
        <v/>
      </c>
      <c r="T1341" s="30">
        <f>'Dashboard &amp; Optimisation'!$B$18*U1341</f>
        <v/>
      </c>
      <c r="U1341" s="34">
        <f>MIN(1, S1341/M1341)</f>
        <v/>
      </c>
      <c r="V1341" s="34">
        <f>N1341/(N1341+O1341)</f>
        <v/>
      </c>
      <c r="W1341" s="34">
        <f>U1341*V1341</f>
        <v/>
      </c>
      <c r="X1341" s="32">
        <f>T1341/N1341</f>
        <v/>
      </c>
      <c r="Y1341" s="35">
        <f>IF(W1341=MAXIFS(W$2:W$3601, A$2:A$3601, A1341, B$2:B$3601, B1341), "OPTIMAL", "")</f>
        <v/>
      </c>
    </row>
    <row r="1342" ht="20" customHeight="1">
      <c r="A1342" s="21" t="n">
        <v>4</v>
      </c>
      <c r="B1342" s="21" t="n">
        <v>40</v>
      </c>
      <c r="C1342" s="22" t="n">
        <v>110</v>
      </c>
      <c r="D1342" s="22" t="n">
        <v>3</v>
      </c>
      <c r="E1342" s="23" t="n">
        <v>0</v>
      </c>
      <c r="F1342" s="22" t="n">
        <v>0</v>
      </c>
      <c r="G1342" s="23" t="inlineStr">
        <is>
          <t>Oui</t>
        </is>
      </c>
      <c r="H1342" s="23" t="inlineStr">
        <is>
          <t>ON</t>
        </is>
      </c>
      <c r="I1342" s="24" t="n">
        <v>994.4885628369005</v>
      </c>
      <c r="J1342" s="24" t="n">
        <v>4850.441664768843</v>
      </c>
      <c r="K1342" s="24" t="n">
        <v>2726.851851851852</v>
      </c>
      <c r="L1342" s="24" t="n">
        <v>150</v>
      </c>
      <c r="M1342" s="24">
        <f>I1342+J1342+K1342+L1342</f>
        <v/>
      </c>
      <c r="N1342" s="24">
        <f>M1342*'Dashboard &amp; Optimisation'!$B$18/('Dashboard &amp; Optimisation'!$B$16/3.6)</f>
        <v/>
      </c>
      <c r="O1342" s="24" t="n">
        <v>526.2212689360181</v>
      </c>
      <c r="P1342" s="25" t="n">
        <v>0.4731677858497217</v>
      </c>
      <c r="Q1342" s="26" t="n">
        <v>0.2</v>
      </c>
      <c r="R1342" s="24" t="n">
        <v>408.4459168685464</v>
      </c>
      <c r="S1342" s="24">
        <f>R1342*IF(A1342=4, 2.0, 3.0)</f>
        <v/>
      </c>
      <c r="T1342" s="22">
        <f>'Dashboard &amp; Optimisation'!$B$18*U1342</f>
        <v/>
      </c>
      <c r="U1342" s="27">
        <f>MIN(1, S1342/M1342)</f>
        <v/>
      </c>
      <c r="V1342" s="27">
        <f>N1342/(N1342+O1342)</f>
        <v/>
      </c>
      <c r="W1342" s="27">
        <f>U1342*V1342</f>
        <v/>
      </c>
      <c r="X1342" s="25">
        <f>T1342/N1342</f>
        <v/>
      </c>
      <c r="Y1342" s="28">
        <f>IF(W1342=MAXIFS(W$2:W$3601, A$2:A$3601, A1342, B$2:B$3601, B1342), "OPTIMAL", "")</f>
        <v/>
      </c>
    </row>
    <row r="1343" ht="20" customHeight="1">
      <c r="A1343" s="29" t="n">
        <v>4</v>
      </c>
      <c r="B1343" s="29" t="n">
        <v>40</v>
      </c>
      <c r="C1343" s="30" t="n">
        <v>110</v>
      </c>
      <c r="D1343" s="30" t="n">
        <v>3</v>
      </c>
      <c r="E1343" s="6" t="n">
        <v>0</v>
      </c>
      <c r="F1343" s="30" t="n">
        <v>0</v>
      </c>
      <c r="G1343" s="6" t="inlineStr">
        <is>
          <t>Oui</t>
        </is>
      </c>
      <c r="H1343" s="6" t="inlineStr">
        <is>
          <t>OFF</t>
        </is>
      </c>
      <c r="I1343" s="31" t="n">
        <v>994.4885628369005</v>
      </c>
      <c r="J1343" s="31" t="n">
        <v>4850.441664768843</v>
      </c>
      <c r="K1343" s="31" t="n">
        <v>2726.851851851852</v>
      </c>
      <c r="L1343" s="31" t="n">
        <v>150</v>
      </c>
      <c r="M1343" s="31">
        <f>I1343+J1343+K1343+L1343</f>
        <v/>
      </c>
      <c r="N1343" s="31">
        <f>M1343*'Dashboard &amp; Optimisation'!$B$18/('Dashboard &amp; Optimisation'!$B$16/3.6)</f>
        <v/>
      </c>
      <c r="O1343" s="31" t="n">
        <v>526.2212689360181</v>
      </c>
      <c r="P1343" s="32" t="n">
        <v>0.7625404096531678</v>
      </c>
      <c r="Q1343" s="33" t="n">
        <v>0.2</v>
      </c>
      <c r="R1343" s="31" t="n">
        <v>253.4468307219982</v>
      </c>
      <c r="S1343" s="31">
        <f>R1343*IF(A1343=4, 2.0, 3.0)</f>
        <v/>
      </c>
      <c r="T1343" s="30">
        <f>'Dashboard &amp; Optimisation'!$B$18*U1343</f>
        <v/>
      </c>
      <c r="U1343" s="34">
        <f>MIN(1, S1343/M1343)</f>
        <v/>
      </c>
      <c r="V1343" s="34">
        <f>N1343/(N1343+O1343)</f>
        <v/>
      </c>
      <c r="W1343" s="34">
        <f>U1343*V1343</f>
        <v/>
      </c>
      <c r="X1343" s="32">
        <f>T1343/N1343</f>
        <v/>
      </c>
      <c r="Y1343" s="35">
        <f>IF(W1343=MAXIFS(W$2:W$3601, A$2:A$3601, A1343, B$2:B$3601, B1343), "OPTIMAL", "")</f>
        <v/>
      </c>
    </row>
    <row r="1344" ht="20" customHeight="1">
      <c r="A1344" s="21" t="n">
        <v>4</v>
      </c>
      <c r="B1344" s="21" t="n">
        <v>40</v>
      </c>
      <c r="C1344" s="22" t="n">
        <v>110</v>
      </c>
      <c r="D1344" s="22" t="n">
        <v>3</v>
      </c>
      <c r="E1344" s="23" t="n">
        <v>0</v>
      </c>
      <c r="F1344" s="22" t="n">
        <v>0</v>
      </c>
      <c r="G1344" s="23" t="inlineStr">
        <is>
          <t>Non</t>
        </is>
      </c>
      <c r="H1344" s="23" t="inlineStr">
        <is>
          <t>ON</t>
        </is>
      </c>
      <c r="I1344" s="24" t="n">
        <v>994.4885628369005</v>
      </c>
      <c r="J1344" s="24" t="n">
        <v>4850.441664768843</v>
      </c>
      <c r="K1344" s="24" t="n">
        <v>2726.851851851852</v>
      </c>
      <c r="L1344" s="24" t="n">
        <v>150</v>
      </c>
      <c r="M1344" s="24">
        <f>I1344+J1344+K1344+L1344</f>
        <v/>
      </c>
      <c r="N1344" s="24">
        <f>M1344*'Dashboard &amp; Optimisation'!$B$18/('Dashboard &amp; Optimisation'!$B$16/3.6)</f>
        <v/>
      </c>
      <c r="O1344" s="24" t="n">
        <v>526.2212689360181</v>
      </c>
      <c r="P1344" s="25" t="n">
        <v>0.4702740596116872</v>
      </c>
      <c r="Q1344" s="26" t="n">
        <v>0.2</v>
      </c>
      <c r="R1344" s="24" t="n">
        <v>410.9591974595203</v>
      </c>
      <c r="S1344" s="24">
        <f>R1344*IF(A1344=4, 2.0, 3.0)</f>
        <v/>
      </c>
      <c r="T1344" s="22">
        <f>'Dashboard &amp; Optimisation'!$B$18*U1344</f>
        <v/>
      </c>
      <c r="U1344" s="27">
        <f>MIN(1, S1344/M1344)</f>
        <v/>
      </c>
      <c r="V1344" s="27">
        <f>N1344/(N1344+O1344)</f>
        <v/>
      </c>
      <c r="W1344" s="27">
        <f>U1344*V1344</f>
        <v/>
      </c>
      <c r="X1344" s="25">
        <f>T1344/N1344</f>
        <v/>
      </c>
      <c r="Y1344" s="28">
        <f>IF(W1344=MAXIFS(W$2:W$3601, A$2:A$3601, A1344, B$2:B$3601, B1344), "OPTIMAL", "")</f>
        <v/>
      </c>
    </row>
    <row r="1345" ht="20" customHeight="1">
      <c r="A1345" s="29" t="n">
        <v>4</v>
      </c>
      <c r="B1345" s="29" t="n">
        <v>40</v>
      </c>
      <c r="C1345" s="30" t="n">
        <v>110</v>
      </c>
      <c r="D1345" s="30" t="n">
        <v>3</v>
      </c>
      <c r="E1345" s="6" t="n">
        <v>0</v>
      </c>
      <c r="F1345" s="30" t="n">
        <v>0</v>
      </c>
      <c r="G1345" s="6" t="inlineStr">
        <is>
          <t>Non</t>
        </is>
      </c>
      <c r="H1345" s="6" t="inlineStr">
        <is>
          <t>OFF</t>
        </is>
      </c>
      <c r="I1345" s="31" t="n">
        <v>994.4885628369005</v>
      </c>
      <c r="J1345" s="31" t="n">
        <v>4850.441664768843</v>
      </c>
      <c r="K1345" s="31" t="n">
        <v>2726.851851851852</v>
      </c>
      <c r="L1345" s="31" t="n">
        <v>150</v>
      </c>
      <c r="M1345" s="31">
        <f>I1345+J1345+K1345+L1345</f>
        <v/>
      </c>
      <c r="N1345" s="31">
        <f>M1345*'Dashboard &amp; Optimisation'!$B$18/('Dashboard &amp; Optimisation'!$B$16/3.6)</f>
        <v/>
      </c>
      <c r="O1345" s="31" t="n">
        <v>526.2212689360181</v>
      </c>
      <c r="P1345" s="32" t="n">
        <v>0.7596466834151334</v>
      </c>
      <c r="Q1345" s="33" t="n">
        <v>0.2</v>
      </c>
      <c r="R1345" s="31" t="n">
        <v>254.4122871111576</v>
      </c>
      <c r="S1345" s="31">
        <f>R1345*IF(A1345=4, 2.0, 3.0)</f>
        <v/>
      </c>
      <c r="T1345" s="30">
        <f>'Dashboard &amp; Optimisation'!$B$18*U1345</f>
        <v/>
      </c>
      <c r="U1345" s="34">
        <f>MIN(1, S1345/M1345)</f>
        <v/>
      </c>
      <c r="V1345" s="34">
        <f>N1345/(N1345+O1345)</f>
        <v/>
      </c>
      <c r="W1345" s="34">
        <f>U1345*V1345</f>
        <v/>
      </c>
      <c r="X1345" s="32">
        <f>T1345/N1345</f>
        <v/>
      </c>
      <c r="Y1345" s="35">
        <f>IF(W1345=MAXIFS(W$2:W$3601, A$2:A$3601, A1345, B$2:B$3601, B1345), "OPTIMAL", "")</f>
        <v/>
      </c>
    </row>
    <row r="1346" ht="20" customHeight="1">
      <c r="A1346" s="21" t="n">
        <v>4</v>
      </c>
      <c r="B1346" s="21" t="n">
        <v>40</v>
      </c>
      <c r="C1346" s="22" t="n">
        <v>110</v>
      </c>
      <c r="D1346" s="22" t="n">
        <v>3</v>
      </c>
      <c r="E1346" s="23" t="n">
        <v>4</v>
      </c>
      <c r="F1346" s="22" t="n">
        <v>1.5</v>
      </c>
      <c r="G1346" s="23" t="inlineStr">
        <is>
          <t>Oui</t>
        </is>
      </c>
      <c r="H1346" s="23" t="inlineStr">
        <is>
          <t>ON</t>
        </is>
      </c>
      <c r="I1346" s="24" t="n">
        <v>994.4885628369005</v>
      </c>
      <c r="J1346" s="24" t="n">
        <v>4850.441664768843</v>
      </c>
      <c r="K1346" s="24" t="n">
        <v>2726.851851851852</v>
      </c>
      <c r="L1346" s="24" t="n">
        <v>150</v>
      </c>
      <c r="M1346" s="24">
        <f>I1346+J1346+K1346+L1346</f>
        <v/>
      </c>
      <c r="N1346" s="24">
        <f>M1346*'Dashboard &amp; Optimisation'!$B$18/('Dashboard &amp; Optimisation'!$B$16/3.6)</f>
        <v/>
      </c>
      <c r="O1346" s="24" t="n">
        <v>724.7225154458919</v>
      </c>
      <c r="P1346" s="25" t="n">
        <v>0.07040639651024357</v>
      </c>
      <c r="Q1346" s="26" t="n">
        <v>6.217525971425261</v>
      </c>
      <c r="R1346" s="24" t="n">
        <v>2828.065552952206</v>
      </c>
      <c r="S1346" s="24">
        <f>R1346*IF(A1346=4, 2.0, 3.0)</f>
        <v/>
      </c>
      <c r="T1346" s="22">
        <f>'Dashboard &amp; Optimisation'!$B$18*U1346</f>
        <v/>
      </c>
      <c r="U1346" s="27">
        <f>MIN(1, S1346/M1346)</f>
        <v/>
      </c>
      <c r="V1346" s="27">
        <f>N1346/(N1346+O1346)</f>
        <v/>
      </c>
      <c r="W1346" s="27">
        <f>U1346*V1346</f>
        <v/>
      </c>
      <c r="X1346" s="25">
        <f>T1346/N1346</f>
        <v/>
      </c>
      <c r="Y1346" s="28">
        <f>IF(W1346=MAXIFS(W$2:W$3601, A$2:A$3601, A1346, B$2:B$3601, B1346), "OPTIMAL", "")</f>
        <v/>
      </c>
    </row>
    <row r="1347" ht="20" customHeight="1">
      <c r="A1347" s="29" t="n">
        <v>4</v>
      </c>
      <c r="B1347" s="29" t="n">
        <v>40</v>
      </c>
      <c r="C1347" s="30" t="n">
        <v>110</v>
      </c>
      <c r="D1347" s="30" t="n">
        <v>3</v>
      </c>
      <c r="E1347" s="6" t="n">
        <v>4</v>
      </c>
      <c r="F1347" s="30" t="n">
        <v>1.5</v>
      </c>
      <c r="G1347" s="6" t="inlineStr">
        <is>
          <t>Oui</t>
        </is>
      </c>
      <c r="H1347" s="6" t="inlineStr">
        <is>
          <t>OFF</t>
        </is>
      </c>
      <c r="I1347" s="31" t="n">
        <v>994.4885628369005</v>
      </c>
      <c r="J1347" s="31" t="n">
        <v>4850.441664768843</v>
      </c>
      <c r="K1347" s="31" t="n">
        <v>2726.851851851852</v>
      </c>
      <c r="L1347" s="31" t="n">
        <v>150</v>
      </c>
      <c r="M1347" s="31">
        <f>I1347+J1347+K1347+L1347</f>
        <v/>
      </c>
      <c r="N1347" s="31">
        <f>M1347*'Dashboard &amp; Optimisation'!$B$18/('Dashboard &amp; Optimisation'!$B$16/3.6)</f>
        <v/>
      </c>
      <c r="O1347" s="31" t="n">
        <v>724.7225154458919</v>
      </c>
      <c r="P1347" s="32" t="n">
        <v>0.2880026189593694</v>
      </c>
      <c r="Q1347" s="33" t="n">
        <v>6.217525971425261</v>
      </c>
      <c r="R1347" s="31" t="n">
        <v>691.3614376062485</v>
      </c>
      <c r="S1347" s="31">
        <f>R1347*IF(A1347=4, 2.0, 3.0)</f>
        <v/>
      </c>
      <c r="T1347" s="30">
        <f>'Dashboard &amp; Optimisation'!$B$18*U1347</f>
        <v/>
      </c>
      <c r="U1347" s="34">
        <f>MIN(1, S1347/M1347)</f>
        <v/>
      </c>
      <c r="V1347" s="34">
        <f>N1347/(N1347+O1347)</f>
        <v/>
      </c>
      <c r="W1347" s="34">
        <f>U1347*V1347</f>
        <v/>
      </c>
      <c r="X1347" s="32">
        <f>T1347/N1347</f>
        <v/>
      </c>
      <c r="Y1347" s="35">
        <f>IF(W1347=MAXIFS(W$2:W$3601, A$2:A$3601, A1347, B$2:B$3601, B1347), "OPTIMAL", "")</f>
        <v/>
      </c>
    </row>
    <row r="1348" ht="20" customHeight="1">
      <c r="A1348" s="21" t="n">
        <v>4</v>
      </c>
      <c r="B1348" s="21" t="n">
        <v>40</v>
      </c>
      <c r="C1348" s="22" t="n">
        <v>110</v>
      </c>
      <c r="D1348" s="22" t="n">
        <v>3</v>
      </c>
      <c r="E1348" s="23" t="n">
        <v>4</v>
      </c>
      <c r="F1348" s="22" t="n">
        <v>1.5</v>
      </c>
      <c r="G1348" s="23" t="inlineStr">
        <is>
          <t>Non</t>
        </is>
      </c>
      <c r="H1348" s="23" t="inlineStr">
        <is>
          <t>ON</t>
        </is>
      </c>
      <c r="I1348" s="24" t="n">
        <v>994.4885628369005</v>
      </c>
      <c r="J1348" s="24" t="n">
        <v>4850.441664768843</v>
      </c>
      <c r="K1348" s="24" t="n">
        <v>2726.851851851852</v>
      </c>
      <c r="L1348" s="24" t="n">
        <v>150</v>
      </c>
      <c r="M1348" s="24">
        <f>I1348+J1348+K1348+L1348</f>
        <v/>
      </c>
      <c r="N1348" s="24">
        <f>M1348*'Dashboard &amp; Optimisation'!$B$18/('Dashboard &amp; Optimisation'!$B$16/3.6)</f>
        <v/>
      </c>
      <c r="O1348" s="24" t="n">
        <v>724.7225154458919</v>
      </c>
      <c r="P1348" s="25" t="n">
        <v>0.06751267027220911</v>
      </c>
      <c r="Q1348" s="26" t="n">
        <v>6.217525971425261</v>
      </c>
      <c r="R1348" s="24" t="n">
        <v>2949.28202180854</v>
      </c>
      <c r="S1348" s="24">
        <f>R1348*IF(A1348=4, 2.0, 3.0)</f>
        <v/>
      </c>
      <c r="T1348" s="22">
        <f>'Dashboard &amp; Optimisation'!$B$18*U1348</f>
        <v/>
      </c>
      <c r="U1348" s="27">
        <f>MIN(1, S1348/M1348)</f>
        <v/>
      </c>
      <c r="V1348" s="27">
        <f>N1348/(N1348+O1348)</f>
        <v/>
      </c>
      <c r="W1348" s="27">
        <f>U1348*V1348</f>
        <v/>
      </c>
      <c r="X1348" s="25">
        <f>T1348/N1348</f>
        <v/>
      </c>
      <c r="Y1348" s="28">
        <f>IF(W1348=MAXIFS(W$2:W$3601, A$2:A$3601, A1348, B$2:B$3601, B1348), "OPTIMAL", "")</f>
        <v/>
      </c>
    </row>
    <row r="1349" ht="20" customHeight="1">
      <c r="A1349" s="29" t="n">
        <v>4</v>
      </c>
      <c r="B1349" s="29" t="n">
        <v>40</v>
      </c>
      <c r="C1349" s="30" t="n">
        <v>110</v>
      </c>
      <c r="D1349" s="30" t="n">
        <v>3</v>
      </c>
      <c r="E1349" s="6" t="n">
        <v>4</v>
      </c>
      <c r="F1349" s="30" t="n">
        <v>1.5</v>
      </c>
      <c r="G1349" s="6" t="inlineStr">
        <is>
          <t>Non</t>
        </is>
      </c>
      <c r="H1349" s="6" t="inlineStr">
        <is>
          <t>OFF</t>
        </is>
      </c>
      <c r="I1349" s="31" t="n">
        <v>994.4885628369005</v>
      </c>
      <c r="J1349" s="31" t="n">
        <v>4850.441664768843</v>
      </c>
      <c r="K1349" s="31" t="n">
        <v>2726.851851851852</v>
      </c>
      <c r="L1349" s="31" t="n">
        <v>150</v>
      </c>
      <c r="M1349" s="31">
        <f>I1349+J1349+K1349+L1349</f>
        <v/>
      </c>
      <c r="N1349" s="31">
        <f>M1349*'Dashboard &amp; Optimisation'!$B$18/('Dashboard &amp; Optimisation'!$B$16/3.6)</f>
        <v/>
      </c>
      <c r="O1349" s="31" t="n">
        <v>724.7225154458919</v>
      </c>
      <c r="P1349" s="32" t="n">
        <v>0.2851088927213349</v>
      </c>
      <c r="Q1349" s="33" t="n">
        <v>6.217525971425261</v>
      </c>
      <c r="R1349" s="31" t="n">
        <v>698.3784433294682</v>
      </c>
      <c r="S1349" s="31">
        <f>R1349*IF(A1349=4, 2.0, 3.0)</f>
        <v/>
      </c>
      <c r="T1349" s="30">
        <f>'Dashboard &amp; Optimisation'!$B$18*U1349</f>
        <v/>
      </c>
      <c r="U1349" s="34">
        <f>MIN(1, S1349/M1349)</f>
        <v/>
      </c>
      <c r="V1349" s="34">
        <f>N1349/(N1349+O1349)</f>
        <v/>
      </c>
      <c r="W1349" s="34">
        <f>U1349*V1349</f>
        <v/>
      </c>
      <c r="X1349" s="32">
        <f>T1349/N1349</f>
        <v/>
      </c>
      <c r="Y1349" s="35">
        <f>IF(W1349=MAXIFS(W$2:W$3601, A$2:A$3601, A1349, B$2:B$3601, B1349), "OPTIMAL", "")</f>
        <v/>
      </c>
    </row>
    <row r="1350" ht="20" customHeight="1">
      <c r="A1350" s="21" t="n">
        <v>4</v>
      </c>
      <c r="B1350" s="21" t="n">
        <v>40</v>
      </c>
      <c r="C1350" s="22" t="n">
        <v>110</v>
      </c>
      <c r="D1350" s="22" t="n">
        <v>3</v>
      </c>
      <c r="E1350" s="23" t="n">
        <v>4</v>
      </c>
      <c r="F1350" s="22" t="n">
        <v>2</v>
      </c>
      <c r="G1350" s="23" t="inlineStr">
        <is>
          <t>Oui</t>
        </is>
      </c>
      <c r="H1350" s="23" t="inlineStr">
        <is>
          <t>ON</t>
        </is>
      </c>
      <c r="I1350" s="24" t="n">
        <v>994.4885628369005</v>
      </c>
      <c r="J1350" s="24" t="n">
        <v>4850.441664768843</v>
      </c>
      <c r="K1350" s="24" t="n">
        <v>2726.851851851852</v>
      </c>
      <c r="L1350" s="24" t="n">
        <v>150</v>
      </c>
      <c r="M1350" s="24">
        <f>I1350+J1350+K1350+L1350</f>
        <v/>
      </c>
      <c r="N1350" s="24">
        <f>M1350*'Dashboard &amp; Optimisation'!$B$18/('Dashboard &amp; Optimisation'!$B$16/3.6)</f>
        <v/>
      </c>
      <c r="O1350" s="24" t="n">
        <v>793.5874934061999</v>
      </c>
      <c r="P1350" s="25" t="n">
        <v>0.06745693940259542</v>
      </c>
      <c r="Q1350" s="26" t="n">
        <v>8.223367961900347</v>
      </c>
      <c r="R1350" s="24" t="n">
        <v>2981.806963543948</v>
      </c>
      <c r="S1350" s="24">
        <f>R1350*IF(A1350=4, 2.0, 3.0)</f>
        <v/>
      </c>
      <c r="T1350" s="22">
        <f>'Dashboard &amp; Optimisation'!$B$18*U1350</f>
        <v/>
      </c>
      <c r="U1350" s="27">
        <f>MIN(1, S1350/M1350)</f>
        <v/>
      </c>
      <c r="V1350" s="27">
        <f>N1350/(N1350+O1350)</f>
        <v/>
      </c>
      <c r="W1350" s="27">
        <f>U1350*V1350</f>
        <v/>
      </c>
      <c r="X1350" s="25">
        <f>T1350/N1350</f>
        <v/>
      </c>
      <c r="Y1350" s="28">
        <f>IF(W1350=MAXIFS(W$2:W$3601, A$2:A$3601, A1350, B$2:B$3601, B1350), "OPTIMAL", "")</f>
        <v/>
      </c>
    </row>
    <row r="1351" ht="20" customHeight="1">
      <c r="A1351" s="29" t="n">
        <v>4</v>
      </c>
      <c r="B1351" s="29" t="n">
        <v>40</v>
      </c>
      <c r="C1351" s="30" t="n">
        <v>110</v>
      </c>
      <c r="D1351" s="30" t="n">
        <v>3</v>
      </c>
      <c r="E1351" s="6" t="n">
        <v>4</v>
      </c>
      <c r="F1351" s="30" t="n">
        <v>2</v>
      </c>
      <c r="G1351" s="6" t="inlineStr">
        <is>
          <t>Oui</t>
        </is>
      </c>
      <c r="H1351" s="6" t="inlineStr">
        <is>
          <t>OFF</t>
        </is>
      </c>
      <c r="I1351" s="31" t="n">
        <v>994.4885628369005</v>
      </c>
      <c r="J1351" s="31" t="n">
        <v>4850.441664768843</v>
      </c>
      <c r="K1351" s="31" t="n">
        <v>2726.851851851852</v>
      </c>
      <c r="L1351" s="31" t="n">
        <v>150</v>
      </c>
      <c r="M1351" s="31">
        <f>I1351+J1351+K1351+L1351</f>
        <v/>
      </c>
      <c r="N1351" s="31">
        <f>M1351*'Dashboard &amp; Optimisation'!$B$18/('Dashboard &amp; Optimisation'!$B$16/3.6)</f>
        <v/>
      </c>
      <c r="O1351" s="31" t="n">
        <v>793.5874934061999</v>
      </c>
      <c r="P1351" s="32" t="n">
        <v>0.286002519850184</v>
      </c>
      <c r="Q1351" s="33" t="n">
        <v>8.223367961900347</v>
      </c>
      <c r="R1351" s="31" t="n">
        <v>703.2930050944506</v>
      </c>
      <c r="S1351" s="31">
        <f>R1351*IF(A1351=4, 2.0, 3.0)</f>
        <v/>
      </c>
      <c r="T1351" s="30">
        <f>'Dashboard &amp; Optimisation'!$B$18*U1351</f>
        <v/>
      </c>
      <c r="U1351" s="34">
        <f>MIN(1, S1351/M1351)</f>
        <v/>
      </c>
      <c r="V1351" s="34">
        <f>N1351/(N1351+O1351)</f>
        <v/>
      </c>
      <c r="W1351" s="34">
        <f>U1351*V1351</f>
        <v/>
      </c>
      <c r="X1351" s="32">
        <f>T1351/N1351</f>
        <v/>
      </c>
      <c r="Y1351" s="35">
        <f>IF(W1351=MAXIFS(W$2:W$3601, A$2:A$3601, A1351, B$2:B$3601, B1351), "OPTIMAL", "")</f>
        <v/>
      </c>
    </row>
    <row r="1352" ht="20" customHeight="1">
      <c r="A1352" s="21" t="n">
        <v>4</v>
      </c>
      <c r="B1352" s="21" t="n">
        <v>40</v>
      </c>
      <c r="C1352" s="22" t="n">
        <v>110</v>
      </c>
      <c r="D1352" s="22" t="n">
        <v>3</v>
      </c>
      <c r="E1352" s="23" t="n">
        <v>4</v>
      </c>
      <c r="F1352" s="22" t="n">
        <v>2</v>
      </c>
      <c r="G1352" s="23" t="inlineStr">
        <is>
          <t>Non</t>
        </is>
      </c>
      <c r="H1352" s="23" t="inlineStr">
        <is>
          <t>ON</t>
        </is>
      </c>
      <c r="I1352" s="24" t="n">
        <v>994.4885628369005</v>
      </c>
      <c r="J1352" s="24" t="n">
        <v>4850.441664768843</v>
      </c>
      <c r="K1352" s="24" t="n">
        <v>2726.851851851852</v>
      </c>
      <c r="L1352" s="24" t="n">
        <v>150</v>
      </c>
      <c r="M1352" s="24">
        <f>I1352+J1352+K1352+L1352</f>
        <v/>
      </c>
      <c r="N1352" s="24">
        <f>M1352*'Dashboard &amp; Optimisation'!$B$18/('Dashboard &amp; Optimisation'!$B$16/3.6)</f>
        <v/>
      </c>
      <c r="O1352" s="24" t="n">
        <v>793.5874934061999</v>
      </c>
      <c r="P1352" s="25" t="n">
        <v>0.06456321316456097</v>
      </c>
      <c r="Q1352" s="26" t="n">
        <v>8.223367961900347</v>
      </c>
      <c r="R1352" s="24" t="n">
        <v>3115.451691311264</v>
      </c>
      <c r="S1352" s="24">
        <f>R1352*IF(A1352=4, 2.0, 3.0)</f>
        <v/>
      </c>
      <c r="T1352" s="22">
        <f>'Dashboard &amp; Optimisation'!$B$18*U1352</f>
        <v/>
      </c>
      <c r="U1352" s="27">
        <f>MIN(1, S1352/M1352)</f>
        <v/>
      </c>
      <c r="V1352" s="27">
        <f>N1352/(N1352+O1352)</f>
        <v/>
      </c>
      <c r="W1352" s="27">
        <f>U1352*V1352</f>
        <v/>
      </c>
      <c r="X1352" s="25">
        <f>T1352/N1352</f>
        <v/>
      </c>
      <c r="Y1352" s="28">
        <f>IF(W1352=MAXIFS(W$2:W$3601, A$2:A$3601, A1352, B$2:B$3601, B1352), "OPTIMAL", "")</f>
        <v/>
      </c>
    </row>
    <row r="1353" ht="20" customHeight="1">
      <c r="A1353" s="29" t="n">
        <v>4</v>
      </c>
      <c r="B1353" s="29" t="n">
        <v>40</v>
      </c>
      <c r="C1353" s="30" t="n">
        <v>110</v>
      </c>
      <c r="D1353" s="30" t="n">
        <v>3</v>
      </c>
      <c r="E1353" s="6" t="n">
        <v>4</v>
      </c>
      <c r="F1353" s="30" t="n">
        <v>2</v>
      </c>
      <c r="G1353" s="6" t="inlineStr">
        <is>
          <t>Non</t>
        </is>
      </c>
      <c r="H1353" s="6" t="inlineStr">
        <is>
          <t>OFF</t>
        </is>
      </c>
      <c r="I1353" s="31" t="n">
        <v>994.4885628369005</v>
      </c>
      <c r="J1353" s="31" t="n">
        <v>4850.441664768843</v>
      </c>
      <c r="K1353" s="31" t="n">
        <v>2726.851851851852</v>
      </c>
      <c r="L1353" s="31" t="n">
        <v>150</v>
      </c>
      <c r="M1353" s="31">
        <f>I1353+J1353+K1353+L1353</f>
        <v/>
      </c>
      <c r="N1353" s="31">
        <f>M1353*'Dashboard &amp; Optimisation'!$B$18/('Dashboard &amp; Optimisation'!$B$16/3.6)</f>
        <v/>
      </c>
      <c r="O1353" s="31" t="n">
        <v>793.5874934061999</v>
      </c>
      <c r="P1353" s="32" t="n">
        <v>0.2831087936121495</v>
      </c>
      <c r="Q1353" s="33" t="n">
        <v>8.223367961900347</v>
      </c>
      <c r="R1353" s="31" t="n">
        <v>710.481539918473</v>
      </c>
      <c r="S1353" s="31">
        <f>R1353*IF(A1353=4, 2.0, 3.0)</f>
        <v/>
      </c>
      <c r="T1353" s="30">
        <f>'Dashboard &amp; Optimisation'!$B$18*U1353</f>
        <v/>
      </c>
      <c r="U1353" s="34">
        <f>MIN(1, S1353/M1353)</f>
        <v/>
      </c>
      <c r="V1353" s="34">
        <f>N1353/(N1353+O1353)</f>
        <v/>
      </c>
      <c r="W1353" s="34">
        <f>U1353*V1353</f>
        <v/>
      </c>
      <c r="X1353" s="32">
        <f>T1353/N1353</f>
        <v/>
      </c>
      <c r="Y1353" s="35">
        <f>IF(W1353=MAXIFS(W$2:W$3601, A$2:A$3601, A1353, B$2:B$3601, B1353), "OPTIMAL", "")</f>
        <v/>
      </c>
    </row>
    <row r="1354" ht="20" customHeight="1">
      <c r="A1354" s="21" t="n">
        <v>4</v>
      </c>
      <c r="B1354" s="21" t="n">
        <v>40</v>
      </c>
      <c r="C1354" s="22" t="n">
        <v>110</v>
      </c>
      <c r="D1354" s="22" t="n">
        <v>3</v>
      </c>
      <c r="E1354" s="23" t="n">
        <v>8</v>
      </c>
      <c r="F1354" s="22" t="n">
        <v>1.5</v>
      </c>
      <c r="G1354" s="23" t="inlineStr">
        <is>
          <t>Oui</t>
        </is>
      </c>
      <c r="H1354" s="23" t="inlineStr">
        <is>
          <t>ON</t>
        </is>
      </c>
      <c r="I1354" s="24" t="n">
        <v>994.4885628369005</v>
      </c>
      <c r="J1354" s="24" t="n">
        <v>4850.441664768843</v>
      </c>
      <c r="K1354" s="24" t="n">
        <v>2726.851851851852</v>
      </c>
      <c r="L1354" s="24" t="n">
        <v>150</v>
      </c>
      <c r="M1354" s="24">
        <f>I1354+J1354+K1354+L1354</f>
        <v/>
      </c>
      <c r="N1354" s="24">
        <f>M1354*'Dashboard &amp; Optimisation'!$B$18/('Dashboard &amp; Optimisation'!$B$16/3.6)</f>
        <v/>
      </c>
      <c r="O1354" s="24" t="n">
        <v>935.6169529199168</v>
      </c>
      <c r="P1354" s="25" t="n">
        <v>0.05337810813348487</v>
      </c>
      <c r="Q1354" s="26" t="n">
        <v>12.23505194285052</v>
      </c>
      <c r="R1354" s="24" t="n">
        <v>3846.701065939076</v>
      </c>
      <c r="S1354" s="24">
        <f>R1354*IF(A1354=4, 2.0, 3.0)</f>
        <v/>
      </c>
      <c r="T1354" s="22">
        <f>'Dashboard &amp; Optimisation'!$B$18*U1354</f>
        <v/>
      </c>
      <c r="U1354" s="27">
        <f>MIN(1, S1354/M1354)</f>
        <v/>
      </c>
      <c r="V1354" s="27">
        <f>N1354/(N1354+O1354)</f>
        <v/>
      </c>
      <c r="W1354" s="27">
        <f>U1354*V1354</f>
        <v/>
      </c>
      <c r="X1354" s="25">
        <f>T1354/N1354</f>
        <v/>
      </c>
      <c r="Y1354" s="28">
        <f>IF(W1354=MAXIFS(W$2:W$3601, A$2:A$3601, A1354, B$2:B$3601, B1354), "OPTIMAL", "")</f>
        <v/>
      </c>
    </row>
    <row r="1355" ht="20" customHeight="1">
      <c r="A1355" s="29" t="n">
        <v>4</v>
      </c>
      <c r="B1355" s="29" t="n">
        <v>40</v>
      </c>
      <c r="C1355" s="30" t="n">
        <v>110</v>
      </c>
      <c r="D1355" s="30" t="n">
        <v>3</v>
      </c>
      <c r="E1355" s="6" t="n">
        <v>8</v>
      </c>
      <c r="F1355" s="30" t="n">
        <v>1.5</v>
      </c>
      <c r="G1355" s="6" t="inlineStr">
        <is>
          <t>Oui</t>
        </is>
      </c>
      <c r="H1355" s="6" t="inlineStr">
        <is>
          <t>OFF</t>
        </is>
      </c>
      <c r="I1355" s="31" t="n">
        <v>994.4885628369005</v>
      </c>
      <c r="J1355" s="31" t="n">
        <v>4850.441664768843</v>
      </c>
      <c r="K1355" s="31" t="n">
        <v>2726.851851851852</v>
      </c>
      <c r="L1355" s="31" t="n">
        <v>150</v>
      </c>
      <c r="M1355" s="31">
        <f>I1355+J1355+K1355+L1355</f>
        <v/>
      </c>
      <c r="N1355" s="31">
        <f>M1355*'Dashboard &amp; Optimisation'!$B$18/('Dashboard &amp; Optimisation'!$B$16/3.6)</f>
        <v/>
      </c>
      <c r="O1355" s="31" t="n">
        <v>935.6169529199168</v>
      </c>
      <c r="P1355" s="32" t="n">
        <v>0.2277274271081772</v>
      </c>
      <c r="Q1355" s="33" t="n">
        <v>12.23505194285052</v>
      </c>
      <c r="R1355" s="31" t="n">
        <v>901.6464466414487</v>
      </c>
      <c r="S1355" s="31">
        <f>R1355*IF(A1355=4, 2.0, 3.0)</f>
        <v/>
      </c>
      <c r="T1355" s="30">
        <f>'Dashboard &amp; Optimisation'!$B$18*U1355</f>
        <v/>
      </c>
      <c r="U1355" s="34">
        <f>MIN(1, S1355/M1355)</f>
        <v/>
      </c>
      <c r="V1355" s="34">
        <f>N1355/(N1355+O1355)</f>
        <v/>
      </c>
      <c r="W1355" s="34">
        <f>U1355*V1355</f>
        <v/>
      </c>
      <c r="X1355" s="32">
        <f>T1355/N1355</f>
        <v/>
      </c>
      <c r="Y1355" s="35">
        <f>IF(W1355=MAXIFS(W$2:W$3601, A$2:A$3601, A1355, B$2:B$3601, B1355), "OPTIMAL", "")</f>
        <v/>
      </c>
    </row>
    <row r="1356" ht="20" customHeight="1">
      <c r="A1356" s="21" t="n">
        <v>4</v>
      </c>
      <c r="B1356" s="21" t="n">
        <v>40</v>
      </c>
      <c r="C1356" s="22" t="n">
        <v>110</v>
      </c>
      <c r="D1356" s="22" t="n">
        <v>3</v>
      </c>
      <c r="E1356" s="23" t="n">
        <v>8</v>
      </c>
      <c r="F1356" s="22" t="n">
        <v>1.5</v>
      </c>
      <c r="G1356" s="23" t="inlineStr">
        <is>
          <t>Non</t>
        </is>
      </c>
      <c r="H1356" s="23" t="inlineStr">
        <is>
          <t>ON</t>
        </is>
      </c>
      <c r="I1356" s="24" t="n">
        <v>994.4885628369005</v>
      </c>
      <c r="J1356" s="24" t="n">
        <v>4850.441664768843</v>
      </c>
      <c r="K1356" s="24" t="n">
        <v>2726.851851851852</v>
      </c>
      <c r="L1356" s="24" t="n">
        <v>150</v>
      </c>
      <c r="M1356" s="24">
        <f>I1356+J1356+K1356+L1356</f>
        <v/>
      </c>
      <c r="N1356" s="24">
        <f>M1356*'Dashboard &amp; Optimisation'!$B$18/('Dashboard &amp; Optimisation'!$B$16/3.6)</f>
        <v/>
      </c>
      <c r="O1356" s="24" t="n">
        <v>935.6169529199168</v>
      </c>
      <c r="P1356" s="25" t="n">
        <v>0.05048438189545042</v>
      </c>
      <c r="Q1356" s="26" t="n">
        <v>12.23505194285052</v>
      </c>
      <c r="R1356" s="24" t="n">
        <v>4067.191035043484</v>
      </c>
      <c r="S1356" s="24">
        <f>R1356*IF(A1356=4, 2.0, 3.0)</f>
        <v/>
      </c>
      <c r="T1356" s="22">
        <f>'Dashboard &amp; Optimisation'!$B$18*U1356</f>
        <v/>
      </c>
      <c r="U1356" s="27">
        <f>MIN(1, S1356/M1356)</f>
        <v/>
      </c>
      <c r="V1356" s="27">
        <f>N1356/(N1356+O1356)</f>
        <v/>
      </c>
      <c r="W1356" s="27">
        <f>U1356*V1356</f>
        <v/>
      </c>
      <c r="X1356" s="25">
        <f>T1356/N1356</f>
        <v/>
      </c>
      <c r="Y1356" s="28">
        <f>IF(W1356=MAXIFS(W$2:W$3601, A$2:A$3601, A1356, B$2:B$3601, B1356), "OPTIMAL", "")</f>
        <v/>
      </c>
    </row>
    <row r="1357" ht="20" customHeight="1">
      <c r="A1357" s="29" t="n">
        <v>4</v>
      </c>
      <c r="B1357" s="29" t="n">
        <v>40</v>
      </c>
      <c r="C1357" s="30" t="n">
        <v>110</v>
      </c>
      <c r="D1357" s="30" t="n">
        <v>3</v>
      </c>
      <c r="E1357" s="6" t="n">
        <v>8</v>
      </c>
      <c r="F1357" s="30" t="n">
        <v>1.5</v>
      </c>
      <c r="G1357" s="6" t="inlineStr">
        <is>
          <t>Non</t>
        </is>
      </c>
      <c r="H1357" s="6" t="inlineStr">
        <is>
          <t>OFF</t>
        </is>
      </c>
      <c r="I1357" s="31" t="n">
        <v>994.4885628369005</v>
      </c>
      <c r="J1357" s="31" t="n">
        <v>4850.441664768843</v>
      </c>
      <c r="K1357" s="31" t="n">
        <v>2726.851851851852</v>
      </c>
      <c r="L1357" s="31" t="n">
        <v>150</v>
      </c>
      <c r="M1357" s="31">
        <f>I1357+J1357+K1357+L1357</f>
        <v/>
      </c>
      <c r="N1357" s="31">
        <f>M1357*'Dashboard &amp; Optimisation'!$B$18/('Dashboard &amp; Optimisation'!$B$16/3.6)</f>
        <v/>
      </c>
      <c r="O1357" s="31" t="n">
        <v>935.6169529199168</v>
      </c>
      <c r="P1357" s="32" t="n">
        <v>0.2248337008701428</v>
      </c>
      <c r="Q1357" s="33" t="n">
        <v>12.23505194285052</v>
      </c>
      <c r="R1357" s="31" t="n">
        <v>913.2511036389504</v>
      </c>
      <c r="S1357" s="31">
        <f>R1357*IF(A1357=4, 2.0, 3.0)</f>
        <v/>
      </c>
      <c r="T1357" s="30">
        <f>'Dashboard &amp; Optimisation'!$B$18*U1357</f>
        <v/>
      </c>
      <c r="U1357" s="34">
        <f>MIN(1, S1357/M1357)</f>
        <v/>
      </c>
      <c r="V1357" s="34">
        <f>N1357/(N1357+O1357)</f>
        <v/>
      </c>
      <c r="W1357" s="34">
        <f>U1357*V1357</f>
        <v/>
      </c>
      <c r="X1357" s="32">
        <f>T1357/N1357</f>
        <v/>
      </c>
      <c r="Y1357" s="35">
        <f>IF(W1357=MAXIFS(W$2:W$3601, A$2:A$3601, A1357, B$2:B$3601, B1357), "OPTIMAL", "")</f>
        <v/>
      </c>
    </row>
    <row r="1358" ht="20" customHeight="1">
      <c r="A1358" s="21" t="n">
        <v>4</v>
      </c>
      <c r="B1358" s="21" t="n">
        <v>40</v>
      </c>
      <c r="C1358" s="22" t="n">
        <v>110</v>
      </c>
      <c r="D1358" s="22" t="n">
        <v>3</v>
      </c>
      <c r="E1358" s="23" t="n">
        <v>8</v>
      </c>
      <c r="F1358" s="22" t="n">
        <v>2</v>
      </c>
      <c r="G1358" s="23" t="inlineStr">
        <is>
          <t>Oui</t>
        </is>
      </c>
      <c r="H1358" s="23" t="inlineStr">
        <is>
          <t>ON</t>
        </is>
      </c>
      <c r="I1358" s="24" t="n">
        <v>994.4885628369005</v>
      </c>
      <c r="J1358" s="24" t="n">
        <v>4850.441664768843</v>
      </c>
      <c r="K1358" s="24" t="n">
        <v>2726.851851851852</v>
      </c>
      <c r="L1358" s="24" t="n">
        <v>150</v>
      </c>
      <c r="M1358" s="24">
        <f>I1358+J1358+K1358+L1358</f>
        <v/>
      </c>
      <c r="N1358" s="24">
        <f>M1358*'Dashboard &amp; Optimisation'!$B$18/('Dashboard &amp; Optimisation'!$B$16/3.6)</f>
        <v/>
      </c>
      <c r="O1358" s="24" t="n">
        <v>1083.68368347467</v>
      </c>
      <c r="P1358" s="25" t="n">
        <v>0.05199529928547215</v>
      </c>
      <c r="Q1358" s="26" t="n">
        <v>16.2467359238007</v>
      </c>
      <c r="R1358" s="24" t="n">
        <v>4032.934120229648</v>
      </c>
      <c r="S1358" s="24">
        <f>R1358*IF(A1358=4, 2.0, 3.0)</f>
        <v/>
      </c>
      <c r="T1358" s="22">
        <f>'Dashboard &amp; Optimisation'!$B$18*U1358</f>
        <v/>
      </c>
      <c r="U1358" s="27">
        <f>MIN(1, S1358/M1358)</f>
        <v/>
      </c>
      <c r="V1358" s="27">
        <f>N1358/(N1358+O1358)</f>
        <v/>
      </c>
      <c r="W1358" s="27">
        <f>U1358*V1358</f>
        <v/>
      </c>
      <c r="X1358" s="25">
        <f>T1358/N1358</f>
        <v/>
      </c>
      <c r="Y1358" s="28">
        <f>IF(W1358=MAXIFS(W$2:W$3601, A$2:A$3601, A1358, B$2:B$3601, B1358), "OPTIMAL", "")</f>
        <v/>
      </c>
    </row>
    <row r="1359" ht="20" customHeight="1">
      <c r="A1359" s="29" t="n">
        <v>4</v>
      </c>
      <c r="B1359" s="29" t="n">
        <v>40</v>
      </c>
      <c r="C1359" s="30" t="n">
        <v>110</v>
      </c>
      <c r="D1359" s="30" t="n">
        <v>3</v>
      </c>
      <c r="E1359" s="6" t="n">
        <v>8</v>
      </c>
      <c r="F1359" s="30" t="n">
        <v>2</v>
      </c>
      <c r="G1359" s="6" t="inlineStr">
        <is>
          <t>Oui</t>
        </is>
      </c>
      <c r="H1359" s="6" t="inlineStr">
        <is>
          <t>OFF</t>
        </is>
      </c>
      <c r="I1359" s="31" t="n">
        <v>994.4885628369005</v>
      </c>
      <c r="J1359" s="31" t="n">
        <v>4850.441664768843</v>
      </c>
      <c r="K1359" s="31" t="n">
        <v>2726.851851851852</v>
      </c>
      <c r="L1359" s="31" t="n">
        <v>150</v>
      </c>
      <c r="M1359" s="31">
        <f>I1359+J1359+K1359+L1359</f>
        <v/>
      </c>
      <c r="N1359" s="31">
        <f>M1359*'Dashboard &amp; Optimisation'!$B$18/('Dashboard &amp; Optimisation'!$B$16/3.6)</f>
        <v/>
      </c>
      <c r="O1359" s="31" t="n">
        <v>1083.68368347467</v>
      </c>
      <c r="P1359" s="32" t="n">
        <v>0.2275671766533254</v>
      </c>
      <c r="Q1359" s="33" t="n">
        <v>16.2467359238007</v>
      </c>
      <c r="R1359" s="31" t="n">
        <v>921.4580927871641</v>
      </c>
      <c r="S1359" s="31">
        <f>R1359*IF(A1359=4, 2.0, 3.0)</f>
        <v/>
      </c>
      <c r="T1359" s="30">
        <f>'Dashboard &amp; Optimisation'!$B$18*U1359</f>
        <v/>
      </c>
      <c r="U1359" s="34">
        <f>MIN(1, S1359/M1359)</f>
        <v/>
      </c>
      <c r="V1359" s="34">
        <f>N1359/(N1359+O1359)</f>
        <v/>
      </c>
      <c r="W1359" s="34">
        <f>U1359*V1359</f>
        <v/>
      </c>
      <c r="X1359" s="32">
        <f>T1359/N1359</f>
        <v/>
      </c>
      <c r="Y1359" s="35">
        <f>IF(W1359=MAXIFS(W$2:W$3601, A$2:A$3601, A1359, B$2:B$3601, B1359), "OPTIMAL", "")</f>
        <v/>
      </c>
    </row>
    <row r="1360" ht="20" customHeight="1">
      <c r="A1360" s="21" t="n">
        <v>4</v>
      </c>
      <c r="B1360" s="21" t="n">
        <v>40</v>
      </c>
      <c r="C1360" s="22" t="n">
        <v>110</v>
      </c>
      <c r="D1360" s="22" t="n">
        <v>3</v>
      </c>
      <c r="E1360" s="23" t="n">
        <v>8</v>
      </c>
      <c r="F1360" s="22" t="n">
        <v>2</v>
      </c>
      <c r="G1360" s="23" t="inlineStr">
        <is>
          <t>Non</t>
        </is>
      </c>
      <c r="H1360" s="23" t="inlineStr">
        <is>
          <t>ON</t>
        </is>
      </c>
      <c r="I1360" s="24" t="n">
        <v>994.4885628369005</v>
      </c>
      <c r="J1360" s="24" t="n">
        <v>4850.441664768843</v>
      </c>
      <c r="K1360" s="24" t="n">
        <v>2726.851851851852</v>
      </c>
      <c r="L1360" s="24" t="n">
        <v>150</v>
      </c>
      <c r="M1360" s="24">
        <f>I1360+J1360+K1360+L1360</f>
        <v/>
      </c>
      <c r="N1360" s="24">
        <f>M1360*'Dashboard &amp; Optimisation'!$B$18/('Dashboard &amp; Optimisation'!$B$16/3.6)</f>
        <v/>
      </c>
      <c r="O1360" s="24" t="n">
        <v>1083.68368347467</v>
      </c>
      <c r="P1360" s="25" t="n">
        <v>0.04910157304743769</v>
      </c>
      <c r="Q1360" s="26" t="n">
        <v>16.2467359238007</v>
      </c>
      <c r="R1360" s="24" t="n">
        <v>4270.608935020168</v>
      </c>
      <c r="S1360" s="24">
        <f>R1360*IF(A1360=4, 2.0, 3.0)</f>
        <v/>
      </c>
      <c r="T1360" s="22">
        <f>'Dashboard &amp; Optimisation'!$B$18*U1360</f>
        <v/>
      </c>
      <c r="U1360" s="27">
        <f>MIN(1, S1360/M1360)</f>
        <v/>
      </c>
      <c r="V1360" s="27">
        <f>N1360/(N1360+O1360)</f>
        <v/>
      </c>
      <c r="W1360" s="27">
        <f>U1360*V1360</f>
        <v/>
      </c>
      <c r="X1360" s="25">
        <f>T1360/N1360</f>
        <v/>
      </c>
      <c r="Y1360" s="28">
        <f>IF(W1360=MAXIFS(W$2:W$3601, A$2:A$3601, A1360, B$2:B$3601, B1360), "OPTIMAL", "")</f>
        <v/>
      </c>
    </row>
    <row r="1361" ht="20" customHeight="1">
      <c r="A1361" s="29" t="n">
        <v>4</v>
      </c>
      <c r="B1361" s="29" t="n">
        <v>40</v>
      </c>
      <c r="C1361" s="30" t="n">
        <v>110</v>
      </c>
      <c r="D1361" s="30" t="n">
        <v>3</v>
      </c>
      <c r="E1361" s="6" t="n">
        <v>8</v>
      </c>
      <c r="F1361" s="30" t="n">
        <v>2</v>
      </c>
      <c r="G1361" s="6" t="inlineStr">
        <is>
          <t>Non</t>
        </is>
      </c>
      <c r="H1361" s="6" t="inlineStr">
        <is>
          <t>OFF</t>
        </is>
      </c>
      <c r="I1361" s="31" t="n">
        <v>994.4885628369005</v>
      </c>
      <c r="J1361" s="31" t="n">
        <v>4850.441664768843</v>
      </c>
      <c r="K1361" s="31" t="n">
        <v>2726.851851851852</v>
      </c>
      <c r="L1361" s="31" t="n">
        <v>150</v>
      </c>
      <c r="M1361" s="31">
        <f>I1361+J1361+K1361+L1361</f>
        <v/>
      </c>
      <c r="N1361" s="31">
        <f>M1361*'Dashboard &amp; Optimisation'!$B$18/('Dashboard &amp; Optimisation'!$B$16/3.6)</f>
        <v/>
      </c>
      <c r="O1361" s="31" t="n">
        <v>1083.68368347467</v>
      </c>
      <c r="P1361" s="32" t="n">
        <v>0.2246734504152909</v>
      </c>
      <c r="Q1361" s="33" t="n">
        <v>16.2467359238007</v>
      </c>
      <c r="R1361" s="31" t="n">
        <v>933.3261949390593</v>
      </c>
      <c r="S1361" s="31">
        <f>R1361*IF(A1361=4, 2.0, 3.0)</f>
        <v/>
      </c>
      <c r="T1361" s="30">
        <f>'Dashboard &amp; Optimisation'!$B$18*U1361</f>
        <v/>
      </c>
      <c r="U1361" s="34">
        <f>MIN(1, S1361/M1361)</f>
        <v/>
      </c>
      <c r="V1361" s="34">
        <f>N1361/(N1361+O1361)</f>
        <v/>
      </c>
      <c r="W1361" s="34">
        <f>U1361*V1361</f>
        <v/>
      </c>
      <c r="X1361" s="32">
        <f>T1361/N1361</f>
        <v/>
      </c>
      <c r="Y1361" s="35">
        <f>IF(W1361=MAXIFS(W$2:W$3601, A$2:A$3601, A1361, B$2:B$3601, B1361), "OPTIMAL", "")</f>
        <v/>
      </c>
    </row>
    <row r="1362" ht="20" customHeight="1">
      <c r="A1362" s="21" t="n">
        <v>4</v>
      </c>
      <c r="B1362" s="21" t="n">
        <v>40</v>
      </c>
      <c r="C1362" s="22" t="n">
        <v>115</v>
      </c>
      <c r="D1362" s="22" t="n">
        <v>2</v>
      </c>
      <c r="E1362" s="23" t="n">
        <v>0</v>
      </c>
      <c r="F1362" s="22" t="n">
        <v>0</v>
      </c>
      <c r="G1362" s="23" t="inlineStr">
        <is>
          <t>Oui</t>
        </is>
      </c>
      <c r="H1362" s="23" t="inlineStr">
        <is>
          <t>ON</t>
        </is>
      </c>
      <c r="I1362" s="24" t="n">
        <v>994.4885628369005</v>
      </c>
      <c r="J1362" s="24" t="n">
        <v>4850.441664768843</v>
      </c>
      <c r="K1362" s="24" t="n">
        <v>2726.851851851852</v>
      </c>
      <c r="L1362" s="24" t="n">
        <v>150</v>
      </c>
      <c r="M1362" s="24">
        <f>I1362+J1362+K1362+L1362</f>
        <v/>
      </c>
      <c r="N1362" s="24">
        <f>M1362*'Dashboard &amp; Optimisation'!$B$18/('Dashboard &amp; Optimisation'!$B$16/3.6)</f>
        <v/>
      </c>
      <c r="O1362" s="24" t="n">
        <v>325.2314424370078</v>
      </c>
      <c r="P1362" s="25" t="n">
        <v>0.4698805559653013</v>
      </c>
      <c r="Q1362" s="26" t="n">
        <v>0.2</v>
      </c>
      <c r="R1362" s="24" t="n">
        <v>361.0629908970553</v>
      </c>
      <c r="S1362" s="24">
        <f>R1362*IF(A1362=4, 2.0, 3.0)</f>
        <v/>
      </c>
      <c r="T1362" s="22">
        <f>'Dashboard &amp; Optimisation'!$B$18*U1362</f>
        <v/>
      </c>
      <c r="U1362" s="27">
        <f>MIN(1, S1362/M1362)</f>
        <v/>
      </c>
      <c r="V1362" s="27">
        <f>N1362/(N1362+O1362)</f>
        <v/>
      </c>
      <c r="W1362" s="27">
        <f>U1362*V1362</f>
        <v/>
      </c>
      <c r="X1362" s="25">
        <f>T1362/N1362</f>
        <v/>
      </c>
      <c r="Y1362" s="28">
        <f>IF(W1362=MAXIFS(W$2:W$3601, A$2:A$3601, A1362, B$2:B$3601, B1362), "OPTIMAL", "")</f>
        <v/>
      </c>
    </row>
    <row r="1363" ht="20" customHeight="1">
      <c r="A1363" s="29" t="n">
        <v>4</v>
      </c>
      <c r="B1363" s="29" t="n">
        <v>40</v>
      </c>
      <c r="C1363" s="30" t="n">
        <v>115</v>
      </c>
      <c r="D1363" s="30" t="n">
        <v>2</v>
      </c>
      <c r="E1363" s="6" t="n">
        <v>0</v>
      </c>
      <c r="F1363" s="30" t="n">
        <v>0</v>
      </c>
      <c r="G1363" s="6" t="inlineStr">
        <is>
          <t>Oui</t>
        </is>
      </c>
      <c r="H1363" s="6" t="inlineStr">
        <is>
          <t>OFF</t>
        </is>
      </c>
      <c r="I1363" s="31" t="n">
        <v>994.4885628369005</v>
      </c>
      <c r="J1363" s="31" t="n">
        <v>4850.441664768843</v>
      </c>
      <c r="K1363" s="31" t="n">
        <v>2726.851851851852</v>
      </c>
      <c r="L1363" s="31" t="n">
        <v>150</v>
      </c>
      <c r="M1363" s="31">
        <f>I1363+J1363+K1363+L1363</f>
        <v/>
      </c>
      <c r="N1363" s="31">
        <f>M1363*'Dashboard &amp; Optimisation'!$B$18/('Dashboard &amp; Optimisation'!$B$16/3.6)</f>
        <v/>
      </c>
      <c r="O1363" s="31" t="n">
        <v>325.2314424370078</v>
      </c>
      <c r="P1363" s="32" t="n">
        <v>0.7466717613425105</v>
      </c>
      <c r="Q1363" s="33" t="n">
        <v>0.2</v>
      </c>
      <c r="R1363" s="31" t="n">
        <v>227.2169481756773</v>
      </c>
      <c r="S1363" s="31">
        <f>R1363*IF(A1363=4, 2.0, 3.0)</f>
        <v/>
      </c>
      <c r="T1363" s="30">
        <f>'Dashboard &amp; Optimisation'!$B$18*U1363</f>
        <v/>
      </c>
      <c r="U1363" s="34">
        <f>MIN(1, S1363/M1363)</f>
        <v/>
      </c>
      <c r="V1363" s="34">
        <f>N1363/(N1363+O1363)</f>
        <v/>
      </c>
      <c r="W1363" s="34">
        <f>U1363*V1363</f>
        <v/>
      </c>
      <c r="X1363" s="32">
        <f>T1363/N1363</f>
        <v/>
      </c>
      <c r="Y1363" s="35">
        <f>IF(W1363=MAXIFS(W$2:W$3601, A$2:A$3601, A1363, B$2:B$3601, B1363), "OPTIMAL", "")</f>
        <v/>
      </c>
    </row>
    <row r="1364" ht="20" customHeight="1">
      <c r="A1364" s="21" t="n">
        <v>4</v>
      </c>
      <c r="B1364" s="21" t="n">
        <v>40</v>
      </c>
      <c r="C1364" s="22" t="n">
        <v>115</v>
      </c>
      <c r="D1364" s="22" t="n">
        <v>2</v>
      </c>
      <c r="E1364" s="23" t="n">
        <v>0</v>
      </c>
      <c r="F1364" s="22" t="n">
        <v>0</v>
      </c>
      <c r="G1364" s="23" t="inlineStr">
        <is>
          <t>Non</t>
        </is>
      </c>
      <c r="H1364" s="23" t="inlineStr">
        <is>
          <t>ON</t>
        </is>
      </c>
      <c r="I1364" s="24" t="n">
        <v>994.4885628369005</v>
      </c>
      <c r="J1364" s="24" t="n">
        <v>4850.441664768843</v>
      </c>
      <c r="K1364" s="24" t="n">
        <v>2726.851851851852</v>
      </c>
      <c r="L1364" s="24" t="n">
        <v>150</v>
      </c>
      <c r="M1364" s="24">
        <f>I1364+J1364+K1364+L1364</f>
        <v/>
      </c>
      <c r="N1364" s="24">
        <f>M1364*'Dashboard &amp; Optimisation'!$B$18/('Dashboard &amp; Optimisation'!$B$16/3.6)</f>
        <v/>
      </c>
      <c r="O1364" s="24" t="n">
        <v>325.2314424370078</v>
      </c>
      <c r="P1364" s="25" t="n">
        <v>0.4671126439115292</v>
      </c>
      <c r="Q1364" s="26" t="n">
        <v>0.2</v>
      </c>
      <c r="R1364" s="24" t="n">
        <v>363.2024975400488</v>
      </c>
      <c r="S1364" s="24">
        <f>R1364*IF(A1364=4, 2.0, 3.0)</f>
        <v/>
      </c>
      <c r="T1364" s="22">
        <f>'Dashboard &amp; Optimisation'!$B$18*U1364</f>
        <v/>
      </c>
      <c r="U1364" s="27">
        <f>MIN(1, S1364/M1364)</f>
        <v/>
      </c>
      <c r="V1364" s="27">
        <f>N1364/(N1364+O1364)</f>
        <v/>
      </c>
      <c r="W1364" s="27">
        <f>U1364*V1364</f>
        <v/>
      </c>
      <c r="X1364" s="25">
        <f>T1364/N1364</f>
        <v/>
      </c>
      <c r="Y1364" s="28">
        <f>IF(W1364=MAXIFS(W$2:W$3601, A$2:A$3601, A1364, B$2:B$3601, B1364), "OPTIMAL", "")</f>
        <v/>
      </c>
    </row>
    <row r="1365" ht="20" customHeight="1">
      <c r="A1365" s="29" t="n">
        <v>4</v>
      </c>
      <c r="B1365" s="29" t="n">
        <v>40</v>
      </c>
      <c r="C1365" s="30" t="n">
        <v>115</v>
      </c>
      <c r="D1365" s="30" t="n">
        <v>2</v>
      </c>
      <c r="E1365" s="6" t="n">
        <v>0</v>
      </c>
      <c r="F1365" s="30" t="n">
        <v>0</v>
      </c>
      <c r="G1365" s="6" t="inlineStr">
        <is>
          <t>Non</t>
        </is>
      </c>
      <c r="H1365" s="6" t="inlineStr">
        <is>
          <t>OFF</t>
        </is>
      </c>
      <c r="I1365" s="31" t="n">
        <v>994.4885628369005</v>
      </c>
      <c r="J1365" s="31" t="n">
        <v>4850.441664768843</v>
      </c>
      <c r="K1365" s="31" t="n">
        <v>2726.851851851852</v>
      </c>
      <c r="L1365" s="31" t="n">
        <v>150</v>
      </c>
      <c r="M1365" s="31">
        <f>I1365+J1365+K1365+L1365</f>
        <v/>
      </c>
      <c r="N1365" s="31">
        <f>M1365*'Dashboard &amp; Optimisation'!$B$18/('Dashboard &amp; Optimisation'!$B$16/3.6)</f>
        <v/>
      </c>
      <c r="O1365" s="31" t="n">
        <v>325.2314424370078</v>
      </c>
      <c r="P1365" s="32" t="n">
        <v>0.7439038492887384</v>
      </c>
      <c r="Q1365" s="33" t="n">
        <v>0.2</v>
      </c>
      <c r="R1365" s="31" t="n">
        <v>228.0623753505441</v>
      </c>
      <c r="S1365" s="31">
        <f>R1365*IF(A1365=4, 2.0, 3.0)</f>
        <v/>
      </c>
      <c r="T1365" s="30">
        <f>'Dashboard &amp; Optimisation'!$B$18*U1365</f>
        <v/>
      </c>
      <c r="U1365" s="34">
        <f>MIN(1, S1365/M1365)</f>
        <v/>
      </c>
      <c r="V1365" s="34">
        <f>N1365/(N1365+O1365)</f>
        <v/>
      </c>
      <c r="W1365" s="34">
        <f>U1365*V1365</f>
        <v/>
      </c>
      <c r="X1365" s="32">
        <f>T1365/N1365</f>
        <v/>
      </c>
      <c r="Y1365" s="35">
        <f>IF(W1365=MAXIFS(W$2:W$3601, A$2:A$3601, A1365, B$2:B$3601, B1365), "OPTIMAL", "")</f>
        <v/>
      </c>
    </row>
    <row r="1366" ht="20" customHeight="1">
      <c r="A1366" s="21" t="n">
        <v>4</v>
      </c>
      <c r="B1366" s="21" t="n">
        <v>40</v>
      </c>
      <c r="C1366" s="22" t="n">
        <v>115</v>
      </c>
      <c r="D1366" s="22" t="n">
        <v>2</v>
      </c>
      <c r="E1366" s="23" t="n">
        <v>4</v>
      </c>
      <c r="F1366" s="22" t="n">
        <v>1.5</v>
      </c>
      <c r="G1366" s="23" t="inlineStr">
        <is>
          <t>Oui</t>
        </is>
      </c>
      <c r="H1366" s="23" t="inlineStr">
        <is>
          <t>ON</t>
        </is>
      </c>
      <c r="I1366" s="24" t="n">
        <v>994.4885628369005</v>
      </c>
      <c r="J1366" s="24" t="n">
        <v>4850.441664768843</v>
      </c>
      <c r="K1366" s="24" t="n">
        <v>2726.851851851852</v>
      </c>
      <c r="L1366" s="24" t="n">
        <v>150</v>
      </c>
      <c r="M1366" s="24">
        <f>I1366+J1366+K1366+L1366</f>
        <v/>
      </c>
      <c r="N1366" s="24">
        <f>M1366*'Dashboard &amp; Optimisation'!$B$18/('Dashboard &amp; Optimisation'!$B$16/3.6)</f>
        <v/>
      </c>
      <c r="O1366" s="24" t="n">
        <v>502.31701712035</v>
      </c>
      <c r="P1366" s="25" t="n">
        <v>0.06928089920961758</v>
      </c>
      <c r="Q1366" s="26" t="n">
        <v>5.838042351605651</v>
      </c>
      <c r="R1366" s="24" t="n">
        <v>2518.143638568781</v>
      </c>
      <c r="S1366" s="24">
        <f>R1366*IF(A1366=4, 2.0, 3.0)</f>
        <v/>
      </c>
      <c r="T1366" s="22">
        <f>'Dashboard &amp; Optimisation'!$B$18*U1366</f>
        <v/>
      </c>
      <c r="U1366" s="27">
        <f>MIN(1, S1366/M1366)</f>
        <v/>
      </c>
      <c r="V1366" s="27">
        <f>N1366/(N1366+O1366)</f>
        <v/>
      </c>
      <c r="W1366" s="27">
        <f>U1366*V1366</f>
        <v/>
      </c>
      <c r="X1366" s="25">
        <f>T1366/N1366</f>
        <v/>
      </c>
      <c r="Y1366" s="28">
        <f>IF(W1366=MAXIFS(W$2:W$3601, A$2:A$3601, A1366, B$2:B$3601, B1366), "OPTIMAL", "")</f>
        <v/>
      </c>
    </row>
    <row r="1367" ht="20" customHeight="1">
      <c r="A1367" s="29" t="n">
        <v>4</v>
      </c>
      <c r="B1367" s="29" t="n">
        <v>40</v>
      </c>
      <c r="C1367" s="30" t="n">
        <v>115</v>
      </c>
      <c r="D1367" s="30" t="n">
        <v>2</v>
      </c>
      <c r="E1367" s="6" t="n">
        <v>4</v>
      </c>
      <c r="F1367" s="30" t="n">
        <v>1.5</v>
      </c>
      <c r="G1367" s="6" t="inlineStr">
        <is>
          <t>Oui</t>
        </is>
      </c>
      <c r="H1367" s="6" t="inlineStr">
        <is>
          <t>OFF</t>
        </is>
      </c>
      <c r="I1367" s="31" t="n">
        <v>994.4885628369005</v>
      </c>
      <c r="J1367" s="31" t="n">
        <v>4850.441664768843</v>
      </c>
      <c r="K1367" s="31" t="n">
        <v>2726.851851851852</v>
      </c>
      <c r="L1367" s="31" t="n">
        <v>150</v>
      </c>
      <c r="M1367" s="31">
        <f>I1367+J1367+K1367+L1367</f>
        <v/>
      </c>
      <c r="N1367" s="31">
        <f>M1367*'Dashboard &amp; Optimisation'!$B$18/('Dashboard &amp; Optimisation'!$B$16/3.6)</f>
        <v/>
      </c>
      <c r="O1367" s="31" t="n">
        <v>502.31701712035</v>
      </c>
      <c r="P1367" s="32" t="n">
        <v>0.2796855393519176</v>
      </c>
      <c r="Q1367" s="33" t="n">
        <v>5.838042351605651</v>
      </c>
      <c r="R1367" s="31" t="n">
        <v>623.769309000663</v>
      </c>
      <c r="S1367" s="31">
        <f>R1367*IF(A1367=4, 2.0, 3.0)</f>
        <v/>
      </c>
      <c r="T1367" s="30">
        <f>'Dashboard &amp; Optimisation'!$B$18*U1367</f>
        <v/>
      </c>
      <c r="U1367" s="34">
        <f>MIN(1, S1367/M1367)</f>
        <v/>
      </c>
      <c r="V1367" s="34">
        <f>N1367/(N1367+O1367)</f>
        <v/>
      </c>
      <c r="W1367" s="34">
        <f>U1367*V1367</f>
        <v/>
      </c>
      <c r="X1367" s="32">
        <f>T1367/N1367</f>
        <v/>
      </c>
      <c r="Y1367" s="35">
        <f>IF(W1367=MAXIFS(W$2:W$3601, A$2:A$3601, A1367, B$2:B$3601, B1367), "OPTIMAL", "")</f>
        <v/>
      </c>
    </row>
    <row r="1368" ht="20" customHeight="1">
      <c r="A1368" s="21" t="n">
        <v>4</v>
      </c>
      <c r="B1368" s="21" t="n">
        <v>40</v>
      </c>
      <c r="C1368" s="22" t="n">
        <v>115</v>
      </c>
      <c r="D1368" s="22" t="n">
        <v>2</v>
      </c>
      <c r="E1368" s="23" t="n">
        <v>4</v>
      </c>
      <c r="F1368" s="22" t="n">
        <v>1.5</v>
      </c>
      <c r="G1368" s="23" t="inlineStr">
        <is>
          <t>Non</t>
        </is>
      </c>
      <c r="H1368" s="23" t="inlineStr">
        <is>
          <t>ON</t>
        </is>
      </c>
      <c r="I1368" s="24" t="n">
        <v>994.4885628369005</v>
      </c>
      <c r="J1368" s="24" t="n">
        <v>4850.441664768843</v>
      </c>
      <c r="K1368" s="24" t="n">
        <v>2726.851851851852</v>
      </c>
      <c r="L1368" s="24" t="n">
        <v>150</v>
      </c>
      <c r="M1368" s="24">
        <f>I1368+J1368+K1368+L1368</f>
        <v/>
      </c>
      <c r="N1368" s="24">
        <f>M1368*'Dashboard &amp; Optimisation'!$B$18/('Dashboard &amp; Optimisation'!$B$16/3.6)</f>
        <v/>
      </c>
      <c r="O1368" s="24" t="n">
        <v>502.31701712035</v>
      </c>
      <c r="P1368" s="25" t="n">
        <v>0.06651298715584548</v>
      </c>
      <c r="Q1368" s="26" t="n">
        <v>5.838042351605651</v>
      </c>
      <c r="R1368" s="24" t="n">
        <v>2622.935205274284</v>
      </c>
      <c r="S1368" s="24">
        <f>R1368*IF(A1368=4, 2.0, 3.0)</f>
        <v/>
      </c>
      <c r="T1368" s="22">
        <f>'Dashboard &amp; Optimisation'!$B$18*U1368</f>
        <v/>
      </c>
      <c r="U1368" s="27">
        <f>MIN(1, S1368/M1368)</f>
        <v/>
      </c>
      <c r="V1368" s="27">
        <f>N1368/(N1368+O1368)</f>
        <v/>
      </c>
      <c r="W1368" s="27">
        <f>U1368*V1368</f>
        <v/>
      </c>
      <c r="X1368" s="25">
        <f>T1368/N1368</f>
        <v/>
      </c>
      <c r="Y1368" s="28">
        <f>IF(W1368=MAXIFS(W$2:W$3601, A$2:A$3601, A1368, B$2:B$3601, B1368), "OPTIMAL", "")</f>
        <v/>
      </c>
    </row>
    <row r="1369" ht="20" customHeight="1">
      <c r="A1369" s="29" t="n">
        <v>4</v>
      </c>
      <c r="B1369" s="29" t="n">
        <v>40</v>
      </c>
      <c r="C1369" s="30" t="n">
        <v>115</v>
      </c>
      <c r="D1369" s="30" t="n">
        <v>2</v>
      </c>
      <c r="E1369" s="6" t="n">
        <v>4</v>
      </c>
      <c r="F1369" s="30" t="n">
        <v>1.5</v>
      </c>
      <c r="G1369" s="6" t="inlineStr">
        <is>
          <t>Non</t>
        </is>
      </c>
      <c r="H1369" s="6" t="inlineStr">
        <is>
          <t>OFF</t>
        </is>
      </c>
      <c r="I1369" s="31" t="n">
        <v>994.4885628369005</v>
      </c>
      <c r="J1369" s="31" t="n">
        <v>4850.441664768843</v>
      </c>
      <c r="K1369" s="31" t="n">
        <v>2726.851851851852</v>
      </c>
      <c r="L1369" s="31" t="n">
        <v>150</v>
      </c>
      <c r="M1369" s="31">
        <f>I1369+J1369+K1369+L1369</f>
        <v/>
      </c>
      <c r="N1369" s="31">
        <f>M1369*'Dashboard &amp; Optimisation'!$B$18/('Dashboard &amp; Optimisation'!$B$16/3.6)</f>
        <v/>
      </c>
      <c r="O1369" s="31" t="n">
        <v>502.31701712035</v>
      </c>
      <c r="P1369" s="32" t="n">
        <v>0.2769176272981455</v>
      </c>
      <c r="Q1369" s="33" t="n">
        <v>5.838042351605651</v>
      </c>
      <c r="R1369" s="31" t="n">
        <v>630.0041543805028</v>
      </c>
      <c r="S1369" s="31">
        <f>R1369*IF(A1369=4, 2.0, 3.0)</f>
        <v/>
      </c>
      <c r="T1369" s="30">
        <f>'Dashboard &amp; Optimisation'!$B$18*U1369</f>
        <v/>
      </c>
      <c r="U1369" s="34">
        <f>MIN(1, S1369/M1369)</f>
        <v/>
      </c>
      <c r="V1369" s="34">
        <f>N1369/(N1369+O1369)</f>
        <v/>
      </c>
      <c r="W1369" s="34">
        <f>U1369*V1369</f>
        <v/>
      </c>
      <c r="X1369" s="32">
        <f>T1369/N1369</f>
        <v/>
      </c>
      <c r="Y1369" s="35">
        <f>IF(W1369=MAXIFS(W$2:W$3601, A$2:A$3601, A1369, B$2:B$3601, B1369), "OPTIMAL", "")</f>
        <v/>
      </c>
    </row>
    <row r="1370" ht="20" customHeight="1">
      <c r="A1370" s="21" t="n">
        <v>4</v>
      </c>
      <c r="B1370" s="21" t="n">
        <v>40</v>
      </c>
      <c r="C1370" s="22" t="n">
        <v>115</v>
      </c>
      <c r="D1370" s="22" t="n">
        <v>2</v>
      </c>
      <c r="E1370" s="23" t="n">
        <v>4</v>
      </c>
      <c r="F1370" s="22" t="n">
        <v>2</v>
      </c>
      <c r="G1370" s="23" t="inlineStr">
        <is>
          <t>Oui</t>
        </is>
      </c>
      <c r="H1370" s="23" t="inlineStr">
        <is>
          <t>ON</t>
        </is>
      </c>
      <c r="I1370" s="24" t="n">
        <v>994.4885628369005</v>
      </c>
      <c r="J1370" s="24" t="n">
        <v>4850.441664768843</v>
      </c>
      <c r="K1370" s="24" t="n">
        <v>2726.851851851852</v>
      </c>
      <c r="L1370" s="24" t="n">
        <v>150</v>
      </c>
      <c r="M1370" s="24">
        <f>I1370+J1370+K1370+L1370</f>
        <v/>
      </c>
      <c r="N1370" s="24">
        <f>M1370*'Dashboard &amp; Optimisation'!$B$18/('Dashboard &amp; Optimisation'!$B$16/3.6)</f>
        <v/>
      </c>
      <c r="O1370" s="24" t="n">
        <v>563.5948047888041</v>
      </c>
      <c r="P1370" s="25" t="n">
        <v>0.06612266589584477</v>
      </c>
      <c r="Q1370" s="26" t="n">
        <v>7.717389802140867</v>
      </c>
      <c r="R1370" s="24" t="n">
        <v>2663.552377306782</v>
      </c>
      <c r="S1370" s="24">
        <f>R1370*IF(A1370=4, 2.0, 3.0)</f>
        <v/>
      </c>
      <c r="T1370" s="22">
        <f>'Dashboard &amp; Optimisation'!$B$18*U1370</f>
        <v/>
      </c>
      <c r="U1370" s="27">
        <f>MIN(1, S1370/M1370)</f>
        <v/>
      </c>
      <c r="V1370" s="27">
        <f>N1370/(N1370+O1370)</f>
        <v/>
      </c>
      <c r="W1370" s="27">
        <f>U1370*V1370</f>
        <v/>
      </c>
      <c r="X1370" s="25">
        <f>T1370/N1370</f>
        <v/>
      </c>
      <c r="Y1370" s="28">
        <f>IF(W1370=MAXIFS(W$2:W$3601, A$2:A$3601, A1370, B$2:B$3601, B1370), "OPTIMAL", "")</f>
        <v/>
      </c>
    </row>
    <row r="1371" ht="20" customHeight="1">
      <c r="A1371" s="29" t="n">
        <v>4</v>
      </c>
      <c r="B1371" s="29" t="n">
        <v>40</v>
      </c>
      <c r="C1371" s="30" t="n">
        <v>115</v>
      </c>
      <c r="D1371" s="30" t="n">
        <v>2</v>
      </c>
      <c r="E1371" s="6" t="n">
        <v>4</v>
      </c>
      <c r="F1371" s="30" t="n">
        <v>2</v>
      </c>
      <c r="G1371" s="6" t="inlineStr">
        <is>
          <t>Oui</t>
        </is>
      </c>
      <c r="H1371" s="6" t="inlineStr">
        <is>
          <t>OFF</t>
        </is>
      </c>
      <c r="I1371" s="31" t="n">
        <v>994.4885628369005</v>
      </c>
      <c r="J1371" s="31" t="n">
        <v>4850.441664768843</v>
      </c>
      <c r="K1371" s="31" t="n">
        <v>2726.851851851852</v>
      </c>
      <c r="L1371" s="31" t="n">
        <v>150</v>
      </c>
      <c r="M1371" s="31">
        <f>I1371+J1371+K1371+L1371</f>
        <v/>
      </c>
      <c r="N1371" s="31">
        <f>M1371*'Dashboard &amp; Optimisation'!$B$18/('Dashboard &amp; Optimisation'!$B$16/3.6)</f>
        <v/>
      </c>
      <c r="O1371" s="31" t="n">
        <v>563.5948047888041</v>
      </c>
      <c r="P1371" s="32" t="n">
        <v>0.2774148058870663</v>
      </c>
      <c r="Q1371" s="33" t="n">
        <v>7.717389802140867</v>
      </c>
      <c r="R1371" s="31" t="n">
        <v>634.8658406229304</v>
      </c>
      <c r="S1371" s="31">
        <f>R1371*IF(A1371=4, 2.0, 3.0)</f>
        <v/>
      </c>
      <c r="T1371" s="30">
        <f>'Dashboard &amp; Optimisation'!$B$18*U1371</f>
        <v/>
      </c>
      <c r="U1371" s="34">
        <f>MIN(1, S1371/M1371)</f>
        <v/>
      </c>
      <c r="V1371" s="34">
        <f>N1371/(N1371+O1371)</f>
        <v/>
      </c>
      <c r="W1371" s="34">
        <f>U1371*V1371</f>
        <v/>
      </c>
      <c r="X1371" s="32">
        <f>T1371/N1371</f>
        <v/>
      </c>
      <c r="Y1371" s="35">
        <f>IF(W1371=MAXIFS(W$2:W$3601, A$2:A$3601, A1371, B$2:B$3601, B1371), "OPTIMAL", "")</f>
        <v/>
      </c>
    </row>
    <row r="1372" ht="20" customHeight="1">
      <c r="A1372" s="21" t="n">
        <v>4</v>
      </c>
      <c r="B1372" s="21" t="n">
        <v>40</v>
      </c>
      <c r="C1372" s="22" t="n">
        <v>115</v>
      </c>
      <c r="D1372" s="22" t="n">
        <v>2</v>
      </c>
      <c r="E1372" s="23" t="n">
        <v>4</v>
      </c>
      <c r="F1372" s="22" t="n">
        <v>2</v>
      </c>
      <c r="G1372" s="23" t="inlineStr">
        <is>
          <t>Non</t>
        </is>
      </c>
      <c r="H1372" s="23" t="inlineStr">
        <is>
          <t>ON</t>
        </is>
      </c>
      <c r="I1372" s="24" t="n">
        <v>994.4885628369005</v>
      </c>
      <c r="J1372" s="24" t="n">
        <v>4850.441664768843</v>
      </c>
      <c r="K1372" s="24" t="n">
        <v>2726.851851851852</v>
      </c>
      <c r="L1372" s="24" t="n">
        <v>150</v>
      </c>
      <c r="M1372" s="24">
        <f>I1372+J1372+K1372+L1372</f>
        <v/>
      </c>
      <c r="N1372" s="24">
        <f>M1372*'Dashboard &amp; Optimisation'!$B$18/('Dashboard &amp; Optimisation'!$B$16/3.6)</f>
        <v/>
      </c>
      <c r="O1372" s="24" t="n">
        <v>563.5948047888041</v>
      </c>
      <c r="P1372" s="25" t="n">
        <v>0.06335475384207268</v>
      </c>
      <c r="Q1372" s="26" t="n">
        <v>7.717389802140867</v>
      </c>
      <c r="R1372" s="24" t="n">
        <v>2779.920578332051</v>
      </c>
      <c r="S1372" s="24">
        <f>R1372*IF(A1372=4, 2.0, 3.0)</f>
        <v/>
      </c>
      <c r="T1372" s="22">
        <f>'Dashboard &amp; Optimisation'!$B$18*U1372</f>
        <v/>
      </c>
      <c r="U1372" s="27">
        <f>MIN(1, S1372/M1372)</f>
        <v/>
      </c>
      <c r="V1372" s="27">
        <f>N1372/(N1372+O1372)</f>
        <v/>
      </c>
      <c r="W1372" s="27">
        <f>U1372*V1372</f>
        <v/>
      </c>
      <c r="X1372" s="25">
        <f>T1372/N1372</f>
        <v/>
      </c>
      <c r="Y1372" s="28">
        <f>IF(W1372=MAXIFS(W$2:W$3601, A$2:A$3601, A1372, B$2:B$3601, B1372), "OPTIMAL", "")</f>
        <v/>
      </c>
    </row>
    <row r="1373" ht="20" customHeight="1">
      <c r="A1373" s="29" t="n">
        <v>4</v>
      </c>
      <c r="B1373" s="29" t="n">
        <v>40</v>
      </c>
      <c r="C1373" s="30" t="n">
        <v>115</v>
      </c>
      <c r="D1373" s="30" t="n">
        <v>2</v>
      </c>
      <c r="E1373" s="6" t="n">
        <v>4</v>
      </c>
      <c r="F1373" s="30" t="n">
        <v>2</v>
      </c>
      <c r="G1373" s="6" t="inlineStr">
        <is>
          <t>Non</t>
        </is>
      </c>
      <c r="H1373" s="6" t="inlineStr">
        <is>
          <t>OFF</t>
        </is>
      </c>
      <c r="I1373" s="31" t="n">
        <v>994.4885628369005</v>
      </c>
      <c r="J1373" s="31" t="n">
        <v>4850.441664768843</v>
      </c>
      <c r="K1373" s="31" t="n">
        <v>2726.851851851852</v>
      </c>
      <c r="L1373" s="31" t="n">
        <v>150</v>
      </c>
      <c r="M1373" s="31">
        <f>I1373+J1373+K1373+L1373</f>
        <v/>
      </c>
      <c r="N1373" s="31">
        <f>M1373*'Dashboard &amp; Optimisation'!$B$18/('Dashboard &amp; Optimisation'!$B$16/3.6)</f>
        <v/>
      </c>
      <c r="O1373" s="31" t="n">
        <v>563.5948047888041</v>
      </c>
      <c r="P1373" s="32" t="n">
        <v>0.2746468938332942</v>
      </c>
      <c r="Q1373" s="33" t="n">
        <v>7.717389802140867</v>
      </c>
      <c r="R1373" s="31" t="n">
        <v>641.2640663165186</v>
      </c>
      <c r="S1373" s="31">
        <f>R1373*IF(A1373=4, 2.0, 3.0)</f>
        <v/>
      </c>
      <c r="T1373" s="30">
        <f>'Dashboard &amp; Optimisation'!$B$18*U1373</f>
        <v/>
      </c>
      <c r="U1373" s="34">
        <f>MIN(1, S1373/M1373)</f>
        <v/>
      </c>
      <c r="V1373" s="34">
        <f>N1373/(N1373+O1373)</f>
        <v/>
      </c>
      <c r="W1373" s="34">
        <f>U1373*V1373</f>
        <v/>
      </c>
      <c r="X1373" s="32">
        <f>T1373/N1373</f>
        <v/>
      </c>
      <c r="Y1373" s="35">
        <f>IF(W1373=MAXIFS(W$2:W$3601, A$2:A$3601, A1373, B$2:B$3601, B1373), "OPTIMAL", "")</f>
        <v/>
      </c>
    </row>
    <row r="1374" ht="20" customHeight="1">
      <c r="A1374" s="21" t="n">
        <v>4</v>
      </c>
      <c r="B1374" s="21" t="n">
        <v>40</v>
      </c>
      <c r="C1374" s="22" t="n">
        <v>115</v>
      </c>
      <c r="D1374" s="22" t="n">
        <v>2</v>
      </c>
      <c r="E1374" s="23" t="n">
        <v>8</v>
      </c>
      <c r="F1374" s="22" t="n">
        <v>1.5</v>
      </c>
      <c r="G1374" s="23" t="inlineStr">
        <is>
          <t>Oui</t>
        </is>
      </c>
      <c r="H1374" s="23" t="inlineStr">
        <is>
          <t>ON</t>
        </is>
      </c>
      <c r="I1374" s="24" t="n">
        <v>994.4885628369005</v>
      </c>
      <c r="J1374" s="24" t="n">
        <v>4850.441664768843</v>
      </c>
      <c r="K1374" s="24" t="n">
        <v>2726.851851851852</v>
      </c>
      <c r="L1374" s="24" t="n">
        <v>150</v>
      </c>
      <c r="M1374" s="24">
        <f>I1374+J1374+K1374+L1374</f>
        <v/>
      </c>
      <c r="N1374" s="24">
        <f>M1374*'Dashboard &amp; Optimisation'!$B$18/('Dashboard &amp; Optimisation'!$B$16/3.6)</f>
        <v/>
      </c>
      <c r="O1374" s="24" t="n">
        <v>689.7208614438235</v>
      </c>
      <c r="P1374" s="25" t="n">
        <v>0.05248603000184628</v>
      </c>
      <c r="Q1374" s="26" t="n">
        <v>11.4760847032113</v>
      </c>
      <c r="R1374" s="24" t="n">
        <v>3420.755511227123</v>
      </c>
      <c r="S1374" s="24">
        <f>R1374*IF(A1374=4, 2.0, 3.0)</f>
        <v/>
      </c>
      <c r="T1374" s="22">
        <f>'Dashboard &amp; Optimisation'!$B$18*U1374</f>
        <v/>
      </c>
      <c r="U1374" s="27">
        <f>MIN(1, S1374/M1374)</f>
        <v/>
      </c>
      <c r="V1374" s="27">
        <f>N1374/(N1374+O1374)</f>
        <v/>
      </c>
      <c r="W1374" s="27">
        <f>U1374*V1374</f>
        <v/>
      </c>
      <c r="X1374" s="25">
        <f>T1374/N1374</f>
        <v/>
      </c>
      <c r="Y1374" s="28">
        <f>IF(W1374=MAXIFS(W$2:W$3601, A$2:A$3601, A1374, B$2:B$3601, B1374), "OPTIMAL", "")</f>
        <v/>
      </c>
    </row>
    <row r="1375" ht="20" customHeight="1">
      <c r="A1375" s="29" t="n">
        <v>4</v>
      </c>
      <c r="B1375" s="29" t="n">
        <v>40</v>
      </c>
      <c r="C1375" s="30" t="n">
        <v>115</v>
      </c>
      <c r="D1375" s="30" t="n">
        <v>2</v>
      </c>
      <c r="E1375" s="6" t="n">
        <v>8</v>
      </c>
      <c r="F1375" s="30" t="n">
        <v>1.5</v>
      </c>
      <c r="G1375" s="6" t="inlineStr">
        <is>
          <t>Oui</t>
        </is>
      </c>
      <c r="H1375" s="6" t="inlineStr">
        <is>
          <t>OFF</t>
        </is>
      </c>
      <c r="I1375" s="31" t="n">
        <v>994.4885628369005</v>
      </c>
      <c r="J1375" s="31" t="n">
        <v>4850.441664768843</v>
      </c>
      <c r="K1375" s="31" t="n">
        <v>2726.851851851852</v>
      </c>
      <c r="L1375" s="31" t="n">
        <v>150</v>
      </c>
      <c r="M1375" s="31">
        <f>I1375+J1375+K1375+L1375</f>
        <v/>
      </c>
      <c r="N1375" s="31">
        <f>M1375*'Dashboard &amp; Optimisation'!$B$18/('Dashboard &amp; Optimisation'!$B$16/3.6)</f>
        <v/>
      </c>
      <c r="O1375" s="31" t="n">
        <v>689.7208614438235</v>
      </c>
      <c r="P1375" s="32" t="n">
        <v>0.2221878302428261</v>
      </c>
      <c r="Q1375" s="33" t="n">
        <v>11.4760847032113</v>
      </c>
      <c r="R1375" s="31" t="n">
        <v>808.0635028256447</v>
      </c>
      <c r="S1375" s="31">
        <f>R1375*IF(A1375=4, 2.0, 3.0)</f>
        <v/>
      </c>
      <c r="T1375" s="30">
        <f>'Dashboard &amp; Optimisation'!$B$18*U1375</f>
        <v/>
      </c>
      <c r="U1375" s="34">
        <f>MIN(1, S1375/M1375)</f>
        <v/>
      </c>
      <c r="V1375" s="34">
        <f>N1375/(N1375+O1375)</f>
        <v/>
      </c>
      <c r="W1375" s="34">
        <f>U1375*V1375</f>
        <v/>
      </c>
      <c r="X1375" s="32">
        <f>T1375/N1375</f>
        <v/>
      </c>
      <c r="Y1375" s="35">
        <f>IF(W1375=MAXIFS(W$2:W$3601, A$2:A$3601, A1375, B$2:B$3601, B1375), "OPTIMAL", "")</f>
        <v/>
      </c>
    </row>
    <row r="1376" ht="20" customHeight="1">
      <c r="A1376" s="21" t="n">
        <v>4</v>
      </c>
      <c r="B1376" s="21" t="n">
        <v>40</v>
      </c>
      <c r="C1376" s="22" t="n">
        <v>115</v>
      </c>
      <c r="D1376" s="22" t="n">
        <v>2</v>
      </c>
      <c r="E1376" s="23" t="n">
        <v>8</v>
      </c>
      <c r="F1376" s="22" t="n">
        <v>1.5</v>
      </c>
      <c r="G1376" s="23" t="inlineStr">
        <is>
          <t>Non</t>
        </is>
      </c>
      <c r="H1376" s="23" t="inlineStr">
        <is>
          <t>ON</t>
        </is>
      </c>
      <c r="I1376" s="24" t="n">
        <v>994.4885628369005</v>
      </c>
      <c r="J1376" s="24" t="n">
        <v>4850.441664768843</v>
      </c>
      <c r="K1376" s="24" t="n">
        <v>2726.851851851852</v>
      </c>
      <c r="L1376" s="24" t="n">
        <v>150</v>
      </c>
      <c r="M1376" s="24">
        <f>I1376+J1376+K1376+L1376</f>
        <v/>
      </c>
      <c r="N1376" s="24">
        <f>M1376*'Dashboard &amp; Optimisation'!$B$18/('Dashboard &amp; Optimisation'!$B$16/3.6)</f>
        <v/>
      </c>
      <c r="O1376" s="24" t="n">
        <v>689.7208614438235</v>
      </c>
      <c r="P1376" s="25" t="n">
        <v>0.04971811794807418</v>
      </c>
      <c r="Q1376" s="26" t="n">
        <v>11.4760847032113</v>
      </c>
      <c r="R1376" s="24" t="n">
        <v>3611.196155469161</v>
      </c>
      <c r="S1376" s="24">
        <f>R1376*IF(A1376=4, 2.0, 3.0)</f>
        <v/>
      </c>
      <c r="T1376" s="22">
        <f>'Dashboard &amp; Optimisation'!$B$18*U1376</f>
        <v/>
      </c>
      <c r="U1376" s="27">
        <f>MIN(1, S1376/M1376)</f>
        <v/>
      </c>
      <c r="V1376" s="27">
        <f>N1376/(N1376+O1376)</f>
        <v/>
      </c>
      <c r="W1376" s="27">
        <f>U1376*V1376</f>
        <v/>
      </c>
      <c r="X1376" s="25">
        <f>T1376/N1376</f>
        <v/>
      </c>
      <c r="Y1376" s="28">
        <f>IF(W1376=MAXIFS(W$2:W$3601, A$2:A$3601, A1376, B$2:B$3601, B1376), "OPTIMAL", "")</f>
        <v/>
      </c>
    </row>
    <row r="1377" ht="20" customHeight="1">
      <c r="A1377" s="29" t="n">
        <v>4</v>
      </c>
      <c r="B1377" s="29" t="n">
        <v>40</v>
      </c>
      <c r="C1377" s="30" t="n">
        <v>115</v>
      </c>
      <c r="D1377" s="30" t="n">
        <v>2</v>
      </c>
      <c r="E1377" s="6" t="n">
        <v>8</v>
      </c>
      <c r="F1377" s="30" t="n">
        <v>1.5</v>
      </c>
      <c r="G1377" s="6" t="inlineStr">
        <is>
          <t>Non</t>
        </is>
      </c>
      <c r="H1377" s="6" t="inlineStr">
        <is>
          <t>OFF</t>
        </is>
      </c>
      <c r="I1377" s="31" t="n">
        <v>994.4885628369005</v>
      </c>
      <c r="J1377" s="31" t="n">
        <v>4850.441664768843</v>
      </c>
      <c r="K1377" s="31" t="n">
        <v>2726.851851851852</v>
      </c>
      <c r="L1377" s="31" t="n">
        <v>150</v>
      </c>
      <c r="M1377" s="31">
        <f>I1377+J1377+K1377+L1377</f>
        <v/>
      </c>
      <c r="N1377" s="31">
        <f>M1377*'Dashboard &amp; Optimisation'!$B$18/('Dashboard &amp; Optimisation'!$B$16/3.6)</f>
        <v/>
      </c>
      <c r="O1377" s="31" t="n">
        <v>689.7208614438235</v>
      </c>
      <c r="P1377" s="32" t="n">
        <v>0.219419918189054</v>
      </c>
      <c r="Q1377" s="33" t="n">
        <v>11.4760847032113</v>
      </c>
      <c r="R1377" s="31" t="n">
        <v>818.2569653341726</v>
      </c>
      <c r="S1377" s="31">
        <f>R1377*IF(A1377=4, 2.0, 3.0)</f>
        <v/>
      </c>
      <c r="T1377" s="30">
        <f>'Dashboard &amp; Optimisation'!$B$18*U1377</f>
        <v/>
      </c>
      <c r="U1377" s="34">
        <f>MIN(1, S1377/M1377)</f>
        <v/>
      </c>
      <c r="V1377" s="34">
        <f>N1377/(N1377+O1377)</f>
        <v/>
      </c>
      <c r="W1377" s="34">
        <f>U1377*V1377</f>
        <v/>
      </c>
      <c r="X1377" s="32">
        <f>T1377/N1377</f>
        <v/>
      </c>
      <c r="Y1377" s="35">
        <f>IF(W1377=MAXIFS(W$2:W$3601, A$2:A$3601, A1377, B$2:B$3601, B1377), "OPTIMAL", "")</f>
        <v/>
      </c>
    </row>
    <row r="1378" ht="20" customHeight="1">
      <c r="A1378" s="21" t="n">
        <v>4</v>
      </c>
      <c r="B1378" s="21" t="n">
        <v>40</v>
      </c>
      <c r="C1378" s="22" t="n">
        <v>115</v>
      </c>
      <c r="D1378" s="22" t="n">
        <v>2</v>
      </c>
      <c r="E1378" s="23" t="n">
        <v>8</v>
      </c>
      <c r="F1378" s="22" t="n">
        <v>2</v>
      </c>
      <c r="G1378" s="23" t="inlineStr">
        <is>
          <t>Oui</t>
        </is>
      </c>
      <c r="H1378" s="23" t="inlineStr">
        <is>
          <t>ON</t>
        </is>
      </c>
      <c r="I1378" s="24" t="n">
        <v>994.4885628369005</v>
      </c>
      <c r="J1378" s="24" t="n">
        <v>4850.441664768843</v>
      </c>
      <c r="K1378" s="24" t="n">
        <v>2726.851851851852</v>
      </c>
      <c r="L1378" s="24" t="n">
        <v>150</v>
      </c>
      <c r="M1378" s="24">
        <f>I1378+J1378+K1378+L1378</f>
        <v/>
      </c>
      <c r="N1378" s="24">
        <f>M1378*'Dashboard &amp; Optimisation'!$B$18/('Dashboard &amp; Optimisation'!$B$16/3.6)</f>
        <v/>
      </c>
      <c r="O1378" s="24" t="n">
        <v>820.8432958866458</v>
      </c>
      <c r="P1378" s="25" t="n">
        <v>0.05098656696881766</v>
      </c>
      <c r="Q1378" s="26" t="n">
        <v>15.23477960428174</v>
      </c>
      <c r="R1378" s="24" t="n">
        <v>3591.104237548715</v>
      </c>
      <c r="S1378" s="24">
        <f>R1378*IF(A1378=4, 2.0, 3.0)</f>
        <v/>
      </c>
      <c r="T1378" s="22">
        <f>'Dashboard &amp; Optimisation'!$B$18*U1378</f>
        <v/>
      </c>
      <c r="U1378" s="27">
        <f>MIN(1, S1378/M1378)</f>
        <v/>
      </c>
      <c r="V1378" s="27">
        <f>N1378/(N1378+O1378)</f>
        <v/>
      </c>
      <c r="W1378" s="27">
        <f>U1378*V1378</f>
        <v/>
      </c>
      <c r="X1378" s="25">
        <f>T1378/N1378</f>
        <v/>
      </c>
      <c r="Y1378" s="28">
        <f>IF(W1378=MAXIFS(W$2:W$3601, A$2:A$3601, A1378, B$2:B$3601, B1378), "OPTIMAL", "")</f>
        <v/>
      </c>
    </row>
    <row r="1379" ht="20" customHeight="1">
      <c r="A1379" s="29" t="n">
        <v>4</v>
      </c>
      <c r="B1379" s="29" t="n">
        <v>40</v>
      </c>
      <c r="C1379" s="30" t="n">
        <v>115</v>
      </c>
      <c r="D1379" s="30" t="n">
        <v>2</v>
      </c>
      <c r="E1379" s="6" t="n">
        <v>8</v>
      </c>
      <c r="F1379" s="30" t="n">
        <v>2</v>
      </c>
      <c r="G1379" s="6" t="inlineStr">
        <is>
          <t>Oui</t>
        </is>
      </c>
      <c r="H1379" s="6" t="inlineStr">
        <is>
          <t>OFF</t>
        </is>
      </c>
      <c r="I1379" s="31" t="n">
        <v>994.4885628369005</v>
      </c>
      <c r="J1379" s="31" t="n">
        <v>4850.441664768843</v>
      </c>
      <c r="K1379" s="31" t="n">
        <v>2726.851851851852</v>
      </c>
      <c r="L1379" s="31" t="n">
        <v>150</v>
      </c>
      <c r="M1379" s="31">
        <f>I1379+J1379+K1379+L1379</f>
        <v/>
      </c>
      <c r="N1379" s="31">
        <f>M1379*'Dashboard &amp; Optimisation'!$B$18/('Dashboard &amp; Optimisation'!$B$16/3.6)</f>
        <v/>
      </c>
      <c r="O1379" s="31" t="n">
        <v>820.8432958866458</v>
      </c>
      <c r="P1379" s="32" t="n">
        <v>0.2218463755842228</v>
      </c>
      <c r="Q1379" s="33" t="n">
        <v>15.23477960428174</v>
      </c>
      <c r="R1379" s="31" t="n">
        <v>825.3372461803876</v>
      </c>
      <c r="S1379" s="31">
        <f>R1379*IF(A1379=4, 2.0, 3.0)</f>
        <v/>
      </c>
      <c r="T1379" s="30">
        <f>'Dashboard &amp; Optimisation'!$B$18*U1379</f>
        <v/>
      </c>
      <c r="U1379" s="34">
        <f>MIN(1, S1379/M1379)</f>
        <v/>
      </c>
      <c r="V1379" s="34">
        <f>N1379/(N1379+O1379)</f>
        <v/>
      </c>
      <c r="W1379" s="34">
        <f>U1379*V1379</f>
        <v/>
      </c>
      <c r="X1379" s="32">
        <f>T1379/N1379</f>
        <v/>
      </c>
      <c r="Y1379" s="35">
        <f>IF(W1379=MAXIFS(W$2:W$3601, A$2:A$3601, A1379, B$2:B$3601, B1379), "OPTIMAL", "")</f>
        <v/>
      </c>
    </row>
    <row r="1380" ht="20" customHeight="1">
      <c r="A1380" s="21" t="n">
        <v>4</v>
      </c>
      <c r="B1380" s="21" t="n">
        <v>40</v>
      </c>
      <c r="C1380" s="22" t="n">
        <v>115</v>
      </c>
      <c r="D1380" s="22" t="n">
        <v>2</v>
      </c>
      <c r="E1380" s="23" t="n">
        <v>8</v>
      </c>
      <c r="F1380" s="22" t="n">
        <v>2</v>
      </c>
      <c r="G1380" s="23" t="inlineStr">
        <is>
          <t>Non</t>
        </is>
      </c>
      <c r="H1380" s="23" t="inlineStr">
        <is>
          <t>ON</t>
        </is>
      </c>
      <c r="I1380" s="24" t="n">
        <v>994.4885628369005</v>
      </c>
      <c r="J1380" s="24" t="n">
        <v>4850.441664768843</v>
      </c>
      <c r="K1380" s="24" t="n">
        <v>2726.851851851852</v>
      </c>
      <c r="L1380" s="24" t="n">
        <v>150</v>
      </c>
      <c r="M1380" s="24">
        <f>I1380+J1380+K1380+L1380</f>
        <v/>
      </c>
      <c r="N1380" s="24">
        <f>M1380*'Dashboard &amp; Optimisation'!$B$18/('Dashboard &amp; Optimisation'!$B$16/3.6)</f>
        <v/>
      </c>
      <c r="O1380" s="24" t="n">
        <v>820.8432958866458</v>
      </c>
      <c r="P1380" s="25" t="n">
        <v>0.04821865491504557</v>
      </c>
      <c r="Q1380" s="26" t="n">
        <v>15.23477960428174</v>
      </c>
      <c r="R1380" s="24" t="n">
        <v>3797.245630811878</v>
      </c>
      <c r="S1380" s="24">
        <f>R1380*IF(A1380=4, 2.0, 3.0)</f>
        <v/>
      </c>
      <c r="T1380" s="22">
        <f>'Dashboard &amp; Optimisation'!$B$18*U1380</f>
        <v/>
      </c>
      <c r="U1380" s="27">
        <f>MIN(1, S1380/M1380)</f>
        <v/>
      </c>
      <c r="V1380" s="27">
        <f>N1380/(N1380+O1380)</f>
        <v/>
      </c>
      <c r="W1380" s="27">
        <f>U1380*V1380</f>
        <v/>
      </c>
      <c r="X1380" s="25">
        <f>T1380/N1380</f>
        <v/>
      </c>
      <c r="Y1380" s="28">
        <f>IF(W1380=MAXIFS(W$2:W$3601, A$2:A$3601, A1380, B$2:B$3601, B1380), "OPTIMAL", "")</f>
        <v/>
      </c>
    </row>
    <row r="1381" ht="20" customHeight="1">
      <c r="A1381" s="29" t="n">
        <v>4</v>
      </c>
      <c r="B1381" s="29" t="n">
        <v>40</v>
      </c>
      <c r="C1381" s="30" t="n">
        <v>115</v>
      </c>
      <c r="D1381" s="30" t="n">
        <v>2</v>
      </c>
      <c r="E1381" s="6" t="n">
        <v>8</v>
      </c>
      <c r="F1381" s="30" t="n">
        <v>2</v>
      </c>
      <c r="G1381" s="6" t="inlineStr">
        <is>
          <t>Non</t>
        </is>
      </c>
      <c r="H1381" s="6" t="inlineStr">
        <is>
          <t>OFF</t>
        </is>
      </c>
      <c r="I1381" s="31" t="n">
        <v>994.4885628369005</v>
      </c>
      <c r="J1381" s="31" t="n">
        <v>4850.441664768843</v>
      </c>
      <c r="K1381" s="31" t="n">
        <v>2726.851851851852</v>
      </c>
      <c r="L1381" s="31" t="n">
        <v>150</v>
      </c>
      <c r="M1381" s="31">
        <f>I1381+J1381+K1381+L1381</f>
        <v/>
      </c>
      <c r="N1381" s="31">
        <f>M1381*'Dashboard &amp; Optimisation'!$B$18/('Dashboard &amp; Optimisation'!$B$16/3.6)</f>
        <v/>
      </c>
      <c r="O1381" s="31" t="n">
        <v>820.8432958866458</v>
      </c>
      <c r="P1381" s="32" t="n">
        <v>0.2190784635304507</v>
      </c>
      <c r="Q1381" s="33" t="n">
        <v>15.23477960428174</v>
      </c>
      <c r="R1381" s="31" t="n">
        <v>835.7648385384663</v>
      </c>
      <c r="S1381" s="31">
        <f>R1381*IF(A1381=4, 2.0, 3.0)</f>
        <v/>
      </c>
      <c r="T1381" s="30">
        <f>'Dashboard &amp; Optimisation'!$B$18*U1381</f>
        <v/>
      </c>
      <c r="U1381" s="34">
        <f>MIN(1, S1381/M1381)</f>
        <v/>
      </c>
      <c r="V1381" s="34">
        <f>N1381/(N1381+O1381)</f>
        <v/>
      </c>
      <c r="W1381" s="34">
        <f>U1381*V1381</f>
        <v/>
      </c>
      <c r="X1381" s="32">
        <f>T1381/N1381</f>
        <v/>
      </c>
      <c r="Y1381" s="35">
        <f>IF(W1381=MAXIFS(W$2:W$3601, A$2:A$3601, A1381, B$2:B$3601, B1381), "OPTIMAL", "")</f>
        <v/>
      </c>
    </row>
    <row r="1382" ht="20" customHeight="1">
      <c r="A1382" s="21" t="n">
        <v>4</v>
      </c>
      <c r="B1382" s="21" t="n">
        <v>40</v>
      </c>
      <c r="C1382" s="22" t="n">
        <v>115</v>
      </c>
      <c r="D1382" s="22" t="n">
        <v>3</v>
      </c>
      <c r="E1382" s="23" t="n">
        <v>0</v>
      </c>
      <c r="F1382" s="22" t="n">
        <v>0</v>
      </c>
      <c r="G1382" s="23" t="inlineStr">
        <is>
          <t>Oui</t>
        </is>
      </c>
      <c r="H1382" s="23" t="inlineStr">
        <is>
          <t>ON</t>
        </is>
      </c>
      <c r="I1382" s="24" t="n">
        <v>994.4885628369005</v>
      </c>
      <c r="J1382" s="24" t="n">
        <v>4850.441664768843</v>
      </c>
      <c r="K1382" s="24" t="n">
        <v>2726.851851851852</v>
      </c>
      <c r="L1382" s="24" t="n">
        <v>150</v>
      </c>
      <c r="M1382" s="24">
        <f>I1382+J1382+K1382+L1382</f>
        <v/>
      </c>
      <c r="N1382" s="24">
        <f>M1382*'Dashboard &amp; Optimisation'!$B$18/('Dashboard &amp; Optimisation'!$B$16/3.6)</f>
        <v/>
      </c>
      <c r="O1382" s="24" t="n">
        <v>501.4369407991722</v>
      </c>
      <c r="P1382" s="25" t="n">
        <v>0.4698946720919304</v>
      </c>
      <c r="Q1382" s="26" t="n">
        <v>0.2</v>
      </c>
      <c r="R1382" s="24" t="n">
        <v>374.423320304484</v>
      </c>
      <c r="S1382" s="24">
        <f>R1382*IF(A1382=4, 2.0, 3.0)</f>
        <v/>
      </c>
      <c r="T1382" s="22">
        <f>'Dashboard &amp; Optimisation'!$B$18*U1382</f>
        <v/>
      </c>
      <c r="U1382" s="27">
        <f>MIN(1, S1382/M1382)</f>
        <v/>
      </c>
      <c r="V1382" s="27">
        <f>N1382/(N1382+O1382)</f>
        <v/>
      </c>
      <c r="W1382" s="27">
        <f>U1382*V1382</f>
        <v/>
      </c>
      <c r="X1382" s="25">
        <f>T1382/N1382</f>
        <v/>
      </c>
      <c r="Y1382" s="28">
        <f>IF(W1382=MAXIFS(W$2:W$3601, A$2:A$3601, A1382, B$2:B$3601, B1382), "OPTIMAL", "")</f>
        <v/>
      </c>
    </row>
    <row r="1383" ht="20" customHeight="1">
      <c r="A1383" s="29" t="n">
        <v>4</v>
      </c>
      <c r="B1383" s="29" t="n">
        <v>40</v>
      </c>
      <c r="C1383" s="30" t="n">
        <v>115</v>
      </c>
      <c r="D1383" s="30" t="n">
        <v>3</v>
      </c>
      <c r="E1383" s="6" t="n">
        <v>0</v>
      </c>
      <c r="F1383" s="30" t="n">
        <v>0</v>
      </c>
      <c r="G1383" s="6" t="inlineStr">
        <is>
          <t>Oui</t>
        </is>
      </c>
      <c r="H1383" s="6" t="inlineStr">
        <is>
          <t>OFF</t>
        </is>
      </c>
      <c r="I1383" s="31" t="n">
        <v>994.4885628369005</v>
      </c>
      <c r="J1383" s="31" t="n">
        <v>4850.441664768843</v>
      </c>
      <c r="K1383" s="31" t="n">
        <v>2726.851851851852</v>
      </c>
      <c r="L1383" s="31" t="n">
        <v>150</v>
      </c>
      <c r="M1383" s="31">
        <f>I1383+J1383+K1383+L1383</f>
        <v/>
      </c>
      <c r="N1383" s="31">
        <f>M1383*'Dashboard &amp; Optimisation'!$B$18/('Dashboard &amp; Optimisation'!$B$16/3.6)</f>
        <v/>
      </c>
      <c r="O1383" s="31" t="n">
        <v>501.4369407991722</v>
      </c>
      <c r="P1383" s="32" t="n">
        <v>0.7466858774691396</v>
      </c>
      <c r="Q1383" s="33" t="n">
        <v>0.2</v>
      </c>
      <c r="R1383" s="31" t="n">
        <v>235.6272277632824</v>
      </c>
      <c r="S1383" s="31">
        <f>R1383*IF(A1383=4, 2.0, 3.0)</f>
        <v/>
      </c>
      <c r="T1383" s="30">
        <f>'Dashboard &amp; Optimisation'!$B$18*U1383</f>
        <v/>
      </c>
      <c r="U1383" s="34">
        <f>MIN(1, S1383/M1383)</f>
        <v/>
      </c>
      <c r="V1383" s="34">
        <f>N1383/(N1383+O1383)</f>
        <v/>
      </c>
      <c r="W1383" s="34">
        <f>U1383*V1383</f>
        <v/>
      </c>
      <c r="X1383" s="32">
        <f>T1383/N1383</f>
        <v/>
      </c>
      <c r="Y1383" s="35">
        <f>IF(W1383=MAXIFS(W$2:W$3601, A$2:A$3601, A1383, B$2:B$3601, B1383), "OPTIMAL", "")</f>
        <v/>
      </c>
    </row>
    <row r="1384" ht="20" customHeight="1">
      <c r="A1384" s="21" t="n">
        <v>4</v>
      </c>
      <c r="B1384" s="21" t="n">
        <v>40</v>
      </c>
      <c r="C1384" s="22" t="n">
        <v>115</v>
      </c>
      <c r="D1384" s="22" t="n">
        <v>3</v>
      </c>
      <c r="E1384" s="23" t="n">
        <v>0</v>
      </c>
      <c r="F1384" s="22" t="n">
        <v>0</v>
      </c>
      <c r="G1384" s="23" t="inlineStr">
        <is>
          <t>Non</t>
        </is>
      </c>
      <c r="H1384" s="23" t="inlineStr">
        <is>
          <t>ON</t>
        </is>
      </c>
      <c r="I1384" s="24" t="n">
        <v>994.4885628369005</v>
      </c>
      <c r="J1384" s="24" t="n">
        <v>4850.441664768843</v>
      </c>
      <c r="K1384" s="24" t="n">
        <v>2726.851851851852</v>
      </c>
      <c r="L1384" s="24" t="n">
        <v>150</v>
      </c>
      <c r="M1384" s="24">
        <f>I1384+J1384+K1384+L1384</f>
        <v/>
      </c>
      <c r="N1384" s="24">
        <f>M1384*'Dashboard &amp; Optimisation'!$B$18/('Dashboard &amp; Optimisation'!$B$16/3.6)</f>
        <v/>
      </c>
      <c r="O1384" s="24" t="n">
        <v>501.4369407991722</v>
      </c>
      <c r="P1384" s="25" t="n">
        <v>0.4671267600381582</v>
      </c>
      <c r="Q1384" s="26" t="n">
        <v>0.2</v>
      </c>
      <c r="R1384" s="24" t="n">
        <v>376.6419275651759</v>
      </c>
      <c r="S1384" s="24">
        <f>R1384*IF(A1384=4, 2.0, 3.0)</f>
        <v/>
      </c>
      <c r="T1384" s="22">
        <f>'Dashboard &amp; Optimisation'!$B$18*U1384</f>
        <v/>
      </c>
      <c r="U1384" s="27">
        <f>MIN(1, S1384/M1384)</f>
        <v/>
      </c>
      <c r="V1384" s="27">
        <f>N1384/(N1384+O1384)</f>
        <v/>
      </c>
      <c r="W1384" s="27">
        <f>U1384*V1384</f>
        <v/>
      </c>
      <c r="X1384" s="25">
        <f>T1384/N1384</f>
        <v/>
      </c>
      <c r="Y1384" s="28">
        <f>IF(W1384=MAXIFS(W$2:W$3601, A$2:A$3601, A1384, B$2:B$3601, B1384), "OPTIMAL", "")</f>
        <v/>
      </c>
    </row>
    <row r="1385" ht="20" customHeight="1">
      <c r="A1385" s="29" t="n">
        <v>4</v>
      </c>
      <c r="B1385" s="29" t="n">
        <v>40</v>
      </c>
      <c r="C1385" s="30" t="n">
        <v>115</v>
      </c>
      <c r="D1385" s="30" t="n">
        <v>3</v>
      </c>
      <c r="E1385" s="6" t="n">
        <v>0</v>
      </c>
      <c r="F1385" s="30" t="n">
        <v>0</v>
      </c>
      <c r="G1385" s="6" t="inlineStr">
        <is>
          <t>Non</t>
        </is>
      </c>
      <c r="H1385" s="6" t="inlineStr">
        <is>
          <t>OFF</t>
        </is>
      </c>
      <c r="I1385" s="31" t="n">
        <v>994.4885628369005</v>
      </c>
      <c r="J1385" s="31" t="n">
        <v>4850.441664768843</v>
      </c>
      <c r="K1385" s="31" t="n">
        <v>2726.851851851852</v>
      </c>
      <c r="L1385" s="31" t="n">
        <v>150</v>
      </c>
      <c r="M1385" s="31">
        <f>I1385+J1385+K1385+L1385</f>
        <v/>
      </c>
      <c r="N1385" s="31">
        <f>M1385*'Dashboard &amp; Optimisation'!$B$18/('Dashboard &amp; Optimisation'!$B$16/3.6)</f>
        <v/>
      </c>
      <c r="O1385" s="31" t="n">
        <v>501.4369407991722</v>
      </c>
      <c r="P1385" s="32" t="n">
        <v>0.7439179654153676</v>
      </c>
      <c r="Q1385" s="33" t="n">
        <v>0.2</v>
      </c>
      <c r="R1385" s="31" t="n">
        <v>236.5039312094194</v>
      </c>
      <c r="S1385" s="31">
        <f>R1385*IF(A1385=4, 2.0, 3.0)</f>
        <v/>
      </c>
      <c r="T1385" s="30">
        <f>'Dashboard &amp; Optimisation'!$B$18*U1385</f>
        <v/>
      </c>
      <c r="U1385" s="34">
        <f>MIN(1, S1385/M1385)</f>
        <v/>
      </c>
      <c r="V1385" s="34">
        <f>N1385/(N1385+O1385)</f>
        <v/>
      </c>
      <c r="W1385" s="34">
        <f>U1385*V1385</f>
        <v/>
      </c>
      <c r="X1385" s="32">
        <f>T1385/N1385</f>
        <v/>
      </c>
      <c r="Y1385" s="35">
        <f>IF(W1385=MAXIFS(W$2:W$3601, A$2:A$3601, A1385, B$2:B$3601, B1385), "OPTIMAL", "")</f>
        <v/>
      </c>
    </row>
    <row r="1386" ht="20" customHeight="1">
      <c r="A1386" s="21" t="n">
        <v>4</v>
      </c>
      <c r="B1386" s="21" t="n">
        <v>40</v>
      </c>
      <c r="C1386" s="22" t="n">
        <v>115</v>
      </c>
      <c r="D1386" s="22" t="n">
        <v>3</v>
      </c>
      <c r="E1386" s="23" t="n">
        <v>4</v>
      </c>
      <c r="F1386" s="22" t="n">
        <v>1.5</v>
      </c>
      <c r="G1386" s="23" t="inlineStr">
        <is>
          <t>Oui</t>
        </is>
      </c>
      <c r="H1386" s="23" t="inlineStr">
        <is>
          <t>ON</t>
        </is>
      </c>
      <c r="I1386" s="24" t="n">
        <v>994.4885628369005</v>
      </c>
      <c r="J1386" s="24" t="n">
        <v>4850.441664768843</v>
      </c>
      <c r="K1386" s="24" t="n">
        <v>2726.851851851852</v>
      </c>
      <c r="L1386" s="24" t="n">
        <v>150</v>
      </c>
      <c r="M1386" s="24">
        <f>I1386+J1386+K1386+L1386</f>
        <v/>
      </c>
      <c r="N1386" s="24">
        <f>M1386*'Dashboard &amp; Optimisation'!$B$18/('Dashboard &amp; Optimisation'!$B$16/3.6)</f>
        <v/>
      </c>
      <c r="O1386" s="24" t="n">
        <v>687.740398171925</v>
      </c>
      <c r="P1386" s="25" t="n">
        <v>0.06905768177243103</v>
      </c>
      <c r="Q1386" s="26" t="n">
        <v>5.941492669983736</v>
      </c>
      <c r="R1386" s="24" t="n">
        <v>2621.202810387746</v>
      </c>
      <c r="S1386" s="24">
        <f>R1386*IF(A1386=4, 2.0, 3.0)</f>
        <v/>
      </c>
      <c r="T1386" s="22">
        <f>'Dashboard &amp; Optimisation'!$B$18*U1386</f>
        <v/>
      </c>
      <c r="U1386" s="27">
        <f>MIN(1, S1386/M1386)</f>
        <v/>
      </c>
      <c r="V1386" s="27">
        <f>N1386/(N1386+O1386)</f>
        <v/>
      </c>
      <c r="W1386" s="27">
        <f>U1386*V1386</f>
        <v/>
      </c>
      <c r="X1386" s="25">
        <f>T1386/N1386</f>
        <v/>
      </c>
      <c r="Y1386" s="28">
        <f>IF(W1386=MAXIFS(W$2:W$3601, A$2:A$3601, A1386, B$2:B$3601, B1386), "OPTIMAL", "")</f>
        <v/>
      </c>
    </row>
    <row r="1387" ht="20" customHeight="1">
      <c r="A1387" s="29" t="n">
        <v>4</v>
      </c>
      <c r="B1387" s="29" t="n">
        <v>40</v>
      </c>
      <c r="C1387" s="30" t="n">
        <v>115</v>
      </c>
      <c r="D1387" s="30" t="n">
        <v>3</v>
      </c>
      <c r="E1387" s="6" t="n">
        <v>4</v>
      </c>
      <c r="F1387" s="30" t="n">
        <v>1.5</v>
      </c>
      <c r="G1387" s="6" t="inlineStr">
        <is>
          <t>Oui</t>
        </is>
      </c>
      <c r="H1387" s="6" t="inlineStr">
        <is>
          <t>OFF</t>
        </is>
      </c>
      <c r="I1387" s="31" t="n">
        <v>994.4885628369005</v>
      </c>
      <c r="J1387" s="31" t="n">
        <v>4850.441664768843</v>
      </c>
      <c r="K1387" s="31" t="n">
        <v>2726.851851851852</v>
      </c>
      <c r="L1387" s="31" t="n">
        <v>150</v>
      </c>
      <c r="M1387" s="31">
        <f>I1387+J1387+K1387+L1387</f>
        <v/>
      </c>
      <c r="N1387" s="31">
        <f>M1387*'Dashboard &amp; Optimisation'!$B$18/('Dashboard &amp; Optimisation'!$B$16/3.6)</f>
        <v/>
      </c>
      <c r="O1387" s="31" t="n">
        <v>687.740398171925</v>
      </c>
      <c r="P1387" s="32" t="n">
        <v>0.2794623219147311</v>
      </c>
      <c r="Q1387" s="33" t="n">
        <v>5.941492669983736</v>
      </c>
      <c r="R1387" s="31" t="n">
        <v>647.7230572641899</v>
      </c>
      <c r="S1387" s="31">
        <f>R1387*IF(A1387=4, 2.0, 3.0)</f>
        <v/>
      </c>
      <c r="T1387" s="30">
        <f>'Dashboard &amp; Optimisation'!$B$18*U1387</f>
        <v/>
      </c>
      <c r="U1387" s="34">
        <f>MIN(1, S1387/M1387)</f>
        <v/>
      </c>
      <c r="V1387" s="34">
        <f>N1387/(N1387+O1387)</f>
        <v/>
      </c>
      <c r="W1387" s="34">
        <f>U1387*V1387</f>
        <v/>
      </c>
      <c r="X1387" s="32">
        <f>T1387/N1387</f>
        <v/>
      </c>
      <c r="Y1387" s="35">
        <f>IF(W1387=MAXIFS(W$2:W$3601, A$2:A$3601, A1387, B$2:B$3601, B1387), "OPTIMAL", "")</f>
        <v/>
      </c>
    </row>
    <row r="1388" ht="20" customHeight="1">
      <c r="A1388" s="21" t="n">
        <v>4</v>
      </c>
      <c r="B1388" s="21" t="n">
        <v>40</v>
      </c>
      <c r="C1388" s="22" t="n">
        <v>115</v>
      </c>
      <c r="D1388" s="22" t="n">
        <v>3</v>
      </c>
      <c r="E1388" s="23" t="n">
        <v>4</v>
      </c>
      <c r="F1388" s="22" t="n">
        <v>1.5</v>
      </c>
      <c r="G1388" s="23" t="inlineStr">
        <is>
          <t>Non</t>
        </is>
      </c>
      <c r="H1388" s="23" t="inlineStr">
        <is>
          <t>ON</t>
        </is>
      </c>
      <c r="I1388" s="24" t="n">
        <v>994.4885628369005</v>
      </c>
      <c r="J1388" s="24" t="n">
        <v>4850.441664768843</v>
      </c>
      <c r="K1388" s="24" t="n">
        <v>2726.851851851852</v>
      </c>
      <c r="L1388" s="24" t="n">
        <v>150</v>
      </c>
      <c r="M1388" s="24">
        <f>I1388+J1388+K1388+L1388</f>
        <v/>
      </c>
      <c r="N1388" s="24">
        <f>M1388*'Dashboard &amp; Optimisation'!$B$18/('Dashboard &amp; Optimisation'!$B$16/3.6)</f>
        <v/>
      </c>
      <c r="O1388" s="24" t="n">
        <v>687.740398171925</v>
      </c>
      <c r="P1388" s="25" t="n">
        <v>0.06628976971865894</v>
      </c>
      <c r="Q1388" s="26" t="n">
        <v>5.941492669983736</v>
      </c>
      <c r="R1388" s="24" t="n">
        <v>2730.650450423994</v>
      </c>
      <c r="S1388" s="24">
        <f>R1388*IF(A1388=4, 2.0, 3.0)</f>
        <v/>
      </c>
      <c r="T1388" s="22">
        <f>'Dashboard &amp; Optimisation'!$B$18*U1388</f>
        <v/>
      </c>
      <c r="U1388" s="27">
        <f>MIN(1, S1388/M1388)</f>
        <v/>
      </c>
      <c r="V1388" s="27">
        <f>N1388/(N1388+O1388)</f>
        <v/>
      </c>
      <c r="W1388" s="27">
        <f>U1388*V1388</f>
        <v/>
      </c>
      <c r="X1388" s="25">
        <f>T1388/N1388</f>
        <v/>
      </c>
      <c r="Y1388" s="28">
        <f>IF(W1388=MAXIFS(W$2:W$3601, A$2:A$3601, A1388, B$2:B$3601, B1388), "OPTIMAL", "")</f>
        <v/>
      </c>
    </row>
    <row r="1389" ht="20" customHeight="1">
      <c r="A1389" s="29" t="n">
        <v>4</v>
      </c>
      <c r="B1389" s="29" t="n">
        <v>40</v>
      </c>
      <c r="C1389" s="30" t="n">
        <v>115</v>
      </c>
      <c r="D1389" s="30" t="n">
        <v>3</v>
      </c>
      <c r="E1389" s="6" t="n">
        <v>4</v>
      </c>
      <c r="F1389" s="30" t="n">
        <v>1.5</v>
      </c>
      <c r="G1389" s="6" t="inlineStr">
        <is>
          <t>Non</t>
        </is>
      </c>
      <c r="H1389" s="6" t="inlineStr">
        <is>
          <t>OFF</t>
        </is>
      </c>
      <c r="I1389" s="31" t="n">
        <v>994.4885628369005</v>
      </c>
      <c r="J1389" s="31" t="n">
        <v>4850.441664768843</v>
      </c>
      <c r="K1389" s="31" t="n">
        <v>2726.851851851852</v>
      </c>
      <c r="L1389" s="31" t="n">
        <v>150</v>
      </c>
      <c r="M1389" s="31">
        <f>I1389+J1389+K1389+L1389</f>
        <v/>
      </c>
      <c r="N1389" s="31">
        <f>M1389*'Dashboard &amp; Optimisation'!$B$18/('Dashboard &amp; Optimisation'!$B$16/3.6)</f>
        <v/>
      </c>
      <c r="O1389" s="31" t="n">
        <v>687.740398171925</v>
      </c>
      <c r="P1389" s="32" t="n">
        <v>0.276694409860959</v>
      </c>
      <c r="Q1389" s="33" t="n">
        <v>5.941492669983736</v>
      </c>
      <c r="R1389" s="31" t="n">
        <v>654.2025537549523</v>
      </c>
      <c r="S1389" s="31">
        <f>R1389*IF(A1389=4, 2.0, 3.0)</f>
        <v/>
      </c>
      <c r="T1389" s="30">
        <f>'Dashboard &amp; Optimisation'!$B$18*U1389</f>
        <v/>
      </c>
      <c r="U1389" s="34">
        <f>MIN(1, S1389/M1389)</f>
        <v/>
      </c>
      <c r="V1389" s="34">
        <f>N1389/(N1389+O1389)</f>
        <v/>
      </c>
      <c r="W1389" s="34">
        <f>U1389*V1389</f>
        <v/>
      </c>
      <c r="X1389" s="32">
        <f>T1389/N1389</f>
        <v/>
      </c>
      <c r="Y1389" s="35">
        <f>IF(W1389=MAXIFS(W$2:W$3601, A$2:A$3601, A1389, B$2:B$3601, B1389), "OPTIMAL", "")</f>
        <v/>
      </c>
    </row>
    <row r="1390" ht="20" customHeight="1">
      <c r="A1390" s="21" t="n">
        <v>4</v>
      </c>
      <c r="B1390" s="21" t="n">
        <v>40</v>
      </c>
      <c r="C1390" s="22" t="n">
        <v>115</v>
      </c>
      <c r="D1390" s="22" t="n">
        <v>3</v>
      </c>
      <c r="E1390" s="23" t="n">
        <v>4</v>
      </c>
      <c r="F1390" s="22" t="n">
        <v>2</v>
      </c>
      <c r="G1390" s="23" t="inlineStr">
        <is>
          <t>Oui</t>
        </is>
      </c>
      <c r="H1390" s="23" t="inlineStr">
        <is>
          <t>ON</t>
        </is>
      </c>
      <c r="I1390" s="24" t="n">
        <v>994.4885628369005</v>
      </c>
      <c r="J1390" s="24" t="n">
        <v>4850.441664768843</v>
      </c>
      <c r="K1390" s="24" t="n">
        <v>2726.851851851852</v>
      </c>
      <c r="L1390" s="24" t="n">
        <v>150</v>
      </c>
      <c r="M1390" s="24">
        <f>I1390+J1390+K1390+L1390</f>
        <v/>
      </c>
      <c r="N1390" s="24">
        <f>M1390*'Dashboard &amp; Optimisation'!$B$18/('Dashboard &amp; Optimisation'!$B$16/3.6)</f>
        <v/>
      </c>
      <c r="O1390" s="24" t="n">
        <v>752.2530000487632</v>
      </c>
      <c r="P1390" s="25" t="n">
        <v>0.06595572049116703</v>
      </c>
      <c r="Q1390" s="26" t="n">
        <v>7.855323559978315</v>
      </c>
      <c r="R1390" s="24" t="n">
        <v>2771.123237886174</v>
      </c>
      <c r="S1390" s="24">
        <f>R1390*IF(A1390=4, 2.0, 3.0)</f>
        <v/>
      </c>
      <c r="T1390" s="22">
        <f>'Dashboard &amp; Optimisation'!$B$18*U1390</f>
        <v/>
      </c>
      <c r="U1390" s="27">
        <f>MIN(1, S1390/M1390)</f>
        <v/>
      </c>
      <c r="V1390" s="27">
        <f>N1390/(N1390+O1390)</f>
        <v/>
      </c>
      <c r="W1390" s="27">
        <f>U1390*V1390</f>
        <v/>
      </c>
      <c r="X1390" s="25">
        <f>T1390/N1390</f>
        <v/>
      </c>
      <c r="Y1390" s="28">
        <f>IF(W1390=MAXIFS(W$2:W$3601, A$2:A$3601, A1390, B$2:B$3601, B1390), "OPTIMAL", "")</f>
        <v/>
      </c>
    </row>
    <row r="1391" ht="20" customHeight="1">
      <c r="A1391" s="29" t="n">
        <v>4</v>
      </c>
      <c r="B1391" s="29" t="n">
        <v>40</v>
      </c>
      <c r="C1391" s="30" t="n">
        <v>115</v>
      </c>
      <c r="D1391" s="30" t="n">
        <v>3</v>
      </c>
      <c r="E1391" s="6" t="n">
        <v>4</v>
      </c>
      <c r="F1391" s="30" t="n">
        <v>2</v>
      </c>
      <c r="G1391" s="6" t="inlineStr">
        <is>
          <t>Oui</t>
        </is>
      </c>
      <c r="H1391" s="6" t="inlineStr">
        <is>
          <t>OFF</t>
        </is>
      </c>
      <c r="I1391" s="31" t="n">
        <v>994.4885628369005</v>
      </c>
      <c r="J1391" s="31" t="n">
        <v>4850.441664768843</v>
      </c>
      <c r="K1391" s="31" t="n">
        <v>2726.851851851852</v>
      </c>
      <c r="L1391" s="31" t="n">
        <v>150</v>
      </c>
      <c r="M1391" s="31">
        <f>I1391+J1391+K1391+L1391</f>
        <v/>
      </c>
      <c r="N1391" s="31">
        <f>M1391*'Dashboard &amp; Optimisation'!$B$18/('Dashboard &amp; Optimisation'!$B$16/3.6)</f>
        <v/>
      </c>
      <c r="O1391" s="31" t="n">
        <v>752.2530000487632</v>
      </c>
      <c r="P1391" s="32" t="n">
        <v>0.2772478604823886</v>
      </c>
      <c r="Q1391" s="33" t="n">
        <v>7.855323559978315</v>
      </c>
      <c r="R1391" s="31" t="n">
        <v>659.2347706726788</v>
      </c>
      <c r="S1391" s="31">
        <f>R1391*IF(A1391=4, 2.0, 3.0)</f>
        <v/>
      </c>
      <c r="T1391" s="30">
        <f>'Dashboard &amp; Optimisation'!$B$18*U1391</f>
        <v/>
      </c>
      <c r="U1391" s="34">
        <f>MIN(1, S1391/M1391)</f>
        <v/>
      </c>
      <c r="V1391" s="34">
        <f>N1391/(N1391+O1391)</f>
        <v/>
      </c>
      <c r="W1391" s="34">
        <f>U1391*V1391</f>
        <v/>
      </c>
      <c r="X1391" s="32">
        <f>T1391/N1391</f>
        <v/>
      </c>
      <c r="Y1391" s="35">
        <f>IF(W1391=MAXIFS(W$2:W$3601, A$2:A$3601, A1391, B$2:B$3601, B1391), "OPTIMAL", "")</f>
        <v/>
      </c>
    </row>
    <row r="1392" ht="20" customHeight="1">
      <c r="A1392" s="21" t="n">
        <v>4</v>
      </c>
      <c r="B1392" s="21" t="n">
        <v>40</v>
      </c>
      <c r="C1392" s="22" t="n">
        <v>115</v>
      </c>
      <c r="D1392" s="22" t="n">
        <v>3</v>
      </c>
      <c r="E1392" s="23" t="n">
        <v>4</v>
      </c>
      <c r="F1392" s="22" t="n">
        <v>2</v>
      </c>
      <c r="G1392" s="23" t="inlineStr">
        <is>
          <t>Non</t>
        </is>
      </c>
      <c r="H1392" s="23" t="inlineStr">
        <is>
          <t>ON</t>
        </is>
      </c>
      <c r="I1392" s="24" t="n">
        <v>994.4885628369005</v>
      </c>
      <c r="J1392" s="24" t="n">
        <v>4850.441664768843</v>
      </c>
      <c r="K1392" s="24" t="n">
        <v>2726.851851851852</v>
      </c>
      <c r="L1392" s="24" t="n">
        <v>150</v>
      </c>
      <c r="M1392" s="24">
        <f>I1392+J1392+K1392+L1392</f>
        <v/>
      </c>
      <c r="N1392" s="24">
        <f>M1392*'Dashboard &amp; Optimisation'!$B$18/('Dashboard &amp; Optimisation'!$B$16/3.6)</f>
        <v/>
      </c>
      <c r="O1392" s="24" t="n">
        <v>752.2530000487632</v>
      </c>
      <c r="P1392" s="25" t="n">
        <v>0.06318780843739494</v>
      </c>
      <c r="Q1392" s="26" t="n">
        <v>7.855323559978315</v>
      </c>
      <c r="R1392" s="24" t="n">
        <v>2892.510980273736</v>
      </c>
      <c r="S1392" s="24">
        <f>R1392*IF(A1392=4, 2.0, 3.0)</f>
        <v/>
      </c>
      <c r="T1392" s="22">
        <f>'Dashboard &amp; Optimisation'!$B$18*U1392</f>
        <v/>
      </c>
      <c r="U1392" s="27">
        <f>MIN(1, S1392/M1392)</f>
        <v/>
      </c>
      <c r="V1392" s="27">
        <f>N1392/(N1392+O1392)</f>
        <v/>
      </c>
      <c r="W1392" s="27">
        <f>U1392*V1392</f>
        <v/>
      </c>
      <c r="X1392" s="25">
        <f>T1392/N1392</f>
        <v/>
      </c>
      <c r="Y1392" s="28">
        <f>IF(W1392=MAXIFS(W$2:W$3601, A$2:A$3601, A1392, B$2:B$3601, B1392), "OPTIMAL", "")</f>
        <v/>
      </c>
    </row>
    <row r="1393" ht="20" customHeight="1">
      <c r="A1393" s="29" t="n">
        <v>4</v>
      </c>
      <c r="B1393" s="29" t="n">
        <v>40</v>
      </c>
      <c r="C1393" s="30" t="n">
        <v>115</v>
      </c>
      <c r="D1393" s="30" t="n">
        <v>3</v>
      </c>
      <c r="E1393" s="6" t="n">
        <v>4</v>
      </c>
      <c r="F1393" s="30" t="n">
        <v>2</v>
      </c>
      <c r="G1393" s="6" t="inlineStr">
        <is>
          <t>Non</t>
        </is>
      </c>
      <c r="H1393" s="6" t="inlineStr">
        <is>
          <t>OFF</t>
        </is>
      </c>
      <c r="I1393" s="31" t="n">
        <v>994.4885628369005</v>
      </c>
      <c r="J1393" s="31" t="n">
        <v>4850.441664768843</v>
      </c>
      <c r="K1393" s="31" t="n">
        <v>2726.851851851852</v>
      </c>
      <c r="L1393" s="31" t="n">
        <v>150</v>
      </c>
      <c r="M1393" s="31">
        <f>I1393+J1393+K1393+L1393</f>
        <v/>
      </c>
      <c r="N1393" s="31">
        <f>M1393*'Dashboard &amp; Optimisation'!$B$18/('Dashboard &amp; Optimisation'!$B$16/3.6)</f>
        <v/>
      </c>
      <c r="O1393" s="31" t="n">
        <v>752.2530000487632</v>
      </c>
      <c r="P1393" s="32" t="n">
        <v>0.2744799484286165</v>
      </c>
      <c r="Q1393" s="33" t="n">
        <v>7.855323559978315</v>
      </c>
      <c r="R1393" s="31" t="n">
        <v>665.8826292082728</v>
      </c>
      <c r="S1393" s="31">
        <f>R1393*IF(A1393=4, 2.0, 3.0)</f>
        <v/>
      </c>
      <c r="T1393" s="30">
        <f>'Dashboard &amp; Optimisation'!$B$18*U1393</f>
        <v/>
      </c>
      <c r="U1393" s="34">
        <f>MIN(1, S1393/M1393)</f>
        <v/>
      </c>
      <c r="V1393" s="34">
        <f>N1393/(N1393+O1393)</f>
        <v/>
      </c>
      <c r="W1393" s="34">
        <f>U1393*V1393</f>
        <v/>
      </c>
      <c r="X1393" s="32">
        <f>T1393/N1393</f>
        <v/>
      </c>
      <c r="Y1393" s="35">
        <f>IF(W1393=MAXIFS(W$2:W$3601, A$2:A$3601, A1393, B$2:B$3601, B1393), "OPTIMAL", "")</f>
        <v/>
      </c>
    </row>
    <row r="1394" ht="20" customHeight="1">
      <c r="A1394" s="21" t="n">
        <v>4</v>
      </c>
      <c r="B1394" s="21" t="n">
        <v>40</v>
      </c>
      <c r="C1394" s="22" t="n">
        <v>115</v>
      </c>
      <c r="D1394" s="22" t="n">
        <v>3</v>
      </c>
      <c r="E1394" s="23" t="n">
        <v>8</v>
      </c>
      <c r="F1394" s="22" t="n">
        <v>1.5</v>
      </c>
      <c r="G1394" s="23" t="inlineStr">
        <is>
          <t>Oui</t>
        </is>
      </c>
      <c r="H1394" s="23" t="inlineStr">
        <is>
          <t>ON</t>
        </is>
      </c>
      <c r="I1394" s="24" t="n">
        <v>994.4885628369005</v>
      </c>
      <c r="J1394" s="24" t="n">
        <v>4850.441664768843</v>
      </c>
      <c r="K1394" s="24" t="n">
        <v>2726.851851851852</v>
      </c>
      <c r="L1394" s="24" t="n">
        <v>150</v>
      </c>
      <c r="M1394" s="24">
        <f>I1394+J1394+K1394+L1394</f>
        <v/>
      </c>
      <c r="N1394" s="24">
        <f>M1394*'Dashboard &amp; Optimisation'!$B$18/('Dashboard &amp; Optimisation'!$B$16/3.6)</f>
        <v/>
      </c>
      <c r="O1394" s="24" t="n">
        <v>885.1102372263871</v>
      </c>
      <c r="P1394" s="25" t="n">
        <v>0.05237734442636455</v>
      </c>
      <c r="Q1394" s="26" t="n">
        <v>11.68298533996747</v>
      </c>
      <c r="R1394" s="24" t="n">
        <v>3558.605190631269</v>
      </c>
      <c r="S1394" s="24">
        <f>R1394*IF(A1394=4, 2.0, 3.0)</f>
        <v/>
      </c>
      <c r="T1394" s="22">
        <f>'Dashboard &amp; Optimisation'!$B$18*U1394</f>
        <v/>
      </c>
      <c r="U1394" s="27">
        <f>MIN(1, S1394/M1394)</f>
        <v/>
      </c>
      <c r="V1394" s="27">
        <f>N1394/(N1394+O1394)</f>
        <v/>
      </c>
      <c r="W1394" s="27">
        <f>U1394*V1394</f>
        <v/>
      </c>
      <c r="X1394" s="25">
        <f>T1394/N1394</f>
        <v/>
      </c>
      <c r="Y1394" s="28">
        <f>IF(W1394=MAXIFS(W$2:W$3601, A$2:A$3601, A1394, B$2:B$3601, B1394), "OPTIMAL", "")</f>
        <v/>
      </c>
    </row>
    <row r="1395" ht="20" customHeight="1">
      <c r="A1395" s="29" t="n">
        <v>4</v>
      </c>
      <c r="B1395" s="29" t="n">
        <v>40</v>
      </c>
      <c r="C1395" s="30" t="n">
        <v>115</v>
      </c>
      <c r="D1395" s="30" t="n">
        <v>3</v>
      </c>
      <c r="E1395" s="6" t="n">
        <v>8</v>
      </c>
      <c r="F1395" s="30" t="n">
        <v>1.5</v>
      </c>
      <c r="G1395" s="6" t="inlineStr">
        <is>
          <t>Oui</t>
        </is>
      </c>
      <c r="H1395" s="6" t="inlineStr">
        <is>
          <t>OFF</t>
        </is>
      </c>
      <c r="I1395" s="31" t="n">
        <v>994.4885628369005</v>
      </c>
      <c r="J1395" s="31" t="n">
        <v>4850.441664768843</v>
      </c>
      <c r="K1395" s="31" t="n">
        <v>2726.851851851852</v>
      </c>
      <c r="L1395" s="31" t="n">
        <v>150</v>
      </c>
      <c r="M1395" s="31">
        <f>I1395+J1395+K1395+L1395</f>
        <v/>
      </c>
      <c r="N1395" s="31">
        <f>M1395*'Dashboard &amp; Optimisation'!$B$18/('Dashboard &amp; Optimisation'!$B$16/3.6)</f>
        <v/>
      </c>
      <c r="O1395" s="31" t="n">
        <v>885.1102372263871</v>
      </c>
      <c r="P1395" s="32" t="n">
        <v>0.2220791446673444</v>
      </c>
      <c r="Q1395" s="33" t="n">
        <v>11.68298533996747</v>
      </c>
      <c r="R1395" s="31" t="n">
        <v>839.2966841904018</v>
      </c>
      <c r="S1395" s="31">
        <f>R1395*IF(A1395=4, 2.0, 3.0)</f>
        <v/>
      </c>
      <c r="T1395" s="30">
        <f>'Dashboard &amp; Optimisation'!$B$18*U1395</f>
        <v/>
      </c>
      <c r="U1395" s="34">
        <f>MIN(1, S1395/M1395)</f>
        <v/>
      </c>
      <c r="V1395" s="34">
        <f>N1395/(N1395+O1395)</f>
        <v/>
      </c>
      <c r="W1395" s="34">
        <f>U1395*V1395</f>
        <v/>
      </c>
      <c r="X1395" s="32">
        <f>T1395/N1395</f>
        <v/>
      </c>
      <c r="Y1395" s="35">
        <f>IF(W1395=MAXIFS(W$2:W$3601, A$2:A$3601, A1395, B$2:B$3601, B1395), "OPTIMAL", "")</f>
        <v/>
      </c>
    </row>
    <row r="1396" ht="20" customHeight="1">
      <c r="A1396" s="21" t="n">
        <v>4</v>
      </c>
      <c r="B1396" s="21" t="n">
        <v>40</v>
      </c>
      <c r="C1396" s="22" t="n">
        <v>115</v>
      </c>
      <c r="D1396" s="22" t="n">
        <v>3</v>
      </c>
      <c r="E1396" s="23" t="n">
        <v>8</v>
      </c>
      <c r="F1396" s="22" t="n">
        <v>1.5</v>
      </c>
      <c r="G1396" s="23" t="inlineStr">
        <is>
          <t>Non</t>
        </is>
      </c>
      <c r="H1396" s="23" t="inlineStr">
        <is>
          <t>ON</t>
        </is>
      </c>
      <c r="I1396" s="24" t="n">
        <v>994.4885628369005</v>
      </c>
      <c r="J1396" s="24" t="n">
        <v>4850.441664768843</v>
      </c>
      <c r="K1396" s="24" t="n">
        <v>2726.851851851852</v>
      </c>
      <c r="L1396" s="24" t="n">
        <v>150</v>
      </c>
      <c r="M1396" s="24">
        <f>I1396+J1396+K1396+L1396</f>
        <v/>
      </c>
      <c r="N1396" s="24">
        <f>M1396*'Dashboard &amp; Optimisation'!$B$18/('Dashboard &amp; Optimisation'!$B$16/3.6)</f>
        <v/>
      </c>
      <c r="O1396" s="24" t="n">
        <v>885.1102372263871</v>
      </c>
      <c r="P1396" s="25" t="n">
        <v>0.04960943237259246</v>
      </c>
      <c r="Q1396" s="26" t="n">
        <v>11.68298533996747</v>
      </c>
      <c r="R1396" s="24" t="n">
        <v>3757.154251378152</v>
      </c>
      <c r="S1396" s="24">
        <f>R1396*IF(A1396=4, 2.0, 3.0)</f>
        <v/>
      </c>
      <c r="T1396" s="22">
        <f>'Dashboard &amp; Optimisation'!$B$18*U1396</f>
        <v/>
      </c>
      <c r="U1396" s="27">
        <f>MIN(1, S1396/M1396)</f>
        <v/>
      </c>
      <c r="V1396" s="27">
        <f>N1396/(N1396+O1396)</f>
        <v/>
      </c>
      <c r="W1396" s="27">
        <f>U1396*V1396</f>
        <v/>
      </c>
      <c r="X1396" s="25">
        <f>T1396/N1396</f>
        <v/>
      </c>
      <c r="Y1396" s="28">
        <f>IF(W1396=MAXIFS(W$2:W$3601, A$2:A$3601, A1396, B$2:B$3601, B1396), "OPTIMAL", "")</f>
        <v/>
      </c>
    </row>
    <row r="1397" ht="20" customHeight="1">
      <c r="A1397" s="29" t="n">
        <v>4</v>
      </c>
      <c r="B1397" s="29" t="n">
        <v>40</v>
      </c>
      <c r="C1397" s="30" t="n">
        <v>115</v>
      </c>
      <c r="D1397" s="30" t="n">
        <v>3</v>
      </c>
      <c r="E1397" s="6" t="n">
        <v>8</v>
      </c>
      <c r="F1397" s="30" t="n">
        <v>1.5</v>
      </c>
      <c r="G1397" s="6" t="inlineStr">
        <is>
          <t>Non</t>
        </is>
      </c>
      <c r="H1397" s="6" t="inlineStr">
        <is>
          <t>OFF</t>
        </is>
      </c>
      <c r="I1397" s="31" t="n">
        <v>994.4885628369005</v>
      </c>
      <c r="J1397" s="31" t="n">
        <v>4850.441664768843</v>
      </c>
      <c r="K1397" s="31" t="n">
        <v>2726.851851851852</v>
      </c>
      <c r="L1397" s="31" t="n">
        <v>150</v>
      </c>
      <c r="M1397" s="31">
        <f>I1397+J1397+K1397+L1397</f>
        <v/>
      </c>
      <c r="N1397" s="31">
        <f>M1397*'Dashboard &amp; Optimisation'!$B$18/('Dashboard &amp; Optimisation'!$B$16/3.6)</f>
        <v/>
      </c>
      <c r="O1397" s="31" t="n">
        <v>885.1102372263871</v>
      </c>
      <c r="P1397" s="32" t="n">
        <v>0.2193112326135723</v>
      </c>
      <c r="Q1397" s="33" t="n">
        <v>11.68298533996747</v>
      </c>
      <c r="R1397" s="31" t="n">
        <v>849.889390187157</v>
      </c>
      <c r="S1397" s="31">
        <f>R1397*IF(A1397=4, 2.0, 3.0)</f>
        <v/>
      </c>
      <c r="T1397" s="30">
        <f>'Dashboard &amp; Optimisation'!$B$18*U1397</f>
        <v/>
      </c>
      <c r="U1397" s="34">
        <f>MIN(1, S1397/M1397)</f>
        <v/>
      </c>
      <c r="V1397" s="34">
        <f>N1397/(N1397+O1397)</f>
        <v/>
      </c>
      <c r="W1397" s="34">
        <f>U1397*V1397</f>
        <v/>
      </c>
      <c r="X1397" s="32">
        <f>T1397/N1397</f>
        <v/>
      </c>
      <c r="Y1397" s="35">
        <f>IF(W1397=MAXIFS(W$2:W$3601, A$2:A$3601, A1397, B$2:B$3601, B1397), "OPTIMAL", "")</f>
        <v/>
      </c>
    </row>
    <row r="1398" ht="20" customHeight="1">
      <c r="A1398" s="21" t="n">
        <v>4</v>
      </c>
      <c r="B1398" s="21" t="n">
        <v>40</v>
      </c>
      <c r="C1398" s="22" t="n">
        <v>115</v>
      </c>
      <c r="D1398" s="22" t="n">
        <v>3</v>
      </c>
      <c r="E1398" s="23" t="n">
        <v>8</v>
      </c>
      <c r="F1398" s="22" t="n">
        <v>2</v>
      </c>
      <c r="G1398" s="23" t="inlineStr">
        <is>
          <t>Oui</t>
        </is>
      </c>
      <c r="H1398" s="23" t="inlineStr">
        <is>
          <t>ON</t>
        </is>
      </c>
      <c r="I1398" s="24" t="n">
        <v>994.4885628369005</v>
      </c>
      <c r="J1398" s="24" t="n">
        <v>4850.441664768843</v>
      </c>
      <c r="K1398" s="24" t="n">
        <v>2726.851851851852</v>
      </c>
      <c r="L1398" s="24" t="n">
        <v>150</v>
      </c>
      <c r="M1398" s="24">
        <f>I1398+J1398+K1398+L1398</f>
        <v/>
      </c>
      <c r="N1398" s="24">
        <f>M1398*'Dashboard &amp; Optimisation'!$B$18/('Dashboard &amp; Optimisation'!$B$16/3.6)</f>
        <v/>
      </c>
      <c r="O1398" s="24" t="n">
        <v>1023.33487432607</v>
      </c>
      <c r="P1398" s="25" t="n">
        <v>0.05090778119320737</v>
      </c>
      <c r="Q1398" s="26" t="n">
        <v>15.51064711995663</v>
      </c>
      <c r="R1398" s="24" t="n">
        <v>3735.290487494356</v>
      </c>
      <c r="S1398" s="24">
        <f>R1398*IF(A1398=4, 2.0, 3.0)</f>
        <v/>
      </c>
      <c r="T1398" s="22">
        <f>'Dashboard &amp; Optimisation'!$B$18*U1398</f>
        <v/>
      </c>
      <c r="U1398" s="27">
        <f>MIN(1, S1398/M1398)</f>
        <v/>
      </c>
      <c r="V1398" s="27">
        <f>N1398/(N1398+O1398)</f>
        <v/>
      </c>
      <c r="W1398" s="27">
        <f>U1398*V1398</f>
        <v/>
      </c>
      <c r="X1398" s="25">
        <f>T1398/N1398</f>
        <v/>
      </c>
      <c r="Y1398" s="28">
        <f>IF(W1398=MAXIFS(W$2:W$3601, A$2:A$3601, A1398, B$2:B$3601, B1398), "OPTIMAL", "")</f>
        <v/>
      </c>
    </row>
    <row r="1399" ht="20" customHeight="1">
      <c r="A1399" s="29" t="n">
        <v>4</v>
      </c>
      <c r="B1399" s="29" t="n">
        <v>40</v>
      </c>
      <c r="C1399" s="30" t="n">
        <v>115</v>
      </c>
      <c r="D1399" s="30" t="n">
        <v>3</v>
      </c>
      <c r="E1399" s="6" t="n">
        <v>8</v>
      </c>
      <c r="F1399" s="30" t="n">
        <v>2</v>
      </c>
      <c r="G1399" s="6" t="inlineStr">
        <is>
          <t>Oui</t>
        </is>
      </c>
      <c r="H1399" s="6" t="inlineStr">
        <is>
          <t>OFF</t>
        </is>
      </c>
      <c r="I1399" s="31" t="n">
        <v>994.4885628369005</v>
      </c>
      <c r="J1399" s="31" t="n">
        <v>4850.441664768843</v>
      </c>
      <c r="K1399" s="31" t="n">
        <v>2726.851851851852</v>
      </c>
      <c r="L1399" s="31" t="n">
        <v>150</v>
      </c>
      <c r="M1399" s="31">
        <f>I1399+J1399+K1399+L1399</f>
        <v/>
      </c>
      <c r="N1399" s="31">
        <f>M1399*'Dashboard &amp; Optimisation'!$B$18/('Dashboard &amp; Optimisation'!$B$16/3.6)</f>
        <v/>
      </c>
      <c r="O1399" s="31" t="n">
        <v>1023.33487432607</v>
      </c>
      <c r="P1399" s="32" t="n">
        <v>0.2217675898086125</v>
      </c>
      <c r="Q1399" s="33" t="n">
        <v>15.51064711995663</v>
      </c>
      <c r="R1399" s="31" t="n">
        <v>857.4532960138015</v>
      </c>
      <c r="S1399" s="31">
        <f>R1399*IF(A1399=4, 2.0, 3.0)</f>
        <v/>
      </c>
      <c r="T1399" s="30">
        <f>'Dashboard &amp; Optimisation'!$B$18*U1399</f>
        <v/>
      </c>
      <c r="U1399" s="34">
        <f>MIN(1, S1399/M1399)</f>
        <v/>
      </c>
      <c r="V1399" s="34">
        <f>N1399/(N1399+O1399)</f>
        <v/>
      </c>
      <c r="W1399" s="34">
        <f>U1399*V1399</f>
        <v/>
      </c>
      <c r="X1399" s="32">
        <f>T1399/N1399</f>
        <v/>
      </c>
      <c r="Y1399" s="35">
        <f>IF(W1399=MAXIFS(W$2:W$3601, A$2:A$3601, A1399, B$2:B$3601, B1399), "OPTIMAL", "")</f>
        <v/>
      </c>
    </row>
    <row r="1400" ht="20" customHeight="1">
      <c r="A1400" s="21" t="n">
        <v>4</v>
      </c>
      <c r="B1400" s="21" t="n">
        <v>40</v>
      </c>
      <c r="C1400" s="22" t="n">
        <v>115</v>
      </c>
      <c r="D1400" s="22" t="n">
        <v>3</v>
      </c>
      <c r="E1400" s="23" t="n">
        <v>8</v>
      </c>
      <c r="F1400" s="22" t="n">
        <v>2</v>
      </c>
      <c r="G1400" s="23" t="inlineStr">
        <is>
          <t>Non</t>
        </is>
      </c>
      <c r="H1400" s="23" t="inlineStr">
        <is>
          <t>ON</t>
        </is>
      </c>
      <c r="I1400" s="24" t="n">
        <v>994.4885628369005</v>
      </c>
      <c r="J1400" s="24" t="n">
        <v>4850.441664768843</v>
      </c>
      <c r="K1400" s="24" t="n">
        <v>2726.851851851852</v>
      </c>
      <c r="L1400" s="24" t="n">
        <v>150</v>
      </c>
      <c r="M1400" s="24">
        <f>I1400+J1400+K1400+L1400</f>
        <v/>
      </c>
      <c r="N1400" s="24">
        <f>M1400*'Dashboard &amp; Optimisation'!$B$18/('Dashboard &amp; Optimisation'!$B$16/3.6)</f>
        <v/>
      </c>
      <c r="O1400" s="24" t="n">
        <v>1023.33487432607</v>
      </c>
      <c r="P1400" s="25" t="n">
        <v>0.04813986913943527</v>
      </c>
      <c r="Q1400" s="26" t="n">
        <v>15.51064711995663</v>
      </c>
      <c r="R1400" s="24" t="n">
        <v>3950.059570782254</v>
      </c>
      <c r="S1400" s="24">
        <f>R1400*IF(A1400=4, 2.0, 3.0)</f>
        <v/>
      </c>
      <c r="T1400" s="22">
        <f>'Dashboard &amp; Optimisation'!$B$18*U1400</f>
        <v/>
      </c>
      <c r="U1400" s="27">
        <f>MIN(1, S1400/M1400)</f>
        <v/>
      </c>
      <c r="V1400" s="27">
        <f>N1400/(N1400+O1400)</f>
        <v/>
      </c>
      <c r="W1400" s="27">
        <f>U1400*V1400</f>
        <v/>
      </c>
      <c r="X1400" s="25">
        <f>T1400/N1400</f>
        <v/>
      </c>
      <c r="Y1400" s="28">
        <f>IF(W1400=MAXIFS(W$2:W$3601, A$2:A$3601, A1400, B$2:B$3601, B1400), "OPTIMAL", "")</f>
        <v/>
      </c>
    </row>
    <row r="1401" ht="20" customHeight="1">
      <c r="A1401" s="29" t="n">
        <v>4</v>
      </c>
      <c r="B1401" s="29" t="n">
        <v>40</v>
      </c>
      <c r="C1401" s="30" t="n">
        <v>115</v>
      </c>
      <c r="D1401" s="30" t="n">
        <v>3</v>
      </c>
      <c r="E1401" s="6" t="n">
        <v>8</v>
      </c>
      <c r="F1401" s="30" t="n">
        <v>2</v>
      </c>
      <c r="G1401" s="6" t="inlineStr">
        <is>
          <t>Non</t>
        </is>
      </c>
      <c r="H1401" s="6" t="inlineStr">
        <is>
          <t>OFF</t>
        </is>
      </c>
      <c r="I1401" s="31" t="n">
        <v>994.4885628369005</v>
      </c>
      <c r="J1401" s="31" t="n">
        <v>4850.441664768843</v>
      </c>
      <c r="K1401" s="31" t="n">
        <v>2726.851851851852</v>
      </c>
      <c r="L1401" s="31" t="n">
        <v>150</v>
      </c>
      <c r="M1401" s="31">
        <f>I1401+J1401+K1401+L1401</f>
        <v/>
      </c>
      <c r="N1401" s="31">
        <f>M1401*'Dashboard &amp; Optimisation'!$B$18/('Dashboard &amp; Optimisation'!$B$16/3.6)</f>
        <v/>
      </c>
      <c r="O1401" s="31" t="n">
        <v>1023.33487432607</v>
      </c>
      <c r="P1401" s="32" t="n">
        <v>0.2189996777548404</v>
      </c>
      <c r="Q1401" s="33" t="n">
        <v>15.51064711995663</v>
      </c>
      <c r="R1401" s="31" t="n">
        <v>868.2905508349709</v>
      </c>
      <c r="S1401" s="31">
        <f>R1401*IF(A1401=4, 2.0, 3.0)</f>
        <v/>
      </c>
      <c r="T1401" s="30">
        <f>'Dashboard &amp; Optimisation'!$B$18*U1401</f>
        <v/>
      </c>
      <c r="U1401" s="34">
        <f>MIN(1, S1401/M1401)</f>
        <v/>
      </c>
      <c r="V1401" s="34">
        <f>N1401/(N1401+O1401)</f>
        <v/>
      </c>
      <c r="W1401" s="34">
        <f>U1401*V1401</f>
        <v/>
      </c>
      <c r="X1401" s="32">
        <f>T1401/N1401</f>
        <v/>
      </c>
      <c r="Y1401" s="35">
        <f>IF(W1401=MAXIFS(W$2:W$3601, A$2:A$3601, A1401, B$2:B$3601, B1401), "OPTIMAL", "")</f>
        <v/>
      </c>
    </row>
    <row r="1402" ht="20" customHeight="1">
      <c r="A1402" s="21" t="n">
        <v>4</v>
      </c>
      <c r="B1402" s="21" t="n">
        <v>40</v>
      </c>
      <c r="C1402" s="22" t="n">
        <v>120</v>
      </c>
      <c r="D1402" s="22" t="n">
        <v>2</v>
      </c>
      <c r="E1402" s="23" t="n">
        <v>0</v>
      </c>
      <c r="F1402" s="22" t="n">
        <v>0</v>
      </c>
      <c r="G1402" s="23" t="inlineStr">
        <is>
          <t>Oui</t>
        </is>
      </c>
      <c r="H1402" s="23" t="inlineStr">
        <is>
          <t>ON</t>
        </is>
      </c>
      <c r="I1402" s="24" t="n">
        <v>994.4885628369005</v>
      </c>
      <c r="J1402" s="24" t="n">
        <v>4850.441664768843</v>
      </c>
      <c r="K1402" s="24" t="n">
        <v>2726.851851851852</v>
      </c>
      <c r="L1402" s="24" t="n">
        <v>150</v>
      </c>
      <c r="M1402" s="24">
        <f>I1402+J1402+K1402+L1402</f>
        <v/>
      </c>
      <c r="N1402" s="24">
        <f>M1402*'Dashboard &amp; Optimisation'!$B$18/('Dashboard &amp; Optimisation'!$B$16/3.6)</f>
        <v/>
      </c>
      <c r="O1402" s="24" t="n">
        <v>310.9754237129687</v>
      </c>
      <c r="P1402" s="25" t="n">
        <v>0.4668808197339223</v>
      </c>
      <c r="Q1402" s="26" t="n">
        <v>0.2</v>
      </c>
      <c r="R1402" s="24" t="n">
        <v>332.73186606056</v>
      </c>
      <c r="S1402" s="24">
        <f>R1402*IF(A1402=4, 2.0, 3.0)</f>
        <v/>
      </c>
      <c r="T1402" s="22">
        <f>'Dashboard &amp; Optimisation'!$B$18*U1402</f>
        <v/>
      </c>
      <c r="U1402" s="27">
        <f>MIN(1, S1402/M1402)</f>
        <v/>
      </c>
      <c r="V1402" s="27">
        <f>N1402/(N1402+O1402)</f>
        <v/>
      </c>
      <c r="W1402" s="27">
        <f>U1402*V1402</f>
        <v/>
      </c>
      <c r="X1402" s="25">
        <f>T1402/N1402</f>
        <v/>
      </c>
      <c r="Y1402" s="28">
        <f>IF(W1402=MAXIFS(W$2:W$3601, A$2:A$3601, A1402, B$2:B$3601, B1402), "OPTIMAL", "")</f>
        <v/>
      </c>
    </row>
    <row r="1403" ht="20" customHeight="1">
      <c r="A1403" s="29" t="n">
        <v>4</v>
      </c>
      <c r="B1403" s="29" t="n">
        <v>40</v>
      </c>
      <c r="C1403" s="30" t="n">
        <v>120</v>
      </c>
      <c r="D1403" s="30" t="n">
        <v>2</v>
      </c>
      <c r="E1403" s="6" t="n">
        <v>0</v>
      </c>
      <c r="F1403" s="30" t="n">
        <v>0</v>
      </c>
      <c r="G1403" s="6" t="inlineStr">
        <is>
          <t>Oui</t>
        </is>
      </c>
      <c r="H1403" s="6" t="inlineStr">
        <is>
          <t>OFF</t>
        </is>
      </c>
      <c r="I1403" s="31" t="n">
        <v>994.4885628369005</v>
      </c>
      <c r="J1403" s="31" t="n">
        <v>4850.441664768843</v>
      </c>
      <c r="K1403" s="31" t="n">
        <v>2726.851851851852</v>
      </c>
      <c r="L1403" s="31" t="n">
        <v>150</v>
      </c>
      <c r="M1403" s="31">
        <f>I1403+J1403+K1403+L1403</f>
        <v/>
      </c>
      <c r="N1403" s="31">
        <f>M1403*'Dashboard &amp; Optimisation'!$B$18/('Dashboard &amp; Optimisation'!$B$16/3.6)</f>
        <v/>
      </c>
      <c r="O1403" s="31" t="n">
        <v>310.9754237129687</v>
      </c>
      <c r="P1403" s="32" t="n">
        <v>0.7321390582204146</v>
      </c>
      <c r="Q1403" s="33" t="n">
        <v>0.2</v>
      </c>
      <c r="R1403" s="31" t="n">
        <v>212.1811760125821</v>
      </c>
      <c r="S1403" s="31">
        <f>R1403*IF(A1403=4, 2.0, 3.0)</f>
        <v/>
      </c>
      <c r="T1403" s="30">
        <f>'Dashboard &amp; Optimisation'!$B$18*U1403</f>
        <v/>
      </c>
      <c r="U1403" s="34">
        <f>MIN(1, S1403/M1403)</f>
        <v/>
      </c>
      <c r="V1403" s="34">
        <f>N1403/(N1403+O1403)</f>
        <v/>
      </c>
      <c r="W1403" s="34">
        <f>U1403*V1403</f>
        <v/>
      </c>
      <c r="X1403" s="32">
        <f>T1403/N1403</f>
        <v/>
      </c>
      <c r="Y1403" s="35">
        <f>IF(W1403=MAXIFS(W$2:W$3601, A$2:A$3601, A1403, B$2:B$3601, B1403), "OPTIMAL", "")</f>
        <v/>
      </c>
    </row>
    <row r="1404" ht="20" customHeight="1">
      <c r="A1404" s="21" t="n">
        <v>4</v>
      </c>
      <c r="B1404" s="21" t="n">
        <v>40</v>
      </c>
      <c r="C1404" s="22" t="n">
        <v>120</v>
      </c>
      <c r="D1404" s="22" t="n">
        <v>2</v>
      </c>
      <c r="E1404" s="23" t="n">
        <v>0</v>
      </c>
      <c r="F1404" s="22" t="n">
        <v>0</v>
      </c>
      <c r="G1404" s="23" t="inlineStr">
        <is>
          <t>Non</t>
        </is>
      </c>
      <c r="H1404" s="23" t="inlineStr">
        <is>
          <t>ON</t>
        </is>
      </c>
      <c r="I1404" s="24" t="n">
        <v>994.4885628369005</v>
      </c>
      <c r="J1404" s="24" t="n">
        <v>4850.441664768843</v>
      </c>
      <c r="K1404" s="24" t="n">
        <v>2726.851851851852</v>
      </c>
      <c r="L1404" s="24" t="n">
        <v>150</v>
      </c>
      <c r="M1404" s="24">
        <f>I1404+J1404+K1404+L1404</f>
        <v/>
      </c>
      <c r="N1404" s="24">
        <f>M1404*'Dashboard &amp; Optimisation'!$B$18/('Dashboard &amp; Optimisation'!$B$16/3.6)</f>
        <v/>
      </c>
      <c r="O1404" s="24" t="n">
        <v>310.9754237129687</v>
      </c>
      <c r="P1404" s="25" t="n">
        <v>0.4642282373490574</v>
      </c>
      <c r="Q1404" s="26" t="n">
        <v>0.2</v>
      </c>
      <c r="R1404" s="24" t="n">
        <v>334.6330832114931</v>
      </c>
      <c r="S1404" s="24">
        <f>R1404*IF(A1404=4, 2.0, 3.0)</f>
        <v/>
      </c>
      <c r="T1404" s="22">
        <f>'Dashboard &amp; Optimisation'!$B$18*U1404</f>
        <v/>
      </c>
      <c r="U1404" s="27">
        <f>MIN(1, S1404/M1404)</f>
        <v/>
      </c>
      <c r="V1404" s="27">
        <f>N1404/(N1404+O1404)</f>
        <v/>
      </c>
      <c r="W1404" s="27">
        <f>U1404*V1404</f>
        <v/>
      </c>
      <c r="X1404" s="25">
        <f>T1404/N1404</f>
        <v/>
      </c>
      <c r="Y1404" s="28">
        <f>IF(W1404=MAXIFS(W$2:W$3601, A$2:A$3601, A1404, B$2:B$3601, B1404), "OPTIMAL", "")</f>
        <v/>
      </c>
    </row>
    <row r="1405" ht="20" customHeight="1">
      <c r="A1405" s="29" t="n">
        <v>4</v>
      </c>
      <c r="B1405" s="29" t="n">
        <v>40</v>
      </c>
      <c r="C1405" s="30" t="n">
        <v>120</v>
      </c>
      <c r="D1405" s="30" t="n">
        <v>2</v>
      </c>
      <c r="E1405" s="6" t="n">
        <v>0</v>
      </c>
      <c r="F1405" s="30" t="n">
        <v>0</v>
      </c>
      <c r="G1405" s="6" t="inlineStr">
        <is>
          <t>Non</t>
        </is>
      </c>
      <c r="H1405" s="6" t="inlineStr">
        <is>
          <t>OFF</t>
        </is>
      </c>
      <c r="I1405" s="31" t="n">
        <v>994.4885628369005</v>
      </c>
      <c r="J1405" s="31" t="n">
        <v>4850.441664768843</v>
      </c>
      <c r="K1405" s="31" t="n">
        <v>2726.851851851852</v>
      </c>
      <c r="L1405" s="31" t="n">
        <v>150</v>
      </c>
      <c r="M1405" s="31">
        <f>I1405+J1405+K1405+L1405</f>
        <v/>
      </c>
      <c r="N1405" s="31">
        <f>M1405*'Dashboard &amp; Optimisation'!$B$18/('Dashboard &amp; Optimisation'!$B$16/3.6)</f>
        <v/>
      </c>
      <c r="O1405" s="31" t="n">
        <v>310.9754237129687</v>
      </c>
      <c r="P1405" s="32" t="n">
        <v>0.7294864758355497</v>
      </c>
      <c r="Q1405" s="33" t="n">
        <v>0.2</v>
      </c>
      <c r="R1405" s="31" t="n">
        <v>212.9527160870519</v>
      </c>
      <c r="S1405" s="31">
        <f>R1405*IF(A1405=4, 2.0, 3.0)</f>
        <v/>
      </c>
      <c r="T1405" s="30">
        <f>'Dashboard &amp; Optimisation'!$B$18*U1405</f>
        <v/>
      </c>
      <c r="U1405" s="34">
        <f>MIN(1, S1405/M1405)</f>
        <v/>
      </c>
      <c r="V1405" s="34">
        <f>N1405/(N1405+O1405)</f>
        <v/>
      </c>
      <c r="W1405" s="34">
        <f>U1405*V1405</f>
        <v/>
      </c>
      <c r="X1405" s="32">
        <f>T1405/N1405</f>
        <v/>
      </c>
      <c r="Y1405" s="35">
        <f>IF(W1405=MAXIFS(W$2:W$3601, A$2:A$3601, A1405, B$2:B$3601, B1405), "OPTIMAL", "")</f>
        <v/>
      </c>
    </row>
    <row r="1406" ht="20" customHeight="1">
      <c r="A1406" s="21" t="n">
        <v>4</v>
      </c>
      <c r="B1406" s="21" t="n">
        <v>40</v>
      </c>
      <c r="C1406" s="22" t="n">
        <v>120</v>
      </c>
      <c r="D1406" s="22" t="n">
        <v>2</v>
      </c>
      <c r="E1406" s="23" t="n">
        <v>4</v>
      </c>
      <c r="F1406" s="22" t="n">
        <v>1.5</v>
      </c>
      <c r="G1406" s="23" t="inlineStr">
        <is>
          <t>Oui</t>
        </is>
      </c>
      <c r="H1406" s="23" t="inlineStr">
        <is>
          <t>ON</t>
        </is>
      </c>
      <c r="I1406" s="24" t="n">
        <v>994.4885628369005</v>
      </c>
      <c r="J1406" s="24" t="n">
        <v>4850.441664768843</v>
      </c>
      <c r="K1406" s="24" t="n">
        <v>2726.851851851852</v>
      </c>
      <c r="L1406" s="24" t="n">
        <v>150</v>
      </c>
      <c r="M1406" s="24">
        <f>I1406+J1406+K1406+L1406</f>
        <v/>
      </c>
      <c r="N1406" s="24">
        <f>M1406*'Dashboard &amp; Optimisation'!$B$18/('Dashboard &amp; Optimisation'!$B$16/3.6)</f>
        <v/>
      </c>
      <c r="O1406" s="24" t="n">
        <v>478.0893628226528</v>
      </c>
      <c r="P1406" s="25" t="n">
        <v>0.06805759746267123</v>
      </c>
      <c r="Q1406" s="26" t="n">
        <v>5.595023284726097</v>
      </c>
      <c r="R1406" s="24" t="n">
        <v>2344.32475636282</v>
      </c>
      <c r="S1406" s="24">
        <f>R1406*IF(A1406=4, 2.0, 3.0)</f>
        <v/>
      </c>
      <c r="T1406" s="22">
        <f>'Dashboard &amp; Optimisation'!$B$18*U1406</f>
        <v/>
      </c>
      <c r="U1406" s="27">
        <f>MIN(1, S1406/M1406)</f>
        <v/>
      </c>
      <c r="V1406" s="27">
        <f>N1406/(N1406+O1406)</f>
        <v/>
      </c>
      <c r="W1406" s="27">
        <f>U1406*V1406</f>
        <v/>
      </c>
      <c r="X1406" s="25">
        <f>T1406/N1406</f>
        <v/>
      </c>
      <c r="Y1406" s="28">
        <f>IF(W1406=MAXIFS(W$2:W$3601, A$2:A$3601, A1406, B$2:B$3601, B1406), "OPTIMAL", "")</f>
        <v/>
      </c>
    </row>
    <row r="1407" ht="20" customHeight="1">
      <c r="A1407" s="29" t="n">
        <v>4</v>
      </c>
      <c r="B1407" s="29" t="n">
        <v>40</v>
      </c>
      <c r="C1407" s="30" t="n">
        <v>120</v>
      </c>
      <c r="D1407" s="30" t="n">
        <v>2</v>
      </c>
      <c r="E1407" s="6" t="n">
        <v>4</v>
      </c>
      <c r="F1407" s="30" t="n">
        <v>1.5</v>
      </c>
      <c r="G1407" s="6" t="inlineStr">
        <is>
          <t>Oui</t>
        </is>
      </c>
      <c r="H1407" s="6" t="inlineStr">
        <is>
          <t>OFF</t>
        </is>
      </c>
      <c r="I1407" s="31" t="n">
        <v>994.4885628369005</v>
      </c>
      <c r="J1407" s="31" t="n">
        <v>4850.441664768843</v>
      </c>
      <c r="K1407" s="31" t="n">
        <v>2726.851851851852</v>
      </c>
      <c r="L1407" s="31" t="n">
        <v>150</v>
      </c>
      <c r="M1407" s="31">
        <f>I1407+J1407+K1407+L1407</f>
        <v/>
      </c>
      <c r="N1407" s="31">
        <f>M1407*'Dashboard &amp; Optimisation'!$B$18/('Dashboard &amp; Optimisation'!$B$16/3.6)</f>
        <v/>
      </c>
      <c r="O1407" s="31" t="n">
        <v>478.0893628226528</v>
      </c>
      <c r="P1407" s="32" t="n">
        <v>0.2717308104184109</v>
      </c>
      <c r="Q1407" s="33" t="n">
        <v>5.595023284726097</v>
      </c>
      <c r="R1407" s="31" t="n">
        <v>587.1587043980844</v>
      </c>
      <c r="S1407" s="31">
        <f>R1407*IF(A1407=4, 2.0, 3.0)</f>
        <v/>
      </c>
      <c r="T1407" s="30">
        <f>'Dashboard &amp; Optimisation'!$B$18*U1407</f>
        <v/>
      </c>
      <c r="U1407" s="34">
        <f>MIN(1, S1407/M1407)</f>
        <v/>
      </c>
      <c r="V1407" s="34">
        <f>N1407/(N1407+O1407)</f>
        <v/>
      </c>
      <c r="W1407" s="34">
        <f>U1407*V1407</f>
        <v/>
      </c>
      <c r="X1407" s="32">
        <f>T1407/N1407</f>
        <v/>
      </c>
      <c r="Y1407" s="35">
        <f>IF(W1407=MAXIFS(W$2:W$3601, A$2:A$3601, A1407, B$2:B$3601, B1407), "OPTIMAL", "")</f>
        <v/>
      </c>
    </row>
    <row r="1408" ht="20" customHeight="1">
      <c r="A1408" s="21" t="n">
        <v>4</v>
      </c>
      <c r="B1408" s="21" t="n">
        <v>40</v>
      </c>
      <c r="C1408" s="22" t="n">
        <v>120</v>
      </c>
      <c r="D1408" s="22" t="n">
        <v>2</v>
      </c>
      <c r="E1408" s="23" t="n">
        <v>4</v>
      </c>
      <c r="F1408" s="22" t="n">
        <v>1.5</v>
      </c>
      <c r="G1408" s="23" t="inlineStr">
        <is>
          <t>Non</t>
        </is>
      </c>
      <c r="H1408" s="23" t="inlineStr">
        <is>
          <t>ON</t>
        </is>
      </c>
      <c r="I1408" s="24" t="n">
        <v>994.4885628369005</v>
      </c>
      <c r="J1408" s="24" t="n">
        <v>4850.441664768843</v>
      </c>
      <c r="K1408" s="24" t="n">
        <v>2726.851851851852</v>
      </c>
      <c r="L1408" s="24" t="n">
        <v>150</v>
      </c>
      <c r="M1408" s="24">
        <f>I1408+J1408+K1408+L1408</f>
        <v/>
      </c>
      <c r="N1408" s="24">
        <f>M1408*'Dashboard &amp; Optimisation'!$B$18/('Dashboard &amp; Optimisation'!$B$16/3.6)</f>
        <v/>
      </c>
      <c r="O1408" s="24" t="n">
        <v>478.0893628226528</v>
      </c>
      <c r="P1408" s="25" t="n">
        <v>0.0654050150778063</v>
      </c>
      <c r="Q1408" s="26" t="n">
        <v>5.595023284726097</v>
      </c>
      <c r="R1408" s="24" t="n">
        <v>2439.401785941258</v>
      </c>
      <c r="S1408" s="24">
        <f>R1408*IF(A1408=4, 2.0, 3.0)</f>
        <v/>
      </c>
      <c r="T1408" s="22">
        <f>'Dashboard &amp; Optimisation'!$B$18*U1408</f>
        <v/>
      </c>
      <c r="U1408" s="27">
        <f>MIN(1, S1408/M1408)</f>
        <v/>
      </c>
      <c r="V1408" s="27">
        <f>N1408/(N1408+O1408)</f>
        <v/>
      </c>
      <c r="W1408" s="27">
        <f>U1408*V1408</f>
        <v/>
      </c>
      <c r="X1408" s="25">
        <f>T1408/N1408</f>
        <v/>
      </c>
      <c r="Y1408" s="28">
        <f>IF(W1408=MAXIFS(W$2:W$3601, A$2:A$3601, A1408, B$2:B$3601, B1408), "OPTIMAL", "")</f>
        <v/>
      </c>
    </row>
    <row r="1409" ht="20" customHeight="1">
      <c r="A1409" s="29" t="n">
        <v>4</v>
      </c>
      <c r="B1409" s="29" t="n">
        <v>40</v>
      </c>
      <c r="C1409" s="30" t="n">
        <v>120</v>
      </c>
      <c r="D1409" s="30" t="n">
        <v>2</v>
      </c>
      <c r="E1409" s="6" t="n">
        <v>4</v>
      </c>
      <c r="F1409" s="30" t="n">
        <v>1.5</v>
      </c>
      <c r="G1409" s="6" t="inlineStr">
        <is>
          <t>Non</t>
        </is>
      </c>
      <c r="H1409" s="6" t="inlineStr">
        <is>
          <t>OFF</t>
        </is>
      </c>
      <c r="I1409" s="31" t="n">
        <v>994.4885628369005</v>
      </c>
      <c r="J1409" s="31" t="n">
        <v>4850.441664768843</v>
      </c>
      <c r="K1409" s="31" t="n">
        <v>2726.851851851852</v>
      </c>
      <c r="L1409" s="31" t="n">
        <v>150</v>
      </c>
      <c r="M1409" s="31">
        <f>I1409+J1409+K1409+L1409</f>
        <v/>
      </c>
      <c r="N1409" s="31">
        <f>M1409*'Dashboard &amp; Optimisation'!$B$18/('Dashboard &amp; Optimisation'!$B$16/3.6)</f>
        <v/>
      </c>
      <c r="O1409" s="31" t="n">
        <v>478.0893628226528</v>
      </c>
      <c r="P1409" s="32" t="n">
        <v>0.2690782280335459</v>
      </c>
      <c r="Q1409" s="33" t="n">
        <v>5.595023284726097</v>
      </c>
      <c r="R1409" s="31" t="n">
        <v>592.9469350096384</v>
      </c>
      <c r="S1409" s="31">
        <f>R1409*IF(A1409=4, 2.0, 3.0)</f>
        <v/>
      </c>
      <c r="T1409" s="30">
        <f>'Dashboard &amp; Optimisation'!$B$18*U1409</f>
        <v/>
      </c>
      <c r="U1409" s="34">
        <f>MIN(1, S1409/M1409)</f>
        <v/>
      </c>
      <c r="V1409" s="34">
        <f>N1409/(N1409+O1409)</f>
        <v/>
      </c>
      <c r="W1409" s="34">
        <f>U1409*V1409</f>
        <v/>
      </c>
      <c r="X1409" s="32">
        <f>T1409/N1409</f>
        <v/>
      </c>
      <c r="Y1409" s="35">
        <f>IF(W1409=MAXIFS(W$2:W$3601, A$2:A$3601, A1409, B$2:B$3601, B1409), "OPTIMAL", "")</f>
        <v/>
      </c>
    </row>
    <row r="1410" ht="20" customHeight="1">
      <c r="A1410" s="21" t="n">
        <v>4</v>
      </c>
      <c r="B1410" s="21" t="n">
        <v>40</v>
      </c>
      <c r="C1410" s="22" t="n">
        <v>120</v>
      </c>
      <c r="D1410" s="22" t="n">
        <v>2</v>
      </c>
      <c r="E1410" s="23" t="n">
        <v>4</v>
      </c>
      <c r="F1410" s="22" t="n">
        <v>2</v>
      </c>
      <c r="G1410" s="23" t="inlineStr">
        <is>
          <t>Oui</t>
        </is>
      </c>
      <c r="H1410" s="23" t="inlineStr">
        <is>
          <t>ON</t>
        </is>
      </c>
      <c r="I1410" s="24" t="n">
        <v>994.4885628369005</v>
      </c>
      <c r="J1410" s="24" t="n">
        <v>4850.441664768843</v>
      </c>
      <c r="K1410" s="24" t="n">
        <v>2726.851851851852</v>
      </c>
      <c r="L1410" s="24" t="n">
        <v>150</v>
      </c>
      <c r="M1410" s="24">
        <f>I1410+J1410+K1410+L1410</f>
        <v/>
      </c>
      <c r="N1410" s="24">
        <f>M1410*'Dashboard &amp; Optimisation'!$B$18/('Dashboard &amp; Optimisation'!$B$16/3.6)</f>
        <v/>
      </c>
      <c r="O1410" s="24" t="n">
        <v>535.8217944322454</v>
      </c>
      <c r="P1410" s="25" t="n">
        <v>0.06474901627983365</v>
      </c>
      <c r="Q1410" s="26" t="n">
        <v>7.393364379634797</v>
      </c>
      <c r="R1410" s="24" t="n">
        <v>2486.541328499326</v>
      </c>
      <c r="S1410" s="24">
        <f>R1410*IF(A1410=4, 2.0, 3.0)</f>
        <v/>
      </c>
      <c r="T1410" s="22">
        <f>'Dashboard &amp; Optimisation'!$B$18*U1410</f>
        <v/>
      </c>
      <c r="U1410" s="27">
        <f>MIN(1, S1410/M1410)</f>
        <v/>
      </c>
      <c r="V1410" s="27">
        <f>N1410/(N1410+O1410)</f>
        <v/>
      </c>
      <c r="W1410" s="27">
        <f>U1410*V1410</f>
        <v/>
      </c>
      <c r="X1410" s="25">
        <f>T1410/N1410</f>
        <v/>
      </c>
      <c r="Y1410" s="28">
        <f>IF(W1410=MAXIFS(W$2:W$3601, A$2:A$3601, A1410, B$2:B$3601, B1410), "OPTIMAL", "")</f>
        <v/>
      </c>
    </row>
    <row r="1411" ht="20" customHeight="1">
      <c r="A1411" s="29" t="n">
        <v>4</v>
      </c>
      <c r="B1411" s="29" t="n">
        <v>40</v>
      </c>
      <c r="C1411" s="30" t="n">
        <v>120</v>
      </c>
      <c r="D1411" s="30" t="n">
        <v>2</v>
      </c>
      <c r="E1411" s="6" t="n">
        <v>4</v>
      </c>
      <c r="F1411" s="30" t="n">
        <v>2</v>
      </c>
      <c r="G1411" s="6" t="inlineStr">
        <is>
          <t>Oui</t>
        </is>
      </c>
      <c r="H1411" s="6" t="inlineStr">
        <is>
          <t>OFF</t>
        </is>
      </c>
      <c r="I1411" s="31" t="n">
        <v>994.4885628369005</v>
      </c>
      <c r="J1411" s="31" t="n">
        <v>4850.441664768843</v>
      </c>
      <c r="K1411" s="31" t="n">
        <v>2726.851851851852</v>
      </c>
      <c r="L1411" s="31" t="n">
        <v>150</v>
      </c>
      <c r="M1411" s="31">
        <f>I1411+J1411+K1411+L1411</f>
        <v/>
      </c>
      <c r="N1411" s="31">
        <f>M1411*'Dashboard &amp; Optimisation'!$B$18/('Dashboard &amp; Optimisation'!$B$16/3.6)</f>
        <v/>
      </c>
      <c r="O1411" s="31" t="n">
        <v>535.8217944322454</v>
      </c>
      <c r="P1411" s="32" t="n">
        <v>0.269253725510994</v>
      </c>
      <c r="Q1411" s="33" t="n">
        <v>7.393364379634797</v>
      </c>
      <c r="R1411" s="31" t="n">
        <v>597.953118954739</v>
      </c>
      <c r="S1411" s="31">
        <f>R1411*IF(A1411=4, 2.0, 3.0)</f>
        <v/>
      </c>
      <c r="T1411" s="30">
        <f>'Dashboard &amp; Optimisation'!$B$18*U1411</f>
        <v/>
      </c>
      <c r="U1411" s="34">
        <f>MIN(1, S1411/M1411)</f>
        <v/>
      </c>
      <c r="V1411" s="34">
        <f>N1411/(N1411+O1411)</f>
        <v/>
      </c>
      <c r="W1411" s="34">
        <f>U1411*V1411</f>
        <v/>
      </c>
      <c r="X1411" s="32">
        <f>T1411/N1411</f>
        <v/>
      </c>
      <c r="Y1411" s="35">
        <f>IF(W1411=MAXIFS(W$2:W$3601, A$2:A$3601, A1411, B$2:B$3601, B1411), "OPTIMAL", "")</f>
        <v/>
      </c>
    </row>
    <row r="1412" ht="20" customHeight="1">
      <c r="A1412" s="21" t="n">
        <v>4</v>
      </c>
      <c r="B1412" s="21" t="n">
        <v>40</v>
      </c>
      <c r="C1412" s="22" t="n">
        <v>120</v>
      </c>
      <c r="D1412" s="22" t="n">
        <v>2</v>
      </c>
      <c r="E1412" s="23" t="n">
        <v>4</v>
      </c>
      <c r="F1412" s="22" t="n">
        <v>2</v>
      </c>
      <c r="G1412" s="23" t="inlineStr">
        <is>
          <t>Non</t>
        </is>
      </c>
      <c r="H1412" s="23" t="inlineStr">
        <is>
          <t>ON</t>
        </is>
      </c>
      <c r="I1412" s="24" t="n">
        <v>994.4885628369005</v>
      </c>
      <c r="J1412" s="24" t="n">
        <v>4850.441664768843</v>
      </c>
      <c r="K1412" s="24" t="n">
        <v>2726.851851851852</v>
      </c>
      <c r="L1412" s="24" t="n">
        <v>150</v>
      </c>
      <c r="M1412" s="24">
        <f>I1412+J1412+K1412+L1412</f>
        <v/>
      </c>
      <c r="N1412" s="24">
        <f>M1412*'Dashboard &amp; Optimisation'!$B$18/('Dashboard &amp; Optimisation'!$B$16/3.6)</f>
        <v/>
      </c>
      <c r="O1412" s="24" t="n">
        <v>535.8217944322454</v>
      </c>
      <c r="P1412" s="25" t="n">
        <v>0.06209643389496873</v>
      </c>
      <c r="Q1412" s="26" t="n">
        <v>7.393364379634797</v>
      </c>
      <c r="R1412" s="24" t="n">
        <v>2592.759275545563</v>
      </c>
      <c r="S1412" s="24">
        <f>R1412*IF(A1412=4, 2.0, 3.0)</f>
        <v/>
      </c>
      <c r="T1412" s="22">
        <f>'Dashboard &amp; Optimisation'!$B$18*U1412</f>
        <v/>
      </c>
      <c r="U1412" s="27">
        <f>MIN(1, S1412/M1412)</f>
        <v/>
      </c>
      <c r="V1412" s="27">
        <f>N1412/(N1412+O1412)</f>
        <v/>
      </c>
      <c r="W1412" s="27">
        <f>U1412*V1412</f>
        <v/>
      </c>
      <c r="X1412" s="25">
        <f>T1412/N1412</f>
        <v/>
      </c>
      <c r="Y1412" s="28">
        <f>IF(W1412=MAXIFS(W$2:W$3601, A$2:A$3601, A1412, B$2:B$3601, B1412), "OPTIMAL", "")</f>
        <v/>
      </c>
    </row>
    <row r="1413" ht="20" customHeight="1">
      <c r="A1413" s="29" t="n">
        <v>4</v>
      </c>
      <c r="B1413" s="29" t="n">
        <v>40</v>
      </c>
      <c r="C1413" s="30" t="n">
        <v>120</v>
      </c>
      <c r="D1413" s="30" t="n">
        <v>2</v>
      </c>
      <c r="E1413" s="6" t="n">
        <v>4</v>
      </c>
      <c r="F1413" s="30" t="n">
        <v>2</v>
      </c>
      <c r="G1413" s="6" t="inlineStr">
        <is>
          <t>Non</t>
        </is>
      </c>
      <c r="H1413" s="6" t="inlineStr">
        <is>
          <t>OFF</t>
        </is>
      </c>
      <c r="I1413" s="31" t="n">
        <v>994.4885628369005</v>
      </c>
      <c r="J1413" s="31" t="n">
        <v>4850.441664768843</v>
      </c>
      <c r="K1413" s="31" t="n">
        <v>2726.851851851852</v>
      </c>
      <c r="L1413" s="31" t="n">
        <v>150</v>
      </c>
      <c r="M1413" s="31">
        <f>I1413+J1413+K1413+L1413</f>
        <v/>
      </c>
      <c r="N1413" s="31">
        <f>M1413*'Dashboard &amp; Optimisation'!$B$18/('Dashboard &amp; Optimisation'!$B$16/3.6)</f>
        <v/>
      </c>
      <c r="O1413" s="31" t="n">
        <v>535.8217944322454</v>
      </c>
      <c r="P1413" s="32" t="n">
        <v>0.2666011431261291</v>
      </c>
      <c r="Q1413" s="33" t="n">
        <v>7.393364379634797</v>
      </c>
      <c r="R1413" s="31" t="n">
        <v>603.9025304678172</v>
      </c>
      <c r="S1413" s="31">
        <f>R1413*IF(A1413=4, 2.0, 3.0)</f>
        <v/>
      </c>
      <c r="T1413" s="30">
        <f>'Dashboard &amp; Optimisation'!$B$18*U1413</f>
        <v/>
      </c>
      <c r="U1413" s="34">
        <f>MIN(1, S1413/M1413)</f>
        <v/>
      </c>
      <c r="V1413" s="34">
        <f>N1413/(N1413+O1413)</f>
        <v/>
      </c>
      <c r="W1413" s="34">
        <f>U1413*V1413</f>
        <v/>
      </c>
      <c r="X1413" s="32">
        <f>T1413/N1413</f>
        <v/>
      </c>
      <c r="Y1413" s="35">
        <f>IF(W1413=MAXIFS(W$2:W$3601, A$2:A$3601, A1413, B$2:B$3601, B1413), "OPTIMAL", "")</f>
        <v/>
      </c>
    </row>
    <row r="1414" ht="20" customHeight="1">
      <c r="A1414" s="21" t="n">
        <v>4</v>
      </c>
      <c r="B1414" s="21" t="n">
        <v>40</v>
      </c>
      <c r="C1414" s="22" t="n">
        <v>120</v>
      </c>
      <c r="D1414" s="22" t="n">
        <v>2</v>
      </c>
      <c r="E1414" s="23" t="n">
        <v>8</v>
      </c>
      <c r="F1414" s="22" t="n">
        <v>1.5</v>
      </c>
      <c r="G1414" s="23" t="inlineStr">
        <is>
          <t>Oui</t>
        </is>
      </c>
      <c r="H1414" s="23" t="inlineStr">
        <is>
          <t>ON</t>
        </is>
      </c>
      <c r="I1414" s="24" t="n">
        <v>994.4885628369005</v>
      </c>
      <c r="J1414" s="24" t="n">
        <v>4850.441664768843</v>
      </c>
      <c r="K1414" s="24" t="n">
        <v>2726.851851851852</v>
      </c>
      <c r="L1414" s="24" t="n">
        <v>150</v>
      </c>
      <c r="M1414" s="24">
        <f>I1414+J1414+K1414+L1414</f>
        <v/>
      </c>
      <c r="N1414" s="24">
        <f>M1414*'Dashboard &amp; Optimisation'!$B$18/('Dashboard &amp; Optimisation'!$B$16/3.6)</f>
        <v/>
      </c>
      <c r="O1414" s="24" t="n">
        <v>654.4975012943484</v>
      </c>
      <c r="P1414" s="25" t="n">
        <v>0.05155761606859751</v>
      </c>
      <c r="Q1414" s="26" t="n">
        <v>10.9900465694522</v>
      </c>
      <c r="R1414" s="24" t="n">
        <v>3180.632857736045</v>
      </c>
      <c r="S1414" s="24">
        <f>R1414*IF(A1414=4, 2.0, 3.0)</f>
        <v/>
      </c>
      <c r="T1414" s="22">
        <f>'Dashboard &amp; Optimisation'!$B$18*U1414</f>
        <v/>
      </c>
      <c r="U1414" s="27">
        <f>MIN(1, S1414/M1414)</f>
        <v/>
      </c>
      <c r="V1414" s="27">
        <f>N1414/(N1414+O1414)</f>
        <v/>
      </c>
      <c r="W1414" s="27">
        <f>U1414*V1414</f>
        <v/>
      </c>
      <c r="X1414" s="25">
        <f>T1414/N1414</f>
        <v/>
      </c>
      <c r="Y1414" s="28">
        <f>IF(W1414=MAXIFS(W$2:W$3601, A$2:A$3601, A1414, B$2:B$3601, B1414), "OPTIMAL", "")</f>
        <v/>
      </c>
    </row>
    <row r="1415" ht="20" customHeight="1">
      <c r="A1415" s="29" t="n">
        <v>4</v>
      </c>
      <c r="B1415" s="29" t="n">
        <v>40</v>
      </c>
      <c r="C1415" s="30" t="n">
        <v>120</v>
      </c>
      <c r="D1415" s="30" t="n">
        <v>2</v>
      </c>
      <c r="E1415" s="6" t="n">
        <v>8</v>
      </c>
      <c r="F1415" s="30" t="n">
        <v>1.5</v>
      </c>
      <c r="G1415" s="6" t="inlineStr">
        <is>
          <t>Oui</t>
        </is>
      </c>
      <c r="H1415" s="6" t="inlineStr">
        <is>
          <t>OFF</t>
        </is>
      </c>
      <c r="I1415" s="31" t="n">
        <v>994.4885628369005</v>
      </c>
      <c r="J1415" s="31" t="n">
        <v>4850.441664768843</v>
      </c>
      <c r="K1415" s="31" t="n">
        <v>2726.851851851852</v>
      </c>
      <c r="L1415" s="31" t="n">
        <v>150</v>
      </c>
      <c r="M1415" s="31">
        <f>I1415+J1415+K1415+L1415</f>
        <v/>
      </c>
      <c r="N1415" s="31">
        <f>M1415*'Dashboard &amp; Optimisation'!$B$18/('Dashboard &amp; Optimisation'!$B$16/3.6)</f>
        <v/>
      </c>
      <c r="O1415" s="31" t="n">
        <v>654.4975012943484</v>
      </c>
      <c r="P1415" s="32" t="n">
        <v>0.216853233443705</v>
      </c>
      <c r="Q1415" s="33" t="n">
        <v>10.9900465694522</v>
      </c>
      <c r="R1415" s="31" t="n">
        <v>756.2066063307825</v>
      </c>
      <c r="S1415" s="31">
        <f>R1415*IF(A1415=4, 2.0, 3.0)</f>
        <v/>
      </c>
      <c r="T1415" s="30">
        <f>'Dashboard &amp; Optimisation'!$B$18*U1415</f>
        <v/>
      </c>
      <c r="U1415" s="34">
        <f>MIN(1, S1415/M1415)</f>
        <v/>
      </c>
      <c r="V1415" s="34">
        <f>N1415/(N1415+O1415)</f>
        <v/>
      </c>
      <c r="W1415" s="34">
        <f>U1415*V1415</f>
        <v/>
      </c>
      <c r="X1415" s="32">
        <f>T1415/N1415</f>
        <v/>
      </c>
      <c r="Y1415" s="35">
        <f>IF(W1415=MAXIFS(W$2:W$3601, A$2:A$3601, A1415, B$2:B$3601, B1415), "OPTIMAL", "")</f>
        <v/>
      </c>
    </row>
    <row r="1416" ht="20" customHeight="1">
      <c r="A1416" s="21" t="n">
        <v>4</v>
      </c>
      <c r="B1416" s="21" t="n">
        <v>40</v>
      </c>
      <c r="C1416" s="22" t="n">
        <v>120</v>
      </c>
      <c r="D1416" s="22" t="n">
        <v>2</v>
      </c>
      <c r="E1416" s="23" t="n">
        <v>8</v>
      </c>
      <c r="F1416" s="22" t="n">
        <v>1.5</v>
      </c>
      <c r="G1416" s="23" t="inlineStr">
        <is>
          <t>Non</t>
        </is>
      </c>
      <c r="H1416" s="23" t="inlineStr">
        <is>
          <t>ON</t>
        </is>
      </c>
      <c r="I1416" s="24" t="n">
        <v>994.4885628369005</v>
      </c>
      <c r="J1416" s="24" t="n">
        <v>4850.441664768843</v>
      </c>
      <c r="K1416" s="24" t="n">
        <v>2726.851851851852</v>
      </c>
      <c r="L1416" s="24" t="n">
        <v>150</v>
      </c>
      <c r="M1416" s="24">
        <f>I1416+J1416+K1416+L1416</f>
        <v/>
      </c>
      <c r="N1416" s="24">
        <f>M1416*'Dashboard &amp; Optimisation'!$B$18/('Dashboard &amp; Optimisation'!$B$16/3.6)</f>
        <v/>
      </c>
      <c r="O1416" s="24" t="n">
        <v>654.4975012943484</v>
      </c>
      <c r="P1416" s="25" t="n">
        <v>0.04890503368373258</v>
      </c>
      <c r="Q1416" s="26" t="n">
        <v>10.9900465694522</v>
      </c>
      <c r="R1416" s="24" t="n">
        <v>3353.148651216821</v>
      </c>
      <c r="S1416" s="24">
        <f>R1416*IF(A1416=4, 2.0, 3.0)</f>
        <v/>
      </c>
      <c r="T1416" s="22">
        <f>'Dashboard &amp; Optimisation'!$B$18*U1416</f>
        <v/>
      </c>
      <c r="U1416" s="27">
        <f>MIN(1, S1416/M1416)</f>
        <v/>
      </c>
      <c r="V1416" s="27">
        <f>N1416/(N1416+O1416)</f>
        <v/>
      </c>
      <c r="W1416" s="27">
        <f>U1416*V1416</f>
        <v/>
      </c>
      <c r="X1416" s="25">
        <f>T1416/N1416</f>
        <v/>
      </c>
      <c r="Y1416" s="28">
        <f>IF(W1416=MAXIFS(W$2:W$3601, A$2:A$3601, A1416, B$2:B$3601, B1416), "OPTIMAL", "")</f>
        <v/>
      </c>
    </row>
    <row r="1417" ht="20" customHeight="1">
      <c r="A1417" s="29" t="n">
        <v>4</v>
      </c>
      <c r="B1417" s="29" t="n">
        <v>40</v>
      </c>
      <c r="C1417" s="30" t="n">
        <v>120</v>
      </c>
      <c r="D1417" s="30" t="n">
        <v>2</v>
      </c>
      <c r="E1417" s="6" t="n">
        <v>8</v>
      </c>
      <c r="F1417" s="30" t="n">
        <v>1.5</v>
      </c>
      <c r="G1417" s="6" t="inlineStr">
        <is>
          <t>Non</t>
        </is>
      </c>
      <c r="H1417" s="6" t="inlineStr">
        <is>
          <t>OFF</t>
        </is>
      </c>
      <c r="I1417" s="31" t="n">
        <v>994.4885628369005</v>
      </c>
      <c r="J1417" s="31" t="n">
        <v>4850.441664768843</v>
      </c>
      <c r="K1417" s="31" t="n">
        <v>2726.851851851852</v>
      </c>
      <c r="L1417" s="31" t="n">
        <v>150</v>
      </c>
      <c r="M1417" s="31">
        <f>I1417+J1417+K1417+L1417</f>
        <v/>
      </c>
      <c r="N1417" s="31">
        <f>M1417*'Dashboard &amp; Optimisation'!$B$18/('Dashboard &amp; Optimisation'!$B$16/3.6)</f>
        <v/>
      </c>
      <c r="O1417" s="31" t="n">
        <v>654.4975012943484</v>
      </c>
      <c r="P1417" s="32" t="n">
        <v>0.2142006510588401</v>
      </c>
      <c r="Q1417" s="33" t="n">
        <v>10.9900465694522</v>
      </c>
      <c r="R1417" s="31" t="n">
        <v>765.5711918880902</v>
      </c>
      <c r="S1417" s="31">
        <f>R1417*IF(A1417=4, 2.0, 3.0)</f>
        <v/>
      </c>
      <c r="T1417" s="30">
        <f>'Dashboard &amp; Optimisation'!$B$18*U1417</f>
        <v/>
      </c>
      <c r="U1417" s="34">
        <f>MIN(1, S1417/M1417)</f>
        <v/>
      </c>
      <c r="V1417" s="34">
        <f>N1417/(N1417+O1417)</f>
        <v/>
      </c>
      <c r="W1417" s="34">
        <f>U1417*V1417</f>
        <v/>
      </c>
      <c r="X1417" s="32">
        <f>T1417/N1417</f>
        <v/>
      </c>
      <c r="Y1417" s="35">
        <f>IF(W1417=MAXIFS(W$2:W$3601, A$2:A$3601, A1417, B$2:B$3601, B1417), "OPTIMAL", "")</f>
        <v/>
      </c>
    </row>
    <row r="1418" ht="20" customHeight="1">
      <c r="A1418" s="21" t="n">
        <v>4</v>
      </c>
      <c r="B1418" s="21" t="n">
        <v>40</v>
      </c>
      <c r="C1418" s="22" t="n">
        <v>120</v>
      </c>
      <c r="D1418" s="22" t="n">
        <v>2</v>
      </c>
      <c r="E1418" s="23" t="n">
        <v>8</v>
      </c>
      <c r="F1418" s="22" t="n">
        <v>2</v>
      </c>
      <c r="G1418" s="23" t="inlineStr">
        <is>
          <t>Oui</t>
        </is>
      </c>
      <c r="H1418" s="23" t="inlineStr">
        <is>
          <t>ON</t>
        </is>
      </c>
      <c r="I1418" s="24" t="n">
        <v>994.4885628369005</v>
      </c>
      <c r="J1418" s="24" t="n">
        <v>4850.441664768843</v>
      </c>
      <c r="K1418" s="24" t="n">
        <v>2726.851851851852</v>
      </c>
      <c r="L1418" s="24" t="n">
        <v>150</v>
      </c>
      <c r="M1418" s="24">
        <f>I1418+J1418+K1418+L1418</f>
        <v/>
      </c>
      <c r="N1418" s="24">
        <f>M1418*'Dashboard &amp; Optimisation'!$B$18/('Dashboard &amp; Optimisation'!$B$16/3.6)</f>
        <v/>
      </c>
      <c r="O1418" s="24" t="n">
        <v>777.6564965160668</v>
      </c>
      <c r="P1418" s="25" t="n">
        <v>0.04997260972227939</v>
      </c>
      <c r="Q1418" s="26" t="n">
        <v>14.58672875926959</v>
      </c>
      <c r="R1418" s="24" t="n">
        <v>3343.498528124095</v>
      </c>
      <c r="S1418" s="24">
        <f>R1418*IF(A1418=4, 2.0, 3.0)</f>
        <v/>
      </c>
      <c r="T1418" s="22">
        <f>'Dashboard &amp; Optimisation'!$B$18*U1418</f>
        <v/>
      </c>
      <c r="U1418" s="27">
        <f>MIN(1, S1418/M1418)</f>
        <v/>
      </c>
      <c r="V1418" s="27">
        <f>N1418/(N1418+O1418)</f>
        <v/>
      </c>
      <c r="W1418" s="27">
        <f>U1418*V1418</f>
        <v/>
      </c>
      <c r="X1418" s="25">
        <f>T1418/N1418</f>
        <v/>
      </c>
      <c r="Y1418" s="28">
        <f>IF(W1418=MAXIFS(W$2:W$3601, A$2:A$3601, A1418, B$2:B$3601, B1418), "OPTIMAL", "")</f>
        <v/>
      </c>
    </row>
    <row r="1419" ht="20" customHeight="1">
      <c r="A1419" s="29" t="n">
        <v>4</v>
      </c>
      <c r="B1419" s="29" t="n">
        <v>40</v>
      </c>
      <c r="C1419" s="30" t="n">
        <v>120</v>
      </c>
      <c r="D1419" s="30" t="n">
        <v>2</v>
      </c>
      <c r="E1419" s="6" t="n">
        <v>8</v>
      </c>
      <c r="F1419" s="30" t="n">
        <v>2</v>
      </c>
      <c r="G1419" s="6" t="inlineStr">
        <is>
          <t>Oui</t>
        </is>
      </c>
      <c r="H1419" s="6" t="inlineStr">
        <is>
          <t>OFF</t>
        </is>
      </c>
      <c r="I1419" s="31" t="n">
        <v>994.4885628369005</v>
      </c>
      <c r="J1419" s="31" t="n">
        <v>4850.441664768843</v>
      </c>
      <c r="K1419" s="31" t="n">
        <v>2726.851851851852</v>
      </c>
      <c r="L1419" s="31" t="n">
        <v>150</v>
      </c>
      <c r="M1419" s="31">
        <f>I1419+J1419+K1419+L1419</f>
        <v/>
      </c>
      <c r="N1419" s="31">
        <f>M1419*'Dashboard &amp; Optimisation'!$B$18/('Dashboard &amp; Optimisation'!$B$16/3.6)</f>
        <v/>
      </c>
      <c r="O1419" s="31" t="n">
        <v>777.6564965160668</v>
      </c>
      <c r="P1419" s="32" t="n">
        <v>0.2163666659525478</v>
      </c>
      <c r="Q1419" s="33" t="n">
        <v>14.58672875926959</v>
      </c>
      <c r="R1419" s="31" t="n">
        <v>772.2231440660302</v>
      </c>
      <c r="S1419" s="31">
        <f>R1419*IF(A1419=4, 2.0, 3.0)</f>
        <v/>
      </c>
      <c r="T1419" s="30">
        <f>'Dashboard &amp; Optimisation'!$B$18*U1419</f>
        <v/>
      </c>
      <c r="U1419" s="34">
        <f>MIN(1, S1419/M1419)</f>
        <v/>
      </c>
      <c r="V1419" s="34">
        <f>N1419/(N1419+O1419)</f>
        <v/>
      </c>
      <c r="W1419" s="34">
        <f>U1419*V1419</f>
        <v/>
      </c>
      <c r="X1419" s="32">
        <f>T1419/N1419</f>
        <v/>
      </c>
      <c r="Y1419" s="35">
        <f>IF(W1419=MAXIFS(W$2:W$3601, A$2:A$3601, A1419, B$2:B$3601, B1419), "OPTIMAL", "")</f>
        <v/>
      </c>
    </row>
    <row r="1420" ht="20" customHeight="1">
      <c r="A1420" s="21" t="n">
        <v>4</v>
      </c>
      <c r="B1420" s="21" t="n">
        <v>40</v>
      </c>
      <c r="C1420" s="22" t="n">
        <v>120</v>
      </c>
      <c r="D1420" s="22" t="n">
        <v>2</v>
      </c>
      <c r="E1420" s="23" t="n">
        <v>8</v>
      </c>
      <c r="F1420" s="22" t="n">
        <v>2</v>
      </c>
      <c r="G1420" s="23" t="inlineStr">
        <is>
          <t>Non</t>
        </is>
      </c>
      <c r="H1420" s="23" t="inlineStr">
        <is>
          <t>ON</t>
        </is>
      </c>
      <c r="I1420" s="24" t="n">
        <v>994.4885628369005</v>
      </c>
      <c r="J1420" s="24" t="n">
        <v>4850.441664768843</v>
      </c>
      <c r="K1420" s="24" t="n">
        <v>2726.851851851852</v>
      </c>
      <c r="L1420" s="24" t="n">
        <v>150</v>
      </c>
      <c r="M1420" s="24">
        <f>I1420+J1420+K1420+L1420</f>
        <v/>
      </c>
      <c r="N1420" s="24">
        <f>M1420*'Dashboard &amp; Optimisation'!$B$18/('Dashboard &amp; Optimisation'!$B$16/3.6)</f>
        <v/>
      </c>
      <c r="O1420" s="24" t="n">
        <v>777.6564965160668</v>
      </c>
      <c r="P1420" s="25" t="n">
        <v>0.04732002733741447</v>
      </c>
      <c r="Q1420" s="26" t="n">
        <v>14.58672875926959</v>
      </c>
      <c r="R1420" s="24" t="n">
        <v>3530.922454071648</v>
      </c>
      <c r="S1420" s="24">
        <f>R1420*IF(A1420=4, 2.0, 3.0)</f>
        <v/>
      </c>
      <c r="T1420" s="22">
        <f>'Dashboard &amp; Optimisation'!$B$18*U1420</f>
        <v/>
      </c>
      <c r="U1420" s="27">
        <f>MIN(1, S1420/M1420)</f>
        <v/>
      </c>
      <c r="V1420" s="27">
        <f>N1420/(N1420+O1420)</f>
        <v/>
      </c>
      <c r="W1420" s="27">
        <f>U1420*V1420</f>
        <v/>
      </c>
      <c r="X1420" s="25">
        <f>T1420/N1420</f>
        <v/>
      </c>
      <c r="Y1420" s="28">
        <f>IF(W1420=MAXIFS(W$2:W$3601, A$2:A$3601, A1420, B$2:B$3601, B1420), "OPTIMAL", "")</f>
        <v/>
      </c>
    </row>
    <row r="1421" ht="20" customHeight="1">
      <c r="A1421" s="29" t="n">
        <v>4</v>
      </c>
      <c r="B1421" s="29" t="n">
        <v>40</v>
      </c>
      <c r="C1421" s="30" t="n">
        <v>120</v>
      </c>
      <c r="D1421" s="30" t="n">
        <v>2</v>
      </c>
      <c r="E1421" s="6" t="n">
        <v>8</v>
      </c>
      <c r="F1421" s="30" t="n">
        <v>2</v>
      </c>
      <c r="G1421" s="6" t="inlineStr">
        <is>
          <t>Non</t>
        </is>
      </c>
      <c r="H1421" s="6" t="inlineStr">
        <is>
          <t>OFF</t>
        </is>
      </c>
      <c r="I1421" s="31" t="n">
        <v>994.4885628369005</v>
      </c>
      <c r="J1421" s="31" t="n">
        <v>4850.441664768843</v>
      </c>
      <c r="K1421" s="31" t="n">
        <v>2726.851851851852</v>
      </c>
      <c r="L1421" s="31" t="n">
        <v>150</v>
      </c>
      <c r="M1421" s="31">
        <f>I1421+J1421+K1421+L1421</f>
        <v/>
      </c>
      <c r="N1421" s="31">
        <f>M1421*'Dashboard &amp; Optimisation'!$B$18/('Dashboard &amp; Optimisation'!$B$16/3.6)</f>
        <v/>
      </c>
      <c r="O1421" s="31" t="n">
        <v>777.6564965160668</v>
      </c>
      <c r="P1421" s="32" t="n">
        <v>0.2137140835676829</v>
      </c>
      <c r="Q1421" s="33" t="n">
        <v>14.58672875926959</v>
      </c>
      <c r="R1421" s="31" t="n">
        <v>781.8078446853782</v>
      </c>
      <c r="S1421" s="31">
        <f>R1421*IF(A1421=4, 2.0, 3.0)</f>
        <v/>
      </c>
      <c r="T1421" s="30">
        <f>'Dashboard &amp; Optimisation'!$B$18*U1421</f>
        <v/>
      </c>
      <c r="U1421" s="34">
        <f>MIN(1, S1421/M1421)</f>
        <v/>
      </c>
      <c r="V1421" s="34">
        <f>N1421/(N1421+O1421)</f>
        <v/>
      </c>
      <c r="W1421" s="34">
        <f>U1421*V1421</f>
        <v/>
      </c>
      <c r="X1421" s="32">
        <f>T1421/N1421</f>
        <v/>
      </c>
      <c r="Y1421" s="35">
        <f>IF(W1421=MAXIFS(W$2:W$3601, A$2:A$3601, A1421, B$2:B$3601, B1421), "OPTIMAL", "")</f>
        <v/>
      </c>
    </row>
    <row r="1422" ht="20" customHeight="1">
      <c r="A1422" s="21" t="n">
        <v>4</v>
      </c>
      <c r="B1422" s="21" t="n">
        <v>40</v>
      </c>
      <c r="C1422" s="22" t="n">
        <v>120</v>
      </c>
      <c r="D1422" s="22" t="n">
        <v>3</v>
      </c>
      <c r="E1422" s="23" t="n">
        <v>0</v>
      </c>
      <c r="F1422" s="22" t="n">
        <v>0</v>
      </c>
      <c r="G1422" s="23" t="inlineStr">
        <is>
          <t>Oui</t>
        </is>
      </c>
      <c r="H1422" s="23" t="inlineStr">
        <is>
          <t>ON</t>
        </is>
      </c>
      <c r="I1422" s="24" t="n">
        <v>994.4885628369005</v>
      </c>
      <c r="J1422" s="24" t="n">
        <v>4850.441664768843</v>
      </c>
      <c r="K1422" s="24" t="n">
        <v>2726.851851851852</v>
      </c>
      <c r="L1422" s="24" t="n">
        <v>150</v>
      </c>
      <c r="M1422" s="24">
        <f>I1422+J1422+K1422+L1422</f>
        <v/>
      </c>
      <c r="N1422" s="24">
        <f>M1422*'Dashboard &amp; Optimisation'!$B$18/('Dashboard &amp; Optimisation'!$B$16/3.6)</f>
        <v/>
      </c>
      <c r="O1422" s="24" t="n">
        <v>478.8808358308679</v>
      </c>
      <c r="P1422" s="25" t="n">
        <v>0.4668943220842715</v>
      </c>
      <c r="Q1422" s="26" t="n">
        <v>0.2</v>
      </c>
      <c r="R1422" s="24" t="n">
        <v>344.4991158948135</v>
      </c>
      <c r="S1422" s="24">
        <f>R1422*IF(A1422=4, 2.0, 3.0)</f>
        <v/>
      </c>
      <c r="T1422" s="22">
        <f>'Dashboard &amp; Optimisation'!$B$18*U1422</f>
        <v/>
      </c>
      <c r="U1422" s="27">
        <f>MIN(1, S1422/M1422)</f>
        <v/>
      </c>
      <c r="V1422" s="27">
        <f>N1422/(N1422+O1422)</f>
        <v/>
      </c>
      <c r="W1422" s="27">
        <f>U1422*V1422</f>
        <v/>
      </c>
      <c r="X1422" s="25">
        <f>T1422/N1422</f>
        <v/>
      </c>
      <c r="Y1422" s="28">
        <f>IF(W1422=MAXIFS(W$2:W$3601, A$2:A$3601, A1422, B$2:B$3601, B1422), "OPTIMAL", "")</f>
        <v/>
      </c>
    </row>
    <row r="1423" ht="20" customHeight="1">
      <c r="A1423" s="29" t="n">
        <v>4</v>
      </c>
      <c r="B1423" s="29" t="n">
        <v>40</v>
      </c>
      <c r="C1423" s="30" t="n">
        <v>120</v>
      </c>
      <c r="D1423" s="30" t="n">
        <v>3</v>
      </c>
      <c r="E1423" s="6" t="n">
        <v>0</v>
      </c>
      <c r="F1423" s="30" t="n">
        <v>0</v>
      </c>
      <c r="G1423" s="6" t="inlineStr">
        <is>
          <t>Oui</t>
        </is>
      </c>
      <c r="H1423" s="6" t="inlineStr">
        <is>
          <t>OFF</t>
        </is>
      </c>
      <c r="I1423" s="31" t="n">
        <v>994.4885628369005</v>
      </c>
      <c r="J1423" s="31" t="n">
        <v>4850.441664768843</v>
      </c>
      <c r="K1423" s="31" t="n">
        <v>2726.851851851852</v>
      </c>
      <c r="L1423" s="31" t="n">
        <v>150</v>
      </c>
      <c r="M1423" s="31">
        <f>I1423+J1423+K1423+L1423</f>
        <v/>
      </c>
      <c r="N1423" s="31">
        <f>M1423*'Dashboard &amp; Optimisation'!$B$18/('Dashboard &amp; Optimisation'!$B$16/3.6)</f>
        <v/>
      </c>
      <c r="O1423" s="31" t="n">
        <v>478.8808358308679</v>
      </c>
      <c r="P1423" s="32" t="n">
        <v>0.7321525605707637</v>
      </c>
      <c r="Q1423" s="33" t="n">
        <v>0.2</v>
      </c>
      <c r="R1423" s="31" t="n">
        <v>219.6873846196075</v>
      </c>
      <c r="S1423" s="31">
        <f>R1423*IF(A1423=4, 2.0, 3.0)</f>
        <v/>
      </c>
      <c r="T1423" s="30">
        <f>'Dashboard &amp; Optimisation'!$B$18*U1423</f>
        <v/>
      </c>
      <c r="U1423" s="34">
        <f>MIN(1, S1423/M1423)</f>
        <v/>
      </c>
      <c r="V1423" s="34">
        <f>N1423/(N1423+O1423)</f>
        <v/>
      </c>
      <c r="W1423" s="34">
        <f>U1423*V1423</f>
        <v/>
      </c>
      <c r="X1423" s="32">
        <f>T1423/N1423</f>
        <v/>
      </c>
      <c r="Y1423" s="35">
        <f>IF(W1423=MAXIFS(W$2:W$3601, A$2:A$3601, A1423, B$2:B$3601, B1423), "OPTIMAL", "")</f>
        <v/>
      </c>
    </row>
    <row r="1424" ht="20" customHeight="1">
      <c r="A1424" s="21" t="n">
        <v>4</v>
      </c>
      <c r="B1424" s="21" t="n">
        <v>40</v>
      </c>
      <c r="C1424" s="22" t="n">
        <v>120</v>
      </c>
      <c r="D1424" s="22" t="n">
        <v>3</v>
      </c>
      <c r="E1424" s="23" t="n">
        <v>0</v>
      </c>
      <c r="F1424" s="22" t="n">
        <v>0</v>
      </c>
      <c r="G1424" s="23" t="inlineStr">
        <is>
          <t>Non</t>
        </is>
      </c>
      <c r="H1424" s="23" t="inlineStr">
        <is>
          <t>ON</t>
        </is>
      </c>
      <c r="I1424" s="24" t="n">
        <v>994.4885628369005</v>
      </c>
      <c r="J1424" s="24" t="n">
        <v>4850.441664768843</v>
      </c>
      <c r="K1424" s="24" t="n">
        <v>2726.851851851852</v>
      </c>
      <c r="L1424" s="24" t="n">
        <v>150</v>
      </c>
      <c r="M1424" s="24">
        <f>I1424+J1424+K1424+L1424</f>
        <v/>
      </c>
      <c r="N1424" s="24">
        <f>M1424*'Dashboard &amp; Optimisation'!$B$18/('Dashboard &amp; Optimisation'!$B$16/3.6)</f>
        <v/>
      </c>
      <c r="O1424" s="24" t="n">
        <v>478.8808358308679</v>
      </c>
      <c r="P1424" s="25" t="n">
        <v>0.4642417396994065</v>
      </c>
      <c r="Q1424" s="26" t="n">
        <v>0.2</v>
      </c>
      <c r="R1424" s="24" t="n">
        <v>346.4675134090392</v>
      </c>
      <c r="S1424" s="24">
        <f>R1424*IF(A1424=4, 2.0, 3.0)</f>
        <v/>
      </c>
      <c r="T1424" s="22">
        <f>'Dashboard &amp; Optimisation'!$B$18*U1424</f>
        <v/>
      </c>
      <c r="U1424" s="27">
        <f>MIN(1, S1424/M1424)</f>
        <v/>
      </c>
      <c r="V1424" s="27">
        <f>N1424/(N1424+O1424)</f>
        <v/>
      </c>
      <c r="W1424" s="27">
        <f>U1424*V1424</f>
        <v/>
      </c>
      <c r="X1424" s="25">
        <f>T1424/N1424</f>
        <v/>
      </c>
      <c r="Y1424" s="28">
        <f>IF(W1424=MAXIFS(W$2:W$3601, A$2:A$3601, A1424, B$2:B$3601, B1424), "OPTIMAL", "")</f>
        <v/>
      </c>
    </row>
    <row r="1425" ht="20" customHeight="1">
      <c r="A1425" s="29" t="n">
        <v>4</v>
      </c>
      <c r="B1425" s="29" t="n">
        <v>40</v>
      </c>
      <c r="C1425" s="30" t="n">
        <v>120</v>
      </c>
      <c r="D1425" s="30" t="n">
        <v>3</v>
      </c>
      <c r="E1425" s="6" t="n">
        <v>0</v>
      </c>
      <c r="F1425" s="30" t="n">
        <v>0</v>
      </c>
      <c r="G1425" s="6" t="inlineStr">
        <is>
          <t>Non</t>
        </is>
      </c>
      <c r="H1425" s="6" t="inlineStr">
        <is>
          <t>OFF</t>
        </is>
      </c>
      <c r="I1425" s="31" t="n">
        <v>994.4885628369005</v>
      </c>
      <c r="J1425" s="31" t="n">
        <v>4850.441664768843</v>
      </c>
      <c r="K1425" s="31" t="n">
        <v>2726.851851851852</v>
      </c>
      <c r="L1425" s="31" t="n">
        <v>150</v>
      </c>
      <c r="M1425" s="31">
        <f>I1425+J1425+K1425+L1425</f>
        <v/>
      </c>
      <c r="N1425" s="31">
        <f>M1425*'Dashboard &amp; Optimisation'!$B$18/('Dashboard &amp; Optimisation'!$B$16/3.6)</f>
        <v/>
      </c>
      <c r="O1425" s="31" t="n">
        <v>478.8808358308679</v>
      </c>
      <c r="P1425" s="32" t="n">
        <v>0.7294999781858988</v>
      </c>
      <c r="Q1425" s="33" t="n">
        <v>0.2</v>
      </c>
      <c r="R1425" s="31" t="n">
        <v>220.4862042276192</v>
      </c>
      <c r="S1425" s="31">
        <f>R1425*IF(A1425=4, 2.0, 3.0)</f>
        <v/>
      </c>
      <c r="T1425" s="30">
        <f>'Dashboard &amp; Optimisation'!$B$18*U1425</f>
        <v/>
      </c>
      <c r="U1425" s="34">
        <f>MIN(1, S1425/M1425)</f>
        <v/>
      </c>
      <c r="V1425" s="34">
        <f>N1425/(N1425+O1425)</f>
        <v/>
      </c>
      <c r="W1425" s="34">
        <f>U1425*V1425</f>
        <v/>
      </c>
      <c r="X1425" s="32">
        <f>T1425/N1425</f>
        <v/>
      </c>
      <c r="Y1425" s="35">
        <f>IF(W1425=MAXIFS(W$2:W$3601, A$2:A$3601, A1425, B$2:B$3601, B1425), "OPTIMAL", "")</f>
        <v/>
      </c>
    </row>
    <row r="1426" ht="20" customHeight="1">
      <c r="A1426" s="21" t="n">
        <v>4</v>
      </c>
      <c r="B1426" s="21" t="n">
        <v>40</v>
      </c>
      <c r="C1426" s="22" t="n">
        <v>120</v>
      </c>
      <c r="D1426" s="22" t="n">
        <v>3</v>
      </c>
      <c r="E1426" s="23" t="n">
        <v>4</v>
      </c>
      <c r="F1426" s="22" t="n">
        <v>1.5</v>
      </c>
      <c r="G1426" s="23" t="inlineStr">
        <is>
          <t>Oui</t>
        </is>
      </c>
      <c r="H1426" s="23" t="inlineStr">
        <is>
          <t>ON</t>
        </is>
      </c>
      <c r="I1426" s="24" t="n">
        <v>994.4885628369005</v>
      </c>
      <c r="J1426" s="24" t="n">
        <v>4850.441664768843</v>
      </c>
      <c r="K1426" s="24" t="n">
        <v>2726.851851851852</v>
      </c>
      <c r="L1426" s="24" t="n">
        <v>150</v>
      </c>
      <c r="M1426" s="24">
        <f>I1426+J1426+K1426+L1426</f>
        <v/>
      </c>
      <c r="N1426" s="24">
        <f>M1426*'Dashboard &amp; Optimisation'!$B$18/('Dashboard &amp; Optimisation'!$B$16/3.6)</f>
        <v/>
      </c>
      <c r="O1426" s="24" t="n">
        <v>654.3244718685187</v>
      </c>
      <c r="P1426" s="25" t="n">
        <v>0.06783449726767998</v>
      </c>
      <c r="Q1426" s="26" t="n">
        <v>5.689672816037082</v>
      </c>
      <c r="R1426" s="24" t="n">
        <v>2436.442933084834</v>
      </c>
      <c r="S1426" s="24">
        <f>R1426*IF(A1426=4, 2.0, 3.0)</f>
        <v/>
      </c>
      <c r="T1426" s="22">
        <f>'Dashboard &amp; Optimisation'!$B$18*U1426</f>
        <v/>
      </c>
      <c r="U1426" s="27">
        <f>MIN(1, S1426/M1426)</f>
        <v/>
      </c>
      <c r="V1426" s="27">
        <f>N1426/(N1426+O1426)</f>
        <v/>
      </c>
      <c r="W1426" s="27">
        <f>U1426*V1426</f>
        <v/>
      </c>
      <c r="X1426" s="25">
        <f>T1426/N1426</f>
        <v/>
      </c>
      <c r="Y1426" s="28">
        <f>IF(W1426=MAXIFS(W$2:W$3601, A$2:A$3601, A1426, B$2:B$3601, B1426), "OPTIMAL", "")</f>
        <v/>
      </c>
    </row>
    <row r="1427" ht="20" customHeight="1">
      <c r="A1427" s="29" t="n">
        <v>4</v>
      </c>
      <c r="B1427" s="29" t="n">
        <v>40</v>
      </c>
      <c r="C1427" s="30" t="n">
        <v>120</v>
      </c>
      <c r="D1427" s="30" t="n">
        <v>3</v>
      </c>
      <c r="E1427" s="6" t="n">
        <v>4</v>
      </c>
      <c r="F1427" s="30" t="n">
        <v>1.5</v>
      </c>
      <c r="G1427" s="6" t="inlineStr">
        <is>
          <t>Oui</t>
        </is>
      </c>
      <c r="H1427" s="6" t="inlineStr">
        <is>
          <t>OFF</t>
        </is>
      </c>
      <c r="I1427" s="31" t="n">
        <v>994.4885628369005</v>
      </c>
      <c r="J1427" s="31" t="n">
        <v>4850.441664768843</v>
      </c>
      <c r="K1427" s="31" t="n">
        <v>2726.851851851852</v>
      </c>
      <c r="L1427" s="31" t="n">
        <v>150</v>
      </c>
      <c r="M1427" s="31">
        <f>I1427+J1427+K1427+L1427</f>
        <v/>
      </c>
      <c r="N1427" s="31">
        <f>M1427*'Dashboard &amp; Optimisation'!$B$18/('Dashboard &amp; Optimisation'!$B$16/3.6)</f>
        <v/>
      </c>
      <c r="O1427" s="31" t="n">
        <v>654.3244718685187</v>
      </c>
      <c r="P1427" s="32" t="n">
        <v>0.2715077102234196</v>
      </c>
      <c r="Q1427" s="33" t="n">
        <v>5.689672816037082</v>
      </c>
      <c r="R1427" s="31" t="n">
        <v>608.7299743760468</v>
      </c>
      <c r="S1427" s="31">
        <f>R1427*IF(A1427=4, 2.0, 3.0)</f>
        <v/>
      </c>
      <c r="T1427" s="30">
        <f>'Dashboard &amp; Optimisation'!$B$18*U1427</f>
        <v/>
      </c>
      <c r="U1427" s="34">
        <f>MIN(1, S1427/M1427)</f>
        <v/>
      </c>
      <c r="V1427" s="34">
        <f>N1427/(N1427+O1427)</f>
        <v/>
      </c>
      <c r="W1427" s="34">
        <f>U1427*V1427</f>
        <v/>
      </c>
      <c r="X1427" s="32">
        <f>T1427/N1427</f>
        <v/>
      </c>
      <c r="Y1427" s="35">
        <f>IF(W1427=MAXIFS(W$2:W$3601, A$2:A$3601, A1427, B$2:B$3601, B1427), "OPTIMAL", "")</f>
        <v/>
      </c>
    </row>
    <row r="1428" ht="20" customHeight="1">
      <c r="A1428" s="21" t="n">
        <v>4</v>
      </c>
      <c r="B1428" s="21" t="n">
        <v>40</v>
      </c>
      <c r="C1428" s="22" t="n">
        <v>120</v>
      </c>
      <c r="D1428" s="22" t="n">
        <v>3</v>
      </c>
      <c r="E1428" s="23" t="n">
        <v>4</v>
      </c>
      <c r="F1428" s="22" t="n">
        <v>1.5</v>
      </c>
      <c r="G1428" s="23" t="inlineStr">
        <is>
          <t>Non</t>
        </is>
      </c>
      <c r="H1428" s="23" t="inlineStr">
        <is>
          <t>ON</t>
        </is>
      </c>
      <c r="I1428" s="24" t="n">
        <v>994.4885628369005</v>
      </c>
      <c r="J1428" s="24" t="n">
        <v>4850.441664768843</v>
      </c>
      <c r="K1428" s="24" t="n">
        <v>2726.851851851852</v>
      </c>
      <c r="L1428" s="24" t="n">
        <v>150</v>
      </c>
      <c r="M1428" s="24">
        <f>I1428+J1428+K1428+L1428</f>
        <v/>
      </c>
      <c r="N1428" s="24">
        <f>M1428*'Dashboard &amp; Optimisation'!$B$18/('Dashboard &amp; Optimisation'!$B$16/3.6)</f>
        <v/>
      </c>
      <c r="O1428" s="24" t="n">
        <v>654.3244718685187</v>
      </c>
      <c r="P1428" s="25" t="n">
        <v>0.06518191488281506</v>
      </c>
      <c r="Q1428" s="26" t="n">
        <v>5.689672816037082</v>
      </c>
      <c r="R1428" s="24" t="n">
        <v>2535.59414117144</v>
      </c>
      <c r="S1428" s="24">
        <f>R1428*IF(A1428=4, 2.0, 3.0)</f>
        <v/>
      </c>
      <c r="T1428" s="22">
        <f>'Dashboard &amp; Optimisation'!$B$18*U1428</f>
        <v/>
      </c>
      <c r="U1428" s="27">
        <f>MIN(1, S1428/M1428)</f>
        <v/>
      </c>
      <c r="V1428" s="27">
        <f>N1428/(N1428+O1428)</f>
        <v/>
      </c>
      <c r="W1428" s="27">
        <f>U1428*V1428</f>
        <v/>
      </c>
      <c r="X1428" s="25">
        <f>T1428/N1428</f>
        <v/>
      </c>
      <c r="Y1428" s="28">
        <f>IF(W1428=MAXIFS(W$2:W$3601, A$2:A$3601, A1428, B$2:B$3601, B1428), "OPTIMAL", "")</f>
        <v/>
      </c>
    </row>
    <row r="1429" ht="20" customHeight="1">
      <c r="A1429" s="29" t="n">
        <v>4</v>
      </c>
      <c r="B1429" s="29" t="n">
        <v>40</v>
      </c>
      <c r="C1429" s="30" t="n">
        <v>120</v>
      </c>
      <c r="D1429" s="30" t="n">
        <v>3</v>
      </c>
      <c r="E1429" s="6" t="n">
        <v>4</v>
      </c>
      <c r="F1429" s="30" t="n">
        <v>1.5</v>
      </c>
      <c r="G1429" s="6" t="inlineStr">
        <is>
          <t>Non</t>
        </is>
      </c>
      <c r="H1429" s="6" t="inlineStr">
        <is>
          <t>OFF</t>
        </is>
      </c>
      <c r="I1429" s="31" t="n">
        <v>994.4885628369005</v>
      </c>
      <c r="J1429" s="31" t="n">
        <v>4850.441664768843</v>
      </c>
      <c r="K1429" s="31" t="n">
        <v>2726.851851851852</v>
      </c>
      <c r="L1429" s="31" t="n">
        <v>150</v>
      </c>
      <c r="M1429" s="31">
        <f>I1429+J1429+K1429+L1429</f>
        <v/>
      </c>
      <c r="N1429" s="31">
        <f>M1429*'Dashboard &amp; Optimisation'!$B$18/('Dashboard &amp; Optimisation'!$B$16/3.6)</f>
        <v/>
      </c>
      <c r="O1429" s="31" t="n">
        <v>654.3244718685187</v>
      </c>
      <c r="P1429" s="32" t="n">
        <v>0.2688551278385546</v>
      </c>
      <c r="Q1429" s="33" t="n">
        <v>5.689672816037082</v>
      </c>
      <c r="R1429" s="31" t="n">
        <v>614.7358349305787</v>
      </c>
      <c r="S1429" s="31">
        <f>R1429*IF(A1429=4, 2.0, 3.0)</f>
        <v/>
      </c>
      <c r="T1429" s="30">
        <f>'Dashboard &amp; Optimisation'!$B$18*U1429</f>
        <v/>
      </c>
      <c r="U1429" s="34">
        <f>MIN(1, S1429/M1429)</f>
        <v/>
      </c>
      <c r="V1429" s="34">
        <f>N1429/(N1429+O1429)</f>
        <v/>
      </c>
      <c r="W1429" s="34">
        <f>U1429*V1429</f>
        <v/>
      </c>
      <c r="X1429" s="32">
        <f>T1429/N1429</f>
        <v/>
      </c>
      <c r="Y1429" s="35">
        <f>IF(W1429=MAXIFS(W$2:W$3601, A$2:A$3601, A1429, B$2:B$3601, B1429), "OPTIMAL", "")</f>
        <v/>
      </c>
    </row>
    <row r="1430" ht="20" customHeight="1">
      <c r="A1430" s="21" t="n">
        <v>4</v>
      </c>
      <c r="B1430" s="21" t="n">
        <v>40</v>
      </c>
      <c r="C1430" s="22" t="n">
        <v>120</v>
      </c>
      <c r="D1430" s="22" t="n">
        <v>3</v>
      </c>
      <c r="E1430" s="23" t="n">
        <v>4</v>
      </c>
      <c r="F1430" s="22" t="n">
        <v>2</v>
      </c>
      <c r="G1430" s="23" t="inlineStr">
        <is>
          <t>Oui</t>
        </is>
      </c>
      <c r="H1430" s="23" t="inlineStr">
        <is>
          <t>ON</t>
        </is>
      </c>
      <c r="I1430" s="24" t="n">
        <v>994.4885628369005</v>
      </c>
      <c r="J1430" s="24" t="n">
        <v>4850.441664768843</v>
      </c>
      <c r="K1430" s="24" t="n">
        <v>2726.851851851852</v>
      </c>
      <c r="L1430" s="24" t="n">
        <v>150</v>
      </c>
      <c r="M1430" s="24">
        <f>I1430+J1430+K1430+L1430</f>
        <v/>
      </c>
      <c r="N1430" s="24">
        <f>M1430*'Dashboard &amp; Optimisation'!$B$18/('Dashboard &amp; Optimisation'!$B$16/3.6)</f>
        <v/>
      </c>
      <c r="O1430" s="24" t="n">
        <v>714.9732756077111</v>
      </c>
      <c r="P1430" s="25" t="n">
        <v>0.06458187918791126</v>
      </c>
      <c r="Q1430" s="26" t="n">
        <v>7.519563754716109</v>
      </c>
      <c r="R1430" s="24" t="n">
        <v>2582.866150438314</v>
      </c>
      <c r="S1430" s="24">
        <f>R1430*IF(A1430=4, 2.0, 3.0)</f>
        <v/>
      </c>
      <c r="T1430" s="22">
        <f>'Dashboard &amp; Optimisation'!$B$18*U1430</f>
        <v/>
      </c>
      <c r="U1430" s="27">
        <f>MIN(1, S1430/M1430)</f>
        <v/>
      </c>
      <c r="V1430" s="27">
        <f>N1430/(N1430+O1430)</f>
        <v/>
      </c>
      <c r="W1430" s="27">
        <f>U1430*V1430</f>
        <v/>
      </c>
      <c r="X1430" s="25">
        <f>T1430/N1430</f>
        <v/>
      </c>
      <c r="Y1430" s="28">
        <f>IF(W1430=MAXIFS(W$2:W$3601, A$2:A$3601, A1430, B$2:B$3601, B1430), "OPTIMAL", "")</f>
        <v/>
      </c>
    </row>
    <row r="1431" ht="20" customHeight="1">
      <c r="A1431" s="29" t="n">
        <v>4</v>
      </c>
      <c r="B1431" s="29" t="n">
        <v>40</v>
      </c>
      <c r="C1431" s="30" t="n">
        <v>120</v>
      </c>
      <c r="D1431" s="30" t="n">
        <v>3</v>
      </c>
      <c r="E1431" s="6" t="n">
        <v>4</v>
      </c>
      <c r="F1431" s="30" t="n">
        <v>2</v>
      </c>
      <c r="G1431" s="6" t="inlineStr">
        <is>
          <t>Oui</t>
        </is>
      </c>
      <c r="H1431" s="6" t="inlineStr">
        <is>
          <t>OFF</t>
        </is>
      </c>
      <c r="I1431" s="31" t="n">
        <v>994.4885628369005</v>
      </c>
      <c r="J1431" s="31" t="n">
        <v>4850.441664768843</v>
      </c>
      <c r="K1431" s="31" t="n">
        <v>2726.851851851852</v>
      </c>
      <c r="L1431" s="31" t="n">
        <v>150</v>
      </c>
      <c r="M1431" s="31">
        <f>I1431+J1431+K1431+L1431</f>
        <v/>
      </c>
      <c r="N1431" s="31">
        <f>M1431*'Dashboard &amp; Optimisation'!$B$18/('Dashboard &amp; Optimisation'!$B$16/3.6)</f>
        <v/>
      </c>
      <c r="O1431" s="31" t="n">
        <v>714.9732756077111</v>
      </c>
      <c r="P1431" s="32" t="n">
        <v>0.2690865884190716</v>
      </c>
      <c r="Q1431" s="33" t="n">
        <v>7.519563754716109</v>
      </c>
      <c r="R1431" s="31" t="n">
        <v>619.8984151018735</v>
      </c>
      <c r="S1431" s="31">
        <f>R1431*IF(A1431=4, 2.0, 3.0)</f>
        <v/>
      </c>
      <c r="T1431" s="30">
        <f>'Dashboard &amp; Optimisation'!$B$18*U1431</f>
        <v/>
      </c>
      <c r="U1431" s="34">
        <f>MIN(1, S1431/M1431)</f>
        <v/>
      </c>
      <c r="V1431" s="34">
        <f>N1431/(N1431+O1431)</f>
        <v/>
      </c>
      <c r="W1431" s="34">
        <f>U1431*V1431</f>
        <v/>
      </c>
      <c r="X1431" s="32">
        <f>T1431/N1431</f>
        <v/>
      </c>
      <c r="Y1431" s="35">
        <f>IF(W1431=MAXIFS(W$2:W$3601, A$2:A$3601, A1431, B$2:B$3601, B1431), "OPTIMAL", "")</f>
        <v/>
      </c>
    </row>
    <row r="1432" ht="20" customHeight="1">
      <c r="A1432" s="21" t="n">
        <v>4</v>
      </c>
      <c r="B1432" s="21" t="n">
        <v>40</v>
      </c>
      <c r="C1432" s="22" t="n">
        <v>120</v>
      </c>
      <c r="D1432" s="22" t="n">
        <v>3</v>
      </c>
      <c r="E1432" s="23" t="n">
        <v>4</v>
      </c>
      <c r="F1432" s="22" t="n">
        <v>2</v>
      </c>
      <c r="G1432" s="23" t="inlineStr">
        <is>
          <t>Non</t>
        </is>
      </c>
      <c r="H1432" s="23" t="inlineStr">
        <is>
          <t>ON</t>
        </is>
      </c>
      <c r="I1432" s="24" t="n">
        <v>994.4885628369005</v>
      </c>
      <c r="J1432" s="24" t="n">
        <v>4850.441664768843</v>
      </c>
      <c r="K1432" s="24" t="n">
        <v>2726.851851851852</v>
      </c>
      <c r="L1432" s="24" t="n">
        <v>150</v>
      </c>
      <c r="M1432" s="24">
        <f>I1432+J1432+K1432+L1432</f>
        <v/>
      </c>
      <c r="N1432" s="24">
        <f>M1432*'Dashboard &amp; Optimisation'!$B$18/('Dashboard &amp; Optimisation'!$B$16/3.6)</f>
        <v/>
      </c>
      <c r="O1432" s="24" t="n">
        <v>714.9732756077111</v>
      </c>
      <c r="P1432" s="25" t="n">
        <v>0.06192929680304634</v>
      </c>
      <c r="Q1432" s="26" t="n">
        <v>7.519563754716109</v>
      </c>
      <c r="R1432" s="24" t="n">
        <v>2693.496588805887</v>
      </c>
      <c r="S1432" s="24">
        <f>R1432*IF(A1432=4, 2.0, 3.0)</f>
        <v/>
      </c>
      <c r="T1432" s="22">
        <f>'Dashboard &amp; Optimisation'!$B$18*U1432</f>
        <v/>
      </c>
      <c r="U1432" s="27">
        <f>MIN(1, S1432/M1432)</f>
        <v/>
      </c>
      <c r="V1432" s="27">
        <f>N1432/(N1432+O1432)</f>
        <v/>
      </c>
      <c r="W1432" s="27">
        <f>U1432*V1432</f>
        <v/>
      </c>
      <c r="X1432" s="25">
        <f>T1432/N1432</f>
        <v/>
      </c>
      <c r="Y1432" s="28">
        <f>IF(W1432=MAXIFS(W$2:W$3601, A$2:A$3601, A1432, B$2:B$3601, B1432), "OPTIMAL", "")</f>
        <v/>
      </c>
    </row>
    <row r="1433" ht="20" customHeight="1">
      <c r="A1433" s="29" t="n">
        <v>4</v>
      </c>
      <c r="B1433" s="29" t="n">
        <v>40</v>
      </c>
      <c r="C1433" s="30" t="n">
        <v>120</v>
      </c>
      <c r="D1433" s="30" t="n">
        <v>3</v>
      </c>
      <c r="E1433" s="6" t="n">
        <v>4</v>
      </c>
      <c r="F1433" s="30" t="n">
        <v>2</v>
      </c>
      <c r="G1433" s="6" t="inlineStr">
        <is>
          <t>Non</t>
        </is>
      </c>
      <c r="H1433" s="6" t="inlineStr">
        <is>
          <t>OFF</t>
        </is>
      </c>
      <c r="I1433" s="31" t="n">
        <v>994.4885628369005</v>
      </c>
      <c r="J1433" s="31" t="n">
        <v>4850.441664768843</v>
      </c>
      <c r="K1433" s="31" t="n">
        <v>2726.851851851852</v>
      </c>
      <c r="L1433" s="31" t="n">
        <v>150</v>
      </c>
      <c r="M1433" s="31">
        <f>I1433+J1433+K1433+L1433</f>
        <v/>
      </c>
      <c r="N1433" s="31">
        <f>M1433*'Dashboard &amp; Optimisation'!$B$18/('Dashboard &amp; Optimisation'!$B$16/3.6)</f>
        <v/>
      </c>
      <c r="O1433" s="31" t="n">
        <v>714.9732756077111</v>
      </c>
      <c r="P1433" s="32" t="n">
        <v>0.2664340060342067</v>
      </c>
      <c r="Q1433" s="33" t="n">
        <v>7.519563754716109</v>
      </c>
      <c r="R1433" s="31" t="n">
        <v>626.0700432689395</v>
      </c>
      <c r="S1433" s="31">
        <f>R1433*IF(A1433=4, 2.0, 3.0)</f>
        <v/>
      </c>
      <c r="T1433" s="30">
        <f>'Dashboard &amp; Optimisation'!$B$18*U1433</f>
        <v/>
      </c>
      <c r="U1433" s="34">
        <f>MIN(1, S1433/M1433)</f>
        <v/>
      </c>
      <c r="V1433" s="34">
        <f>N1433/(N1433+O1433)</f>
        <v/>
      </c>
      <c r="W1433" s="34">
        <f>U1433*V1433</f>
        <v/>
      </c>
      <c r="X1433" s="32">
        <f>T1433/N1433</f>
        <v/>
      </c>
      <c r="Y1433" s="35">
        <f>IF(W1433=MAXIFS(W$2:W$3601, A$2:A$3601, A1433, B$2:B$3601, B1433), "OPTIMAL", "")</f>
        <v/>
      </c>
    </row>
    <row r="1434" ht="20" customHeight="1">
      <c r="A1434" s="21" t="n">
        <v>4</v>
      </c>
      <c r="B1434" s="21" t="n">
        <v>40</v>
      </c>
      <c r="C1434" s="22" t="n">
        <v>120</v>
      </c>
      <c r="D1434" s="22" t="n">
        <v>3</v>
      </c>
      <c r="E1434" s="23" t="n">
        <v>8</v>
      </c>
      <c r="F1434" s="22" t="n">
        <v>1.5</v>
      </c>
      <c r="G1434" s="23" t="inlineStr">
        <is>
          <t>Oui</t>
        </is>
      </c>
      <c r="H1434" s="23" t="inlineStr">
        <is>
          <t>ON</t>
        </is>
      </c>
      <c r="I1434" s="24" t="n">
        <v>994.4885628369005</v>
      </c>
      <c r="J1434" s="24" t="n">
        <v>4850.441664768843</v>
      </c>
      <c r="K1434" s="24" t="n">
        <v>2726.851851851852</v>
      </c>
      <c r="L1434" s="24" t="n">
        <v>150</v>
      </c>
      <c r="M1434" s="24">
        <f>I1434+J1434+K1434+L1434</f>
        <v/>
      </c>
      <c r="N1434" s="24">
        <f>M1434*'Dashboard &amp; Optimisation'!$B$18/('Dashboard &amp; Optimisation'!$B$16/3.6)</f>
        <v/>
      </c>
      <c r="O1434" s="24" t="n">
        <v>839.7064518111932</v>
      </c>
      <c r="P1434" s="25" t="n">
        <v>0.05144850932496671</v>
      </c>
      <c r="Q1434" s="26" t="n">
        <v>11.17934563207417</v>
      </c>
      <c r="R1434" s="24" t="n">
        <v>3303.420085256327</v>
      </c>
      <c r="S1434" s="24">
        <f>R1434*IF(A1434=4, 2.0, 3.0)</f>
        <v/>
      </c>
      <c r="T1434" s="22">
        <f>'Dashboard &amp; Optimisation'!$B$18*U1434</f>
        <v/>
      </c>
      <c r="U1434" s="27">
        <f>MIN(1, S1434/M1434)</f>
        <v/>
      </c>
      <c r="V1434" s="27">
        <f>N1434/(N1434+O1434)</f>
        <v/>
      </c>
      <c r="W1434" s="27">
        <f>U1434*V1434</f>
        <v/>
      </c>
      <c r="X1434" s="25">
        <f>T1434/N1434</f>
        <v/>
      </c>
      <c r="Y1434" s="28">
        <f>IF(W1434=MAXIFS(W$2:W$3601, A$2:A$3601, A1434, B$2:B$3601, B1434), "OPTIMAL", "")</f>
        <v/>
      </c>
    </row>
    <row r="1435" ht="20" customHeight="1">
      <c r="A1435" s="29" t="n">
        <v>4</v>
      </c>
      <c r="B1435" s="29" t="n">
        <v>40</v>
      </c>
      <c r="C1435" s="30" t="n">
        <v>120</v>
      </c>
      <c r="D1435" s="30" t="n">
        <v>3</v>
      </c>
      <c r="E1435" s="6" t="n">
        <v>8</v>
      </c>
      <c r="F1435" s="30" t="n">
        <v>1.5</v>
      </c>
      <c r="G1435" s="6" t="inlineStr">
        <is>
          <t>Oui</t>
        </is>
      </c>
      <c r="H1435" s="6" t="inlineStr">
        <is>
          <t>OFF</t>
        </is>
      </c>
      <c r="I1435" s="31" t="n">
        <v>994.4885628369005</v>
      </c>
      <c r="J1435" s="31" t="n">
        <v>4850.441664768843</v>
      </c>
      <c r="K1435" s="31" t="n">
        <v>2726.851851851852</v>
      </c>
      <c r="L1435" s="31" t="n">
        <v>150</v>
      </c>
      <c r="M1435" s="31">
        <f>I1435+J1435+K1435+L1435</f>
        <v/>
      </c>
      <c r="N1435" s="31">
        <f>M1435*'Dashboard &amp; Optimisation'!$B$18/('Dashboard &amp; Optimisation'!$B$16/3.6)</f>
        <v/>
      </c>
      <c r="O1435" s="31" t="n">
        <v>839.7064518111932</v>
      </c>
      <c r="P1435" s="32" t="n">
        <v>0.2167441267000743</v>
      </c>
      <c r="Q1435" s="33" t="n">
        <v>11.17934563207417</v>
      </c>
      <c r="R1435" s="31" t="n">
        <v>784.1321545740147</v>
      </c>
      <c r="S1435" s="31">
        <f>R1435*IF(A1435=4, 2.0, 3.0)</f>
        <v/>
      </c>
      <c r="T1435" s="30">
        <f>'Dashboard &amp; Optimisation'!$B$18*U1435</f>
        <v/>
      </c>
      <c r="U1435" s="34">
        <f>MIN(1, S1435/M1435)</f>
        <v/>
      </c>
      <c r="V1435" s="34">
        <f>N1435/(N1435+O1435)</f>
        <v/>
      </c>
      <c r="W1435" s="34">
        <f>U1435*V1435</f>
        <v/>
      </c>
      <c r="X1435" s="32">
        <f>T1435/N1435</f>
        <v/>
      </c>
      <c r="Y1435" s="35">
        <f>IF(W1435=MAXIFS(W$2:W$3601, A$2:A$3601, A1435, B$2:B$3601, B1435), "OPTIMAL", "")</f>
        <v/>
      </c>
    </row>
    <row r="1436" ht="20" customHeight="1">
      <c r="A1436" s="21" t="n">
        <v>4</v>
      </c>
      <c r="B1436" s="21" t="n">
        <v>40</v>
      </c>
      <c r="C1436" s="22" t="n">
        <v>120</v>
      </c>
      <c r="D1436" s="22" t="n">
        <v>3</v>
      </c>
      <c r="E1436" s="23" t="n">
        <v>8</v>
      </c>
      <c r="F1436" s="22" t="n">
        <v>1.5</v>
      </c>
      <c r="G1436" s="23" t="inlineStr">
        <is>
          <t>Non</t>
        </is>
      </c>
      <c r="H1436" s="23" t="inlineStr">
        <is>
          <t>ON</t>
        </is>
      </c>
      <c r="I1436" s="24" t="n">
        <v>994.4885628369005</v>
      </c>
      <c r="J1436" s="24" t="n">
        <v>4850.441664768843</v>
      </c>
      <c r="K1436" s="24" t="n">
        <v>2726.851851851852</v>
      </c>
      <c r="L1436" s="24" t="n">
        <v>150</v>
      </c>
      <c r="M1436" s="24">
        <f>I1436+J1436+K1436+L1436</f>
        <v/>
      </c>
      <c r="N1436" s="24">
        <f>M1436*'Dashboard &amp; Optimisation'!$B$18/('Dashboard &amp; Optimisation'!$B$16/3.6)</f>
        <v/>
      </c>
      <c r="O1436" s="24" t="n">
        <v>839.7064518111932</v>
      </c>
      <c r="P1436" s="25" t="n">
        <v>0.04879592694010178</v>
      </c>
      <c r="Q1436" s="26" t="n">
        <v>11.17934563207417</v>
      </c>
      <c r="R1436" s="24" t="n">
        <v>3482.996424460135</v>
      </c>
      <c r="S1436" s="24">
        <f>R1436*IF(A1436=4, 2.0, 3.0)</f>
        <v/>
      </c>
      <c r="T1436" s="22">
        <f>'Dashboard &amp; Optimisation'!$B$18*U1436</f>
        <v/>
      </c>
      <c r="U1436" s="27">
        <f>MIN(1, S1436/M1436)</f>
        <v/>
      </c>
      <c r="V1436" s="27">
        <f>N1436/(N1436+O1436)</f>
        <v/>
      </c>
      <c r="W1436" s="27">
        <f>U1436*V1436</f>
        <v/>
      </c>
      <c r="X1436" s="25">
        <f>T1436/N1436</f>
        <v/>
      </c>
      <c r="Y1436" s="28">
        <f>IF(W1436=MAXIFS(W$2:W$3601, A$2:A$3601, A1436, B$2:B$3601, B1436), "OPTIMAL", "")</f>
        <v/>
      </c>
    </row>
    <row r="1437" ht="20" customHeight="1">
      <c r="A1437" s="29" t="n">
        <v>4</v>
      </c>
      <c r="B1437" s="29" t="n">
        <v>40</v>
      </c>
      <c r="C1437" s="30" t="n">
        <v>120</v>
      </c>
      <c r="D1437" s="30" t="n">
        <v>3</v>
      </c>
      <c r="E1437" s="6" t="n">
        <v>8</v>
      </c>
      <c r="F1437" s="30" t="n">
        <v>1.5</v>
      </c>
      <c r="G1437" s="6" t="inlineStr">
        <is>
          <t>Non</t>
        </is>
      </c>
      <c r="H1437" s="6" t="inlineStr">
        <is>
          <t>OFF</t>
        </is>
      </c>
      <c r="I1437" s="31" t="n">
        <v>994.4885628369005</v>
      </c>
      <c r="J1437" s="31" t="n">
        <v>4850.441664768843</v>
      </c>
      <c r="K1437" s="31" t="n">
        <v>2726.851851851852</v>
      </c>
      <c r="L1437" s="31" t="n">
        <v>150</v>
      </c>
      <c r="M1437" s="31">
        <f>I1437+J1437+K1437+L1437</f>
        <v/>
      </c>
      <c r="N1437" s="31">
        <f>M1437*'Dashboard &amp; Optimisation'!$B$18/('Dashboard &amp; Optimisation'!$B$16/3.6)</f>
        <v/>
      </c>
      <c r="O1437" s="31" t="n">
        <v>839.7064518111932</v>
      </c>
      <c r="P1437" s="32" t="n">
        <v>0.2140915443152093</v>
      </c>
      <c r="Q1437" s="33" t="n">
        <v>11.17934563207417</v>
      </c>
      <c r="R1437" s="31" t="n">
        <v>793.8475085702794</v>
      </c>
      <c r="S1437" s="31">
        <f>R1437*IF(A1437=4, 2.0, 3.0)</f>
        <v/>
      </c>
      <c r="T1437" s="30">
        <f>'Dashboard &amp; Optimisation'!$B$18*U1437</f>
        <v/>
      </c>
      <c r="U1437" s="34">
        <f>MIN(1, S1437/M1437)</f>
        <v/>
      </c>
      <c r="V1437" s="34">
        <f>N1437/(N1437+O1437)</f>
        <v/>
      </c>
      <c r="W1437" s="34">
        <f>U1437*V1437</f>
        <v/>
      </c>
      <c r="X1437" s="32">
        <f>T1437/N1437</f>
        <v/>
      </c>
      <c r="Y1437" s="35">
        <f>IF(W1437=MAXIFS(W$2:W$3601, A$2:A$3601, A1437, B$2:B$3601, B1437), "OPTIMAL", "")</f>
        <v/>
      </c>
    </row>
    <row r="1438" ht="20" customHeight="1">
      <c r="A1438" s="21" t="n">
        <v>4</v>
      </c>
      <c r="B1438" s="21" t="n">
        <v>40</v>
      </c>
      <c r="C1438" s="22" t="n">
        <v>120</v>
      </c>
      <c r="D1438" s="22" t="n">
        <v>3</v>
      </c>
      <c r="E1438" s="23" t="n">
        <v>8</v>
      </c>
      <c r="F1438" s="22" t="n">
        <v>2</v>
      </c>
      <c r="G1438" s="23" t="inlineStr">
        <is>
          <t>Oui</t>
        </is>
      </c>
      <c r="H1438" s="23" t="inlineStr">
        <is>
          <t>ON</t>
        </is>
      </c>
      <c r="I1438" s="24" t="n">
        <v>994.4885628369005</v>
      </c>
      <c r="J1438" s="24" t="n">
        <v>4850.441664768843</v>
      </c>
      <c r="K1438" s="24" t="n">
        <v>2726.851851851852</v>
      </c>
      <c r="L1438" s="24" t="n">
        <v>150</v>
      </c>
      <c r="M1438" s="24">
        <f>I1438+J1438+K1438+L1438</f>
        <v/>
      </c>
      <c r="N1438" s="24">
        <f>M1438*'Dashboard &amp; Optimisation'!$B$18/('Dashboard &amp; Optimisation'!$B$16/3.6)</f>
        <v/>
      </c>
      <c r="O1438" s="24" t="n">
        <v>969.2407862318839</v>
      </c>
      <c r="P1438" s="25" t="n">
        <v>0.04989331996011</v>
      </c>
      <c r="Q1438" s="26" t="n">
        <v>14.83912750943222</v>
      </c>
      <c r="R1438" s="24" t="n">
        <v>3471.94703858147</v>
      </c>
      <c r="S1438" s="24">
        <f>R1438*IF(A1438=4, 2.0, 3.0)</f>
        <v/>
      </c>
      <c r="T1438" s="22">
        <f>'Dashboard &amp; Optimisation'!$B$18*U1438</f>
        <v/>
      </c>
      <c r="U1438" s="27">
        <f>MIN(1, S1438/M1438)</f>
        <v/>
      </c>
      <c r="V1438" s="27">
        <f>N1438/(N1438+O1438)</f>
        <v/>
      </c>
      <c r="W1438" s="27">
        <f>U1438*V1438</f>
        <v/>
      </c>
      <c r="X1438" s="25">
        <f>T1438/N1438</f>
        <v/>
      </c>
      <c r="Y1438" s="28">
        <f>IF(W1438=MAXIFS(W$2:W$3601, A$2:A$3601, A1438, B$2:B$3601, B1438), "OPTIMAL", "")</f>
        <v/>
      </c>
    </row>
    <row r="1439" ht="20" customHeight="1">
      <c r="A1439" s="29" t="n">
        <v>4</v>
      </c>
      <c r="B1439" s="29" t="n">
        <v>40</v>
      </c>
      <c r="C1439" s="30" t="n">
        <v>120</v>
      </c>
      <c r="D1439" s="30" t="n">
        <v>3</v>
      </c>
      <c r="E1439" s="6" t="n">
        <v>8</v>
      </c>
      <c r="F1439" s="30" t="n">
        <v>2</v>
      </c>
      <c r="G1439" s="6" t="inlineStr">
        <is>
          <t>Oui</t>
        </is>
      </c>
      <c r="H1439" s="6" t="inlineStr">
        <is>
          <t>OFF</t>
        </is>
      </c>
      <c r="I1439" s="31" t="n">
        <v>994.4885628369005</v>
      </c>
      <c r="J1439" s="31" t="n">
        <v>4850.441664768843</v>
      </c>
      <c r="K1439" s="31" t="n">
        <v>2726.851851851852</v>
      </c>
      <c r="L1439" s="31" t="n">
        <v>150</v>
      </c>
      <c r="M1439" s="31">
        <f>I1439+J1439+K1439+L1439</f>
        <v/>
      </c>
      <c r="N1439" s="31">
        <f>M1439*'Dashboard &amp; Optimisation'!$B$18/('Dashboard &amp; Optimisation'!$B$16/3.6)</f>
        <v/>
      </c>
      <c r="O1439" s="31" t="n">
        <v>969.2407862318839</v>
      </c>
      <c r="P1439" s="32" t="n">
        <v>0.2162873761903785</v>
      </c>
      <c r="Q1439" s="33" t="n">
        <v>14.83912750943222</v>
      </c>
      <c r="R1439" s="31" t="n">
        <v>800.9111189551139</v>
      </c>
      <c r="S1439" s="31">
        <f>R1439*IF(A1439=4, 2.0, 3.0)</f>
        <v/>
      </c>
      <c r="T1439" s="30">
        <f>'Dashboard &amp; Optimisation'!$B$18*U1439</f>
        <v/>
      </c>
      <c r="U1439" s="34">
        <f>MIN(1, S1439/M1439)</f>
        <v/>
      </c>
      <c r="V1439" s="34">
        <f>N1439/(N1439+O1439)</f>
        <v/>
      </c>
      <c r="W1439" s="34">
        <f>U1439*V1439</f>
        <v/>
      </c>
      <c r="X1439" s="32">
        <f>T1439/N1439</f>
        <v/>
      </c>
      <c r="Y1439" s="35">
        <f>IF(W1439=MAXIFS(W$2:W$3601, A$2:A$3601, A1439, B$2:B$3601, B1439), "OPTIMAL", "")</f>
        <v/>
      </c>
    </row>
    <row r="1440" ht="20" customHeight="1">
      <c r="A1440" s="21" t="n">
        <v>4</v>
      </c>
      <c r="B1440" s="21" t="n">
        <v>40</v>
      </c>
      <c r="C1440" s="22" t="n">
        <v>120</v>
      </c>
      <c r="D1440" s="22" t="n">
        <v>3</v>
      </c>
      <c r="E1440" s="23" t="n">
        <v>8</v>
      </c>
      <c r="F1440" s="22" t="n">
        <v>2</v>
      </c>
      <c r="G1440" s="23" t="inlineStr">
        <is>
          <t>Non</t>
        </is>
      </c>
      <c r="H1440" s="23" t="inlineStr">
        <is>
          <t>ON</t>
        </is>
      </c>
      <c r="I1440" s="24" t="n">
        <v>994.4885628369005</v>
      </c>
      <c r="J1440" s="24" t="n">
        <v>4850.441664768843</v>
      </c>
      <c r="K1440" s="24" t="n">
        <v>2726.851851851852</v>
      </c>
      <c r="L1440" s="24" t="n">
        <v>150</v>
      </c>
      <c r="M1440" s="24">
        <f>I1440+J1440+K1440+L1440</f>
        <v/>
      </c>
      <c r="N1440" s="24">
        <f>M1440*'Dashboard &amp; Optimisation'!$B$18/('Dashboard &amp; Optimisation'!$B$16/3.6)</f>
        <v/>
      </c>
      <c r="O1440" s="24" t="n">
        <v>969.2407862318839</v>
      </c>
      <c r="P1440" s="25" t="n">
        <v>0.04724073757524508</v>
      </c>
      <c r="Q1440" s="26" t="n">
        <v>14.83912750943222</v>
      </c>
      <c r="R1440" s="24" t="n">
        <v>3666.89796501559</v>
      </c>
      <c r="S1440" s="24">
        <f>R1440*IF(A1440=4, 2.0, 3.0)</f>
        <v/>
      </c>
      <c r="T1440" s="22">
        <f>'Dashboard &amp; Optimisation'!$B$18*U1440</f>
        <v/>
      </c>
      <c r="U1440" s="27">
        <f>MIN(1, S1440/M1440)</f>
        <v/>
      </c>
      <c r="V1440" s="27">
        <f>N1440/(N1440+O1440)</f>
        <v/>
      </c>
      <c r="W1440" s="27">
        <f>U1440*V1440</f>
        <v/>
      </c>
      <c r="X1440" s="25">
        <f>T1440/N1440</f>
        <v/>
      </c>
      <c r="Y1440" s="28">
        <f>IF(W1440=MAXIFS(W$2:W$3601, A$2:A$3601, A1440, B$2:B$3601, B1440), "OPTIMAL", "")</f>
        <v/>
      </c>
    </row>
    <row r="1441" ht="20" customHeight="1">
      <c r="A1441" s="29" t="n">
        <v>4</v>
      </c>
      <c r="B1441" s="29" t="n">
        <v>40</v>
      </c>
      <c r="C1441" s="30" t="n">
        <v>120</v>
      </c>
      <c r="D1441" s="30" t="n">
        <v>3</v>
      </c>
      <c r="E1441" s="6" t="n">
        <v>8</v>
      </c>
      <c r="F1441" s="30" t="n">
        <v>2</v>
      </c>
      <c r="G1441" s="6" t="inlineStr">
        <is>
          <t>Non</t>
        </is>
      </c>
      <c r="H1441" s="6" t="inlineStr">
        <is>
          <t>OFF</t>
        </is>
      </c>
      <c r="I1441" s="31" t="n">
        <v>994.4885628369005</v>
      </c>
      <c r="J1441" s="31" t="n">
        <v>4850.441664768843</v>
      </c>
      <c r="K1441" s="31" t="n">
        <v>2726.851851851852</v>
      </c>
      <c r="L1441" s="31" t="n">
        <v>150</v>
      </c>
      <c r="M1441" s="31">
        <f>I1441+J1441+K1441+L1441</f>
        <v/>
      </c>
      <c r="N1441" s="31">
        <f>M1441*'Dashboard &amp; Optimisation'!$B$18/('Dashboard &amp; Optimisation'!$B$16/3.6)</f>
        <v/>
      </c>
      <c r="O1441" s="31" t="n">
        <v>969.2407862318839</v>
      </c>
      <c r="P1441" s="32" t="n">
        <v>0.2136347938055135</v>
      </c>
      <c r="Q1441" s="33" t="n">
        <v>14.83912750943222</v>
      </c>
      <c r="R1441" s="31" t="n">
        <v>810.8555792564489</v>
      </c>
      <c r="S1441" s="31">
        <f>R1441*IF(A1441=4, 2.0, 3.0)</f>
        <v/>
      </c>
      <c r="T1441" s="30">
        <f>'Dashboard &amp; Optimisation'!$B$18*U1441</f>
        <v/>
      </c>
      <c r="U1441" s="34">
        <f>MIN(1, S1441/M1441)</f>
        <v/>
      </c>
      <c r="V1441" s="34">
        <f>N1441/(N1441+O1441)</f>
        <v/>
      </c>
      <c r="W1441" s="34">
        <f>U1441*V1441</f>
        <v/>
      </c>
      <c r="X1441" s="32">
        <f>T1441/N1441</f>
        <v/>
      </c>
      <c r="Y1441" s="35">
        <f>IF(W1441=MAXIFS(W$2:W$3601, A$2:A$3601, A1441, B$2:B$3601, B1441), "OPTIMAL", "")</f>
        <v/>
      </c>
    </row>
    <row r="1442" ht="20" customHeight="1">
      <c r="A1442" s="21" t="n">
        <v>4</v>
      </c>
      <c r="B1442" s="21" t="n">
        <v>45</v>
      </c>
      <c r="C1442" s="22" t="n">
        <v>80</v>
      </c>
      <c r="D1442" s="22" t="n">
        <v>2</v>
      </c>
      <c r="E1442" s="23" t="n">
        <v>0</v>
      </c>
      <c r="F1442" s="22" t="n">
        <v>0</v>
      </c>
      <c r="G1442" s="23" t="inlineStr">
        <is>
          <t>Oui</t>
        </is>
      </c>
      <c r="H1442" s="23" t="inlineStr">
        <is>
          <t>ON</t>
        </is>
      </c>
      <c r="I1442" s="24" t="n">
        <v>1132.611974342026</v>
      </c>
      <c r="J1442" s="24" t="n">
        <v>6657.967474874614</v>
      </c>
      <c r="K1442" s="24" t="n">
        <v>3166.666666666667</v>
      </c>
      <c r="L1442" s="24" t="n">
        <v>150</v>
      </c>
      <c r="M1442" s="24">
        <f>I1442+J1442+K1442+L1442</f>
        <v/>
      </c>
      <c r="N1442" s="24">
        <f>M1442*'Dashboard &amp; Optimisation'!$B$18/('Dashboard &amp; Optimisation'!$B$16/3.6)</f>
        <v/>
      </c>
      <c r="O1442" s="24" t="n">
        <v>609.8578541971716</v>
      </c>
      <c r="P1442" s="25" t="n">
        <v>0.5013778930875155</v>
      </c>
      <c r="Q1442" s="26" t="n">
        <v>0.2</v>
      </c>
      <c r="R1442" s="24" t="n">
        <v>919.232149625027</v>
      </c>
      <c r="S1442" s="24">
        <f>R1442*IF(A1442=4, 2.0, 3.0)</f>
        <v/>
      </c>
      <c r="T1442" s="22">
        <f>'Dashboard &amp; Optimisation'!$B$18*U1442</f>
        <v/>
      </c>
      <c r="U1442" s="27">
        <f>MIN(1, S1442/M1442)</f>
        <v/>
      </c>
      <c r="V1442" s="27">
        <f>N1442/(N1442+O1442)</f>
        <v/>
      </c>
      <c r="W1442" s="27">
        <f>U1442*V1442</f>
        <v/>
      </c>
      <c r="X1442" s="25">
        <f>T1442/N1442</f>
        <v/>
      </c>
      <c r="Y1442" s="28">
        <f>IF(W1442=MAXIFS(W$2:W$3601, A$2:A$3601, A1442, B$2:B$3601, B1442), "OPTIMAL", "")</f>
        <v/>
      </c>
    </row>
    <row r="1443" ht="20" customHeight="1">
      <c r="A1443" s="29" t="n">
        <v>4</v>
      </c>
      <c r="B1443" s="29" t="n">
        <v>45</v>
      </c>
      <c r="C1443" s="30" t="n">
        <v>80</v>
      </c>
      <c r="D1443" s="30" t="n">
        <v>2</v>
      </c>
      <c r="E1443" s="6" t="n">
        <v>0</v>
      </c>
      <c r="F1443" s="30" t="n">
        <v>0</v>
      </c>
      <c r="G1443" s="6" t="inlineStr">
        <is>
          <t>Oui</t>
        </is>
      </c>
      <c r="H1443" s="6" t="inlineStr">
        <is>
          <t>OFF</t>
        </is>
      </c>
      <c r="I1443" s="31" t="n">
        <v>1132.611974342026</v>
      </c>
      <c r="J1443" s="31" t="n">
        <v>6657.967474874614</v>
      </c>
      <c r="K1443" s="31" t="n">
        <v>3166.666666666667</v>
      </c>
      <c r="L1443" s="31" t="n">
        <v>150</v>
      </c>
      <c r="M1443" s="31">
        <f>I1443+J1443+K1443+L1443</f>
        <v/>
      </c>
      <c r="N1443" s="31">
        <f>M1443*'Dashboard &amp; Optimisation'!$B$18/('Dashboard &amp; Optimisation'!$B$16/3.6)</f>
        <v/>
      </c>
      <c r="O1443" s="31" t="n">
        <v>609.8578541971716</v>
      </c>
      <c r="P1443" s="32" t="n">
        <v>0.8992652508172538</v>
      </c>
      <c r="Q1443" s="33" t="n">
        <v>0.2</v>
      </c>
      <c r="R1443" s="31" t="n">
        <v>512.5102721565777</v>
      </c>
      <c r="S1443" s="31">
        <f>R1443*IF(A1443=4, 2.0, 3.0)</f>
        <v/>
      </c>
      <c r="T1443" s="30">
        <f>'Dashboard &amp; Optimisation'!$B$18*U1443</f>
        <v/>
      </c>
      <c r="U1443" s="34">
        <f>MIN(1, S1443/M1443)</f>
        <v/>
      </c>
      <c r="V1443" s="34">
        <f>N1443/(N1443+O1443)</f>
        <v/>
      </c>
      <c r="W1443" s="34">
        <f>U1443*V1443</f>
        <v/>
      </c>
      <c r="X1443" s="32">
        <f>T1443/N1443</f>
        <v/>
      </c>
      <c r="Y1443" s="35">
        <f>IF(W1443=MAXIFS(W$2:W$3601, A$2:A$3601, A1443, B$2:B$3601, B1443), "OPTIMAL", "")</f>
        <v/>
      </c>
    </row>
    <row r="1444" ht="20" customHeight="1">
      <c r="A1444" s="21" t="n">
        <v>4</v>
      </c>
      <c r="B1444" s="21" t="n">
        <v>45</v>
      </c>
      <c r="C1444" s="22" t="n">
        <v>80</v>
      </c>
      <c r="D1444" s="22" t="n">
        <v>2</v>
      </c>
      <c r="E1444" s="23" t="n">
        <v>0</v>
      </c>
      <c r="F1444" s="22" t="n">
        <v>0</v>
      </c>
      <c r="G1444" s="23" t="inlineStr">
        <is>
          <t>Non</t>
        </is>
      </c>
      <c r="H1444" s="23" t="inlineStr">
        <is>
          <t>ON</t>
        </is>
      </c>
      <c r="I1444" s="24" t="n">
        <v>1132.611974342026</v>
      </c>
      <c r="J1444" s="24" t="n">
        <v>6657.967474874614</v>
      </c>
      <c r="K1444" s="24" t="n">
        <v>3166.666666666667</v>
      </c>
      <c r="L1444" s="24" t="n">
        <v>150</v>
      </c>
      <c r="M1444" s="24">
        <f>I1444+J1444+K1444+L1444</f>
        <v/>
      </c>
      <c r="N1444" s="24">
        <f>M1444*'Dashboard &amp; Optimisation'!$B$18/('Dashboard &amp; Optimisation'!$B$16/3.6)</f>
        <v/>
      </c>
      <c r="O1444" s="24" t="n">
        <v>609.8578541971716</v>
      </c>
      <c r="P1444" s="25" t="n">
        <v>0.4973990195102181</v>
      </c>
      <c r="Q1444" s="26" t="n">
        <v>0.2</v>
      </c>
      <c r="R1444" s="24" t="n">
        <v>926.5854180636073</v>
      </c>
      <c r="S1444" s="24">
        <f>R1444*IF(A1444=4, 2.0, 3.0)</f>
        <v/>
      </c>
      <c r="T1444" s="22">
        <f>'Dashboard &amp; Optimisation'!$B$18*U1444</f>
        <v/>
      </c>
      <c r="U1444" s="27">
        <f>MIN(1, S1444/M1444)</f>
        <v/>
      </c>
      <c r="V1444" s="27">
        <f>N1444/(N1444+O1444)</f>
        <v/>
      </c>
      <c r="W1444" s="27">
        <f>U1444*V1444</f>
        <v/>
      </c>
      <c r="X1444" s="25">
        <f>T1444/N1444</f>
        <v/>
      </c>
      <c r="Y1444" s="28">
        <f>IF(W1444=MAXIFS(W$2:W$3601, A$2:A$3601, A1444, B$2:B$3601, B1444), "OPTIMAL", "")</f>
        <v/>
      </c>
    </row>
    <row r="1445" ht="20" customHeight="1">
      <c r="A1445" s="29" t="n">
        <v>4</v>
      </c>
      <c r="B1445" s="29" t="n">
        <v>45</v>
      </c>
      <c r="C1445" s="30" t="n">
        <v>80</v>
      </c>
      <c r="D1445" s="30" t="n">
        <v>2</v>
      </c>
      <c r="E1445" s="6" t="n">
        <v>0</v>
      </c>
      <c r="F1445" s="30" t="n">
        <v>0</v>
      </c>
      <c r="G1445" s="6" t="inlineStr">
        <is>
          <t>Non</t>
        </is>
      </c>
      <c r="H1445" s="6" t="inlineStr">
        <is>
          <t>OFF</t>
        </is>
      </c>
      <c r="I1445" s="31" t="n">
        <v>1132.611974342026</v>
      </c>
      <c r="J1445" s="31" t="n">
        <v>6657.967474874614</v>
      </c>
      <c r="K1445" s="31" t="n">
        <v>3166.666666666667</v>
      </c>
      <c r="L1445" s="31" t="n">
        <v>150</v>
      </c>
      <c r="M1445" s="31">
        <f>I1445+J1445+K1445+L1445</f>
        <v/>
      </c>
      <c r="N1445" s="31">
        <f>M1445*'Dashboard &amp; Optimisation'!$B$18/('Dashboard &amp; Optimisation'!$B$16/3.6)</f>
        <v/>
      </c>
      <c r="O1445" s="31" t="n">
        <v>609.8578541971716</v>
      </c>
      <c r="P1445" s="32" t="n">
        <v>0.8952863772399564</v>
      </c>
      <c r="Q1445" s="33" t="n">
        <v>0.2</v>
      </c>
      <c r="R1445" s="31" t="n">
        <v>514.787994270773</v>
      </c>
      <c r="S1445" s="31">
        <f>R1445*IF(A1445=4, 2.0, 3.0)</f>
        <v/>
      </c>
      <c r="T1445" s="30">
        <f>'Dashboard &amp; Optimisation'!$B$18*U1445</f>
        <v/>
      </c>
      <c r="U1445" s="34">
        <f>MIN(1, S1445/M1445)</f>
        <v/>
      </c>
      <c r="V1445" s="34">
        <f>N1445/(N1445+O1445)</f>
        <v/>
      </c>
      <c r="W1445" s="34">
        <f>U1445*V1445</f>
        <v/>
      </c>
      <c r="X1445" s="32">
        <f>T1445/N1445</f>
        <v/>
      </c>
      <c r="Y1445" s="35">
        <f>IF(W1445=MAXIFS(W$2:W$3601, A$2:A$3601, A1445, B$2:B$3601, B1445), "OPTIMAL", "")</f>
        <v/>
      </c>
    </row>
    <row r="1446" ht="20" customHeight="1">
      <c r="A1446" s="21" t="n">
        <v>4</v>
      </c>
      <c r="B1446" s="21" t="n">
        <v>45</v>
      </c>
      <c r="C1446" s="22" t="n">
        <v>80</v>
      </c>
      <c r="D1446" s="22" t="n">
        <v>2</v>
      </c>
      <c r="E1446" s="23" t="n">
        <v>4</v>
      </c>
      <c r="F1446" s="22" t="n">
        <v>1.5</v>
      </c>
      <c r="G1446" s="23" t="inlineStr">
        <is>
          <t>Oui</t>
        </is>
      </c>
      <c r="H1446" s="23" t="inlineStr">
        <is>
          <t>ON</t>
        </is>
      </c>
      <c r="I1446" s="24" t="n">
        <v>1132.611974342026</v>
      </c>
      <c r="J1446" s="24" t="n">
        <v>6657.967474874614</v>
      </c>
      <c r="K1446" s="24" t="n">
        <v>3166.666666666667</v>
      </c>
      <c r="L1446" s="24" t="n">
        <v>150</v>
      </c>
      <c r="M1446" s="24">
        <f>I1446+J1446+K1446+L1446</f>
        <v/>
      </c>
      <c r="N1446" s="24">
        <f>M1446*'Dashboard &amp; Optimisation'!$B$18/('Dashboard &amp; Optimisation'!$B$16/3.6)</f>
        <v/>
      </c>
      <c r="O1446" s="24" t="n">
        <v>988.5760832337978</v>
      </c>
      <c r="P1446" s="25" t="n">
        <v>0.08231647342522849</v>
      </c>
      <c r="Q1446" s="26" t="n">
        <v>8.434509224055622</v>
      </c>
      <c r="R1446" s="24" t="n">
        <v>5833.461113499106</v>
      </c>
      <c r="S1446" s="24">
        <f>R1446*IF(A1446=4, 2.0, 3.0)</f>
        <v/>
      </c>
      <c r="T1446" s="22">
        <f>'Dashboard &amp; Optimisation'!$B$18*U1446</f>
        <v/>
      </c>
      <c r="U1446" s="27">
        <f>MIN(1, S1446/M1446)</f>
        <v/>
      </c>
      <c r="V1446" s="27">
        <f>N1446/(N1446+O1446)</f>
        <v/>
      </c>
      <c r="W1446" s="27">
        <f>U1446*V1446</f>
        <v/>
      </c>
      <c r="X1446" s="25">
        <f>T1446/N1446</f>
        <v/>
      </c>
      <c r="Y1446" s="28">
        <f>IF(W1446=MAXIFS(W$2:W$3601, A$2:A$3601, A1446, B$2:B$3601, B1446), "OPTIMAL", "")</f>
        <v/>
      </c>
    </row>
    <row r="1447" ht="20" customHeight="1">
      <c r="A1447" s="29" t="n">
        <v>4</v>
      </c>
      <c r="B1447" s="29" t="n">
        <v>45</v>
      </c>
      <c r="C1447" s="30" t="n">
        <v>80</v>
      </c>
      <c r="D1447" s="30" t="n">
        <v>2</v>
      </c>
      <c r="E1447" s="6" t="n">
        <v>4</v>
      </c>
      <c r="F1447" s="30" t="n">
        <v>1.5</v>
      </c>
      <c r="G1447" s="6" t="inlineStr">
        <is>
          <t>Oui</t>
        </is>
      </c>
      <c r="H1447" s="6" t="inlineStr">
        <is>
          <t>OFF</t>
        </is>
      </c>
      <c r="I1447" s="31" t="n">
        <v>1132.611974342026</v>
      </c>
      <c r="J1447" s="31" t="n">
        <v>6657.967474874614</v>
      </c>
      <c r="K1447" s="31" t="n">
        <v>3166.666666666667</v>
      </c>
      <c r="L1447" s="31" t="n">
        <v>150</v>
      </c>
      <c r="M1447" s="31">
        <f>I1447+J1447+K1447+L1447</f>
        <v/>
      </c>
      <c r="N1447" s="31">
        <f>M1447*'Dashboard &amp; Optimisation'!$B$18/('Dashboard &amp; Optimisation'!$B$16/3.6)</f>
        <v/>
      </c>
      <c r="O1447" s="31" t="n">
        <v>988.5760832337978</v>
      </c>
      <c r="P1447" s="32" t="n">
        <v>0.3560493820000729</v>
      </c>
      <c r="Q1447" s="33" t="n">
        <v>8.434509224055622</v>
      </c>
      <c r="R1447" s="31" t="n">
        <v>1348.661087484642</v>
      </c>
      <c r="S1447" s="31">
        <f>R1447*IF(A1447=4, 2.0, 3.0)</f>
        <v/>
      </c>
      <c r="T1447" s="30">
        <f>'Dashboard &amp; Optimisation'!$B$18*U1447</f>
        <v/>
      </c>
      <c r="U1447" s="34">
        <f>MIN(1, S1447/M1447)</f>
        <v/>
      </c>
      <c r="V1447" s="34">
        <f>N1447/(N1447+O1447)</f>
        <v/>
      </c>
      <c r="W1447" s="34">
        <f>U1447*V1447</f>
        <v/>
      </c>
      <c r="X1447" s="32">
        <f>T1447/N1447</f>
        <v/>
      </c>
      <c r="Y1447" s="35">
        <f>IF(W1447=MAXIFS(W$2:W$3601, A$2:A$3601, A1447, B$2:B$3601, B1447), "OPTIMAL", "")</f>
        <v/>
      </c>
    </row>
    <row r="1448" ht="20" customHeight="1">
      <c r="A1448" s="21" t="n">
        <v>4</v>
      </c>
      <c r="B1448" s="21" t="n">
        <v>45</v>
      </c>
      <c r="C1448" s="22" t="n">
        <v>80</v>
      </c>
      <c r="D1448" s="22" t="n">
        <v>2</v>
      </c>
      <c r="E1448" s="23" t="n">
        <v>4</v>
      </c>
      <c r="F1448" s="22" t="n">
        <v>1.5</v>
      </c>
      <c r="G1448" s="23" t="inlineStr">
        <is>
          <t>Non</t>
        </is>
      </c>
      <c r="H1448" s="23" t="inlineStr">
        <is>
          <t>ON</t>
        </is>
      </c>
      <c r="I1448" s="24" t="n">
        <v>1132.611974342026</v>
      </c>
      <c r="J1448" s="24" t="n">
        <v>6657.967474874614</v>
      </c>
      <c r="K1448" s="24" t="n">
        <v>3166.666666666667</v>
      </c>
      <c r="L1448" s="24" t="n">
        <v>150</v>
      </c>
      <c r="M1448" s="24">
        <f>I1448+J1448+K1448+L1448</f>
        <v/>
      </c>
      <c r="N1448" s="24">
        <f>M1448*'Dashboard &amp; Optimisation'!$B$18/('Dashboard &amp; Optimisation'!$B$16/3.6)</f>
        <v/>
      </c>
      <c r="O1448" s="24" t="n">
        <v>988.5760832337978</v>
      </c>
      <c r="P1448" s="25" t="n">
        <v>0.07833759984793112</v>
      </c>
      <c r="Q1448" s="26" t="n">
        <v>8.434509224055622</v>
      </c>
      <c r="R1448" s="24" t="n">
        <v>6129.750562419545</v>
      </c>
      <c r="S1448" s="24">
        <f>R1448*IF(A1448=4, 2.0, 3.0)</f>
        <v/>
      </c>
      <c r="T1448" s="22">
        <f>'Dashboard &amp; Optimisation'!$B$18*U1448</f>
        <v/>
      </c>
      <c r="U1448" s="27">
        <f>MIN(1, S1448/M1448)</f>
        <v/>
      </c>
      <c r="V1448" s="27">
        <f>N1448/(N1448+O1448)</f>
        <v/>
      </c>
      <c r="W1448" s="27">
        <f>U1448*V1448</f>
        <v/>
      </c>
      <c r="X1448" s="25">
        <f>T1448/N1448</f>
        <v/>
      </c>
      <c r="Y1448" s="28">
        <f>IF(W1448=MAXIFS(W$2:W$3601, A$2:A$3601, A1448, B$2:B$3601, B1448), "OPTIMAL", "")</f>
        <v/>
      </c>
    </row>
    <row r="1449" ht="20" customHeight="1">
      <c r="A1449" s="29" t="n">
        <v>4</v>
      </c>
      <c r="B1449" s="29" t="n">
        <v>45</v>
      </c>
      <c r="C1449" s="30" t="n">
        <v>80</v>
      </c>
      <c r="D1449" s="30" t="n">
        <v>2</v>
      </c>
      <c r="E1449" s="6" t="n">
        <v>4</v>
      </c>
      <c r="F1449" s="30" t="n">
        <v>1.5</v>
      </c>
      <c r="G1449" s="6" t="inlineStr">
        <is>
          <t>Non</t>
        </is>
      </c>
      <c r="H1449" s="6" t="inlineStr">
        <is>
          <t>OFF</t>
        </is>
      </c>
      <c r="I1449" s="31" t="n">
        <v>1132.611974342026</v>
      </c>
      <c r="J1449" s="31" t="n">
        <v>6657.967474874614</v>
      </c>
      <c r="K1449" s="31" t="n">
        <v>3166.666666666667</v>
      </c>
      <c r="L1449" s="31" t="n">
        <v>150</v>
      </c>
      <c r="M1449" s="31">
        <f>I1449+J1449+K1449+L1449</f>
        <v/>
      </c>
      <c r="N1449" s="31">
        <f>M1449*'Dashboard &amp; Optimisation'!$B$18/('Dashboard &amp; Optimisation'!$B$16/3.6)</f>
        <v/>
      </c>
      <c r="O1449" s="31" t="n">
        <v>988.5760832337978</v>
      </c>
      <c r="P1449" s="32" t="n">
        <v>0.3520705084227755</v>
      </c>
      <c r="Q1449" s="33" t="n">
        <v>8.434509224055622</v>
      </c>
      <c r="R1449" s="31" t="n">
        <v>1363.902784353151</v>
      </c>
      <c r="S1449" s="31">
        <f>R1449*IF(A1449=4, 2.0, 3.0)</f>
        <v/>
      </c>
      <c r="T1449" s="30">
        <f>'Dashboard &amp; Optimisation'!$B$18*U1449</f>
        <v/>
      </c>
      <c r="U1449" s="34">
        <f>MIN(1, S1449/M1449)</f>
        <v/>
      </c>
      <c r="V1449" s="34">
        <f>N1449/(N1449+O1449)</f>
        <v/>
      </c>
      <c r="W1449" s="34">
        <f>U1449*V1449</f>
        <v/>
      </c>
      <c r="X1449" s="32">
        <f>T1449/N1449</f>
        <v/>
      </c>
      <c r="Y1449" s="35">
        <f>IF(W1449=MAXIFS(W$2:W$3601, A$2:A$3601, A1449, B$2:B$3601, B1449), "OPTIMAL", "")</f>
        <v/>
      </c>
    </row>
    <row r="1450" ht="20" customHeight="1">
      <c r="A1450" s="21" t="n">
        <v>4</v>
      </c>
      <c r="B1450" s="21" t="n">
        <v>45</v>
      </c>
      <c r="C1450" s="22" t="n">
        <v>80</v>
      </c>
      <c r="D1450" s="22" t="n">
        <v>2</v>
      </c>
      <c r="E1450" s="23" t="n">
        <v>4</v>
      </c>
      <c r="F1450" s="22" t="n">
        <v>2</v>
      </c>
      <c r="G1450" s="23" t="inlineStr">
        <is>
          <t>Oui</t>
        </is>
      </c>
      <c r="H1450" s="23" t="inlineStr">
        <is>
          <t>ON</t>
        </is>
      </c>
      <c r="I1450" s="24" t="n">
        <v>1132.611974342026</v>
      </c>
      <c r="J1450" s="24" t="n">
        <v>6657.967474874614</v>
      </c>
      <c r="K1450" s="24" t="n">
        <v>3166.666666666667</v>
      </c>
      <c r="L1450" s="24" t="n">
        <v>150</v>
      </c>
      <c r="M1450" s="24">
        <f>I1450+J1450+K1450+L1450</f>
        <v/>
      </c>
      <c r="N1450" s="24">
        <f>M1450*'Dashboard &amp; Optimisation'!$B$18/('Dashboard &amp; Optimisation'!$B$16/3.6)</f>
        <v/>
      </c>
      <c r="O1450" s="24" t="n">
        <v>1121.966568301276</v>
      </c>
      <c r="P1450" s="25" t="n">
        <v>0.08027381372050572</v>
      </c>
      <c r="Q1450" s="26" t="n">
        <v>11.17934563207416</v>
      </c>
      <c r="R1450" s="24" t="n">
        <v>6066.614330336301</v>
      </c>
      <c r="S1450" s="24">
        <f>R1450*IF(A1450=4, 2.0, 3.0)</f>
        <v/>
      </c>
      <c r="T1450" s="22">
        <f>'Dashboard &amp; Optimisation'!$B$18*U1450</f>
        <v/>
      </c>
      <c r="U1450" s="27">
        <f>MIN(1, S1450/M1450)</f>
        <v/>
      </c>
      <c r="V1450" s="27">
        <f>N1450/(N1450+O1450)</f>
        <v/>
      </c>
      <c r="W1450" s="27">
        <f>U1450*V1450</f>
        <v/>
      </c>
      <c r="X1450" s="25">
        <f>T1450/N1450</f>
        <v/>
      </c>
      <c r="Y1450" s="28">
        <f>IF(W1450=MAXIFS(W$2:W$3601, A$2:A$3601, A1450, B$2:B$3601, B1450), "OPTIMAL", "")</f>
        <v/>
      </c>
    </row>
    <row r="1451" ht="20" customHeight="1">
      <c r="A1451" s="29" t="n">
        <v>4</v>
      </c>
      <c r="B1451" s="29" t="n">
        <v>45</v>
      </c>
      <c r="C1451" s="30" t="n">
        <v>80</v>
      </c>
      <c r="D1451" s="30" t="n">
        <v>2</v>
      </c>
      <c r="E1451" s="6" t="n">
        <v>4</v>
      </c>
      <c r="F1451" s="30" t="n">
        <v>2</v>
      </c>
      <c r="G1451" s="6" t="inlineStr">
        <is>
          <t>Oui</t>
        </is>
      </c>
      <c r="H1451" s="6" t="inlineStr">
        <is>
          <t>OFF</t>
        </is>
      </c>
      <c r="I1451" s="31" t="n">
        <v>1132.611974342026</v>
      </c>
      <c r="J1451" s="31" t="n">
        <v>6657.967474874614</v>
      </c>
      <c r="K1451" s="31" t="n">
        <v>3166.666666666667</v>
      </c>
      <c r="L1451" s="31" t="n">
        <v>150</v>
      </c>
      <c r="M1451" s="31">
        <f>I1451+J1451+K1451+L1451</f>
        <v/>
      </c>
      <c r="N1451" s="31">
        <f>M1451*'Dashboard &amp; Optimisation'!$B$18/('Dashboard &amp; Optimisation'!$B$16/3.6)</f>
        <v/>
      </c>
      <c r="O1451" s="31" t="n">
        <v>1121.966568301276</v>
      </c>
      <c r="P1451" s="32" t="n">
        <v>0.355510990994127</v>
      </c>
      <c r="Q1451" s="33" t="n">
        <v>11.17934563207416</v>
      </c>
      <c r="R1451" s="31" t="n">
        <v>1369.831822374268</v>
      </c>
      <c r="S1451" s="31">
        <f>R1451*IF(A1451=4, 2.0, 3.0)</f>
        <v/>
      </c>
      <c r="T1451" s="30">
        <f>'Dashboard &amp; Optimisation'!$B$18*U1451</f>
        <v/>
      </c>
      <c r="U1451" s="34">
        <f>MIN(1, S1451/M1451)</f>
        <v/>
      </c>
      <c r="V1451" s="34">
        <f>N1451/(N1451+O1451)</f>
        <v/>
      </c>
      <c r="W1451" s="34">
        <f>U1451*V1451</f>
        <v/>
      </c>
      <c r="X1451" s="32">
        <f>T1451/N1451</f>
        <v/>
      </c>
      <c r="Y1451" s="35">
        <f>IF(W1451=MAXIFS(W$2:W$3601, A$2:A$3601, A1451, B$2:B$3601, B1451), "OPTIMAL", "")</f>
        <v/>
      </c>
    </row>
    <row r="1452" ht="20" customHeight="1">
      <c r="A1452" s="21" t="n">
        <v>4</v>
      </c>
      <c r="B1452" s="21" t="n">
        <v>45</v>
      </c>
      <c r="C1452" s="22" t="n">
        <v>80</v>
      </c>
      <c r="D1452" s="22" t="n">
        <v>2</v>
      </c>
      <c r="E1452" s="23" t="n">
        <v>4</v>
      </c>
      <c r="F1452" s="22" t="n">
        <v>2</v>
      </c>
      <c r="G1452" s="23" t="inlineStr">
        <is>
          <t>Non</t>
        </is>
      </c>
      <c r="H1452" s="23" t="inlineStr">
        <is>
          <t>ON</t>
        </is>
      </c>
      <c r="I1452" s="24" t="n">
        <v>1132.611974342026</v>
      </c>
      <c r="J1452" s="24" t="n">
        <v>6657.967474874614</v>
      </c>
      <c r="K1452" s="24" t="n">
        <v>3166.666666666667</v>
      </c>
      <c r="L1452" s="24" t="n">
        <v>150</v>
      </c>
      <c r="M1452" s="24">
        <f>I1452+J1452+K1452+L1452</f>
        <v/>
      </c>
      <c r="N1452" s="24">
        <f>M1452*'Dashboard &amp; Optimisation'!$B$18/('Dashboard &amp; Optimisation'!$B$16/3.6)</f>
        <v/>
      </c>
      <c r="O1452" s="24" t="n">
        <v>1121.966568301276</v>
      </c>
      <c r="P1452" s="25" t="n">
        <v>0.07629494014320834</v>
      </c>
      <c r="Q1452" s="26" t="n">
        <v>11.17934563207416</v>
      </c>
      <c r="R1452" s="24" t="n">
        <v>6382.995618758841</v>
      </c>
      <c r="S1452" s="24">
        <f>R1452*IF(A1452=4, 2.0, 3.0)</f>
        <v/>
      </c>
      <c r="T1452" s="22">
        <f>'Dashboard &amp; Optimisation'!$B$18*U1452</f>
        <v/>
      </c>
      <c r="U1452" s="27">
        <f>MIN(1, S1452/M1452)</f>
        <v/>
      </c>
      <c r="V1452" s="27">
        <f>N1452/(N1452+O1452)</f>
        <v/>
      </c>
      <c r="W1452" s="27">
        <f>U1452*V1452</f>
        <v/>
      </c>
      <c r="X1452" s="25">
        <f>T1452/N1452</f>
        <v/>
      </c>
      <c r="Y1452" s="28">
        <f>IF(W1452=MAXIFS(W$2:W$3601, A$2:A$3601, A1452, B$2:B$3601, B1452), "OPTIMAL", "")</f>
        <v/>
      </c>
    </row>
    <row r="1453" ht="20" customHeight="1">
      <c r="A1453" s="29" t="n">
        <v>4</v>
      </c>
      <c r="B1453" s="29" t="n">
        <v>45</v>
      </c>
      <c r="C1453" s="30" t="n">
        <v>80</v>
      </c>
      <c r="D1453" s="30" t="n">
        <v>2</v>
      </c>
      <c r="E1453" s="6" t="n">
        <v>4</v>
      </c>
      <c r="F1453" s="30" t="n">
        <v>2</v>
      </c>
      <c r="G1453" s="6" t="inlineStr">
        <is>
          <t>Non</t>
        </is>
      </c>
      <c r="H1453" s="6" t="inlineStr">
        <is>
          <t>OFF</t>
        </is>
      </c>
      <c r="I1453" s="31" t="n">
        <v>1132.611974342026</v>
      </c>
      <c r="J1453" s="31" t="n">
        <v>6657.967474874614</v>
      </c>
      <c r="K1453" s="31" t="n">
        <v>3166.666666666667</v>
      </c>
      <c r="L1453" s="31" t="n">
        <v>150</v>
      </c>
      <c r="M1453" s="31">
        <f>I1453+J1453+K1453+L1453</f>
        <v/>
      </c>
      <c r="N1453" s="31">
        <f>M1453*'Dashboard &amp; Optimisation'!$B$18/('Dashboard &amp; Optimisation'!$B$16/3.6)</f>
        <v/>
      </c>
      <c r="O1453" s="31" t="n">
        <v>1121.966568301276</v>
      </c>
      <c r="P1453" s="32" t="n">
        <v>0.3515321174168297</v>
      </c>
      <c r="Q1453" s="33" t="n">
        <v>11.17934563207416</v>
      </c>
      <c r="R1453" s="31" t="n">
        <v>1385.336487164038</v>
      </c>
      <c r="S1453" s="31">
        <f>R1453*IF(A1453=4, 2.0, 3.0)</f>
        <v/>
      </c>
      <c r="T1453" s="30">
        <f>'Dashboard &amp; Optimisation'!$B$18*U1453</f>
        <v/>
      </c>
      <c r="U1453" s="34">
        <f>MIN(1, S1453/M1453)</f>
        <v/>
      </c>
      <c r="V1453" s="34">
        <f>N1453/(N1453+O1453)</f>
        <v/>
      </c>
      <c r="W1453" s="34">
        <f>U1453*V1453</f>
        <v/>
      </c>
      <c r="X1453" s="32">
        <f>T1453/N1453</f>
        <v/>
      </c>
      <c r="Y1453" s="35">
        <f>IF(W1453=MAXIFS(W$2:W$3601, A$2:A$3601, A1453, B$2:B$3601, B1453), "OPTIMAL", "")</f>
        <v/>
      </c>
    </row>
    <row r="1454" ht="20" customHeight="1">
      <c r="A1454" s="21" t="n">
        <v>4</v>
      </c>
      <c r="B1454" s="21" t="n">
        <v>45</v>
      </c>
      <c r="C1454" s="22" t="n">
        <v>80</v>
      </c>
      <c r="D1454" s="22" t="n">
        <v>2</v>
      </c>
      <c r="E1454" s="23" t="n">
        <v>8</v>
      </c>
      <c r="F1454" s="22" t="n">
        <v>1.5</v>
      </c>
      <c r="G1454" s="23" t="inlineStr">
        <is>
          <t>Oui</t>
        </is>
      </c>
      <c r="H1454" s="23" t="inlineStr">
        <is>
          <t>ON</t>
        </is>
      </c>
      <c r="I1454" s="24" t="n">
        <v>1132.611974342026</v>
      </c>
      <c r="J1454" s="24" t="n">
        <v>6657.967474874614</v>
      </c>
      <c r="K1454" s="24" t="n">
        <v>3166.666666666667</v>
      </c>
      <c r="L1454" s="24" t="n">
        <v>150</v>
      </c>
      <c r="M1454" s="24">
        <f>I1454+J1454+K1454+L1454</f>
        <v/>
      </c>
      <c r="N1454" s="24">
        <f>M1454*'Dashboard &amp; Optimisation'!$B$18/('Dashboard &amp; Optimisation'!$B$16/3.6)</f>
        <v/>
      </c>
      <c r="O1454" s="24" t="n">
        <v>1400.412163880632</v>
      </c>
      <c r="P1454" s="25" t="n">
        <v>0.06145178783543291</v>
      </c>
      <c r="Q1454" s="26" t="n">
        <v>16.66901844811125</v>
      </c>
      <c r="R1454" s="24" t="n">
        <v>8155.752653718411</v>
      </c>
      <c r="S1454" s="24">
        <f>R1454*IF(A1454=4, 2.0, 3.0)</f>
        <v/>
      </c>
      <c r="T1454" s="22">
        <f>'Dashboard &amp; Optimisation'!$B$18*U1454</f>
        <v/>
      </c>
      <c r="U1454" s="27">
        <f>MIN(1, S1454/M1454)</f>
        <v/>
      </c>
      <c r="V1454" s="27">
        <f>N1454/(N1454+O1454)</f>
        <v/>
      </c>
      <c r="W1454" s="27">
        <f>U1454*V1454</f>
        <v/>
      </c>
      <c r="X1454" s="25">
        <f>T1454/N1454</f>
        <v/>
      </c>
      <c r="Y1454" s="28">
        <f>IF(W1454=MAXIFS(W$2:W$3601, A$2:A$3601, A1454, B$2:B$3601, B1454), "OPTIMAL", "")</f>
        <v/>
      </c>
    </row>
    <row r="1455" ht="20" customHeight="1">
      <c r="A1455" s="29" t="n">
        <v>4</v>
      </c>
      <c r="B1455" s="29" t="n">
        <v>45</v>
      </c>
      <c r="C1455" s="30" t="n">
        <v>80</v>
      </c>
      <c r="D1455" s="30" t="n">
        <v>2</v>
      </c>
      <c r="E1455" s="6" t="n">
        <v>8</v>
      </c>
      <c r="F1455" s="30" t="n">
        <v>1.5</v>
      </c>
      <c r="G1455" s="6" t="inlineStr">
        <is>
          <t>Oui</t>
        </is>
      </c>
      <c r="H1455" s="6" t="inlineStr">
        <is>
          <t>OFF</t>
        </is>
      </c>
      <c r="I1455" s="31" t="n">
        <v>1132.611974342026</v>
      </c>
      <c r="J1455" s="31" t="n">
        <v>6657.967474874614</v>
      </c>
      <c r="K1455" s="31" t="n">
        <v>3166.666666666667</v>
      </c>
      <c r="L1455" s="31" t="n">
        <v>150</v>
      </c>
      <c r="M1455" s="31">
        <f>I1455+J1455+K1455+L1455</f>
        <v/>
      </c>
      <c r="N1455" s="31">
        <f>M1455*'Dashboard &amp; Optimisation'!$B$18/('Dashboard &amp; Optimisation'!$B$16/3.6)</f>
        <v/>
      </c>
      <c r="O1455" s="31" t="n">
        <v>1400.412163880632</v>
      </c>
      <c r="P1455" s="32" t="n">
        <v>0.2700829218988253</v>
      </c>
      <c r="Q1455" s="33" t="n">
        <v>16.66901844811125</v>
      </c>
      <c r="R1455" s="31" t="n">
        <v>1855.672984396695</v>
      </c>
      <c r="S1455" s="31">
        <f>R1455*IF(A1455=4, 2.0, 3.0)</f>
        <v/>
      </c>
      <c r="T1455" s="30">
        <f>'Dashboard &amp; Optimisation'!$B$18*U1455</f>
        <v/>
      </c>
      <c r="U1455" s="34">
        <f>MIN(1, S1455/M1455)</f>
        <v/>
      </c>
      <c r="V1455" s="34">
        <f>N1455/(N1455+O1455)</f>
        <v/>
      </c>
      <c r="W1455" s="34">
        <f>U1455*V1455</f>
        <v/>
      </c>
      <c r="X1455" s="32">
        <f>T1455/N1455</f>
        <v/>
      </c>
      <c r="Y1455" s="35">
        <f>IF(W1455=MAXIFS(W$2:W$3601, A$2:A$3601, A1455, B$2:B$3601, B1455), "OPTIMAL", "")</f>
        <v/>
      </c>
    </row>
    <row r="1456" ht="20" customHeight="1">
      <c r="A1456" s="21" t="n">
        <v>4</v>
      </c>
      <c r="B1456" s="21" t="n">
        <v>45</v>
      </c>
      <c r="C1456" s="22" t="n">
        <v>80</v>
      </c>
      <c r="D1456" s="22" t="n">
        <v>2</v>
      </c>
      <c r="E1456" s="23" t="n">
        <v>8</v>
      </c>
      <c r="F1456" s="22" t="n">
        <v>1.5</v>
      </c>
      <c r="G1456" s="23" t="inlineStr">
        <is>
          <t>Non</t>
        </is>
      </c>
      <c r="H1456" s="23" t="inlineStr">
        <is>
          <t>ON</t>
        </is>
      </c>
      <c r="I1456" s="24" t="n">
        <v>1132.611974342026</v>
      </c>
      <c r="J1456" s="24" t="n">
        <v>6657.967474874614</v>
      </c>
      <c r="K1456" s="24" t="n">
        <v>3166.666666666667</v>
      </c>
      <c r="L1456" s="24" t="n">
        <v>150</v>
      </c>
      <c r="M1456" s="24">
        <f>I1456+J1456+K1456+L1456</f>
        <v/>
      </c>
      <c r="N1456" s="24">
        <f>M1456*'Dashboard &amp; Optimisation'!$B$18/('Dashboard &amp; Optimisation'!$B$16/3.6)</f>
        <v/>
      </c>
      <c r="O1456" s="24" t="n">
        <v>1400.412163880632</v>
      </c>
      <c r="P1456" s="25" t="n">
        <v>0.05747291425813553</v>
      </c>
      <c r="Q1456" s="26" t="n">
        <v>16.66901844811125</v>
      </c>
      <c r="R1456" s="24" t="n">
        <v>8720.37877640123</v>
      </c>
      <c r="S1456" s="24">
        <f>R1456*IF(A1456=4, 2.0, 3.0)</f>
        <v/>
      </c>
      <c r="T1456" s="22">
        <f>'Dashboard &amp; Optimisation'!$B$18*U1456</f>
        <v/>
      </c>
      <c r="U1456" s="27">
        <f>MIN(1, S1456/M1456)</f>
        <v/>
      </c>
      <c r="V1456" s="27">
        <f>N1456/(N1456+O1456)</f>
        <v/>
      </c>
      <c r="W1456" s="27">
        <f>U1456*V1456</f>
        <v/>
      </c>
      <c r="X1456" s="25">
        <f>T1456/N1456</f>
        <v/>
      </c>
      <c r="Y1456" s="28">
        <f>IF(W1456=MAXIFS(W$2:W$3601, A$2:A$3601, A1456, B$2:B$3601, B1456), "OPTIMAL", "")</f>
        <v/>
      </c>
    </row>
    <row r="1457" ht="20" customHeight="1">
      <c r="A1457" s="29" t="n">
        <v>4</v>
      </c>
      <c r="B1457" s="29" t="n">
        <v>45</v>
      </c>
      <c r="C1457" s="30" t="n">
        <v>80</v>
      </c>
      <c r="D1457" s="30" t="n">
        <v>2</v>
      </c>
      <c r="E1457" s="6" t="n">
        <v>8</v>
      </c>
      <c r="F1457" s="30" t="n">
        <v>1.5</v>
      </c>
      <c r="G1457" s="6" t="inlineStr">
        <is>
          <t>Non</t>
        </is>
      </c>
      <c r="H1457" s="6" t="inlineStr">
        <is>
          <t>OFF</t>
        </is>
      </c>
      <c r="I1457" s="31" t="n">
        <v>1132.611974342026</v>
      </c>
      <c r="J1457" s="31" t="n">
        <v>6657.967474874614</v>
      </c>
      <c r="K1457" s="31" t="n">
        <v>3166.666666666667</v>
      </c>
      <c r="L1457" s="31" t="n">
        <v>150</v>
      </c>
      <c r="M1457" s="31">
        <f>I1457+J1457+K1457+L1457</f>
        <v/>
      </c>
      <c r="N1457" s="31">
        <f>M1457*'Dashboard &amp; Optimisation'!$B$18/('Dashboard &amp; Optimisation'!$B$16/3.6)</f>
        <v/>
      </c>
      <c r="O1457" s="31" t="n">
        <v>1400.412163880632</v>
      </c>
      <c r="P1457" s="32" t="n">
        <v>0.2661040483215279</v>
      </c>
      <c r="Q1457" s="33" t="n">
        <v>16.66901844811125</v>
      </c>
      <c r="R1457" s="31" t="n">
        <v>1883.419605510852</v>
      </c>
      <c r="S1457" s="31">
        <f>R1457*IF(A1457=4, 2.0, 3.0)</f>
        <v/>
      </c>
      <c r="T1457" s="30">
        <f>'Dashboard &amp; Optimisation'!$B$18*U1457</f>
        <v/>
      </c>
      <c r="U1457" s="34">
        <f>MIN(1, S1457/M1457)</f>
        <v/>
      </c>
      <c r="V1457" s="34">
        <f>N1457/(N1457+O1457)</f>
        <v/>
      </c>
      <c r="W1457" s="34">
        <f>U1457*V1457</f>
        <v/>
      </c>
      <c r="X1457" s="32">
        <f>T1457/N1457</f>
        <v/>
      </c>
      <c r="Y1457" s="35">
        <f>IF(W1457=MAXIFS(W$2:W$3601, A$2:A$3601, A1457, B$2:B$3601, B1457), "OPTIMAL", "")</f>
        <v/>
      </c>
    </row>
    <row r="1458" ht="20" customHeight="1">
      <c r="A1458" s="21" t="n">
        <v>4</v>
      </c>
      <c r="B1458" s="21" t="n">
        <v>45</v>
      </c>
      <c r="C1458" s="22" t="n">
        <v>80</v>
      </c>
      <c r="D1458" s="22" t="n">
        <v>2</v>
      </c>
      <c r="E1458" s="23" t="n">
        <v>8</v>
      </c>
      <c r="F1458" s="22" t="n">
        <v>2</v>
      </c>
      <c r="G1458" s="23" t="inlineStr">
        <is>
          <t>Oui</t>
        </is>
      </c>
      <c r="H1458" s="23" t="inlineStr">
        <is>
          <t>ON</t>
        </is>
      </c>
      <c r="I1458" s="24" t="n">
        <v>1132.611974342026</v>
      </c>
      <c r="J1458" s="24" t="n">
        <v>6657.967474874614</v>
      </c>
      <c r="K1458" s="24" t="n">
        <v>3166.666666666667</v>
      </c>
      <c r="L1458" s="24" t="n">
        <v>150</v>
      </c>
      <c r="M1458" s="24">
        <f>I1458+J1458+K1458+L1458</f>
        <v/>
      </c>
      <c r="N1458" s="24">
        <f>M1458*'Dashboard &amp; Optimisation'!$B$18/('Dashboard &amp; Optimisation'!$B$16/3.6)</f>
        <v/>
      </c>
      <c r="O1458" s="24" t="n">
        <v>1695.577998746893</v>
      </c>
      <c r="P1458" s="25" t="n">
        <v>0.06058998977604487</v>
      </c>
      <c r="Q1458" s="26" t="n">
        <v>22.15869126414833</v>
      </c>
      <c r="R1458" s="24" t="n">
        <v>8520.108748511147</v>
      </c>
      <c r="S1458" s="24">
        <f>R1458*IF(A1458=4, 2.0, 3.0)</f>
        <v/>
      </c>
      <c r="T1458" s="22">
        <f>'Dashboard &amp; Optimisation'!$B$18*U1458</f>
        <v/>
      </c>
      <c r="U1458" s="27">
        <f>MIN(1, S1458/M1458)</f>
        <v/>
      </c>
      <c r="V1458" s="27">
        <f>N1458/(N1458+O1458)</f>
        <v/>
      </c>
      <c r="W1458" s="27">
        <f>U1458*V1458</f>
        <v/>
      </c>
      <c r="X1458" s="25">
        <f>T1458/N1458</f>
        <v/>
      </c>
      <c r="Y1458" s="28">
        <f>IF(W1458=MAXIFS(W$2:W$3601, A$2:A$3601, A1458, B$2:B$3601, B1458), "OPTIMAL", "")</f>
        <v/>
      </c>
    </row>
    <row r="1459" ht="20" customHeight="1">
      <c r="A1459" s="29" t="n">
        <v>4</v>
      </c>
      <c r="B1459" s="29" t="n">
        <v>45</v>
      </c>
      <c r="C1459" s="30" t="n">
        <v>80</v>
      </c>
      <c r="D1459" s="30" t="n">
        <v>2</v>
      </c>
      <c r="E1459" s="6" t="n">
        <v>8</v>
      </c>
      <c r="F1459" s="30" t="n">
        <v>2</v>
      </c>
      <c r="G1459" s="6" t="inlineStr">
        <is>
          <t>Oui</t>
        </is>
      </c>
      <c r="H1459" s="6" t="inlineStr">
        <is>
          <t>OFF</t>
        </is>
      </c>
      <c r="I1459" s="31" t="n">
        <v>1132.611974342026</v>
      </c>
      <c r="J1459" s="31" t="n">
        <v>6657.967474874614</v>
      </c>
      <c r="K1459" s="31" t="n">
        <v>3166.666666666667</v>
      </c>
      <c r="L1459" s="31" t="n">
        <v>150</v>
      </c>
      <c r="M1459" s="31">
        <f>I1459+J1459+K1459+L1459</f>
        <v/>
      </c>
      <c r="N1459" s="31">
        <f>M1459*'Dashboard &amp; Optimisation'!$B$18/('Dashboard &amp; Optimisation'!$B$16/3.6)</f>
        <v/>
      </c>
      <c r="O1459" s="31" t="n">
        <v>1695.577998746893</v>
      </c>
      <c r="P1459" s="32" t="n">
        <v>0.2709744149858122</v>
      </c>
      <c r="Q1459" s="33" t="n">
        <v>22.15869126414833</v>
      </c>
      <c r="R1459" s="31" t="n">
        <v>1905.099793241033</v>
      </c>
      <c r="S1459" s="31">
        <f>R1459*IF(A1459=4, 2.0, 3.0)</f>
        <v/>
      </c>
      <c r="T1459" s="30">
        <f>'Dashboard &amp; Optimisation'!$B$18*U1459</f>
        <v/>
      </c>
      <c r="U1459" s="34">
        <f>MIN(1, S1459/M1459)</f>
        <v/>
      </c>
      <c r="V1459" s="34">
        <f>N1459/(N1459+O1459)</f>
        <v/>
      </c>
      <c r="W1459" s="34">
        <f>U1459*V1459</f>
        <v/>
      </c>
      <c r="X1459" s="32">
        <f>T1459/N1459</f>
        <v/>
      </c>
      <c r="Y1459" s="35">
        <f>IF(W1459=MAXIFS(W$2:W$3601, A$2:A$3601, A1459, B$2:B$3601, B1459), "OPTIMAL", "")</f>
        <v/>
      </c>
    </row>
    <row r="1460" ht="20" customHeight="1">
      <c r="A1460" s="21" t="n">
        <v>4</v>
      </c>
      <c r="B1460" s="21" t="n">
        <v>45</v>
      </c>
      <c r="C1460" s="22" t="n">
        <v>80</v>
      </c>
      <c r="D1460" s="22" t="n">
        <v>2</v>
      </c>
      <c r="E1460" s="23" t="n">
        <v>8</v>
      </c>
      <c r="F1460" s="22" t="n">
        <v>2</v>
      </c>
      <c r="G1460" s="23" t="inlineStr">
        <is>
          <t>Non</t>
        </is>
      </c>
      <c r="H1460" s="23" t="inlineStr">
        <is>
          <t>ON</t>
        </is>
      </c>
      <c r="I1460" s="24" t="n">
        <v>1132.611974342026</v>
      </c>
      <c r="J1460" s="24" t="n">
        <v>6657.967474874614</v>
      </c>
      <c r="K1460" s="24" t="n">
        <v>3166.666666666667</v>
      </c>
      <c r="L1460" s="24" t="n">
        <v>150</v>
      </c>
      <c r="M1460" s="24">
        <f>I1460+J1460+K1460+L1460</f>
        <v/>
      </c>
      <c r="N1460" s="24">
        <f>M1460*'Dashboard &amp; Optimisation'!$B$18/('Dashboard &amp; Optimisation'!$B$16/3.6)</f>
        <v/>
      </c>
      <c r="O1460" s="24" t="n">
        <v>1695.577998746893</v>
      </c>
      <c r="P1460" s="25" t="n">
        <v>0.05661111619874749</v>
      </c>
      <c r="Q1460" s="26" t="n">
        <v>22.15869126414833</v>
      </c>
      <c r="R1460" s="24" t="n">
        <v>9118.938763735283</v>
      </c>
      <c r="S1460" s="24">
        <f>R1460*IF(A1460=4, 2.0, 3.0)</f>
        <v/>
      </c>
      <c r="T1460" s="22">
        <f>'Dashboard &amp; Optimisation'!$B$18*U1460</f>
        <v/>
      </c>
      <c r="U1460" s="27">
        <f>MIN(1, S1460/M1460)</f>
        <v/>
      </c>
      <c r="V1460" s="27">
        <f>N1460/(N1460+O1460)</f>
        <v/>
      </c>
      <c r="W1460" s="27">
        <f>U1460*V1460</f>
        <v/>
      </c>
      <c r="X1460" s="25">
        <f>T1460/N1460</f>
        <v/>
      </c>
      <c r="Y1460" s="28">
        <f>IF(W1460=MAXIFS(W$2:W$3601, A$2:A$3601, A1460, B$2:B$3601, B1460), "OPTIMAL", "")</f>
        <v/>
      </c>
    </row>
    <row r="1461" ht="20" customHeight="1">
      <c r="A1461" s="29" t="n">
        <v>4</v>
      </c>
      <c r="B1461" s="29" t="n">
        <v>45</v>
      </c>
      <c r="C1461" s="30" t="n">
        <v>80</v>
      </c>
      <c r="D1461" s="30" t="n">
        <v>2</v>
      </c>
      <c r="E1461" s="6" t="n">
        <v>8</v>
      </c>
      <c r="F1461" s="30" t="n">
        <v>2</v>
      </c>
      <c r="G1461" s="6" t="inlineStr">
        <is>
          <t>Non</t>
        </is>
      </c>
      <c r="H1461" s="6" t="inlineStr">
        <is>
          <t>OFF</t>
        </is>
      </c>
      <c r="I1461" s="31" t="n">
        <v>1132.611974342026</v>
      </c>
      <c r="J1461" s="31" t="n">
        <v>6657.967474874614</v>
      </c>
      <c r="K1461" s="31" t="n">
        <v>3166.666666666667</v>
      </c>
      <c r="L1461" s="31" t="n">
        <v>150</v>
      </c>
      <c r="M1461" s="31">
        <f>I1461+J1461+K1461+L1461</f>
        <v/>
      </c>
      <c r="N1461" s="31">
        <f>M1461*'Dashboard &amp; Optimisation'!$B$18/('Dashboard &amp; Optimisation'!$B$16/3.6)</f>
        <v/>
      </c>
      <c r="O1461" s="31" t="n">
        <v>1695.577998746893</v>
      </c>
      <c r="P1461" s="32" t="n">
        <v>0.2669955414085148</v>
      </c>
      <c r="Q1461" s="33" t="n">
        <v>22.15869126414833</v>
      </c>
      <c r="R1461" s="31" t="n">
        <v>1933.49034684149</v>
      </c>
      <c r="S1461" s="31">
        <f>R1461*IF(A1461=4, 2.0, 3.0)</f>
        <v/>
      </c>
      <c r="T1461" s="30">
        <f>'Dashboard &amp; Optimisation'!$B$18*U1461</f>
        <v/>
      </c>
      <c r="U1461" s="34">
        <f>MIN(1, S1461/M1461)</f>
        <v/>
      </c>
      <c r="V1461" s="34">
        <f>N1461/(N1461+O1461)</f>
        <v/>
      </c>
      <c r="W1461" s="34">
        <f>U1461*V1461</f>
        <v/>
      </c>
      <c r="X1461" s="32">
        <f>T1461/N1461</f>
        <v/>
      </c>
      <c r="Y1461" s="35">
        <f>IF(W1461=MAXIFS(W$2:W$3601, A$2:A$3601, A1461, B$2:B$3601, B1461), "OPTIMAL", "")</f>
        <v/>
      </c>
    </row>
    <row r="1462" ht="20" customHeight="1">
      <c r="A1462" s="21" t="n">
        <v>4</v>
      </c>
      <c r="B1462" s="21" t="n">
        <v>45</v>
      </c>
      <c r="C1462" s="22" t="n">
        <v>80</v>
      </c>
      <c r="D1462" s="22" t="n">
        <v>3</v>
      </c>
      <c r="E1462" s="23" t="n">
        <v>0</v>
      </c>
      <c r="F1462" s="22" t="n">
        <v>0</v>
      </c>
      <c r="G1462" s="23" t="inlineStr">
        <is>
          <t>Oui</t>
        </is>
      </c>
      <c r="H1462" s="23" t="inlineStr">
        <is>
          <t>ON</t>
        </is>
      </c>
      <c r="I1462" s="24" t="n">
        <v>1132.611974342026</v>
      </c>
      <c r="J1462" s="24" t="n">
        <v>6657.967474874614</v>
      </c>
      <c r="K1462" s="24" t="n">
        <v>3166.666666666667</v>
      </c>
      <c r="L1462" s="24" t="n">
        <v>150</v>
      </c>
      <c r="M1462" s="24">
        <f>I1462+J1462+K1462+L1462</f>
        <v/>
      </c>
      <c r="N1462" s="24">
        <f>M1462*'Dashboard &amp; Optimisation'!$B$18/('Dashboard &amp; Optimisation'!$B$16/3.6)</f>
        <v/>
      </c>
      <c r="O1462" s="24" t="n">
        <v>952.5323803516766</v>
      </c>
      <c r="P1462" s="25" t="n">
        <v>0.5013985973965238</v>
      </c>
      <c r="Q1462" s="26" t="n">
        <v>0.2</v>
      </c>
      <c r="R1462" s="24" t="n">
        <v>969.551798954281</v>
      </c>
      <c r="S1462" s="24">
        <f>R1462*IF(A1462=4, 2.0, 3.0)</f>
        <v/>
      </c>
      <c r="T1462" s="22">
        <f>'Dashboard &amp; Optimisation'!$B$18*U1462</f>
        <v/>
      </c>
      <c r="U1462" s="27">
        <f>MIN(1, S1462/M1462)</f>
        <v/>
      </c>
      <c r="V1462" s="27">
        <f>N1462/(N1462+O1462)</f>
        <v/>
      </c>
      <c r="W1462" s="27">
        <f>U1462*V1462</f>
        <v/>
      </c>
      <c r="X1462" s="25">
        <f>T1462/N1462</f>
        <v/>
      </c>
      <c r="Y1462" s="28">
        <f>IF(W1462=MAXIFS(W$2:W$3601, A$2:A$3601, A1462, B$2:B$3601, B1462), "OPTIMAL", "")</f>
        <v/>
      </c>
    </row>
    <row r="1463" ht="20" customHeight="1">
      <c r="A1463" s="29" t="n">
        <v>4</v>
      </c>
      <c r="B1463" s="29" t="n">
        <v>45</v>
      </c>
      <c r="C1463" s="30" t="n">
        <v>80</v>
      </c>
      <c r="D1463" s="30" t="n">
        <v>3</v>
      </c>
      <c r="E1463" s="6" t="n">
        <v>0</v>
      </c>
      <c r="F1463" s="30" t="n">
        <v>0</v>
      </c>
      <c r="G1463" s="6" t="inlineStr">
        <is>
          <t>Oui</t>
        </is>
      </c>
      <c r="H1463" s="6" t="inlineStr">
        <is>
          <t>OFF</t>
        </is>
      </c>
      <c r="I1463" s="31" t="n">
        <v>1132.611974342026</v>
      </c>
      <c r="J1463" s="31" t="n">
        <v>6657.967474874614</v>
      </c>
      <c r="K1463" s="31" t="n">
        <v>3166.666666666667</v>
      </c>
      <c r="L1463" s="31" t="n">
        <v>150</v>
      </c>
      <c r="M1463" s="31">
        <f>I1463+J1463+K1463+L1463</f>
        <v/>
      </c>
      <c r="N1463" s="31">
        <f>M1463*'Dashboard &amp; Optimisation'!$B$18/('Dashboard &amp; Optimisation'!$B$16/3.6)</f>
        <v/>
      </c>
      <c r="O1463" s="31" t="n">
        <v>952.5323803516766</v>
      </c>
      <c r="P1463" s="32" t="n">
        <v>0.8992859551262622</v>
      </c>
      <c r="Q1463" s="33" t="n">
        <v>0.2</v>
      </c>
      <c r="R1463" s="31" t="n">
        <v>540.5754524774032</v>
      </c>
      <c r="S1463" s="31">
        <f>R1463*IF(A1463=4, 2.0, 3.0)</f>
        <v/>
      </c>
      <c r="T1463" s="30">
        <f>'Dashboard &amp; Optimisation'!$B$18*U1463</f>
        <v/>
      </c>
      <c r="U1463" s="34">
        <f>MIN(1, S1463/M1463)</f>
        <v/>
      </c>
      <c r="V1463" s="34">
        <f>N1463/(N1463+O1463)</f>
        <v/>
      </c>
      <c r="W1463" s="34">
        <f>U1463*V1463</f>
        <v/>
      </c>
      <c r="X1463" s="32">
        <f>T1463/N1463</f>
        <v/>
      </c>
      <c r="Y1463" s="35">
        <f>IF(W1463=MAXIFS(W$2:W$3601, A$2:A$3601, A1463, B$2:B$3601, B1463), "OPTIMAL", "")</f>
        <v/>
      </c>
    </row>
    <row r="1464" ht="20" customHeight="1">
      <c r="A1464" s="21" t="n">
        <v>4</v>
      </c>
      <c r="B1464" s="21" t="n">
        <v>45</v>
      </c>
      <c r="C1464" s="22" t="n">
        <v>80</v>
      </c>
      <c r="D1464" s="22" t="n">
        <v>3</v>
      </c>
      <c r="E1464" s="23" t="n">
        <v>0</v>
      </c>
      <c r="F1464" s="22" t="n">
        <v>0</v>
      </c>
      <c r="G1464" s="23" t="inlineStr">
        <is>
          <t>Non</t>
        </is>
      </c>
      <c r="H1464" s="23" t="inlineStr">
        <is>
          <t>ON</t>
        </is>
      </c>
      <c r="I1464" s="24" t="n">
        <v>1132.611974342026</v>
      </c>
      <c r="J1464" s="24" t="n">
        <v>6657.967474874614</v>
      </c>
      <c r="K1464" s="24" t="n">
        <v>3166.666666666667</v>
      </c>
      <c r="L1464" s="24" t="n">
        <v>150</v>
      </c>
      <c r="M1464" s="24">
        <f>I1464+J1464+K1464+L1464</f>
        <v/>
      </c>
      <c r="N1464" s="24">
        <f>M1464*'Dashboard &amp; Optimisation'!$B$18/('Dashboard &amp; Optimisation'!$B$16/3.6)</f>
        <v/>
      </c>
      <c r="O1464" s="24" t="n">
        <v>952.5323803516766</v>
      </c>
      <c r="P1464" s="25" t="n">
        <v>0.4974197238192265</v>
      </c>
      <c r="Q1464" s="26" t="n">
        <v>0.2</v>
      </c>
      <c r="R1464" s="24" t="n">
        <v>977.3072695356652</v>
      </c>
      <c r="S1464" s="24">
        <f>R1464*IF(A1464=4, 2.0, 3.0)</f>
        <v/>
      </c>
      <c r="T1464" s="22">
        <f>'Dashboard &amp; Optimisation'!$B$18*U1464</f>
        <v/>
      </c>
      <c r="U1464" s="27">
        <f>MIN(1, S1464/M1464)</f>
        <v/>
      </c>
      <c r="V1464" s="27">
        <f>N1464/(N1464+O1464)</f>
        <v/>
      </c>
      <c r="W1464" s="27">
        <f>U1464*V1464</f>
        <v/>
      </c>
      <c r="X1464" s="25">
        <f>T1464/N1464</f>
        <v/>
      </c>
      <c r="Y1464" s="28">
        <f>IF(W1464=MAXIFS(W$2:W$3601, A$2:A$3601, A1464, B$2:B$3601, B1464), "OPTIMAL", "")</f>
        <v/>
      </c>
    </row>
    <row r="1465" ht="20" customHeight="1">
      <c r="A1465" s="29" t="n">
        <v>4</v>
      </c>
      <c r="B1465" s="29" t="n">
        <v>45</v>
      </c>
      <c r="C1465" s="30" t="n">
        <v>80</v>
      </c>
      <c r="D1465" s="30" t="n">
        <v>3</v>
      </c>
      <c r="E1465" s="6" t="n">
        <v>0</v>
      </c>
      <c r="F1465" s="30" t="n">
        <v>0</v>
      </c>
      <c r="G1465" s="6" t="inlineStr">
        <is>
          <t>Non</t>
        </is>
      </c>
      <c r="H1465" s="6" t="inlineStr">
        <is>
          <t>OFF</t>
        </is>
      </c>
      <c r="I1465" s="31" t="n">
        <v>1132.611974342026</v>
      </c>
      <c r="J1465" s="31" t="n">
        <v>6657.967474874614</v>
      </c>
      <c r="K1465" s="31" t="n">
        <v>3166.666666666667</v>
      </c>
      <c r="L1465" s="31" t="n">
        <v>150</v>
      </c>
      <c r="M1465" s="31">
        <f>I1465+J1465+K1465+L1465</f>
        <v/>
      </c>
      <c r="N1465" s="31">
        <f>M1465*'Dashboard &amp; Optimisation'!$B$18/('Dashboard &amp; Optimisation'!$B$16/3.6)</f>
        <v/>
      </c>
      <c r="O1465" s="31" t="n">
        <v>952.5323803516766</v>
      </c>
      <c r="P1465" s="32" t="n">
        <v>0.8953070815489648</v>
      </c>
      <c r="Q1465" s="33" t="n">
        <v>0.2</v>
      </c>
      <c r="R1465" s="31" t="n">
        <v>542.9778476206168</v>
      </c>
      <c r="S1465" s="31">
        <f>R1465*IF(A1465=4, 2.0, 3.0)</f>
        <v/>
      </c>
      <c r="T1465" s="30">
        <f>'Dashboard &amp; Optimisation'!$B$18*U1465</f>
        <v/>
      </c>
      <c r="U1465" s="34">
        <f>MIN(1, S1465/M1465)</f>
        <v/>
      </c>
      <c r="V1465" s="34">
        <f>N1465/(N1465+O1465)</f>
        <v/>
      </c>
      <c r="W1465" s="34">
        <f>U1465*V1465</f>
        <v/>
      </c>
      <c r="X1465" s="32">
        <f>T1465/N1465</f>
        <v/>
      </c>
      <c r="Y1465" s="35">
        <f>IF(W1465=MAXIFS(W$2:W$3601, A$2:A$3601, A1465, B$2:B$3601, B1465), "OPTIMAL", "")</f>
        <v/>
      </c>
    </row>
    <row r="1466" ht="20" customHeight="1">
      <c r="A1466" s="21" t="n">
        <v>4</v>
      </c>
      <c r="B1466" s="21" t="n">
        <v>45</v>
      </c>
      <c r="C1466" s="22" t="n">
        <v>80</v>
      </c>
      <c r="D1466" s="22" t="n">
        <v>3</v>
      </c>
      <c r="E1466" s="23" t="n">
        <v>4</v>
      </c>
      <c r="F1466" s="22" t="n">
        <v>1.5</v>
      </c>
      <c r="G1466" s="23" t="inlineStr">
        <is>
          <t>Oui</t>
        </is>
      </c>
      <c r="H1466" s="23" t="inlineStr">
        <is>
          <t>ON</t>
        </is>
      </c>
      <c r="I1466" s="24" t="n">
        <v>1132.611974342026</v>
      </c>
      <c r="J1466" s="24" t="n">
        <v>6657.967474874614</v>
      </c>
      <c r="K1466" s="24" t="n">
        <v>3166.666666666667</v>
      </c>
      <c r="L1466" s="24" t="n">
        <v>150</v>
      </c>
      <c r="M1466" s="24">
        <f>I1466+J1466+K1466+L1466</f>
        <v/>
      </c>
      <c r="N1466" s="24">
        <f>M1466*'Dashboard &amp; Optimisation'!$B$18/('Dashboard &amp; Optimisation'!$B$16/3.6)</f>
        <v/>
      </c>
      <c r="O1466" s="24" t="n">
        <v>1359.929693722732</v>
      </c>
      <c r="P1466" s="25" t="n">
        <v>0.08209463084427607</v>
      </c>
      <c r="Q1466" s="26" t="n">
        <v>8.657063527408475</v>
      </c>
      <c r="R1466" s="24" t="n">
        <v>6176.664998373939</v>
      </c>
      <c r="S1466" s="24">
        <f>R1466*IF(A1466=4, 2.0, 3.0)</f>
        <v/>
      </c>
      <c r="T1466" s="22">
        <f>'Dashboard &amp; Optimisation'!$B$18*U1466</f>
        <v/>
      </c>
      <c r="U1466" s="27">
        <f>MIN(1, S1466/M1466)</f>
        <v/>
      </c>
      <c r="V1466" s="27">
        <f>N1466/(N1466+O1466)</f>
        <v/>
      </c>
      <c r="W1466" s="27">
        <f>U1466*V1466</f>
        <v/>
      </c>
      <c r="X1466" s="25">
        <f>T1466/N1466</f>
        <v/>
      </c>
      <c r="Y1466" s="28">
        <f>IF(W1466=MAXIFS(W$2:W$3601, A$2:A$3601, A1466, B$2:B$3601, B1466), "OPTIMAL", "")</f>
        <v/>
      </c>
    </row>
    <row r="1467" ht="20" customHeight="1">
      <c r="A1467" s="29" t="n">
        <v>4</v>
      </c>
      <c r="B1467" s="29" t="n">
        <v>45</v>
      </c>
      <c r="C1467" s="30" t="n">
        <v>80</v>
      </c>
      <c r="D1467" s="30" t="n">
        <v>3</v>
      </c>
      <c r="E1467" s="6" t="n">
        <v>4</v>
      </c>
      <c r="F1467" s="30" t="n">
        <v>1.5</v>
      </c>
      <c r="G1467" s="6" t="inlineStr">
        <is>
          <t>Oui</t>
        </is>
      </c>
      <c r="H1467" s="6" t="inlineStr">
        <is>
          <t>OFF</t>
        </is>
      </c>
      <c r="I1467" s="31" t="n">
        <v>1132.611974342026</v>
      </c>
      <c r="J1467" s="31" t="n">
        <v>6657.967474874614</v>
      </c>
      <c r="K1467" s="31" t="n">
        <v>3166.666666666667</v>
      </c>
      <c r="L1467" s="31" t="n">
        <v>150</v>
      </c>
      <c r="M1467" s="31">
        <f>I1467+J1467+K1467+L1467</f>
        <v/>
      </c>
      <c r="N1467" s="31">
        <f>M1467*'Dashboard &amp; Optimisation'!$B$18/('Dashboard &amp; Optimisation'!$B$16/3.6)</f>
        <v/>
      </c>
      <c r="O1467" s="31" t="n">
        <v>1359.929693722732</v>
      </c>
      <c r="P1467" s="32" t="n">
        <v>0.3558275394191204</v>
      </c>
      <c r="Q1467" s="33" t="n">
        <v>8.657063527408475</v>
      </c>
      <c r="R1467" s="31" t="n">
        <v>1425.047183582391</v>
      </c>
      <c r="S1467" s="31">
        <f>R1467*IF(A1467=4, 2.0, 3.0)</f>
        <v/>
      </c>
      <c r="T1467" s="30">
        <f>'Dashboard &amp; Optimisation'!$B$18*U1467</f>
        <v/>
      </c>
      <c r="U1467" s="34">
        <f>MIN(1, S1467/M1467)</f>
        <v/>
      </c>
      <c r="V1467" s="34">
        <f>N1467/(N1467+O1467)</f>
        <v/>
      </c>
      <c r="W1467" s="34">
        <f>U1467*V1467</f>
        <v/>
      </c>
      <c r="X1467" s="32">
        <f>T1467/N1467</f>
        <v/>
      </c>
      <c r="Y1467" s="35">
        <f>IF(W1467=MAXIFS(W$2:W$3601, A$2:A$3601, A1467, B$2:B$3601, B1467), "OPTIMAL", "")</f>
        <v/>
      </c>
    </row>
    <row r="1468" ht="20" customHeight="1">
      <c r="A1468" s="21" t="n">
        <v>4</v>
      </c>
      <c r="B1468" s="21" t="n">
        <v>45</v>
      </c>
      <c r="C1468" s="22" t="n">
        <v>80</v>
      </c>
      <c r="D1468" s="22" t="n">
        <v>3</v>
      </c>
      <c r="E1468" s="23" t="n">
        <v>4</v>
      </c>
      <c r="F1468" s="22" t="n">
        <v>1.5</v>
      </c>
      <c r="G1468" s="23" t="inlineStr">
        <is>
          <t>Non</t>
        </is>
      </c>
      <c r="H1468" s="23" t="inlineStr">
        <is>
          <t>ON</t>
        </is>
      </c>
      <c r="I1468" s="24" t="n">
        <v>1132.611974342026</v>
      </c>
      <c r="J1468" s="24" t="n">
        <v>6657.967474874614</v>
      </c>
      <c r="K1468" s="24" t="n">
        <v>3166.666666666667</v>
      </c>
      <c r="L1468" s="24" t="n">
        <v>150</v>
      </c>
      <c r="M1468" s="24">
        <f>I1468+J1468+K1468+L1468</f>
        <v/>
      </c>
      <c r="N1468" s="24">
        <f>M1468*'Dashboard &amp; Optimisation'!$B$18/('Dashboard &amp; Optimisation'!$B$16/3.6)</f>
        <v/>
      </c>
      <c r="O1468" s="24" t="n">
        <v>1359.929693722732</v>
      </c>
      <c r="P1468" s="25" t="n">
        <v>0.07811575726697868</v>
      </c>
      <c r="Q1468" s="26" t="n">
        <v>8.657063527408475</v>
      </c>
      <c r="R1468" s="24" t="n">
        <v>6491.277184412832</v>
      </c>
      <c r="S1468" s="24">
        <f>R1468*IF(A1468=4, 2.0, 3.0)</f>
        <v/>
      </c>
      <c r="T1468" s="22">
        <f>'Dashboard &amp; Optimisation'!$B$18*U1468</f>
        <v/>
      </c>
      <c r="U1468" s="27">
        <f>MIN(1, S1468/M1468)</f>
        <v/>
      </c>
      <c r="V1468" s="27">
        <f>N1468/(N1468+O1468)</f>
        <v/>
      </c>
      <c r="W1468" s="27">
        <f>U1468*V1468</f>
        <v/>
      </c>
      <c r="X1468" s="25">
        <f>T1468/N1468</f>
        <v/>
      </c>
      <c r="Y1468" s="28">
        <f>IF(W1468=MAXIFS(W$2:W$3601, A$2:A$3601, A1468, B$2:B$3601, B1468), "OPTIMAL", "")</f>
        <v/>
      </c>
    </row>
    <row r="1469" ht="20" customHeight="1">
      <c r="A1469" s="29" t="n">
        <v>4</v>
      </c>
      <c r="B1469" s="29" t="n">
        <v>45</v>
      </c>
      <c r="C1469" s="30" t="n">
        <v>80</v>
      </c>
      <c r="D1469" s="30" t="n">
        <v>3</v>
      </c>
      <c r="E1469" s="6" t="n">
        <v>4</v>
      </c>
      <c r="F1469" s="30" t="n">
        <v>1.5</v>
      </c>
      <c r="G1469" s="6" t="inlineStr">
        <is>
          <t>Non</t>
        </is>
      </c>
      <c r="H1469" s="6" t="inlineStr">
        <is>
          <t>OFF</t>
        </is>
      </c>
      <c r="I1469" s="31" t="n">
        <v>1132.611974342026</v>
      </c>
      <c r="J1469" s="31" t="n">
        <v>6657.967474874614</v>
      </c>
      <c r="K1469" s="31" t="n">
        <v>3166.666666666667</v>
      </c>
      <c r="L1469" s="31" t="n">
        <v>150</v>
      </c>
      <c r="M1469" s="31">
        <f>I1469+J1469+K1469+L1469</f>
        <v/>
      </c>
      <c r="N1469" s="31">
        <f>M1469*'Dashboard &amp; Optimisation'!$B$18/('Dashboard &amp; Optimisation'!$B$16/3.6)</f>
        <v/>
      </c>
      <c r="O1469" s="31" t="n">
        <v>1359.929693722732</v>
      </c>
      <c r="P1469" s="32" t="n">
        <v>0.3518486658418231</v>
      </c>
      <c r="Q1469" s="33" t="n">
        <v>8.657063527408475</v>
      </c>
      <c r="R1469" s="31" t="n">
        <v>1441.162301062208</v>
      </c>
      <c r="S1469" s="31">
        <f>R1469*IF(A1469=4, 2.0, 3.0)</f>
        <v/>
      </c>
      <c r="T1469" s="30">
        <f>'Dashboard &amp; Optimisation'!$B$18*U1469</f>
        <v/>
      </c>
      <c r="U1469" s="34">
        <f>MIN(1, S1469/M1469)</f>
        <v/>
      </c>
      <c r="V1469" s="34">
        <f>N1469/(N1469+O1469)</f>
        <v/>
      </c>
      <c r="W1469" s="34">
        <f>U1469*V1469</f>
        <v/>
      </c>
      <c r="X1469" s="32">
        <f>T1469/N1469</f>
        <v/>
      </c>
      <c r="Y1469" s="35">
        <f>IF(W1469=MAXIFS(W$2:W$3601, A$2:A$3601, A1469, B$2:B$3601, B1469), "OPTIMAL", "")</f>
        <v/>
      </c>
    </row>
    <row r="1470" ht="20" customHeight="1">
      <c r="A1470" s="21" t="n">
        <v>4</v>
      </c>
      <c r="B1470" s="21" t="n">
        <v>45</v>
      </c>
      <c r="C1470" s="22" t="n">
        <v>80</v>
      </c>
      <c r="D1470" s="22" t="n">
        <v>3</v>
      </c>
      <c r="E1470" s="23" t="n">
        <v>4</v>
      </c>
      <c r="F1470" s="22" t="n">
        <v>2</v>
      </c>
      <c r="G1470" s="23" t="inlineStr">
        <is>
          <t>Oui</t>
        </is>
      </c>
      <c r="H1470" s="23" t="inlineStr">
        <is>
          <t>ON</t>
        </is>
      </c>
      <c r="I1470" s="24" t="n">
        <v>1132.611974342026</v>
      </c>
      <c r="J1470" s="24" t="n">
        <v>6657.967474874614</v>
      </c>
      <c r="K1470" s="24" t="n">
        <v>3166.666666666667</v>
      </c>
      <c r="L1470" s="24" t="n">
        <v>150</v>
      </c>
      <c r="M1470" s="24">
        <f>I1470+J1470+K1470+L1470</f>
        <v/>
      </c>
      <c r="N1470" s="24">
        <f>M1470*'Dashboard &amp; Optimisation'!$B$18/('Dashboard &amp; Optimisation'!$B$16/3.6)</f>
        <v/>
      </c>
      <c r="O1470" s="24" t="n">
        <v>1503.641423356485</v>
      </c>
      <c r="P1470" s="25" t="n">
        <v>0.08011046001180847</v>
      </c>
      <c r="Q1470" s="26" t="n">
        <v>11.4760847032113</v>
      </c>
      <c r="R1470" s="24" t="n">
        <v>6421.85087056882</v>
      </c>
      <c r="S1470" s="24">
        <f>R1470*IF(A1470=4, 2.0, 3.0)</f>
        <v/>
      </c>
      <c r="T1470" s="22">
        <f>'Dashboard &amp; Optimisation'!$B$18*U1470</f>
        <v/>
      </c>
      <c r="U1470" s="27">
        <f>MIN(1, S1470/M1470)</f>
        <v/>
      </c>
      <c r="V1470" s="27">
        <f>N1470/(N1470+O1470)</f>
        <v/>
      </c>
      <c r="W1470" s="27">
        <f>U1470*V1470</f>
        <v/>
      </c>
      <c r="X1470" s="25">
        <f>T1470/N1470</f>
        <v/>
      </c>
      <c r="Y1470" s="28">
        <f>IF(W1470=MAXIFS(W$2:W$3601, A$2:A$3601, A1470, B$2:B$3601, B1470), "OPTIMAL", "")</f>
        <v/>
      </c>
    </row>
    <row r="1471" ht="20" customHeight="1">
      <c r="A1471" s="29" t="n">
        <v>4</v>
      </c>
      <c r="B1471" s="29" t="n">
        <v>45</v>
      </c>
      <c r="C1471" s="30" t="n">
        <v>80</v>
      </c>
      <c r="D1471" s="30" t="n">
        <v>3</v>
      </c>
      <c r="E1471" s="6" t="n">
        <v>4</v>
      </c>
      <c r="F1471" s="30" t="n">
        <v>2</v>
      </c>
      <c r="G1471" s="6" t="inlineStr">
        <is>
          <t>Oui</t>
        </is>
      </c>
      <c r="H1471" s="6" t="inlineStr">
        <is>
          <t>OFF</t>
        </is>
      </c>
      <c r="I1471" s="31" t="n">
        <v>1132.611974342026</v>
      </c>
      <c r="J1471" s="31" t="n">
        <v>6657.967474874614</v>
      </c>
      <c r="K1471" s="31" t="n">
        <v>3166.666666666667</v>
      </c>
      <c r="L1471" s="31" t="n">
        <v>150</v>
      </c>
      <c r="M1471" s="31">
        <f>I1471+J1471+K1471+L1471</f>
        <v/>
      </c>
      <c r="N1471" s="31">
        <f>M1471*'Dashboard &amp; Optimisation'!$B$18/('Dashboard &amp; Optimisation'!$B$16/3.6)</f>
        <v/>
      </c>
      <c r="O1471" s="31" t="n">
        <v>1503.641423356485</v>
      </c>
      <c r="P1471" s="32" t="n">
        <v>0.3553476372854298</v>
      </c>
      <c r="Q1471" s="33" t="n">
        <v>11.4760847032113</v>
      </c>
      <c r="R1471" s="31" t="n">
        <v>1447.758120184903</v>
      </c>
      <c r="S1471" s="31">
        <f>R1471*IF(A1471=4, 2.0, 3.0)</f>
        <v/>
      </c>
      <c r="T1471" s="30">
        <f>'Dashboard &amp; Optimisation'!$B$18*U1471</f>
        <v/>
      </c>
      <c r="U1471" s="34">
        <f>MIN(1, S1471/M1471)</f>
        <v/>
      </c>
      <c r="V1471" s="34">
        <f>N1471/(N1471+O1471)</f>
        <v/>
      </c>
      <c r="W1471" s="34">
        <f>U1471*V1471</f>
        <v/>
      </c>
      <c r="X1471" s="32">
        <f>T1471/N1471</f>
        <v/>
      </c>
      <c r="Y1471" s="35">
        <f>IF(W1471=MAXIFS(W$2:W$3601, A$2:A$3601, A1471, B$2:B$3601, B1471), "OPTIMAL", "")</f>
        <v/>
      </c>
    </row>
    <row r="1472" ht="20" customHeight="1">
      <c r="A1472" s="21" t="n">
        <v>4</v>
      </c>
      <c r="B1472" s="21" t="n">
        <v>45</v>
      </c>
      <c r="C1472" s="22" t="n">
        <v>80</v>
      </c>
      <c r="D1472" s="22" t="n">
        <v>3</v>
      </c>
      <c r="E1472" s="23" t="n">
        <v>4</v>
      </c>
      <c r="F1472" s="22" t="n">
        <v>2</v>
      </c>
      <c r="G1472" s="23" t="inlineStr">
        <is>
          <t>Non</t>
        </is>
      </c>
      <c r="H1472" s="23" t="inlineStr">
        <is>
          <t>ON</t>
        </is>
      </c>
      <c r="I1472" s="24" t="n">
        <v>1132.611974342026</v>
      </c>
      <c r="J1472" s="24" t="n">
        <v>6657.967474874614</v>
      </c>
      <c r="K1472" s="24" t="n">
        <v>3166.666666666667</v>
      </c>
      <c r="L1472" s="24" t="n">
        <v>150</v>
      </c>
      <c r="M1472" s="24">
        <f>I1472+J1472+K1472+L1472</f>
        <v/>
      </c>
      <c r="N1472" s="24">
        <f>M1472*'Dashboard &amp; Optimisation'!$B$18/('Dashboard &amp; Optimisation'!$B$16/3.6)</f>
        <v/>
      </c>
      <c r="O1472" s="24" t="n">
        <v>1503.641423356485</v>
      </c>
      <c r="P1472" s="25" t="n">
        <v>0.07613158643451108</v>
      </c>
      <c r="Q1472" s="26" t="n">
        <v>11.4760847032113</v>
      </c>
      <c r="R1472" s="24" t="n">
        <v>6757.47677754017</v>
      </c>
      <c r="S1472" s="24">
        <f>R1472*IF(A1472=4, 2.0, 3.0)</f>
        <v/>
      </c>
      <c r="T1472" s="22">
        <f>'Dashboard &amp; Optimisation'!$B$18*U1472</f>
        <v/>
      </c>
      <c r="U1472" s="27">
        <f>MIN(1, S1472/M1472)</f>
        <v/>
      </c>
      <c r="V1472" s="27">
        <f>N1472/(N1472+O1472)</f>
        <v/>
      </c>
      <c r="W1472" s="27">
        <f>U1472*V1472</f>
        <v/>
      </c>
      <c r="X1472" s="25">
        <f>T1472/N1472</f>
        <v/>
      </c>
      <c r="Y1472" s="28">
        <f>IF(W1472=MAXIFS(W$2:W$3601, A$2:A$3601, A1472, B$2:B$3601, B1472), "OPTIMAL", "")</f>
        <v/>
      </c>
    </row>
    <row r="1473" ht="20" customHeight="1">
      <c r="A1473" s="29" t="n">
        <v>4</v>
      </c>
      <c r="B1473" s="29" t="n">
        <v>45</v>
      </c>
      <c r="C1473" s="30" t="n">
        <v>80</v>
      </c>
      <c r="D1473" s="30" t="n">
        <v>3</v>
      </c>
      <c r="E1473" s="6" t="n">
        <v>4</v>
      </c>
      <c r="F1473" s="30" t="n">
        <v>2</v>
      </c>
      <c r="G1473" s="6" t="inlineStr">
        <is>
          <t>Non</t>
        </is>
      </c>
      <c r="H1473" s="6" t="inlineStr">
        <is>
          <t>OFF</t>
        </is>
      </c>
      <c r="I1473" s="31" t="n">
        <v>1132.611974342026</v>
      </c>
      <c r="J1473" s="31" t="n">
        <v>6657.967474874614</v>
      </c>
      <c r="K1473" s="31" t="n">
        <v>3166.666666666667</v>
      </c>
      <c r="L1473" s="31" t="n">
        <v>150</v>
      </c>
      <c r="M1473" s="31">
        <f>I1473+J1473+K1473+L1473</f>
        <v/>
      </c>
      <c r="N1473" s="31">
        <f>M1473*'Dashboard &amp; Optimisation'!$B$18/('Dashboard &amp; Optimisation'!$B$16/3.6)</f>
        <v/>
      </c>
      <c r="O1473" s="31" t="n">
        <v>1503.641423356485</v>
      </c>
      <c r="P1473" s="32" t="n">
        <v>0.3513687637081325</v>
      </c>
      <c r="Q1473" s="33" t="n">
        <v>11.4760847032113</v>
      </c>
      <c r="R1473" s="31" t="n">
        <v>1464.152424760897</v>
      </c>
      <c r="S1473" s="31">
        <f>R1473*IF(A1473=4, 2.0, 3.0)</f>
        <v/>
      </c>
      <c r="T1473" s="30">
        <f>'Dashboard &amp; Optimisation'!$B$18*U1473</f>
        <v/>
      </c>
      <c r="U1473" s="34">
        <f>MIN(1, S1473/M1473)</f>
        <v/>
      </c>
      <c r="V1473" s="34">
        <f>N1473/(N1473+O1473)</f>
        <v/>
      </c>
      <c r="W1473" s="34">
        <f>U1473*V1473</f>
        <v/>
      </c>
      <c r="X1473" s="32">
        <f>T1473/N1473</f>
        <v/>
      </c>
      <c r="Y1473" s="35">
        <f>IF(W1473=MAXIFS(W$2:W$3601, A$2:A$3601, A1473, B$2:B$3601, B1473), "OPTIMAL", "")</f>
        <v/>
      </c>
    </row>
    <row r="1474" ht="20" customHeight="1">
      <c r="A1474" s="21" t="n">
        <v>4</v>
      </c>
      <c r="B1474" s="21" t="n">
        <v>45</v>
      </c>
      <c r="C1474" s="22" t="n">
        <v>80</v>
      </c>
      <c r="D1474" s="22" t="n">
        <v>3</v>
      </c>
      <c r="E1474" s="23" t="n">
        <v>8</v>
      </c>
      <c r="F1474" s="22" t="n">
        <v>1.5</v>
      </c>
      <c r="G1474" s="23" t="inlineStr">
        <is>
          <t>Oui</t>
        </is>
      </c>
      <c r="H1474" s="23" t="inlineStr">
        <is>
          <t>ON</t>
        </is>
      </c>
      <c r="I1474" s="24" t="n">
        <v>1132.611974342026</v>
      </c>
      <c r="J1474" s="24" t="n">
        <v>6657.967474874614</v>
      </c>
      <c r="K1474" s="24" t="n">
        <v>3166.666666666667</v>
      </c>
      <c r="L1474" s="24" t="n">
        <v>150</v>
      </c>
      <c r="M1474" s="24">
        <f>I1474+J1474+K1474+L1474</f>
        <v/>
      </c>
      <c r="N1474" s="24">
        <f>M1474*'Dashboard &amp; Optimisation'!$B$18/('Dashboard &amp; Optimisation'!$B$16/3.6)</f>
        <v/>
      </c>
      <c r="O1474" s="24" t="n">
        <v>1804.00230264493</v>
      </c>
      <c r="P1474" s="25" t="n">
        <v>0.06134832938702932</v>
      </c>
      <c r="Q1474" s="26" t="n">
        <v>17.11412705481695</v>
      </c>
      <c r="R1474" s="24" t="n">
        <v>8637.483205186274</v>
      </c>
      <c r="S1474" s="24">
        <f>R1474*IF(A1474=4, 2.0, 3.0)</f>
        <v/>
      </c>
      <c r="T1474" s="22">
        <f>'Dashboard &amp; Optimisation'!$B$18*U1474</f>
        <v/>
      </c>
      <c r="U1474" s="27">
        <f>MIN(1, S1474/M1474)</f>
        <v/>
      </c>
      <c r="V1474" s="27">
        <f>N1474/(N1474+O1474)</f>
        <v/>
      </c>
      <c r="W1474" s="27">
        <f>U1474*V1474</f>
        <v/>
      </c>
      <c r="X1474" s="25">
        <f>T1474/N1474</f>
        <v/>
      </c>
      <c r="Y1474" s="28">
        <f>IF(W1474=MAXIFS(W$2:W$3601, A$2:A$3601, A1474, B$2:B$3601, B1474), "OPTIMAL", "")</f>
        <v/>
      </c>
    </row>
    <row r="1475" ht="20" customHeight="1">
      <c r="A1475" s="29" t="n">
        <v>4</v>
      </c>
      <c r="B1475" s="29" t="n">
        <v>45</v>
      </c>
      <c r="C1475" s="30" t="n">
        <v>80</v>
      </c>
      <c r="D1475" s="30" t="n">
        <v>3</v>
      </c>
      <c r="E1475" s="6" t="n">
        <v>8</v>
      </c>
      <c r="F1475" s="30" t="n">
        <v>1.5</v>
      </c>
      <c r="G1475" s="6" t="inlineStr">
        <is>
          <t>Oui</t>
        </is>
      </c>
      <c r="H1475" s="6" t="inlineStr">
        <is>
          <t>OFF</t>
        </is>
      </c>
      <c r="I1475" s="31" t="n">
        <v>1132.611974342026</v>
      </c>
      <c r="J1475" s="31" t="n">
        <v>6657.967474874614</v>
      </c>
      <c r="K1475" s="31" t="n">
        <v>3166.666666666667</v>
      </c>
      <c r="L1475" s="31" t="n">
        <v>150</v>
      </c>
      <c r="M1475" s="31">
        <f>I1475+J1475+K1475+L1475</f>
        <v/>
      </c>
      <c r="N1475" s="31">
        <f>M1475*'Dashboard &amp; Optimisation'!$B$18/('Dashboard &amp; Optimisation'!$B$16/3.6)</f>
        <v/>
      </c>
      <c r="O1475" s="31" t="n">
        <v>1804.00230264493</v>
      </c>
      <c r="P1475" s="32" t="n">
        <v>0.2699794634504217</v>
      </c>
      <c r="Q1475" s="33" t="n">
        <v>17.11412705481695</v>
      </c>
      <c r="R1475" s="31" t="n">
        <v>1962.723971573526</v>
      </c>
      <c r="S1475" s="31">
        <f>R1475*IF(A1475=4, 2.0, 3.0)</f>
        <v/>
      </c>
      <c r="T1475" s="30">
        <f>'Dashboard &amp; Optimisation'!$B$18*U1475</f>
        <v/>
      </c>
      <c r="U1475" s="34">
        <f>MIN(1, S1475/M1475)</f>
        <v/>
      </c>
      <c r="V1475" s="34">
        <f>N1475/(N1475+O1475)</f>
        <v/>
      </c>
      <c r="W1475" s="34">
        <f>U1475*V1475</f>
        <v/>
      </c>
      <c r="X1475" s="32">
        <f>T1475/N1475</f>
        <v/>
      </c>
      <c r="Y1475" s="35">
        <f>IF(W1475=MAXIFS(W$2:W$3601, A$2:A$3601, A1475, B$2:B$3601, B1475), "OPTIMAL", "")</f>
        <v/>
      </c>
    </row>
    <row r="1476" ht="20" customHeight="1">
      <c r="A1476" s="21" t="n">
        <v>4</v>
      </c>
      <c r="B1476" s="21" t="n">
        <v>45</v>
      </c>
      <c r="C1476" s="22" t="n">
        <v>80</v>
      </c>
      <c r="D1476" s="22" t="n">
        <v>3</v>
      </c>
      <c r="E1476" s="23" t="n">
        <v>8</v>
      </c>
      <c r="F1476" s="22" t="n">
        <v>1.5</v>
      </c>
      <c r="G1476" s="23" t="inlineStr">
        <is>
          <t>Non</t>
        </is>
      </c>
      <c r="H1476" s="23" t="inlineStr">
        <is>
          <t>ON</t>
        </is>
      </c>
      <c r="I1476" s="24" t="n">
        <v>1132.611974342026</v>
      </c>
      <c r="J1476" s="24" t="n">
        <v>6657.967474874614</v>
      </c>
      <c r="K1476" s="24" t="n">
        <v>3166.666666666667</v>
      </c>
      <c r="L1476" s="24" t="n">
        <v>150</v>
      </c>
      <c r="M1476" s="24">
        <f>I1476+J1476+K1476+L1476</f>
        <v/>
      </c>
      <c r="N1476" s="24">
        <f>M1476*'Dashboard &amp; Optimisation'!$B$18/('Dashboard &amp; Optimisation'!$B$16/3.6)</f>
        <v/>
      </c>
      <c r="O1476" s="24" t="n">
        <v>1804.00230264493</v>
      </c>
      <c r="P1476" s="25" t="n">
        <v>0.05736945580973193</v>
      </c>
      <c r="Q1476" s="26" t="n">
        <v>17.11412705481695</v>
      </c>
      <c r="R1476" s="24" t="n">
        <v>9236.538106690772</v>
      </c>
      <c r="S1476" s="24">
        <f>R1476*IF(A1476=4, 2.0, 3.0)</f>
        <v/>
      </c>
      <c r="T1476" s="22">
        <f>'Dashboard &amp; Optimisation'!$B$18*U1476</f>
        <v/>
      </c>
      <c r="U1476" s="27">
        <f>MIN(1, S1476/M1476)</f>
        <v/>
      </c>
      <c r="V1476" s="27">
        <f>N1476/(N1476+O1476)</f>
        <v/>
      </c>
      <c r="W1476" s="27">
        <f>U1476*V1476</f>
        <v/>
      </c>
      <c r="X1476" s="25">
        <f>T1476/N1476</f>
        <v/>
      </c>
      <c r="Y1476" s="28">
        <f>IF(W1476=MAXIFS(W$2:W$3601, A$2:A$3601, A1476, B$2:B$3601, B1476), "OPTIMAL", "")</f>
        <v/>
      </c>
    </row>
    <row r="1477" ht="20" customHeight="1">
      <c r="A1477" s="29" t="n">
        <v>4</v>
      </c>
      <c r="B1477" s="29" t="n">
        <v>45</v>
      </c>
      <c r="C1477" s="30" t="n">
        <v>80</v>
      </c>
      <c r="D1477" s="30" t="n">
        <v>3</v>
      </c>
      <c r="E1477" s="6" t="n">
        <v>8</v>
      </c>
      <c r="F1477" s="30" t="n">
        <v>1.5</v>
      </c>
      <c r="G1477" s="6" t="inlineStr">
        <is>
          <t>Non</t>
        </is>
      </c>
      <c r="H1477" s="6" t="inlineStr">
        <is>
          <t>OFF</t>
        </is>
      </c>
      <c r="I1477" s="31" t="n">
        <v>1132.611974342026</v>
      </c>
      <c r="J1477" s="31" t="n">
        <v>6657.967474874614</v>
      </c>
      <c r="K1477" s="31" t="n">
        <v>3166.666666666667</v>
      </c>
      <c r="L1477" s="31" t="n">
        <v>150</v>
      </c>
      <c r="M1477" s="31">
        <f>I1477+J1477+K1477+L1477</f>
        <v/>
      </c>
      <c r="N1477" s="31">
        <f>M1477*'Dashboard &amp; Optimisation'!$B$18/('Dashboard &amp; Optimisation'!$B$16/3.6)</f>
        <v/>
      </c>
      <c r="O1477" s="31" t="n">
        <v>1804.00230264493</v>
      </c>
      <c r="P1477" s="32" t="n">
        <v>0.2660005898731243</v>
      </c>
      <c r="Q1477" s="33" t="n">
        <v>17.11412705481695</v>
      </c>
      <c r="R1477" s="31" t="n">
        <v>1992.082667934865</v>
      </c>
      <c r="S1477" s="31">
        <f>R1477*IF(A1477=4, 2.0, 3.0)</f>
        <v/>
      </c>
      <c r="T1477" s="30">
        <f>'Dashboard &amp; Optimisation'!$B$18*U1477</f>
        <v/>
      </c>
      <c r="U1477" s="34">
        <f>MIN(1, S1477/M1477)</f>
        <v/>
      </c>
      <c r="V1477" s="34">
        <f>N1477/(N1477+O1477)</f>
        <v/>
      </c>
      <c r="W1477" s="34">
        <f>U1477*V1477</f>
        <v/>
      </c>
      <c r="X1477" s="32">
        <f>T1477/N1477</f>
        <v/>
      </c>
      <c r="Y1477" s="35">
        <f>IF(W1477=MAXIFS(W$2:W$3601, A$2:A$3601, A1477, B$2:B$3601, B1477), "OPTIMAL", "")</f>
        <v/>
      </c>
    </row>
    <row r="1478" ht="20" customHeight="1">
      <c r="A1478" s="21" t="n">
        <v>4</v>
      </c>
      <c r="B1478" s="21" t="n">
        <v>45</v>
      </c>
      <c r="C1478" s="22" t="n">
        <v>80</v>
      </c>
      <c r="D1478" s="22" t="n">
        <v>3</v>
      </c>
      <c r="E1478" s="23" t="n">
        <v>8</v>
      </c>
      <c r="F1478" s="22" t="n">
        <v>2</v>
      </c>
      <c r="G1478" s="23" t="inlineStr">
        <is>
          <t>Oui</t>
        </is>
      </c>
      <c r="H1478" s="23" t="inlineStr">
        <is>
          <t>ON</t>
        </is>
      </c>
      <c r="I1478" s="24" t="n">
        <v>1132.611974342026</v>
      </c>
      <c r="J1478" s="24" t="n">
        <v>6657.967474874614</v>
      </c>
      <c r="K1478" s="24" t="n">
        <v>3166.666666666667</v>
      </c>
      <c r="L1478" s="24" t="n">
        <v>150</v>
      </c>
      <c r="M1478" s="24">
        <f>I1478+J1478+K1478+L1478</f>
        <v/>
      </c>
      <c r="N1478" s="24">
        <f>M1478*'Dashboard &amp; Optimisation'!$B$18/('Dashboard &amp; Optimisation'!$B$16/3.6)</f>
        <v/>
      </c>
      <c r="O1478" s="24" t="n">
        <v>2122.947187599487</v>
      </c>
      <c r="P1478" s="25" t="n">
        <v>0.060517018169736</v>
      </c>
      <c r="Q1478" s="26" t="n">
        <v>22.7521694064226</v>
      </c>
      <c r="R1478" s="24" t="n">
        <v>9027.015644673142</v>
      </c>
      <c r="S1478" s="24">
        <f>R1478*IF(A1478=4, 2.0, 3.0)</f>
        <v/>
      </c>
      <c r="T1478" s="22">
        <f>'Dashboard &amp; Optimisation'!$B$18*U1478</f>
        <v/>
      </c>
      <c r="U1478" s="27">
        <f>MIN(1, S1478/M1478)</f>
        <v/>
      </c>
      <c r="V1478" s="27">
        <f>N1478/(N1478+O1478)</f>
        <v/>
      </c>
      <c r="W1478" s="27">
        <f>U1478*V1478</f>
        <v/>
      </c>
      <c r="X1478" s="25">
        <f>T1478/N1478</f>
        <v/>
      </c>
      <c r="Y1478" s="28">
        <f>IF(W1478=MAXIFS(W$2:W$3601, A$2:A$3601, A1478, B$2:B$3601, B1478), "OPTIMAL", "")</f>
        <v/>
      </c>
    </row>
    <row r="1479" ht="20" customHeight="1">
      <c r="A1479" s="29" t="n">
        <v>4</v>
      </c>
      <c r="B1479" s="29" t="n">
        <v>45</v>
      </c>
      <c r="C1479" s="30" t="n">
        <v>80</v>
      </c>
      <c r="D1479" s="30" t="n">
        <v>3</v>
      </c>
      <c r="E1479" s="6" t="n">
        <v>8</v>
      </c>
      <c r="F1479" s="30" t="n">
        <v>2</v>
      </c>
      <c r="G1479" s="6" t="inlineStr">
        <is>
          <t>Oui</t>
        </is>
      </c>
      <c r="H1479" s="6" t="inlineStr">
        <is>
          <t>OFF</t>
        </is>
      </c>
      <c r="I1479" s="31" t="n">
        <v>1132.611974342026</v>
      </c>
      <c r="J1479" s="31" t="n">
        <v>6657.967474874614</v>
      </c>
      <c r="K1479" s="31" t="n">
        <v>3166.666666666667</v>
      </c>
      <c r="L1479" s="31" t="n">
        <v>150</v>
      </c>
      <c r="M1479" s="31">
        <f>I1479+J1479+K1479+L1479</f>
        <v/>
      </c>
      <c r="N1479" s="31">
        <f>M1479*'Dashboard &amp; Optimisation'!$B$18/('Dashboard &amp; Optimisation'!$B$16/3.6)</f>
        <v/>
      </c>
      <c r="O1479" s="31" t="n">
        <v>2122.947187599487</v>
      </c>
      <c r="P1479" s="32" t="n">
        <v>0.2709014433795033</v>
      </c>
      <c r="Q1479" s="33" t="n">
        <v>22.7521694064226</v>
      </c>
      <c r="R1479" s="31" t="n">
        <v>2016.556512110885</v>
      </c>
      <c r="S1479" s="31">
        <f>R1479*IF(A1479=4, 2.0, 3.0)</f>
        <v/>
      </c>
      <c r="T1479" s="30">
        <f>'Dashboard &amp; Optimisation'!$B$18*U1479</f>
        <v/>
      </c>
      <c r="U1479" s="34">
        <f>MIN(1, S1479/M1479)</f>
        <v/>
      </c>
      <c r="V1479" s="34">
        <f>N1479/(N1479+O1479)</f>
        <v/>
      </c>
      <c r="W1479" s="34">
        <f>U1479*V1479</f>
        <v/>
      </c>
      <c r="X1479" s="32">
        <f>T1479/N1479</f>
        <v/>
      </c>
      <c r="Y1479" s="35">
        <f>IF(W1479=MAXIFS(W$2:W$3601, A$2:A$3601, A1479, B$2:B$3601, B1479), "OPTIMAL", "")</f>
        <v/>
      </c>
    </row>
    <row r="1480" ht="20" customHeight="1">
      <c r="A1480" s="21" t="n">
        <v>4</v>
      </c>
      <c r="B1480" s="21" t="n">
        <v>45</v>
      </c>
      <c r="C1480" s="22" t="n">
        <v>80</v>
      </c>
      <c r="D1480" s="22" t="n">
        <v>3</v>
      </c>
      <c r="E1480" s="23" t="n">
        <v>8</v>
      </c>
      <c r="F1480" s="22" t="n">
        <v>2</v>
      </c>
      <c r="G1480" s="23" t="inlineStr">
        <is>
          <t>Non</t>
        </is>
      </c>
      <c r="H1480" s="23" t="inlineStr">
        <is>
          <t>ON</t>
        </is>
      </c>
      <c r="I1480" s="24" t="n">
        <v>1132.611974342026</v>
      </c>
      <c r="J1480" s="24" t="n">
        <v>6657.967474874614</v>
      </c>
      <c r="K1480" s="24" t="n">
        <v>3166.666666666667</v>
      </c>
      <c r="L1480" s="24" t="n">
        <v>150</v>
      </c>
      <c r="M1480" s="24">
        <f>I1480+J1480+K1480+L1480</f>
        <v/>
      </c>
      <c r="N1480" s="24">
        <f>M1480*'Dashboard &amp; Optimisation'!$B$18/('Dashboard &amp; Optimisation'!$B$16/3.6)</f>
        <v/>
      </c>
      <c r="O1480" s="24" t="n">
        <v>2122.947187599487</v>
      </c>
      <c r="P1480" s="25" t="n">
        <v>0.05653814459243862</v>
      </c>
      <c r="Q1480" s="26" t="n">
        <v>22.7521694064226</v>
      </c>
      <c r="R1480" s="24" t="n">
        <v>9662.292134366149</v>
      </c>
      <c r="S1480" s="24">
        <f>R1480*IF(A1480=4, 2.0, 3.0)</f>
        <v/>
      </c>
      <c r="T1480" s="22">
        <f>'Dashboard &amp; Optimisation'!$B$18*U1480</f>
        <v/>
      </c>
      <c r="U1480" s="27">
        <f>MIN(1, S1480/M1480)</f>
        <v/>
      </c>
      <c r="V1480" s="27">
        <f>N1480/(N1480+O1480)</f>
        <v/>
      </c>
      <c r="W1480" s="27">
        <f>U1480*V1480</f>
        <v/>
      </c>
      <c r="X1480" s="25">
        <f>T1480/N1480</f>
        <v/>
      </c>
      <c r="Y1480" s="28">
        <f>IF(W1480=MAXIFS(W$2:W$3601, A$2:A$3601, A1480, B$2:B$3601, B1480), "OPTIMAL", "")</f>
        <v/>
      </c>
    </row>
    <row r="1481" ht="20" customHeight="1">
      <c r="A1481" s="29" t="n">
        <v>4</v>
      </c>
      <c r="B1481" s="29" t="n">
        <v>45</v>
      </c>
      <c r="C1481" s="30" t="n">
        <v>80</v>
      </c>
      <c r="D1481" s="30" t="n">
        <v>3</v>
      </c>
      <c r="E1481" s="6" t="n">
        <v>8</v>
      </c>
      <c r="F1481" s="30" t="n">
        <v>2</v>
      </c>
      <c r="G1481" s="6" t="inlineStr">
        <is>
          <t>Non</t>
        </is>
      </c>
      <c r="H1481" s="6" t="inlineStr">
        <is>
          <t>OFF</t>
        </is>
      </c>
      <c r="I1481" s="31" t="n">
        <v>1132.611974342026</v>
      </c>
      <c r="J1481" s="31" t="n">
        <v>6657.967474874614</v>
      </c>
      <c r="K1481" s="31" t="n">
        <v>3166.666666666667</v>
      </c>
      <c r="L1481" s="31" t="n">
        <v>150</v>
      </c>
      <c r="M1481" s="31">
        <f>I1481+J1481+K1481+L1481</f>
        <v/>
      </c>
      <c r="N1481" s="31">
        <f>M1481*'Dashboard &amp; Optimisation'!$B$18/('Dashboard &amp; Optimisation'!$B$16/3.6)</f>
        <v/>
      </c>
      <c r="O1481" s="31" t="n">
        <v>2122.947187599487</v>
      </c>
      <c r="P1481" s="32" t="n">
        <v>0.266922569802206</v>
      </c>
      <c r="Q1481" s="33" t="n">
        <v>22.7521694064226</v>
      </c>
      <c r="R1481" s="31" t="n">
        <v>2046.616253514958</v>
      </c>
      <c r="S1481" s="31">
        <f>R1481*IF(A1481=4, 2.0, 3.0)</f>
        <v/>
      </c>
      <c r="T1481" s="30">
        <f>'Dashboard &amp; Optimisation'!$B$18*U1481</f>
        <v/>
      </c>
      <c r="U1481" s="34">
        <f>MIN(1, S1481/M1481)</f>
        <v/>
      </c>
      <c r="V1481" s="34">
        <f>N1481/(N1481+O1481)</f>
        <v/>
      </c>
      <c r="W1481" s="34">
        <f>U1481*V1481</f>
        <v/>
      </c>
      <c r="X1481" s="32">
        <f>T1481/N1481</f>
        <v/>
      </c>
      <c r="Y1481" s="35">
        <f>IF(W1481=MAXIFS(W$2:W$3601, A$2:A$3601, A1481, B$2:B$3601, B1481), "OPTIMAL", "")</f>
        <v/>
      </c>
    </row>
    <row r="1482" ht="20" customHeight="1">
      <c r="A1482" s="21" t="n">
        <v>4</v>
      </c>
      <c r="B1482" s="21" t="n">
        <v>45</v>
      </c>
      <c r="C1482" s="22" t="n">
        <v>85</v>
      </c>
      <c r="D1482" s="22" t="n">
        <v>2</v>
      </c>
      <c r="E1482" s="23" t="n">
        <v>0</v>
      </c>
      <c r="F1482" s="22" t="n">
        <v>0</v>
      </c>
      <c r="G1482" s="23" t="inlineStr">
        <is>
          <t>Oui</t>
        </is>
      </c>
      <c r="H1482" s="23" t="inlineStr">
        <is>
          <t>ON</t>
        </is>
      </c>
      <c r="I1482" s="24" t="n">
        <v>1132.611974342026</v>
      </c>
      <c r="J1482" s="24" t="n">
        <v>6657.967474874614</v>
      </c>
      <c r="K1482" s="24" t="n">
        <v>3166.666666666667</v>
      </c>
      <c r="L1482" s="24" t="n">
        <v>150</v>
      </c>
      <c r="M1482" s="24">
        <f>I1482+J1482+K1482+L1482</f>
        <v/>
      </c>
      <c r="N1482" s="24">
        <f>M1482*'Dashboard &amp; Optimisation'!$B$18/('Dashboard &amp; Optimisation'!$B$16/3.6)</f>
        <v/>
      </c>
      <c r="O1482" s="24" t="n">
        <v>571.3066218113991</v>
      </c>
      <c r="P1482" s="25" t="n">
        <v>0.4952901571326194</v>
      </c>
      <c r="Q1482" s="26" t="n">
        <v>0.2</v>
      </c>
      <c r="R1482" s="24" t="n">
        <v>819.196023648727</v>
      </c>
      <c r="S1482" s="24">
        <f>R1482*IF(A1482=4, 2.0, 3.0)</f>
        <v/>
      </c>
      <c r="T1482" s="22">
        <f>'Dashboard &amp; Optimisation'!$B$18*U1482</f>
        <v/>
      </c>
      <c r="U1482" s="27">
        <f>MIN(1, S1482/M1482)</f>
        <v/>
      </c>
      <c r="V1482" s="27">
        <f>N1482/(N1482+O1482)</f>
        <v/>
      </c>
      <c r="W1482" s="27">
        <f>U1482*V1482</f>
        <v/>
      </c>
      <c r="X1482" s="25">
        <f>T1482/N1482</f>
        <v/>
      </c>
      <c r="Y1482" s="28">
        <f>IF(W1482=MAXIFS(W$2:W$3601, A$2:A$3601, A1482, B$2:B$3601, B1482), "OPTIMAL", "")</f>
        <v/>
      </c>
    </row>
    <row r="1483" ht="20" customHeight="1">
      <c r="A1483" s="29" t="n">
        <v>4</v>
      </c>
      <c r="B1483" s="29" t="n">
        <v>45</v>
      </c>
      <c r="C1483" s="30" t="n">
        <v>85</v>
      </c>
      <c r="D1483" s="30" t="n">
        <v>2</v>
      </c>
      <c r="E1483" s="6" t="n">
        <v>0</v>
      </c>
      <c r="F1483" s="30" t="n">
        <v>0</v>
      </c>
      <c r="G1483" s="6" t="inlineStr">
        <is>
          <t>Oui</t>
        </is>
      </c>
      <c r="H1483" s="6" t="inlineStr">
        <is>
          <t>OFF</t>
        </is>
      </c>
      <c r="I1483" s="31" t="n">
        <v>1132.611974342026</v>
      </c>
      <c r="J1483" s="31" t="n">
        <v>6657.967474874614</v>
      </c>
      <c r="K1483" s="31" t="n">
        <v>3166.666666666667</v>
      </c>
      <c r="L1483" s="31" t="n">
        <v>150</v>
      </c>
      <c r="M1483" s="31">
        <f>I1483+J1483+K1483+L1483</f>
        <v/>
      </c>
      <c r="N1483" s="31">
        <f>M1483*'Dashboard &amp; Optimisation'!$B$18/('Dashboard &amp; Optimisation'!$B$16/3.6)</f>
        <v/>
      </c>
      <c r="O1483" s="31" t="n">
        <v>571.3066218113991</v>
      </c>
      <c r="P1483" s="32" t="n">
        <v>0.869772376172373</v>
      </c>
      <c r="Q1483" s="33" t="n">
        <v>0.2</v>
      </c>
      <c r="R1483" s="31" t="n">
        <v>466.4895533483634</v>
      </c>
      <c r="S1483" s="31">
        <f>R1483*IF(A1483=4, 2.0, 3.0)</f>
        <v/>
      </c>
      <c r="T1483" s="30">
        <f>'Dashboard &amp; Optimisation'!$B$18*U1483</f>
        <v/>
      </c>
      <c r="U1483" s="34">
        <f>MIN(1, S1483/M1483)</f>
        <v/>
      </c>
      <c r="V1483" s="34">
        <f>N1483/(N1483+O1483)</f>
        <v/>
      </c>
      <c r="W1483" s="34">
        <f>U1483*V1483</f>
        <v/>
      </c>
      <c r="X1483" s="32">
        <f>T1483/N1483</f>
        <v/>
      </c>
      <c r="Y1483" s="35">
        <f>IF(W1483=MAXIFS(W$2:W$3601, A$2:A$3601, A1483, B$2:B$3601, B1483), "OPTIMAL", "")</f>
        <v/>
      </c>
    </row>
    <row r="1484" ht="20" customHeight="1">
      <c r="A1484" s="21" t="n">
        <v>4</v>
      </c>
      <c r="B1484" s="21" t="n">
        <v>45</v>
      </c>
      <c r="C1484" s="22" t="n">
        <v>85</v>
      </c>
      <c r="D1484" s="22" t="n">
        <v>2</v>
      </c>
      <c r="E1484" s="23" t="n">
        <v>0</v>
      </c>
      <c r="F1484" s="22" t="n">
        <v>0</v>
      </c>
      <c r="G1484" s="23" t="inlineStr">
        <is>
          <t>Non</t>
        </is>
      </c>
      <c r="H1484" s="23" t="inlineStr">
        <is>
          <t>ON</t>
        </is>
      </c>
      <c r="I1484" s="24" t="n">
        <v>1132.611974342026</v>
      </c>
      <c r="J1484" s="24" t="n">
        <v>6657.967474874614</v>
      </c>
      <c r="K1484" s="24" t="n">
        <v>3166.666666666667</v>
      </c>
      <c r="L1484" s="24" t="n">
        <v>150</v>
      </c>
      <c r="M1484" s="24">
        <f>I1484+J1484+K1484+L1484</f>
        <v/>
      </c>
      <c r="N1484" s="24">
        <f>M1484*'Dashboard &amp; Optimisation'!$B$18/('Dashboard &amp; Optimisation'!$B$16/3.6)</f>
        <v/>
      </c>
      <c r="O1484" s="24" t="n">
        <v>571.3066218113991</v>
      </c>
      <c r="P1484" s="25" t="n">
        <v>0.4915453349422219</v>
      </c>
      <c r="Q1484" s="26" t="n">
        <v>0.2</v>
      </c>
      <c r="R1484" s="24" t="n">
        <v>825.4370419832937</v>
      </c>
      <c r="S1484" s="24">
        <f>R1484*IF(A1484=4, 2.0, 3.0)</f>
        <v/>
      </c>
      <c r="T1484" s="22">
        <f>'Dashboard &amp; Optimisation'!$B$18*U1484</f>
        <v/>
      </c>
      <c r="U1484" s="27">
        <f>MIN(1, S1484/M1484)</f>
        <v/>
      </c>
      <c r="V1484" s="27">
        <f>N1484/(N1484+O1484)</f>
        <v/>
      </c>
      <c r="W1484" s="27">
        <f>U1484*V1484</f>
        <v/>
      </c>
      <c r="X1484" s="25">
        <f>T1484/N1484</f>
        <v/>
      </c>
      <c r="Y1484" s="28">
        <f>IF(W1484=MAXIFS(W$2:W$3601, A$2:A$3601, A1484, B$2:B$3601, B1484), "OPTIMAL", "")</f>
        <v/>
      </c>
    </row>
    <row r="1485" ht="20" customHeight="1">
      <c r="A1485" s="29" t="n">
        <v>4</v>
      </c>
      <c r="B1485" s="29" t="n">
        <v>45</v>
      </c>
      <c r="C1485" s="30" t="n">
        <v>85</v>
      </c>
      <c r="D1485" s="30" t="n">
        <v>2</v>
      </c>
      <c r="E1485" s="6" t="n">
        <v>0</v>
      </c>
      <c r="F1485" s="30" t="n">
        <v>0</v>
      </c>
      <c r="G1485" s="6" t="inlineStr">
        <is>
          <t>Non</t>
        </is>
      </c>
      <c r="H1485" s="6" t="inlineStr">
        <is>
          <t>OFF</t>
        </is>
      </c>
      <c r="I1485" s="31" t="n">
        <v>1132.611974342026</v>
      </c>
      <c r="J1485" s="31" t="n">
        <v>6657.967474874614</v>
      </c>
      <c r="K1485" s="31" t="n">
        <v>3166.666666666667</v>
      </c>
      <c r="L1485" s="31" t="n">
        <v>150</v>
      </c>
      <c r="M1485" s="31">
        <f>I1485+J1485+K1485+L1485</f>
        <v/>
      </c>
      <c r="N1485" s="31">
        <f>M1485*'Dashboard &amp; Optimisation'!$B$18/('Dashboard &amp; Optimisation'!$B$16/3.6)</f>
        <v/>
      </c>
      <c r="O1485" s="31" t="n">
        <v>571.3066218113991</v>
      </c>
      <c r="P1485" s="32" t="n">
        <v>0.8660275539819755</v>
      </c>
      <c r="Q1485" s="33" t="n">
        <v>0.2</v>
      </c>
      <c r="R1485" s="31" t="n">
        <v>468.5067183022211</v>
      </c>
      <c r="S1485" s="31">
        <f>R1485*IF(A1485=4, 2.0, 3.0)</f>
        <v/>
      </c>
      <c r="T1485" s="30">
        <f>'Dashboard &amp; Optimisation'!$B$18*U1485</f>
        <v/>
      </c>
      <c r="U1485" s="34">
        <f>MIN(1, S1485/M1485)</f>
        <v/>
      </c>
      <c r="V1485" s="34">
        <f>N1485/(N1485+O1485)</f>
        <v/>
      </c>
      <c r="W1485" s="34">
        <f>U1485*V1485</f>
        <v/>
      </c>
      <c r="X1485" s="32">
        <f>T1485/N1485</f>
        <v/>
      </c>
      <c r="Y1485" s="35">
        <f>IF(W1485=MAXIFS(W$2:W$3601, A$2:A$3601, A1485, B$2:B$3601, B1485), "OPTIMAL", "")</f>
        <v/>
      </c>
    </row>
    <row r="1486" ht="20" customHeight="1">
      <c r="A1486" s="21" t="n">
        <v>4</v>
      </c>
      <c r="B1486" s="21" t="n">
        <v>45</v>
      </c>
      <c r="C1486" s="22" t="n">
        <v>85</v>
      </c>
      <c r="D1486" s="22" t="n">
        <v>2</v>
      </c>
      <c r="E1486" s="23" t="n">
        <v>4</v>
      </c>
      <c r="F1486" s="22" t="n">
        <v>1.5</v>
      </c>
      <c r="G1486" s="23" t="inlineStr">
        <is>
          <t>Oui</t>
        </is>
      </c>
      <c r="H1486" s="23" t="inlineStr">
        <is>
          <t>ON</t>
        </is>
      </c>
      <c r="I1486" s="24" t="n">
        <v>1132.611974342026</v>
      </c>
      <c r="J1486" s="24" t="n">
        <v>6657.967474874614</v>
      </c>
      <c r="K1486" s="24" t="n">
        <v>3166.666666666667</v>
      </c>
      <c r="L1486" s="24" t="n">
        <v>150</v>
      </c>
      <c r="M1486" s="24">
        <f>I1486+J1486+K1486+L1486</f>
        <v/>
      </c>
      <c r="N1486" s="24">
        <f>M1486*'Dashboard &amp; Optimisation'!$B$18/('Dashboard &amp; Optimisation'!$B$16/3.6)</f>
        <v/>
      </c>
      <c r="O1486" s="24" t="n">
        <v>917.4784847232853</v>
      </c>
      <c r="P1486" s="25" t="n">
        <v>0.07982907988340278</v>
      </c>
      <c r="Q1486" s="26" t="n">
        <v>7.926206185533672</v>
      </c>
      <c r="R1486" s="24" t="n">
        <v>5281.867282797745</v>
      </c>
      <c r="S1486" s="24">
        <f>R1486*IF(A1486=4, 2.0, 3.0)</f>
        <v/>
      </c>
      <c r="T1486" s="22">
        <f>'Dashboard &amp; Optimisation'!$B$18*U1486</f>
        <v/>
      </c>
      <c r="U1486" s="27">
        <f>MIN(1, S1486/M1486)</f>
        <v/>
      </c>
      <c r="V1486" s="27">
        <f>N1486/(N1486+O1486)</f>
        <v/>
      </c>
      <c r="W1486" s="27">
        <f>U1486*V1486</f>
        <v/>
      </c>
      <c r="X1486" s="25">
        <f>T1486/N1486</f>
        <v/>
      </c>
      <c r="Y1486" s="28">
        <f>IF(W1486=MAXIFS(W$2:W$3601, A$2:A$3601, A1486, B$2:B$3601, B1486), "OPTIMAL", "")</f>
        <v/>
      </c>
    </row>
    <row r="1487" ht="20" customHeight="1">
      <c r="A1487" s="29" t="n">
        <v>4</v>
      </c>
      <c r="B1487" s="29" t="n">
        <v>45</v>
      </c>
      <c r="C1487" s="30" t="n">
        <v>85</v>
      </c>
      <c r="D1487" s="30" t="n">
        <v>2</v>
      </c>
      <c r="E1487" s="6" t="n">
        <v>4</v>
      </c>
      <c r="F1487" s="30" t="n">
        <v>1.5</v>
      </c>
      <c r="G1487" s="6" t="inlineStr">
        <is>
          <t>Oui</t>
        </is>
      </c>
      <c r="H1487" s="6" t="inlineStr">
        <is>
          <t>OFF</t>
        </is>
      </c>
      <c r="I1487" s="31" t="n">
        <v>1132.611974342026</v>
      </c>
      <c r="J1487" s="31" t="n">
        <v>6657.967474874614</v>
      </c>
      <c r="K1487" s="31" t="n">
        <v>3166.666666666667</v>
      </c>
      <c r="L1487" s="31" t="n">
        <v>150</v>
      </c>
      <c r="M1487" s="31">
        <f>I1487+J1487+K1487+L1487</f>
        <v/>
      </c>
      <c r="N1487" s="31">
        <f>M1487*'Dashboard &amp; Optimisation'!$B$18/('Dashboard &amp; Optimisation'!$B$16/3.6)</f>
        <v/>
      </c>
      <c r="O1487" s="31" t="n">
        <v>917.4784847232853</v>
      </c>
      <c r="P1487" s="32" t="n">
        <v>0.3422773582181225</v>
      </c>
      <c r="Q1487" s="33" t="n">
        <v>7.926206185533672</v>
      </c>
      <c r="R1487" s="31" t="n">
        <v>1231.885764945313</v>
      </c>
      <c r="S1487" s="31">
        <f>R1487*IF(A1487=4, 2.0, 3.0)</f>
        <v/>
      </c>
      <c r="T1487" s="30">
        <f>'Dashboard &amp; Optimisation'!$B$18*U1487</f>
        <v/>
      </c>
      <c r="U1487" s="34">
        <f>MIN(1, S1487/M1487)</f>
        <v/>
      </c>
      <c r="V1487" s="34">
        <f>N1487/(N1487+O1487)</f>
        <v/>
      </c>
      <c r="W1487" s="34">
        <f>U1487*V1487</f>
        <v/>
      </c>
      <c r="X1487" s="32">
        <f>T1487/N1487</f>
        <v/>
      </c>
      <c r="Y1487" s="35">
        <f>IF(W1487=MAXIFS(W$2:W$3601, A$2:A$3601, A1487, B$2:B$3601, B1487), "OPTIMAL", "")</f>
        <v/>
      </c>
    </row>
    <row r="1488" ht="20" customHeight="1">
      <c r="A1488" s="36" t="n">
        <v>4</v>
      </c>
      <c r="B1488" s="36" t="n">
        <v>45</v>
      </c>
      <c r="C1488" s="37" t="n">
        <v>85</v>
      </c>
      <c r="D1488" s="37" t="n">
        <v>2</v>
      </c>
      <c r="E1488" s="38" t="n">
        <v>4</v>
      </c>
      <c r="F1488" s="37" t="n">
        <v>1.5</v>
      </c>
      <c r="G1488" s="38" t="inlineStr">
        <is>
          <t>Non</t>
        </is>
      </c>
      <c r="H1488" s="38" t="inlineStr">
        <is>
          <t>ON</t>
        </is>
      </c>
      <c r="I1488" s="39" t="n">
        <v>1132.611974342026</v>
      </c>
      <c r="J1488" s="39" t="n">
        <v>6657.967474874614</v>
      </c>
      <c r="K1488" s="39" t="n">
        <v>3166.666666666667</v>
      </c>
      <c r="L1488" s="39" t="n">
        <v>150</v>
      </c>
      <c r="M1488" s="39">
        <f>I1488+J1488+K1488+L1488</f>
        <v/>
      </c>
      <c r="N1488" s="39">
        <f>M1488*'Dashboard &amp; Optimisation'!$B$18/('Dashboard &amp; Optimisation'!$B$16/3.6)</f>
        <v/>
      </c>
      <c r="O1488" s="39" t="n">
        <v>917.4784847232853</v>
      </c>
      <c r="P1488" s="40" t="n">
        <v>0.07608425769300524</v>
      </c>
      <c r="Q1488" s="41" t="n">
        <v>7.926206185533672</v>
      </c>
      <c r="R1488" s="39" t="n">
        <v>5541.837668355889</v>
      </c>
      <c r="S1488" s="39">
        <f>R1488*IF(A1488=4, 2.0, 3.0)</f>
        <v/>
      </c>
      <c r="T1488" s="37">
        <f>'Dashboard &amp; Optimisation'!$B$18*U1488</f>
        <v/>
      </c>
      <c r="U1488" s="42">
        <f>MIN(1, S1488/M1488)</f>
        <v/>
      </c>
      <c r="V1488" s="42">
        <f>N1488/(N1488+O1488)</f>
        <v/>
      </c>
      <c r="W1488" s="42">
        <f>U1488*V1488</f>
        <v/>
      </c>
      <c r="X1488" s="40">
        <f>T1488/N1488</f>
        <v/>
      </c>
      <c r="Y1488" s="15">
        <f>IF(W1488=MAXIFS(W$2:W$3601, A$2:A$3601, A1488, B$2:B$3601, B1488), "OPTIMAL", "")</f>
        <v/>
      </c>
    </row>
    <row r="1489" ht="20" customHeight="1">
      <c r="A1489" s="29" t="n">
        <v>4</v>
      </c>
      <c r="B1489" s="29" t="n">
        <v>45</v>
      </c>
      <c r="C1489" s="30" t="n">
        <v>85</v>
      </c>
      <c r="D1489" s="30" t="n">
        <v>2</v>
      </c>
      <c r="E1489" s="6" t="n">
        <v>4</v>
      </c>
      <c r="F1489" s="30" t="n">
        <v>1.5</v>
      </c>
      <c r="G1489" s="6" t="inlineStr">
        <is>
          <t>Non</t>
        </is>
      </c>
      <c r="H1489" s="6" t="inlineStr">
        <is>
          <t>OFF</t>
        </is>
      </c>
      <c r="I1489" s="31" t="n">
        <v>1132.611974342026</v>
      </c>
      <c r="J1489" s="31" t="n">
        <v>6657.967474874614</v>
      </c>
      <c r="K1489" s="31" t="n">
        <v>3166.666666666667</v>
      </c>
      <c r="L1489" s="31" t="n">
        <v>150</v>
      </c>
      <c r="M1489" s="31">
        <f>I1489+J1489+K1489+L1489</f>
        <v/>
      </c>
      <c r="N1489" s="31">
        <f>M1489*'Dashboard &amp; Optimisation'!$B$18/('Dashboard &amp; Optimisation'!$B$16/3.6)</f>
        <v/>
      </c>
      <c r="O1489" s="31" t="n">
        <v>917.4784847232853</v>
      </c>
      <c r="P1489" s="32" t="n">
        <v>0.338532536027725</v>
      </c>
      <c r="Q1489" s="33" t="n">
        <v>7.926206185533672</v>
      </c>
      <c r="R1489" s="31" t="n">
        <v>1245.51279531212</v>
      </c>
      <c r="S1489" s="31">
        <f>R1489*IF(A1489=4, 2.0, 3.0)</f>
        <v/>
      </c>
      <c r="T1489" s="30">
        <f>'Dashboard &amp; Optimisation'!$B$18*U1489</f>
        <v/>
      </c>
      <c r="U1489" s="34">
        <f>MIN(1, S1489/M1489)</f>
        <v/>
      </c>
      <c r="V1489" s="34">
        <f>N1489/(N1489+O1489)</f>
        <v/>
      </c>
      <c r="W1489" s="34">
        <f>U1489*V1489</f>
        <v/>
      </c>
      <c r="X1489" s="32">
        <f>T1489/N1489</f>
        <v/>
      </c>
      <c r="Y1489" s="35">
        <f>IF(W1489=MAXIFS(W$2:W$3601, A$2:A$3601, A1489, B$2:B$3601, B1489), "OPTIMAL", "")</f>
        <v/>
      </c>
    </row>
    <row r="1490" ht="20" customHeight="1">
      <c r="A1490" s="21" t="n">
        <v>4</v>
      </c>
      <c r="B1490" s="21" t="n">
        <v>45</v>
      </c>
      <c r="C1490" s="22" t="n">
        <v>85</v>
      </c>
      <c r="D1490" s="22" t="n">
        <v>2</v>
      </c>
      <c r="E1490" s="23" t="n">
        <v>4</v>
      </c>
      <c r="F1490" s="22" t="n">
        <v>2</v>
      </c>
      <c r="G1490" s="23" t="inlineStr">
        <is>
          <t>Oui</t>
        </is>
      </c>
      <c r="H1490" s="23" t="inlineStr">
        <is>
          <t>ON</t>
        </is>
      </c>
      <c r="I1490" s="24" t="n">
        <v>1132.611974342026</v>
      </c>
      <c r="J1490" s="24" t="n">
        <v>6657.967474874614</v>
      </c>
      <c r="K1490" s="24" t="n">
        <v>3166.666666666667</v>
      </c>
      <c r="L1490" s="24" t="n">
        <v>150</v>
      </c>
      <c r="M1490" s="24">
        <f>I1490+J1490+K1490+L1490</f>
        <v/>
      </c>
      <c r="N1490" s="24">
        <f>M1490*'Dashboard &amp; Optimisation'!$B$18/('Dashboard &amp; Optimisation'!$B$16/3.6)</f>
        <v/>
      </c>
      <c r="O1490" s="24" t="n">
        <v>1038.980770484299</v>
      </c>
      <c r="P1490" s="25" t="n">
        <v>0.07761847907948814</v>
      </c>
      <c r="Q1490" s="26" t="n">
        <v>10.50160824737823</v>
      </c>
      <c r="R1490" s="24" t="n">
        <v>5504.227072387219</v>
      </c>
      <c r="S1490" s="24">
        <f>R1490*IF(A1490=4, 2.0, 3.0)</f>
        <v/>
      </c>
      <c r="T1490" s="22">
        <f>'Dashboard &amp; Optimisation'!$B$18*U1490</f>
        <v/>
      </c>
      <c r="U1490" s="27">
        <f>MIN(1, S1490/M1490)</f>
        <v/>
      </c>
      <c r="V1490" s="27">
        <f>N1490/(N1490+O1490)</f>
        <v/>
      </c>
      <c r="W1490" s="27">
        <f>U1490*V1490</f>
        <v/>
      </c>
      <c r="X1490" s="25">
        <f>T1490/N1490</f>
        <v/>
      </c>
      <c r="Y1490" s="28">
        <f>IF(W1490=MAXIFS(W$2:W$3601, A$2:A$3601, A1490, B$2:B$3601, B1490), "OPTIMAL", "")</f>
        <v/>
      </c>
    </row>
    <row r="1491" ht="20" customHeight="1">
      <c r="A1491" s="29" t="n">
        <v>4</v>
      </c>
      <c r="B1491" s="29" t="n">
        <v>45</v>
      </c>
      <c r="C1491" s="30" t="n">
        <v>85</v>
      </c>
      <c r="D1491" s="30" t="n">
        <v>2</v>
      </c>
      <c r="E1491" s="6" t="n">
        <v>4</v>
      </c>
      <c r="F1491" s="30" t="n">
        <v>2</v>
      </c>
      <c r="G1491" s="6" t="inlineStr">
        <is>
          <t>Oui</t>
        </is>
      </c>
      <c r="H1491" s="6" t="inlineStr">
        <is>
          <t>OFF</t>
        </is>
      </c>
      <c r="I1491" s="31" t="n">
        <v>1132.611974342026</v>
      </c>
      <c r="J1491" s="31" t="n">
        <v>6657.967474874614</v>
      </c>
      <c r="K1491" s="31" t="n">
        <v>3166.666666666667</v>
      </c>
      <c r="L1491" s="31" t="n">
        <v>150</v>
      </c>
      <c r="M1491" s="31">
        <f>I1491+J1491+K1491+L1491</f>
        <v/>
      </c>
      <c r="N1491" s="31">
        <f>M1491*'Dashboard &amp; Optimisation'!$B$18/('Dashboard &amp; Optimisation'!$B$16/3.6)</f>
        <v/>
      </c>
      <c r="O1491" s="31" t="n">
        <v>1038.980770484299</v>
      </c>
      <c r="P1491" s="32" t="n">
        <v>0.3414492073746781</v>
      </c>
      <c r="Q1491" s="33" t="n">
        <v>10.50160824737823</v>
      </c>
      <c r="R1491" s="31" t="n">
        <v>1251.224851718672</v>
      </c>
      <c r="S1491" s="31">
        <f>R1491*IF(A1491=4, 2.0, 3.0)</f>
        <v/>
      </c>
      <c r="T1491" s="30">
        <f>'Dashboard &amp; Optimisation'!$B$18*U1491</f>
        <v/>
      </c>
      <c r="U1491" s="34">
        <f>MIN(1, S1491/M1491)</f>
        <v/>
      </c>
      <c r="V1491" s="34">
        <f>N1491/(N1491+O1491)</f>
        <v/>
      </c>
      <c r="W1491" s="34">
        <f>U1491*V1491</f>
        <v/>
      </c>
      <c r="X1491" s="32">
        <f>T1491/N1491</f>
        <v/>
      </c>
      <c r="Y1491" s="35">
        <f>IF(W1491=MAXIFS(W$2:W$3601, A$2:A$3601, A1491, B$2:B$3601, B1491), "OPTIMAL", "")</f>
        <v/>
      </c>
    </row>
    <row r="1492" ht="20" customHeight="1">
      <c r="A1492" s="21" t="n">
        <v>4</v>
      </c>
      <c r="B1492" s="21" t="n">
        <v>45</v>
      </c>
      <c r="C1492" s="22" t="n">
        <v>85</v>
      </c>
      <c r="D1492" s="22" t="n">
        <v>2</v>
      </c>
      <c r="E1492" s="23" t="n">
        <v>4</v>
      </c>
      <c r="F1492" s="22" t="n">
        <v>2</v>
      </c>
      <c r="G1492" s="23" t="inlineStr">
        <is>
          <t>Non</t>
        </is>
      </c>
      <c r="H1492" s="23" t="inlineStr">
        <is>
          <t>ON</t>
        </is>
      </c>
      <c r="I1492" s="24" t="n">
        <v>1132.611974342026</v>
      </c>
      <c r="J1492" s="24" t="n">
        <v>6657.967474874614</v>
      </c>
      <c r="K1492" s="24" t="n">
        <v>3166.666666666667</v>
      </c>
      <c r="L1492" s="24" t="n">
        <v>150</v>
      </c>
      <c r="M1492" s="24">
        <f>I1492+J1492+K1492+L1492</f>
        <v/>
      </c>
      <c r="N1492" s="24">
        <f>M1492*'Dashboard &amp; Optimisation'!$B$18/('Dashboard &amp; Optimisation'!$B$16/3.6)</f>
        <v/>
      </c>
      <c r="O1492" s="24" t="n">
        <v>1038.980770484299</v>
      </c>
      <c r="P1492" s="25" t="n">
        <v>0.0738736568890906</v>
      </c>
      <c r="Q1492" s="26" t="n">
        <v>10.50160824737823</v>
      </c>
      <c r="R1492" s="24" t="n">
        <v>5783.248750068732</v>
      </c>
      <c r="S1492" s="24">
        <f>R1492*IF(A1492=4, 2.0, 3.0)</f>
        <v/>
      </c>
      <c r="T1492" s="22">
        <f>'Dashboard &amp; Optimisation'!$B$18*U1492</f>
        <v/>
      </c>
      <c r="U1492" s="27">
        <f>MIN(1, S1492/M1492)</f>
        <v/>
      </c>
      <c r="V1492" s="27">
        <f>N1492/(N1492+O1492)</f>
        <v/>
      </c>
      <c r="W1492" s="27">
        <f>U1492*V1492</f>
        <v/>
      </c>
      <c r="X1492" s="25">
        <f>T1492/N1492</f>
        <v/>
      </c>
      <c r="Y1492" s="28">
        <f>IF(W1492=MAXIFS(W$2:W$3601, A$2:A$3601, A1492, B$2:B$3601, B1492), "OPTIMAL", "")</f>
        <v/>
      </c>
    </row>
    <row r="1493" ht="20" customHeight="1">
      <c r="A1493" s="29" t="n">
        <v>4</v>
      </c>
      <c r="B1493" s="29" t="n">
        <v>45</v>
      </c>
      <c r="C1493" s="30" t="n">
        <v>85</v>
      </c>
      <c r="D1493" s="30" t="n">
        <v>2</v>
      </c>
      <c r="E1493" s="6" t="n">
        <v>4</v>
      </c>
      <c r="F1493" s="30" t="n">
        <v>2</v>
      </c>
      <c r="G1493" s="6" t="inlineStr">
        <is>
          <t>Non</t>
        </is>
      </c>
      <c r="H1493" s="6" t="inlineStr">
        <is>
          <t>OFF</t>
        </is>
      </c>
      <c r="I1493" s="31" t="n">
        <v>1132.611974342026</v>
      </c>
      <c r="J1493" s="31" t="n">
        <v>6657.967474874614</v>
      </c>
      <c r="K1493" s="31" t="n">
        <v>3166.666666666667</v>
      </c>
      <c r="L1493" s="31" t="n">
        <v>150</v>
      </c>
      <c r="M1493" s="31">
        <f>I1493+J1493+K1493+L1493</f>
        <v/>
      </c>
      <c r="N1493" s="31">
        <f>M1493*'Dashboard &amp; Optimisation'!$B$18/('Dashboard &amp; Optimisation'!$B$16/3.6)</f>
        <v/>
      </c>
      <c r="O1493" s="31" t="n">
        <v>1038.980770484299</v>
      </c>
      <c r="P1493" s="32" t="n">
        <v>0.3377043851842806</v>
      </c>
      <c r="Q1493" s="33" t="n">
        <v>10.50160824737823</v>
      </c>
      <c r="R1493" s="31" t="n">
        <v>1265.099751765753</v>
      </c>
      <c r="S1493" s="31">
        <f>R1493*IF(A1493=4, 2.0, 3.0)</f>
        <v/>
      </c>
      <c r="T1493" s="30">
        <f>'Dashboard &amp; Optimisation'!$B$18*U1493</f>
        <v/>
      </c>
      <c r="U1493" s="34">
        <f>MIN(1, S1493/M1493)</f>
        <v/>
      </c>
      <c r="V1493" s="34">
        <f>N1493/(N1493+O1493)</f>
        <v/>
      </c>
      <c r="W1493" s="34">
        <f>U1493*V1493</f>
        <v/>
      </c>
      <c r="X1493" s="32">
        <f>T1493/N1493</f>
        <v/>
      </c>
      <c r="Y1493" s="35">
        <f>IF(W1493=MAXIFS(W$2:W$3601, A$2:A$3601, A1493, B$2:B$3601, B1493), "OPTIMAL", "")</f>
        <v/>
      </c>
    </row>
    <row r="1494" ht="20" customHeight="1">
      <c r="A1494" s="21" t="n">
        <v>4</v>
      </c>
      <c r="B1494" s="21" t="n">
        <v>45</v>
      </c>
      <c r="C1494" s="22" t="n">
        <v>85</v>
      </c>
      <c r="D1494" s="22" t="n">
        <v>2</v>
      </c>
      <c r="E1494" s="23" t="n">
        <v>8</v>
      </c>
      <c r="F1494" s="22" t="n">
        <v>1.5</v>
      </c>
      <c r="G1494" s="23" t="inlineStr">
        <is>
          <t>Oui</t>
        </is>
      </c>
      <c r="H1494" s="23" t="inlineStr">
        <is>
          <t>ON</t>
        </is>
      </c>
      <c r="I1494" s="24" t="n">
        <v>1132.611974342026</v>
      </c>
      <c r="J1494" s="24" t="n">
        <v>6657.967474874614</v>
      </c>
      <c r="K1494" s="24" t="n">
        <v>3166.666666666667</v>
      </c>
      <c r="L1494" s="24" t="n">
        <v>150</v>
      </c>
      <c r="M1494" s="24">
        <f>I1494+J1494+K1494+L1494</f>
        <v/>
      </c>
      <c r="N1494" s="24">
        <f>M1494*'Dashboard &amp; Optimisation'!$B$18/('Dashboard &amp; Optimisation'!$B$16/3.6)</f>
        <v/>
      </c>
      <c r="O1494" s="24" t="n">
        <v>1291.900986811298</v>
      </c>
      <c r="P1494" s="25" t="n">
        <v>0.05983888553171247</v>
      </c>
      <c r="Q1494" s="26" t="n">
        <v>15.65241237106734</v>
      </c>
      <c r="R1494" s="24" t="n">
        <v>7333.886972010354</v>
      </c>
      <c r="S1494" s="24">
        <f>R1494*IF(A1494=4, 2.0, 3.0)</f>
        <v/>
      </c>
      <c r="T1494" s="22">
        <f>'Dashboard &amp; Optimisation'!$B$18*U1494</f>
        <v/>
      </c>
      <c r="U1494" s="27">
        <f>MIN(1, S1494/M1494)</f>
        <v/>
      </c>
      <c r="V1494" s="27">
        <f>N1494/(N1494+O1494)</f>
        <v/>
      </c>
      <c r="W1494" s="27">
        <f>U1494*V1494</f>
        <v/>
      </c>
      <c r="X1494" s="25">
        <f>T1494/N1494</f>
        <v/>
      </c>
      <c r="Y1494" s="28">
        <f>IF(W1494=MAXIFS(W$2:W$3601, A$2:A$3601, A1494, B$2:B$3601, B1494), "OPTIMAL", "")</f>
        <v/>
      </c>
    </row>
    <row r="1495" ht="20" customHeight="1">
      <c r="A1495" s="29" t="n">
        <v>4</v>
      </c>
      <c r="B1495" s="29" t="n">
        <v>45</v>
      </c>
      <c r="C1495" s="30" t="n">
        <v>85</v>
      </c>
      <c r="D1495" s="30" t="n">
        <v>2</v>
      </c>
      <c r="E1495" s="6" t="n">
        <v>8</v>
      </c>
      <c r="F1495" s="30" t="n">
        <v>1.5</v>
      </c>
      <c r="G1495" s="6" t="inlineStr">
        <is>
          <t>Oui</t>
        </is>
      </c>
      <c r="H1495" s="6" t="inlineStr">
        <is>
          <t>OFF</t>
        </is>
      </c>
      <c r="I1495" s="31" t="n">
        <v>1132.611974342026</v>
      </c>
      <c r="J1495" s="31" t="n">
        <v>6657.967474874614</v>
      </c>
      <c r="K1495" s="31" t="n">
        <v>3166.666666666667</v>
      </c>
      <c r="L1495" s="31" t="n">
        <v>150</v>
      </c>
      <c r="M1495" s="31">
        <f>I1495+J1495+K1495+L1495</f>
        <v/>
      </c>
      <c r="N1495" s="31">
        <f>M1495*'Dashboard &amp; Optimisation'!$B$18/('Dashboard &amp; Optimisation'!$B$16/3.6)</f>
        <v/>
      </c>
      <c r="O1495" s="31" t="n">
        <v>1291.900986811298</v>
      </c>
      <c r="P1495" s="32" t="n">
        <v>0.261849893463025</v>
      </c>
      <c r="Q1495" s="33" t="n">
        <v>15.65241237106734</v>
      </c>
      <c r="R1495" s="31" t="n">
        <v>1675.966398980467</v>
      </c>
      <c r="S1495" s="31">
        <f>R1495*IF(A1495=4, 2.0, 3.0)</f>
        <v/>
      </c>
      <c r="T1495" s="30">
        <f>'Dashboard &amp; Optimisation'!$B$18*U1495</f>
        <v/>
      </c>
      <c r="U1495" s="34">
        <f>MIN(1, S1495/M1495)</f>
        <v/>
      </c>
      <c r="V1495" s="34">
        <f>N1495/(N1495+O1495)</f>
        <v/>
      </c>
      <c r="W1495" s="34">
        <f>U1495*V1495</f>
        <v/>
      </c>
      <c r="X1495" s="32">
        <f>T1495/N1495</f>
        <v/>
      </c>
      <c r="Y1495" s="35">
        <f>IF(W1495=MAXIFS(W$2:W$3601, A$2:A$3601, A1495, B$2:B$3601, B1495), "OPTIMAL", "")</f>
        <v/>
      </c>
    </row>
    <row r="1496" ht="20" customHeight="1">
      <c r="A1496" s="21" t="n">
        <v>4</v>
      </c>
      <c r="B1496" s="21" t="n">
        <v>45</v>
      </c>
      <c r="C1496" s="22" t="n">
        <v>85</v>
      </c>
      <c r="D1496" s="22" t="n">
        <v>2</v>
      </c>
      <c r="E1496" s="23" t="n">
        <v>8</v>
      </c>
      <c r="F1496" s="22" t="n">
        <v>1.5</v>
      </c>
      <c r="G1496" s="23" t="inlineStr">
        <is>
          <t>Non</t>
        </is>
      </c>
      <c r="H1496" s="23" t="inlineStr">
        <is>
          <t>ON</t>
        </is>
      </c>
      <c r="I1496" s="24" t="n">
        <v>1132.611974342026</v>
      </c>
      <c r="J1496" s="24" t="n">
        <v>6657.967474874614</v>
      </c>
      <c r="K1496" s="24" t="n">
        <v>3166.666666666667</v>
      </c>
      <c r="L1496" s="24" t="n">
        <v>150</v>
      </c>
      <c r="M1496" s="24">
        <f>I1496+J1496+K1496+L1496</f>
        <v/>
      </c>
      <c r="N1496" s="24">
        <f>M1496*'Dashboard &amp; Optimisation'!$B$18/('Dashboard &amp; Optimisation'!$B$16/3.6)</f>
        <v/>
      </c>
      <c r="O1496" s="24" t="n">
        <v>1291.900986811298</v>
      </c>
      <c r="P1496" s="25" t="n">
        <v>0.05609406334131493</v>
      </c>
      <c r="Q1496" s="26" t="n">
        <v>15.65241237106734</v>
      </c>
      <c r="R1496" s="24" t="n">
        <v>7823.494981106455</v>
      </c>
      <c r="S1496" s="24">
        <f>R1496*IF(A1496=4, 2.0, 3.0)</f>
        <v/>
      </c>
      <c r="T1496" s="22">
        <f>'Dashboard &amp; Optimisation'!$B$18*U1496</f>
        <v/>
      </c>
      <c r="U1496" s="27">
        <f>MIN(1, S1496/M1496)</f>
        <v/>
      </c>
      <c r="V1496" s="27">
        <f>N1496/(N1496+O1496)</f>
        <v/>
      </c>
      <c r="W1496" s="27">
        <f>U1496*V1496</f>
        <v/>
      </c>
      <c r="X1496" s="25">
        <f>T1496/N1496</f>
        <v/>
      </c>
      <c r="Y1496" s="28">
        <f>IF(W1496=MAXIFS(W$2:W$3601, A$2:A$3601, A1496, B$2:B$3601, B1496), "OPTIMAL", "")</f>
        <v/>
      </c>
    </row>
    <row r="1497" ht="20" customHeight="1">
      <c r="A1497" s="29" t="n">
        <v>4</v>
      </c>
      <c r="B1497" s="29" t="n">
        <v>45</v>
      </c>
      <c r="C1497" s="30" t="n">
        <v>85</v>
      </c>
      <c r="D1497" s="30" t="n">
        <v>2</v>
      </c>
      <c r="E1497" s="6" t="n">
        <v>8</v>
      </c>
      <c r="F1497" s="30" t="n">
        <v>1.5</v>
      </c>
      <c r="G1497" s="6" t="inlineStr">
        <is>
          <t>Non</t>
        </is>
      </c>
      <c r="H1497" s="6" t="inlineStr">
        <is>
          <t>OFF</t>
        </is>
      </c>
      <c r="I1497" s="31" t="n">
        <v>1132.611974342026</v>
      </c>
      <c r="J1497" s="31" t="n">
        <v>6657.967474874614</v>
      </c>
      <c r="K1497" s="31" t="n">
        <v>3166.666666666667</v>
      </c>
      <c r="L1497" s="31" t="n">
        <v>150</v>
      </c>
      <c r="M1497" s="31">
        <f>I1497+J1497+K1497+L1497</f>
        <v/>
      </c>
      <c r="N1497" s="31">
        <f>M1497*'Dashboard &amp; Optimisation'!$B$18/('Dashboard &amp; Optimisation'!$B$16/3.6)</f>
        <v/>
      </c>
      <c r="O1497" s="31" t="n">
        <v>1291.900986811298</v>
      </c>
      <c r="P1497" s="32" t="n">
        <v>0.2581050712726274</v>
      </c>
      <c r="Q1497" s="33" t="n">
        <v>15.65241237106734</v>
      </c>
      <c r="R1497" s="31" t="n">
        <v>1700.28283774828</v>
      </c>
      <c r="S1497" s="31">
        <f>R1497*IF(A1497=4, 2.0, 3.0)</f>
        <v/>
      </c>
      <c r="T1497" s="30">
        <f>'Dashboard &amp; Optimisation'!$B$18*U1497</f>
        <v/>
      </c>
      <c r="U1497" s="34">
        <f>MIN(1, S1497/M1497)</f>
        <v/>
      </c>
      <c r="V1497" s="34">
        <f>N1497/(N1497+O1497)</f>
        <v/>
      </c>
      <c r="W1497" s="34">
        <f>U1497*V1497</f>
        <v/>
      </c>
      <c r="X1497" s="32">
        <f>T1497/N1497</f>
        <v/>
      </c>
      <c r="Y1497" s="35">
        <f>IF(W1497=MAXIFS(W$2:W$3601, A$2:A$3601, A1497, B$2:B$3601, B1497), "OPTIMAL", "")</f>
        <v/>
      </c>
    </row>
    <row r="1498" ht="20" customHeight="1">
      <c r="A1498" s="21" t="n">
        <v>4</v>
      </c>
      <c r="B1498" s="21" t="n">
        <v>45</v>
      </c>
      <c r="C1498" s="22" t="n">
        <v>85</v>
      </c>
      <c r="D1498" s="22" t="n">
        <v>2</v>
      </c>
      <c r="E1498" s="23" t="n">
        <v>8</v>
      </c>
      <c r="F1498" s="22" t="n">
        <v>2</v>
      </c>
      <c r="G1498" s="23" t="inlineStr">
        <is>
          <t>Oui</t>
        </is>
      </c>
      <c r="H1498" s="23" t="inlineStr">
        <is>
          <t>ON</t>
        </is>
      </c>
      <c r="I1498" s="24" t="n">
        <v>1132.611974342026</v>
      </c>
      <c r="J1498" s="24" t="n">
        <v>6657.967474874614</v>
      </c>
      <c r="K1498" s="24" t="n">
        <v>3166.666666666667</v>
      </c>
      <c r="L1498" s="24" t="n">
        <v>150</v>
      </c>
      <c r="M1498" s="24">
        <f>I1498+J1498+K1498+L1498</f>
        <v/>
      </c>
      <c r="N1498" s="24">
        <f>M1498*'Dashboard &amp; Optimisation'!$B$18/('Dashboard &amp; Optimisation'!$B$16/3.6)</f>
        <v/>
      </c>
      <c r="O1498" s="24" t="n">
        <v>1558.966319773131</v>
      </c>
      <c r="P1498" s="25" t="n">
        <v>0.0588807326139491</v>
      </c>
      <c r="Q1498" s="26" t="n">
        <v>20.80321649475646</v>
      </c>
      <c r="R1498" s="24" t="n">
        <v>7661.648755606116</v>
      </c>
      <c r="S1498" s="24">
        <f>R1498*IF(A1498=4, 2.0, 3.0)</f>
        <v/>
      </c>
      <c r="T1498" s="22">
        <f>'Dashboard &amp; Optimisation'!$B$18*U1498</f>
        <v/>
      </c>
      <c r="U1498" s="27">
        <f>MIN(1, S1498/M1498)</f>
        <v/>
      </c>
      <c r="V1498" s="27">
        <f>N1498/(N1498+O1498)</f>
        <v/>
      </c>
      <c r="W1498" s="27">
        <f>U1498*V1498</f>
        <v/>
      </c>
      <c r="X1498" s="25">
        <f>T1498/N1498</f>
        <v/>
      </c>
      <c r="Y1498" s="28">
        <f>IF(W1498=MAXIFS(W$2:W$3601, A$2:A$3601, A1498, B$2:B$3601, B1498), "OPTIMAL", "")</f>
        <v/>
      </c>
    </row>
    <row r="1499" ht="20" customHeight="1">
      <c r="A1499" s="29" t="n">
        <v>4</v>
      </c>
      <c r="B1499" s="29" t="n">
        <v>45</v>
      </c>
      <c r="C1499" s="30" t="n">
        <v>85</v>
      </c>
      <c r="D1499" s="30" t="n">
        <v>2</v>
      </c>
      <c r="E1499" s="6" t="n">
        <v>8</v>
      </c>
      <c r="F1499" s="30" t="n">
        <v>2</v>
      </c>
      <c r="G1499" s="6" t="inlineStr">
        <is>
          <t>Oui</t>
        </is>
      </c>
      <c r="H1499" s="6" t="inlineStr">
        <is>
          <t>OFF</t>
        </is>
      </c>
      <c r="I1499" s="31" t="n">
        <v>1132.611974342026</v>
      </c>
      <c r="J1499" s="31" t="n">
        <v>6657.967474874614</v>
      </c>
      <c r="K1499" s="31" t="n">
        <v>3166.666666666667</v>
      </c>
      <c r="L1499" s="31" t="n">
        <v>150</v>
      </c>
      <c r="M1499" s="31">
        <f>I1499+J1499+K1499+L1499</f>
        <v/>
      </c>
      <c r="N1499" s="31">
        <f>M1499*'Dashboard &amp; Optimisation'!$B$18/('Dashboard &amp; Optimisation'!$B$16/3.6)</f>
        <v/>
      </c>
      <c r="O1499" s="31" t="n">
        <v>1558.966319773131</v>
      </c>
      <c r="P1499" s="32" t="n">
        <v>0.2625350412538471</v>
      </c>
      <c r="Q1499" s="33" t="n">
        <v>20.80321649475646</v>
      </c>
      <c r="R1499" s="31" t="n">
        <v>1718.336301342132</v>
      </c>
      <c r="S1499" s="31">
        <f>R1499*IF(A1499=4, 2.0, 3.0)</f>
        <v/>
      </c>
      <c r="T1499" s="30">
        <f>'Dashboard &amp; Optimisation'!$B$18*U1499</f>
        <v/>
      </c>
      <c r="U1499" s="34">
        <f>MIN(1, S1499/M1499)</f>
        <v/>
      </c>
      <c r="V1499" s="34">
        <f>N1499/(N1499+O1499)</f>
        <v/>
      </c>
      <c r="W1499" s="34">
        <f>U1499*V1499</f>
        <v/>
      </c>
      <c r="X1499" s="32">
        <f>T1499/N1499</f>
        <v/>
      </c>
      <c r="Y1499" s="35">
        <f>IF(W1499=MAXIFS(W$2:W$3601, A$2:A$3601, A1499, B$2:B$3601, B1499), "OPTIMAL", "")</f>
        <v/>
      </c>
    </row>
    <row r="1500" ht="20" customHeight="1">
      <c r="A1500" s="21" t="n">
        <v>4</v>
      </c>
      <c r="B1500" s="21" t="n">
        <v>45</v>
      </c>
      <c r="C1500" s="22" t="n">
        <v>85</v>
      </c>
      <c r="D1500" s="22" t="n">
        <v>2</v>
      </c>
      <c r="E1500" s="23" t="n">
        <v>8</v>
      </c>
      <c r="F1500" s="22" t="n">
        <v>2</v>
      </c>
      <c r="G1500" s="23" t="inlineStr">
        <is>
          <t>Non</t>
        </is>
      </c>
      <c r="H1500" s="23" t="inlineStr">
        <is>
          <t>ON</t>
        </is>
      </c>
      <c r="I1500" s="24" t="n">
        <v>1132.611974342026</v>
      </c>
      <c r="J1500" s="24" t="n">
        <v>6657.967474874614</v>
      </c>
      <c r="K1500" s="24" t="n">
        <v>3166.666666666667</v>
      </c>
      <c r="L1500" s="24" t="n">
        <v>150</v>
      </c>
      <c r="M1500" s="24">
        <f>I1500+J1500+K1500+L1500</f>
        <v/>
      </c>
      <c r="N1500" s="24">
        <f>M1500*'Dashboard &amp; Optimisation'!$B$18/('Dashboard &amp; Optimisation'!$B$16/3.6)</f>
        <v/>
      </c>
      <c r="O1500" s="24" t="n">
        <v>1558.966319773131</v>
      </c>
      <c r="P1500" s="25" t="n">
        <v>0.05513591042355157</v>
      </c>
      <c r="Q1500" s="26" t="n">
        <v>20.80321649475646</v>
      </c>
      <c r="R1500" s="24" t="n">
        <v>8182.026709912458</v>
      </c>
      <c r="S1500" s="24">
        <f>R1500*IF(A1500=4, 2.0, 3.0)</f>
        <v/>
      </c>
      <c r="T1500" s="22">
        <f>'Dashboard &amp; Optimisation'!$B$18*U1500</f>
        <v/>
      </c>
      <c r="U1500" s="27">
        <f>MIN(1, S1500/M1500)</f>
        <v/>
      </c>
      <c r="V1500" s="27">
        <f>N1500/(N1500+O1500)</f>
        <v/>
      </c>
      <c r="W1500" s="27">
        <f>U1500*V1500</f>
        <v/>
      </c>
      <c r="X1500" s="25">
        <f>T1500/N1500</f>
        <v/>
      </c>
      <c r="Y1500" s="28">
        <f>IF(W1500=MAXIFS(W$2:W$3601, A$2:A$3601, A1500, B$2:B$3601, B1500), "OPTIMAL", "")</f>
        <v/>
      </c>
    </row>
    <row r="1501" ht="20" customHeight="1">
      <c r="A1501" s="29" t="n">
        <v>4</v>
      </c>
      <c r="B1501" s="29" t="n">
        <v>45</v>
      </c>
      <c r="C1501" s="30" t="n">
        <v>85</v>
      </c>
      <c r="D1501" s="30" t="n">
        <v>2</v>
      </c>
      <c r="E1501" s="6" t="n">
        <v>8</v>
      </c>
      <c r="F1501" s="30" t="n">
        <v>2</v>
      </c>
      <c r="G1501" s="6" t="inlineStr">
        <is>
          <t>Non</t>
        </is>
      </c>
      <c r="H1501" s="6" t="inlineStr">
        <is>
          <t>OFF</t>
        </is>
      </c>
      <c r="I1501" s="31" t="n">
        <v>1132.611974342026</v>
      </c>
      <c r="J1501" s="31" t="n">
        <v>6657.967474874614</v>
      </c>
      <c r="K1501" s="31" t="n">
        <v>3166.666666666667</v>
      </c>
      <c r="L1501" s="31" t="n">
        <v>150</v>
      </c>
      <c r="M1501" s="31">
        <f>I1501+J1501+K1501+L1501</f>
        <v/>
      </c>
      <c r="N1501" s="31">
        <f>M1501*'Dashboard &amp; Optimisation'!$B$18/('Dashboard &amp; Optimisation'!$B$16/3.6)</f>
        <v/>
      </c>
      <c r="O1501" s="31" t="n">
        <v>1558.966319773131</v>
      </c>
      <c r="P1501" s="32" t="n">
        <v>0.2587902190634496</v>
      </c>
      <c r="Q1501" s="33" t="n">
        <v>20.80321649475646</v>
      </c>
      <c r="R1501" s="31" t="n">
        <v>1743.201475671823</v>
      </c>
      <c r="S1501" s="31">
        <f>R1501*IF(A1501=4, 2.0, 3.0)</f>
        <v/>
      </c>
      <c r="T1501" s="30">
        <f>'Dashboard &amp; Optimisation'!$B$18*U1501</f>
        <v/>
      </c>
      <c r="U1501" s="34">
        <f>MIN(1, S1501/M1501)</f>
        <v/>
      </c>
      <c r="V1501" s="34">
        <f>N1501/(N1501+O1501)</f>
        <v/>
      </c>
      <c r="W1501" s="34">
        <f>U1501*V1501</f>
        <v/>
      </c>
      <c r="X1501" s="32">
        <f>T1501/N1501</f>
        <v/>
      </c>
      <c r="Y1501" s="35">
        <f>IF(W1501=MAXIFS(W$2:W$3601, A$2:A$3601, A1501, B$2:B$3601, B1501), "OPTIMAL", "")</f>
        <v/>
      </c>
    </row>
    <row r="1502" ht="20" customHeight="1">
      <c r="A1502" s="21" t="n">
        <v>4</v>
      </c>
      <c r="B1502" s="21" t="n">
        <v>45</v>
      </c>
      <c r="C1502" s="22" t="n">
        <v>85</v>
      </c>
      <c r="D1502" s="22" t="n">
        <v>3</v>
      </c>
      <c r="E1502" s="23" t="n">
        <v>0</v>
      </c>
      <c r="F1502" s="22" t="n">
        <v>0</v>
      </c>
      <c r="G1502" s="23" t="inlineStr">
        <is>
          <t>Oui</t>
        </is>
      </c>
      <c r="H1502" s="23" t="inlineStr">
        <is>
          <t>ON</t>
        </is>
      </c>
      <c r="I1502" s="24" t="n">
        <v>1132.611974342026</v>
      </c>
      <c r="J1502" s="24" t="n">
        <v>6657.967474874614</v>
      </c>
      <c r="K1502" s="24" t="n">
        <v>3166.666666666667</v>
      </c>
      <c r="L1502" s="24" t="n">
        <v>150</v>
      </c>
      <c r="M1502" s="24">
        <f>I1502+J1502+K1502+L1502</f>
        <v/>
      </c>
      <c r="N1502" s="24">
        <f>M1502*'Dashboard &amp; Optimisation'!$B$18/('Dashboard &amp; Optimisation'!$B$16/3.6)</f>
        <v/>
      </c>
      <c r="O1502" s="24" t="n">
        <v>890.0453428294126</v>
      </c>
      <c r="P1502" s="25" t="n">
        <v>0.4953095672830083</v>
      </c>
      <c r="Q1502" s="26" t="n">
        <v>0.2</v>
      </c>
      <c r="R1502" s="24" t="n">
        <v>861.1655962333065</v>
      </c>
      <c r="S1502" s="24">
        <f>R1502*IF(A1502=4, 2.0, 3.0)</f>
        <v/>
      </c>
      <c r="T1502" s="22">
        <f>'Dashboard &amp; Optimisation'!$B$18*U1502</f>
        <v/>
      </c>
      <c r="U1502" s="27">
        <f>MIN(1, S1502/M1502)</f>
        <v/>
      </c>
      <c r="V1502" s="27">
        <f>N1502/(N1502+O1502)</f>
        <v/>
      </c>
      <c r="W1502" s="27">
        <f>U1502*V1502</f>
        <v/>
      </c>
      <c r="X1502" s="25">
        <f>T1502/N1502</f>
        <v/>
      </c>
      <c r="Y1502" s="28">
        <f>IF(W1502=MAXIFS(W$2:W$3601, A$2:A$3601, A1502, B$2:B$3601, B1502), "OPTIMAL", "")</f>
        <v/>
      </c>
    </row>
    <row r="1503" ht="20" customHeight="1">
      <c r="A1503" s="29" t="n">
        <v>4</v>
      </c>
      <c r="B1503" s="29" t="n">
        <v>45</v>
      </c>
      <c r="C1503" s="30" t="n">
        <v>85</v>
      </c>
      <c r="D1503" s="30" t="n">
        <v>3</v>
      </c>
      <c r="E1503" s="6" t="n">
        <v>0</v>
      </c>
      <c r="F1503" s="30" t="n">
        <v>0</v>
      </c>
      <c r="G1503" s="6" t="inlineStr">
        <is>
          <t>Oui</t>
        </is>
      </c>
      <c r="H1503" s="6" t="inlineStr">
        <is>
          <t>OFF</t>
        </is>
      </c>
      <c r="I1503" s="31" t="n">
        <v>1132.611974342026</v>
      </c>
      <c r="J1503" s="31" t="n">
        <v>6657.967474874614</v>
      </c>
      <c r="K1503" s="31" t="n">
        <v>3166.666666666667</v>
      </c>
      <c r="L1503" s="31" t="n">
        <v>150</v>
      </c>
      <c r="M1503" s="31">
        <f>I1503+J1503+K1503+L1503</f>
        <v/>
      </c>
      <c r="N1503" s="31">
        <f>M1503*'Dashboard &amp; Optimisation'!$B$18/('Dashboard &amp; Optimisation'!$B$16/3.6)</f>
        <v/>
      </c>
      <c r="O1503" s="31" t="n">
        <v>890.0453428294126</v>
      </c>
      <c r="P1503" s="32" t="n">
        <v>0.869791786322762</v>
      </c>
      <c r="Q1503" s="33" t="n">
        <v>0.2</v>
      </c>
      <c r="R1503" s="31" t="n">
        <v>490.3973175380748</v>
      </c>
      <c r="S1503" s="31">
        <f>R1503*IF(A1503=4, 2.0, 3.0)</f>
        <v/>
      </c>
      <c r="T1503" s="30">
        <f>'Dashboard &amp; Optimisation'!$B$18*U1503</f>
        <v/>
      </c>
      <c r="U1503" s="34">
        <f>MIN(1, S1503/M1503)</f>
        <v/>
      </c>
      <c r="V1503" s="34">
        <f>N1503/(N1503+O1503)</f>
        <v/>
      </c>
      <c r="W1503" s="34">
        <f>U1503*V1503</f>
        <v/>
      </c>
      <c r="X1503" s="32">
        <f>T1503/N1503</f>
        <v/>
      </c>
      <c r="Y1503" s="35">
        <f>IF(W1503=MAXIFS(W$2:W$3601, A$2:A$3601, A1503, B$2:B$3601, B1503), "OPTIMAL", "")</f>
        <v/>
      </c>
    </row>
    <row r="1504" ht="20" customHeight="1">
      <c r="A1504" s="21" t="n">
        <v>4</v>
      </c>
      <c r="B1504" s="21" t="n">
        <v>45</v>
      </c>
      <c r="C1504" s="22" t="n">
        <v>85</v>
      </c>
      <c r="D1504" s="22" t="n">
        <v>3</v>
      </c>
      <c r="E1504" s="23" t="n">
        <v>0</v>
      </c>
      <c r="F1504" s="22" t="n">
        <v>0</v>
      </c>
      <c r="G1504" s="23" t="inlineStr">
        <is>
          <t>Non</t>
        </is>
      </c>
      <c r="H1504" s="23" t="inlineStr">
        <is>
          <t>ON</t>
        </is>
      </c>
      <c r="I1504" s="24" t="n">
        <v>1132.611974342026</v>
      </c>
      <c r="J1504" s="24" t="n">
        <v>6657.967474874614</v>
      </c>
      <c r="K1504" s="24" t="n">
        <v>3166.666666666667</v>
      </c>
      <c r="L1504" s="24" t="n">
        <v>150</v>
      </c>
      <c r="M1504" s="24">
        <f>I1504+J1504+K1504+L1504</f>
        <v/>
      </c>
      <c r="N1504" s="24">
        <f>M1504*'Dashboard &amp; Optimisation'!$B$18/('Dashboard &amp; Optimisation'!$B$16/3.6)</f>
        <v/>
      </c>
      <c r="O1504" s="24" t="n">
        <v>890.0453428294126</v>
      </c>
      <c r="P1504" s="25" t="n">
        <v>0.4915647450926108</v>
      </c>
      <c r="Q1504" s="26" t="n">
        <v>0.2</v>
      </c>
      <c r="R1504" s="24" t="n">
        <v>867.7260993340198</v>
      </c>
      <c r="S1504" s="24">
        <f>R1504*IF(A1504=4, 2.0, 3.0)</f>
        <v/>
      </c>
      <c r="T1504" s="22">
        <f>'Dashboard &amp; Optimisation'!$B$18*U1504</f>
        <v/>
      </c>
      <c r="U1504" s="27">
        <f>MIN(1, S1504/M1504)</f>
        <v/>
      </c>
      <c r="V1504" s="27">
        <f>N1504/(N1504+O1504)</f>
        <v/>
      </c>
      <c r="W1504" s="27">
        <f>U1504*V1504</f>
        <v/>
      </c>
      <c r="X1504" s="25">
        <f>T1504/N1504</f>
        <v/>
      </c>
      <c r="Y1504" s="28">
        <f>IF(W1504=MAXIFS(W$2:W$3601, A$2:A$3601, A1504, B$2:B$3601, B1504), "OPTIMAL", "")</f>
        <v/>
      </c>
    </row>
    <row r="1505" ht="20" customHeight="1">
      <c r="A1505" s="29" t="n">
        <v>4</v>
      </c>
      <c r="B1505" s="29" t="n">
        <v>45</v>
      </c>
      <c r="C1505" s="30" t="n">
        <v>85</v>
      </c>
      <c r="D1505" s="30" t="n">
        <v>3</v>
      </c>
      <c r="E1505" s="6" t="n">
        <v>0</v>
      </c>
      <c r="F1505" s="30" t="n">
        <v>0</v>
      </c>
      <c r="G1505" s="6" t="inlineStr">
        <is>
          <t>Non</t>
        </is>
      </c>
      <c r="H1505" s="6" t="inlineStr">
        <is>
          <t>OFF</t>
        </is>
      </c>
      <c r="I1505" s="31" t="n">
        <v>1132.611974342026</v>
      </c>
      <c r="J1505" s="31" t="n">
        <v>6657.967474874614</v>
      </c>
      <c r="K1505" s="31" t="n">
        <v>3166.666666666667</v>
      </c>
      <c r="L1505" s="31" t="n">
        <v>150</v>
      </c>
      <c r="M1505" s="31">
        <f>I1505+J1505+K1505+L1505</f>
        <v/>
      </c>
      <c r="N1505" s="31">
        <f>M1505*'Dashboard &amp; Optimisation'!$B$18/('Dashboard &amp; Optimisation'!$B$16/3.6)</f>
        <v/>
      </c>
      <c r="O1505" s="31" t="n">
        <v>890.0453428294126</v>
      </c>
      <c r="P1505" s="32" t="n">
        <v>0.8660469641323645</v>
      </c>
      <c r="Q1505" s="33" t="n">
        <v>0.2</v>
      </c>
      <c r="R1505" s="31" t="n">
        <v>492.5178154243158</v>
      </c>
      <c r="S1505" s="31">
        <f>R1505*IF(A1505=4, 2.0, 3.0)</f>
        <v/>
      </c>
      <c r="T1505" s="30">
        <f>'Dashboard &amp; Optimisation'!$B$18*U1505</f>
        <v/>
      </c>
      <c r="U1505" s="34">
        <f>MIN(1, S1505/M1505)</f>
        <v/>
      </c>
      <c r="V1505" s="34">
        <f>N1505/(N1505+O1505)</f>
        <v/>
      </c>
      <c r="W1505" s="34">
        <f>U1505*V1505</f>
        <v/>
      </c>
      <c r="X1505" s="32">
        <f>T1505/N1505</f>
        <v/>
      </c>
      <c r="Y1505" s="35">
        <f>IF(W1505=MAXIFS(W$2:W$3601, A$2:A$3601, A1505, B$2:B$3601, B1505), "OPTIMAL", "")</f>
        <v/>
      </c>
    </row>
    <row r="1506" ht="20" customHeight="1">
      <c r="A1506" s="21" t="n">
        <v>4</v>
      </c>
      <c r="B1506" s="21" t="n">
        <v>45</v>
      </c>
      <c r="C1506" s="22" t="n">
        <v>85</v>
      </c>
      <c r="D1506" s="22" t="n">
        <v>3</v>
      </c>
      <c r="E1506" s="23" t="n">
        <v>4</v>
      </c>
      <c r="F1506" s="22" t="n">
        <v>1.5</v>
      </c>
      <c r="G1506" s="23" t="inlineStr">
        <is>
          <t>Oui</t>
        </is>
      </c>
      <c r="H1506" s="23" t="inlineStr">
        <is>
          <t>ON</t>
        </is>
      </c>
      <c r="I1506" s="24" t="n">
        <v>1132.611974342026</v>
      </c>
      <c r="J1506" s="24" t="n">
        <v>6657.967474874614</v>
      </c>
      <c r="K1506" s="24" t="n">
        <v>3166.666666666667</v>
      </c>
      <c r="L1506" s="24" t="n">
        <v>150</v>
      </c>
      <c r="M1506" s="24">
        <f>I1506+J1506+K1506+L1506</f>
        <v/>
      </c>
      <c r="N1506" s="24">
        <f>M1506*'Dashboard &amp; Optimisation'!$B$18/('Dashboard &amp; Optimisation'!$B$16/3.6)</f>
        <v/>
      </c>
      <c r="O1506" s="24" t="n">
        <v>1260.821040412361</v>
      </c>
      <c r="P1506" s="25" t="n">
        <v>0.07960669836162382</v>
      </c>
      <c r="Q1506" s="26" t="n">
        <v>8.12180634212946</v>
      </c>
      <c r="R1506" s="24" t="n">
        <v>5573.73237605062</v>
      </c>
      <c r="S1506" s="24">
        <f>R1506*IF(A1506=4, 2.0, 3.0)</f>
        <v/>
      </c>
      <c r="T1506" s="22">
        <f>'Dashboard &amp; Optimisation'!$B$18*U1506</f>
        <v/>
      </c>
      <c r="U1506" s="27">
        <f>MIN(1, S1506/M1506)</f>
        <v/>
      </c>
      <c r="V1506" s="27">
        <f>N1506/(N1506+O1506)</f>
        <v/>
      </c>
      <c r="W1506" s="27">
        <f>U1506*V1506</f>
        <v/>
      </c>
      <c r="X1506" s="25">
        <f>T1506/N1506</f>
        <v/>
      </c>
      <c r="Y1506" s="28">
        <f>IF(W1506=MAXIFS(W$2:W$3601, A$2:A$3601, A1506, B$2:B$3601, B1506), "OPTIMAL", "")</f>
        <v/>
      </c>
    </row>
    <row r="1507" ht="20" customHeight="1">
      <c r="A1507" s="29" t="n">
        <v>4</v>
      </c>
      <c r="B1507" s="29" t="n">
        <v>45</v>
      </c>
      <c r="C1507" s="30" t="n">
        <v>85</v>
      </c>
      <c r="D1507" s="30" t="n">
        <v>3</v>
      </c>
      <c r="E1507" s="6" t="n">
        <v>4</v>
      </c>
      <c r="F1507" s="30" t="n">
        <v>1.5</v>
      </c>
      <c r="G1507" s="6" t="inlineStr">
        <is>
          <t>Oui</t>
        </is>
      </c>
      <c r="H1507" s="6" t="inlineStr">
        <is>
          <t>OFF</t>
        </is>
      </c>
      <c r="I1507" s="31" t="n">
        <v>1132.611974342026</v>
      </c>
      <c r="J1507" s="31" t="n">
        <v>6657.967474874614</v>
      </c>
      <c r="K1507" s="31" t="n">
        <v>3166.666666666667</v>
      </c>
      <c r="L1507" s="31" t="n">
        <v>150</v>
      </c>
      <c r="M1507" s="31">
        <f>I1507+J1507+K1507+L1507</f>
        <v/>
      </c>
      <c r="N1507" s="31">
        <f>M1507*'Dashboard &amp; Optimisation'!$B$18/('Dashboard &amp; Optimisation'!$B$16/3.6)</f>
        <v/>
      </c>
      <c r="O1507" s="31" t="n">
        <v>1260.821040412361</v>
      </c>
      <c r="P1507" s="32" t="n">
        <v>0.3420549766963435</v>
      </c>
      <c r="Q1507" s="33" t="n">
        <v>8.12180634212946</v>
      </c>
      <c r="R1507" s="31" t="n">
        <v>1297.178705873867</v>
      </c>
      <c r="S1507" s="31">
        <f>R1507*IF(A1507=4, 2.0, 3.0)</f>
        <v/>
      </c>
      <c r="T1507" s="30">
        <f>'Dashboard &amp; Optimisation'!$B$18*U1507</f>
        <v/>
      </c>
      <c r="U1507" s="34">
        <f>MIN(1, S1507/M1507)</f>
        <v/>
      </c>
      <c r="V1507" s="34">
        <f>N1507/(N1507+O1507)</f>
        <v/>
      </c>
      <c r="W1507" s="34">
        <f>U1507*V1507</f>
        <v/>
      </c>
      <c r="X1507" s="32">
        <f>T1507/N1507</f>
        <v/>
      </c>
      <c r="Y1507" s="35">
        <f>IF(W1507=MAXIFS(W$2:W$3601, A$2:A$3601, A1507, B$2:B$3601, B1507), "OPTIMAL", "")</f>
        <v/>
      </c>
    </row>
    <row r="1508" ht="20" customHeight="1">
      <c r="A1508" s="21" t="n">
        <v>4</v>
      </c>
      <c r="B1508" s="21" t="n">
        <v>45</v>
      </c>
      <c r="C1508" s="22" t="n">
        <v>85</v>
      </c>
      <c r="D1508" s="22" t="n">
        <v>3</v>
      </c>
      <c r="E1508" s="23" t="n">
        <v>4</v>
      </c>
      <c r="F1508" s="22" t="n">
        <v>1.5</v>
      </c>
      <c r="G1508" s="23" t="inlineStr">
        <is>
          <t>Non</t>
        </is>
      </c>
      <c r="H1508" s="23" t="inlineStr">
        <is>
          <t>ON</t>
        </is>
      </c>
      <c r="I1508" s="24" t="n">
        <v>1132.611974342026</v>
      </c>
      <c r="J1508" s="24" t="n">
        <v>6657.967474874614</v>
      </c>
      <c r="K1508" s="24" t="n">
        <v>3166.666666666667</v>
      </c>
      <c r="L1508" s="24" t="n">
        <v>150</v>
      </c>
      <c r="M1508" s="24">
        <f>I1508+J1508+K1508+L1508</f>
        <v/>
      </c>
      <c r="N1508" s="24">
        <f>M1508*'Dashboard &amp; Optimisation'!$B$18/('Dashboard &amp; Optimisation'!$B$16/3.6)</f>
        <v/>
      </c>
      <c r="O1508" s="24" t="n">
        <v>1260.821040412361</v>
      </c>
      <c r="P1508" s="25" t="n">
        <v>0.07586187617122628</v>
      </c>
      <c r="Q1508" s="26" t="n">
        <v>8.12180634212946</v>
      </c>
      <c r="R1508" s="24" t="n">
        <v>5848.8723770448</v>
      </c>
      <c r="S1508" s="24">
        <f>R1508*IF(A1508=4, 2.0, 3.0)</f>
        <v/>
      </c>
      <c r="T1508" s="22">
        <f>'Dashboard &amp; Optimisation'!$B$18*U1508</f>
        <v/>
      </c>
      <c r="U1508" s="27">
        <f>MIN(1, S1508/M1508)</f>
        <v/>
      </c>
      <c r="V1508" s="27">
        <f>N1508/(N1508+O1508)</f>
        <v/>
      </c>
      <c r="W1508" s="27">
        <f>U1508*V1508</f>
        <v/>
      </c>
      <c r="X1508" s="25">
        <f>T1508/N1508</f>
        <v/>
      </c>
      <c r="Y1508" s="28">
        <f>IF(W1508=MAXIFS(W$2:W$3601, A$2:A$3601, A1508, B$2:B$3601, B1508), "OPTIMAL", "")</f>
        <v/>
      </c>
    </row>
    <row r="1509" ht="20" customHeight="1">
      <c r="A1509" s="29" t="n">
        <v>4</v>
      </c>
      <c r="B1509" s="29" t="n">
        <v>45</v>
      </c>
      <c r="C1509" s="30" t="n">
        <v>85</v>
      </c>
      <c r="D1509" s="30" t="n">
        <v>3</v>
      </c>
      <c r="E1509" s="6" t="n">
        <v>4</v>
      </c>
      <c r="F1509" s="30" t="n">
        <v>1.5</v>
      </c>
      <c r="G1509" s="6" t="inlineStr">
        <is>
          <t>Non</t>
        </is>
      </c>
      <c r="H1509" s="6" t="inlineStr">
        <is>
          <t>OFF</t>
        </is>
      </c>
      <c r="I1509" s="31" t="n">
        <v>1132.611974342026</v>
      </c>
      <c r="J1509" s="31" t="n">
        <v>6657.967474874614</v>
      </c>
      <c r="K1509" s="31" t="n">
        <v>3166.666666666667</v>
      </c>
      <c r="L1509" s="31" t="n">
        <v>150</v>
      </c>
      <c r="M1509" s="31">
        <f>I1509+J1509+K1509+L1509</f>
        <v/>
      </c>
      <c r="N1509" s="31">
        <f>M1509*'Dashboard &amp; Optimisation'!$B$18/('Dashboard &amp; Optimisation'!$B$16/3.6)</f>
        <v/>
      </c>
      <c r="O1509" s="31" t="n">
        <v>1260.821040412361</v>
      </c>
      <c r="P1509" s="32" t="n">
        <v>0.338310154505946</v>
      </c>
      <c r="Q1509" s="33" t="n">
        <v>8.12180634212946</v>
      </c>
      <c r="R1509" s="31" t="n">
        <v>1311.537434212251</v>
      </c>
      <c r="S1509" s="31">
        <f>R1509*IF(A1509=4, 2.0, 3.0)</f>
        <v/>
      </c>
      <c r="T1509" s="30">
        <f>'Dashboard &amp; Optimisation'!$B$18*U1509</f>
        <v/>
      </c>
      <c r="U1509" s="34">
        <f>MIN(1, S1509/M1509)</f>
        <v/>
      </c>
      <c r="V1509" s="34">
        <f>N1509/(N1509+O1509)</f>
        <v/>
      </c>
      <c r="W1509" s="34">
        <f>U1509*V1509</f>
        <v/>
      </c>
      <c r="X1509" s="32">
        <f>T1509/N1509</f>
        <v/>
      </c>
      <c r="Y1509" s="35">
        <f>IF(W1509=MAXIFS(W$2:W$3601, A$2:A$3601, A1509, B$2:B$3601, B1509), "OPTIMAL", "")</f>
        <v/>
      </c>
    </row>
    <row r="1510" ht="20" customHeight="1">
      <c r="A1510" s="21" t="n">
        <v>4</v>
      </c>
      <c r="B1510" s="21" t="n">
        <v>45</v>
      </c>
      <c r="C1510" s="22" t="n">
        <v>85</v>
      </c>
      <c r="D1510" s="22" t="n">
        <v>3</v>
      </c>
      <c r="E1510" s="23" t="n">
        <v>4</v>
      </c>
      <c r="F1510" s="22" t="n">
        <v>2</v>
      </c>
      <c r="G1510" s="23" t="inlineStr">
        <is>
          <t>Oui</t>
        </is>
      </c>
      <c r="H1510" s="23" t="inlineStr">
        <is>
          <t>ON</t>
        </is>
      </c>
      <c r="I1510" s="24" t="n">
        <v>1132.611974342026</v>
      </c>
      <c r="J1510" s="24" t="n">
        <v>6657.967474874614</v>
      </c>
      <c r="K1510" s="24" t="n">
        <v>3166.666666666667</v>
      </c>
      <c r="L1510" s="24" t="n">
        <v>150</v>
      </c>
      <c r="M1510" s="24">
        <f>I1510+J1510+K1510+L1510</f>
        <v/>
      </c>
      <c r="N1510" s="24">
        <f>M1510*'Dashboard &amp; Optimisation'!$B$18/('Dashboard &amp; Optimisation'!$B$16/3.6)</f>
        <v/>
      </c>
      <c r="O1510" s="24" t="n">
        <v>1391.133719610119</v>
      </c>
      <c r="P1510" s="25" t="n">
        <v>0.07745426381627818</v>
      </c>
      <c r="Q1510" s="26" t="n">
        <v>10.76240845617261</v>
      </c>
      <c r="R1510" s="24" t="n">
        <v>5806.503947369504</v>
      </c>
      <c r="S1510" s="24">
        <f>R1510*IF(A1510=4, 2.0, 3.0)</f>
        <v/>
      </c>
      <c r="T1510" s="22">
        <f>'Dashboard &amp; Optimisation'!$B$18*U1510</f>
        <v/>
      </c>
      <c r="U1510" s="27">
        <f>MIN(1, S1510/M1510)</f>
        <v/>
      </c>
      <c r="V1510" s="27">
        <f>N1510/(N1510+O1510)</f>
        <v/>
      </c>
      <c r="W1510" s="27">
        <f>U1510*V1510</f>
        <v/>
      </c>
      <c r="X1510" s="25">
        <f>T1510/N1510</f>
        <v/>
      </c>
      <c r="Y1510" s="28">
        <f>IF(W1510=MAXIFS(W$2:W$3601, A$2:A$3601, A1510, B$2:B$3601, B1510), "OPTIMAL", "")</f>
        <v/>
      </c>
    </row>
    <row r="1511" ht="20" customHeight="1">
      <c r="A1511" s="29" t="n">
        <v>4</v>
      </c>
      <c r="B1511" s="29" t="n">
        <v>45</v>
      </c>
      <c r="C1511" s="30" t="n">
        <v>85</v>
      </c>
      <c r="D1511" s="30" t="n">
        <v>3</v>
      </c>
      <c r="E1511" s="6" t="n">
        <v>4</v>
      </c>
      <c r="F1511" s="30" t="n">
        <v>2</v>
      </c>
      <c r="G1511" s="6" t="inlineStr">
        <is>
          <t>Oui</t>
        </is>
      </c>
      <c r="H1511" s="6" t="inlineStr">
        <is>
          <t>OFF</t>
        </is>
      </c>
      <c r="I1511" s="31" t="n">
        <v>1132.611974342026</v>
      </c>
      <c r="J1511" s="31" t="n">
        <v>6657.967474874614</v>
      </c>
      <c r="K1511" s="31" t="n">
        <v>3166.666666666667</v>
      </c>
      <c r="L1511" s="31" t="n">
        <v>150</v>
      </c>
      <c r="M1511" s="31">
        <f>I1511+J1511+K1511+L1511</f>
        <v/>
      </c>
      <c r="N1511" s="31">
        <f>M1511*'Dashboard &amp; Optimisation'!$B$18/('Dashboard &amp; Optimisation'!$B$16/3.6)</f>
        <v/>
      </c>
      <c r="O1511" s="31" t="n">
        <v>1391.133719610119</v>
      </c>
      <c r="P1511" s="32" t="n">
        <v>0.3412849921114681</v>
      </c>
      <c r="Q1511" s="33" t="n">
        <v>10.76240845617261</v>
      </c>
      <c r="R1511" s="31" t="n">
        <v>1317.77985843259</v>
      </c>
      <c r="S1511" s="31">
        <f>R1511*IF(A1511=4, 2.0, 3.0)</f>
        <v/>
      </c>
      <c r="T1511" s="30">
        <f>'Dashboard &amp; Optimisation'!$B$18*U1511</f>
        <v/>
      </c>
      <c r="U1511" s="34">
        <f>MIN(1, S1511/M1511)</f>
        <v/>
      </c>
      <c r="V1511" s="34">
        <f>N1511/(N1511+O1511)</f>
        <v/>
      </c>
      <c r="W1511" s="34">
        <f>U1511*V1511</f>
        <v/>
      </c>
      <c r="X1511" s="32">
        <f>T1511/N1511</f>
        <v/>
      </c>
      <c r="Y1511" s="35">
        <f>IF(W1511=MAXIFS(W$2:W$3601, A$2:A$3601, A1511, B$2:B$3601, B1511), "OPTIMAL", "")</f>
        <v/>
      </c>
    </row>
    <row r="1512" ht="20" customHeight="1">
      <c r="A1512" s="21" t="n">
        <v>4</v>
      </c>
      <c r="B1512" s="21" t="n">
        <v>45</v>
      </c>
      <c r="C1512" s="22" t="n">
        <v>85</v>
      </c>
      <c r="D1512" s="22" t="n">
        <v>3</v>
      </c>
      <c r="E1512" s="23" t="n">
        <v>4</v>
      </c>
      <c r="F1512" s="22" t="n">
        <v>2</v>
      </c>
      <c r="G1512" s="23" t="inlineStr">
        <is>
          <t>Non</t>
        </is>
      </c>
      <c r="H1512" s="23" t="inlineStr">
        <is>
          <t>ON</t>
        </is>
      </c>
      <c r="I1512" s="24" t="n">
        <v>1132.611974342026</v>
      </c>
      <c r="J1512" s="24" t="n">
        <v>6657.967474874614</v>
      </c>
      <c r="K1512" s="24" t="n">
        <v>3166.666666666667</v>
      </c>
      <c r="L1512" s="24" t="n">
        <v>150</v>
      </c>
      <c r="M1512" s="24">
        <f>I1512+J1512+K1512+L1512</f>
        <v/>
      </c>
      <c r="N1512" s="24">
        <f>M1512*'Dashboard &amp; Optimisation'!$B$18/('Dashboard &amp; Optimisation'!$B$16/3.6)</f>
        <v/>
      </c>
      <c r="O1512" s="24" t="n">
        <v>1391.133719610119</v>
      </c>
      <c r="P1512" s="25" t="n">
        <v>0.07370944162588064</v>
      </c>
      <c r="Q1512" s="26" t="n">
        <v>10.76240845617261</v>
      </c>
      <c r="R1512" s="24" t="n">
        <v>6101.504483950769</v>
      </c>
      <c r="S1512" s="24">
        <f>R1512*IF(A1512=4, 2.0, 3.0)</f>
        <v/>
      </c>
      <c r="T1512" s="22">
        <f>'Dashboard &amp; Optimisation'!$B$18*U1512</f>
        <v/>
      </c>
      <c r="U1512" s="27">
        <f>MIN(1, S1512/M1512)</f>
        <v/>
      </c>
      <c r="V1512" s="27">
        <f>N1512/(N1512+O1512)</f>
        <v/>
      </c>
      <c r="W1512" s="27">
        <f>U1512*V1512</f>
        <v/>
      </c>
      <c r="X1512" s="25">
        <f>T1512/N1512</f>
        <v/>
      </c>
      <c r="Y1512" s="28">
        <f>IF(W1512=MAXIFS(W$2:W$3601, A$2:A$3601, A1512, B$2:B$3601, B1512), "OPTIMAL", "")</f>
        <v/>
      </c>
    </row>
    <row r="1513" ht="20" customHeight="1">
      <c r="A1513" s="29" t="n">
        <v>4</v>
      </c>
      <c r="B1513" s="29" t="n">
        <v>45</v>
      </c>
      <c r="C1513" s="30" t="n">
        <v>85</v>
      </c>
      <c r="D1513" s="30" t="n">
        <v>3</v>
      </c>
      <c r="E1513" s="6" t="n">
        <v>4</v>
      </c>
      <c r="F1513" s="30" t="n">
        <v>2</v>
      </c>
      <c r="G1513" s="6" t="inlineStr">
        <is>
          <t>Non</t>
        </is>
      </c>
      <c r="H1513" s="6" t="inlineStr">
        <is>
          <t>OFF</t>
        </is>
      </c>
      <c r="I1513" s="31" t="n">
        <v>1132.611974342026</v>
      </c>
      <c r="J1513" s="31" t="n">
        <v>6657.967474874614</v>
      </c>
      <c r="K1513" s="31" t="n">
        <v>3166.666666666667</v>
      </c>
      <c r="L1513" s="31" t="n">
        <v>150</v>
      </c>
      <c r="M1513" s="31">
        <f>I1513+J1513+K1513+L1513</f>
        <v/>
      </c>
      <c r="N1513" s="31">
        <f>M1513*'Dashboard &amp; Optimisation'!$B$18/('Dashboard &amp; Optimisation'!$B$16/3.6)</f>
        <v/>
      </c>
      <c r="O1513" s="31" t="n">
        <v>1391.133719610119</v>
      </c>
      <c r="P1513" s="32" t="n">
        <v>0.3375401699210706</v>
      </c>
      <c r="Q1513" s="33" t="n">
        <v>10.76240845617261</v>
      </c>
      <c r="R1513" s="31" t="n">
        <v>1332.399899825208</v>
      </c>
      <c r="S1513" s="31">
        <f>R1513*IF(A1513=4, 2.0, 3.0)</f>
        <v/>
      </c>
      <c r="T1513" s="30">
        <f>'Dashboard &amp; Optimisation'!$B$18*U1513</f>
        <v/>
      </c>
      <c r="U1513" s="34">
        <f>MIN(1, S1513/M1513)</f>
        <v/>
      </c>
      <c r="V1513" s="34">
        <f>N1513/(N1513+O1513)</f>
        <v/>
      </c>
      <c r="W1513" s="34">
        <f>U1513*V1513</f>
        <v/>
      </c>
      <c r="X1513" s="32">
        <f>T1513/N1513</f>
        <v/>
      </c>
      <c r="Y1513" s="35">
        <f>IF(W1513=MAXIFS(W$2:W$3601, A$2:A$3601, A1513, B$2:B$3601, B1513), "OPTIMAL", "")</f>
        <v/>
      </c>
    </row>
    <row r="1514" ht="20" customHeight="1">
      <c r="A1514" s="21" t="n">
        <v>4</v>
      </c>
      <c r="B1514" s="21" t="n">
        <v>45</v>
      </c>
      <c r="C1514" s="22" t="n">
        <v>85</v>
      </c>
      <c r="D1514" s="22" t="n">
        <v>3</v>
      </c>
      <c r="E1514" s="23" t="n">
        <v>8</v>
      </c>
      <c r="F1514" s="22" t="n">
        <v>1.5</v>
      </c>
      <c r="G1514" s="23" t="inlineStr">
        <is>
          <t>Oui</t>
        </is>
      </c>
      <c r="H1514" s="23" t="inlineStr">
        <is>
          <t>ON</t>
        </is>
      </c>
      <c r="I1514" s="24" t="n">
        <v>1132.611974342026</v>
      </c>
      <c r="J1514" s="24" t="n">
        <v>6657.967474874614</v>
      </c>
      <c r="K1514" s="24" t="n">
        <v>3166.666666666667</v>
      </c>
      <c r="L1514" s="24" t="n">
        <v>150</v>
      </c>
      <c r="M1514" s="24">
        <f>I1514+J1514+K1514+L1514</f>
        <v/>
      </c>
      <c r="N1514" s="24">
        <f>M1514*'Dashboard &amp; Optimisation'!$B$18/('Dashboard &amp; Optimisation'!$B$16/3.6)</f>
        <v/>
      </c>
      <c r="O1514" s="24" t="n">
        <v>1662.68553382111</v>
      </c>
      <c r="P1514" s="25" t="n">
        <v>0.05973432874252066</v>
      </c>
      <c r="Q1514" s="26" t="n">
        <v>16.04361268425892</v>
      </c>
      <c r="R1514" s="24" t="n">
        <v>7739.408599465494</v>
      </c>
      <c r="S1514" s="24">
        <f>R1514*IF(A1514=4, 2.0, 3.0)</f>
        <v/>
      </c>
      <c r="T1514" s="22">
        <f>'Dashboard &amp; Optimisation'!$B$18*U1514</f>
        <v/>
      </c>
      <c r="U1514" s="27">
        <f>MIN(1, S1514/M1514)</f>
        <v/>
      </c>
      <c r="V1514" s="27">
        <f>N1514/(N1514+O1514)</f>
        <v/>
      </c>
      <c r="W1514" s="27">
        <f>U1514*V1514</f>
        <v/>
      </c>
      <c r="X1514" s="25">
        <f>T1514/N1514</f>
        <v/>
      </c>
      <c r="Y1514" s="28">
        <f>IF(W1514=MAXIFS(W$2:W$3601, A$2:A$3601, A1514, B$2:B$3601, B1514), "OPTIMAL", "")</f>
        <v/>
      </c>
    </row>
    <row r="1515" ht="20" customHeight="1">
      <c r="A1515" s="29" t="n">
        <v>4</v>
      </c>
      <c r="B1515" s="29" t="n">
        <v>45</v>
      </c>
      <c r="C1515" s="30" t="n">
        <v>85</v>
      </c>
      <c r="D1515" s="30" t="n">
        <v>3</v>
      </c>
      <c r="E1515" s="6" t="n">
        <v>8</v>
      </c>
      <c r="F1515" s="30" t="n">
        <v>1.5</v>
      </c>
      <c r="G1515" s="6" t="inlineStr">
        <is>
          <t>Oui</t>
        </is>
      </c>
      <c r="H1515" s="6" t="inlineStr">
        <is>
          <t>OFF</t>
        </is>
      </c>
      <c r="I1515" s="31" t="n">
        <v>1132.611974342026</v>
      </c>
      <c r="J1515" s="31" t="n">
        <v>6657.967474874614</v>
      </c>
      <c r="K1515" s="31" t="n">
        <v>3166.666666666667</v>
      </c>
      <c r="L1515" s="31" t="n">
        <v>150</v>
      </c>
      <c r="M1515" s="31">
        <f>I1515+J1515+K1515+L1515</f>
        <v/>
      </c>
      <c r="N1515" s="31">
        <f>M1515*'Dashboard &amp; Optimisation'!$B$18/('Dashboard &amp; Optimisation'!$B$16/3.6)</f>
        <v/>
      </c>
      <c r="O1515" s="31" t="n">
        <v>1662.68553382111</v>
      </c>
      <c r="P1515" s="32" t="n">
        <v>0.2617453366738331</v>
      </c>
      <c r="Q1515" s="33" t="n">
        <v>16.04361268425892</v>
      </c>
      <c r="R1515" s="31" t="n">
        <v>1766.252585157826</v>
      </c>
      <c r="S1515" s="31">
        <f>R1515*IF(A1515=4, 2.0, 3.0)</f>
        <v/>
      </c>
      <c r="T1515" s="30">
        <f>'Dashboard &amp; Optimisation'!$B$18*U1515</f>
        <v/>
      </c>
      <c r="U1515" s="34">
        <f>MIN(1, S1515/M1515)</f>
        <v/>
      </c>
      <c r="V1515" s="34">
        <f>N1515/(N1515+O1515)</f>
        <v/>
      </c>
      <c r="W1515" s="34">
        <f>U1515*V1515</f>
        <v/>
      </c>
      <c r="X1515" s="32">
        <f>T1515/N1515</f>
        <v/>
      </c>
      <c r="Y1515" s="35">
        <f>IF(W1515=MAXIFS(W$2:W$3601, A$2:A$3601, A1515, B$2:B$3601, B1515), "OPTIMAL", "")</f>
        <v/>
      </c>
    </row>
    <row r="1516" ht="20" customHeight="1">
      <c r="A1516" s="21" t="n">
        <v>4</v>
      </c>
      <c r="B1516" s="21" t="n">
        <v>45</v>
      </c>
      <c r="C1516" s="22" t="n">
        <v>85</v>
      </c>
      <c r="D1516" s="22" t="n">
        <v>3</v>
      </c>
      <c r="E1516" s="23" t="n">
        <v>8</v>
      </c>
      <c r="F1516" s="22" t="n">
        <v>1.5</v>
      </c>
      <c r="G1516" s="23" t="inlineStr">
        <is>
          <t>Non</t>
        </is>
      </c>
      <c r="H1516" s="23" t="inlineStr">
        <is>
          <t>ON</t>
        </is>
      </c>
      <c r="I1516" s="24" t="n">
        <v>1132.611974342026</v>
      </c>
      <c r="J1516" s="24" t="n">
        <v>6657.967474874614</v>
      </c>
      <c r="K1516" s="24" t="n">
        <v>3166.666666666667</v>
      </c>
      <c r="L1516" s="24" t="n">
        <v>150</v>
      </c>
      <c r="M1516" s="24">
        <f>I1516+J1516+K1516+L1516</f>
        <v/>
      </c>
      <c r="N1516" s="24">
        <f>M1516*'Dashboard &amp; Optimisation'!$B$18/('Dashboard &amp; Optimisation'!$B$16/3.6)</f>
        <v/>
      </c>
      <c r="O1516" s="24" t="n">
        <v>1662.68553382111</v>
      </c>
      <c r="P1516" s="25" t="n">
        <v>0.05598950655212312</v>
      </c>
      <c r="Q1516" s="26" t="n">
        <v>16.04361268425892</v>
      </c>
      <c r="R1516" s="24" t="n">
        <v>8257.053973547343</v>
      </c>
      <c r="S1516" s="24">
        <f>R1516*IF(A1516=4, 2.0, 3.0)</f>
        <v/>
      </c>
      <c r="T1516" s="22">
        <f>'Dashboard &amp; Optimisation'!$B$18*U1516</f>
        <v/>
      </c>
      <c r="U1516" s="27">
        <f>MIN(1, S1516/M1516)</f>
        <v/>
      </c>
      <c r="V1516" s="27">
        <f>N1516/(N1516+O1516)</f>
        <v/>
      </c>
      <c r="W1516" s="27">
        <f>U1516*V1516</f>
        <v/>
      </c>
      <c r="X1516" s="25">
        <f>T1516/N1516</f>
        <v/>
      </c>
      <c r="Y1516" s="28">
        <f>IF(W1516=MAXIFS(W$2:W$3601, A$2:A$3601, A1516, B$2:B$3601, B1516), "OPTIMAL", "")</f>
        <v/>
      </c>
    </row>
    <row r="1517" ht="20" customHeight="1">
      <c r="A1517" s="29" t="n">
        <v>4</v>
      </c>
      <c r="B1517" s="29" t="n">
        <v>45</v>
      </c>
      <c r="C1517" s="30" t="n">
        <v>85</v>
      </c>
      <c r="D1517" s="30" t="n">
        <v>3</v>
      </c>
      <c r="E1517" s="6" t="n">
        <v>8</v>
      </c>
      <c r="F1517" s="30" t="n">
        <v>1.5</v>
      </c>
      <c r="G1517" s="6" t="inlineStr">
        <is>
          <t>Non</t>
        </is>
      </c>
      <c r="H1517" s="6" t="inlineStr">
        <is>
          <t>OFF</t>
        </is>
      </c>
      <c r="I1517" s="31" t="n">
        <v>1132.611974342026</v>
      </c>
      <c r="J1517" s="31" t="n">
        <v>6657.967474874614</v>
      </c>
      <c r="K1517" s="31" t="n">
        <v>3166.666666666667</v>
      </c>
      <c r="L1517" s="31" t="n">
        <v>150</v>
      </c>
      <c r="M1517" s="31">
        <f>I1517+J1517+K1517+L1517</f>
        <v/>
      </c>
      <c r="N1517" s="31">
        <f>M1517*'Dashboard &amp; Optimisation'!$B$18/('Dashboard &amp; Optimisation'!$B$16/3.6)</f>
        <v/>
      </c>
      <c r="O1517" s="31" t="n">
        <v>1662.68553382111</v>
      </c>
      <c r="P1517" s="32" t="n">
        <v>0.2580005144834356</v>
      </c>
      <c r="Q1517" s="33" t="n">
        <v>16.04361268425892</v>
      </c>
      <c r="R1517" s="31" t="n">
        <v>1791.889363006851</v>
      </c>
      <c r="S1517" s="31">
        <f>R1517*IF(A1517=4, 2.0, 3.0)</f>
        <v/>
      </c>
      <c r="T1517" s="30">
        <f>'Dashboard &amp; Optimisation'!$B$18*U1517</f>
        <v/>
      </c>
      <c r="U1517" s="34">
        <f>MIN(1, S1517/M1517)</f>
        <v/>
      </c>
      <c r="V1517" s="34">
        <f>N1517/(N1517+O1517)</f>
        <v/>
      </c>
      <c r="W1517" s="34">
        <f>U1517*V1517</f>
        <v/>
      </c>
      <c r="X1517" s="32">
        <f>T1517/N1517</f>
        <v/>
      </c>
      <c r="Y1517" s="35">
        <f>IF(W1517=MAXIFS(W$2:W$3601, A$2:A$3601, A1517, B$2:B$3601, B1517), "OPTIMAL", "")</f>
        <v/>
      </c>
    </row>
    <row r="1518" ht="20" customHeight="1">
      <c r="A1518" s="21" t="n">
        <v>4</v>
      </c>
      <c r="B1518" s="21" t="n">
        <v>45</v>
      </c>
      <c r="C1518" s="22" t="n">
        <v>85</v>
      </c>
      <c r="D1518" s="22" t="n">
        <v>3</v>
      </c>
      <c r="E1518" s="23" t="n">
        <v>8</v>
      </c>
      <c r="F1518" s="22" t="n">
        <v>2</v>
      </c>
      <c r="G1518" s="23" t="inlineStr">
        <is>
          <t>Oui</t>
        </is>
      </c>
      <c r="H1518" s="23" t="inlineStr">
        <is>
          <t>ON</t>
        </is>
      </c>
      <c r="I1518" s="24" t="n">
        <v>1132.611974342026</v>
      </c>
      <c r="J1518" s="24" t="n">
        <v>6657.967474874614</v>
      </c>
      <c r="K1518" s="24" t="n">
        <v>3166.666666666667</v>
      </c>
      <c r="L1518" s="24" t="n">
        <v>150</v>
      </c>
      <c r="M1518" s="24">
        <f>I1518+J1518+K1518+L1518</f>
        <v/>
      </c>
      <c r="N1518" s="24">
        <f>M1518*'Dashboard &amp; Optimisation'!$B$18/('Dashboard &amp; Optimisation'!$B$16/3.6)</f>
        <v/>
      </c>
      <c r="O1518" s="24" t="n">
        <v>1949.853182084885</v>
      </c>
      <c r="P1518" s="25" t="n">
        <v>0.05880657801325698</v>
      </c>
      <c r="Q1518" s="26" t="n">
        <v>21.32481691234523</v>
      </c>
      <c r="R1518" s="24" t="n">
        <v>8087.549479693454</v>
      </c>
      <c r="S1518" s="24">
        <f>R1518*IF(A1518=4, 2.0, 3.0)</f>
        <v/>
      </c>
      <c r="T1518" s="22">
        <f>'Dashboard &amp; Optimisation'!$B$18*U1518</f>
        <v/>
      </c>
      <c r="U1518" s="27">
        <f>MIN(1, S1518/M1518)</f>
        <v/>
      </c>
      <c r="V1518" s="27">
        <f>N1518/(N1518+O1518)</f>
        <v/>
      </c>
      <c r="W1518" s="27">
        <f>U1518*V1518</f>
        <v/>
      </c>
      <c r="X1518" s="25">
        <f>T1518/N1518</f>
        <v/>
      </c>
      <c r="Y1518" s="28">
        <f>IF(W1518=MAXIFS(W$2:W$3601, A$2:A$3601, A1518, B$2:B$3601, B1518), "OPTIMAL", "")</f>
        <v/>
      </c>
    </row>
    <row r="1519" ht="20" customHeight="1">
      <c r="A1519" s="29" t="n">
        <v>4</v>
      </c>
      <c r="B1519" s="29" t="n">
        <v>45</v>
      </c>
      <c r="C1519" s="30" t="n">
        <v>85</v>
      </c>
      <c r="D1519" s="30" t="n">
        <v>3</v>
      </c>
      <c r="E1519" s="6" t="n">
        <v>8</v>
      </c>
      <c r="F1519" s="30" t="n">
        <v>2</v>
      </c>
      <c r="G1519" s="6" t="inlineStr">
        <is>
          <t>Oui</t>
        </is>
      </c>
      <c r="H1519" s="6" t="inlineStr">
        <is>
          <t>OFF</t>
        </is>
      </c>
      <c r="I1519" s="31" t="n">
        <v>1132.611974342026</v>
      </c>
      <c r="J1519" s="31" t="n">
        <v>6657.967474874614</v>
      </c>
      <c r="K1519" s="31" t="n">
        <v>3166.666666666667</v>
      </c>
      <c r="L1519" s="31" t="n">
        <v>150</v>
      </c>
      <c r="M1519" s="31">
        <f>I1519+J1519+K1519+L1519</f>
        <v/>
      </c>
      <c r="N1519" s="31">
        <f>M1519*'Dashboard &amp; Optimisation'!$B$18/('Dashboard &amp; Optimisation'!$B$16/3.6)</f>
        <v/>
      </c>
      <c r="O1519" s="31" t="n">
        <v>1949.853182084885</v>
      </c>
      <c r="P1519" s="32" t="n">
        <v>0.2624608866531549</v>
      </c>
      <c r="Q1519" s="33" t="n">
        <v>21.32481691234523</v>
      </c>
      <c r="R1519" s="31" t="n">
        <v>1812.083756472946</v>
      </c>
      <c r="S1519" s="31">
        <f>R1519*IF(A1519=4, 2.0, 3.0)</f>
        <v/>
      </c>
      <c r="T1519" s="30">
        <f>'Dashboard &amp; Optimisation'!$B$18*U1519</f>
        <v/>
      </c>
      <c r="U1519" s="34">
        <f>MIN(1, S1519/M1519)</f>
        <v/>
      </c>
      <c r="V1519" s="34">
        <f>N1519/(N1519+O1519)</f>
        <v/>
      </c>
      <c r="W1519" s="34">
        <f>U1519*V1519</f>
        <v/>
      </c>
      <c r="X1519" s="32">
        <f>T1519/N1519</f>
        <v/>
      </c>
      <c r="Y1519" s="35">
        <f>IF(W1519=MAXIFS(W$2:W$3601, A$2:A$3601, A1519, B$2:B$3601, B1519), "OPTIMAL", "")</f>
        <v/>
      </c>
    </row>
    <row r="1520" ht="20" customHeight="1">
      <c r="A1520" s="21" t="n">
        <v>4</v>
      </c>
      <c r="B1520" s="21" t="n">
        <v>45</v>
      </c>
      <c r="C1520" s="22" t="n">
        <v>85</v>
      </c>
      <c r="D1520" s="22" t="n">
        <v>3</v>
      </c>
      <c r="E1520" s="23" t="n">
        <v>8</v>
      </c>
      <c r="F1520" s="22" t="n">
        <v>2</v>
      </c>
      <c r="G1520" s="23" t="inlineStr">
        <is>
          <t>Non</t>
        </is>
      </c>
      <c r="H1520" s="23" t="inlineStr">
        <is>
          <t>ON</t>
        </is>
      </c>
      <c r="I1520" s="24" t="n">
        <v>1132.611974342026</v>
      </c>
      <c r="J1520" s="24" t="n">
        <v>6657.967474874614</v>
      </c>
      <c r="K1520" s="24" t="n">
        <v>3166.666666666667</v>
      </c>
      <c r="L1520" s="24" t="n">
        <v>150</v>
      </c>
      <c r="M1520" s="24">
        <f>I1520+J1520+K1520+L1520</f>
        <v/>
      </c>
      <c r="N1520" s="24">
        <f>M1520*'Dashboard &amp; Optimisation'!$B$18/('Dashboard &amp; Optimisation'!$B$16/3.6)</f>
        <v/>
      </c>
      <c r="O1520" s="24" t="n">
        <v>1949.853182084885</v>
      </c>
      <c r="P1520" s="25" t="n">
        <v>0.05506175582285944</v>
      </c>
      <c r="Q1520" s="26" t="n">
        <v>21.32481691234523</v>
      </c>
      <c r="R1520" s="24" t="n">
        <v>8637.594321251529</v>
      </c>
      <c r="S1520" s="24">
        <f>R1520*IF(A1520=4, 2.0, 3.0)</f>
        <v/>
      </c>
      <c r="T1520" s="22">
        <f>'Dashboard &amp; Optimisation'!$B$18*U1520</f>
        <v/>
      </c>
      <c r="U1520" s="27">
        <f>MIN(1, S1520/M1520)</f>
        <v/>
      </c>
      <c r="V1520" s="27">
        <f>N1520/(N1520+O1520)</f>
        <v/>
      </c>
      <c r="W1520" s="27">
        <f>U1520*V1520</f>
        <v/>
      </c>
      <c r="X1520" s="25">
        <f>T1520/N1520</f>
        <v/>
      </c>
      <c r="Y1520" s="28">
        <f>IF(W1520=MAXIFS(W$2:W$3601, A$2:A$3601, A1520, B$2:B$3601, B1520), "OPTIMAL", "")</f>
        <v/>
      </c>
    </row>
    <row r="1521" ht="20" customHeight="1">
      <c r="A1521" s="29" t="n">
        <v>4</v>
      </c>
      <c r="B1521" s="29" t="n">
        <v>45</v>
      </c>
      <c r="C1521" s="30" t="n">
        <v>85</v>
      </c>
      <c r="D1521" s="30" t="n">
        <v>3</v>
      </c>
      <c r="E1521" s="6" t="n">
        <v>8</v>
      </c>
      <c r="F1521" s="30" t="n">
        <v>2</v>
      </c>
      <c r="G1521" s="6" t="inlineStr">
        <is>
          <t>Non</t>
        </is>
      </c>
      <c r="H1521" s="6" t="inlineStr">
        <is>
          <t>OFF</t>
        </is>
      </c>
      <c r="I1521" s="31" t="n">
        <v>1132.611974342026</v>
      </c>
      <c r="J1521" s="31" t="n">
        <v>6657.967474874614</v>
      </c>
      <c r="K1521" s="31" t="n">
        <v>3166.666666666667</v>
      </c>
      <c r="L1521" s="31" t="n">
        <v>150</v>
      </c>
      <c r="M1521" s="31">
        <f>I1521+J1521+K1521+L1521</f>
        <v/>
      </c>
      <c r="N1521" s="31">
        <f>M1521*'Dashboard &amp; Optimisation'!$B$18/('Dashboard &amp; Optimisation'!$B$16/3.6)</f>
        <v/>
      </c>
      <c r="O1521" s="31" t="n">
        <v>1949.853182084885</v>
      </c>
      <c r="P1521" s="32" t="n">
        <v>0.2587160644627574</v>
      </c>
      <c r="Q1521" s="33" t="n">
        <v>21.32481691234523</v>
      </c>
      <c r="R1521" s="31" t="n">
        <v>1838.313018564537</v>
      </c>
      <c r="S1521" s="31">
        <f>R1521*IF(A1521=4, 2.0, 3.0)</f>
        <v/>
      </c>
      <c r="T1521" s="30">
        <f>'Dashboard &amp; Optimisation'!$B$18*U1521</f>
        <v/>
      </c>
      <c r="U1521" s="34">
        <f>MIN(1, S1521/M1521)</f>
        <v/>
      </c>
      <c r="V1521" s="34">
        <f>N1521/(N1521+O1521)</f>
        <v/>
      </c>
      <c r="W1521" s="34">
        <f>U1521*V1521</f>
        <v/>
      </c>
      <c r="X1521" s="32">
        <f>T1521/N1521</f>
        <v/>
      </c>
      <c r="Y1521" s="35">
        <f>IF(W1521=MAXIFS(W$2:W$3601, A$2:A$3601, A1521, B$2:B$3601, B1521), "OPTIMAL", "")</f>
        <v/>
      </c>
    </row>
    <row r="1522" ht="20" customHeight="1">
      <c r="A1522" s="21" t="n">
        <v>4</v>
      </c>
      <c r="B1522" s="21" t="n">
        <v>45</v>
      </c>
      <c r="C1522" s="22" t="n">
        <v>90</v>
      </c>
      <c r="D1522" s="22" t="n">
        <v>2</v>
      </c>
      <c r="E1522" s="23" t="n">
        <v>0</v>
      </c>
      <c r="F1522" s="22" t="n">
        <v>0</v>
      </c>
      <c r="G1522" s="23" t="inlineStr">
        <is>
          <t>Oui</t>
        </is>
      </c>
      <c r="H1522" s="23" t="inlineStr">
        <is>
          <t>ON</t>
        </is>
      </c>
      <c r="I1522" s="24" t="n">
        <v>1132.611974342026</v>
      </c>
      <c r="J1522" s="24" t="n">
        <v>6657.967474874614</v>
      </c>
      <c r="K1522" s="24" t="n">
        <v>3166.666666666667</v>
      </c>
      <c r="L1522" s="24" t="n">
        <v>150</v>
      </c>
      <c r="M1522" s="24">
        <f>I1522+J1522+K1522+L1522</f>
        <v/>
      </c>
      <c r="N1522" s="24">
        <f>M1522*'Dashboard &amp; Optimisation'!$B$18/('Dashboard &amp; Optimisation'!$B$16/3.6)</f>
        <v/>
      </c>
      <c r="O1522" s="24" t="n">
        <v>537.3372803632109</v>
      </c>
      <c r="P1522" s="25" t="n">
        <v>0.4898788424939614</v>
      </c>
      <c r="Q1522" s="26" t="n">
        <v>0.2</v>
      </c>
      <c r="R1522" s="24" t="n">
        <v>734.7371261271626</v>
      </c>
      <c r="S1522" s="24">
        <f>R1522*IF(A1522=4, 2.0, 3.0)</f>
        <v/>
      </c>
      <c r="T1522" s="22">
        <f>'Dashboard &amp; Optimisation'!$B$18*U1522</f>
        <v/>
      </c>
      <c r="U1522" s="27">
        <f>MIN(1, S1522/M1522)</f>
        <v/>
      </c>
      <c r="V1522" s="27">
        <f>N1522/(N1522+O1522)</f>
        <v/>
      </c>
      <c r="W1522" s="27">
        <f>U1522*V1522</f>
        <v/>
      </c>
      <c r="X1522" s="25">
        <f>T1522/N1522</f>
        <v/>
      </c>
      <c r="Y1522" s="28">
        <f>IF(W1522=MAXIFS(W$2:W$3601, A$2:A$3601, A1522, B$2:B$3601, B1522), "OPTIMAL", "")</f>
        <v/>
      </c>
    </row>
    <row r="1523" ht="20" customHeight="1">
      <c r="A1523" s="29" t="n">
        <v>4</v>
      </c>
      <c r="B1523" s="29" t="n">
        <v>45</v>
      </c>
      <c r="C1523" s="30" t="n">
        <v>90</v>
      </c>
      <c r="D1523" s="30" t="n">
        <v>2</v>
      </c>
      <c r="E1523" s="6" t="n">
        <v>0</v>
      </c>
      <c r="F1523" s="30" t="n">
        <v>0</v>
      </c>
      <c r="G1523" s="6" t="inlineStr">
        <is>
          <t>Oui</t>
        </is>
      </c>
      <c r="H1523" s="6" t="inlineStr">
        <is>
          <t>OFF</t>
        </is>
      </c>
      <c r="I1523" s="31" t="n">
        <v>1132.611974342026</v>
      </c>
      <c r="J1523" s="31" t="n">
        <v>6657.967474874614</v>
      </c>
      <c r="K1523" s="31" t="n">
        <v>3166.666666666667</v>
      </c>
      <c r="L1523" s="31" t="n">
        <v>150</v>
      </c>
      <c r="M1523" s="31">
        <f>I1523+J1523+K1523+L1523</f>
        <v/>
      </c>
      <c r="N1523" s="31">
        <f>M1523*'Dashboard &amp; Optimisation'!$B$18/('Dashboard &amp; Optimisation'!$B$16/3.6)</f>
        <v/>
      </c>
      <c r="O1523" s="31" t="n">
        <v>537.3372803632109</v>
      </c>
      <c r="P1523" s="32" t="n">
        <v>0.8435564938092843</v>
      </c>
      <c r="Q1523" s="33" t="n">
        <v>0.2</v>
      </c>
      <c r="R1523" s="31" t="n">
        <v>426.6841349998421</v>
      </c>
      <c r="S1523" s="31">
        <f>R1523*IF(A1523=4, 2.0, 3.0)</f>
        <v/>
      </c>
      <c r="T1523" s="30">
        <f>'Dashboard &amp; Optimisation'!$B$18*U1523</f>
        <v/>
      </c>
      <c r="U1523" s="34">
        <f>MIN(1, S1523/M1523)</f>
        <v/>
      </c>
      <c r="V1523" s="34">
        <f>N1523/(N1523+O1523)</f>
        <v/>
      </c>
      <c r="W1523" s="34">
        <f>U1523*V1523</f>
        <v/>
      </c>
      <c r="X1523" s="32">
        <f>T1523/N1523</f>
        <v/>
      </c>
      <c r="Y1523" s="35">
        <f>IF(W1523=MAXIFS(W$2:W$3601, A$2:A$3601, A1523, B$2:B$3601, B1523), "OPTIMAL", "")</f>
        <v/>
      </c>
    </row>
    <row r="1524" ht="20" customHeight="1">
      <c r="A1524" s="21" t="n">
        <v>4</v>
      </c>
      <c r="B1524" s="21" t="n">
        <v>45</v>
      </c>
      <c r="C1524" s="22" t="n">
        <v>90</v>
      </c>
      <c r="D1524" s="22" t="n">
        <v>2</v>
      </c>
      <c r="E1524" s="23" t="n">
        <v>0</v>
      </c>
      <c r="F1524" s="22" t="n">
        <v>0</v>
      </c>
      <c r="G1524" s="23" t="inlineStr">
        <is>
          <t>Non</t>
        </is>
      </c>
      <c r="H1524" s="23" t="inlineStr">
        <is>
          <t>ON</t>
        </is>
      </c>
      <c r="I1524" s="24" t="n">
        <v>1132.611974342026</v>
      </c>
      <c r="J1524" s="24" t="n">
        <v>6657.967474874614</v>
      </c>
      <c r="K1524" s="24" t="n">
        <v>3166.666666666667</v>
      </c>
      <c r="L1524" s="24" t="n">
        <v>150</v>
      </c>
      <c r="M1524" s="24">
        <f>I1524+J1524+K1524+L1524</f>
        <v/>
      </c>
      <c r="N1524" s="24">
        <f>M1524*'Dashboard &amp; Optimisation'!$B$18/('Dashboard &amp; Optimisation'!$B$16/3.6)</f>
        <v/>
      </c>
      <c r="O1524" s="24" t="n">
        <v>537.3372803632109</v>
      </c>
      <c r="P1524" s="25" t="n">
        <v>0.4863420659808082</v>
      </c>
      <c r="Q1524" s="26" t="n">
        <v>0.2</v>
      </c>
      <c r="R1524" s="24" t="n">
        <v>740.0802810643931</v>
      </c>
      <c r="S1524" s="24">
        <f>R1524*IF(A1524=4, 2.0, 3.0)</f>
        <v/>
      </c>
      <c r="T1524" s="22">
        <f>'Dashboard &amp; Optimisation'!$B$18*U1524</f>
        <v/>
      </c>
      <c r="U1524" s="27">
        <f>MIN(1, S1524/M1524)</f>
        <v/>
      </c>
      <c r="V1524" s="27">
        <f>N1524/(N1524+O1524)</f>
        <v/>
      </c>
      <c r="W1524" s="27">
        <f>U1524*V1524</f>
        <v/>
      </c>
      <c r="X1524" s="25">
        <f>T1524/N1524</f>
        <v/>
      </c>
      <c r="Y1524" s="28">
        <f>IF(W1524=MAXIFS(W$2:W$3601, A$2:A$3601, A1524, B$2:B$3601, B1524), "OPTIMAL", "")</f>
        <v/>
      </c>
    </row>
    <row r="1525" ht="20" customHeight="1">
      <c r="A1525" s="29" t="n">
        <v>4</v>
      </c>
      <c r="B1525" s="29" t="n">
        <v>45</v>
      </c>
      <c r="C1525" s="30" t="n">
        <v>90</v>
      </c>
      <c r="D1525" s="30" t="n">
        <v>2</v>
      </c>
      <c r="E1525" s="6" t="n">
        <v>0</v>
      </c>
      <c r="F1525" s="30" t="n">
        <v>0</v>
      </c>
      <c r="G1525" s="6" t="inlineStr">
        <is>
          <t>Non</t>
        </is>
      </c>
      <c r="H1525" s="6" t="inlineStr">
        <is>
          <t>OFF</t>
        </is>
      </c>
      <c r="I1525" s="31" t="n">
        <v>1132.611974342026</v>
      </c>
      <c r="J1525" s="31" t="n">
        <v>6657.967474874614</v>
      </c>
      <c r="K1525" s="31" t="n">
        <v>3166.666666666667</v>
      </c>
      <c r="L1525" s="31" t="n">
        <v>150</v>
      </c>
      <c r="M1525" s="31">
        <f>I1525+J1525+K1525+L1525</f>
        <v/>
      </c>
      <c r="N1525" s="31">
        <f>M1525*'Dashboard &amp; Optimisation'!$B$18/('Dashboard &amp; Optimisation'!$B$16/3.6)</f>
        <v/>
      </c>
      <c r="O1525" s="31" t="n">
        <v>537.3372803632109</v>
      </c>
      <c r="P1525" s="32" t="n">
        <v>0.8400197172961312</v>
      </c>
      <c r="Q1525" s="33" t="n">
        <v>0.2</v>
      </c>
      <c r="R1525" s="31" t="n">
        <v>428.4806242918553</v>
      </c>
      <c r="S1525" s="31">
        <f>R1525*IF(A1525=4, 2.0, 3.0)</f>
        <v/>
      </c>
      <c r="T1525" s="30">
        <f>'Dashboard &amp; Optimisation'!$B$18*U1525</f>
        <v/>
      </c>
      <c r="U1525" s="34">
        <f>MIN(1, S1525/M1525)</f>
        <v/>
      </c>
      <c r="V1525" s="34">
        <f>N1525/(N1525+O1525)</f>
        <v/>
      </c>
      <c r="W1525" s="34">
        <f>U1525*V1525</f>
        <v/>
      </c>
      <c r="X1525" s="32">
        <f>T1525/N1525</f>
        <v/>
      </c>
      <c r="Y1525" s="35">
        <f>IF(W1525=MAXIFS(W$2:W$3601, A$2:A$3601, A1525, B$2:B$3601, B1525), "OPTIMAL", "")</f>
        <v/>
      </c>
    </row>
    <row r="1526" ht="20" customHeight="1">
      <c r="A1526" s="21" t="n">
        <v>4</v>
      </c>
      <c r="B1526" s="21" t="n">
        <v>45</v>
      </c>
      <c r="C1526" s="22" t="n">
        <v>90</v>
      </c>
      <c r="D1526" s="22" t="n">
        <v>2</v>
      </c>
      <c r="E1526" s="23" t="n">
        <v>4</v>
      </c>
      <c r="F1526" s="22" t="n">
        <v>1.5</v>
      </c>
      <c r="G1526" s="23" t="inlineStr">
        <is>
          <t>Oui</t>
        </is>
      </c>
      <c r="H1526" s="23" t="inlineStr">
        <is>
          <t>ON</t>
        </is>
      </c>
      <c r="I1526" s="24" t="n">
        <v>1132.611974342026</v>
      </c>
      <c r="J1526" s="24" t="n">
        <v>6657.967474874614</v>
      </c>
      <c r="K1526" s="24" t="n">
        <v>3166.666666666667</v>
      </c>
      <c r="L1526" s="24" t="n">
        <v>150</v>
      </c>
      <c r="M1526" s="24">
        <f>I1526+J1526+K1526+L1526</f>
        <v/>
      </c>
      <c r="N1526" s="24">
        <f>M1526*'Dashboard &amp; Optimisation'!$B$18/('Dashboard &amp; Optimisation'!$B$16/3.6)</f>
        <v/>
      </c>
      <c r="O1526" s="24" t="n">
        <v>855.7920300435256</v>
      </c>
      <c r="P1526" s="25" t="n">
        <v>0.07759354469391215</v>
      </c>
      <c r="Q1526" s="26" t="n">
        <v>7.477008151491015</v>
      </c>
      <c r="R1526" s="24" t="n">
        <v>4809.582439463531</v>
      </c>
      <c r="S1526" s="24">
        <f>R1526*IF(A1526=4, 2.0, 3.0)</f>
        <v/>
      </c>
      <c r="T1526" s="22">
        <f>'Dashboard &amp; Optimisation'!$B$18*U1526</f>
        <v/>
      </c>
      <c r="U1526" s="27">
        <f>MIN(1, S1526/M1526)</f>
        <v/>
      </c>
      <c r="V1526" s="27">
        <f>N1526/(N1526+O1526)</f>
        <v/>
      </c>
      <c r="W1526" s="27">
        <f>U1526*V1526</f>
        <v/>
      </c>
      <c r="X1526" s="25">
        <f>T1526/N1526</f>
        <v/>
      </c>
      <c r="Y1526" s="28">
        <f>IF(W1526=MAXIFS(W$2:W$3601, A$2:A$3601, A1526, B$2:B$3601, B1526), "OPTIMAL", "")</f>
        <v/>
      </c>
    </row>
    <row r="1527" ht="20" customHeight="1">
      <c r="A1527" s="29" t="n">
        <v>4</v>
      </c>
      <c r="B1527" s="29" t="n">
        <v>45</v>
      </c>
      <c r="C1527" s="30" t="n">
        <v>90</v>
      </c>
      <c r="D1527" s="30" t="n">
        <v>2</v>
      </c>
      <c r="E1527" s="6" t="n">
        <v>4</v>
      </c>
      <c r="F1527" s="30" t="n">
        <v>1.5</v>
      </c>
      <c r="G1527" s="6" t="inlineStr">
        <is>
          <t>Oui</t>
        </is>
      </c>
      <c r="H1527" s="6" t="inlineStr">
        <is>
          <t>OFF</t>
        </is>
      </c>
      <c r="I1527" s="31" t="n">
        <v>1132.611974342026</v>
      </c>
      <c r="J1527" s="31" t="n">
        <v>6657.967474874614</v>
      </c>
      <c r="K1527" s="31" t="n">
        <v>3166.666666666667</v>
      </c>
      <c r="L1527" s="31" t="n">
        <v>150</v>
      </c>
      <c r="M1527" s="31">
        <f>I1527+J1527+K1527+L1527</f>
        <v/>
      </c>
      <c r="N1527" s="31">
        <f>M1527*'Dashboard &amp; Optimisation'!$B$18/('Dashboard &amp; Optimisation'!$B$16/3.6)</f>
        <v/>
      </c>
      <c r="O1527" s="31" t="n">
        <v>855.7920300435256</v>
      </c>
      <c r="P1527" s="32" t="n">
        <v>0.3296507660240217</v>
      </c>
      <c r="Q1527" s="33" t="n">
        <v>7.477008151491015</v>
      </c>
      <c r="R1527" s="31" t="n">
        <v>1132.084582956418</v>
      </c>
      <c r="S1527" s="31">
        <f>R1527*IF(A1527=4, 2.0, 3.0)</f>
        <v/>
      </c>
      <c r="T1527" s="30">
        <f>'Dashboard &amp; Optimisation'!$B$18*U1527</f>
        <v/>
      </c>
      <c r="U1527" s="34">
        <f>MIN(1, S1527/M1527)</f>
        <v/>
      </c>
      <c r="V1527" s="34">
        <f>N1527/(N1527+O1527)</f>
        <v/>
      </c>
      <c r="W1527" s="34">
        <f>U1527*V1527</f>
        <v/>
      </c>
      <c r="X1527" s="32">
        <f>T1527/N1527</f>
        <v/>
      </c>
      <c r="Y1527" s="35">
        <f>IF(W1527=MAXIFS(W$2:W$3601, A$2:A$3601, A1527, B$2:B$3601, B1527), "OPTIMAL", "")</f>
        <v/>
      </c>
    </row>
    <row r="1528" ht="20" customHeight="1">
      <c r="A1528" s="21" t="n">
        <v>4</v>
      </c>
      <c r="B1528" s="21" t="n">
        <v>45</v>
      </c>
      <c r="C1528" s="22" t="n">
        <v>90</v>
      </c>
      <c r="D1528" s="22" t="n">
        <v>2</v>
      </c>
      <c r="E1528" s="23" t="n">
        <v>4</v>
      </c>
      <c r="F1528" s="22" t="n">
        <v>1.5</v>
      </c>
      <c r="G1528" s="23" t="inlineStr">
        <is>
          <t>Non</t>
        </is>
      </c>
      <c r="H1528" s="23" t="inlineStr">
        <is>
          <t>ON</t>
        </is>
      </c>
      <c r="I1528" s="24" t="n">
        <v>1132.611974342026</v>
      </c>
      <c r="J1528" s="24" t="n">
        <v>6657.967474874614</v>
      </c>
      <c r="K1528" s="24" t="n">
        <v>3166.666666666667</v>
      </c>
      <c r="L1528" s="24" t="n">
        <v>150</v>
      </c>
      <c r="M1528" s="24">
        <f>I1528+J1528+K1528+L1528</f>
        <v/>
      </c>
      <c r="N1528" s="24">
        <f>M1528*'Dashboard &amp; Optimisation'!$B$18/('Dashboard &amp; Optimisation'!$B$16/3.6)</f>
        <v/>
      </c>
      <c r="O1528" s="24" t="n">
        <v>855.7920300435256</v>
      </c>
      <c r="P1528" s="25" t="n">
        <v>0.07405676818075892</v>
      </c>
      <c r="Q1528" s="26" t="n">
        <v>7.477008151491015</v>
      </c>
      <c r="R1528" s="24" t="n">
        <v>5039.276748678451</v>
      </c>
      <c r="S1528" s="24">
        <f>R1528*IF(A1528=4, 2.0, 3.0)</f>
        <v/>
      </c>
      <c r="T1528" s="22">
        <f>'Dashboard &amp; Optimisation'!$B$18*U1528</f>
        <v/>
      </c>
      <c r="U1528" s="27">
        <f>MIN(1, S1528/M1528)</f>
        <v/>
      </c>
      <c r="V1528" s="27">
        <f>N1528/(N1528+O1528)</f>
        <v/>
      </c>
      <c r="W1528" s="27">
        <f>U1528*V1528</f>
        <v/>
      </c>
      <c r="X1528" s="25">
        <f>T1528/N1528</f>
        <v/>
      </c>
      <c r="Y1528" s="28">
        <f>IF(W1528=MAXIFS(W$2:W$3601, A$2:A$3601, A1528, B$2:B$3601, B1528), "OPTIMAL", "")</f>
        <v/>
      </c>
    </row>
    <row r="1529" ht="20" customHeight="1">
      <c r="A1529" s="29" t="n">
        <v>4</v>
      </c>
      <c r="B1529" s="29" t="n">
        <v>45</v>
      </c>
      <c r="C1529" s="30" t="n">
        <v>90</v>
      </c>
      <c r="D1529" s="30" t="n">
        <v>2</v>
      </c>
      <c r="E1529" s="6" t="n">
        <v>4</v>
      </c>
      <c r="F1529" s="30" t="n">
        <v>1.5</v>
      </c>
      <c r="G1529" s="6" t="inlineStr">
        <is>
          <t>Non</t>
        </is>
      </c>
      <c r="H1529" s="6" t="inlineStr">
        <is>
          <t>OFF</t>
        </is>
      </c>
      <c r="I1529" s="31" t="n">
        <v>1132.611974342026</v>
      </c>
      <c r="J1529" s="31" t="n">
        <v>6657.967474874614</v>
      </c>
      <c r="K1529" s="31" t="n">
        <v>3166.666666666667</v>
      </c>
      <c r="L1529" s="31" t="n">
        <v>150</v>
      </c>
      <c r="M1529" s="31">
        <f>I1529+J1529+K1529+L1529</f>
        <v/>
      </c>
      <c r="N1529" s="31">
        <f>M1529*'Dashboard &amp; Optimisation'!$B$18/('Dashboard &amp; Optimisation'!$B$16/3.6)</f>
        <v/>
      </c>
      <c r="O1529" s="31" t="n">
        <v>855.7920300435256</v>
      </c>
      <c r="P1529" s="32" t="n">
        <v>0.3261139895108685</v>
      </c>
      <c r="Q1529" s="33" t="n">
        <v>7.477008151491015</v>
      </c>
      <c r="R1529" s="31" t="n">
        <v>1144.362284289957</v>
      </c>
      <c r="S1529" s="31">
        <f>R1529*IF(A1529=4, 2.0, 3.0)</f>
        <v/>
      </c>
      <c r="T1529" s="30">
        <f>'Dashboard &amp; Optimisation'!$B$18*U1529</f>
        <v/>
      </c>
      <c r="U1529" s="34">
        <f>MIN(1, S1529/M1529)</f>
        <v/>
      </c>
      <c r="V1529" s="34">
        <f>N1529/(N1529+O1529)</f>
        <v/>
      </c>
      <c r="W1529" s="34">
        <f>U1529*V1529</f>
        <v/>
      </c>
      <c r="X1529" s="32">
        <f>T1529/N1529</f>
        <v/>
      </c>
      <c r="Y1529" s="35">
        <f>IF(W1529=MAXIFS(W$2:W$3601, A$2:A$3601, A1529, B$2:B$3601, B1529), "OPTIMAL", "")</f>
        <v/>
      </c>
    </row>
    <row r="1530" ht="20" customHeight="1">
      <c r="A1530" s="21" t="n">
        <v>4</v>
      </c>
      <c r="B1530" s="21" t="n">
        <v>45</v>
      </c>
      <c r="C1530" s="22" t="n">
        <v>90</v>
      </c>
      <c r="D1530" s="22" t="n">
        <v>2</v>
      </c>
      <c r="E1530" s="23" t="n">
        <v>4</v>
      </c>
      <c r="F1530" s="22" t="n">
        <v>2</v>
      </c>
      <c r="G1530" s="23" t="inlineStr">
        <is>
          <t>Oui</t>
        </is>
      </c>
      <c r="H1530" s="23" t="inlineStr">
        <is>
          <t>ON</t>
        </is>
      </c>
      <c r="I1530" s="24" t="n">
        <v>1132.611974342026</v>
      </c>
      <c r="J1530" s="24" t="n">
        <v>6657.967474874614</v>
      </c>
      <c r="K1530" s="24" t="n">
        <v>3166.666666666667</v>
      </c>
      <c r="L1530" s="24" t="n">
        <v>150</v>
      </c>
      <c r="M1530" s="24">
        <f>I1530+J1530+K1530+L1530</f>
        <v/>
      </c>
      <c r="N1530" s="24">
        <f>M1530*'Dashboard &amp; Optimisation'!$B$18/('Dashboard &amp; Optimisation'!$B$16/3.6)</f>
        <v/>
      </c>
      <c r="O1530" s="24" t="n">
        <v>967.2227968536581</v>
      </c>
      <c r="P1530" s="25" t="n">
        <v>0.07521841927673642</v>
      </c>
      <c r="Q1530" s="26" t="n">
        <v>9.902677535321354</v>
      </c>
      <c r="R1530" s="24" t="n">
        <v>5023.137992072147</v>
      </c>
      <c r="S1530" s="24">
        <f>R1530*IF(A1530=4, 2.0, 3.0)</f>
        <v/>
      </c>
      <c r="T1530" s="22">
        <f>'Dashboard &amp; Optimisation'!$B$18*U1530</f>
        <v/>
      </c>
      <c r="U1530" s="27">
        <f>MIN(1, S1530/M1530)</f>
        <v/>
      </c>
      <c r="V1530" s="27">
        <f>N1530/(N1530+O1530)</f>
        <v/>
      </c>
      <c r="W1530" s="27">
        <f>U1530*V1530</f>
        <v/>
      </c>
      <c r="X1530" s="25">
        <f>T1530/N1530</f>
        <v/>
      </c>
      <c r="Y1530" s="28">
        <f>IF(W1530=MAXIFS(W$2:W$3601, A$2:A$3601, A1530, B$2:B$3601, B1530), "OPTIMAL", "")</f>
        <v/>
      </c>
    </row>
    <row r="1531" ht="20" customHeight="1">
      <c r="A1531" s="29" t="n">
        <v>4</v>
      </c>
      <c r="B1531" s="29" t="n">
        <v>45</v>
      </c>
      <c r="C1531" s="30" t="n">
        <v>90</v>
      </c>
      <c r="D1531" s="30" t="n">
        <v>2</v>
      </c>
      <c r="E1531" s="6" t="n">
        <v>4</v>
      </c>
      <c r="F1531" s="30" t="n">
        <v>2</v>
      </c>
      <c r="G1531" s="6" t="inlineStr">
        <is>
          <t>Oui</t>
        </is>
      </c>
      <c r="H1531" s="6" t="inlineStr">
        <is>
          <t>OFF</t>
        </is>
      </c>
      <c r="I1531" s="31" t="n">
        <v>1132.611974342026</v>
      </c>
      <c r="J1531" s="31" t="n">
        <v>6657.967474874614</v>
      </c>
      <c r="K1531" s="31" t="n">
        <v>3166.666666666667</v>
      </c>
      <c r="L1531" s="31" t="n">
        <v>150</v>
      </c>
      <c r="M1531" s="31">
        <f>I1531+J1531+K1531+L1531</f>
        <v/>
      </c>
      <c r="N1531" s="31">
        <f>M1531*'Dashboard &amp; Optimisation'!$B$18/('Dashboard &amp; Optimisation'!$B$16/3.6)</f>
        <v/>
      </c>
      <c r="O1531" s="31" t="n">
        <v>967.2227968536581</v>
      </c>
      <c r="P1531" s="32" t="n">
        <v>0.328550491855213</v>
      </c>
      <c r="Q1531" s="33" t="n">
        <v>9.902677535321354</v>
      </c>
      <c r="R1531" s="31" t="n">
        <v>1149.998277096147</v>
      </c>
      <c r="S1531" s="31">
        <f>R1531*IF(A1531=4, 2.0, 3.0)</f>
        <v/>
      </c>
      <c r="T1531" s="30">
        <f>'Dashboard &amp; Optimisation'!$B$18*U1531</f>
        <v/>
      </c>
      <c r="U1531" s="34">
        <f>MIN(1, S1531/M1531)</f>
        <v/>
      </c>
      <c r="V1531" s="34">
        <f>N1531/(N1531+O1531)</f>
        <v/>
      </c>
      <c r="W1531" s="34">
        <f>U1531*V1531</f>
        <v/>
      </c>
      <c r="X1531" s="32">
        <f>T1531/N1531</f>
        <v/>
      </c>
      <c r="Y1531" s="35">
        <f>IF(W1531=MAXIFS(W$2:W$3601, A$2:A$3601, A1531, B$2:B$3601, B1531), "OPTIMAL", "")</f>
        <v/>
      </c>
    </row>
    <row r="1532" ht="20" customHeight="1">
      <c r="A1532" s="21" t="n">
        <v>4</v>
      </c>
      <c r="B1532" s="21" t="n">
        <v>45</v>
      </c>
      <c r="C1532" s="22" t="n">
        <v>90</v>
      </c>
      <c r="D1532" s="22" t="n">
        <v>2</v>
      </c>
      <c r="E1532" s="23" t="n">
        <v>4</v>
      </c>
      <c r="F1532" s="22" t="n">
        <v>2</v>
      </c>
      <c r="G1532" s="23" t="inlineStr">
        <is>
          <t>Non</t>
        </is>
      </c>
      <c r="H1532" s="23" t="inlineStr">
        <is>
          <t>ON</t>
        </is>
      </c>
      <c r="I1532" s="24" t="n">
        <v>1132.611974342026</v>
      </c>
      <c r="J1532" s="24" t="n">
        <v>6657.967474874614</v>
      </c>
      <c r="K1532" s="24" t="n">
        <v>3166.666666666667</v>
      </c>
      <c r="L1532" s="24" t="n">
        <v>150</v>
      </c>
      <c r="M1532" s="24">
        <f>I1532+J1532+K1532+L1532</f>
        <v/>
      </c>
      <c r="N1532" s="24">
        <f>M1532*'Dashboard &amp; Optimisation'!$B$18/('Dashboard &amp; Optimisation'!$B$16/3.6)</f>
        <v/>
      </c>
      <c r="O1532" s="24" t="n">
        <v>967.2227968536581</v>
      </c>
      <c r="P1532" s="25" t="n">
        <v>0.07168164276358319</v>
      </c>
      <c r="Q1532" s="26" t="n">
        <v>9.902677535321354</v>
      </c>
      <c r="R1532" s="24" t="n">
        <v>5270.979919067075</v>
      </c>
      <c r="S1532" s="24">
        <f>R1532*IF(A1532=4, 2.0, 3.0)</f>
        <v/>
      </c>
      <c r="T1532" s="22">
        <f>'Dashboard &amp; Optimisation'!$B$18*U1532</f>
        <v/>
      </c>
      <c r="U1532" s="27">
        <f>MIN(1, S1532/M1532)</f>
        <v/>
      </c>
      <c r="V1532" s="27">
        <f>N1532/(N1532+O1532)</f>
        <v/>
      </c>
      <c r="W1532" s="27">
        <f>U1532*V1532</f>
        <v/>
      </c>
      <c r="X1532" s="25">
        <f>T1532/N1532</f>
        <v/>
      </c>
      <c r="Y1532" s="28">
        <f>IF(W1532=MAXIFS(W$2:W$3601, A$2:A$3601, A1532, B$2:B$3601, B1532), "OPTIMAL", "")</f>
        <v/>
      </c>
    </row>
    <row r="1533" ht="20" customHeight="1">
      <c r="A1533" s="29" t="n">
        <v>4</v>
      </c>
      <c r="B1533" s="29" t="n">
        <v>45</v>
      </c>
      <c r="C1533" s="30" t="n">
        <v>90</v>
      </c>
      <c r="D1533" s="30" t="n">
        <v>2</v>
      </c>
      <c r="E1533" s="6" t="n">
        <v>4</v>
      </c>
      <c r="F1533" s="30" t="n">
        <v>2</v>
      </c>
      <c r="G1533" s="6" t="inlineStr">
        <is>
          <t>Non</t>
        </is>
      </c>
      <c r="H1533" s="6" t="inlineStr">
        <is>
          <t>OFF</t>
        </is>
      </c>
      <c r="I1533" s="31" t="n">
        <v>1132.611974342026</v>
      </c>
      <c r="J1533" s="31" t="n">
        <v>6657.967474874614</v>
      </c>
      <c r="K1533" s="31" t="n">
        <v>3166.666666666667</v>
      </c>
      <c r="L1533" s="31" t="n">
        <v>150</v>
      </c>
      <c r="M1533" s="31">
        <f>I1533+J1533+K1533+L1533</f>
        <v/>
      </c>
      <c r="N1533" s="31">
        <f>M1533*'Dashboard &amp; Optimisation'!$B$18/('Dashboard &amp; Optimisation'!$B$16/3.6)</f>
        <v/>
      </c>
      <c r="O1533" s="31" t="n">
        <v>967.2227968536581</v>
      </c>
      <c r="P1533" s="32" t="n">
        <v>0.3250137153420598</v>
      </c>
      <c r="Q1533" s="33" t="n">
        <v>9.902677535321354</v>
      </c>
      <c r="R1533" s="31" t="n">
        <v>1162.512477896318</v>
      </c>
      <c r="S1533" s="31">
        <f>R1533*IF(A1533=4, 2.0, 3.0)</f>
        <v/>
      </c>
      <c r="T1533" s="30">
        <f>'Dashboard &amp; Optimisation'!$B$18*U1533</f>
        <v/>
      </c>
      <c r="U1533" s="34">
        <f>MIN(1, S1533/M1533)</f>
        <v/>
      </c>
      <c r="V1533" s="34">
        <f>N1533/(N1533+O1533)</f>
        <v/>
      </c>
      <c r="W1533" s="34">
        <f>U1533*V1533</f>
        <v/>
      </c>
      <c r="X1533" s="32">
        <f>T1533/N1533</f>
        <v/>
      </c>
      <c r="Y1533" s="35">
        <f>IF(W1533=MAXIFS(W$2:W$3601, A$2:A$3601, A1533, B$2:B$3601, B1533), "OPTIMAL", "")</f>
        <v/>
      </c>
    </row>
    <row r="1534" ht="20" customHeight="1">
      <c r="A1534" s="21" t="n">
        <v>4</v>
      </c>
      <c r="B1534" s="21" t="n">
        <v>45</v>
      </c>
      <c r="C1534" s="22" t="n">
        <v>90</v>
      </c>
      <c r="D1534" s="22" t="n">
        <v>2</v>
      </c>
      <c r="E1534" s="23" t="n">
        <v>8</v>
      </c>
      <c r="F1534" s="22" t="n">
        <v>1.5</v>
      </c>
      <c r="G1534" s="23" t="inlineStr">
        <is>
          <t>Oui</t>
        </is>
      </c>
      <c r="H1534" s="23" t="inlineStr">
        <is>
          <t>ON</t>
        </is>
      </c>
      <c r="I1534" s="24" t="n">
        <v>1132.611974342026</v>
      </c>
      <c r="J1534" s="24" t="n">
        <v>6657.967474874614</v>
      </c>
      <c r="K1534" s="24" t="n">
        <v>3166.666666666667</v>
      </c>
      <c r="L1534" s="24" t="n">
        <v>150</v>
      </c>
      <c r="M1534" s="24">
        <f>I1534+J1534+K1534+L1534</f>
        <v/>
      </c>
      <c r="N1534" s="24">
        <f>M1534*'Dashboard &amp; Optimisation'!$B$18/('Dashboard &amp; Optimisation'!$B$16/3.6)</f>
        <v/>
      </c>
      <c r="O1534" s="24" t="n">
        <v>1198.608900429582</v>
      </c>
      <c r="P1534" s="25" t="n">
        <v>0.05835644876127537</v>
      </c>
      <c r="Q1534" s="26" t="n">
        <v>14.75401630298203</v>
      </c>
      <c r="R1534" s="24" t="n">
        <v>6639.666531771471</v>
      </c>
      <c r="S1534" s="24">
        <f>R1534*IF(A1534=4, 2.0, 3.0)</f>
        <v/>
      </c>
      <c r="T1534" s="22">
        <f>'Dashboard &amp; Optimisation'!$B$18*U1534</f>
        <v/>
      </c>
      <c r="U1534" s="27">
        <f>MIN(1, S1534/M1534)</f>
        <v/>
      </c>
      <c r="V1534" s="27">
        <f>N1534/(N1534+O1534)</f>
        <v/>
      </c>
      <c r="W1534" s="27">
        <f>U1534*V1534</f>
        <v/>
      </c>
      <c r="X1534" s="25">
        <f>T1534/N1534</f>
        <v/>
      </c>
      <c r="Y1534" s="28">
        <f>IF(W1534=MAXIFS(W$2:W$3601, A$2:A$3601, A1534, B$2:B$3601, B1534), "OPTIMAL", "")</f>
        <v/>
      </c>
    </row>
    <row r="1535" ht="20" customHeight="1">
      <c r="A1535" s="29" t="n">
        <v>4</v>
      </c>
      <c r="B1535" s="29" t="n">
        <v>45</v>
      </c>
      <c r="C1535" s="30" t="n">
        <v>90</v>
      </c>
      <c r="D1535" s="30" t="n">
        <v>2</v>
      </c>
      <c r="E1535" s="6" t="n">
        <v>8</v>
      </c>
      <c r="F1535" s="30" t="n">
        <v>1.5</v>
      </c>
      <c r="G1535" s="6" t="inlineStr">
        <is>
          <t>Oui</t>
        </is>
      </c>
      <c r="H1535" s="6" t="inlineStr">
        <is>
          <t>OFF</t>
        </is>
      </c>
      <c r="I1535" s="31" t="n">
        <v>1132.611974342026</v>
      </c>
      <c r="J1535" s="31" t="n">
        <v>6657.967474874614</v>
      </c>
      <c r="K1535" s="31" t="n">
        <v>3166.666666666667</v>
      </c>
      <c r="L1535" s="31" t="n">
        <v>150</v>
      </c>
      <c r="M1535" s="31">
        <f>I1535+J1535+K1535+L1535</f>
        <v/>
      </c>
      <c r="N1535" s="31">
        <f>M1535*'Dashboard &amp; Optimisation'!$B$18/('Dashboard &amp; Optimisation'!$B$16/3.6)</f>
        <v/>
      </c>
      <c r="O1535" s="31" t="n">
        <v>1198.608900429582</v>
      </c>
      <c r="P1535" s="32" t="n">
        <v>0.2541545323509655</v>
      </c>
      <c r="Q1535" s="33" t="n">
        <v>14.75401630298203</v>
      </c>
      <c r="R1535" s="31" t="n">
        <v>1524.534526963374</v>
      </c>
      <c r="S1535" s="31">
        <f>R1535*IF(A1535=4, 2.0, 3.0)</f>
        <v/>
      </c>
      <c r="T1535" s="30">
        <f>'Dashboard &amp; Optimisation'!$B$18*U1535</f>
        <v/>
      </c>
      <c r="U1535" s="34">
        <f>MIN(1, S1535/M1535)</f>
        <v/>
      </c>
      <c r="V1535" s="34">
        <f>N1535/(N1535+O1535)</f>
        <v/>
      </c>
      <c r="W1535" s="34">
        <f>U1535*V1535</f>
        <v/>
      </c>
      <c r="X1535" s="32">
        <f>T1535/N1535</f>
        <v/>
      </c>
      <c r="Y1535" s="35">
        <f>IF(W1535=MAXIFS(W$2:W$3601, A$2:A$3601, A1535, B$2:B$3601, B1535), "OPTIMAL", "")</f>
        <v/>
      </c>
    </row>
    <row r="1536" ht="20" customHeight="1">
      <c r="A1536" s="21" t="n">
        <v>4</v>
      </c>
      <c r="B1536" s="21" t="n">
        <v>45</v>
      </c>
      <c r="C1536" s="22" t="n">
        <v>90</v>
      </c>
      <c r="D1536" s="22" t="n">
        <v>2</v>
      </c>
      <c r="E1536" s="23" t="n">
        <v>8</v>
      </c>
      <c r="F1536" s="22" t="n">
        <v>1.5</v>
      </c>
      <c r="G1536" s="23" t="inlineStr">
        <is>
          <t>Non</t>
        </is>
      </c>
      <c r="H1536" s="23" t="inlineStr">
        <is>
          <t>ON</t>
        </is>
      </c>
      <c r="I1536" s="24" t="n">
        <v>1132.611974342026</v>
      </c>
      <c r="J1536" s="24" t="n">
        <v>6657.967474874614</v>
      </c>
      <c r="K1536" s="24" t="n">
        <v>3166.666666666667</v>
      </c>
      <c r="L1536" s="24" t="n">
        <v>150</v>
      </c>
      <c r="M1536" s="24">
        <f>I1536+J1536+K1536+L1536</f>
        <v/>
      </c>
      <c r="N1536" s="24">
        <f>M1536*'Dashboard &amp; Optimisation'!$B$18/('Dashboard &amp; Optimisation'!$B$16/3.6)</f>
        <v/>
      </c>
      <c r="O1536" s="24" t="n">
        <v>1198.608900429582</v>
      </c>
      <c r="P1536" s="25" t="n">
        <v>0.05481967224812215</v>
      </c>
      <c r="Q1536" s="26" t="n">
        <v>14.75401630298203</v>
      </c>
      <c r="R1536" s="24" t="n">
        <v>7068.0349564941</v>
      </c>
      <c r="S1536" s="24">
        <f>R1536*IF(A1536=4, 2.0, 3.0)</f>
        <v/>
      </c>
      <c r="T1536" s="22">
        <f>'Dashboard &amp; Optimisation'!$B$18*U1536</f>
        <v/>
      </c>
      <c r="U1536" s="27">
        <f>MIN(1, S1536/M1536)</f>
        <v/>
      </c>
      <c r="V1536" s="27">
        <f>N1536/(N1536+O1536)</f>
        <v/>
      </c>
      <c r="W1536" s="27">
        <f>U1536*V1536</f>
        <v/>
      </c>
      <c r="X1536" s="25">
        <f>T1536/N1536</f>
        <v/>
      </c>
      <c r="Y1536" s="28">
        <f>IF(W1536=MAXIFS(W$2:W$3601, A$2:A$3601, A1536, B$2:B$3601, B1536), "OPTIMAL", "")</f>
        <v/>
      </c>
    </row>
    <row r="1537" ht="20" customHeight="1">
      <c r="A1537" s="29" t="n">
        <v>4</v>
      </c>
      <c r="B1537" s="29" t="n">
        <v>45</v>
      </c>
      <c r="C1537" s="30" t="n">
        <v>90</v>
      </c>
      <c r="D1537" s="30" t="n">
        <v>2</v>
      </c>
      <c r="E1537" s="6" t="n">
        <v>8</v>
      </c>
      <c r="F1537" s="30" t="n">
        <v>1.5</v>
      </c>
      <c r="G1537" s="6" t="inlineStr">
        <is>
          <t>Non</t>
        </is>
      </c>
      <c r="H1537" s="6" t="inlineStr">
        <is>
          <t>OFF</t>
        </is>
      </c>
      <c r="I1537" s="31" t="n">
        <v>1132.611974342026</v>
      </c>
      <c r="J1537" s="31" t="n">
        <v>6657.967474874614</v>
      </c>
      <c r="K1537" s="31" t="n">
        <v>3166.666666666667</v>
      </c>
      <c r="L1537" s="31" t="n">
        <v>150</v>
      </c>
      <c r="M1537" s="31">
        <f>I1537+J1537+K1537+L1537</f>
        <v/>
      </c>
      <c r="N1537" s="31">
        <f>M1537*'Dashboard &amp; Optimisation'!$B$18/('Dashboard &amp; Optimisation'!$B$16/3.6)</f>
        <v/>
      </c>
      <c r="O1537" s="31" t="n">
        <v>1198.608900429582</v>
      </c>
      <c r="P1537" s="32" t="n">
        <v>0.2506177558378123</v>
      </c>
      <c r="Q1537" s="33" t="n">
        <v>14.75401630298203</v>
      </c>
      <c r="R1537" s="31" t="n">
        <v>1546.049115546414</v>
      </c>
      <c r="S1537" s="31">
        <f>R1537*IF(A1537=4, 2.0, 3.0)</f>
        <v/>
      </c>
      <c r="T1537" s="30">
        <f>'Dashboard &amp; Optimisation'!$B$18*U1537</f>
        <v/>
      </c>
      <c r="U1537" s="34">
        <f>MIN(1, S1537/M1537)</f>
        <v/>
      </c>
      <c r="V1537" s="34">
        <f>N1537/(N1537+O1537)</f>
        <v/>
      </c>
      <c r="W1537" s="34">
        <f>U1537*V1537</f>
        <v/>
      </c>
      <c r="X1537" s="32">
        <f>T1537/N1537</f>
        <v/>
      </c>
      <c r="Y1537" s="35">
        <f>IF(W1537=MAXIFS(W$2:W$3601, A$2:A$3601, A1537, B$2:B$3601, B1537), "OPTIMAL", "")</f>
        <v/>
      </c>
    </row>
    <row r="1538" ht="20" customHeight="1">
      <c r="A1538" s="21" t="n">
        <v>4</v>
      </c>
      <c r="B1538" s="21" t="n">
        <v>45</v>
      </c>
      <c r="C1538" s="22" t="n">
        <v>90</v>
      </c>
      <c r="D1538" s="22" t="n">
        <v>2</v>
      </c>
      <c r="E1538" s="23" t="n">
        <v>8</v>
      </c>
      <c r="F1538" s="22" t="n">
        <v>2</v>
      </c>
      <c r="G1538" s="23" t="inlineStr">
        <is>
          <t>Oui</t>
        </is>
      </c>
      <c r="H1538" s="23" t="inlineStr">
        <is>
          <t>ON</t>
        </is>
      </c>
      <c r="I1538" s="24" t="n">
        <v>1132.611974342026</v>
      </c>
      <c r="J1538" s="24" t="n">
        <v>6657.967474874614</v>
      </c>
      <c r="K1538" s="24" t="n">
        <v>3166.666666666667</v>
      </c>
      <c r="L1538" s="24" t="n">
        <v>150</v>
      </c>
      <c r="M1538" s="24">
        <f>I1538+J1538+K1538+L1538</f>
        <v/>
      </c>
      <c r="N1538" s="24">
        <f>M1538*'Dashboard &amp; Optimisation'!$B$18/('Dashboard &amp; Optimisation'!$B$16/3.6)</f>
        <v/>
      </c>
      <c r="O1538" s="24" t="n">
        <v>1442.104656633322</v>
      </c>
      <c r="P1538" s="25" t="n">
        <v>0.05730401653259074</v>
      </c>
      <c r="Q1538" s="26" t="n">
        <v>19.60535507064271</v>
      </c>
      <c r="R1538" s="24" t="n">
        <v>6938.544397688672</v>
      </c>
      <c r="S1538" s="24">
        <f>R1538*IF(A1538=4, 2.0, 3.0)</f>
        <v/>
      </c>
      <c r="T1538" s="22">
        <f>'Dashboard &amp; Optimisation'!$B$18*U1538</f>
        <v/>
      </c>
      <c r="U1538" s="27">
        <f>MIN(1, S1538/M1538)</f>
        <v/>
      </c>
      <c r="V1538" s="27">
        <f>N1538/(N1538+O1538)</f>
        <v/>
      </c>
      <c r="W1538" s="27">
        <f>U1538*V1538</f>
        <v/>
      </c>
      <c r="X1538" s="25">
        <f>T1538/N1538</f>
        <v/>
      </c>
      <c r="Y1538" s="28">
        <f>IF(W1538=MAXIFS(W$2:W$3601, A$2:A$3601, A1538, B$2:B$3601, B1538), "OPTIMAL", "")</f>
        <v/>
      </c>
    </row>
    <row r="1539" ht="20" customHeight="1">
      <c r="A1539" s="29" t="n">
        <v>4</v>
      </c>
      <c r="B1539" s="29" t="n">
        <v>45</v>
      </c>
      <c r="C1539" s="30" t="n">
        <v>90</v>
      </c>
      <c r="D1539" s="30" t="n">
        <v>2</v>
      </c>
      <c r="E1539" s="6" t="n">
        <v>8</v>
      </c>
      <c r="F1539" s="30" t="n">
        <v>2</v>
      </c>
      <c r="G1539" s="6" t="inlineStr">
        <is>
          <t>Oui</t>
        </is>
      </c>
      <c r="H1539" s="6" t="inlineStr">
        <is>
          <t>OFF</t>
        </is>
      </c>
      <c r="I1539" s="31" t="n">
        <v>1132.611974342026</v>
      </c>
      <c r="J1539" s="31" t="n">
        <v>6657.967474874614</v>
      </c>
      <c r="K1539" s="31" t="n">
        <v>3166.666666666667</v>
      </c>
      <c r="L1539" s="31" t="n">
        <v>150</v>
      </c>
      <c r="M1539" s="31">
        <f>I1539+J1539+K1539+L1539</f>
        <v/>
      </c>
      <c r="N1539" s="31">
        <f>M1539*'Dashboard &amp; Optimisation'!$B$18/('Dashboard &amp; Optimisation'!$B$16/3.6)</f>
        <v/>
      </c>
      <c r="O1539" s="31" t="n">
        <v>1442.104656633322</v>
      </c>
      <c r="P1539" s="32" t="n">
        <v>0.2546454449662799</v>
      </c>
      <c r="Q1539" s="33" t="n">
        <v>19.60535507064271</v>
      </c>
      <c r="R1539" s="31" t="n">
        <v>1561.412036763184</v>
      </c>
      <c r="S1539" s="31">
        <f>R1539*IF(A1539=4, 2.0, 3.0)</f>
        <v/>
      </c>
      <c r="T1539" s="30">
        <f>'Dashboard &amp; Optimisation'!$B$18*U1539</f>
        <v/>
      </c>
      <c r="U1539" s="34">
        <f>MIN(1, S1539/M1539)</f>
        <v/>
      </c>
      <c r="V1539" s="34">
        <f>N1539/(N1539+O1539)</f>
        <v/>
      </c>
      <c r="W1539" s="34">
        <f>U1539*V1539</f>
        <v/>
      </c>
      <c r="X1539" s="32">
        <f>T1539/N1539</f>
        <v/>
      </c>
      <c r="Y1539" s="35">
        <f>IF(W1539=MAXIFS(W$2:W$3601, A$2:A$3601, A1539, B$2:B$3601, B1539), "OPTIMAL", "")</f>
        <v/>
      </c>
    </row>
    <row r="1540" ht="20" customHeight="1">
      <c r="A1540" s="21" t="n">
        <v>4</v>
      </c>
      <c r="B1540" s="21" t="n">
        <v>45</v>
      </c>
      <c r="C1540" s="22" t="n">
        <v>90</v>
      </c>
      <c r="D1540" s="22" t="n">
        <v>2</v>
      </c>
      <c r="E1540" s="23" t="n">
        <v>8</v>
      </c>
      <c r="F1540" s="22" t="n">
        <v>2</v>
      </c>
      <c r="G1540" s="23" t="inlineStr">
        <is>
          <t>Non</t>
        </is>
      </c>
      <c r="H1540" s="23" t="inlineStr">
        <is>
          <t>ON</t>
        </is>
      </c>
      <c r="I1540" s="24" t="n">
        <v>1132.611974342026</v>
      </c>
      <c r="J1540" s="24" t="n">
        <v>6657.967474874614</v>
      </c>
      <c r="K1540" s="24" t="n">
        <v>3166.666666666667</v>
      </c>
      <c r="L1540" s="24" t="n">
        <v>150</v>
      </c>
      <c r="M1540" s="24">
        <f>I1540+J1540+K1540+L1540</f>
        <v/>
      </c>
      <c r="N1540" s="24">
        <f>M1540*'Dashboard &amp; Optimisation'!$B$18/('Dashboard &amp; Optimisation'!$B$16/3.6)</f>
        <v/>
      </c>
      <c r="O1540" s="24" t="n">
        <v>1442.104656633322</v>
      </c>
      <c r="P1540" s="25" t="n">
        <v>0.05376724001943751</v>
      </c>
      <c r="Q1540" s="26" t="n">
        <v>19.60535507064271</v>
      </c>
      <c r="R1540" s="24" t="n">
        <v>7394.957649556253</v>
      </c>
      <c r="S1540" s="24">
        <f>R1540*IF(A1540=4, 2.0, 3.0)</f>
        <v/>
      </c>
      <c r="T1540" s="22">
        <f>'Dashboard &amp; Optimisation'!$B$18*U1540</f>
        <v/>
      </c>
      <c r="U1540" s="27">
        <f>MIN(1, S1540/M1540)</f>
        <v/>
      </c>
      <c r="V1540" s="27">
        <f>N1540/(N1540+O1540)</f>
        <v/>
      </c>
      <c r="W1540" s="27">
        <f>U1540*V1540</f>
        <v/>
      </c>
      <c r="X1540" s="25">
        <f>T1540/N1540</f>
        <v/>
      </c>
      <c r="Y1540" s="28">
        <f>IF(W1540=MAXIFS(W$2:W$3601, A$2:A$3601, A1540, B$2:B$3601, B1540), "OPTIMAL", "")</f>
        <v/>
      </c>
    </row>
    <row r="1541" ht="20" customHeight="1">
      <c r="A1541" s="29" t="n">
        <v>4</v>
      </c>
      <c r="B1541" s="29" t="n">
        <v>45</v>
      </c>
      <c r="C1541" s="30" t="n">
        <v>90</v>
      </c>
      <c r="D1541" s="30" t="n">
        <v>2</v>
      </c>
      <c r="E1541" s="6" t="n">
        <v>8</v>
      </c>
      <c r="F1541" s="30" t="n">
        <v>2</v>
      </c>
      <c r="G1541" s="6" t="inlineStr">
        <is>
          <t>Non</t>
        </is>
      </c>
      <c r="H1541" s="6" t="inlineStr">
        <is>
          <t>OFF</t>
        </is>
      </c>
      <c r="I1541" s="31" t="n">
        <v>1132.611974342026</v>
      </c>
      <c r="J1541" s="31" t="n">
        <v>6657.967474874614</v>
      </c>
      <c r="K1541" s="31" t="n">
        <v>3166.666666666667</v>
      </c>
      <c r="L1541" s="31" t="n">
        <v>150</v>
      </c>
      <c r="M1541" s="31">
        <f>I1541+J1541+K1541+L1541</f>
        <v/>
      </c>
      <c r="N1541" s="31">
        <f>M1541*'Dashboard &amp; Optimisation'!$B$18/('Dashboard &amp; Optimisation'!$B$16/3.6)</f>
        <v/>
      </c>
      <c r="O1541" s="31" t="n">
        <v>1442.104656633322</v>
      </c>
      <c r="P1541" s="32" t="n">
        <v>0.2511086684531266</v>
      </c>
      <c r="Q1541" s="33" t="n">
        <v>19.60535507064271</v>
      </c>
      <c r="R1541" s="31" t="n">
        <v>1583.403971382557</v>
      </c>
      <c r="S1541" s="31">
        <f>R1541*IF(A1541=4, 2.0, 3.0)</f>
        <v/>
      </c>
      <c r="T1541" s="30">
        <f>'Dashboard &amp; Optimisation'!$B$18*U1541</f>
        <v/>
      </c>
      <c r="U1541" s="34">
        <f>MIN(1, S1541/M1541)</f>
        <v/>
      </c>
      <c r="V1541" s="34">
        <f>N1541/(N1541+O1541)</f>
        <v/>
      </c>
      <c r="W1541" s="34">
        <f>U1541*V1541</f>
        <v/>
      </c>
      <c r="X1541" s="32">
        <f>T1541/N1541</f>
        <v/>
      </c>
      <c r="Y1541" s="35">
        <f>IF(W1541=MAXIFS(W$2:W$3601, A$2:A$3601, A1541, B$2:B$3601, B1541), "OPTIMAL", "")</f>
        <v/>
      </c>
    </row>
    <row r="1542" ht="20" customHeight="1">
      <c r="A1542" s="21" t="n">
        <v>4</v>
      </c>
      <c r="B1542" s="21" t="n">
        <v>45</v>
      </c>
      <c r="C1542" s="22" t="n">
        <v>90</v>
      </c>
      <c r="D1542" s="22" t="n">
        <v>3</v>
      </c>
      <c r="E1542" s="23" t="n">
        <v>0</v>
      </c>
      <c r="F1542" s="22" t="n">
        <v>0</v>
      </c>
      <c r="G1542" s="23" t="inlineStr">
        <is>
          <t>Oui</t>
        </is>
      </c>
      <c r="H1542" s="23" t="inlineStr">
        <is>
          <t>ON</t>
        </is>
      </c>
      <c r="I1542" s="24" t="n">
        <v>1132.611974342026</v>
      </c>
      <c r="J1542" s="24" t="n">
        <v>6657.967474874614</v>
      </c>
      <c r="K1542" s="24" t="n">
        <v>3166.666666666667</v>
      </c>
      <c r="L1542" s="24" t="n">
        <v>150</v>
      </c>
      <c r="M1542" s="24">
        <f>I1542+J1542+K1542+L1542</f>
        <v/>
      </c>
      <c r="N1542" s="24">
        <f>M1542*'Dashboard &amp; Optimisation'!$B$18/('Dashboard &amp; Optimisation'!$B$16/3.6)</f>
        <v/>
      </c>
      <c r="O1542" s="24" t="n">
        <v>835.2435734681043</v>
      </c>
      <c r="P1542" s="25" t="n">
        <v>0.4898971107621382</v>
      </c>
      <c r="Q1542" s="26" t="n">
        <v>0.2</v>
      </c>
      <c r="R1542" s="24" t="n">
        <v>770.1124073985748</v>
      </c>
      <c r="S1542" s="24">
        <f>R1542*IF(A1542=4, 2.0, 3.0)</f>
        <v/>
      </c>
      <c r="T1542" s="22">
        <f>'Dashboard &amp; Optimisation'!$B$18*U1542</f>
        <v/>
      </c>
      <c r="U1542" s="27">
        <f>MIN(1, S1542/M1542)</f>
        <v/>
      </c>
      <c r="V1542" s="27">
        <f>N1542/(N1542+O1542)</f>
        <v/>
      </c>
      <c r="W1542" s="27">
        <f>U1542*V1542</f>
        <v/>
      </c>
      <c r="X1542" s="25">
        <f>T1542/N1542</f>
        <v/>
      </c>
      <c r="Y1542" s="28">
        <f>IF(W1542=MAXIFS(W$2:W$3601, A$2:A$3601, A1542, B$2:B$3601, B1542), "OPTIMAL", "")</f>
        <v/>
      </c>
    </row>
    <row r="1543" ht="20" customHeight="1">
      <c r="A1543" s="29" t="n">
        <v>4</v>
      </c>
      <c r="B1543" s="29" t="n">
        <v>45</v>
      </c>
      <c r="C1543" s="30" t="n">
        <v>90</v>
      </c>
      <c r="D1543" s="30" t="n">
        <v>3</v>
      </c>
      <c r="E1543" s="6" t="n">
        <v>0</v>
      </c>
      <c r="F1543" s="30" t="n">
        <v>0</v>
      </c>
      <c r="G1543" s="6" t="inlineStr">
        <is>
          <t>Oui</t>
        </is>
      </c>
      <c r="H1543" s="6" t="inlineStr">
        <is>
          <t>OFF</t>
        </is>
      </c>
      <c r="I1543" s="31" t="n">
        <v>1132.611974342026</v>
      </c>
      <c r="J1543" s="31" t="n">
        <v>6657.967474874614</v>
      </c>
      <c r="K1543" s="31" t="n">
        <v>3166.666666666667</v>
      </c>
      <c r="L1543" s="31" t="n">
        <v>150</v>
      </c>
      <c r="M1543" s="31">
        <f>I1543+J1543+K1543+L1543</f>
        <v/>
      </c>
      <c r="N1543" s="31">
        <f>M1543*'Dashboard &amp; Optimisation'!$B$18/('Dashboard &amp; Optimisation'!$B$16/3.6)</f>
        <v/>
      </c>
      <c r="O1543" s="31" t="n">
        <v>835.2435734681043</v>
      </c>
      <c r="P1543" s="32" t="n">
        <v>0.8435747620774612</v>
      </c>
      <c r="Q1543" s="33" t="n">
        <v>0.2</v>
      </c>
      <c r="R1543" s="31" t="n">
        <v>447.234626149227</v>
      </c>
      <c r="S1543" s="31">
        <f>R1543*IF(A1543=4, 2.0, 3.0)</f>
        <v/>
      </c>
      <c r="T1543" s="30">
        <f>'Dashboard &amp; Optimisation'!$B$18*U1543</f>
        <v/>
      </c>
      <c r="U1543" s="34">
        <f>MIN(1, S1543/M1543)</f>
        <v/>
      </c>
      <c r="V1543" s="34">
        <f>N1543/(N1543+O1543)</f>
        <v/>
      </c>
      <c r="W1543" s="34">
        <f>U1543*V1543</f>
        <v/>
      </c>
      <c r="X1543" s="32">
        <f>T1543/N1543</f>
        <v/>
      </c>
      <c r="Y1543" s="35">
        <f>IF(W1543=MAXIFS(W$2:W$3601, A$2:A$3601, A1543, B$2:B$3601, B1543), "OPTIMAL", "")</f>
        <v/>
      </c>
    </row>
    <row r="1544" ht="20" customHeight="1">
      <c r="A1544" s="21" t="n">
        <v>4</v>
      </c>
      <c r="B1544" s="21" t="n">
        <v>45</v>
      </c>
      <c r="C1544" s="22" t="n">
        <v>90</v>
      </c>
      <c r="D1544" s="22" t="n">
        <v>3</v>
      </c>
      <c r="E1544" s="23" t="n">
        <v>0</v>
      </c>
      <c r="F1544" s="22" t="n">
        <v>0</v>
      </c>
      <c r="G1544" s="23" t="inlineStr">
        <is>
          <t>Non</t>
        </is>
      </c>
      <c r="H1544" s="23" t="inlineStr">
        <is>
          <t>ON</t>
        </is>
      </c>
      <c r="I1544" s="24" t="n">
        <v>1132.611974342026</v>
      </c>
      <c r="J1544" s="24" t="n">
        <v>6657.967474874614</v>
      </c>
      <c r="K1544" s="24" t="n">
        <v>3166.666666666667</v>
      </c>
      <c r="L1544" s="24" t="n">
        <v>150</v>
      </c>
      <c r="M1544" s="24">
        <f>I1544+J1544+K1544+L1544</f>
        <v/>
      </c>
      <c r="N1544" s="24">
        <f>M1544*'Dashboard &amp; Optimisation'!$B$18/('Dashboard &amp; Optimisation'!$B$16/3.6)</f>
        <v/>
      </c>
      <c r="O1544" s="24" t="n">
        <v>835.2435734681043</v>
      </c>
      <c r="P1544" s="25" t="n">
        <v>0.486360334248985</v>
      </c>
      <c r="Q1544" s="26" t="n">
        <v>0.2</v>
      </c>
      <c r="R1544" s="24" t="n">
        <v>775.7126080793745</v>
      </c>
      <c r="S1544" s="24">
        <f>R1544*IF(A1544=4, 2.0, 3.0)</f>
        <v/>
      </c>
      <c r="T1544" s="22">
        <f>'Dashboard &amp; Optimisation'!$B$18*U1544</f>
        <v/>
      </c>
      <c r="U1544" s="27">
        <f>MIN(1, S1544/M1544)</f>
        <v/>
      </c>
      <c r="V1544" s="27">
        <f>N1544/(N1544+O1544)</f>
        <v/>
      </c>
      <c r="W1544" s="27">
        <f>U1544*V1544</f>
        <v/>
      </c>
      <c r="X1544" s="25">
        <f>T1544/N1544</f>
        <v/>
      </c>
      <c r="Y1544" s="28">
        <f>IF(W1544=MAXIFS(W$2:W$3601, A$2:A$3601, A1544, B$2:B$3601, B1544), "OPTIMAL", "")</f>
        <v/>
      </c>
    </row>
    <row r="1545" ht="20" customHeight="1">
      <c r="A1545" s="29" t="n">
        <v>4</v>
      </c>
      <c r="B1545" s="29" t="n">
        <v>45</v>
      </c>
      <c r="C1545" s="30" t="n">
        <v>90</v>
      </c>
      <c r="D1545" s="30" t="n">
        <v>3</v>
      </c>
      <c r="E1545" s="6" t="n">
        <v>0</v>
      </c>
      <c r="F1545" s="30" t="n">
        <v>0</v>
      </c>
      <c r="G1545" s="6" t="inlineStr">
        <is>
          <t>Non</t>
        </is>
      </c>
      <c r="H1545" s="6" t="inlineStr">
        <is>
          <t>OFF</t>
        </is>
      </c>
      <c r="I1545" s="31" t="n">
        <v>1132.611974342026</v>
      </c>
      <c r="J1545" s="31" t="n">
        <v>6657.967474874614</v>
      </c>
      <c r="K1545" s="31" t="n">
        <v>3166.666666666667</v>
      </c>
      <c r="L1545" s="31" t="n">
        <v>150</v>
      </c>
      <c r="M1545" s="31">
        <f>I1545+J1545+K1545+L1545</f>
        <v/>
      </c>
      <c r="N1545" s="31">
        <f>M1545*'Dashboard &amp; Optimisation'!$B$18/('Dashboard &amp; Optimisation'!$B$16/3.6)</f>
        <v/>
      </c>
      <c r="O1545" s="31" t="n">
        <v>835.2435734681043</v>
      </c>
      <c r="P1545" s="32" t="n">
        <v>0.840037985564308</v>
      </c>
      <c r="Q1545" s="33" t="n">
        <v>0.2</v>
      </c>
      <c r="R1545" s="31" t="n">
        <v>449.1175992395104</v>
      </c>
      <c r="S1545" s="31">
        <f>R1545*IF(A1545=4, 2.0, 3.0)</f>
        <v/>
      </c>
      <c r="T1545" s="30">
        <f>'Dashboard &amp; Optimisation'!$B$18*U1545</f>
        <v/>
      </c>
      <c r="U1545" s="34">
        <f>MIN(1, S1545/M1545)</f>
        <v/>
      </c>
      <c r="V1545" s="34">
        <f>N1545/(N1545+O1545)</f>
        <v/>
      </c>
      <c r="W1545" s="34">
        <f>U1545*V1545</f>
        <v/>
      </c>
      <c r="X1545" s="32">
        <f>T1545/N1545</f>
        <v/>
      </c>
      <c r="Y1545" s="35">
        <f>IF(W1545=MAXIFS(W$2:W$3601, A$2:A$3601, A1545, B$2:B$3601, B1545), "OPTIMAL", "")</f>
        <v/>
      </c>
    </row>
    <row r="1546" ht="20" customHeight="1">
      <c r="A1546" s="21" t="n">
        <v>4</v>
      </c>
      <c r="B1546" s="21" t="n">
        <v>45</v>
      </c>
      <c r="C1546" s="22" t="n">
        <v>90</v>
      </c>
      <c r="D1546" s="22" t="n">
        <v>3</v>
      </c>
      <c r="E1546" s="23" t="n">
        <v>4</v>
      </c>
      <c r="F1546" s="22" t="n">
        <v>1.5</v>
      </c>
      <c r="G1546" s="23" t="inlineStr">
        <is>
          <t>Oui</t>
        </is>
      </c>
      <c r="H1546" s="23" t="inlineStr">
        <is>
          <t>ON</t>
        </is>
      </c>
      <c r="I1546" s="24" t="n">
        <v>1132.611974342026</v>
      </c>
      <c r="J1546" s="24" t="n">
        <v>6657.967474874614</v>
      </c>
      <c r="K1546" s="24" t="n">
        <v>3166.666666666667</v>
      </c>
      <c r="L1546" s="24" t="n">
        <v>150</v>
      </c>
      <c r="M1546" s="24">
        <f>I1546+J1546+K1546+L1546</f>
        <v/>
      </c>
      <c r="N1546" s="24">
        <f>M1546*'Dashboard &amp; Optimisation'!$B$18/('Dashboard &amp; Optimisation'!$B$16/3.6)</f>
        <v/>
      </c>
      <c r="O1546" s="24" t="n">
        <v>1175.025799420529</v>
      </c>
      <c r="P1546" s="25" t="n">
        <v>0.07737077298591719</v>
      </c>
      <c r="Q1546" s="26" t="n">
        <v>7.65027025033604</v>
      </c>
      <c r="R1546" s="24" t="n">
        <v>5060.290845710317</v>
      </c>
      <c r="S1546" s="24">
        <f>R1546*IF(A1546=4, 2.0, 3.0)</f>
        <v/>
      </c>
      <c r="T1546" s="22">
        <f>'Dashboard &amp; Optimisation'!$B$18*U1546</f>
        <v/>
      </c>
      <c r="U1546" s="27">
        <f>MIN(1, S1546/M1546)</f>
        <v/>
      </c>
      <c r="V1546" s="27">
        <f>N1546/(N1546+O1546)</f>
        <v/>
      </c>
      <c r="W1546" s="27">
        <f>U1546*V1546</f>
        <v/>
      </c>
      <c r="X1546" s="25">
        <f>T1546/N1546</f>
        <v/>
      </c>
      <c r="Y1546" s="28">
        <f>IF(W1546=MAXIFS(W$2:W$3601, A$2:A$3601, A1546, B$2:B$3601, B1546), "OPTIMAL", "")</f>
        <v/>
      </c>
    </row>
    <row r="1547" ht="20" customHeight="1">
      <c r="A1547" s="29" t="n">
        <v>4</v>
      </c>
      <c r="B1547" s="29" t="n">
        <v>45</v>
      </c>
      <c r="C1547" s="30" t="n">
        <v>90</v>
      </c>
      <c r="D1547" s="30" t="n">
        <v>3</v>
      </c>
      <c r="E1547" s="6" t="n">
        <v>4</v>
      </c>
      <c r="F1547" s="30" t="n">
        <v>1.5</v>
      </c>
      <c r="G1547" s="6" t="inlineStr">
        <is>
          <t>Oui</t>
        </is>
      </c>
      <c r="H1547" s="6" t="inlineStr">
        <is>
          <t>OFF</t>
        </is>
      </c>
      <c r="I1547" s="31" t="n">
        <v>1132.611974342026</v>
      </c>
      <c r="J1547" s="31" t="n">
        <v>6657.967474874614</v>
      </c>
      <c r="K1547" s="31" t="n">
        <v>3166.666666666667</v>
      </c>
      <c r="L1547" s="31" t="n">
        <v>150</v>
      </c>
      <c r="M1547" s="31">
        <f>I1547+J1547+K1547+L1547</f>
        <v/>
      </c>
      <c r="N1547" s="31">
        <f>M1547*'Dashboard &amp; Optimisation'!$B$18/('Dashboard &amp; Optimisation'!$B$16/3.6)</f>
        <v/>
      </c>
      <c r="O1547" s="31" t="n">
        <v>1175.025799420529</v>
      </c>
      <c r="P1547" s="32" t="n">
        <v>0.3294279943160268</v>
      </c>
      <c r="Q1547" s="33" t="n">
        <v>7.65027025033604</v>
      </c>
      <c r="R1547" s="31" t="n">
        <v>1188.480095867555</v>
      </c>
      <c r="S1547" s="31">
        <f>R1547*IF(A1547=4, 2.0, 3.0)</f>
        <v/>
      </c>
      <c r="T1547" s="30">
        <f>'Dashboard &amp; Optimisation'!$B$18*U1547</f>
        <v/>
      </c>
      <c r="U1547" s="34">
        <f>MIN(1, S1547/M1547)</f>
        <v/>
      </c>
      <c r="V1547" s="34">
        <f>N1547/(N1547+O1547)</f>
        <v/>
      </c>
      <c r="W1547" s="34">
        <f>U1547*V1547</f>
        <v/>
      </c>
      <c r="X1547" s="32">
        <f>T1547/N1547</f>
        <v/>
      </c>
      <c r="Y1547" s="35">
        <f>IF(W1547=MAXIFS(W$2:W$3601, A$2:A$3601, A1547, B$2:B$3601, B1547), "OPTIMAL", "")</f>
        <v/>
      </c>
    </row>
    <row r="1548" ht="20" customHeight="1">
      <c r="A1548" s="21" t="n">
        <v>4</v>
      </c>
      <c r="B1548" s="21" t="n">
        <v>45</v>
      </c>
      <c r="C1548" s="22" t="n">
        <v>90</v>
      </c>
      <c r="D1548" s="22" t="n">
        <v>3</v>
      </c>
      <c r="E1548" s="23" t="n">
        <v>4</v>
      </c>
      <c r="F1548" s="22" t="n">
        <v>1.5</v>
      </c>
      <c r="G1548" s="23" t="inlineStr">
        <is>
          <t>Non</t>
        </is>
      </c>
      <c r="H1548" s="23" t="inlineStr">
        <is>
          <t>ON</t>
        </is>
      </c>
      <c r="I1548" s="24" t="n">
        <v>1132.611974342026</v>
      </c>
      <c r="J1548" s="24" t="n">
        <v>6657.967474874614</v>
      </c>
      <c r="K1548" s="24" t="n">
        <v>3166.666666666667</v>
      </c>
      <c r="L1548" s="24" t="n">
        <v>150</v>
      </c>
      <c r="M1548" s="24">
        <f>I1548+J1548+K1548+L1548</f>
        <v/>
      </c>
      <c r="N1548" s="24">
        <f>M1548*'Dashboard &amp; Optimisation'!$B$18/('Dashboard &amp; Optimisation'!$B$16/3.6)</f>
        <v/>
      </c>
      <c r="O1548" s="24" t="n">
        <v>1175.025799420529</v>
      </c>
      <c r="P1548" s="25" t="n">
        <v>0.07383399647276395</v>
      </c>
      <c r="Q1548" s="26" t="n">
        <v>7.65027025033604</v>
      </c>
      <c r="R1548" s="24" t="n">
        <v>5302.687555462233</v>
      </c>
      <c r="S1548" s="24">
        <f>R1548*IF(A1548=4, 2.0, 3.0)</f>
        <v/>
      </c>
      <c r="T1548" s="22">
        <f>'Dashboard &amp; Optimisation'!$B$18*U1548</f>
        <v/>
      </c>
      <c r="U1548" s="27">
        <f>MIN(1, S1548/M1548)</f>
        <v/>
      </c>
      <c r="V1548" s="27">
        <f>N1548/(N1548+O1548)</f>
        <v/>
      </c>
      <c r="W1548" s="27">
        <f>U1548*V1548</f>
        <v/>
      </c>
      <c r="X1548" s="25">
        <f>T1548/N1548</f>
        <v/>
      </c>
      <c r="Y1548" s="28">
        <f>IF(W1548=MAXIFS(W$2:W$3601, A$2:A$3601, A1548, B$2:B$3601, B1548), "OPTIMAL", "")</f>
        <v/>
      </c>
    </row>
    <row r="1549" ht="20" customHeight="1">
      <c r="A1549" s="29" t="n">
        <v>4</v>
      </c>
      <c r="B1549" s="29" t="n">
        <v>45</v>
      </c>
      <c r="C1549" s="30" t="n">
        <v>90</v>
      </c>
      <c r="D1549" s="30" t="n">
        <v>3</v>
      </c>
      <c r="E1549" s="6" t="n">
        <v>4</v>
      </c>
      <c r="F1549" s="30" t="n">
        <v>1.5</v>
      </c>
      <c r="G1549" s="6" t="inlineStr">
        <is>
          <t>Non</t>
        </is>
      </c>
      <c r="H1549" s="6" t="inlineStr">
        <is>
          <t>OFF</t>
        </is>
      </c>
      <c r="I1549" s="31" t="n">
        <v>1132.611974342026</v>
      </c>
      <c r="J1549" s="31" t="n">
        <v>6657.967474874614</v>
      </c>
      <c r="K1549" s="31" t="n">
        <v>3166.666666666667</v>
      </c>
      <c r="L1549" s="31" t="n">
        <v>150</v>
      </c>
      <c r="M1549" s="31">
        <f>I1549+J1549+K1549+L1549</f>
        <v/>
      </c>
      <c r="N1549" s="31">
        <f>M1549*'Dashboard &amp; Optimisation'!$B$18/('Dashboard &amp; Optimisation'!$B$16/3.6)</f>
        <v/>
      </c>
      <c r="O1549" s="31" t="n">
        <v>1175.025799420529</v>
      </c>
      <c r="P1549" s="32" t="n">
        <v>0.3258912178028736</v>
      </c>
      <c r="Q1549" s="33" t="n">
        <v>7.65027025033604</v>
      </c>
      <c r="R1549" s="31" t="n">
        <v>1201.378229538518</v>
      </c>
      <c r="S1549" s="31">
        <f>R1549*IF(A1549=4, 2.0, 3.0)</f>
        <v/>
      </c>
      <c r="T1549" s="30">
        <f>'Dashboard &amp; Optimisation'!$B$18*U1549</f>
        <v/>
      </c>
      <c r="U1549" s="34">
        <f>MIN(1, S1549/M1549)</f>
        <v/>
      </c>
      <c r="V1549" s="34">
        <f>N1549/(N1549+O1549)</f>
        <v/>
      </c>
      <c r="W1549" s="34">
        <f>U1549*V1549</f>
        <v/>
      </c>
      <c r="X1549" s="32">
        <f>T1549/N1549</f>
        <v/>
      </c>
      <c r="Y1549" s="35">
        <f>IF(W1549=MAXIFS(W$2:W$3601, A$2:A$3601, A1549, B$2:B$3601, B1549), "OPTIMAL", "")</f>
        <v/>
      </c>
    </row>
    <row r="1550" ht="20" customHeight="1">
      <c r="A1550" s="21" t="n">
        <v>4</v>
      </c>
      <c r="B1550" s="21" t="n">
        <v>45</v>
      </c>
      <c r="C1550" s="22" t="n">
        <v>90</v>
      </c>
      <c r="D1550" s="22" t="n">
        <v>3</v>
      </c>
      <c r="E1550" s="23" t="n">
        <v>4</v>
      </c>
      <c r="F1550" s="22" t="n">
        <v>2</v>
      </c>
      <c r="G1550" s="23" t="inlineStr">
        <is>
          <t>Oui</t>
        </is>
      </c>
      <c r="H1550" s="23" t="inlineStr">
        <is>
          <t>ON</t>
        </is>
      </c>
      <c r="I1550" s="24" t="n">
        <v>1132.611974342026</v>
      </c>
      <c r="J1550" s="24" t="n">
        <v>6657.967474874614</v>
      </c>
      <c r="K1550" s="24" t="n">
        <v>3166.666666666667</v>
      </c>
      <c r="L1550" s="24" t="n">
        <v>150</v>
      </c>
      <c r="M1550" s="24">
        <f>I1550+J1550+K1550+L1550</f>
        <v/>
      </c>
      <c r="N1550" s="24">
        <f>M1550*'Dashboard &amp; Optimisation'!$B$18/('Dashboard &amp; Optimisation'!$B$16/3.6)</f>
        <v/>
      </c>
      <c r="O1550" s="24" t="n">
        <v>1294.060230743547</v>
      </c>
      <c r="P1550" s="25" t="n">
        <v>0.07505349321204312</v>
      </c>
      <c r="Q1550" s="26" t="n">
        <v>10.13369366711472</v>
      </c>
      <c r="R1550" s="24" t="n">
        <v>5283.008230097658</v>
      </c>
      <c r="S1550" s="24">
        <f>R1550*IF(A1550=4, 2.0, 3.0)</f>
        <v/>
      </c>
      <c r="T1550" s="22">
        <f>'Dashboard &amp; Optimisation'!$B$18*U1550</f>
        <v/>
      </c>
      <c r="U1550" s="27">
        <f>MIN(1, S1550/M1550)</f>
        <v/>
      </c>
      <c r="V1550" s="27">
        <f>N1550/(N1550+O1550)</f>
        <v/>
      </c>
      <c r="W1550" s="27">
        <f>U1550*V1550</f>
        <v/>
      </c>
      <c r="X1550" s="25">
        <f>T1550/N1550</f>
        <v/>
      </c>
      <c r="Y1550" s="28">
        <f>IF(W1550=MAXIFS(W$2:W$3601, A$2:A$3601, A1550, B$2:B$3601, B1550), "OPTIMAL", "")</f>
        <v/>
      </c>
    </row>
    <row r="1551" ht="20" customHeight="1">
      <c r="A1551" s="29" t="n">
        <v>4</v>
      </c>
      <c r="B1551" s="29" t="n">
        <v>45</v>
      </c>
      <c r="C1551" s="30" t="n">
        <v>90</v>
      </c>
      <c r="D1551" s="30" t="n">
        <v>3</v>
      </c>
      <c r="E1551" s="6" t="n">
        <v>4</v>
      </c>
      <c r="F1551" s="30" t="n">
        <v>2</v>
      </c>
      <c r="G1551" s="6" t="inlineStr">
        <is>
          <t>Oui</t>
        </is>
      </c>
      <c r="H1551" s="6" t="inlineStr">
        <is>
          <t>OFF</t>
        </is>
      </c>
      <c r="I1551" s="31" t="n">
        <v>1132.611974342026</v>
      </c>
      <c r="J1551" s="31" t="n">
        <v>6657.967474874614</v>
      </c>
      <c r="K1551" s="31" t="n">
        <v>3166.666666666667</v>
      </c>
      <c r="L1551" s="31" t="n">
        <v>150</v>
      </c>
      <c r="M1551" s="31">
        <f>I1551+J1551+K1551+L1551</f>
        <v/>
      </c>
      <c r="N1551" s="31">
        <f>M1551*'Dashboard &amp; Optimisation'!$B$18/('Dashboard &amp; Optimisation'!$B$16/3.6)</f>
        <v/>
      </c>
      <c r="O1551" s="31" t="n">
        <v>1294.060230743547</v>
      </c>
      <c r="P1551" s="32" t="n">
        <v>0.3283855657905198</v>
      </c>
      <c r="Q1551" s="33" t="n">
        <v>10.13369366711472</v>
      </c>
      <c r="R1551" s="31" t="n">
        <v>1207.447170774062</v>
      </c>
      <c r="S1551" s="31">
        <f>R1551*IF(A1551=4, 2.0, 3.0)</f>
        <v/>
      </c>
      <c r="T1551" s="30">
        <f>'Dashboard &amp; Optimisation'!$B$18*U1551</f>
        <v/>
      </c>
      <c r="U1551" s="34">
        <f>MIN(1, S1551/M1551)</f>
        <v/>
      </c>
      <c r="V1551" s="34">
        <f>N1551/(N1551+O1551)</f>
        <v/>
      </c>
      <c r="W1551" s="34">
        <f>U1551*V1551</f>
        <v/>
      </c>
      <c r="X1551" s="32">
        <f>T1551/N1551</f>
        <v/>
      </c>
      <c r="Y1551" s="35">
        <f>IF(W1551=MAXIFS(W$2:W$3601, A$2:A$3601, A1551, B$2:B$3601, B1551), "OPTIMAL", "")</f>
        <v/>
      </c>
    </row>
    <row r="1552" ht="20" customHeight="1">
      <c r="A1552" s="21" t="n">
        <v>4</v>
      </c>
      <c r="B1552" s="21" t="n">
        <v>45</v>
      </c>
      <c r="C1552" s="22" t="n">
        <v>90</v>
      </c>
      <c r="D1552" s="22" t="n">
        <v>3</v>
      </c>
      <c r="E1552" s="23" t="n">
        <v>4</v>
      </c>
      <c r="F1552" s="22" t="n">
        <v>2</v>
      </c>
      <c r="G1552" s="23" t="inlineStr">
        <is>
          <t>Non</t>
        </is>
      </c>
      <c r="H1552" s="23" t="inlineStr">
        <is>
          <t>ON</t>
        </is>
      </c>
      <c r="I1552" s="24" t="n">
        <v>1132.611974342026</v>
      </c>
      <c r="J1552" s="24" t="n">
        <v>6657.967474874614</v>
      </c>
      <c r="K1552" s="24" t="n">
        <v>3166.666666666667</v>
      </c>
      <c r="L1552" s="24" t="n">
        <v>150</v>
      </c>
      <c r="M1552" s="24">
        <f>I1552+J1552+K1552+L1552</f>
        <v/>
      </c>
      <c r="N1552" s="24">
        <f>M1552*'Dashboard &amp; Optimisation'!$B$18/('Dashboard &amp; Optimisation'!$B$16/3.6)</f>
        <v/>
      </c>
      <c r="O1552" s="24" t="n">
        <v>1294.060230743547</v>
      </c>
      <c r="P1552" s="25" t="n">
        <v>0.07151671669888988</v>
      </c>
      <c r="Q1552" s="26" t="n">
        <v>10.13369366711472</v>
      </c>
      <c r="R1552" s="24" t="n">
        <v>5544.273292162437</v>
      </c>
      <c r="S1552" s="24">
        <f>R1552*IF(A1552=4, 2.0, 3.0)</f>
        <v/>
      </c>
      <c r="T1552" s="22">
        <f>'Dashboard &amp; Optimisation'!$B$18*U1552</f>
        <v/>
      </c>
      <c r="U1552" s="27">
        <f>MIN(1, S1552/M1552)</f>
        <v/>
      </c>
      <c r="V1552" s="27">
        <f>N1552/(N1552+O1552)</f>
        <v/>
      </c>
      <c r="W1552" s="27">
        <f>U1552*V1552</f>
        <v/>
      </c>
      <c r="X1552" s="25">
        <f>T1552/N1552</f>
        <v/>
      </c>
      <c r="Y1552" s="28">
        <f>IF(W1552=MAXIFS(W$2:W$3601, A$2:A$3601, A1552, B$2:B$3601, B1552), "OPTIMAL", "")</f>
        <v/>
      </c>
    </row>
    <row r="1553" ht="20" customHeight="1">
      <c r="A1553" s="29" t="n">
        <v>4</v>
      </c>
      <c r="B1553" s="29" t="n">
        <v>45</v>
      </c>
      <c r="C1553" s="30" t="n">
        <v>90</v>
      </c>
      <c r="D1553" s="30" t="n">
        <v>3</v>
      </c>
      <c r="E1553" s="6" t="n">
        <v>4</v>
      </c>
      <c r="F1553" s="30" t="n">
        <v>2</v>
      </c>
      <c r="G1553" s="6" t="inlineStr">
        <is>
          <t>Non</t>
        </is>
      </c>
      <c r="H1553" s="6" t="inlineStr">
        <is>
          <t>OFF</t>
        </is>
      </c>
      <c r="I1553" s="31" t="n">
        <v>1132.611974342026</v>
      </c>
      <c r="J1553" s="31" t="n">
        <v>6657.967474874614</v>
      </c>
      <c r="K1553" s="31" t="n">
        <v>3166.666666666667</v>
      </c>
      <c r="L1553" s="31" t="n">
        <v>150</v>
      </c>
      <c r="M1553" s="31">
        <f>I1553+J1553+K1553+L1553</f>
        <v/>
      </c>
      <c r="N1553" s="31">
        <f>M1553*'Dashboard &amp; Optimisation'!$B$18/('Dashboard &amp; Optimisation'!$B$16/3.6)</f>
        <v/>
      </c>
      <c r="O1553" s="31" t="n">
        <v>1294.060230743547</v>
      </c>
      <c r="P1553" s="32" t="n">
        <v>0.3248487892773665</v>
      </c>
      <c r="Q1553" s="33" t="n">
        <v>10.13369366711472</v>
      </c>
      <c r="R1553" s="31" t="n">
        <v>1220.59319728063</v>
      </c>
      <c r="S1553" s="31">
        <f>R1553*IF(A1553=4, 2.0, 3.0)</f>
        <v/>
      </c>
      <c r="T1553" s="30">
        <f>'Dashboard &amp; Optimisation'!$B$18*U1553</f>
        <v/>
      </c>
      <c r="U1553" s="34">
        <f>MIN(1, S1553/M1553)</f>
        <v/>
      </c>
      <c r="V1553" s="34">
        <f>N1553/(N1553+O1553)</f>
        <v/>
      </c>
      <c r="W1553" s="34">
        <f>U1553*V1553</f>
        <v/>
      </c>
      <c r="X1553" s="32">
        <f>T1553/N1553</f>
        <v/>
      </c>
      <c r="Y1553" s="35">
        <f>IF(W1553=MAXIFS(W$2:W$3601, A$2:A$3601, A1553, B$2:B$3601, B1553), "OPTIMAL", "")</f>
        <v/>
      </c>
    </row>
    <row r="1554" ht="20" customHeight="1">
      <c r="A1554" s="21" t="n">
        <v>4</v>
      </c>
      <c r="B1554" s="21" t="n">
        <v>45</v>
      </c>
      <c r="C1554" s="22" t="n">
        <v>90</v>
      </c>
      <c r="D1554" s="22" t="n">
        <v>3</v>
      </c>
      <c r="E1554" s="23" t="n">
        <v>8</v>
      </c>
      <c r="F1554" s="22" t="n">
        <v>1.5</v>
      </c>
      <c r="G1554" s="23" t="inlineStr">
        <is>
          <t>Oui</t>
        </is>
      </c>
      <c r="H1554" s="23" t="inlineStr">
        <is>
          <t>ON</t>
        </is>
      </c>
      <c r="I1554" s="24" t="n">
        <v>1132.611974342026</v>
      </c>
      <c r="J1554" s="24" t="n">
        <v>6657.967474874614</v>
      </c>
      <c r="K1554" s="24" t="n">
        <v>3166.666666666667</v>
      </c>
      <c r="L1554" s="24" t="n">
        <v>150</v>
      </c>
      <c r="M1554" s="24">
        <f>I1554+J1554+K1554+L1554</f>
        <v/>
      </c>
      <c r="N1554" s="24">
        <f>M1554*'Dashboard &amp; Optimisation'!$B$18/('Dashboard &amp; Optimisation'!$B$16/3.6)</f>
        <v/>
      </c>
      <c r="O1554" s="24" t="n">
        <v>1541.469179820475</v>
      </c>
      <c r="P1554" s="25" t="n">
        <v>0.05825094544482953</v>
      </c>
      <c r="Q1554" s="26" t="n">
        <v>15.10054050067208</v>
      </c>
      <c r="R1554" s="24" t="n">
        <v>6984.93298357229</v>
      </c>
      <c r="S1554" s="24">
        <f>R1554*IF(A1554=4, 2.0, 3.0)</f>
        <v/>
      </c>
      <c r="T1554" s="22">
        <f>'Dashboard &amp; Optimisation'!$B$18*U1554</f>
        <v/>
      </c>
      <c r="U1554" s="27">
        <f>MIN(1, S1554/M1554)</f>
        <v/>
      </c>
      <c r="V1554" s="27">
        <f>N1554/(N1554+O1554)</f>
        <v/>
      </c>
      <c r="W1554" s="27">
        <f>U1554*V1554</f>
        <v/>
      </c>
      <c r="X1554" s="25">
        <f>T1554/N1554</f>
        <v/>
      </c>
      <c r="Y1554" s="28">
        <f>IF(W1554=MAXIFS(W$2:W$3601, A$2:A$3601, A1554, B$2:B$3601, B1554), "OPTIMAL", "")</f>
        <v/>
      </c>
    </row>
    <row r="1555" ht="20" customHeight="1">
      <c r="A1555" s="29" t="n">
        <v>4</v>
      </c>
      <c r="B1555" s="29" t="n">
        <v>45</v>
      </c>
      <c r="C1555" s="30" t="n">
        <v>90</v>
      </c>
      <c r="D1555" s="30" t="n">
        <v>3</v>
      </c>
      <c r="E1555" s="6" t="n">
        <v>8</v>
      </c>
      <c r="F1555" s="30" t="n">
        <v>1.5</v>
      </c>
      <c r="G1555" s="6" t="inlineStr">
        <is>
          <t>Oui</t>
        </is>
      </c>
      <c r="H1555" s="6" t="inlineStr">
        <is>
          <t>OFF</t>
        </is>
      </c>
      <c r="I1555" s="31" t="n">
        <v>1132.611974342026</v>
      </c>
      <c r="J1555" s="31" t="n">
        <v>6657.967474874614</v>
      </c>
      <c r="K1555" s="31" t="n">
        <v>3166.666666666667</v>
      </c>
      <c r="L1555" s="31" t="n">
        <v>150</v>
      </c>
      <c r="M1555" s="31">
        <f>I1555+J1555+K1555+L1555</f>
        <v/>
      </c>
      <c r="N1555" s="31">
        <f>M1555*'Dashboard &amp; Optimisation'!$B$18/('Dashboard &amp; Optimisation'!$B$16/3.6)</f>
        <v/>
      </c>
      <c r="O1555" s="31" t="n">
        <v>1541.469179820475</v>
      </c>
      <c r="P1555" s="32" t="n">
        <v>0.2540490290345196</v>
      </c>
      <c r="Q1555" s="33" t="n">
        <v>15.10054050067208</v>
      </c>
      <c r="R1555" s="31" t="n">
        <v>1601.576481941893</v>
      </c>
      <c r="S1555" s="31">
        <f>R1555*IF(A1555=4, 2.0, 3.0)</f>
        <v/>
      </c>
      <c r="T1555" s="30">
        <f>'Dashboard &amp; Optimisation'!$B$18*U1555</f>
        <v/>
      </c>
      <c r="U1555" s="34">
        <f>MIN(1, S1555/M1555)</f>
        <v/>
      </c>
      <c r="V1555" s="34">
        <f>N1555/(N1555+O1555)</f>
        <v/>
      </c>
      <c r="W1555" s="34">
        <f>U1555*V1555</f>
        <v/>
      </c>
      <c r="X1555" s="32">
        <f>T1555/N1555</f>
        <v/>
      </c>
      <c r="Y1555" s="35">
        <f>IF(W1555=MAXIFS(W$2:W$3601, A$2:A$3601, A1555, B$2:B$3601, B1555), "OPTIMAL", "")</f>
        <v/>
      </c>
    </row>
    <row r="1556" ht="20" customHeight="1">
      <c r="A1556" s="21" t="n">
        <v>4</v>
      </c>
      <c r="B1556" s="21" t="n">
        <v>45</v>
      </c>
      <c r="C1556" s="22" t="n">
        <v>90</v>
      </c>
      <c r="D1556" s="22" t="n">
        <v>3</v>
      </c>
      <c r="E1556" s="23" t="n">
        <v>8</v>
      </c>
      <c r="F1556" s="22" t="n">
        <v>1.5</v>
      </c>
      <c r="G1556" s="23" t="inlineStr">
        <is>
          <t>Non</t>
        </is>
      </c>
      <c r="H1556" s="23" t="inlineStr">
        <is>
          <t>ON</t>
        </is>
      </c>
      <c r="I1556" s="24" t="n">
        <v>1132.611974342026</v>
      </c>
      <c r="J1556" s="24" t="n">
        <v>6657.967474874614</v>
      </c>
      <c r="K1556" s="24" t="n">
        <v>3166.666666666667</v>
      </c>
      <c r="L1556" s="24" t="n">
        <v>150</v>
      </c>
      <c r="M1556" s="24">
        <f>I1556+J1556+K1556+L1556</f>
        <v/>
      </c>
      <c r="N1556" s="24">
        <f>M1556*'Dashboard &amp; Optimisation'!$B$18/('Dashboard &amp; Optimisation'!$B$16/3.6)</f>
        <v/>
      </c>
      <c r="O1556" s="24" t="n">
        <v>1541.469179820475</v>
      </c>
      <c r="P1556" s="25" t="n">
        <v>0.0547141689316763</v>
      </c>
      <c r="Q1556" s="26" t="n">
        <v>15.10054050067208</v>
      </c>
      <c r="R1556" s="24" t="n">
        <v>7436.445770929013</v>
      </c>
      <c r="S1556" s="24">
        <f>R1556*IF(A1556=4, 2.0, 3.0)</f>
        <v/>
      </c>
      <c r="T1556" s="22">
        <f>'Dashboard &amp; Optimisation'!$B$18*U1556</f>
        <v/>
      </c>
      <c r="U1556" s="27">
        <f>MIN(1, S1556/M1556)</f>
        <v/>
      </c>
      <c r="V1556" s="27">
        <f>N1556/(N1556+O1556)</f>
        <v/>
      </c>
      <c r="W1556" s="27">
        <f>U1556*V1556</f>
        <v/>
      </c>
      <c r="X1556" s="25">
        <f>T1556/N1556</f>
        <v/>
      </c>
      <c r="Y1556" s="28">
        <f>IF(W1556=MAXIFS(W$2:W$3601, A$2:A$3601, A1556, B$2:B$3601, B1556), "OPTIMAL", "")</f>
        <v/>
      </c>
    </row>
    <row r="1557" ht="20" customHeight="1">
      <c r="A1557" s="29" t="n">
        <v>4</v>
      </c>
      <c r="B1557" s="29" t="n">
        <v>45</v>
      </c>
      <c r="C1557" s="30" t="n">
        <v>90</v>
      </c>
      <c r="D1557" s="30" t="n">
        <v>3</v>
      </c>
      <c r="E1557" s="6" t="n">
        <v>8</v>
      </c>
      <c r="F1557" s="30" t="n">
        <v>1.5</v>
      </c>
      <c r="G1557" s="6" t="inlineStr">
        <is>
          <t>Non</t>
        </is>
      </c>
      <c r="H1557" s="6" t="inlineStr">
        <is>
          <t>OFF</t>
        </is>
      </c>
      <c r="I1557" s="31" t="n">
        <v>1132.611974342026</v>
      </c>
      <c r="J1557" s="31" t="n">
        <v>6657.967474874614</v>
      </c>
      <c r="K1557" s="31" t="n">
        <v>3166.666666666667</v>
      </c>
      <c r="L1557" s="31" t="n">
        <v>150</v>
      </c>
      <c r="M1557" s="31">
        <f>I1557+J1557+K1557+L1557</f>
        <v/>
      </c>
      <c r="N1557" s="31">
        <f>M1557*'Dashboard &amp; Optimisation'!$B$18/('Dashboard &amp; Optimisation'!$B$16/3.6)</f>
        <v/>
      </c>
      <c r="O1557" s="31" t="n">
        <v>1541.469179820475</v>
      </c>
      <c r="P1557" s="32" t="n">
        <v>0.2505122525213664</v>
      </c>
      <c r="Q1557" s="33" t="n">
        <v>15.10054050067208</v>
      </c>
      <c r="R1557" s="31" t="n">
        <v>1624.187823416568</v>
      </c>
      <c r="S1557" s="31">
        <f>R1557*IF(A1557=4, 2.0, 3.0)</f>
        <v/>
      </c>
      <c r="T1557" s="30">
        <f>'Dashboard &amp; Optimisation'!$B$18*U1557</f>
        <v/>
      </c>
      <c r="U1557" s="34">
        <f>MIN(1, S1557/M1557)</f>
        <v/>
      </c>
      <c r="V1557" s="34">
        <f>N1557/(N1557+O1557)</f>
        <v/>
      </c>
      <c r="W1557" s="34">
        <f>U1557*V1557</f>
        <v/>
      </c>
      <c r="X1557" s="32">
        <f>T1557/N1557</f>
        <v/>
      </c>
      <c r="Y1557" s="35">
        <f>IF(W1557=MAXIFS(W$2:W$3601, A$2:A$3601, A1557, B$2:B$3601, B1557), "OPTIMAL", "")</f>
        <v/>
      </c>
    </row>
    <row r="1558" ht="20" customHeight="1">
      <c r="A1558" s="21" t="n">
        <v>4</v>
      </c>
      <c r="B1558" s="21" t="n">
        <v>45</v>
      </c>
      <c r="C1558" s="22" t="n">
        <v>90</v>
      </c>
      <c r="D1558" s="22" t="n">
        <v>3</v>
      </c>
      <c r="E1558" s="23" t="n">
        <v>8</v>
      </c>
      <c r="F1558" s="22" t="n">
        <v>2</v>
      </c>
      <c r="G1558" s="23" t="inlineStr">
        <is>
          <t>Oui</t>
        </is>
      </c>
      <c r="H1558" s="23" t="inlineStr">
        <is>
          <t>ON</t>
        </is>
      </c>
      <c r="I1558" s="24" t="n">
        <v>1132.611974342026</v>
      </c>
      <c r="J1558" s="24" t="n">
        <v>6657.967474874614</v>
      </c>
      <c r="K1558" s="24" t="n">
        <v>3166.666666666667</v>
      </c>
      <c r="L1558" s="24" t="n">
        <v>150</v>
      </c>
      <c r="M1558" s="24">
        <f>I1558+J1558+K1558+L1558</f>
        <v/>
      </c>
      <c r="N1558" s="24">
        <f>M1558*'Dashboard &amp; Optimisation'!$B$18/('Dashboard &amp; Optimisation'!$B$16/3.6)</f>
        <v/>
      </c>
      <c r="O1558" s="24" t="n">
        <v>1802.167751940121</v>
      </c>
      <c r="P1558" s="25" t="n">
        <v>0.05722883101616391</v>
      </c>
      <c r="Q1558" s="26" t="n">
        <v>20.06738733422944</v>
      </c>
      <c r="R1558" s="24" t="n">
        <v>7300.633900178701</v>
      </c>
      <c r="S1558" s="24">
        <f>R1558*IF(A1558=4, 2.0, 3.0)</f>
        <v/>
      </c>
      <c r="T1558" s="22">
        <f>'Dashboard &amp; Optimisation'!$B$18*U1558</f>
        <v/>
      </c>
      <c r="U1558" s="27">
        <f>MIN(1, S1558/M1558)</f>
        <v/>
      </c>
      <c r="V1558" s="27">
        <f>N1558/(N1558+O1558)</f>
        <v/>
      </c>
      <c r="W1558" s="27">
        <f>U1558*V1558</f>
        <v/>
      </c>
      <c r="X1558" s="25">
        <f>T1558/N1558</f>
        <v/>
      </c>
      <c r="Y1558" s="28">
        <f>IF(W1558=MAXIFS(W$2:W$3601, A$2:A$3601, A1558, B$2:B$3601, B1558), "OPTIMAL", "")</f>
        <v/>
      </c>
    </row>
    <row r="1559" ht="20" customHeight="1">
      <c r="A1559" s="29" t="n">
        <v>4</v>
      </c>
      <c r="B1559" s="29" t="n">
        <v>45</v>
      </c>
      <c r="C1559" s="30" t="n">
        <v>90</v>
      </c>
      <c r="D1559" s="30" t="n">
        <v>3</v>
      </c>
      <c r="E1559" s="6" t="n">
        <v>8</v>
      </c>
      <c r="F1559" s="30" t="n">
        <v>2</v>
      </c>
      <c r="G1559" s="6" t="inlineStr">
        <is>
          <t>Oui</t>
        </is>
      </c>
      <c r="H1559" s="6" t="inlineStr">
        <is>
          <t>OFF</t>
        </is>
      </c>
      <c r="I1559" s="31" t="n">
        <v>1132.611974342026</v>
      </c>
      <c r="J1559" s="31" t="n">
        <v>6657.967474874614</v>
      </c>
      <c r="K1559" s="31" t="n">
        <v>3166.666666666667</v>
      </c>
      <c r="L1559" s="31" t="n">
        <v>150</v>
      </c>
      <c r="M1559" s="31">
        <f>I1559+J1559+K1559+L1559</f>
        <v/>
      </c>
      <c r="N1559" s="31">
        <f>M1559*'Dashboard &amp; Optimisation'!$B$18/('Dashboard &amp; Optimisation'!$B$16/3.6)</f>
        <v/>
      </c>
      <c r="O1559" s="31" t="n">
        <v>1802.167751940121</v>
      </c>
      <c r="P1559" s="32" t="n">
        <v>0.2545702594498531</v>
      </c>
      <c r="Q1559" s="33" t="n">
        <v>20.06738733422944</v>
      </c>
      <c r="R1559" s="31" t="n">
        <v>1641.223702592435</v>
      </c>
      <c r="S1559" s="31">
        <f>R1559*IF(A1559=4, 2.0, 3.0)</f>
        <v/>
      </c>
      <c r="T1559" s="30">
        <f>'Dashboard &amp; Optimisation'!$B$18*U1559</f>
        <v/>
      </c>
      <c r="U1559" s="34">
        <f>MIN(1, S1559/M1559)</f>
        <v/>
      </c>
      <c r="V1559" s="34">
        <f>N1559/(N1559+O1559)</f>
        <v/>
      </c>
      <c r="W1559" s="34">
        <f>U1559*V1559</f>
        <v/>
      </c>
      <c r="X1559" s="32">
        <f>T1559/N1559</f>
        <v/>
      </c>
      <c r="Y1559" s="35">
        <f>IF(W1559=MAXIFS(W$2:W$3601, A$2:A$3601, A1559, B$2:B$3601, B1559), "OPTIMAL", "")</f>
        <v/>
      </c>
    </row>
    <row r="1560" ht="20" customHeight="1">
      <c r="A1560" s="21" t="n">
        <v>4</v>
      </c>
      <c r="B1560" s="21" t="n">
        <v>45</v>
      </c>
      <c r="C1560" s="22" t="n">
        <v>90</v>
      </c>
      <c r="D1560" s="22" t="n">
        <v>3</v>
      </c>
      <c r="E1560" s="23" t="n">
        <v>8</v>
      </c>
      <c r="F1560" s="22" t="n">
        <v>2</v>
      </c>
      <c r="G1560" s="23" t="inlineStr">
        <is>
          <t>Non</t>
        </is>
      </c>
      <c r="H1560" s="23" t="inlineStr">
        <is>
          <t>ON</t>
        </is>
      </c>
      <c r="I1560" s="24" t="n">
        <v>1132.611974342026</v>
      </c>
      <c r="J1560" s="24" t="n">
        <v>6657.967474874614</v>
      </c>
      <c r="K1560" s="24" t="n">
        <v>3166.666666666667</v>
      </c>
      <c r="L1560" s="24" t="n">
        <v>150</v>
      </c>
      <c r="M1560" s="24">
        <f>I1560+J1560+K1560+L1560</f>
        <v/>
      </c>
      <c r="N1560" s="24">
        <f>M1560*'Dashboard &amp; Optimisation'!$B$18/('Dashboard &amp; Optimisation'!$B$16/3.6)</f>
        <v/>
      </c>
      <c r="O1560" s="24" t="n">
        <v>1802.167751940121</v>
      </c>
      <c r="P1560" s="25" t="n">
        <v>0.05369205450301068</v>
      </c>
      <c r="Q1560" s="26" t="n">
        <v>20.06738733422944</v>
      </c>
      <c r="R1560" s="24" t="n">
        <v>7781.537653039089</v>
      </c>
      <c r="S1560" s="24">
        <f>R1560*IF(A1560=4, 2.0, 3.0)</f>
        <v/>
      </c>
      <c r="T1560" s="22">
        <f>'Dashboard &amp; Optimisation'!$B$18*U1560</f>
        <v/>
      </c>
      <c r="U1560" s="27">
        <f>MIN(1, S1560/M1560)</f>
        <v/>
      </c>
      <c r="V1560" s="27">
        <f>N1560/(N1560+O1560)</f>
        <v/>
      </c>
      <c r="W1560" s="27">
        <f>U1560*V1560</f>
        <v/>
      </c>
      <c r="X1560" s="25">
        <f>T1560/N1560</f>
        <v/>
      </c>
      <c r="Y1560" s="28">
        <f>IF(W1560=MAXIFS(W$2:W$3601, A$2:A$3601, A1560, B$2:B$3601, B1560), "OPTIMAL", "")</f>
        <v/>
      </c>
    </row>
    <row r="1561" ht="20" customHeight="1">
      <c r="A1561" s="29" t="n">
        <v>4</v>
      </c>
      <c r="B1561" s="29" t="n">
        <v>45</v>
      </c>
      <c r="C1561" s="30" t="n">
        <v>90</v>
      </c>
      <c r="D1561" s="30" t="n">
        <v>3</v>
      </c>
      <c r="E1561" s="6" t="n">
        <v>8</v>
      </c>
      <c r="F1561" s="30" t="n">
        <v>2</v>
      </c>
      <c r="G1561" s="6" t="inlineStr">
        <is>
          <t>Non</t>
        </is>
      </c>
      <c r="H1561" s="6" t="inlineStr">
        <is>
          <t>OFF</t>
        </is>
      </c>
      <c r="I1561" s="31" t="n">
        <v>1132.611974342026</v>
      </c>
      <c r="J1561" s="31" t="n">
        <v>6657.967474874614</v>
      </c>
      <c r="K1561" s="31" t="n">
        <v>3166.666666666667</v>
      </c>
      <c r="L1561" s="31" t="n">
        <v>150</v>
      </c>
      <c r="M1561" s="31">
        <f>I1561+J1561+K1561+L1561</f>
        <v/>
      </c>
      <c r="N1561" s="31">
        <f>M1561*'Dashboard &amp; Optimisation'!$B$18/('Dashboard &amp; Optimisation'!$B$16/3.6)</f>
        <v/>
      </c>
      <c r="O1561" s="31" t="n">
        <v>1802.167751940121</v>
      </c>
      <c r="P1561" s="32" t="n">
        <v>0.2510334829366998</v>
      </c>
      <c r="Q1561" s="33" t="n">
        <v>20.06738733422944</v>
      </c>
      <c r="R1561" s="31" t="n">
        <v>1664.346679560503</v>
      </c>
      <c r="S1561" s="31">
        <f>R1561*IF(A1561=4, 2.0, 3.0)</f>
        <v/>
      </c>
      <c r="T1561" s="30">
        <f>'Dashboard &amp; Optimisation'!$B$18*U1561</f>
        <v/>
      </c>
      <c r="U1561" s="34">
        <f>MIN(1, S1561/M1561)</f>
        <v/>
      </c>
      <c r="V1561" s="34">
        <f>N1561/(N1561+O1561)</f>
        <v/>
      </c>
      <c r="W1561" s="34">
        <f>U1561*V1561</f>
        <v/>
      </c>
      <c r="X1561" s="32">
        <f>T1561/N1561</f>
        <v/>
      </c>
      <c r="Y1561" s="35">
        <f>IF(W1561=MAXIFS(W$2:W$3601, A$2:A$3601, A1561, B$2:B$3601, B1561), "OPTIMAL", "")</f>
        <v/>
      </c>
    </row>
    <row r="1562" ht="20" customHeight="1">
      <c r="A1562" s="21" t="n">
        <v>4</v>
      </c>
      <c r="B1562" s="21" t="n">
        <v>45</v>
      </c>
      <c r="C1562" s="22" t="n">
        <v>95</v>
      </c>
      <c r="D1562" s="22" t="n">
        <v>2</v>
      </c>
      <c r="E1562" s="23" t="n">
        <v>0</v>
      </c>
      <c r="F1562" s="22" t="n">
        <v>0</v>
      </c>
      <c r="G1562" s="23" t="inlineStr">
        <is>
          <t>Oui</t>
        </is>
      </c>
      <c r="H1562" s="23" t="inlineStr">
        <is>
          <t>ON</t>
        </is>
      </c>
      <c r="I1562" s="24" t="n">
        <v>1132.611974342026</v>
      </c>
      <c r="J1562" s="24" t="n">
        <v>6657.967474874614</v>
      </c>
      <c r="K1562" s="24" t="n">
        <v>3166.666666666667</v>
      </c>
      <c r="L1562" s="24" t="n">
        <v>150</v>
      </c>
      <c r="M1562" s="24">
        <f>I1562+J1562+K1562+L1562</f>
        <v/>
      </c>
      <c r="N1562" s="24">
        <f>M1562*'Dashboard &amp; Optimisation'!$B$18/('Dashboard &amp; Optimisation'!$B$16/3.6)</f>
        <v/>
      </c>
      <c r="O1562" s="24" t="n">
        <v>507.1791215346002</v>
      </c>
      <c r="P1562" s="25" t="n">
        <v>0.4850371448496216</v>
      </c>
      <c r="Q1562" s="26" t="n">
        <v>0.2</v>
      </c>
      <c r="R1562" s="24" t="n">
        <v>662.765338205755</v>
      </c>
      <c r="S1562" s="24">
        <f>R1562*IF(A1562=4, 2.0, 3.0)</f>
        <v/>
      </c>
      <c r="T1562" s="22">
        <f>'Dashboard &amp; Optimisation'!$B$18*U1562</f>
        <v/>
      </c>
      <c r="U1562" s="27">
        <f>MIN(1, S1562/M1562)</f>
        <v/>
      </c>
      <c r="V1562" s="27">
        <f>N1562/(N1562+O1562)</f>
        <v/>
      </c>
      <c r="W1562" s="27">
        <f>U1562*V1562</f>
        <v/>
      </c>
      <c r="X1562" s="25">
        <f>T1562/N1562</f>
        <v/>
      </c>
      <c r="Y1562" s="28">
        <f>IF(W1562=MAXIFS(W$2:W$3601, A$2:A$3601, A1562, B$2:B$3601, B1562), "OPTIMAL", "")</f>
        <v/>
      </c>
    </row>
    <row r="1563" ht="20" customHeight="1">
      <c r="A1563" s="29" t="n">
        <v>4</v>
      </c>
      <c r="B1563" s="29" t="n">
        <v>45</v>
      </c>
      <c r="C1563" s="30" t="n">
        <v>95</v>
      </c>
      <c r="D1563" s="30" t="n">
        <v>2</v>
      </c>
      <c r="E1563" s="6" t="n">
        <v>0</v>
      </c>
      <c r="F1563" s="30" t="n">
        <v>0</v>
      </c>
      <c r="G1563" s="6" t="inlineStr">
        <is>
          <t>Oui</t>
        </is>
      </c>
      <c r="H1563" s="6" t="inlineStr">
        <is>
          <t>OFF</t>
        </is>
      </c>
      <c r="I1563" s="31" t="n">
        <v>1132.611974342026</v>
      </c>
      <c r="J1563" s="31" t="n">
        <v>6657.967474874614</v>
      </c>
      <c r="K1563" s="31" t="n">
        <v>3166.666666666667</v>
      </c>
      <c r="L1563" s="31" t="n">
        <v>150</v>
      </c>
      <c r="M1563" s="31">
        <f>I1563+J1563+K1563+L1563</f>
        <v/>
      </c>
      <c r="N1563" s="31">
        <f>M1563*'Dashboard &amp; Optimisation'!$B$18/('Dashboard &amp; Optimisation'!$B$16/3.6)</f>
        <v/>
      </c>
      <c r="O1563" s="31" t="n">
        <v>507.1791215346002</v>
      </c>
      <c r="P1563" s="32" t="n">
        <v>0.8201001829378223</v>
      </c>
      <c r="Q1563" s="33" t="n">
        <v>0.2</v>
      </c>
      <c r="R1563" s="31" t="n">
        <v>391.9835820509576</v>
      </c>
      <c r="S1563" s="31">
        <f>R1563*IF(A1563=4, 2.0, 3.0)</f>
        <v/>
      </c>
      <c r="T1563" s="30">
        <f>'Dashboard &amp; Optimisation'!$B$18*U1563</f>
        <v/>
      </c>
      <c r="U1563" s="34">
        <f>MIN(1, S1563/M1563)</f>
        <v/>
      </c>
      <c r="V1563" s="34">
        <f>N1563/(N1563+O1563)</f>
        <v/>
      </c>
      <c r="W1563" s="34">
        <f>U1563*V1563</f>
        <v/>
      </c>
      <c r="X1563" s="32">
        <f>T1563/N1563</f>
        <v/>
      </c>
      <c r="Y1563" s="35">
        <f>IF(W1563=MAXIFS(W$2:W$3601, A$2:A$3601, A1563, B$2:B$3601, B1563), "OPTIMAL", "")</f>
        <v/>
      </c>
    </row>
    <row r="1564" ht="20" customHeight="1">
      <c r="A1564" s="21" t="n">
        <v>4</v>
      </c>
      <c r="B1564" s="21" t="n">
        <v>45</v>
      </c>
      <c r="C1564" s="22" t="n">
        <v>95</v>
      </c>
      <c r="D1564" s="22" t="n">
        <v>2</v>
      </c>
      <c r="E1564" s="23" t="n">
        <v>0</v>
      </c>
      <c r="F1564" s="22" t="n">
        <v>0</v>
      </c>
      <c r="G1564" s="23" t="inlineStr">
        <is>
          <t>Non</t>
        </is>
      </c>
      <c r="H1564" s="23" t="inlineStr">
        <is>
          <t>ON</t>
        </is>
      </c>
      <c r="I1564" s="24" t="n">
        <v>1132.611974342026</v>
      </c>
      <c r="J1564" s="24" t="n">
        <v>6657.967474874614</v>
      </c>
      <c r="K1564" s="24" t="n">
        <v>3166.666666666667</v>
      </c>
      <c r="L1564" s="24" t="n">
        <v>150</v>
      </c>
      <c r="M1564" s="24">
        <f>I1564+J1564+K1564+L1564</f>
        <v/>
      </c>
      <c r="N1564" s="24">
        <f>M1564*'Dashboard &amp; Optimisation'!$B$18/('Dashboard &amp; Optimisation'!$B$16/3.6)</f>
        <v/>
      </c>
      <c r="O1564" s="24" t="n">
        <v>507.1791215346002</v>
      </c>
      <c r="P1564" s="25" t="n">
        <v>0.4816865144687396</v>
      </c>
      <c r="Q1564" s="26" t="n">
        <v>0.2</v>
      </c>
      <c r="R1564" s="24" t="n">
        <v>667.3755600219854</v>
      </c>
      <c r="S1564" s="24">
        <f>R1564*IF(A1564=4, 2.0, 3.0)</f>
        <v/>
      </c>
      <c r="T1564" s="22">
        <f>'Dashboard &amp; Optimisation'!$B$18*U1564</f>
        <v/>
      </c>
      <c r="U1564" s="27">
        <f>MIN(1, S1564/M1564)</f>
        <v/>
      </c>
      <c r="V1564" s="27">
        <f>N1564/(N1564+O1564)</f>
        <v/>
      </c>
      <c r="W1564" s="27">
        <f>U1564*V1564</f>
        <v/>
      </c>
      <c r="X1564" s="25">
        <f>T1564/N1564</f>
        <v/>
      </c>
      <c r="Y1564" s="28">
        <f>IF(W1564=MAXIFS(W$2:W$3601, A$2:A$3601, A1564, B$2:B$3601, B1564), "OPTIMAL", "")</f>
        <v/>
      </c>
    </row>
    <row r="1565" ht="20" customHeight="1">
      <c r="A1565" s="29" t="n">
        <v>4</v>
      </c>
      <c r="B1565" s="29" t="n">
        <v>45</v>
      </c>
      <c r="C1565" s="30" t="n">
        <v>95</v>
      </c>
      <c r="D1565" s="30" t="n">
        <v>2</v>
      </c>
      <c r="E1565" s="6" t="n">
        <v>0</v>
      </c>
      <c r="F1565" s="30" t="n">
        <v>0</v>
      </c>
      <c r="G1565" s="6" t="inlineStr">
        <is>
          <t>Non</t>
        </is>
      </c>
      <c r="H1565" s="6" t="inlineStr">
        <is>
          <t>OFF</t>
        </is>
      </c>
      <c r="I1565" s="31" t="n">
        <v>1132.611974342026</v>
      </c>
      <c r="J1565" s="31" t="n">
        <v>6657.967474874614</v>
      </c>
      <c r="K1565" s="31" t="n">
        <v>3166.666666666667</v>
      </c>
      <c r="L1565" s="31" t="n">
        <v>150</v>
      </c>
      <c r="M1565" s="31">
        <f>I1565+J1565+K1565+L1565</f>
        <v/>
      </c>
      <c r="N1565" s="31">
        <f>M1565*'Dashboard &amp; Optimisation'!$B$18/('Dashboard &amp; Optimisation'!$B$16/3.6)</f>
        <v/>
      </c>
      <c r="O1565" s="31" t="n">
        <v>507.1791215346002</v>
      </c>
      <c r="P1565" s="32" t="n">
        <v>0.8167495525569404</v>
      </c>
      <c r="Q1565" s="33" t="n">
        <v>0.2</v>
      </c>
      <c r="R1565" s="31" t="n">
        <v>393.5916540660755</v>
      </c>
      <c r="S1565" s="31">
        <f>R1565*IF(A1565=4, 2.0, 3.0)</f>
        <v/>
      </c>
      <c r="T1565" s="30">
        <f>'Dashboard &amp; Optimisation'!$B$18*U1565</f>
        <v/>
      </c>
      <c r="U1565" s="34">
        <f>MIN(1, S1565/M1565)</f>
        <v/>
      </c>
      <c r="V1565" s="34">
        <f>N1565/(N1565+O1565)</f>
        <v/>
      </c>
      <c r="W1565" s="34">
        <f>U1565*V1565</f>
        <v/>
      </c>
      <c r="X1565" s="32">
        <f>T1565/N1565</f>
        <v/>
      </c>
      <c r="Y1565" s="35">
        <f>IF(W1565=MAXIFS(W$2:W$3601, A$2:A$3601, A1565, B$2:B$3601, B1565), "OPTIMAL", "")</f>
        <v/>
      </c>
    </row>
    <row r="1566" ht="20" customHeight="1">
      <c r="A1566" s="21" t="n">
        <v>4</v>
      </c>
      <c r="B1566" s="21" t="n">
        <v>45</v>
      </c>
      <c r="C1566" s="22" t="n">
        <v>95</v>
      </c>
      <c r="D1566" s="22" t="n">
        <v>2</v>
      </c>
      <c r="E1566" s="23" t="n">
        <v>4</v>
      </c>
      <c r="F1566" s="22" t="n">
        <v>1.5</v>
      </c>
      <c r="G1566" s="23" t="inlineStr">
        <is>
          <t>Oui</t>
        </is>
      </c>
      <c r="H1566" s="23" t="inlineStr">
        <is>
          <t>ON</t>
        </is>
      </c>
      <c r="I1566" s="24" t="n">
        <v>1132.611974342026</v>
      </c>
      <c r="J1566" s="24" t="n">
        <v>6657.967474874614</v>
      </c>
      <c r="K1566" s="24" t="n">
        <v>3166.666666666667</v>
      </c>
      <c r="L1566" s="24" t="n">
        <v>150</v>
      </c>
      <c r="M1566" s="24">
        <f>I1566+J1566+K1566+L1566</f>
        <v/>
      </c>
      <c r="N1566" s="24">
        <f>M1566*'Dashboard &amp; Optimisation'!$B$18/('Dashboard &amp; Optimisation'!$B$16/3.6)</f>
        <v/>
      </c>
      <c r="O1566" s="24" t="n">
        <v>801.7810321884363</v>
      </c>
      <c r="P1566" s="25" t="n">
        <v>0.07557959322797822</v>
      </c>
      <c r="Q1566" s="26" t="n">
        <v>7.077172538771729</v>
      </c>
      <c r="R1566" s="24" t="n">
        <v>4401.131061673694</v>
      </c>
      <c r="S1566" s="24">
        <f>R1566*IF(A1566=4, 2.0, 3.0)</f>
        <v/>
      </c>
      <c r="T1566" s="22">
        <f>'Dashboard &amp; Optimisation'!$B$18*U1566</f>
        <v/>
      </c>
      <c r="U1566" s="27">
        <f>MIN(1, S1566/M1566)</f>
        <v/>
      </c>
      <c r="V1566" s="27">
        <f>N1566/(N1566+O1566)</f>
        <v/>
      </c>
      <c r="W1566" s="27">
        <f>U1566*V1566</f>
        <v/>
      </c>
      <c r="X1566" s="25">
        <f>T1566/N1566</f>
        <v/>
      </c>
      <c r="Y1566" s="28">
        <f>IF(W1566=MAXIFS(W$2:W$3601, A$2:A$3601, A1566, B$2:B$3601, B1566), "OPTIMAL", "")</f>
        <v/>
      </c>
    </row>
    <row r="1567" ht="20" customHeight="1">
      <c r="A1567" s="29" t="n">
        <v>4</v>
      </c>
      <c r="B1567" s="29" t="n">
        <v>45</v>
      </c>
      <c r="C1567" s="30" t="n">
        <v>95</v>
      </c>
      <c r="D1567" s="30" t="n">
        <v>2</v>
      </c>
      <c r="E1567" s="6" t="n">
        <v>4</v>
      </c>
      <c r="F1567" s="30" t="n">
        <v>1.5</v>
      </c>
      <c r="G1567" s="6" t="inlineStr">
        <is>
          <t>Oui</t>
        </is>
      </c>
      <c r="H1567" s="6" t="inlineStr">
        <is>
          <t>OFF</t>
        </is>
      </c>
      <c r="I1567" s="31" t="n">
        <v>1132.611974342026</v>
      </c>
      <c r="J1567" s="31" t="n">
        <v>6657.967474874614</v>
      </c>
      <c r="K1567" s="31" t="n">
        <v>3166.666666666667</v>
      </c>
      <c r="L1567" s="31" t="n">
        <v>150</v>
      </c>
      <c r="M1567" s="31">
        <f>I1567+J1567+K1567+L1567</f>
        <v/>
      </c>
      <c r="N1567" s="31">
        <f>M1567*'Dashboard &amp; Optimisation'!$B$18/('Dashboard &amp; Optimisation'!$B$16/3.6)</f>
        <v/>
      </c>
      <c r="O1567" s="31" t="n">
        <v>801.7810321884363</v>
      </c>
      <c r="P1567" s="32" t="n">
        <v>0.3180372372232345</v>
      </c>
      <c r="Q1567" s="33" t="n">
        <v>7.077172538771729</v>
      </c>
      <c r="R1567" s="31" t="n">
        <v>1045.901726126605</v>
      </c>
      <c r="S1567" s="31">
        <f>R1567*IF(A1567=4, 2.0, 3.0)</f>
        <v/>
      </c>
      <c r="T1567" s="30">
        <f>'Dashboard &amp; Optimisation'!$B$18*U1567</f>
        <v/>
      </c>
      <c r="U1567" s="34">
        <f>MIN(1, S1567/M1567)</f>
        <v/>
      </c>
      <c r="V1567" s="34">
        <f>N1567/(N1567+O1567)</f>
        <v/>
      </c>
      <c r="W1567" s="34">
        <f>U1567*V1567</f>
        <v/>
      </c>
      <c r="X1567" s="32">
        <f>T1567/N1567</f>
        <v/>
      </c>
      <c r="Y1567" s="35">
        <f>IF(W1567=MAXIFS(W$2:W$3601, A$2:A$3601, A1567, B$2:B$3601, B1567), "OPTIMAL", "")</f>
        <v/>
      </c>
    </row>
    <row r="1568" ht="20" customHeight="1">
      <c r="A1568" s="21" t="n">
        <v>4</v>
      </c>
      <c r="B1568" s="21" t="n">
        <v>45</v>
      </c>
      <c r="C1568" s="22" t="n">
        <v>95</v>
      </c>
      <c r="D1568" s="22" t="n">
        <v>2</v>
      </c>
      <c r="E1568" s="23" t="n">
        <v>4</v>
      </c>
      <c r="F1568" s="22" t="n">
        <v>1.5</v>
      </c>
      <c r="G1568" s="23" t="inlineStr">
        <is>
          <t>Non</t>
        </is>
      </c>
      <c r="H1568" s="23" t="inlineStr">
        <is>
          <t>ON</t>
        </is>
      </c>
      <c r="I1568" s="24" t="n">
        <v>1132.611974342026</v>
      </c>
      <c r="J1568" s="24" t="n">
        <v>6657.967474874614</v>
      </c>
      <c r="K1568" s="24" t="n">
        <v>3166.666666666667</v>
      </c>
      <c r="L1568" s="24" t="n">
        <v>150</v>
      </c>
      <c r="M1568" s="24">
        <f>I1568+J1568+K1568+L1568</f>
        <v/>
      </c>
      <c r="N1568" s="24">
        <f>M1568*'Dashboard &amp; Optimisation'!$B$18/('Dashboard &amp; Optimisation'!$B$16/3.6)</f>
        <v/>
      </c>
      <c r="O1568" s="24" t="n">
        <v>801.7810321884363</v>
      </c>
      <c r="P1568" s="25" t="n">
        <v>0.07222896284709622</v>
      </c>
      <c r="Q1568" s="26" t="n">
        <v>7.077172538771729</v>
      </c>
      <c r="R1568" s="24" t="n">
        <v>4605.295192850612</v>
      </c>
      <c r="S1568" s="24">
        <f>R1568*IF(A1568=4, 2.0, 3.0)</f>
        <v/>
      </c>
      <c r="T1568" s="22">
        <f>'Dashboard &amp; Optimisation'!$B$18*U1568</f>
        <v/>
      </c>
      <c r="U1568" s="27">
        <f>MIN(1, S1568/M1568)</f>
        <v/>
      </c>
      <c r="V1568" s="27">
        <f>N1568/(N1568+O1568)</f>
        <v/>
      </c>
      <c r="W1568" s="27">
        <f>U1568*V1568</f>
        <v/>
      </c>
      <c r="X1568" s="25">
        <f>T1568/N1568</f>
        <v/>
      </c>
      <c r="Y1568" s="28">
        <f>IF(W1568=MAXIFS(W$2:W$3601, A$2:A$3601, A1568, B$2:B$3601, B1568), "OPTIMAL", "")</f>
        <v/>
      </c>
    </row>
    <row r="1569" ht="20" customHeight="1">
      <c r="A1569" s="29" t="n">
        <v>4</v>
      </c>
      <c r="B1569" s="29" t="n">
        <v>45</v>
      </c>
      <c r="C1569" s="30" t="n">
        <v>95</v>
      </c>
      <c r="D1569" s="30" t="n">
        <v>2</v>
      </c>
      <c r="E1569" s="6" t="n">
        <v>4</v>
      </c>
      <c r="F1569" s="30" t="n">
        <v>1.5</v>
      </c>
      <c r="G1569" s="6" t="inlineStr">
        <is>
          <t>Non</t>
        </is>
      </c>
      <c r="H1569" s="6" t="inlineStr">
        <is>
          <t>OFF</t>
        </is>
      </c>
      <c r="I1569" s="31" t="n">
        <v>1132.611974342026</v>
      </c>
      <c r="J1569" s="31" t="n">
        <v>6657.967474874614</v>
      </c>
      <c r="K1569" s="31" t="n">
        <v>3166.666666666667</v>
      </c>
      <c r="L1569" s="31" t="n">
        <v>150</v>
      </c>
      <c r="M1569" s="31">
        <f>I1569+J1569+K1569+L1569</f>
        <v/>
      </c>
      <c r="N1569" s="31">
        <f>M1569*'Dashboard &amp; Optimisation'!$B$18/('Dashboard &amp; Optimisation'!$B$16/3.6)</f>
        <v/>
      </c>
      <c r="O1569" s="31" t="n">
        <v>801.7810321884363</v>
      </c>
      <c r="P1569" s="32" t="n">
        <v>0.3146866068423525</v>
      </c>
      <c r="Q1569" s="33" t="n">
        <v>7.077172538771729</v>
      </c>
      <c r="R1569" s="31" t="n">
        <v>1057.037980491356</v>
      </c>
      <c r="S1569" s="31">
        <f>R1569*IF(A1569=4, 2.0, 3.0)</f>
        <v/>
      </c>
      <c r="T1569" s="30">
        <f>'Dashboard &amp; Optimisation'!$B$18*U1569</f>
        <v/>
      </c>
      <c r="U1569" s="34">
        <f>MIN(1, S1569/M1569)</f>
        <v/>
      </c>
      <c r="V1569" s="34">
        <f>N1569/(N1569+O1569)</f>
        <v/>
      </c>
      <c r="W1569" s="34">
        <f>U1569*V1569</f>
        <v/>
      </c>
      <c r="X1569" s="32">
        <f>T1569/N1569</f>
        <v/>
      </c>
      <c r="Y1569" s="35">
        <f>IF(W1569=MAXIFS(W$2:W$3601, A$2:A$3601, A1569, B$2:B$3601, B1569), "OPTIMAL", "")</f>
        <v/>
      </c>
    </row>
    <row r="1570" ht="20" customHeight="1">
      <c r="A1570" s="21" t="n">
        <v>4</v>
      </c>
      <c r="B1570" s="21" t="n">
        <v>45</v>
      </c>
      <c r="C1570" s="22" t="n">
        <v>95</v>
      </c>
      <c r="D1570" s="22" t="n">
        <v>2</v>
      </c>
      <c r="E1570" s="23" t="n">
        <v>4</v>
      </c>
      <c r="F1570" s="22" t="n">
        <v>2</v>
      </c>
      <c r="G1570" s="23" t="inlineStr">
        <is>
          <t>Oui</t>
        </is>
      </c>
      <c r="H1570" s="23" t="inlineStr">
        <is>
          <t>ON</t>
        </is>
      </c>
      <c r="I1570" s="24" t="n">
        <v>1132.611974342026</v>
      </c>
      <c r="J1570" s="24" t="n">
        <v>6657.967474874614</v>
      </c>
      <c r="K1570" s="24" t="n">
        <v>3166.666666666667</v>
      </c>
      <c r="L1570" s="24" t="n">
        <v>150</v>
      </c>
      <c r="M1570" s="24">
        <f>I1570+J1570+K1570+L1570</f>
        <v/>
      </c>
      <c r="N1570" s="24">
        <f>M1570*'Dashboard &amp; Optimisation'!$B$18/('Dashboard &amp; Optimisation'!$B$16/3.6)</f>
        <v/>
      </c>
      <c r="O1570" s="24" t="n">
        <v>904.5845160530196</v>
      </c>
      <c r="P1570" s="25" t="n">
        <v>0.07304296145994044</v>
      </c>
      <c r="Q1570" s="26" t="n">
        <v>9.36956338502897</v>
      </c>
      <c r="R1570" s="24" t="n">
        <v>4607.336593386117</v>
      </c>
      <c r="S1570" s="24">
        <f>R1570*IF(A1570=4, 2.0, 3.0)</f>
        <v/>
      </c>
      <c r="T1570" s="22">
        <f>'Dashboard &amp; Optimisation'!$B$18*U1570</f>
        <v/>
      </c>
      <c r="U1570" s="27">
        <f>MIN(1, S1570/M1570)</f>
        <v/>
      </c>
      <c r="V1570" s="27">
        <f>N1570/(N1570+O1570)</f>
        <v/>
      </c>
      <c r="W1570" s="27">
        <f>U1570*V1570</f>
        <v/>
      </c>
      <c r="X1570" s="25">
        <f>T1570/N1570</f>
        <v/>
      </c>
      <c r="Y1570" s="28">
        <f>IF(W1570=MAXIFS(W$2:W$3601, A$2:A$3601, A1570, B$2:B$3601, B1570), "OPTIMAL", "")</f>
        <v/>
      </c>
    </row>
    <row r="1571" ht="20" customHeight="1">
      <c r="A1571" s="29" t="n">
        <v>4</v>
      </c>
      <c r="B1571" s="29" t="n">
        <v>45</v>
      </c>
      <c r="C1571" s="30" t="n">
        <v>95</v>
      </c>
      <c r="D1571" s="30" t="n">
        <v>2</v>
      </c>
      <c r="E1571" s="6" t="n">
        <v>4</v>
      </c>
      <c r="F1571" s="30" t="n">
        <v>2</v>
      </c>
      <c r="G1571" s="6" t="inlineStr">
        <is>
          <t>Oui</t>
        </is>
      </c>
      <c r="H1571" s="6" t="inlineStr">
        <is>
          <t>OFF</t>
        </is>
      </c>
      <c r="I1571" s="31" t="n">
        <v>1132.611974342026</v>
      </c>
      <c r="J1571" s="31" t="n">
        <v>6657.967474874614</v>
      </c>
      <c r="K1571" s="31" t="n">
        <v>3166.666666666667</v>
      </c>
      <c r="L1571" s="31" t="n">
        <v>150</v>
      </c>
      <c r="M1571" s="31">
        <f>I1571+J1571+K1571+L1571</f>
        <v/>
      </c>
      <c r="N1571" s="31">
        <f>M1571*'Dashboard &amp; Optimisation'!$B$18/('Dashboard &amp; Optimisation'!$B$16/3.6)</f>
        <v/>
      </c>
      <c r="O1571" s="31" t="n">
        <v>904.5845160530196</v>
      </c>
      <c r="P1571" s="32" t="n">
        <v>0.316679947936384</v>
      </c>
      <c r="Q1571" s="33" t="n">
        <v>9.36956338502897</v>
      </c>
      <c r="R1571" s="31" t="n">
        <v>1062.692827306134</v>
      </c>
      <c r="S1571" s="31">
        <f>R1571*IF(A1571=4, 2.0, 3.0)</f>
        <v/>
      </c>
      <c r="T1571" s="30">
        <f>'Dashboard &amp; Optimisation'!$B$18*U1571</f>
        <v/>
      </c>
      <c r="U1571" s="34">
        <f>MIN(1, S1571/M1571)</f>
        <v/>
      </c>
      <c r="V1571" s="34">
        <f>N1571/(N1571+O1571)</f>
        <v/>
      </c>
      <c r="W1571" s="34">
        <f>U1571*V1571</f>
        <v/>
      </c>
      <c r="X1571" s="32">
        <f>T1571/N1571</f>
        <v/>
      </c>
      <c r="Y1571" s="35">
        <f>IF(W1571=MAXIFS(W$2:W$3601, A$2:A$3601, A1571, B$2:B$3601, B1571), "OPTIMAL", "")</f>
        <v/>
      </c>
    </row>
    <row r="1572" ht="20" customHeight="1">
      <c r="A1572" s="21" t="n">
        <v>4</v>
      </c>
      <c r="B1572" s="21" t="n">
        <v>45</v>
      </c>
      <c r="C1572" s="22" t="n">
        <v>95</v>
      </c>
      <c r="D1572" s="22" t="n">
        <v>2</v>
      </c>
      <c r="E1572" s="23" t="n">
        <v>4</v>
      </c>
      <c r="F1572" s="22" t="n">
        <v>2</v>
      </c>
      <c r="G1572" s="23" t="inlineStr">
        <is>
          <t>Non</t>
        </is>
      </c>
      <c r="H1572" s="23" t="inlineStr">
        <is>
          <t>ON</t>
        </is>
      </c>
      <c r="I1572" s="24" t="n">
        <v>1132.611974342026</v>
      </c>
      <c r="J1572" s="24" t="n">
        <v>6657.967474874614</v>
      </c>
      <c r="K1572" s="24" t="n">
        <v>3166.666666666667</v>
      </c>
      <c r="L1572" s="24" t="n">
        <v>150</v>
      </c>
      <c r="M1572" s="24">
        <f>I1572+J1572+K1572+L1572</f>
        <v/>
      </c>
      <c r="N1572" s="24">
        <f>M1572*'Dashboard &amp; Optimisation'!$B$18/('Dashboard &amp; Optimisation'!$B$16/3.6)</f>
        <v/>
      </c>
      <c r="O1572" s="24" t="n">
        <v>904.5845160530196</v>
      </c>
      <c r="P1572" s="25" t="n">
        <v>0.06969233107905842</v>
      </c>
      <c r="Q1572" s="26" t="n">
        <v>9.36956338502897</v>
      </c>
      <c r="R1572" s="24" t="n">
        <v>4828.845642168497</v>
      </c>
      <c r="S1572" s="24">
        <f>R1572*IF(A1572=4, 2.0, 3.0)</f>
        <v/>
      </c>
      <c r="T1572" s="22">
        <f>'Dashboard &amp; Optimisation'!$B$18*U1572</f>
        <v/>
      </c>
      <c r="U1572" s="27">
        <f>MIN(1, S1572/M1572)</f>
        <v/>
      </c>
      <c r="V1572" s="27">
        <f>N1572/(N1572+O1572)</f>
        <v/>
      </c>
      <c r="W1572" s="27">
        <f>U1572*V1572</f>
        <v/>
      </c>
      <c r="X1572" s="25">
        <f>T1572/N1572</f>
        <v/>
      </c>
      <c r="Y1572" s="28">
        <f>IF(W1572=MAXIFS(W$2:W$3601, A$2:A$3601, A1572, B$2:B$3601, B1572), "OPTIMAL", "")</f>
        <v/>
      </c>
    </row>
    <row r="1573" ht="20" customHeight="1">
      <c r="A1573" s="29" t="n">
        <v>4</v>
      </c>
      <c r="B1573" s="29" t="n">
        <v>45</v>
      </c>
      <c r="C1573" s="30" t="n">
        <v>95</v>
      </c>
      <c r="D1573" s="30" t="n">
        <v>2</v>
      </c>
      <c r="E1573" s="6" t="n">
        <v>4</v>
      </c>
      <c r="F1573" s="30" t="n">
        <v>2</v>
      </c>
      <c r="G1573" s="6" t="inlineStr">
        <is>
          <t>Non</t>
        </is>
      </c>
      <c r="H1573" s="6" t="inlineStr">
        <is>
          <t>OFF</t>
        </is>
      </c>
      <c r="I1573" s="31" t="n">
        <v>1132.611974342026</v>
      </c>
      <c r="J1573" s="31" t="n">
        <v>6657.967474874614</v>
      </c>
      <c r="K1573" s="31" t="n">
        <v>3166.666666666667</v>
      </c>
      <c r="L1573" s="31" t="n">
        <v>150</v>
      </c>
      <c r="M1573" s="31">
        <f>I1573+J1573+K1573+L1573</f>
        <v/>
      </c>
      <c r="N1573" s="31">
        <f>M1573*'Dashboard &amp; Optimisation'!$B$18/('Dashboard &amp; Optimisation'!$B$16/3.6)</f>
        <v/>
      </c>
      <c r="O1573" s="31" t="n">
        <v>904.5845160530196</v>
      </c>
      <c r="P1573" s="32" t="n">
        <v>0.313329317555502</v>
      </c>
      <c r="Q1573" s="33" t="n">
        <v>9.36956338502897</v>
      </c>
      <c r="R1573" s="31" t="n">
        <v>1074.056879991969</v>
      </c>
      <c r="S1573" s="31">
        <f>R1573*IF(A1573=4, 2.0, 3.0)</f>
        <v/>
      </c>
      <c r="T1573" s="30">
        <f>'Dashboard &amp; Optimisation'!$B$18*U1573</f>
        <v/>
      </c>
      <c r="U1573" s="34">
        <f>MIN(1, S1573/M1573)</f>
        <v/>
      </c>
      <c r="V1573" s="34">
        <f>N1573/(N1573+O1573)</f>
        <v/>
      </c>
      <c r="W1573" s="34">
        <f>U1573*V1573</f>
        <v/>
      </c>
      <c r="X1573" s="32">
        <f>T1573/N1573</f>
        <v/>
      </c>
      <c r="Y1573" s="35">
        <f>IF(W1573=MAXIFS(W$2:W$3601, A$2:A$3601, A1573, B$2:B$3601, B1573), "OPTIMAL", "")</f>
        <v/>
      </c>
    </row>
    <row r="1574" ht="20" customHeight="1">
      <c r="A1574" s="21" t="n">
        <v>4</v>
      </c>
      <c r="B1574" s="21" t="n">
        <v>45</v>
      </c>
      <c r="C1574" s="22" t="n">
        <v>95</v>
      </c>
      <c r="D1574" s="22" t="n">
        <v>2</v>
      </c>
      <c r="E1574" s="23" t="n">
        <v>8</v>
      </c>
      <c r="F1574" s="22" t="n">
        <v>1.5</v>
      </c>
      <c r="G1574" s="23" t="inlineStr">
        <is>
          <t>Oui</t>
        </is>
      </c>
      <c r="H1574" s="23" t="inlineStr">
        <is>
          <t>ON</t>
        </is>
      </c>
      <c r="I1574" s="24" t="n">
        <v>1132.611974342026</v>
      </c>
      <c r="J1574" s="24" t="n">
        <v>6657.967474874614</v>
      </c>
      <c r="K1574" s="24" t="n">
        <v>3166.666666666667</v>
      </c>
      <c r="L1574" s="24" t="n">
        <v>150</v>
      </c>
      <c r="M1574" s="24">
        <f>I1574+J1574+K1574+L1574</f>
        <v/>
      </c>
      <c r="N1574" s="24">
        <f>M1574*'Dashboard &amp; Optimisation'!$B$18/('Dashboard &amp; Optimisation'!$B$16/3.6)</f>
        <v/>
      </c>
      <c r="O1574" s="24" t="n">
        <v>1117.592827679911</v>
      </c>
      <c r="P1574" s="25" t="n">
        <v>0.05699087655301123</v>
      </c>
      <c r="Q1574" s="26" t="n">
        <v>13.95434507754346</v>
      </c>
      <c r="R1574" s="24" t="n">
        <v>6046.753114202961</v>
      </c>
      <c r="S1574" s="24">
        <f>R1574*IF(A1574=4, 2.0, 3.0)</f>
        <v/>
      </c>
      <c r="T1574" s="22">
        <f>'Dashboard &amp; Optimisation'!$B$18*U1574</f>
        <v/>
      </c>
      <c r="U1574" s="27">
        <f>MIN(1, S1574/M1574)</f>
        <v/>
      </c>
      <c r="V1574" s="27">
        <f>N1574/(N1574+O1574)</f>
        <v/>
      </c>
      <c r="W1574" s="27">
        <f>U1574*V1574</f>
        <v/>
      </c>
      <c r="X1574" s="25">
        <f>T1574/N1574</f>
        <v/>
      </c>
      <c r="Y1574" s="28">
        <f>IF(W1574=MAXIFS(W$2:W$3601, A$2:A$3601, A1574, B$2:B$3601, B1574), "OPTIMAL", "")</f>
        <v/>
      </c>
    </row>
    <row r="1575" ht="20" customHeight="1">
      <c r="A1575" s="29" t="n">
        <v>4</v>
      </c>
      <c r="B1575" s="29" t="n">
        <v>45</v>
      </c>
      <c r="C1575" s="30" t="n">
        <v>95</v>
      </c>
      <c r="D1575" s="30" t="n">
        <v>2</v>
      </c>
      <c r="E1575" s="6" t="n">
        <v>8</v>
      </c>
      <c r="F1575" s="30" t="n">
        <v>1.5</v>
      </c>
      <c r="G1575" s="6" t="inlineStr">
        <is>
          <t>Oui</t>
        </is>
      </c>
      <c r="H1575" s="6" t="inlineStr">
        <is>
          <t>OFF</t>
        </is>
      </c>
      <c r="I1575" s="31" t="n">
        <v>1132.611974342026</v>
      </c>
      <c r="J1575" s="31" t="n">
        <v>6657.967474874614</v>
      </c>
      <c r="K1575" s="31" t="n">
        <v>3166.666666666667</v>
      </c>
      <c r="L1575" s="31" t="n">
        <v>150</v>
      </c>
      <c r="M1575" s="31">
        <f>I1575+J1575+K1575+L1575</f>
        <v/>
      </c>
      <c r="N1575" s="31">
        <f>M1575*'Dashboard &amp; Optimisation'!$B$18/('Dashboard &amp; Optimisation'!$B$16/3.6)</f>
        <v/>
      </c>
      <c r="O1575" s="31" t="n">
        <v>1117.592827679911</v>
      </c>
      <c r="P1575" s="32" t="n">
        <v>0.2469467888801933</v>
      </c>
      <c r="Q1575" s="33" t="n">
        <v>13.95434507754346</v>
      </c>
      <c r="R1575" s="31" t="n">
        <v>1395.481843844769</v>
      </c>
      <c r="S1575" s="31">
        <f>R1575*IF(A1575=4, 2.0, 3.0)</f>
        <v/>
      </c>
      <c r="T1575" s="30">
        <f>'Dashboard &amp; Optimisation'!$B$18*U1575</f>
        <v/>
      </c>
      <c r="U1575" s="34">
        <f>MIN(1, S1575/M1575)</f>
        <v/>
      </c>
      <c r="V1575" s="34">
        <f>N1575/(N1575+O1575)</f>
        <v/>
      </c>
      <c r="W1575" s="34">
        <f>U1575*V1575</f>
        <v/>
      </c>
      <c r="X1575" s="32">
        <f>T1575/N1575</f>
        <v/>
      </c>
      <c r="Y1575" s="35">
        <f>IF(W1575=MAXIFS(W$2:W$3601, A$2:A$3601, A1575, B$2:B$3601, B1575), "OPTIMAL", "")</f>
        <v/>
      </c>
    </row>
    <row r="1576" ht="20" customHeight="1">
      <c r="A1576" s="21" t="n">
        <v>4</v>
      </c>
      <c r="B1576" s="21" t="n">
        <v>45</v>
      </c>
      <c r="C1576" s="22" t="n">
        <v>95</v>
      </c>
      <c r="D1576" s="22" t="n">
        <v>2</v>
      </c>
      <c r="E1576" s="23" t="n">
        <v>8</v>
      </c>
      <c r="F1576" s="22" t="n">
        <v>1.5</v>
      </c>
      <c r="G1576" s="23" t="inlineStr">
        <is>
          <t>Non</t>
        </is>
      </c>
      <c r="H1576" s="23" t="inlineStr">
        <is>
          <t>ON</t>
        </is>
      </c>
      <c r="I1576" s="24" t="n">
        <v>1132.611974342026</v>
      </c>
      <c r="J1576" s="24" t="n">
        <v>6657.967474874614</v>
      </c>
      <c r="K1576" s="24" t="n">
        <v>3166.666666666667</v>
      </c>
      <c r="L1576" s="24" t="n">
        <v>150</v>
      </c>
      <c r="M1576" s="24">
        <f>I1576+J1576+K1576+L1576</f>
        <v/>
      </c>
      <c r="N1576" s="24">
        <f>M1576*'Dashboard &amp; Optimisation'!$B$18/('Dashboard &amp; Optimisation'!$B$16/3.6)</f>
        <v/>
      </c>
      <c r="O1576" s="24" t="n">
        <v>1117.592827679911</v>
      </c>
      <c r="P1576" s="25" t="n">
        <v>0.05364024617212922</v>
      </c>
      <c r="Q1576" s="26" t="n">
        <v>13.95434507754346</v>
      </c>
      <c r="R1576" s="24" t="n">
        <v>6424.462691171091</v>
      </c>
      <c r="S1576" s="24">
        <f>R1576*IF(A1576=4, 2.0, 3.0)</f>
        <v/>
      </c>
      <c r="T1576" s="22">
        <f>'Dashboard &amp; Optimisation'!$B$18*U1576</f>
        <v/>
      </c>
      <c r="U1576" s="27">
        <f>MIN(1, S1576/M1576)</f>
        <v/>
      </c>
      <c r="V1576" s="27">
        <f>N1576/(N1576+O1576)</f>
        <v/>
      </c>
      <c r="W1576" s="27">
        <f>U1576*V1576</f>
        <v/>
      </c>
      <c r="X1576" s="25">
        <f>T1576/N1576</f>
        <v/>
      </c>
      <c r="Y1576" s="28">
        <f>IF(W1576=MAXIFS(W$2:W$3601, A$2:A$3601, A1576, B$2:B$3601, B1576), "OPTIMAL", "")</f>
        <v/>
      </c>
    </row>
    <row r="1577" ht="20" customHeight="1">
      <c r="A1577" s="29" t="n">
        <v>4</v>
      </c>
      <c r="B1577" s="29" t="n">
        <v>45</v>
      </c>
      <c r="C1577" s="30" t="n">
        <v>95</v>
      </c>
      <c r="D1577" s="30" t="n">
        <v>2</v>
      </c>
      <c r="E1577" s="6" t="n">
        <v>8</v>
      </c>
      <c r="F1577" s="30" t="n">
        <v>1.5</v>
      </c>
      <c r="G1577" s="6" t="inlineStr">
        <is>
          <t>Non</t>
        </is>
      </c>
      <c r="H1577" s="6" t="inlineStr">
        <is>
          <t>OFF</t>
        </is>
      </c>
      <c r="I1577" s="31" t="n">
        <v>1132.611974342026</v>
      </c>
      <c r="J1577" s="31" t="n">
        <v>6657.967474874614</v>
      </c>
      <c r="K1577" s="31" t="n">
        <v>3166.666666666667</v>
      </c>
      <c r="L1577" s="31" t="n">
        <v>150</v>
      </c>
      <c r="M1577" s="31">
        <f>I1577+J1577+K1577+L1577</f>
        <v/>
      </c>
      <c r="N1577" s="31">
        <f>M1577*'Dashboard &amp; Optimisation'!$B$18/('Dashboard &amp; Optimisation'!$B$16/3.6)</f>
        <v/>
      </c>
      <c r="O1577" s="31" t="n">
        <v>1117.592827679911</v>
      </c>
      <c r="P1577" s="32" t="n">
        <v>0.2435961584993113</v>
      </c>
      <c r="Q1577" s="33" t="n">
        <v>13.95434507754346</v>
      </c>
      <c r="R1577" s="31" t="n">
        <v>1414.676497367882</v>
      </c>
      <c r="S1577" s="31">
        <f>R1577*IF(A1577=4, 2.0, 3.0)</f>
        <v/>
      </c>
      <c r="T1577" s="30">
        <f>'Dashboard &amp; Optimisation'!$B$18*U1577</f>
        <v/>
      </c>
      <c r="U1577" s="34">
        <f>MIN(1, S1577/M1577)</f>
        <v/>
      </c>
      <c r="V1577" s="34">
        <f>N1577/(N1577+O1577)</f>
        <v/>
      </c>
      <c r="W1577" s="34">
        <f>U1577*V1577</f>
        <v/>
      </c>
      <c r="X1577" s="32">
        <f>T1577/N1577</f>
        <v/>
      </c>
      <c r="Y1577" s="35">
        <f>IF(W1577=MAXIFS(W$2:W$3601, A$2:A$3601, A1577, B$2:B$3601, B1577), "OPTIMAL", "")</f>
        <v/>
      </c>
    </row>
    <row r="1578" ht="20" customHeight="1">
      <c r="A1578" s="21" t="n">
        <v>4</v>
      </c>
      <c r="B1578" s="21" t="n">
        <v>45</v>
      </c>
      <c r="C1578" s="22" t="n">
        <v>95</v>
      </c>
      <c r="D1578" s="22" t="n">
        <v>2</v>
      </c>
      <c r="E1578" s="23" t="n">
        <v>8</v>
      </c>
      <c r="F1578" s="22" t="n">
        <v>2</v>
      </c>
      <c r="G1578" s="23" t="inlineStr">
        <is>
          <t>Oui</t>
        </is>
      </c>
      <c r="H1578" s="23" t="inlineStr">
        <is>
          <t>ON</t>
        </is>
      </c>
      <c r="I1578" s="24" t="n">
        <v>1132.611974342026</v>
      </c>
      <c r="J1578" s="24" t="n">
        <v>6657.967474874614</v>
      </c>
      <c r="K1578" s="24" t="n">
        <v>3166.666666666667</v>
      </c>
      <c r="L1578" s="24" t="n">
        <v>150</v>
      </c>
      <c r="M1578" s="24">
        <f>I1578+J1578+K1578+L1578</f>
        <v/>
      </c>
      <c r="N1578" s="24">
        <f>M1578*'Dashboard &amp; Optimisation'!$B$18/('Dashboard &amp; Optimisation'!$B$16/3.6)</f>
        <v/>
      </c>
      <c r="O1578" s="24" t="n">
        <v>1341.076222798405</v>
      </c>
      <c r="P1578" s="25" t="n">
        <v>0.05584601824581075</v>
      </c>
      <c r="Q1578" s="26" t="n">
        <v>18.53912677005794</v>
      </c>
      <c r="R1578" s="24" t="n">
        <v>6322.441370505788</v>
      </c>
      <c r="S1578" s="24">
        <f>R1578*IF(A1578=4, 2.0, 3.0)</f>
        <v/>
      </c>
      <c r="T1578" s="22">
        <f>'Dashboard &amp; Optimisation'!$B$18*U1578</f>
        <v/>
      </c>
      <c r="U1578" s="27">
        <f>MIN(1, S1578/M1578)</f>
        <v/>
      </c>
      <c r="V1578" s="27">
        <f>N1578/(N1578+O1578)</f>
        <v/>
      </c>
      <c r="W1578" s="27">
        <f>U1578*V1578</f>
        <v/>
      </c>
      <c r="X1578" s="25">
        <f>T1578/N1578</f>
        <v/>
      </c>
      <c r="Y1578" s="28">
        <f>IF(W1578=MAXIFS(W$2:W$3601, A$2:A$3601, A1578, B$2:B$3601, B1578), "OPTIMAL", "")</f>
        <v/>
      </c>
    </row>
    <row r="1579" ht="20" customHeight="1">
      <c r="A1579" s="29" t="n">
        <v>4</v>
      </c>
      <c r="B1579" s="29" t="n">
        <v>45</v>
      </c>
      <c r="C1579" s="30" t="n">
        <v>95</v>
      </c>
      <c r="D1579" s="30" t="n">
        <v>2</v>
      </c>
      <c r="E1579" s="6" t="n">
        <v>8</v>
      </c>
      <c r="F1579" s="30" t="n">
        <v>2</v>
      </c>
      <c r="G1579" s="6" t="inlineStr">
        <is>
          <t>Oui</t>
        </is>
      </c>
      <c r="H1579" s="6" t="inlineStr">
        <is>
          <t>OFF</t>
        </is>
      </c>
      <c r="I1579" s="31" t="n">
        <v>1132.611974342026</v>
      </c>
      <c r="J1579" s="31" t="n">
        <v>6657.967474874614</v>
      </c>
      <c r="K1579" s="31" t="n">
        <v>3166.666666666667</v>
      </c>
      <c r="L1579" s="31" t="n">
        <v>150</v>
      </c>
      <c r="M1579" s="31">
        <f>I1579+J1579+K1579+L1579</f>
        <v/>
      </c>
      <c r="N1579" s="31">
        <f>M1579*'Dashboard &amp; Optimisation'!$B$18/('Dashboard &amp; Optimisation'!$B$16/3.6)</f>
        <v/>
      </c>
      <c r="O1579" s="31" t="n">
        <v>1341.076222798405</v>
      </c>
      <c r="P1579" s="32" t="n">
        <v>0.2472541696165357</v>
      </c>
      <c r="Q1579" s="33" t="n">
        <v>18.53912677005794</v>
      </c>
      <c r="R1579" s="31" t="n">
        <v>1428.017075234478</v>
      </c>
      <c r="S1579" s="31">
        <f>R1579*IF(A1579=4, 2.0, 3.0)</f>
        <v/>
      </c>
      <c r="T1579" s="30">
        <f>'Dashboard &amp; Optimisation'!$B$18*U1579</f>
        <v/>
      </c>
      <c r="U1579" s="34">
        <f>MIN(1, S1579/M1579)</f>
        <v/>
      </c>
      <c r="V1579" s="34">
        <f>N1579/(N1579+O1579)</f>
        <v/>
      </c>
      <c r="W1579" s="34">
        <f>U1579*V1579</f>
        <v/>
      </c>
      <c r="X1579" s="32">
        <f>T1579/N1579</f>
        <v/>
      </c>
      <c r="Y1579" s="35">
        <f>IF(W1579=MAXIFS(W$2:W$3601, A$2:A$3601, A1579, B$2:B$3601, B1579), "OPTIMAL", "")</f>
        <v/>
      </c>
    </row>
    <row r="1580" ht="20" customHeight="1">
      <c r="A1580" s="21" t="n">
        <v>4</v>
      </c>
      <c r="B1580" s="21" t="n">
        <v>45</v>
      </c>
      <c r="C1580" s="22" t="n">
        <v>95</v>
      </c>
      <c r="D1580" s="22" t="n">
        <v>2</v>
      </c>
      <c r="E1580" s="23" t="n">
        <v>8</v>
      </c>
      <c r="F1580" s="22" t="n">
        <v>2</v>
      </c>
      <c r="G1580" s="23" t="inlineStr">
        <is>
          <t>Non</t>
        </is>
      </c>
      <c r="H1580" s="23" t="inlineStr">
        <is>
          <t>ON</t>
        </is>
      </c>
      <c r="I1580" s="24" t="n">
        <v>1132.611974342026</v>
      </c>
      <c r="J1580" s="24" t="n">
        <v>6657.967474874614</v>
      </c>
      <c r="K1580" s="24" t="n">
        <v>3166.666666666667</v>
      </c>
      <c r="L1580" s="24" t="n">
        <v>150</v>
      </c>
      <c r="M1580" s="24">
        <f>I1580+J1580+K1580+L1580</f>
        <v/>
      </c>
      <c r="N1580" s="24">
        <f>M1580*'Dashboard &amp; Optimisation'!$B$18/('Dashboard &amp; Optimisation'!$B$16/3.6)</f>
        <v/>
      </c>
      <c r="O1580" s="24" t="n">
        <v>1341.076222798405</v>
      </c>
      <c r="P1580" s="25" t="n">
        <v>0.05249538786492874</v>
      </c>
      <c r="Q1580" s="26" t="n">
        <v>18.53912677005794</v>
      </c>
      <c r="R1580" s="24" t="n">
        <v>6725.984710196297</v>
      </c>
      <c r="S1580" s="24">
        <f>R1580*IF(A1580=4, 2.0, 3.0)</f>
        <v/>
      </c>
      <c r="T1580" s="22">
        <f>'Dashboard &amp; Optimisation'!$B$18*U1580</f>
        <v/>
      </c>
      <c r="U1580" s="27">
        <f>MIN(1, S1580/M1580)</f>
        <v/>
      </c>
      <c r="V1580" s="27">
        <f>N1580/(N1580+O1580)</f>
        <v/>
      </c>
      <c r="W1580" s="27">
        <f>U1580*V1580</f>
        <v/>
      </c>
      <c r="X1580" s="25">
        <f>T1580/N1580</f>
        <v/>
      </c>
      <c r="Y1580" s="28">
        <f>IF(W1580=MAXIFS(W$2:W$3601, A$2:A$3601, A1580, B$2:B$3601, B1580), "OPTIMAL", "")</f>
        <v/>
      </c>
    </row>
    <row r="1581" ht="20" customHeight="1">
      <c r="A1581" s="29" t="n">
        <v>4</v>
      </c>
      <c r="B1581" s="29" t="n">
        <v>45</v>
      </c>
      <c r="C1581" s="30" t="n">
        <v>95</v>
      </c>
      <c r="D1581" s="30" t="n">
        <v>2</v>
      </c>
      <c r="E1581" s="6" t="n">
        <v>8</v>
      </c>
      <c r="F1581" s="30" t="n">
        <v>2</v>
      </c>
      <c r="G1581" s="6" t="inlineStr">
        <is>
          <t>Non</t>
        </is>
      </c>
      <c r="H1581" s="6" t="inlineStr">
        <is>
          <t>OFF</t>
        </is>
      </c>
      <c r="I1581" s="31" t="n">
        <v>1132.611974342026</v>
      </c>
      <c r="J1581" s="31" t="n">
        <v>6657.967474874614</v>
      </c>
      <c r="K1581" s="31" t="n">
        <v>3166.666666666667</v>
      </c>
      <c r="L1581" s="31" t="n">
        <v>150</v>
      </c>
      <c r="M1581" s="31">
        <f>I1581+J1581+K1581+L1581</f>
        <v/>
      </c>
      <c r="N1581" s="31">
        <f>M1581*'Dashboard &amp; Optimisation'!$B$18/('Dashboard &amp; Optimisation'!$B$16/3.6)</f>
        <v/>
      </c>
      <c r="O1581" s="31" t="n">
        <v>1341.076222798405</v>
      </c>
      <c r="P1581" s="32" t="n">
        <v>0.2439035392356537</v>
      </c>
      <c r="Q1581" s="33" t="n">
        <v>18.53912677005794</v>
      </c>
      <c r="R1581" s="31" t="n">
        <v>1447.634492069402</v>
      </c>
      <c r="S1581" s="31">
        <f>R1581*IF(A1581=4, 2.0, 3.0)</f>
        <v/>
      </c>
      <c r="T1581" s="30">
        <f>'Dashboard &amp; Optimisation'!$B$18*U1581</f>
        <v/>
      </c>
      <c r="U1581" s="34">
        <f>MIN(1, S1581/M1581)</f>
        <v/>
      </c>
      <c r="V1581" s="34">
        <f>N1581/(N1581+O1581)</f>
        <v/>
      </c>
      <c r="W1581" s="34">
        <f>U1581*V1581</f>
        <v/>
      </c>
      <c r="X1581" s="32">
        <f>T1581/N1581</f>
        <v/>
      </c>
      <c r="Y1581" s="35">
        <f>IF(W1581=MAXIFS(W$2:W$3601, A$2:A$3601, A1581, B$2:B$3601, B1581), "OPTIMAL", "")</f>
        <v/>
      </c>
    </row>
    <row r="1582" ht="20" customHeight="1">
      <c r="A1582" s="21" t="n">
        <v>4</v>
      </c>
      <c r="B1582" s="21" t="n">
        <v>45</v>
      </c>
      <c r="C1582" s="22" t="n">
        <v>95</v>
      </c>
      <c r="D1582" s="22" t="n">
        <v>3</v>
      </c>
      <c r="E1582" s="23" t="n">
        <v>0</v>
      </c>
      <c r="F1582" s="22" t="n">
        <v>0</v>
      </c>
      <c r="G1582" s="23" t="inlineStr">
        <is>
          <t>Oui</t>
        </is>
      </c>
      <c r="H1582" s="23" t="inlineStr">
        <is>
          <t>ON</t>
        </is>
      </c>
      <c r="I1582" s="24" t="n">
        <v>1132.611974342026</v>
      </c>
      <c r="J1582" s="24" t="n">
        <v>6657.967474874614</v>
      </c>
      <c r="K1582" s="24" t="n">
        <v>3166.666666666667</v>
      </c>
      <c r="L1582" s="24" t="n">
        <v>150</v>
      </c>
      <c r="M1582" s="24">
        <f>I1582+J1582+K1582+L1582</f>
        <v/>
      </c>
      <c r="N1582" s="24">
        <f>M1582*'Dashboard &amp; Optimisation'!$B$18/('Dashboard &amp; Optimisation'!$B$16/3.6)</f>
        <v/>
      </c>
      <c r="O1582" s="24" t="n">
        <v>786.7926176219578</v>
      </c>
      <c r="P1582" s="25" t="n">
        <v>0.4850543981280133</v>
      </c>
      <c r="Q1582" s="26" t="n">
        <v>0.2</v>
      </c>
      <c r="R1582" s="24" t="n">
        <v>692.8625862808481</v>
      </c>
      <c r="S1582" s="24">
        <f>R1582*IF(A1582=4, 2.0, 3.0)</f>
        <v/>
      </c>
      <c r="T1582" s="22">
        <f>'Dashboard &amp; Optimisation'!$B$18*U1582</f>
        <v/>
      </c>
      <c r="U1582" s="27">
        <f>MIN(1, S1582/M1582)</f>
        <v/>
      </c>
      <c r="V1582" s="27">
        <f>N1582/(N1582+O1582)</f>
        <v/>
      </c>
      <c r="W1582" s="27">
        <f>U1582*V1582</f>
        <v/>
      </c>
      <c r="X1582" s="25">
        <f>T1582/N1582</f>
        <v/>
      </c>
      <c r="Y1582" s="28">
        <f>IF(W1582=MAXIFS(W$2:W$3601, A$2:A$3601, A1582, B$2:B$3601, B1582), "OPTIMAL", "")</f>
        <v/>
      </c>
    </row>
    <row r="1583" ht="20" customHeight="1">
      <c r="A1583" s="29" t="n">
        <v>4</v>
      </c>
      <c r="B1583" s="29" t="n">
        <v>45</v>
      </c>
      <c r="C1583" s="30" t="n">
        <v>95</v>
      </c>
      <c r="D1583" s="30" t="n">
        <v>3</v>
      </c>
      <c r="E1583" s="6" t="n">
        <v>0</v>
      </c>
      <c r="F1583" s="30" t="n">
        <v>0</v>
      </c>
      <c r="G1583" s="6" t="inlineStr">
        <is>
          <t>Oui</t>
        </is>
      </c>
      <c r="H1583" s="6" t="inlineStr">
        <is>
          <t>OFF</t>
        </is>
      </c>
      <c r="I1583" s="31" t="n">
        <v>1132.611974342026</v>
      </c>
      <c r="J1583" s="31" t="n">
        <v>6657.967474874614</v>
      </c>
      <c r="K1583" s="31" t="n">
        <v>3166.666666666667</v>
      </c>
      <c r="L1583" s="31" t="n">
        <v>150</v>
      </c>
      <c r="M1583" s="31">
        <f>I1583+J1583+K1583+L1583</f>
        <v/>
      </c>
      <c r="N1583" s="31">
        <f>M1583*'Dashboard &amp; Optimisation'!$B$18/('Dashboard &amp; Optimisation'!$B$16/3.6)</f>
        <v/>
      </c>
      <c r="O1583" s="31" t="n">
        <v>786.7926176219578</v>
      </c>
      <c r="P1583" s="32" t="n">
        <v>0.820117436216214</v>
      </c>
      <c r="Q1583" s="33" t="n">
        <v>0.2</v>
      </c>
      <c r="R1583" s="31" t="n">
        <v>409.7901470360558</v>
      </c>
      <c r="S1583" s="31">
        <f>R1583*IF(A1583=4, 2.0, 3.0)</f>
        <v/>
      </c>
      <c r="T1583" s="30">
        <f>'Dashboard &amp; Optimisation'!$B$18*U1583</f>
        <v/>
      </c>
      <c r="U1583" s="34">
        <f>MIN(1, S1583/M1583)</f>
        <v/>
      </c>
      <c r="V1583" s="34">
        <f>N1583/(N1583+O1583)</f>
        <v/>
      </c>
      <c r="W1583" s="34">
        <f>U1583*V1583</f>
        <v/>
      </c>
      <c r="X1583" s="32">
        <f>T1583/N1583</f>
        <v/>
      </c>
      <c r="Y1583" s="35">
        <f>IF(W1583=MAXIFS(W$2:W$3601, A$2:A$3601, A1583, B$2:B$3601, B1583), "OPTIMAL", "")</f>
        <v/>
      </c>
    </row>
    <row r="1584" ht="20" customHeight="1">
      <c r="A1584" s="21" t="n">
        <v>4</v>
      </c>
      <c r="B1584" s="21" t="n">
        <v>45</v>
      </c>
      <c r="C1584" s="22" t="n">
        <v>95</v>
      </c>
      <c r="D1584" s="22" t="n">
        <v>3</v>
      </c>
      <c r="E1584" s="23" t="n">
        <v>0</v>
      </c>
      <c r="F1584" s="22" t="n">
        <v>0</v>
      </c>
      <c r="G1584" s="23" t="inlineStr">
        <is>
          <t>Non</t>
        </is>
      </c>
      <c r="H1584" s="23" t="inlineStr">
        <is>
          <t>ON</t>
        </is>
      </c>
      <c r="I1584" s="24" t="n">
        <v>1132.611974342026</v>
      </c>
      <c r="J1584" s="24" t="n">
        <v>6657.967474874614</v>
      </c>
      <c r="K1584" s="24" t="n">
        <v>3166.666666666667</v>
      </c>
      <c r="L1584" s="24" t="n">
        <v>150</v>
      </c>
      <c r="M1584" s="24">
        <f>I1584+J1584+K1584+L1584</f>
        <v/>
      </c>
      <c r="N1584" s="24">
        <f>M1584*'Dashboard &amp; Optimisation'!$B$18/('Dashboard &amp; Optimisation'!$B$16/3.6)</f>
        <v/>
      </c>
      <c r="O1584" s="24" t="n">
        <v>786.7926176219578</v>
      </c>
      <c r="P1584" s="25" t="n">
        <v>0.4817037677471313</v>
      </c>
      <c r="Q1584" s="26" t="n">
        <v>0.2</v>
      </c>
      <c r="R1584" s="24" t="n">
        <v>697.6819931171835</v>
      </c>
      <c r="S1584" s="24">
        <f>R1584*IF(A1584=4, 2.0, 3.0)</f>
        <v/>
      </c>
      <c r="T1584" s="22">
        <f>'Dashboard &amp; Optimisation'!$B$18*U1584</f>
        <v/>
      </c>
      <c r="U1584" s="27">
        <f>MIN(1, S1584/M1584)</f>
        <v/>
      </c>
      <c r="V1584" s="27">
        <f>N1584/(N1584+O1584)</f>
        <v/>
      </c>
      <c r="W1584" s="27">
        <f>U1584*V1584</f>
        <v/>
      </c>
      <c r="X1584" s="25">
        <f>T1584/N1584</f>
        <v/>
      </c>
      <c r="Y1584" s="28">
        <f>IF(W1584=MAXIFS(W$2:W$3601, A$2:A$3601, A1584, B$2:B$3601, B1584), "OPTIMAL", "")</f>
        <v/>
      </c>
    </row>
    <row r="1585" ht="20" customHeight="1">
      <c r="A1585" s="29" t="n">
        <v>4</v>
      </c>
      <c r="B1585" s="29" t="n">
        <v>45</v>
      </c>
      <c r="C1585" s="30" t="n">
        <v>95</v>
      </c>
      <c r="D1585" s="30" t="n">
        <v>3</v>
      </c>
      <c r="E1585" s="6" t="n">
        <v>0</v>
      </c>
      <c r="F1585" s="30" t="n">
        <v>0</v>
      </c>
      <c r="G1585" s="6" t="inlineStr">
        <is>
          <t>Non</t>
        </is>
      </c>
      <c r="H1585" s="6" t="inlineStr">
        <is>
          <t>OFF</t>
        </is>
      </c>
      <c r="I1585" s="31" t="n">
        <v>1132.611974342026</v>
      </c>
      <c r="J1585" s="31" t="n">
        <v>6657.967474874614</v>
      </c>
      <c r="K1585" s="31" t="n">
        <v>3166.666666666667</v>
      </c>
      <c r="L1585" s="31" t="n">
        <v>150</v>
      </c>
      <c r="M1585" s="31">
        <f>I1585+J1585+K1585+L1585</f>
        <v/>
      </c>
      <c r="N1585" s="31">
        <f>M1585*'Dashboard &amp; Optimisation'!$B$18/('Dashboard &amp; Optimisation'!$B$16/3.6)</f>
        <v/>
      </c>
      <c r="O1585" s="31" t="n">
        <v>786.7926176219578</v>
      </c>
      <c r="P1585" s="32" t="n">
        <v>0.816766805835332</v>
      </c>
      <c r="Q1585" s="33" t="n">
        <v>0.2</v>
      </c>
      <c r="R1585" s="31" t="n">
        <v>411.471233126523</v>
      </c>
      <c r="S1585" s="31">
        <f>R1585*IF(A1585=4, 2.0, 3.0)</f>
        <v/>
      </c>
      <c r="T1585" s="30">
        <f>'Dashboard &amp; Optimisation'!$B$18*U1585</f>
        <v/>
      </c>
      <c r="U1585" s="34">
        <f>MIN(1, S1585/M1585)</f>
        <v/>
      </c>
      <c r="V1585" s="34">
        <f>N1585/(N1585+O1585)</f>
        <v/>
      </c>
      <c r="W1585" s="34">
        <f>U1585*V1585</f>
        <v/>
      </c>
      <c r="X1585" s="32">
        <f>T1585/N1585</f>
        <v/>
      </c>
      <c r="Y1585" s="35">
        <f>IF(W1585=MAXIFS(W$2:W$3601, A$2:A$3601, A1585, B$2:B$3601, B1585), "OPTIMAL", "")</f>
        <v/>
      </c>
    </row>
    <row r="1586" ht="20" customHeight="1">
      <c r="A1586" s="21" t="n">
        <v>4</v>
      </c>
      <c r="B1586" s="21" t="n">
        <v>45</v>
      </c>
      <c r="C1586" s="22" t="n">
        <v>95</v>
      </c>
      <c r="D1586" s="22" t="n">
        <v>3</v>
      </c>
      <c r="E1586" s="23" t="n">
        <v>4</v>
      </c>
      <c r="F1586" s="22" t="n">
        <v>1.5</v>
      </c>
      <c r="G1586" s="23" t="inlineStr">
        <is>
          <t>Oui</t>
        </is>
      </c>
      <c r="H1586" s="23" t="inlineStr">
        <is>
          <t>ON</t>
        </is>
      </c>
      <c r="I1586" s="24" t="n">
        <v>1132.611974342026</v>
      </c>
      <c r="J1586" s="24" t="n">
        <v>6657.967474874614</v>
      </c>
      <c r="K1586" s="24" t="n">
        <v>3166.666666666667</v>
      </c>
      <c r="L1586" s="24" t="n">
        <v>150</v>
      </c>
      <c r="M1586" s="24">
        <f>I1586+J1586+K1586+L1586</f>
        <v/>
      </c>
      <c r="N1586" s="24">
        <f>M1586*'Dashboard &amp; Optimisation'!$B$18/('Dashboard &amp; Optimisation'!$B$16/3.6)</f>
        <v/>
      </c>
      <c r="O1586" s="24" t="n">
        <v>1100.050615373076</v>
      </c>
      <c r="P1586" s="25" t="n">
        <v>0.07535655472626097</v>
      </c>
      <c r="Q1586" s="26" t="n">
        <v>7.231715741890194</v>
      </c>
      <c r="R1586" s="24" t="n">
        <v>4618.381761737363</v>
      </c>
      <c r="S1586" s="24">
        <f>R1586*IF(A1586=4, 2.0, 3.0)</f>
        <v/>
      </c>
      <c r="T1586" s="22">
        <f>'Dashboard &amp; Optimisation'!$B$18*U1586</f>
        <v/>
      </c>
      <c r="U1586" s="27">
        <f>MIN(1, S1586/M1586)</f>
        <v/>
      </c>
      <c r="V1586" s="27">
        <f>N1586/(N1586+O1586)</f>
        <v/>
      </c>
      <c r="W1586" s="27">
        <f>U1586*V1586</f>
        <v/>
      </c>
      <c r="X1586" s="25">
        <f>T1586/N1586</f>
        <v/>
      </c>
      <c r="Y1586" s="28">
        <f>IF(W1586=MAXIFS(W$2:W$3601, A$2:A$3601, A1586, B$2:B$3601, B1586), "OPTIMAL", "")</f>
        <v/>
      </c>
    </row>
    <row r="1587" ht="20" customHeight="1">
      <c r="A1587" s="29" t="n">
        <v>4</v>
      </c>
      <c r="B1587" s="29" t="n">
        <v>45</v>
      </c>
      <c r="C1587" s="30" t="n">
        <v>95</v>
      </c>
      <c r="D1587" s="30" t="n">
        <v>3</v>
      </c>
      <c r="E1587" s="6" t="n">
        <v>4</v>
      </c>
      <c r="F1587" s="30" t="n">
        <v>1.5</v>
      </c>
      <c r="G1587" s="6" t="inlineStr">
        <is>
          <t>Oui</t>
        </is>
      </c>
      <c r="H1587" s="6" t="inlineStr">
        <is>
          <t>OFF</t>
        </is>
      </c>
      <c r="I1587" s="31" t="n">
        <v>1132.611974342026</v>
      </c>
      <c r="J1587" s="31" t="n">
        <v>6657.967474874614</v>
      </c>
      <c r="K1587" s="31" t="n">
        <v>3166.666666666667</v>
      </c>
      <c r="L1587" s="31" t="n">
        <v>150</v>
      </c>
      <c r="M1587" s="31">
        <f>I1587+J1587+K1587+L1587</f>
        <v/>
      </c>
      <c r="N1587" s="31">
        <f>M1587*'Dashboard &amp; Optimisation'!$B$18/('Dashboard &amp; Optimisation'!$B$16/3.6)</f>
        <v/>
      </c>
      <c r="O1587" s="31" t="n">
        <v>1100.050615373076</v>
      </c>
      <c r="P1587" s="32" t="n">
        <v>0.3178141987215173</v>
      </c>
      <c r="Q1587" s="33" t="n">
        <v>7.231715741890194</v>
      </c>
      <c r="R1587" s="31" t="n">
        <v>1095.05912377465</v>
      </c>
      <c r="S1587" s="31">
        <f>R1587*IF(A1587=4, 2.0, 3.0)</f>
        <v/>
      </c>
      <c r="T1587" s="30">
        <f>'Dashboard &amp; Optimisation'!$B$18*U1587</f>
        <v/>
      </c>
      <c r="U1587" s="34">
        <f>MIN(1, S1587/M1587)</f>
        <v/>
      </c>
      <c r="V1587" s="34">
        <f>N1587/(N1587+O1587)</f>
        <v/>
      </c>
      <c r="W1587" s="34">
        <f>U1587*V1587</f>
        <v/>
      </c>
      <c r="X1587" s="32">
        <f>T1587/N1587</f>
        <v/>
      </c>
      <c r="Y1587" s="35">
        <f>IF(W1587=MAXIFS(W$2:W$3601, A$2:A$3601, A1587, B$2:B$3601, B1587), "OPTIMAL", "")</f>
        <v/>
      </c>
    </row>
    <row r="1588" ht="20" customHeight="1">
      <c r="A1588" s="21" t="n">
        <v>4</v>
      </c>
      <c r="B1588" s="21" t="n">
        <v>45</v>
      </c>
      <c r="C1588" s="22" t="n">
        <v>95</v>
      </c>
      <c r="D1588" s="22" t="n">
        <v>3</v>
      </c>
      <c r="E1588" s="23" t="n">
        <v>4</v>
      </c>
      <c r="F1588" s="22" t="n">
        <v>1.5</v>
      </c>
      <c r="G1588" s="23" t="inlineStr">
        <is>
          <t>Non</t>
        </is>
      </c>
      <c r="H1588" s="23" t="inlineStr">
        <is>
          <t>ON</t>
        </is>
      </c>
      <c r="I1588" s="24" t="n">
        <v>1132.611974342026</v>
      </c>
      <c r="J1588" s="24" t="n">
        <v>6657.967474874614</v>
      </c>
      <c r="K1588" s="24" t="n">
        <v>3166.666666666667</v>
      </c>
      <c r="L1588" s="24" t="n">
        <v>150</v>
      </c>
      <c r="M1588" s="24">
        <f>I1588+J1588+K1588+L1588</f>
        <v/>
      </c>
      <c r="N1588" s="24">
        <f>M1588*'Dashboard &amp; Optimisation'!$B$18/('Dashboard &amp; Optimisation'!$B$16/3.6)</f>
        <v/>
      </c>
      <c r="O1588" s="24" t="n">
        <v>1100.050615373076</v>
      </c>
      <c r="P1588" s="25" t="n">
        <v>0.07200592434537897</v>
      </c>
      <c r="Q1588" s="26" t="n">
        <v>7.231715741890194</v>
      </c>
      <c r="R1588" s="24" t="n">
        <v>4833.287554310271</v>
      </c>
      <c r="S1588" s="24">
        <f>R1588*IF(A1588=4, 2.0, 3.0)</f>
        <v/>
      </c>
      <c r="T1588" s="22">
        <f>'Dashboard &amp; Optimisation'!$B$18*U1588</f>
        <v/>
      </c>
      <c r="U1588" s="27">
        <f>MIN(1, S1588/M1588)</f>
        <v/>
      </c>
      <c r="V1588" s="27">
        <f>N1588/(N1588+O1588)</f>
        <v/>
      </c>
      <c r="W1588" s="27">
        <f>U1588*V1588</f>
        <v/>
      </c>
      <c r="X1588" s="25">
        <f>T1588/N1588</f>
        <v/>
      </c>
      <c r="Y1588" s="28">
        <f>IF(W1588=MAXIFS(W$2:W$3601, A$2:A$3601, A1588, B$2:B$3601, B1588), "OPTIMAL", "")</f>
        <v/>
      </c>
    </row>
    <row r="1589" ht="20" customHeight="1">
      <c r="A1589" s="29" t="n">
        <v>4</v>
      </c>
      <c r="B1589" s="29" t="n">
        <v>45</v>
      </c>
      <c r="C1589" s="30" t="n">
        <v>95</v>
      </c>
      <c r="D1589" s="30" t="n">
        <v>3</v>
      </c>
      <c r="E1589" s="6" t="n">
        <v>4</v>
      </c>
      <c r="F1589" s="30" t="n">
        <v>1.5</v>
      </c>
      <c r="G1589" s="6" t="inlineStr">
        <is>
          <t>Non</t>
        </is>
      </c>
      <c r="H1589" s="6" t="inlineStr">
        <is>
          <t>OFF</t>
        </is>
      </c>
      <c r="I1589" s="31" t="n">
        <v>1132.611974342026</v>
      </c>
      <c r="J1589" s="31" t="n">
        <v>6657.967474874614</v>
      </c>
      <c r="K1589" s="31" t="n">
        <v>3166.666666666667</v>
      </c>
      <c r="L1589" s="31" t="n">
        <v>150</v>
      </c>
      <c r="M1589" s="31">
        <f>I1589+J1589+K1589+L1589</f>
        <v/>
      </c>
      <c r="N1589" s="31">
        <f>M1589*'Dashboard &amp; Optimisation'!$B$18/('Dashboard &amp; Optimisation'!$B$16/3.6)</f>
        <v/>
      </c>
      <c r="O1589" s="31" t="n">
        <v>1100.050615373076</v>
      </c>
      <c r="P1589" s="32" t="n">
        <v>0.3144635683406353</v>
      </c>
      <c r="Q1589" s="33" t="n">
        <v>7.231715741890194</v>
      </c>
      <c r="R1589" s="31" t="n">
        <v>1106.727052076624</v>
      </c>
      <c r="S1589" s="31">
        <f>R1589*IF(A1589=4, 2.0, 3.0)</f>
        <v/>
      </c>
      <c r="T1589" s="30">
        <f>'Dashboard &amp; Optimisation'!$B$18*U1589</f>
        <v/>
      </c>
      <c r="U1589" s="34">
        <f>MIN(1, S1589/M1589)</f>
        <v/>
      </c>
      <c r="V1589" s="34">
        <f>N1589/(N1589+O1589)</f>
        <v/>
      </c>
      <c r="W1589" s="34">
        <f>U1589*V1589</f>
        <v/>
      </c>
      <c r="X1589" s="32">
        <f>T1589/N1589</f>
        <v/>
      </c>
      <c r="Y1589" s="35">
        <f>IF(W1589=MAXIFS(W$2:W$3601, A$2:A$3601, A1589, B$2:B$3601, B1589), "OPTIMAL", "")</f>
        <v/>
      </c>
    </row>
    <row r="1590" ht="20" customHeight="1">
      <c r="A1590" s="21" t="n">
        <v>4</v>
      </c>
      <c r="B1590" s="21" t="n">
        <v>45</v>
      </c>
      <c r="C1590" s="22" t="n">
        <v>95</v>
      </c>
      <c r="D1590" s="22" t="n">
        <v>3</v>
      </c>
      <c r="E1590" s="23" t="n">
        <v>4</v>
      </c>
      <c r="F1590" s="22" t="n">
        <v>2</v>
      </c>
      <c r="G1590" s="23" t="inlineStr">
        <is>
          <t>Oui</t>
        </is>
      </c>
      <c r="H1590" s="23" t="inlineStr">
        <is>
          <t>ON</t>
        </is>
      </c>
      <c r="I1590" s="24" t="n">
        <v>1132.611974342026</v>
      </c>
      <c r="J1590" s="24" t="n">
        <v>6657.967474874614</v>
      </c>
      <c r="K1590" s="24" t="n">
        <v>3166.666666666667</v>
      </c>
      <c r="L1590" s="24" t="n">
        <v>150</v>
      </c>
      <c r="M1590" s="24">
        <f>I1590+J1590+K1590+L1590</f>
        <v/>
      </c>
      <c r="N1590" s="24">
        <f>M1590*'Dashboard &amp; Optimisation'!$B$18/('Dashboard &amp; Optimisation'!$B$16/3.6)</f>
        <v/>
      </c>
      <c r="O1590" s="24" t="n">
        <v>1209.479538322139</v>
      </c>
      <c r="P1590" s="25" t="n">
        <v>0.072877449969957</v>
      </c>
      <c r="Q1590" s="26" t="n">
        <v>9.575620989186925</v>
      </c>
      <c r="R1590" s="24" t="n">
        <v>4832.764150612375</v>
      </c>
      <c r="S1590" s="24">
        <f>R1590*IF(A1590=4, 2.0, 3.0)</f>
        <v/>
      </c>
      <c r="T1590" s="22">
        <f>'Dashboard &amp; Optimisation'!$B$18*U1590</f>
        <v/>
      </c>
      <c r="U1590" s="27">
        <f>MIN(1, S1590/M1590)</f>
        <v/>
      </c>
      <c r="V1590" s="27">
        <f>N1590/(N1590+O1590)</f>
        <v/>
      </c>
      <c r="W1590" s="27">
        <f>U1590*V1590</f>
        <v/>
      </c>
      <c r="X1590" s="25">
        <f>T1590/N1590</f>
        <v/>
      </c>
      <c r="Y1590" s="28">
        <f>IF(W1590=MAXIFS(W$2:W$3601, A$2:A$3601, A1590, B$2:B$3601, B1590), "OPTIMAL", "")</f>
        <v/>
      </c>
    </row>
    <row r="1591" ht="20" customHeight="1">
      <c r="A1591" s="29" t="n">
        <v>4</v>
      </c>
      <c r="B1591" s="29" t="n">
        <v>45</v>
      </c>
      <c r="C1591" s="30" t="n">
        <v>95</v>
      </c>
      <c r="D1591" s="30" t="n">
        <v>3</v>
      </c>
      <c r="E1591" s="6" t="n">
        <v>4</v>
      </c>
      <c r="F1591" s="30" t="n">
        <v>2</v>
      </c>
      <c r="G1591" s="6" t="inlineStr">
        <is>
          <t>Oui</t>
        </is>
      </c>
      <c r="H1591" s="6" t="inlineStr">
        <is>
          <t>OFF</t>
        </is>
      </c>
      <c r="I1591" s="31" t="n">
        <v>1132.611974342026</v>
      </c>
      <c r="J1591" s="31" t="n">
        <v>6657.967474874614</v>
      </c>
      <c r="K1591" s="31" t="n">
        <v>3166.666666666667</v>
      </c>
      <c r="L1591" s="31" t="n">
        <v>150</v>
      </c>
      <c r="M1591" s="31">
        <f>I1591+J1591+K1591+L1591</f>
        <v/>
      </c>
      <c r="N1591" s="31">
        <f>M1591*'Dashboard &amp; Optimisation'!$B$18/('Dashboard &amp; Optimisation'!$B$16/3.6)</f>
        <v/>
      </c>
      <c r="O1591" s="31" t="n">
        <v>1209.479538322139</v>
      </c>
      <c r="P1591" s="32" t="n">
        <v>0.3165144364464006</v>
      </c>
      <c r="Q1591" s="33" t="n">
        <v>9.575620989186925</v>
      </c>
      <c r="R1591" s="31" t="n">
        <v>1112.743960613934</v>
      </c>
      <c r="S1591" s="31">
        <f>R1591*IF(A1591=4, 2.0, 3.0)</f>
        <v/>
      </c>
      <c r="T1591" s="30">
        <f>'Dashboard &amp; Optimisation'!$B$18*U1591</f>
        <v/>
      </c>
      <c r="U1591" s="34">
        <f>MIN(1, S1591/M1591)</f>
        <v/>
      </c>
      <c r="V1591" s="34">
        <f>N1591/(N1591+O1591)</f>
        <v/>
      </c>
      <c r="W1591" s="34">
        <f>U1591*V1591</f>
        <v/>
      </c>
      <c r="X1591" s="32">
        <f>T1591/N1591</f>
        <v/>
      </c>
      <c r="Y1591" s="35">
        <f>IF(W1591=MAXIFS(W$2:W$3601, A$2:A$3601, A1591, B$2:B$3601, B1591), "OPTIMAL", "")</f>
        <v/>
      </c>
    </row>
    <row r="1592" ht="20" customHeight="1">
      <c r="A1592" s="21" t="n">
        <v>4</v>
      </c>
      <c r="B1592" s="21" t="n">
        <v>45</v>
      </c>
      <c r="C1592" s="22" t="n">
        <v>95</v>
      </c>
      <c r="D1592" s="22" t="n">
        <v>3</v>
      </c>
      <c r="E1592" s="23" t="n">
        <v>4</v>
      </c>
      <c r="F1592" s="22" t="n">
        <v>2</v>
      </c>
      <c r="G1592" s="23" t="inlineStr">
        <is>
          <t>Non</t>
        </is>
      </c>
      <c r="H1592" s="23" t="inlineStr">
        <is>
          <t>ON</t>
        </is>
      </c>
      <c r="I1592" s="24" t="n">
        <v>1132.611974342026</v>
      </c>
      <c r="J1592" s="24" t="n">
        <v>6657.967474874614</v>
      </c>
      <c r="K1592" s="24" t="n">
        <v>3166.666666666667</v>
      </c>
      <c r="L1592" s="24" t="n">
        <v>150</v>
      </c>
      <c r="M1592" s="24">
        <f>I1592+J1592+K1592+L1592</f>
        <v/>
      </c>
      <c r="N1592" s="24">
        <f>M1592*'Dashboard &amp; Optimisation'!$B$18/('Dashboard &amp; Optimisation'!$B$16/3.6)</f>
        <v/>
      </c>
      <c r="O1592" s="24" t="n">
        <v>1209.479538322139</v>
      </c>
      <c r="P1592" s="25" t="n">
        <v>0.06952681958907499</v>
      </c>
      <c r="Q1592" s="26" t="n">
        <v>9.575620989186925</v>
      </c>
      <c r="R1592" s="24" t="n">
        <v>5065.664295943108</v>
      </c>
      <c r="S1592" s="24">
        <f>R1592*IF(A1592=4, 2.0, 3.0)</f>
        <v/>
      </c>
      <c r="T1592" s="22">
        <f>'Dashboard &amp; Optimisation'!$B$18*U1592</f>
        <v/>
      </c>
      <c r="U1592" s="27">
        <f>MIN(1, S1592/M1592)</f>
        <v/>
      </c>
      <c r="V1592" s="27">
        <f>N1592/(N1592+O1592)</f>
        <v/>
      </c>
      <c r="W1592" s="27">
        <f>U1592*V1592</f>
        <v/>
      </c>
      <c r="X1592" s="25">
        <f>T1592/N1592</f>
        <v/>
      </c>
      <c r="Y1592" s="28">
        <f>IF(W1592=MAXIFS(W$2:W$3601, A$2:A$3601, A1592, B$2:B$3601, B1592), "OPTIMAL", "")</f>
        <v/>
      </c>
    </row>
    <row r="1593" ht="20" customHeight="1">
      <c r="A1593" s="29" t="n">
        <v>4</v>
      </c>
      <c r="B1593" s="29" t="n">
        <v>45</v>
      </c>
      <c r="C1593" s="30" t="n">
        <v>95</v>
      </c>
      <c r="D1593" s="30" t="n">
        <v>3</v>
      </c>
      <c r="E1593" s="6" t="n">
        <v>4</v>
      </c>
      <c r="F1593" s="30" t="n">
        <v>2</v>
      </c>
      <c r="G1593" s="6" t="inlineStr">
        <is>
          <t>Non</t>
        </is>
      </c>
      <c r="H1593" s="6" t="inlineStr">
        <is>
          <t>OFF</t>
        </is>
      </c>
      <c r="I1593" s="31" t="n">
        <v>1132.611974342026</v>
      </c>
      <c r="J1593" s="31" t="n">
        <v>6657.967474874614</v>
      </c>
      <c r="K1593" s="31" t="n">
        <v>3166.666666666667</v>
      </c>
      <c r="L1593" s="31" t="n">
        <v>150</v>
      </c>
      <c r="M1593" s="31">
        <f>I1593+J1593+K1593+L1593</f>
        <v/>
      </c>
      <c r="N1593" s="31">
        <f>M1593*'Dashboard &amp; Optimisation'!$B$18/('Dashboard &amp; Optimisation'!$B$16/3.6)</f>
        <v/>
      </c>
      <c r="O1593" s="31" t="n">
        <v>1209.479538322139</v>
      </c>
      <c r="P1593" s="32" t="n">
        <v>0.3131638060655186</v>
      </c>
      <c r="Q1593" s="33" t="n">
        <v>9.575620989186925</v>
      </c>
      <c r="R1593" s="31" t="n">
        <v>1124.649530952404</v>
      </c>
      <c r="S1593" s="31">
        <f>R1593*IF(A1593=4, 2.0, 3.0)</f>
        <v/>
      </c>
      <c r="T1593" s="30">
        <f>'Dashboard &amp; Optimisation'!$B$18*U1593</f>
        <v/>
      </c>
      <c r="U1593" s="34">
        <f>MIN(1, S1593/M1593)</f>
        <v/>
      </c>
      <c r="V1593" s="34">
        <f>N1593/(N1593+O1593)</f>
        <v/>
      </c>
      <c r="W1593" s="34">
        <f>U1593*V1593</f>
        <v/>
      </c>
      <c r="X1593" s="32">
        <f>T1593/N1593</f>
        <v/>
      </c>
      <c r="Y1593" s="35">
        <f>IF(W1593=MAXIFS(W$2:W$3601, A$2:A$3601, A1593, B$2:B$3601, B1593), "OPTIMAL", "")</f>
        <v/>
      </c>
    </row>
    <row r="1594" ht="20" customHeight="1">
      <c r="A1594" s="21" t="n">
        <v>4</v>
      </c>
      <c r="B1594" s="21" t="n">
        <v>45</v>
      </c>
      <c r="C1594" s="22" t="n">
        <v>95</v>
      </c>
      <c r="D1594" s="22" t="n">
        <v>3</v>
      </c>
      <c r="E1594" s="23" t="n">
        <v>8</v>
      </c>
      <c r="F1594" s="22" t="n">
        <v>1.5</v>
      </c>
      <c r="G1594" s="23" t="inlineStr">
        <is>
          <t>Oui</t>
        </is>
      </c>
      <c r="H1594" s="23" t="inlineStr">
        <is>
          <t>ON</t>
        </is>
      </c>
      <c r="I1594" s="24" t="n">
        <v>1132.611974342026</v>
      </c>
      <c r="J1594" s="24" t="n">
        <v>6657.967474874614</v>
      </c>
      <c r="K1594" s="24" t="n">
        <v>3166.666666666667</v>
      </c>
      <c r="L1594" s="24" t="n">
        <v>150</v>
      </c>
      <c r="M1594" s="24">
        <f>I1594+J1594+K1594+L1594</f>
        <v/>
      </c>
      <c r="N1594" s="24">
        <f>M1594*'Dashboard &amp; Optimisation'!$B$18/('Dashboard &amp; Optimisation'!$B$16/3.6)</f>
        <v/>
      </c>
      <c r="O1594" s="24" t="n">
        <v>1436.405822130259</v>
      </c>
      <c r="P1594" s="25" t="n">
        <v>0.05688455314032285</v>
      </c>
      <c r="Q1594" s="26" t="n">
        <v>14.26343148378039</v>
      </c>
      <c r="R1594" s="24" t="n">
        <v>6343.649711983302</v>
      </c>
      <c r="S1594" s="24">
        <f>R1594*IF(A1594=4, 2.0, 3.0)</f>
        <v/>
      </c>
      <c r="T1594" s="22">
        <f>'Dashboard &amp; Optimisation'!$B$18*U1594</f>
        <v/>
      </c>
      <c r="U1594" s="27">
        <f>MIN(1, S1594/M1594)</f>
        <v/>
      </c>
      <c r="V1594" s="27">
        <f>N1594/(N1594+O1594)</f>
        <v/>
      </c>
      <c r="W1594" s="27">
        <f>U1594*V1594</f>
        <v/>
      </c>
      <c r="X1594" s="25">
        <f>T1594/N1594</f>
        <v/>
      </c>
      <c r="Y1594" s="28">
        <f>IF(W1594=MAXIFS(W$2:W$3601, A$2:A$3601, A1594, B$2:B$3601, B1594), "OPTIMAL", "")</f>
        <v/>
      </c>
    </row>
    <row r="1595" ht="20" customHeight="1">
      <c r="A1595" s="29" t="n">
        <v>4</v>
      </c>
      <c r="B1595" s="29" t="n">
        <v>45</v>
      </c>
      <c r="C1595" s="30" t="n">
        <v>95</v>
      </c>
      <c r="D1595" s="30" t="n">
        <v>3</v>
      </c>
      <c r="E1595" s="6" t="n">
        <v>8</v>
      </c>
      <c r="F1595" s="30" t="n">
        <v>1.5</v>
      </c>
      <c r="G1595" s="6" t="inlineStr">
        <is>
          <t>Oui</t>
        </is>
      </c>
      <c r="H1595" s="6" t="inlineStr">
        <is>
          <t>OFF</t>
        </is>
      </c>
      <c r="I1595" s="31" t="n">
        <v>1132.611974342026</v>
      </c>
      <c r="J1595" s="31" t="n">
        <v>6657.967474874614</v>
      </c>
      <c r="K1595" s="31" t="n">
        <v>3166.666666666667</v>
      </c>
      <c r="L1595" s="31" t="n">
        <v>150</v>
      </c>
      <c r="M1595" s="31">
        <f>I1595+J1595+K1595+L1595</f>
        <v/>
      </c>
      <c r="N1595" s="31">
        <f>M1595*'Dashboard &amp; Optimisation'!$B$18/('Dashboard &amp; Optimisation'!$B$16/3.6)</f>
        <v/>
      </c>
      <c r="O1595" s="31" t="n">
        <v>1436.405822130259</v>
      </c>
      <c r="P1595" s="32" t="n">
        <v>0.246840465467505</v>
      </c>
      <c r="Q1595" s="33" t="n">
        <v>14.26343148378039</v>
      </c>
      <c r="R1595" s="31" t="n">
        <v>1461.898390369112</v>
      </c>
      <c r="S1595" s="31">
        <f>R1595*IF(A1595=4, 2.0, 3.0)</f>
        <v/>
      </c>
      <c r="T1595" s="30">
        <f>'Dashboard &amp; Optimisation'!$B$18*U1595</f>
        <v/>
      </c>
      <c r="U1595" s="34">
        <f>MIN(1, S1595/M1595)</f>
        <v/>
      </c>
      <c r="V1595" s="34">
        <f>N1595/(N1595+O1595)</f>
        <v/>
      </c>
      <c r="W1595" s="34">
        <f>U1595*V1595</f>
        <v/>
      </c>
      <c r="X1595" s="32">
        <f>T1595/N1595</f>
        <v/>
      </c>
      <c r="Y1595" s="35">
        <f>IF(W1595=MAXIFS(W$2:W$3601, A$2:A$3601, A1595, B$2:B$3601, B1595), "OPTIMAL", "")</f>
        <v/>
      </c>
    </row>
    <row r="1596" ht="20" customHeight="1">
      <c r="A1596" s="21" t="n">
        <v>4</v>
      </c>
      <c r="B1596" s="21" t="n">
        <v>45</v>
      </c>
      <c r="C1596" s="22" t="n">
        <v>95</v>
      </c>
      <c r="D1596" s="22" t="n">
        <v>3</v>
      </c>
      <c r="E1596" s="23" t="n">
        <v>8</v>
      </c>
      <c r="F1596" s="22" t="n">
        <v>1.5</v>
      </c>
      <c r="G1596" s="23" t="inlineStr">
        <is>
          <t>Non</t>
        </is>
      </c>
      <c r="H1596" s="23" t="inlineStr">
        <is>
          <t>ON</t>
        </is>
      </c>
      <c r="I1596" s="24" t="n">
        <v>1132.611974342026</v>
      </c>
      <c r="J1596" s="24" t="n">
        <v>6657.967474874614</v>
      </c>
      <c r="K1596" s="24" t="n">
        <v>3166.666666666667</v>
      </c>
      <c r="L1596" s="24" t="n">
        <v>150</v>
      </c>
      <c r="M1596" s="24">
        <f>I1596+J1596+K1596+L1596</f>
        <v/>
      </c>
      <c r="N1596" s="24">
        <f>M1596*'Dashboard &amp; Optimisation'!$B$18/('Dashboard &amp; Optimisation'!$B$16/3.6)</f>
        <v/>
      </c>
      <c r="O1596" s="24" t="n">
        <v>1436.405822130259</v>
      </c>
      <c r="P1596" s="25" t="n">
        <v>0.05353392275944084</v>
      </c>
      <c r="Q1596" s="26" t="n">
        <v>14.26343148378039</v>
      </c>
      <c r="R1596" s="24" t="n">
        <v>6740.691892997325</v>
      </c>
      <c r="S1596" s="24">
        <f>R1596*IF(A1596=4, 2.0, 3.0)</f>
        <v/>
      </c>
      <c r="T1596" s="22">
        <f>'Dashboard &amp; Optimisation'!$B$18*U1596</f>
        <v/>
      </c>
      <c r="U1596" s="27">
        <f>MIN(1, S1596/M1596)</f>
        <v/>
      </c>
      <c r="V1596" s="27">
        <f>N1596/(N1596+O1596)</f>
        <v/>
      </c>
      <c r="W1596" s="27">
        <f>U1596*V1596</f>
        <v/>
      </c>
      <c r="X1596" s="25">
        <f>T1596/N1596</f>
        <v/>
      </c>
      <c r="Y1596" s="28">
        <f>IF(W1596=MAXIFS(W$2:W$3601, A$2:A$3601, A1596, B$2:B$3601, B1596), "OPTIMAL", "")</f>
        <v/>
      </c>
    </row>
    <row r="1597" ht="20" customHeight="1">
      <c r="A1597" s="29" t="n">
        <v>4</v>
      </c>
      <c r="B1597" s="29" t="n">
        <v>45</v>
      </c>
      <c r="C1597" s="30" t="n">
        <v>95</v>
      </c>
      <c r="D1597" s="30" t="n">
        <v>3</v>
      </c>
      <c r="E1597" s="6" t="n">
        <v>8</v>
      </c>
      <c r="F1597" s="30" t="n">
        <v>1.5</v>
      </c>
      <c r="G1597" s="6" t="inlineStr">
        <is>
          <t>Non</t>
        </is>
      </c>
      <c r="H1597" s="6" t="inlineStr">
        <is>
          <t>OFF</t>
        </is>
      </c>
      <c r="I1597" s="31" t="n">
        <v>1132.611974342026</v>
      </c>
      <c r="J1597" s="31" t="n">
        <v>6657.967474874614</v>
      </c>
      <c r="K1597" s="31" t="n">
        <v>3166.666666666667</v>
      </c>
      <c r="L1597" s="31" t="n">
        <v>150</v>
      </c>
      <c r="M1597" s="31">
        <f>I1597+J1597+K1597+L1597</f>
        <v/>
      </c>
      <c r="N1597" s="31">
        <f>M1597*'Dashboard &amp; Optimisation'!$B$18/('Dashboard &amp; Optimisation'!$B$16/3.6)</f>
        <v/>
      </c>
      <c r="O1597" s="31" t="n">
        <v>1436.405822130259</v>
      </c>
      <c r="P1597" s="32" t="n">
        <v>0.2434898350866229</v>
      </c>
      <c r="Q1597" s="33" t="n">
        <v>14.26343148378039</v>
      </c>
      <c r="R1597" s="31" t="n">
        <v>1482.015374549543</v>
      </c>
      <c r="S1597" s="31">
        <f>R1597*IF(A1597=4, 2.0, 3.0)</f>
        <v/>
      </c>
      <c r="T1597" s="30">
        <f>'Dashboard &amp; Optimisation'!$B$18*U1597</f>
        <v/>
      </c>
      <c r="U1597" s="34">
        <f>MIN(1, S1597/M1597)</f>
        <v/>
      </c>
      <c r="V1597" s="34">
        <f>N1597/(N1597+O1597)</f>
        <v/>
      </c>
      <c r="W1597" s="34">
        <f>U1597*V1597</f>
        <v/>
      </c>
      <c r="X1597" s="32">
        <f>T1597/N1597</f>
        <v/>
      </c>
      <c r="Y1597" s="35">
        <f>IF(W1597=MAXIFS(W$2:W$3601, A$2:A$3601, A1597, B$2:B$3601, B1597), "OPTIMAL", "")</f>
        <v/>
      </c>
    </row>
    <row r="1598" ht="20" customHeight="1">
      <c r="A1598" s="21" t="n">
        <v>4</v>
      </c>
      <c r="B1598" s="21" t="n">
        <v>45</v>
      </c>
      <c r="C1598" s="22" t="n">
        <v>95</v>
      </c>
      <c r="D1598" s="22" t="n">
        <v>3</v>
      </c>
      <c r="E1598" s="23" t="n">
        <v>8</v>
      </c>
      <c r="F1598" s="22" t="n">
        <v>2</v>
      </c>
      <c r="G1598" s="23" t="inlineStr">
        <is>
          <t>Oui</t>
        </is>
      </c>
      <c r="H1598" s="23" t="inlineStr">
        <is>
          <t>ON</t>
        </is>
      </c>
      <c r="I1598" s="24" t="n">
        <v>1132.611974342026</v>
      </c>
      <c r="J1598" s="24" t="n">
        <v>6657.967474874614</v>
      </c>
      <c r="K1598" s="24" t="n">
        <v>3166.666666666667</v>
      </c>
      <c r="L1598" s="24" t="n">
        <v>150</v>
      </c>
      <c r="M1598" s="24">
        <f>I1598+J1598+K1598+L1598</f>
        <v/>
      </c>
      <c r="N1598" s="24">
        <f>M1598*'Dashboard &amp; Optimisation'!$B$18/('Dashboard &amp; Optimisation'!$B$16/3.6)</f>
        <v/>
      </c>
      <c r="O1598" s="24" t="n">
        <v>1674.767682569438</v>
      </c>
      <c r="P1598" s="25" t="n">
        <v>0.0557699285087862</v>
      </c>
      <c r="Q1598" s="26" t="n">
        <v>18.95124197837385</v>
      </c>
      <c r="R1598" s="24" t="n">
        <v>6633.468126835333</v>
      </c>
      <c r="S1598" s="24">
        <f>R1598*IF(A1598=4, 2.0, 3.0)</f>
        <v/>
      </c>
      <c r="T1598" s="22">
        <f>'Dashboard &amp; Optimisation'!$B$18*U1598</f>
        <v/>
      </c>
      <c r="U1598" s="27">
        <f>MIN(1, S1598/M1598)</f>
        <v/>
      </c>
      <c r="V1598" s="27">
        <f>N1598/(N1598+O1598)</f>
        <v/>
      </c>
      <c r="W1598" s="27">
        <f>U1598*V1598</f>
        <v/>
      </c>
      <c r="X1598" s="25">
        <f>T1598/N1598</f>
        <v/>
      </c>
      <c r="Y1598" s="28">
        <f>IF(W1598=MAXIFS(W$2:W$3601, A$2:A$3601, A1598, B$2:B$3601, B1598), "OPTIMAL", "")</f>
        <v/>
      </c>
    </row>
    <row r="1599" ht="20" customHeight="1">
      <c r="A1599" s="29" t="n">
        <v>4</v>
      </c>
      <c r="B1599" s="29" t="n">
        <v>45</v>
      </c>
      <c r="C1599" s="30" t="n">
        <v>95</v>
      </c>
      <c r="D1599" s="30" t="n">
        <v>3</v>
      </c>
      <c r="E1599" s="6" t="n">
        <v>8</v>
      </c>
      <c r="F1599" s="30" t="n">
        <v>2</v>
      </c>
      <c r="G1599" s="6" t="inlineStr">
        <is>
          <t>Oui</t>
        </is>
      </c>
      <c r="H1599" s="6" t="inlineStr">
        <is>
          <t>OFF</t>
        </is>
      </c>
      <c r="I1599" s="31" t="n">
        <v>1132.611974342026</v>
      </c>
      <c r="J1599" s="31" t="n">
        <v>6657.967474874614</v>
      </c>
      <c r="K1599" s="31" t="n">
        <v>3166.666666666667</v>
      </c>
      <c r="L1599" s="31" t="n">
        <v>150</v>
      </c>
      <c r="M1599" s="31">
        <f>I1599+J1599+K1599+L1599</f>
        <v/>
      </c>
      <c r="N1599" s="31">
        <f>M1599*'Dashboard &amp; Optimisation'!$B$18/('Dashboard &amp; Optimisation'!$B$16/3.6)</f>
        <v/>
      </c>
      <c r="O1599" s="31" t="n">
        <v>1674.767682569438</v>
      </c>
      <c r="P1599" s="32" t="n">
        <v>0.2471780798795112</v>
      </c>
      <c r="Q1599" s="33" t="n">
        <v>18.95124197837385</v>
      </c>
      <c r="R1599" s="31" t="n">
        <v>1496.686289412283</v>
      </c>
      <c r="S1599" s="31">
        <f>R1599*IF(A1599=4, 2.0, 3.0)</f>
        <v/>
      </c>
      <c r="T1599" s="30">
        <f>'Dashboard &amp; Optimisation'!$B$18*U1599</f>
        <v/>
      </c>
      <c r="U1599" s="34">
        <f>MIN(1, S1599/M1599)</f>
        <v/>
      </c>
      <c r="V1599" s="34">
        <f>N1599/(N1599+O1599)</f>
        <v/>
      </c>
      <c r="W1599" s="34">
        <f>U1599*V1599</f>
        <v/>
      </c>
      <c r="X1599" s="32">
        <f>T1599/N1599</f>
        <v/>
      </c>
      <c r="Y1599" s="35">
        <f>IF(W1599=MAXIFS(W$2:W$3601, A$2:A$3601, A1599, B$2:B$3601, B1599), "OPTIMAL", "")</f>
        <v/>
      </c>
    </row>
    <row r="1600" ht="20" customHeight="1">
      <c r="A1600" s="21" t="n">
        <v>4</v>
      </c>
      <c r="B1600" s="21" t="n">
        <v>45</v>
      </c>
      <c r="C1600" s="22" t="n">
        <v>95</v>
      </c>
      <c r="D1600" s="22" t="n">
        <v>3</v>
      </c>
      <c r="E1600" s="23" t="n">
        <v>8</v>
      </c>
      <c r="F1600" s="22" t="n">
        <v>2</v>
      </c>
      <c r="G1600" s="23" t="inlineStr">
        <is>
          <t>Non</t>
        </is>
      </c>
      <c r="H1600" s="23" t="inlineStr">
        <is>
          <t>ON</t>
        </is>
      </c>
      <c r="I1600" s="24" t="n">
        <v>1132.611974342026</v>
      </c>
      <c r="J1600" s="24" t="n">
        <v>6657.967474874614</v>
      </c>
      <c r="K1600" s="24" t="n">
        <v>3166.666666666667</v>
      </c>
      <c r="L1600" s="24" t="n">
        <v>150</v>
      </c>
      <c r="M1600" s="24">
        <f>I1600+J1600+K1600+L1600</f>
        <v/>
      </c>
      <c r="N1600" s="24">
        <f>M1600*'Dashboard &amp; Optimisation'!$B$18/('Dashboard &amp; Optimisation'!$B$16/3.6)</f>
        <v/>
      </c>
      <c r="O1600" s="24" t="n">
        <v>1674.767682569438</v>
      </c>
      <c r="P1600" s="25" t="n">
        <v>0.05241929812790419</v>
      </c>
      <c r="Q1600" s="26" t="n">
        <v>18.95124197837385</v>
      </c>
      <c r="R1600" s="24" t="n">
        <v>7057.477997821287</v>
      </c>
      <c r="S1600" s="24">
        <f>R1600*IF(A1600=4, 2.0, 3.0)</f>
        <v/>
      </c>
      <c r="T1600" s="22">
        <f>'Dashboard &amp; Optimisation'!$B$18*U1600</f>
        <v/>
      </c>
      <c r="U1600" s="27">
        <f>MIN(1, S1600/M1600)</f>
        <v/>
      </c>
      <c r="V1600" s="27">
        <f>N1600/(N1600+O1600)</f>
        <v/>
      </c>
      <c r="W1600" s="27">
        <f>U1600*V1600</f>
        <v/>
      </c>
      <c r="X1600" s="25">
        <f>T1600/N1600</f>
        <v/>
      </c>
      <c r="Y1600" s="28">
        <f>IF(W1600=MAXIFS(W$2:W$3601, A$2:A$3601, A1600, B$2:B$3601, B1600), "OPTIMAL", "")</f>
        <v/>
      </c>
    </row>
    <row r="1601" ht="20" customHeight="1">
      <c r="A1601" s="29" t="n">
        <v>4</v>
      </c>
      <c r="B1601" s="29" t="n">
        <v>45</v>
      </c>
      <c r="C1601" s="30" t="n">
        <v>95</v>
      </c>
      <c r="D1601" s="30" t="n">
        <v>3</v>
      </c>
      <c r="E1601" s="6" t="n">
        <v>8</v>
      </c>
      <c r="F1601" s="30" t="n">
        <v>2</v>
      </c>
      <c r="G1601" s="6" t="inlineStr">
        <is>
          <t>Non</t>
        </is>
      </c>
      <c r="H1601" s="6" t="inlineStr">
        <is>
          <t>OFF</t>
        </is>
      </c>
      <c r="I1601" s="31" t="n">
        <v>1132.611974342026</v>
      </c>
      <c r="J1601" s="31" t="n">
        <v>6657.967474874614</v>
      </c>
      <c r="K1601" s="31" t="n">
        <v>3166.666666666667</v>
      </c>
      <c r="L1601" s="31" t="n">
        <v>150</v>
      </c>
      <c r="M1601" s="31">
        <f>I1601+J1601+K1601+L1601</f>
        <v/>
      </c>
      <c r="N1601" s="31">
        <f>M1601*'Dashboard &amp; Optimisation'!$B$18/('Dashboard &amp; Optimisation'!$B$16/3.6)</f>
        <v/>
      </c>
      <c r="O1601" s="31" t="n">
        <v>1674.767682569438</v>
      </c>
      <c r="P1601" s="32" t="n">
        <v>0.2438274494986292</v>
      </c>
      <c r="Q1601" s="33" t="n">
        <v>18.95124197837385</v>
      </c>
      <c r="R1601" s="31" t="n">
        <v>1517.253467399282</v>
      </c>
      <c r="S1601" s="31">
        <f>R1601*IF(A1601=4, 2.0, 3.0)</f>
        <v/>
      </c>
      <c r="T1601" s="30">
        <f>'Dashboard &amp; Optimisation'!$B$18*U1601</f>
        <v/>
      </c>
      <c r="U1601" s="34">
        <f>MIN(1, S1601/M1601)</f>
        <v/>
      </c>
      <c r="V1601" s="34">
        <f>N1601/(N1601+O1601)</f>
        <v/>
      </c>
      <c r="W1601" s="34">
        <f>U1601*V1601</f>
        <v/>
      </c>
      <c r="X1601" s="32">
        <f>T1601/N1601</f>
        <v/>
      </c>
      <c r="Y1601" s="35">
        <f>IF(W1601=MAXIFS(W$2:W$3601, A$2:A$3601, A1601, B$2:B$3601, B1601), "OPTIMAL", "")</f>
        <v/>
      </c>
    </row>
    <row r="1602" ht="20" customHeight="1">
      <c r="A1602" s="21" t="n">
        <v>4</v>
      </c>
      <c r="B1602" s="21" t="n">
        <v>45</v>
      </c>
      <c r="C1602" s="22" t="n">
        <v>100</v>
      </c>
      <c r="D1602" s="22" t="n">
        <v>2</v>
      </c>
      <c r="E1602" s="23" t="n">
        <v>0</v>
      </c>
      <c r="F1602" s="22" t="n">
        <v>0</v>
      </c>
      <c r="G1602" s="23" t="inlineStr">
        <is>
          <t>Oui</t>
        </is>
      </c>
      <c r="H1602" s="23" t="inlineStr">
        <is>
          <t>ON</t>
        </is>
      </c>
      <c r="I1602" s="24" t="n">
        <v>1132.611974342026</v>
      </c>
      <c r="J1602" s="24" t="n">
        <v>6657.967474874614</v>
      </c>
      <c r="K1602" s="24" t="n">
        <v>3166.666666666667</v>
      </c>
      <c r="L1602" s="24" t="n">
        <v>150</v>
      </c>
      <c r="M1602" s="24">
        <f>I1602+J1602+K1602+L1602</f>
        <v/>
      </c>
      <c r="N1602" s="24">
        <f>M1602*'Dashboard &amp; Optimisation'!$B$18/('Dashboard &amp; Optimisation'!$B$16/3.6)</f>
        <v/>
      </c>
      <c r="O1602" s="24" t="n">
        <v>480.2250526573088</v>
      </c>
      <c r="P1602" s="25" t="n">
        <v>0.4806796209288155</v>
      </c>
      <c r="Q1602" s="26" t="n">
        <v>0.2</v>
      </c>
      <c r="R1602" s="24" t="n">
        <v>600.9237857933757</v>
      </c>
      <c r="S1602" s="24">
        <f>R1602*IF(A1602=4, 2.0, 3.0)</f>
        <v/>
      </c>
      <c r="T1602" s="22">
        <f>'Dashboard &amp; Optimisation'!$B$18*U1602</f>
        <v/>
      </c>
      <c r="U1602" s="27">
        <f>MIN(1, S1602/M1602)</f>
        <v/>
      </c>
      <c r="V1602" s="27">
        <f>N1602/(N1602+O1602)</f>
        <v/>
      </c>
      <c r="W1602" s="27">
        <f>U1602*V1602</f>
        <v/>
      </c>
      <c r="X1602" s="25">
        <f>T1602/N1602</f>
        <v/>
      </c>
      <c r="Y1602" s="28">
        <f>IF(W1602=MAXIFS(W$2:W$3601, A$2:A$3601, A1602, B$2:B$3601, B1602), "OPTIMAL", "")</f>
        <v/>
      </c>
    </row>
    <row r="1603" ht="20" customHeight="1">
      <c r="A1603" s="29" t="n">
        <v>4</v>
      </c>
      <c r="B1603" s="29" t="n">
        <v>45</v>
      </c>
      <c r="C1603" s="30" t="n">
        <v>100</v>
      </c>
      <c r="D1603" s="30" t="n">
        <v>2</v>
      </c>
      <c r="E1603" s="6" t="n">
        <v>0</v>
      </c>
      <c r="F1603" s="30" t="n">
        <v>0</v>
      </c>
      <c r="G1603" s="6" t="inlineStr">
        <is>
          <t>Oui</t>
        </is>
      </c>
      <c r="H1603" s="6" t="inlineStr">
        <is>
          <t>OFF</t>
        </is>
      </c>
      <c r="I1603" s="31" t="n">
        <v>1132.611974342026</v>
      </c>
      <c r="J1603" s="31" t="n">
        <v>6657.967474874614</v>
      </c>
      <c r="K1603" s="31" t="n">
        <v>3166.666666666667</v>
      </c>
      <c r="L1603" s="31" t="n">
        <v>150</v>
      </c>
      <c r="M1603" s="31">
        <f>I1603+J1603+K1603+L1603</f>
        <v/>
      </c>
      <c r="N1603" s="31">
        <f>M1603*'Dashboard &amp; Optimisation'!$B$18/('Dashboard &amp; Optimisation'!$B$16/3.6)</f>
        <v/>
      </c>
      <c r="O1603" s="31" t="n">
        <v>480.2250526573088</v>
      </c>
      <c r="P1603" s="32" t="n">
        <v>0.7989895071126063</v>
      </c>
      <c r="Q1603" s="33" t="n">
        <v>0.2</v>
      </c>
      <c r="R1603" s="31" t="n">
        <v>361.5214154765602</v>
      </c>
      <c r="S1603" s="31">
        <f>R1603*IF(A1603=4, 2.0, 3.0)</f>
        <v/>
      </c>
      <c r="T1603" s="30">
        <f>'Dashboard &amp; Optimisation'!$B$18*U1603</f>
        <v/>
      </c>
      <c r="U1603" s="34">
        <f>MIN(1, S1603/M1603)</f>
        <v/>
      </c>
      <c r="V1603" s="34">
        <f>N1603/(N1603+O1603)</f>
        <v/>
      </c>
      <c r="W1603" s="34">
        <f>U1603*V1603</f>
        <v/>
      </c>
      <c r="X1603" s="32">
        <f>T1603/N1603</f>
        <v/>
      </c>
      <c r="Y1603" s="35">
        <f>IF(W1603=MAXIFS(W$2:W$3601, A$2:A$3601, A1603, B$2:B$3601, B1603), "OPTIMAL", "")</f>
        <v/>
      </c>
    </row>
    <row r="1604" ht="20" customHeight="1">
      <c r="A1604" s="21" t="n">
        <v>4</v>
      </c>
      <c r="B1604" s="21" t="n">
        <v>45</v>
      </c>
      <c r="C1604" s="22" t="n">
        <v>100</v>
      </c>
      <c r="D1604" s="22" t="n">
        <v>2</v>
      </c>
      <c r="E1604" s="23" t="n">
        <v>0</v>
      </c>
      <c r="F1604" s="22" t="n">
        <v>0</v>
      </c>
      <c r="G1604" s="23" t="inlineStr">
        <is>
          <t>Non</t>
        </is>
      </c>
      <c r="H1604" s="23" t="inlineStr">
        <is>
          <t>ON</t>
        </is>
      </c>
      <c r="I1604" s="24" t="n">
        <v>1132.611974342026</v>
      </c>
      <c r="J1604" s="24" t="n">
        <v>6657.967474874614</v>
      </c>
      <c r="K1604" s="24" t="n">
        <v>3166.666666666667</v>
      </c>
      <c r="L1604" s="24" t="n">
        <v>150</v>
      </c>
      <c r="M1604" s="24">
        <f>I1604+J1604+K1604+L1604</f>
        <v/>
      </c>
      <c r="N1604" s="24">
        <f>M1604*'Dashboard &amp; Optimisation'!$B$18/('Dashboard &amp; Optimisation'!$B$16/3.6)</f>
        <v/>
      </c>
      <c r="O1604" s="24" t="n">
        <v>480.2250526573088</v>
      </c>
      <c r="P1604" s="25" t="n">
        <v>0.4774965220669776</v>
      </c>
      <c r="Q1604" s="26" t="n">
        <v>0.2</v>
      </c>
      <c r="R1604" s="24" t="n">
        <v>604.9296784652848</v>
      </c>
      <c r="S1604" s="24">
        <f>R1604*IF(A1604=4, 2.0, 3.0)</f>
        <v/>
      </c>
      <c r="T1604" s="22">
        <f>'Dashboard &amp; Optimisation'!$B$18*U1604</f>
        <v/>
      </c>
      <c r="U1604" s="27">
        <f>MIN(1, S1604/M1604)</f>
        <v/>
      </c>
      <c r="V1604" s="27">
        <f>N1604/(N1604+O1604)</f>
        <v/>
      </c>
      <c r="W1604" s="27">
        <f>U1604*V1604</f>
        <v/>
      </c>
      <c r="X1604" s="25">
        <f>T1604/N1604</f>
        <v/>
      </c>
      <c r="Y1604" s="28">
        <f>IF(W1604=MAXIFS(W$2:W$3601, A$2:A$3601, A1604, B$2:B$3601, B1604), "OPTIMAL", "")</f>
        <v/>
      </c>
    </row>
    <row r="1605" ht="20" customHeight="1">
      <c r="A1605" s="29" t="n">
        <v>4</v>
      </c>
      <c r="B1605" s="29" t="n">
        <v>45</v>
      </c>
      <c r="C1605" s="30" t="n">
        <v>100</v>
      </c>
      <c r="D1605" s="30" t="n">
        <v>2</v>
      </c>
      <c r="E1605" s="6" t="n">
        <v>0</v>
      </c>
      <c r="F1605" s="30" t="n">
        <v>0</v>
      </c>
      <c r="G1605" s="6" t="inlineStr">
        <is>
          <t>Non</t>
        </is>
      </c>
      <c r="H1605" s="6" t="inlineStr">
        <is>
          <t>OFF</t>
        </is>
      </c>
      <c r="I1605" s="31" t="n">
        <v>1132.611974342026</v>
      </c>
      <c r="J1605" s="31" t="n">
        <v>6657.967474874614</v>
      </c>
      <c r="K1605" s="31" t="n">
        <v>3166.666666666667</v>
      </c>
      <c r="L1605" s="31" t="n">
        <v>150</v>
      </c>
      <c r="M1605" s="31">
        <f>I1605+J1605+K1605+L1605</f>
        <v/>
      </c>
      <c r="N1605" s="31">
        <f>M1605*'Dashboard &amp; Optimisation'!$B$18/('Dashboard &amp; Optimisation'!$B$16/3.6)</f>
        <v/>
      </c>
      <c r="O1605" s="31" t="n">
        <v>480.2250526573088</v>
      </c>
      <c r="P1605" s="32" t="n">
        <v>0.7958064082507683</v>
      </c>
      <c r="Q1605" s="33" t="n">
        <v>0.2</v>
      </c>
      <c r="R1605" s="31" t="n">
        <v>362.9674435484663</v>
      </c>
      <c r="S1605" s="31">
        <f>R1605*IF(A1605=4, 2.0, 3.0)</f>
        <v/>
      </c>
      <c r="T1605" s="30">
        <f>'Dashboard &amp; Optimisation'!$B$18*U1605</f>
        <v/>
      </c>
      <c r="U1605" s="34">
        <f>MIN(1, S1605/M1605)</f>
        <v/>
      </c>
      <c r="V1605" s="34">
        <f>N1605/(N1605+O1605)</f>
        <v/>
      </c>
      <c r="W1605" s="34">
        <f>U1605*V1605</f>
        <v/>
      </c>
      <c r="X1605" s="32">
        <f>T1605/N1605</f>
        <v/>
      </c>
      <c r="Y1605" s="35">
        <f>IF(W1605=MAXIFS(W$2:W$3601, A$2:A$3601, A1605, B$2:B$3601, B1605), "OPTIMAL", "")</f>
        <v/>
      </c>
    </row>
    <row r="1606" ht="20" customHeight="1">
      <c r="A1606" s="21" t="n">
        <v>4</v>
      </c>
      <c r="B1606" s="21" t="n">
        <v>45</v>
      </c>
      <c r="C1606" s="22" t="n">
        <v>100</v>
      </c>
      <c r="D1606" s="22" t="n">
        <v>2</v>
      </c>
      <c r="E1606" s="23" t="n">
        <v>4</v>
      </c>
      <c r="F1606" s="22" t="n">
        <v>1.5</v>
      </c>
      <c r="G1606" s="23" t="inlineStr">
        <is>
          <t>Oui</t>
        </is>
      </c>
      <c r="H1606" s="23" t="inlineStr">
        <is>
          <t>ON</t>
        </is>
      </c>
      <c r="I1606" s="24" t="n">
        <v>1132.611974342026</v>
      </c>
      <c r="J1606" s="24" t="n">
        <v>6657.967474874614</v>
      </c>
      <c r="K1606" s="24" t="n">
        <v>3166.666666666667</v>
      </c>
      <c r="L1606" s="24" t="n">
        <v>150</v>
      </c>
      <c r="M1606" s="24">
        <f>I1606+J1606+K1606+L1606</f>
        <v/>
      </c>
      <c r="N1606" s="24">
        <f>M1606*'Dashboard &amp; Optimisation'!$B$18/('Dashboard &amp; Optimisation'!$B$16/3.6)</f>
        <v/>
      </c>
      <c r="O1606" s="24" t="n">
        <v>754.1090185815629</v>
      </c>
      <c r="P1606" s="25" t="n">
        <v>0.07376163664698646</v>
      </c>
      <c r="Q1606" s="26" t="n">
        <v>6.718986469044035</v>
      </c>
      <c r="R1606" s="24" t="n">
        <v>4044.765820290888</v>
      </c>
      <c r="S1606" s="24">
        <f>R1606*IF(A1606=4, 2.0, 3.0)</f>
        <v/>
      </c>
      <c r="T1606" s="22">
        <f>'Dashboard &amp; Optimisation'!$B$18*U1606</f>
        <v/>
      </c>
      <c r="U1606" s="27">
        <f>MIN(1, S1606/M1606)</f>
        <v/>
      </c>
      <c r="V1606" s="27">
        <f>N1606/(N1606+O1606)</f>
        <v/>
      </c>
      <c r="W1606" s="27">
        <f>U1606*V1606</f>
        <v/>
      </c>
      <c r="X1606" s="25">
        <f>T1606/N1606</f>
        <v/>
      </c>
      <c r="Y1606" s="28">
        <f>IF(W1606=MAXIFS(W$2:W$3601, A$2:A$3601, A1606, B$2:B$3601, B1606), "OPTIMAL", "")</f>
        <v/>
      </c>
    </row>
    <row r="1607" ht="20" customHeight="1">
      <c r="A1607" s="29" t="n">
        <v>4</v>
      </c>
      <c r="B1607" s="29" t="n">
        <v>45</v>
      </c>
      <c r="C1607" s="30" t="n">
        <v>100</v>
      </c>
      <c r="D1607" s="30" t="n">
        <v>2</v>
      </c>
      <c r="E1607" s="6" t="n">
        <v>4</v>
      </c>
      <c r="F1607" s="30" t="n">
        <v>1.5</v>
      </c>
      <c r="G1607" s="6" t="inlineStr">
        <is>
          <t>Oui</t>
        </is>
      </c>
      <c r="H1607" s="6" t="inlineStr">
        <is>
          <t>OFF</t>
        </is>
      </c>
      <c r="I1607" s="31" t="n">
        <v>1132.611974342026</v>
      </c>
      <c r="J1607" s="31" t="n">
        <v>6657.967474874614</v>
      </c>
      <c r="K1607" s="31" t="n">
        <v>3166.666666666667</v>
      </c>
      <c r="L1607" s="31" t="n">
        <v>150</v>
      </c>
      <c r="M1607" s="31">
        <f>I1607+J1607+K1607+L1607</f>
        <v/>
      </c>
      <c r="N1607" s="31">
        <f>M1607*'Dashboard &amp; Optimisation'!$B$18/('Dashboard &amp; Optimisation'!$B$16/3.6)</f>
        <v/>
      </c>
      <c r="O1607" s="31" t="n">
        <v>754.1090185815629</v>
      </c>
      <c r="P1607" s="32" t="n">
        <v>0.3073240714228834</v>
      </c>
      <c r="Q1607" s="33" t="n">
        <v>6.718986469044035</v>
      </c>
      <c r="R1607" s="31" t="n">
        <v>970.794592747386</v>
      </c>
      <c r="S1607" s="31">
        <f>R1607*IF(A1607=4, 2.0, 3.0)</f>
        <v/>
      </c>
      <c r="T1607" s="30">
        <f>'Dashboard &amp; Optimisation'!$B$18*U1607</f>
        <v/>
      </c>
      <c r="U1607" s="34">
        <f>MIN(1, S1607/M1607)</f>
        <v/>
      </c>
      <c r="V1607" s="34">
        <f>N1607/(N1607+O1607)</f>
        <v/>
      </c>
      <c r="W1607" s="34">
        <f>U1607*V1607</f>
        <v/>
      </c>
      <c r="X1607" s="32">
        <f>T1607/N1607</f>
        <v/>
      </c>
      <c r="Y1607" s="35">
        <f>IF(W1607=MAXIFS(W$2:W$3601, A$2:A$3601, A1607, B$2:B$3601, B1607), "OPTIMAL", "")</f>
        <v/>
      </c>
    </row>
    <row r="1608" ht="20" customHeight="1">
      <c r="A1608" s="21" t="n">
        <v>4</v>
      </c>
      <c r="B1608" s="21" t="n">
        <v>45</v>
      </c>
      <c r="C1608" s="22" t="n">
        <v>100</v>
      </c>
      <c r="D1608" s="22" t="n">
        <v>2</v>
      </c>
      <c r="E1608" s="23" t="n">
        <v>4</v>
      </c>
      <c r="F1608" s="22" t="n">
        <v>1.5</v>
      </c>
      <c r="G1608" s="23" t="inlineStr">
        <is>
          <t>Non</t>
        </is>
      </c>
      <c r="H1608" s="23" t="inlineStr">
        <is>
          <t>ON</t>
        </is>
      </c>
      <c r="I1608" s="24" t="n">
        <v>1132.611974342026</v>
      </c>
      <c r="J1608" s="24" t="n">
        <v>6657.967474874614</v>
      </c>
      <c r="K1608" s="24" t="n">
        <v>3166.666666666667</v>
      </c>
      <c r="L1608" s="24" t="n">
        <v>150</v>
      </c>
      <c r="M1608" s="24">
        <f>I1608+J1608+K1608+L1608</f>
        <v/>
      </c>
      <c r="N1608" s="24">
        <f>M1608*'Dashboard &amp; Optimisation'!$B$18/('Dashboard &amp; Optimisation'!$B$16/3.6)</f>
        <v/>
      </c>
      <c r="O1608" s="24" t="n">
        <v>754.1090185815629</v>
      </c>
      <c r="P1608" s="25" t="n">
        <v>0.07057853778514854</v>
      </c>
      <c r="Q1608" s="26" t="n">
        <v>6.718986469044035</v>
      </c>
      <c r="R1608" s="24" t="n">
        <v>4227.185148928184</v>
      </c>
      <c r="S1608" s="24">
        <f>R1608*IF(A1608=4, 2.0, 3.0)</f>
        <v/>
      </c>
      <c r="T1608" s="22">
        <f>'Dashboard &amp; Optimisation'!$B$18*U1608</f>
        <v/>
      </c>
      <c r="U1608" s="27">
        <f>MIN(1, S1608/M1608)</f>
        <v/>
      </c>
      <c r="V1608" s="27">
        <f>N1608/(N1608+O1608)</f>
        <v/>
      </c>
      <c r="W1608" s="27">
        <f>U1608*V1608</f>
        <v/>
      </c>
      <c r="X1608" s="25">
        <f>T1608/N1608</f>
        <v/>
      </c>
      <c r="Y1608" s="28">
        <f>IF(W1608=MAXIFS(W$2:W$3601, A$2:A$3601, A1608, B$2:B$3601, B1608), "OPTIMAL", "")</f>
        <v/>
      </c>
    </row>
    <row r="1609" ht="20" customHeight="1">
      <c r="A1609" s="29" t="n">
        <v>4</v>
      </c>
      <c r="B1609" s="29" t="n">
        <v>45</v>
      </c>
      <c r="C1609" s="30" t="n">
        <v>100</v>
      </c>
      <c r="D1609" s="30" t="n">
        <v>2</v>
      </c>
      <c r="E1609" s="6" t="n">
        <v>4</v>
      </c>
      <c r="F1609" s="30" t="n">
        <v>1.5</v>
      </c>
      <c r="G1609" s="6" t="inlineStr">
        <is>
          <t>Non</t>
        </is>
      </c>
      <c r="H1609" s="6" t="inlineStr">
        <is>
          <t>OFF</t>
        </is>
      </c>
      <c r="I1609" s="31" t="n">
        <v>1132.611974342026</v>
      </c>
      <c r="J1609" s="31" t="n">
        <v>6657.967474874614</v>
      </c>
      <c r="K1609" s="31" t="n">
        <v>3166.666666666667</v>
      </c>
      <c r="L1609" s="31" t="n">
        <v>150</v>
      </c>
      <c r="M1609" s="31">
        <f>I1609+J1609+K1609+L1609</f>
        <v/>
      </c>
      <c r="N1609" s="31">
        <f>M1609*'Dashboard &amp; Optimisation'!$B$18/('Dashboard &amp; Optimisation'!$B$16/3.6)</f>
        <v/>
      </c>
      <c r="O1609" s="31" t="n">
        <v>754.1090185815629</v>
      </c>
      <c r="P1609" s="32" t="n">
        <v>0.3041409725610454</v>
      </c>
      <c r="Q1609" s="33" t="n">
        <v>6.718986469044035</v>
      </c>
      <c r="R1609" s="31" t="n">
        <v>980.9547995003002</v>
      </c>
      <c r="S1609" s="31">
        <f>R1609*IF(A1609=4, 2.0, 3.0)</f>
        <v/>
      </c>
      <c r="T1609" s="30">
        <f>'Dashboard &amp; Optimisation'!$B$18*U1609</f>
        <v/>
      </c>
      <c r="U1609" s="34">
        <f>MIN(1, S1609/M1609)</f>
        <v/>
      </c>
      <c r="V1609" s="34">
        <f>N1609/(N1609+O1609)</f>
        <v/>
      </c>
      <c r="W1609" s="34">
        <f>U1609*V1609</f>
        <v/>
      </c>
      <c r="X1609" s="32">
        <f>T1609/N1609</f>
        <v/>
      </c>
      <c r="Y1609" s="35">
        <f>IF(W1609=MAXIFS(W$2:W$3601, A$2:A$3601, A1609, B$2:B$3601, B1609), "OPTIMAL", "")</f>
        <v/>
      </c>
    </row>
    <row r="1610" ht="20" customHeight="1">
      <c r="A1610" s="21" t="n">
        <v>4</v>
      </c>
      <c r="B1610" s="21" t="n">
        <v>45</v>
      </c>
      <c r="C1610" s="22" t="n">
        <v>100</v>
      </c>
      <c r="D1610" s="22" t="n">
        <v>2</v>
      </c>
      <c r="E1610" s="23" t="n">
        <v>4</v>
      </c>
      <c r="F1610" s="22" t="n">
        <v>2</v>
      </c>
      <c r="G1610" s="23" t="inlineStr">
        <is>
          <t>Oui</t>
        </is>
      </c>
      <c r="H1610" s="23" t="inlineStr">
        <is>
          <t>ON</t>
        </is>
      </c>
      <c r="I1610" s="24" t="n">
        <v>1132.611974342026</v>
      </c>
      <c r="J1610" s="24" t="n">
        <v>6657.967474874614</v>
      </c>
      <c r="K1610" s="24" t="n">
        <v>3166.666666666667</v>
      </c>
      <c r="L1610" s="24" t="n">
        <v>150</v>
      </c>
      <c r="M1610" s="24">
        <f>I1610+J1610+K1610+L1610</f>
        <v/>
      </c>
      <c r="N1610" s="24">
        <f>M1610*'Dashboard &amp; Optimisation'!$B$18/('Dashboard &amp; Optimisation'!$B$16/3.6)</f>
        <v/>
      </c>
      <c r="O1610" s="24" t="n">
        <v>849.4500739542225</v>
      </c>
      <c r="P1610" s="25" t="n">
        <v>0.07106618988155999</v>
      </c>
      <c r="Q1610" s="26" t="n">
        <v>8.891981958725379</v>
      </c>
      <c r="R1610" s="24" t="n">
        <v>4244.696805427266</v>
      </c>
      <c r="S1610" s="24">
        <f>R1610*IF(A1610=4, 2.0, 3.0)</f>
        <v/>
      </c>
      <c r="T1610" s="22">
        <f>'Dashboard &amp; Optimisation'!$B$18*U1610</f>
        <v/>
      </c>
      <c r="U1610" s="27">
        <f>MIN(1, S1610/M1610)</f>
        <v/>
      </c>
      <c r="V1610" s="27">
        <f>N1610/(N1610+O1610)</f>
        <v/>
      </c>
      <c r="W1610" s="27">
        <f>U1610*V1610</f>
        <v/>
      </c>
      <c r="X1610" s="25">
        <f>T1610/N1610</f>
        <v/>
      </c>
      <c r="Y1610" s="28">
        <f>IF(W1610=MAXIFS(W$2:W$3601, A$2:A$3601, A1610, B$2:B$3601, B1610), "OPTIMAL", "")</f>
        <v/>
      </c>
    </row>
    <row r="1611" ht="20" customHeight="1">
      <c r="A1611" s="29" t="n">
        <v>4</v>
      </c>
      <c r="B1611" s="29" t="n">
        <v>45</v>
      </c>
      <c r="C1611" s="30" t="n">
        <v>100</v>
      </c>
      <c r="D1611" s="30" t="n">
        <v>2</v>
      </c>
      <c r="E1611" s="6" t="n">
        <v>4</v>
      </c>
      <c r="F1611" s="30" t="n">
        <v>2</v>
      </c>
      <c r="G1611" s="6" t="inlineStr">
        <is>
          <t>Oui</t>
        </is>
      </c>
      <c r="H1611" s="6" t="inlineStr">
        <is>
          <t>OFF</t>
        </is>
      </c>
      <c r="I1611" s="31" t="n">
        <v>1132.611974342026</v>
      </c>
      <c r="J1611" s="31" t="n">
        <v>6657.967474874614</v>
      </c>
      <c r="K1611" s="31" t="n">
        <v>3166.666666666667</v>
      </c>
      <c r="L1611" s="31" t="n">
        <v>150</v>
      </c>
      <c r="M1611" s="31">
        <f>I1611+J1611+K1611+L1611</f>
        <v/>
      </c>
      <c r="N1611" s="31">
        <f>M1611*'Dashboard &amp; Optimisation'!$B$18/('Dashboard &amp; Optimisation'!$B$16/3.6)</f>
        <v/>
      </c>
      <c r="O1611" s="31" t="n">
        <v>849.4500739542225</v>
      </c>
      <c r="P1611" s="32" t="n">
        <v>0.3057228026390766</v>
      </c>
      <c r="Q1611" s="33" t="n">
        <v>8.891981958725379</v>
      </c>
      <c r="R1611" s="31" t="n">
        <v>986.692607028942</v>
      </c>
      <c r="S1611" s="31">
        <f>R1611*IF(A1611=4, 2.0, 3.0)</f>
        <v/>
      </c>
      <c r="T1611" s="30">
        <f>'Dashboard &amp; Optimisation'!$B$18*U1611</f>
        <v/>
      </c>
      <c r="U1611" s="34">
        <f>MIN(1, S1611/M1611)</f>
        <v/>
      </c>
      <c r="V1611" s="34">
        <f>N1611/(N1611+O1611)</f>
        <v/>
      </c>
      <c r="W1611" s="34">
        <f>U1611*V1611</f>
        <v/>
      </c>
      <c r="X1611" s="32">
        <f>T1611/N1611</f>
        <v/>
      </c>
      <c r="Y1611" s="35">
        <f>IF(W1611=MAXIFS(W$2:W$3601, A$2:A$3601, A1611, B$2:B$3601, B1611), "OPTIMAL", "")</f>
        <v/>
      </c>
    </row>
    <row r="1612" ht="20" customHeight="1">
      <c r="A1612" s="21" t="n">
        <v>4</v>
      </c>
      <c r="B1612" s="21" t="n">
        <v>45</v>
      </c>
      <c r="C1612" s="22" t="n">
        <v>100</v>
      </c>
      <c r="D1612" s="22" t="n">
        <v>2</v>
      </c>
      <c r="E1612" s="23" t="n">
        <v>4</v>
      </c>
      <c r="F1612" s="22" t="n">
        <v>2</v>
      </c>
      <c r="G1612" s="23" t="inlineStr">
        <is>
          <t>Non</t>
        </is>
      </c>
      <c r="H1612" s="23" t="inlineStr">
        <is>
          <t>ON</t>
        </is>
      </c>
      <c r="I1612" s="24" t="n">
        <v>1132.611974342026</v>
      </c>
      <c r="J1612" s="24" t="n">
        <v>6657.967474874614</v>
      </c>
      <c r="K1612" s="24" t="n">
        <v>3166.666666666667</v>
      </c>
      <c r="L1612" s="24" t="n">
        <v>150</v>
      </c>
      <c r="M1612" s="24">
        <f>I1612+J1612+K1612+L1612</f>
        <v/>
      </c>
      <c r="N1612" s="24">
        <f>M1612*'Dashboard &amp; Optimisation'!$B$18/('Dashboard &amp; Optimisation'!$B$16/3.6)</f>
        <v/>
      </c>
      <c r="O1612" s="24" t="n">
        <v>849.4500739542225</v>
      </c>
      <c r="P1612" s="25" t="n">
        <v>0.06788309101972209</v>
      </c>
      <c r="Q1612" s="26" t="n">
        <v>8.891981958725379</v>
      </c>
      <c r="R1612" s="24" t="n">
        <v>4443.734435671256</v>
      </c>
      <c r="S1612" s="24">
        <f>R1612*IF(A1612=4, 2.0, 3.0)</f>
        <v/>
      </c>
      <c r="T1612" s="22">
        <f>'Dashboard &amp; Optimisation'!$B$18*U1612</f>
        <v/>
      </c>
      <c r="U1612" s="27">
        <f>MIN(1, S1612/M1612)</f>
        <v/>
      </c>
      <c r="V1612" s="27">
        <f>N1612/(N1612+O1612)</f>
        <v/>
      </c>
      <c r="W1612" s="27">
        <f>U1612*V1612</f>
        <v/>
      </c>
      <c r="X1612" s="25">
        <f>T1612/N1612</f>
        <v/>
      </c>
      <c r="Y1612" s="28">
        <f>IF(W1612=MAXIFS(W$2:W$3601, A$2:A$3601, A1612, B$2:B$3601, B1612), "OPTIMAL", "")</f>
        <v/>
      </c>
    </row>
    <row r="1613" ht="20" customHeight="1">
      <c r="A1613" s="29" t="n">
        <v>4</v>
      </c>
      <c r="B1613" s="29" t="n">
        <v>45</v>
      </c>
      <c r="C1613" s="30" t="n">
        <v>100</v>
      </c>
      <c r="D1613" s="30" t="n">
        <v>2</v>
      </c>
      <c r="E1613" s="6" t="n">
        <v>4</v>
      </c>
      <c r="F1613" s="30" t="n">
        <v>2</v>
      </c>
      <c r="G1613" s="6" t="inlineStr">
        <is>
          <t>Non</t>
        </is>
      </c>
      <c r="H1613" s="6" t="inlineStr">
        <is>
          <t>OFF</t>
        </is>
      </c>
      <c r="I1613" s="31" t="n">
        <v>1132.611974342026</v>
      </c>
      <c r="J1613" s="31" t="n">
        <v>6657.967474874614</v>
      </c>
      <c r="K1613" s="31" t="n">
        <v>3166.666666666667</v>
      </c>
      <c r="L1613" s="31" t="n">
        <v>150</v>
      </c>
      <c r="M1613" s="31">
        <f>I1613+J1613+K1613+L1613</f>
        <v/>
      </c>
      <c r="N1613" s="31">
        <f>M1613*'Dashboard &amp; Optimisation'!$B$18/('Dashboard &amp; Optimisation'!$B$16/3.6)</f>
        <v/>
      </c>
      <c r="O1613" s="31" t="n">
        <v>849.4500739542225</v>
      </c>
      <c r="P1613" s="32" t="n">
        <v>0.3025397037772387</v>
      </c>
      <c r="Q1613" s="33" t="n">
        <v>8.891981958725379</v>
      </c>
      <c r="R1613" s="31" t="n">
        <v>997.0738564160647</v>
      </c>
      <c r="S1613" s="31">
        <f>R1613*IF(A1613=4, 2.0, 3.0)</f>
        <v/>
      </c>
      <c r="T1613" s="30">
        <f>'Dashboard &amp; Optimisation'!$B$18*U1613</f>
        <v/>
      </c>
      <c r="U1613" s="34">
        <f>MIN(1, S1613/M1613)</f>
        <v/>
      </c>
      <c r="V1613" s="34">
        <f>N1613/(N1613+O1613)</f>
        <v/>
      </c>
      <c r="W1613" s="34">
        <f>U1613*V1613</f>
        <v/>
      </c>
      <c r="X1613" s="32">
        <f>T1613/N1613</f>
        <v/>
      </c>
      <c r="Y1613" s="35">
        <f>IF(W1613=MAXIFS(W$2:W$3601, A$2:A$3601, A1613, B$2:B$3601, B1613), "OPTIMAL", "")</f>
        <v/>
      </c>
    </row>
    <row r="1614" ht="20" customHeight="1">
      <c r="A1614" s="21" t="n">
        <v>4</v>
      </c>
      <c r="B1614" s="21" t="n">
        <v>45</v>
      </c>
      <c r="C1614" s="22" t="n">
        <v>100</v>
      </c>
      <c r="D1614" s="22" t="n">
        <v>2</v>
      </c>
      <c r="E1614" s="23" t="n">
        <v>8</v>
      </c>
      <c r="F1614" s="22" t="n">
        <v>1.5</v>
      </c>
      <c r="G1614" s="23" t="inlineStr">
        <is>
          <t>Oui</t>
        </is>
      </c>
      <c r="H1614" s="23" t="inlineStr">
        <is>
          <t>ON</t>
        </is>
      </c>
      <c r="I1614" s="24" t="n">
        <v>1132.611974342026</v>
      </c>
      <c r="J1614" s="24" t="n">
        <v>6657.967474874614</v>
      </c>
      <c r="K1614" s="24" t="n">
        <v>3166.666666666667</v>
      </c>
      <c r="L1614" s="24" t="n">
        <v>150</v>
      </c>
      <c r="M1614" s="24">
        <f>I1614+J1614+K1614+L1614</f>
        <v/>
      </c>
      <c r="N1614" s="24">
        <f>M1614*'Dashboard &amp; Optimisation'!$B$18/('Dashboard &amp; Optimisation'!$B$16/3.6)</f>
        <v/>
      </c>
      <c r="O1614" s="24" t="n">
        <v>1046.614459208646</v>
      </c>
      <c r="P1614" s="25" t="n">
        <v>0.05573050288457804</v>
      </c>
      <c r="Q1614" s="26" t="n">
        <v>13.23797293808807</v>
      </c>
      <c r="R1614" s="24" t="n">
        <v>5535.406038105171</v>
      </c>
      <c r="S1614" s="24">
        <f>R1614*IF(A1614=4, 2.0, 3.0)</f>
        <v/>
      </c>
      <c r="T1614" s="22">
        <f>'Dashboard &amp; Optimisation'!$B$18*U1614</f>
        <v/>
      </c>
      <c r="U1614" s="27">
        <f>MIN(1, S1614/M1614)</f>
        <v/>
      </c>
      <c r="V1614" s="27">
        <f>N1614/(N1614+O1614)</f>
        <v/>
      </c>
      <c r="W1614" s="27">
        <f>U1614*V1614</f>
        <v/>
      </c>
      <c r="X1614" s="25">
        <f>T1614/N1614</f>
        <v/>
      </c>
      <c r="Y1614" s="28">
        <f>IF(W1614=MAXIFS(W$2:W$3601, A$2:A$3601, A1614, B$2:B$3601, B1614), "OPTIMAL", "")</f>
        <v/>
      </c>
    </row>
    <row r="1615" ht="20" customHeight="1">
      <c r="A1615" s="29" t="n">
        <v>4</v>
      </c>
      <c r="B1615" s="29" t="n">
        <v>45</v>
      </c>
      <c r="C1615" s="30" t="n">
        <v>100</v>
      </c>
      <c r="D1615" s="30" t="n">
        <v>2</v>
      </c>
      <c r="E1615" s="6" t="n">
        <v>8</v>
      </c>
      <c r="F1615" s="30" t="n">
        <v>1.5</v>
      </c>
      <c r="G1615" s="6" t="inlineStr">
        <is>
          <t>Oui</t>
        </is>
      </c>
      <c r="H1615" s="6" t="inlineStr">
        <is>
          <t>OFF</t>
        </is>
      </c>
      <c r="I1615" s="31" t="n">
        <v>1132.611974342026</v>
      </c>
      <c r="J1615" s="31" t="n">
        <v>6657.967474874614</v>
      </c>
      <c r="K1615" s="31" t="n">
        <v>3166.666666666667</v>
      </c>
      <c r="L1615" s="31" t="n">
        <v>150</v>
      </c>
      <c r="M1615" s="31">
        <f>I1615+J1615+K1615+L1615</f>
        <v/>
      </c>
      <c r="N1615" s="31">
        <f>M1615*'Dashboard &amp; Optimisation'!$B$18/('Dashboard &amp; Optimisation'!$B$16/3.6)</f>
        <v/>
      </c>
      <c r="O1615" s="31" t="n">
        <v>1046.614459208646</v>
      </c>
      <c r="P1615" s="32" t="n">
        <v>0.2401827722650424</v>
      </c>
      <c r="Q1615" s="33" t="n">
        <v>13.23797293808807</v>
      </c>
      <c r="R1615" s="31" t="n">
        <v>1284.400872155436</v>
      </c>
      <c r="S1615" s="31">
        <f>R1615*IF(A1615=4, 2.0, 3.0)</f>
        <v/>
      </c>
      <c r="T1615" s="30">
        <f>'Dashboard &amp; Optimisation'!$B$18*U1615</f>
        <v/>
      </c>
      <c r="U1615" s="34">
        <f>MIN(1, S1615/M1615)</f>
        <v/>
      </c>
      <c r="V1615" s="34">
        <f>N1615/(N1615+O1615)</f>
        <v/>
      </c>
      <c r="W1615" s="34">
        <f>U1615*V1615</f>
        <v/>
      </c>
      <c r="X1615" s="32">
        <f>T1615/N1615</f>
        <v/>
      </c>
      <c r="Y1615" s="35">
        <f>IF(W1615=MAXIFS(W$2:W$3601, A$2:A$3601, A1615, B$2:B$3601, B1615), "OPTIMAL", "")</f>
        <v/>
      </c>
    </row>
    <row r="1616" ht="20" customHeight="1">
      <c r="A1616" s="21" t="n">
        <v>4</v>
      </c>
      <c r="B1616" s="21" t="n">
        <v>45</v>
      </c>
      <c r="C1616" s="22" t="n">
        <v>100</v>
      </c>
      <c r="D1616" s="22" t="n">
        <v>2</v>
      </c>
      <c r="E1616" s="23" t="n">
        <v>8</v>
      </c>
      <c r="F1616" s="22" t="n">
        <v>1.5</v>
      </c>
      <c r="G1616" s="23" t="inlineStr">
        <is>
          <t>Non</t>
        </is>
      </c>
      <c r="H1616" s="23" t="inlineStr">
        <is>
          <t>ON</t>
        </is>
      </c>
      <c r="I1616" s="24" t="n">
        <v>1132.611974342026</v>
      </c>
      <c r="J1616" s="24" t="n">
        <v>6657.967474874614</v>
      </c>
      <c r="K1616" s="24" t="n">
        <v>3166.666666666667</v>
      </c>
      <c r="L1616" s="24" t="n">
        <v>150</v>
      </c>
      <c r="M1616" s="24">
        <f>I1616+J1616+K1616+L1616</f>
        <v/>
      </c>
      <c r="N1616" s="24">
        <f>M1616*'Dashboard &amp; Optimisation'!$B$18/('Dashboard &amp; Optimisation'!$B$16/3.6)</f>
        <v/>
      </c>
      <c r="O1616" s="24" t="n">
        <v>1046.614459208646</v>
      </c>
      <c r="P1616" s="25" t="n">
        <v>0.05254740402274013</v>
      </c>
      <c r="Q1616" s="26" t="n">
        <v>13.23797293808807</v>
      </c>
      <c r="R1616" s="24" t="n">
        <v>5870.717458096124</v>
      </c>
      <c r="S1616" s="24">
        <f>R1616*IF(A1616=4, 2.0, 3.0)</f>
        <v/>
      </c>
      <c r="T1616" s="22">
        <f>'Dashboard &amp; Optimisation'!$B$18*U1616</f>
        <v/>
      </c>
      <c r="U1616" s="27">
        <f>MIN(1, S1616/M1616)</f>
        <v/>
      </c>
      <c r="V1616" s="27">
        <f>N1616/(N1616+O1616)</f>
        <v/>
      </c>
      <c r="W1616" s="27">
        <f>U1616*V1616</f>
        <v/>
      </c>
      <c r="X1616" s="25">
        <f>T1616/N1616</f>
        <v/>
      </c>
      <c r="Y1616" s="28">
        <f>IF(W1616=MAXIFS(W$2:W$3601, A$2:A$3601, A1616, B$2:B$3601, B1616), "OPTIMAL", "")</f>
        <v/>
      </c>
    </row>
    <row r="1617" ht="20" customHeight="1">
      <c r="A1617" s="29" t="n">
        <v>4</v>
      </c>
      <c r="B1617" s="29" t="n">
        <v>45</v>
      </c>
      <c r="C1617" s="30" t="n">
        <v>100</v>
      </c>
      <c r="D1617" s="30" t="n">
        <v>2</v>
      </c>
      <c r="E1617" s="6" t="n">
        <v>8</v>
      </c>
      <c r="F1617" s="30" t="n">
        <v>1.5</v>
      </c>
      <c r="G1617" s="6" t="inlineStr">
        <is>
          <t>Non</t>
        </is>
      </c>
      <c r="H1617" s="6" t="inlineStr">
        <is>
          <t>OFF</t>
        </is>
      </c>
      <c r="I1617" s="31" t="n">
        <v>1132.611974342026</v>
      </c>
      <c r="J1617" s="31" t="n">
        <v>6657.967474874614</v>
      </c>
      <c r="K1617" s="31" t="n">
        <v>3166.666666666667</v>
      </c>
      <c r="L1617" s="31" t="n">
        <v>150</v>
      </c>
      <c r="M1617" s="31">
        <f>I1617+J1617+K1617+L1617</f>
        <v/>
      </c>
      <c r="N1617" s="31">
        <f>M1617*'Dashboard &amp; Optimisation'!$B$18/('Dashboard &amp; Optimisation'!$B$16/3.6)</f>
        <v/>
      </c>
      <c r="O1617" s="31" t="n">
        <v>1046.614459208646</v>
      </c>
      <c r="P1617" s="32" t="n">
        <v>0.2369996734032044</v>
      </c>
      <c r="Q1617" s="33" t="n">
        <v>13.23797293808807</v>
      </c>
      <c r="R1617" s="31" t="n">
        <v>1301.651423160821</v>
      </c>
      <c r="S1617" s="31">
        <f>R1617*IF(A1617=4, 2.0, 3.0)</f>
        <v/>
      </c>
      <c r="T1617" s="30">
        <f>'Dashboard &amp; Optimisation'!$B$18*U1617</f>
        <v/>
      </c>
      <c r="U1617" s="34">
        <f>MIN(1, S1617/M1617)</f>
        <v/>
      </c>
      <c r="V1617" s="34">
        <f>N1617/(N1617+O1617)</f>
        <v/>
      </c>
      <c r="W1617" s="34">
        <f>U1617*V1617</f>
        <v/>
      </c>
      <c r="X1617" s="32">
        <f>T1617/N1617</f>
        <v/>
      </c>
      <c r="Y1617" s="35">
        <f>IF(W1617=MAXIFS(W$2:W$3601, A$2:A$3601, A1617, B$2:B$3601, B1617), "OPTIMAL", "")</f>
        <v/>
      </c>
    </row>
    <row r="1618" ht="20" customHeight="1">
      <c r="A1618" s="21" t="n">
        <v>4</v>
      </c>
      <c r="B1618" s="21" t="n">
        <v>45</v>
      </c>
      <c r="C1618" s="22" t="n">
        <v>100</v>
      </c>
      <c r="D1618" s="22" t="n">
        <v>2</v>
      </c>
      <c r="E1618" s="23" t="n">
        <v>8</v>
      </c>
      <c r="F1618" s="22" t="n">
        <v>2</v>
      </c>
      <c r="G1618" s="23" t="inlineStr">
        <is>
          <t>Oui</t>
        </is>
      </c>
      <c r="H1618" s="23" t="inlineStr">
        <is>
          <t>ON</t>
        </is>
      </c>
      <c r="I1618" s="24" t="n">
        <v>1132.611974342026</v>
      </c>
      <c r="J1618" s="24" t="n">
        <v>6657.967474874614</v>
      </c>
      <c r="K1618" s="24" t="n">
        <v>3166.666666666667</v>
      </c>
      <c r="L1618" s="24" t="n">
        <v>150</v>
      </c>
      <c r="M1618" s="24">
        <f>I1618+J1618+K1618+L1618</f>
        <v/>
      </c>
      <c r="N1618" s="24">
        <f>M1618*'Dashboard &amp; Optimisation'!$B$18/('Dashboard &amp; Optimisation'!$B$16/3.6)</f>
        <v/>
      </c>
      <c r="O1618" s="24" t="n">
        <v>1252.922935413642</v>
      </c>
      <c r="P1618" s="25" t="n">
        <v>0.05449488140602117</v>
      </c>
      <c r="Q1618" s="26" t="n">
        <v>17.58396391745076</v>
      </c>
      <c r="R1618" s="24" t="n">
        <v>5792.187299165436</v>
      </c>
      <c r="S1618" s="24">
        <f>R1618*IF(A1618=4, 2.0, 3.0)</f>
        <v/>
      </c>
      <c r="T1618" s="22">
        <f>'Dashboard &amp; Optimisation'!$B$18*U1618</f>
        <v/>
      </c>
      <c r="U1618" s="27">
        <f>MIN(1, S1618/M1618)</f>
        <v/>
      </c>
      <c r="V1618" s="27">
        <f>N1618/(N1618+O1618)</f>
        <v/>
      </c>
      <c r="W1618" s="27">
        <f>U1618*V1618</f>
        <v/>
      </c>
      <c r="X1618" s="25">
        <f>T1618/N1618</f>
        <v/>
      </c>
      <c r="Y1618" s="28">
        <f>IF(W1618=MAXIFS(W$2:W$3601, A$2:A$3601, A1618, B$2:B$3601, B1618), "OPTIMAL", "")</f>
        <v/>
      </c>
    </row>
    <row r="1619" ht="20" customHeight="1">
      <c r="A1619" s="29" t="n">
        <v>4</v>
      </c>
      <c r="B1619" s="29" t="n">
        <v>45</v>
      </c>
      <c r="C1619" s="30" t="n">
        <v>100</v>
      </c>
      <c r="D1619" s="30" t="n">
        <v>2</v>
      </c>
      <c r="E1619" s="6" t="n">
        <v>8</v>
      </c>
      <c r="F1619" s="30" t="n">
        <v>2</v>
      </c>
      <c r="G1619" s="6" t="inlineStr">
        <is>
          <t>Oui</t>
        </is>
      </c>
      <c r="H1619" s="6" t="inlineStr">
        <is>
          <t>OFF</t>
        </is>
      </c>
      <c r="I1619" s="31" t="n">
        <v>1132.611974342026</v>
      </c>
      <c r="J1619" s="31" t="n">
        <v>6657.967474874614</v>
      </c>
      <c r="K1619" s="31" t="n">
        <v>3166.666666666667</v>
      </c>
      <c r="L1619" s="31" t="n">
        <v>150</v>
      </c>
      <c r="M1619" s="31">
        <f>I1619+J1619+K1619+L1619</f>
        <v/>
      </c>
      <c r="N1619" s="31">
        <f>M1619*'Dashboard &amp; Optimisation'!$B$18/('Dashboard &amp; Optimisation'!$B$16/3.6)</f>
        <v/>
      </c>
      <c r="O1619" s="31" t="n">
        <v>1252.922935413642</v>
      </c>
      <c r="P1619" s="32" t="n">
        <v>0.2403161193409352</v>
      </c>
      <c r="Q1619" s="33" t="n">
        <v>17.58396391745076</v>
      </c>
      <c r="R1619" s="31" t="n">
        <v>1313.455630088963</v>
      </c>
      <c r="S1619" s="31">
        <f>R1619*IF(A1619=4, 2.0, 3.0)</f>
        <v/>
      </c>
      <c r="T1619" s="30">
        <f>'Dashboard &amp; Optimisation'!$B$18*U1619</f>
        <v/>
      </c>
      <c r="U1619" s="34">
        <f>MIN(1, S1619/M1619)</f>
        <v/>
      </c>
      <c r="V1619" s="34">
        <f>N1619/(N1619+O1619)</f>
        <v/>
      </c>
      <c r="W1619" s="34">
        <f>U1619*V1619</f>
        <v/>
      </c>
      <c r="X1619" s="32">
        <f>T1619/N1619</f>
        <v/>
      </c>
      <c r="Y1619" s="35">
        <f>IF(W1619=MAXIFS(W$2:W$3601, A$2:A$3601, A1619, B$2:B$3601, B1619), "OPTIMAL", "")</f>
        <v/>
      </c>
    </row>
    <row r="1620" ht="20" customHeight="1">
      <c r="A1620" s="21" t="n">
        <v>4</v>
      </c>
      <c r="B1620" s="21" t="n">
        <v>45</v>
      </c>
      <c r="C1620" s="22" t="n">
        <v>100</v>
      </c>
      <c r="D1620" s="22" t="n">
        <v>2</v>
      </c>
      <c r="E1620" s="23" t="n">
        <v>8</v>
      </c>
      <c r="F1620" s="22" t="n">
        <v>2</v>
      </c>
      <c r="G1620" s="23" t="inlineStr">
        <is>
          <t>Non</t>
        </is>
      </c>
      <c r="H1620" s="23" t="inlineStr">
        <is>
          <t>ON</t>
        </is>
      </c>
      <c r="I1620" s="24" t="n">
        <v>1132.611974342026</v>
      </c>
      <c r="J1620" s="24" t="n">
        <v>6657.967474874614</v>
      </c>
      <c r="K1620" s="24" t="n">
        <v>3166.666666666667</v>
      </c>
      <c r="L1620" s="24" t="n">
        <v>150</v>
      </c>
      <c r="M1620" s="24">
        <f>I1620+J1620+K1620+L1620</f>
        <v/>
      </c>
      <c r="N1620" s="24">
        <f>M1620*'Dashboard &amp; Optimisation'!$B$18/('Dashboard &amp; Optimisation'!$B$16/3.6)</f>
        <v/>
      </c>
      <c r="O1620" s="24" t="n">
        <v>1252.922935413642</v>
      </c>
      <c r="P1620" s="25" t="n">
        <v>0.05131178254418326</v>
      </c>
      <c r="Q1620" s="26" t="n">
        <v>17.58396391745076</v>
      </c>
      <c r="R1620" s="24" t="n">
        <v>6151.502526299668</v>
      </c>
      <c r="S1620" s="24">
        <f>R1620*IF(A1620=4, 2.0, 3.0)</f>
        <v/>
      </c>
      <c r="T1620" s="22">
        <f>'Dashboard &amp; Optimisation'!$B$18*U1620</f>
        <v/>
      </c>
      <c r="U1620" s="27">
        <f>MIN(1, S1620/M1620)</f>
        <v/>
      </c>
      <c r="V1620" s="27">
        <f>N1620/(N1620+O1620)</f>
        <v/>
      </c>
      <c r="W1620" s="27">
        <f>U1620*V1620</f>
        <v/>
      </c>
      <c r="X1620" s="25">
        <f>T1620/N1620</f>
        <v/>
      </c>
      <c r="Y1620" s="28">
        <f>IF(W1620=MAXIFS(W$2:W$3601, A$2:A$3601, A1620, B$2:B$3601, B1620), "OPTIMAL", "")</f>
        <v/>
      </c>
    </row>
    <row r="1621" ht="20" customHeight="1">
      <c r="A1621" s="29" t="n">
        <v>4</v>
      </c>
      <c r="B1621" s="29" t="n">
        <v>45</v>
      </c>
      <c r="C1621" s="30" t="n">
        <v>100</v>
      </c>
      <c r="D1621" s="30" t="n">
        <v>2</v>
      </c>
      <c r="E1621" s="6" t="n">
        <v>8</v>
      </c>
      <c r="F1621" s="30" t="n">
        <v>2</v>
      </c>
      <c r="G1621" s="6" t="inlineStr">
        <is>
          <t>Non</t>
        </is>
      </c>
      <c r="H1621" s="6" t="inlineStr">
        <is>
          <t>OFF</t>
        </is>
      </c>
      <c r="I1621" s="31" t="n">
        <v>1132.611974342026</v>
      </c>
      <c r="J1621" s="31" t="n">
        <v>6657.967474874614</v>
      </c>
      <c r="K1621" s="31" t="n">
        <v>3166.666666666667</v>
      </c>
      <c r="L1621" s="31" t="n">
        <v>150</v>
      </c>
      <c r="M1621" s="31">
        <f>I1621+J1621+K1621+L1621</f>
        <v/>
      </c>
      <c r="N1621" s="31">
        <f>M1621*'Dashboard &amp; Optimisation'!$B$18/('Dashboard &amp; Optimisation'!$B$16/3.6)</f>
        <v/>
      </c>
      <c r="O1621" s="31" t="n">
        <v>1252.922935413642</v>
      </c>
      <c r="P1621" s="32" t="n">
        <v>0.2371330204790973</v>
      </c>
      <c r="Q1621" s="33" t="n">
        <v>17.58396391745076</v>
      </c>
      <c r="R1621" s="31" t="n">
        <v>1331.086490239793</v>
      </c>
      <c r="S1621" s="31">
        <f>R1621*IF(A1621=4, 2.0, 3.0)</f>
        <v/>
      </c>
      <c r="T1621" s="30">
        <f>'Dashboard &amp; Optimisation'!$B$18*U1621</f>
        <v/>
      </c>
      <c r="U1621" s="34">
        <f>MIN(1, S1621/M1621)</f>
        <v/>
      </c>
      <c r="V1621" s="34">
        <f>N1621/(N1621+O1621)</f>
        <v/>
      </c>
      <c r="W1621" s="34">
        <f>U1621*V1621</f>
        <v/>
      </c>
      <c r="X1621" s="32">
        <f>T1621/N1621</f>
        <v/>
      </c>
      <c r="Y1621" s="35">
        <f>IF(W1621=MAXIFS(W$2:W$3601, A$2:A$3601, A1621, B$2:B$3601, B1621), "OPTIMAL", "")</f>
        <v/>
      </c>
    </row>
    <row r="1622" ht="20" customHeight="1">
      <c r="A1622" s="21" t="n">
        <v>4</v>
      </c>
      <c r="B1622" s="21" t="n">
        <v>45</v>
      </c>
      <c r="C1622" s="22" t="n">
        <v>100</v>
      </c>
      <c r="D1622" s="22" t="n">
        <v>3</v>
      </c>
      <c r="E1622" s="23" t="n">
        <v>0</v>
      </c>
      <c r="F1622" s="22" t="n">
        <v>0</v>
      </c>
      <c r="G1622" s="23" t="inlineStr">
        <is>
          <t>Oui</t>
        </is>
      </c>
      <c r="H1622" s="23" t="inlineStr">
        <is>
          <t>ON</t>
        </is>
      </c>
      <c r="I1622" s="24" t="n">
        <v>1132.611974342026</v>
      </c>
      <c r="J1622" s="24" t="n">
        <v>6657.967474874614</v>
      </c>
      <c r="K1622" s="24" t="n">
        <v>3166.666666666667</v>
      </c>
      <c r="L1622" s="24" t="n">
        <v>150</v>
      </c>
      <c r="M1622" s="24">
        <f>I1622+J1622+K1622+L1622</f>
        <v/>
      </c>
      <c r="N1622" s="24">
        <f>M1622*'Dashboard &amp; Optimisation'!$B$18/('Dashboard &amp; Optimisation'!$B$16/3.6)</f>
        <v/>
      </c>
      <c r="O1622" s="24" t="n">
        <v>743.6498408755223</v>
      </c>
      <c r="P1622" s="25" t="n">
        <v>0.4806959660709754</v>
      </c>
      <c r="Q1622" s="26" t="n">
        <v>0.2</v>
      </c>
      <c r="R1622" s="24" t="n">
        <v>626.7457330201217</v>
      </c>
      <c r="S1622" s="24">
        <f>R1622*IF(A1622=4, 2.0, 3.0)</f>
        <v/>
      </c>
      <c r="T1622" s="22">
        <f>'Dashboard &amp; Optimisation'!$B$18*U1622</f>
        <v/>
      </c>
      <c r="U1622" s="27">
        <f>MIN(1, S1622/M1622)</f>
        <v/>
      </c>
      <c r="V1622" s="27">
        <f>N1622/(N1622+O1622)</f>
        <v/>
      </c>
      <c r="W1622" s="27">
        <f>U1622*V1622</f>
        <v/>
      </c>
      <c r="X1622" s="25">
        <f>T1622/N1622</f>
        <v/>
      </c>
      <c r="Y1622" s="28">
        <f>IF(W1622=MAXIFS(W$2:W$3601, A$2:A$3601, A1622, B$2:B$3601, B1622), "OPTIMAL", "")</f>
        <v/>
      </c>
    </row>
    <row r="1623" ht="20" customHeight="1">
      <c r="A1623" s="29" t="n">
        <v>4</v>
      </c>
      <c r="B1623" s="29" t="n">
        <v>45</v>
      </c>
      <c r="C1623" s="30" t="n">
        <v>100</v>
      </c>
      <c r="D1623" s="30" t="n">
        <v>3</v>
      </c>
      <c r="E1623" s="6" t="n">
        <v>0</v>
      </c>
      <c r="F1623" s="30" t="n">
        <v>0</v>
      </c>
      <c r="G1623" s="6" t="inlineStr">
        <is>
          <t>Oui</t>
        </is>
      </c>
      <c r="H1623" s="6" t="inlineStr">
        <is>
          <t>OFF</t>
        </is>
      </c>
      <c r="I1623" s="31" t="n">
        <v>1132.611974342026</v>
      </c>
      <c r="J1623" s="31" t="n">
        <v>6657.967474874614</v>
      </c>
      <c r="K1623" s="31" t="n">
        <v>3166.666666666667</v>
      </c>
      <c r="L1623" s="31" t="n">
        <v>150</v>
      </c>
      <c r="M1623" s="31">
        <f>I1623+J1623+K1623+L1623</f>
        <v/>
      </c>
      <c r="N1623" s="31">
        <f>M1623*'Dashboard &amp; Optimisation'!$B$18/('Dashboard &amp; Optimisation'!$B$16/3.6)</f>
        <v/>
      </c>
      <c r="O1623" s="31" t="n">
        <v>743.6498408755223</v>
      </c>
      <c r="P1623" s="32" t="n">
        <v>0.7990058522547661</v>
      </c>
      <c r="Q1623" s="33" t="n">
        <v>0.2</v>
      </c>
      <c r="R1623" s="31" t="n">
        <v>377.0612502584107</v>
      </c>
      <c r="S1623" s="31">
        <f>R1623*IF(A1623=4, 2.0, 3.0)</f>
        <v/>
      </c>
      <c r="T1623" s="30">
        <f>'Dashboard &amp; Optimisation'!$B$18*U1623</f>
        <v/>
      </c>
      <c r="U1623" s="34">
        <f>MIN(1, S1623/M1623)</f>
        <v/>
      </c>
      <c r="V1623" s="34">
        <f>N1623/(N1623+O1623)</f>
        <v/>
      </c>
      <c r="W1623" s="34">
        <f>U1623*V1623</f>
        <v/>
      </c>
      <c r="X1623" s="32">
        <f>T1623/N1623</f>
        <v/>
      </c>
      <c r="Y1623" s="35">
        <f>IF(W1623=MAXIFS(W$2:W$3601, A$2:A$3601, A1623, B$2:B$3601, B1623), "OPTIMAL", "")</f>
        <v/>
      </c>
    </row>
    <row r="1624" ht="20" customHeight="1">
      <c r="A1624" s="21" t="n">
        <v>4</v>
      </c>
      <c r="B1624" s="21" t="n">
        <v>45</v>
      </c>
      <c r="C1624" s="22" t="n">
        <v>100</v>
      </c>
      <c r="D1624" s="22" t="n">
        <v>3</v>
      </c>
      <c r="E1624" s="23" t="n">
        <v>0</v>
      </c>
      <c r="F1624" s="22" t="n">
        <v>0</v>
      </c>
      <c r="G1624" s="23" t="inlineStr">
        <is>
          <t>Non</t>
        </is>
      </c>
      <c r="H1624" s="23" t="inlineStr">
        <is>
          <t>ON</t>
        </is>
      </c>
      <c r="I1624" s="24" t="n">
        <v>1132.611974342026</v>
      </c>
      <c r="J1624" s="24" t="n">
        <v>6657.967474874614</v>
      </c>
      <c r="K1624" s="24" t="n">
        <v>3166.666666666667</v>
      </c>
      <c r="L1624" s="24" t="n">
        <v>150</v>
      </c>
      <c r="M1624" s="24">
        <f>I1624+J1624+K1624+L1624</f>
        <v/>
      </c>
      <c r="N1624" s="24">
        <f>M1624*'Dashboard &amp; Optimisation'!$B$18/('Dashboard &amp; Optimisation'!$B$16/3.6)</f>
        <v/>
      </c>
      <c r="O1624" s="24" t="n">
        <v>743.6498408755223</v>
      </c>
      <c r="P1624" s="25" t="n">
        <v>0.4775128672091374</v>
      </c>
      <c r="Q1624" s="26" t="n">
        <v>0.2</v>
      </c>
      <c r="R1624" s="24" t="n">
        <v>630.9236175682346</v>
      </c>
      <c r="S1624" s="24">
        <f>R1624*IF(A1624=4, 2.0, 3.0)</f>
        <v/>
      </c>
      <c r="T1624" s="22">
        <f>'Dashboard &amp; Optimisation'!$B$18*U1624</f>
        <v/>
      </c>
      <c r="U1624" s="27">
        <f>MIN(1, S1624/M1624)</f>
        <v/>
      </c>
      <c r="V1624" s="27">
        <f>N1624/(N1624+O1624)</f>
        <v/>
      </c>
      <c r="W1624" s="27">
        <f>U1624*V1624</f>
        <v/>
      </c>
      <c r="X1624" s="25">
        <f>T1624/N1624</f>
        <v/>
      </c>
      <c r="Y1624" s="28">
        <f>IF(W1624=MAXIFS(W$2:W$3601, A$2:A$3601, A1624, B$2:B$3601, B1624), "OPTIMAL", "")</f>
        <v/>
      </c>
    </row>
    <row r="1625" ht="20" customHeight="1">
      <c r="A1625" s="29" t="n">
        <v>4</v>
      </c>
      <c r="B1625" s="29" t="n">
        <v>45</v>
      </c>
      <c r="C1625" s="30" t="n">
        <v>100</v>
      </c>
      <c r="D1625" s="30" t="n">
        <v>3</v>
      </c>
      <c r="E1625" s="6" t="n">
        <v>0</v>
      </c>
      <c r="F1625" s="30" t="n">
        <v>0</v>
      </c>
      <c r="G1625" s="6" t="inlineStr">
        <is>
          <t>Non</t>
        </is>
      </c>
      <c r="H1625" s="6" t="inlineStr">
        <is>
          <t>OFF</t>
        </is>
      </c>
      <c r="I1625" s="31" t="n">
        <v>1132.611974342026</v>
      </c>
      <c r="J1625" s="31" t="n">
        <v>6657.967474874614</v>
      </c>
      <c r="K1625" s="31" t="n">
        <v>3166.666666666667</v>
      </c>
      <c r="L1625" s="31" t="n">
        <v>150</v>
      </c>
      <c r="M1625" s="31">
        <f>I1625+J1625+K1625+L1625</f>
        <v/>
      </c>
      <c r="N1625" s="31">
        <f>M1625*'Dashboard &amp; Optimisation'!$B$18/('Dashboard &amp; Optimisation'!$B$16/3.6)</f>
        <v/>
      </c>
      <c r="O1625" s="31" t="n">
        <v>743.6498408755223</v>
      </c>
      <c r="P1625" s="32" t="n">
        <v>0.7958227533929282</v>
      </c>
      <c r="Q1625" s="33" t="n">
        <v>0.2</v>
      </c>
      <c r="R1625" s="31" t="n">
        <v>378.5694042178491</v>
      </c>
      <c r="S1625" s="31">
        <f>R1625*IF(A1625=4, 2.0, 3.0)</f>
        <v/>
      </c>
      <c r="T1625" s="30">
        <f>'Dashboard &amp; Optimisation'!$B$18*U1625</f>
        <v/>
      </c>
      <c r="U1625" s="34">
        <f>MIN(1, S1625/M1625)</f>
        <v/>
      </c>
      <c r="V1625" s="34">
        <f>N1625/(N1625+O1625)</f>
        <v/>
      </c>
      <c r="W1625" s="34">
        <f>U1625*V1625</f>
        <v/>
      </c>
      <c r="X1625" s="32">
        <f>T1625/N1625</f>
        <v/>
      </c>
      <c r="Y1625" s="35">
        <f>IF(W1625=MAXIFS(W$2:W$3601, A$2:A$3601, A1625, B$2:B$3601, B1625), "OPTIMAL", "")</f>
        <v/>
      </c>
    </row>
    <row r="1626" ht="20" customHeight="1">
      <c r="A1626" s="21" t="n">
        <v>4</v>
      </c>
      <c r="B1626" s="21" t="n">
        <v>45</v>
      </c>
      <c r="C1626" s="22" t="n">
        <v>100</v>
      </c>
      <c r="D1626" s="22" t="n">
        <v>3</v>
      </c>
      <c r="E1626" s="23" t="n">
        <v>4</v>
      </c>
      <c r="F1626" s="22" t="n">
        <v>1.5</v>
      </c>
      <c r="G1626" s="23" t="inlineStr">
        <is>
          <t>Oui</t>
        </is>
      </c>
      <c r="H1626" s="23" t="inlineStr">
        <is>
          <t>ON</t>
        </is>
      </c>
      <c r="I1626" s="24" t="n">
        <v>1132.611974342026</v>
      </c>
      <c r="J1626" s="24" t="n">
        <v>6657.967474874614</v>
      </c>
      <c r="K1626" s="24" t="n">
        <v>3166.666666666667</v>
      </c>
      <c r="L1626" s="24" t="n">
        <v>150</v>
      </c>
      <c r="M1626" s="24">
        <f>I1626+J1626+K1626+L1626</f>
        <v/>
      </c>
      <c r="N1626" s="24">
        <f>M1626*'Dashboard &amp; Optimisation'!$B$18/('Dashboard &amp; Optimisation'!$B$16/3.6)</f>
        <v/>
      </c>
      <c r="O1626" s="24" t="n">
        <v>1033.984588827817</v>
      </c>
      <c r="P1626" s="25" t="n">
        <v>0.0735384347268611</v>
      </c>
      <c r="Q1626" s="26" t="n">
        <v>6.857688308810928</v>
      </c>
      <c r="R1626" s="24" t="n">
        <v>4234.481196174283</v>
      </c>
      <c r="S1626" s="24">
        <f>R1626*IF(A1626=4, 2.0, 3.0)</f>
        <v/>
      </c>
      <c r="T1626" s="22">
        <f>'Dashboard &amp; Optimisation'!$B$18*U1626</f>
        <v/>
      </c>
      <c r="U1626" s="27">
        <f>MIN(1, S1626/M1626)</f>
        <v/>
      </c>
      <c r="V1626" s="27">
        <f>N1626/(N1626+O1626)</f>
        <v/>
      </c>
      <c r="W1626" s="27">
        <f>U1626*V1626</f>
        <v/>
      </c>
      <c r="X1626" s="25">
        <f>T1626/N1626</f>
        <v/>
      </c>
      <c r="Y1626" s="28">
        <f>IF(W1626=MAXIFS(W$2:W$3601, A$2:A$3601, A1626, B$2:B$3601, B1626), "OPTIMAL", "")</f>
        <v/>
      </c>
    </row>
    <row r="1627" ht="20" customHeight="1">
      <c r="A1627" s="29" t="n">
        <v>4</v>
      </c>
      <c r="B1627" s="29" t="n">
        <v>45</v>
      </c>
      <c r="C1627" s="30" t="n">
        <v>100</v>
      </c>
      <c r="D1627" s="30" t="n">
        <v>3</v>
      </c>
      <c r="E1627" s="6" t="n">
        <v>4</v>
      </c>
      <c r="F1627" s="30" t="n">
        <v>1.5</v>
      </c>
      <c r="G1627" s="6" t="inlineStr">
        <is>
          <t>Oui</t>
        </is>
      </c>
      <c r="H1627" s="6" t="inlineStr">
        <is>
          <t>OFF</t>
        </is>
      </c>
      <c r="I1627" s="31" t="n">
        <v>1132.611974342026</v>
      </c>
      <c r="J1627" s="31" t="n">
        <v>6657.967474874614</v>
      </c>
      <c r="K1627" s="31" t="n">
        <v>3166.666666666667</v>
      </c>
      <c r="L1627" s="31" t="n">
        <v>150</v>
      </c>
      <c r="M1627" s="31">
        <f>I1627+J1627+K1627+L1627</f>
        <v/>
      </c>
      <c r="N1627" s="31">
        <f>M1627*'Dashboard &amp; Optimisation'!$B$18/('Dashboard &amp; Optimisation'!$B$16/3.6)</f>
        <v/>
      </c>
      <c r="O1627" s="31" t="n">
        <v>1033.984588827817</v>
      </c>
      <c r="P1627" s="32" t="n">
        <v>0.307100869502758</v>
      </c>
      <c r="Q1627" s="33" t="n">
        <v>6.857688308810928</v>
      </c>
      <c r="R1627" s="31" t="n">
        <v>1013.989701661156</v>
      </c>
      <c r="S1627" s="31">
        <f>R1627*IF(A1627=4, 2.0, 3.0)</f>
        <v/>
      </c>
      <c r="T1627" s="30">
        <f>'Dashboard &amp; Optimisation'!$B$18*U1627</f>
        <v/>
      </c>
      <c r="U1627" s="34">
        <f>MIN(1, S1627/M1627)</f>
        <v/>
      </c>
      <c r="V1627" s="34">
        <f>N1627/(N1627+O1627)</f>
        <v/>
      </c>
      <c r="W1627" s="34">
        <f>U1627*V1627</f>
        <v/>
      </c>
      <c r="X1627" s="32">
        <f>T1627/N1627</f>
        <v/>
      </c>
      <c r="Y1627" s="35">
        <f>IF(W1627=MAXIFS(W$2:W$3601, A$2:A$3601, A1627, B$2:B$3601, B1627), "OPTIMAL", "")</f>
        <v/>
      </c>
    </row>
    <row r="1628" ht="20" customHeight="1">
      <c r="A1628" s="21" t="n">
        <v>4</v>
      </c>
      <c r="B1628" s="21" t="n">
        <v>45</v>
      </c>
      <c r="C1628" s="22" t="n">
        <v>100</v>
      </c>
      <c r="D1628" s="22" t="n">
        <v>3</v>
      </c>
      <c r="E1628" s="23" t="n">
        <v>4</v>
      </c>
      <c r="F1628" s="22" t="n">
        <v>1.5</v>
      </c>
      <c r="G1628" s="23" t="inlineStr">
        <is>
          <t>Non</t>
        </is>
      </c>
      <c r="H1628" s="23" t="inlineStr">
        <is>
          <t>ON</t>
        </is>
      </c>
      <c r="I1628" s="24" t="n">
        <v>1132.611974342026</v>
      </c>
      <c r="J1628" s="24" t="n">
        <v>6657.967474874614</v>
      </c>
      <c r="K1628" s="24" t="n">
        <v>3166.666666666667</v>
      </c>
      <c r="L1628" s="24" t="n">
        <v>150</v>
      </c>
      <c r="M1628" s="24">
        <f>I1628+J1628+K1628+L1628</f>
        <v/>
      </c>
      <c r="N1628" s="24">
        <f>M1628*'Dashboard &amp; Optimisation'!$B$18/('Dashboard &amp; Optimisation'!$B$16/3.6)</f>
        <v/>
      </c>
      <c r="O1628" s="24" t="n">
        <v>1033.984588827817</v>
      </c>
      <c r="P1628" s="25" t="n">
        <v>0.07035533586502318</v>
      </c>
      <c r="Q1628" s="26" t="n">
        <v>6.857688308810928</v>
      </c>
      <c r="R1628" s="24" t="n">
        <v>4426.06257533045</v>
      </c>
      <c r="S1628" s="24">
        <f>R1628*IF(A1628=4, 2.0, 3.0)</f>
        <v/>
      </c>
      <c r="T1628" s="22">
        <f>'Dashboard &amp; Optimisation'!$B$18*U1628</f>
        <v/>
      </c>
      <c r="U1628" s="27">
        <f>MIN(1, S1628/M1628)</f>
        <v/>
      </c>
      <c r="V1628" s="27">
        <f>N1628/(N1628+O1628)</f>
        <v/>
      </c>
      <c r="W1628" s="27">
        <f>U1628*V1628</f>
        <v/>
      </c>
      <c r="X1628" s="25">
        <f>T1628/N1628</f>
        <v/>
      </c>
      <c r="Y1628" s="28">
        <f>IF(W1628=MAXIFS(W$2:W$3601, A$2:A$3601, A1628, B$2:B$3601, B1628), "OPTIMAL", "")</f>
        <v/>
      </c>
    </row>
    <row r="1629" ht="20" customHeight="1">
      <c r="A1629" s="29" t="n">
        <v>4</v>
      </c>
      <c r="B1629" s="29" t="n">
        <v>45</v>
      </c>
      <c r="C1629" s="30" t="n">
        <v>100</v>
      </c>
      <c r="D1629" s="30" t="n">
        <v>3</v>
      </c>
      <c r="E1629" s="6" t="n">
        <v>4</v>
      </c>
      <c r="F1629" s="30" t="n">
        <v>1.5</v>
      </c>
      <c r="G1629" s="6" t="inlineStr">
        <is>
          <t>Non</t>
        </is>
      </c>
      <c r="H1629" s="6" t="inlineStr">
        <is>
          <t>OFF</t>
        </is>
      </c>
      <c r="I1629" s="31" t="n">
        <v>1132.611974342026</v>
      </c>
      <c r="J1629" s="31" t="n">
        <v>6657.967474874614</v>
      </c>
      <c r="K1629" s="31" t="n">
        <v>3166.666666666667</v>
      </c>
      <c r="L1629" s="31" t="n">
        <v>150</v>
      </c>
      <c r="M1629" s="31">
        <f>I1629+J1629+K1629+L1629</f>
        <v/>
      </c>
      <c r="N1629" s="31">
        <f>M1629*'Dashboard &amp; Optimisation'!$B$18/('Dashboard &amp; Optimisation'!$B$16/3.6)</f>
        <v/>
      </c>
      <c r="O1629" s="31" t="n">
        <v>1033.984588827817</v>
      </c>
      <c r="P1629" s="32" t="n">
        <v>0.3039177706409201</v>
      </c>
      <c r="Q1629" s="33" t="n">
        <v>6.857688308810928</v>
      </c>
      <c r="R1629" s="31" t="n">
        <v>1024.609776487536</v>
      </c>
      <c r="S1629" s="31">
        <f>R1629*IF(A1629=4, 2.0, 3.0)</f>
        <v/>
      </c>
      <c r="T1629" s="30">
        <f>'Dashboard &amp; Optimisation'!$B$18*U1629</f>
        <v/>
      </c>
      <c r="U1629" s="34">
        <f>MIN(1, S1629/M1629)</f>
        <v/>
      </c>
      <c r="V1629" s="34">
        <f>N1629/(N1629+O1629)</f>
        <v/>
      </c>
      <c r="W1629" s="34">
        <f>U1629*V1629</f>
        <v/>
      </c>
      <c r="X1629" s="32">
        <f>T1629/N1629</f>
        <v/>
      </c>
      <c r="Y1629" s="35">
        <f>IF(W1629=MAXIFS(W$2:W$3601, A$2:A$3601, A1629, B$2:B$3601, B1629), "OPTIMAL", "")</f>
        <v/>
      </c>
    </row>
    <row r="1630" ht="20" customHeight="1">
      <c r="A1630" s="21" t="n">
        <v>4</v>
      </c>
      <c r="B1630" s="21" t="n">
        <v>45</v>
      </c>
      <c r="C1630" s="22" t="n">
        <v>100</v>
      </c>
      <c r="D1630" s="22" t="n">
        <v>3</v>
      </c>
      <c r="E1630" s="23" t="n">
        <v>4</v>
      </c>
      <c r="F1630" s="22" t="n">
        <v>2</v>
      </c>
      <c r="G1630" s="23" t="inlineStr">
        <is>
          <t>Oui</t>
        </is>
      </c>
      <c r="H1630" s="23" t="inlineStr">
        <is>
          <t>ON</t>
        </is>
      </c>
      <c r="I1630" s="24" t="n">
        <v>1132.611974342026</v>
      </c>
      <c r="J1630" s="24" t="n">
        <v>6657.967474874614</v>
      </c>
      <c r="K1630" s="24" t="n">
        <v>3166.666666666667</v>
      </c>
      <c r="L1630" s="24" t="n">
        <v>150</v>
      </c>
      <c r="M1630" s="24">
        <f>I1630+J1630+K1630+L1630</f>
        <v/>
      </c>
      <c r="N1630" s="24">
        <f>M1630*'Dashboard &amp; Optimisation'!$B$18/('Dashboard &amp; Optimisation'!$B$16/3.6)</f>
        <v/>
      </c>
      <c r="O1630" s="24" t="n">
        <v>1135.14768422268</v>
      </c>
      <c r="P1630" s="25" t="n">
        <v>0.07090019831070833</v>
      </c>
      <c r="Q1630" s="26" t="n">
        <v>9.076917745081236</v>
      </c>
      <c r="R1630" s="24" t="n">
        <v>4441.797562199403</v>
      </c>
      <c r="S1630" s="24">
        <f>R1630*IF(A1630=4, 2.0, 3.0)</f>
        <v/>
      </c>
      <c r="T1630" s="22">
        <f>'Dashboard &amp; Optimisation'!$B$18*U1630</f>
        <v/>
      </c>
      <c r="U1630" s="27">
        <f>MIN(1, S1630/M1630)</f>
        <v/>
      </c>
      <c r="V1630" s="27">
        <f>N1630/(N1630+O1630)</f>
        <v/>
      </c>
      <c r="W1630" s="27">
        <f>U1630*V1630</f>
        <v/>
      </c>
      <c r="X1630" s="25">
        <f>T1630/N1630</f>
        <v/>
      </c>
      <c r="Y1630" s="28">
        <f>IF(W1630=MAXIFS(W$2:W$3601, A$2:A$3601, A1630, B$2:B$3601, B1630), "OPTIMAL", "")</f>
        <v/>
      </c>
    </row>
    <row r="1631" ht="20" customHeight="1">
      <c r="A1631" s="29" t="n">
        <v>4</v>
      </c>
      <c r="B1631" s="29" t="n">
        <v>45</v>
      </c>
      <c r="C1631" s="30" t="n">
        <v>100</v>
      </c>
      <c r="D1631" s="30" t="n">
        <v>3</v>
      </c>
      <c r="E1631" s="6" t="n">
        <v>4</v>
      </c>
      <c r="F1631" s="30" t="n">
        <v>2</v>
      </c>
      <c r="G1631" s="6" t="inlineStr">
        <is>
          <t>Oui</t>
        </is>
      </c>
      <c r="H1631" s="6" t="inlineStr">
        <is>
          <t>OFF</t>
        </is>
      </c>
      <c r="I1631" s="31" t="n">
        <v>1132.611974342026</v>
      </c>
      <c r="J1631" s="31" t="n">
        <v>6657.967474874614</v>
      </c>
      <c r="K1631" s="31" t="n">
        <v>3166.666666666667</v>
      </c>
      <c r="L1631" s="31" t="n">
        <v>150</v>
      </c>
      <c r="M1631" s="31">
        <f>I1631+J1631+K1631+L1631</f>
        <v/>
      </c>
      <c r="N1631" s="31">
        <f>M1631*'Dashboard &amp; Optimisation'!$B$18/('Dashboard &amp; Optimisation'!$B$16/3.6)</f>
        <v/>
      </c>
      <c r="O1631" s="31" t="n">
        <v>1135.14768422268</v>
      </c>
      <c r="P1631" s="32" t="n">
        <v>0.305556811068225</v>
      </c>
      <c r="Q1631" s="33" t="n">
        <v>9.076917745081236</v>
      </c>
      <c r="R1631" s="31" t="n">
        <v>1030.657202223654</v>
      </c>
      <c r="S1631" s="31">
        <f>R1631*IF(A1631=4, 2.0, 3.0)</f>
        <v/>
      </c>
      <c r="T1631" s="30">
        <f>'Dashboard &amp; Optimisation'!$B$18*U1631</f>
        <v/>
      </c>
      <c r="U1631" s="34">
        <f>MIN(1, S1631/M1631)</f>
        <v/>
      </c>
      <c r="V1631" s="34">
        <f>N1631/(N1631+O1631)</f>
        <v/>
      </c>
      <c r="W1631" s="34">
        <f>U1631*V1631</f>
        <v/>
      </c>
      <c r="X1631" s="32">
        <f>T1631/N1631</f>
        <v/>
      </c>
      <c r="Y1631" s="35">
        <f>IF(W1631=MAXIFS(W$2:W$3601, A$2:A$3601, A1631, B$2:B$3601, B1631), "OPTIMAL", "")</f>
        <v/>
      </c>
    </row>
    <row r="1632" ht="20" customHeight="1">
      <c r="A1632" s="21" t="n">
        <v>4</v>
      </c>
      <c r="B1632" s="21" t="n">
        <v>45</v>
      </c>
      <c r="C1632" s="22" t="n">
        <v>100</v>
      </c>
      <c r="D1632" s="22" t="n">
        <v>3</v>
      </c>
      <c r="E1632" s="23" t="n">
        <v>4</v>
      </c>
      <c r="F1632" s="22" t="n">
        <v>2</v>
      </c>
      <c r="G1632" s="23" t="inlineStr">
        <is>
          <t>Non</t>
        </is>
      </c>
      <c r="H1632" s="23" t="inlineStr">
        <is>
          <t>ON</t>
        </is>
      </c>
      <c r="I1632" s="24" t="n">
        <v>1132.611974342026</v>
      </c>
      <c r="J1632" s="24" t="n">
        <v>6657.967474874614</v>
      </c>
      <c r="K1632" s="24" t="n">
        <v>3166.666666666667</v>
      </c>
      <c r="L1632" s="24" t="n">
        <v>150</v>
      </c>
      <c r="M1632" s="24">
        <f>I1632+J1632+K1632+L1632</f>
        <v/>
      </c>
      <c r="N1632" s="24">
        <f>M1632*'Dashboard &amp; Optimisation'!$B$18/('Dashboard &amp; Optimisation'!$B$16/3.6)</f>
        <v/>
      </c>
      <c r="O1632" s="24" t="n">
        <v>1135.14768422268</v>
      </c>
      <c r="P1632" s="25" t="n">
        <v>0.06771709944887042</v>
      </c>
      <c r="Q1632" s="26" t="n">
        <v>9.076917745081236</v>
      </c>
      <c r="R1632" s="24" t="n">
        <v>4650.587969346519</v>
      </c>
      <c r="S1632" s="24">
        <f>R1632*IF(A1632=4, 2.0, 3.0)</f>
        <v/>
      </c>
      <c r="T1632" s="22">
        <f>'Dashboard &amp; Optimisation'!$B$18*U1632</f>
        <v/>
      </c>
      <c r="U1632" s="27">
        <f>MIN(1, S1632/M1632)</f>
        <v/>
      </c>
      <c r="V1632" s="27">
        <f>N1632/(N1632+O1632)</f>
        <v/>
      </c>
      <c r="W1632" s="27">
        <f>U1632*V1632</f>
        <v/>
      </c>
      <c r="X1632" s="25">
        <f>T1632/N1632</f>
        <v/>
      </c>
      <c r="Y1632" s="28">
        <f>IF(W1632=MAXIFS(W$2:W$3601, A$2:A$3601, A1632, B$2:B$3601, B1632), "OPTIMAL", "")</f>
        <v/>
      </c>
    </row>
    <row r="1633" ht="20" customHeight="1">
      <c r="A1633" s="29" t="n">
        <v>4</v>
      </c>
      <c r="B1633" s="29" t="n">
        <v>45</v>
      </c>
      <c r="C1633" s="30" t="n">
        <v>100</v>
      </c>
      <c r="D1633" s="30" t="n">
        <v>3</v>
      </c>
      <c r="E1633" s="6" t="n">
        <v>4</v>
      </c>
      <c r="F1633" s="30" t="n">
        <v>2</v>
      </c>
      <c r="G1633" s="6" t="inlineStr">
        <is>
          <t>Non</t>
        </is>
      </c>
      <c r="H1633" s="6" t="inlineStr">
        <is>
          <t>OFF</t>
        </is>
      </c>
      <c r="I1633" s="31" t="n">
        <v>1132.611974342026</v>
      </c>
      <c r="J1633" s="31" t="n">
        <v>6657.967474874614</v>
      </c>
      <c r="K1633" s="31" t="n">
        <v>3166.666666666667</v>
      </c>
      <c r="L1633" s="31" t="n">
        <v>150</v>
      </c>
      <c r="M1633" s="31">
        <f>I1633+J1633+K1633+L1633</f>
        <v/>
      </c>
      <c r="N1633" s="31">
        <f>M1633*'Dashboard &amp; Optimisation'!$B$18/('Dashboard &amp; Optimisation'!$B$16/3.6)</f>
        <v/>
      </c>
      <c r="O1633" s="31" t="n">
        <v>1135.14768422268</v>
      </c>
      <c r="P1633" s="32" t="n">
        <v>0.302373712206387</v>
      </c>
      <c r="Q1633" s="33" t="n">
        <v>9.076917745081236</v>
      </c>
      <c r="R1633" s="31" t="n">
        <v>1041.506967381493</v>
      </c>
      <c r="S1633" s="31">
        <f>R1633*IF(A1633=4, 2.0, 3.0)</f>
        <v/>
      </c>
      <c r="T1633" s="30">
        <f>'Dashboard &amp; Optimisation'!$B$18*U1633</f>
        <v/>
      </c>
      <c r="U1633" s="34">
        <f>MIN(1, S1633/M1633)</f>
        <v/>
      </c>
      <c r="V1633" s="34">
        <f>N1633/(N1633+O1633)</f>
        <v/>
      </c>
      <c r="W1633" s="34">
        <f>U1633*V1633</f>
        <v/>
      </c>
      <c r="X1633" s="32">
        <f>T1633/N1633</f>
        <v/>
      </c>
      <c r="Y1633" s="35">
        <f>IF(W1633=MAXIFS(W$2:W$3601, A$2:A$3601, A1633, B$2:B$3601, B1633), "OPTIMAL", "")</f>
        <v/>
      </c>
    </row>
    <row r="1634" ht="20" customHeight="1">
      <c r="A1634" s="21" t="n">
        <v>4</v>
      </c>
      <c r="B1634" s="21" t="n">
        <v>45</v>
      </c>
      <c r="C1634" s="22" t="n">
        <v>100</v>
      </c>
      <c r="D1634" s="22" t="n">
        <v>3</v>
      </c>
      <c r="E1634" s="23" t="n">
        <v>8</v>
      </c>
      <c r="F1634" s="22" t="n">
        <v>1.5</v>
      </c>
      <c r="G1634" s="23" t="inlineStr">
        <is>
          <t>Oui</t>
        </is>
      </c>
      <c r="H1634" s="23" t="inlineStr">
        <is>
          <t>ON</t>
        </is>
      </c>
      <c r="I1634" s="24" t="n">
        <v>1132.611974342026</v>
      </c>
      <c r="J1634" s="24" t="n">
        <v>6657.967474874614</v>
      </c>
      <c r="K1634" s="24" t="n">
        <v>3166.666666666667</v>
      </c>
      <c r="L1634" s="24" t="n">
        <v>150</v>
      </c>
      <c r="M1634" s="24">
        <f>I1634+J1634+K1634+L1634</f>
        <v/>
      </c>
      <c r="N1634" s="24">
        <f>M1634*'Dashboard &amp; Optimisation'!$B$18/('Dashboard &amp; Optimisation'!$B$16/3.6)</f>
        <v/>
      </c>
      <c r="O1634" s="24" t="n">
        <v>1344.50851148187</v>
      </c>
      <c r="P1634" s="25" t="n">
        <v>0.05562346576923688</v>
      </c>
      <c r="Q1634" s="26" t="n">
        <v>13.51537661762185</v>
      </c>
      <c r="R1634" s="24" t="n">
        <v>5792.951141406373</v>
      </c>
      <c r="S1634" s="24">
        <f>R1634*IF(A1634=4, 2.0, 3.0)</f>
        <v/>
      </c>
      <c r="T1634" s="22">
        <f>'Dashboard &amp; Optimisation'!$B$18*U1634</f>
        <v/>
      </c>
      <c r="U1634" s="27">
        <f>MIN(1, S1634/M1634)</f>
        <v/>
      </c>
      <c r="V1634" s="27">
        <f>N1634/(N1634+O1634)</f>
        <v/>
      </c>
      <c r="W1634" s="27">
        <f>U1634*V1634</f>
        <v/>
      </c>
      <c r="X1634" s="25">
        <f>T1634/N1634</f>
        <v/>
      </c>
      <c r="Y1634" s="28">
        <f>IF(W1634=MAXIFS(W$2:W$3601, A$2:A$3601, A1634, B$2:B$3601, B1634), "OPTIMAL", "")</f>
        <v/>
      </c>
    </row>
    <row r="1635" ht="20" customHeight="1">
      <c r="A1635" s="29" t="n">
        <v>4</v>
      </c>
      <c r="B1635" s="29" t="n">
        <v>45</v>
      </c>
      <c r="C1635" s="30" t="n">
        <v>100</v>
      </c>
      <c r="D1635" s="30" t="n">
        <v>3</v>
      </c>
      <c r="E1635" s="6" t="n">
        <v>8</v>
      </c>
      <c r="F1635" s="30" t="n">
        <v>1.5</v>
      </c>
      <c r="G1635" s="6" t="inlineStr">
        <is>
          <t>Oui</t>
        </is>
      </c>
      <c r="H1635" s="6" t="inlineStr">
        <is>
          <t>OFF</t>
        </is>
      </c>
      <c r="I1635" s="31" t="n">
        <v>1132.611974342026</v>
      </c>
      <c r="J1635" s="31" t="n">
        <v>6657.967474874614</v>
      </c>
      <c r="K1635" s="31" t="n">
        <v>3166.666666666667</v>
      </c>
      <c r="L1635" s="31" t="n">
        <v>150</v>
      </c>
      <c r="M1635" s="31">
        <f>I1635+J1635+K1635+L1635</f>
        <v/>
      </c>
      <c r="N1635" s="31">
        <f>M1635*'Dashboard &amp; Optimisation'!$B$18/('Dashboard &amp; Optimisation'!$B$16/3.6)</f>
        <v/>
      </c>
      <c r="O1635" s="31" t="n">
        <v>1344.50851148187</v>
      </c>
      <c r="P1635" s="32" t="n">
        <v>0.2400757351497012</v>
      </c>
      <c r="Q1635" s="33" t="n">
        <v>13.51537661762185</v>
      </c>
      <c r="R1635" s="31" t="n">
        <v>1342.176539898768</v>
      </c>
      <c r="S1635" s="31">
        <f>R1635*IF(A1635=4, 2.0, 3.0)</f>
        <v/>
      </c>
      <c r="T1635" s="30">
        <f>'Dashboard &amp; Optimisation'!$B$18*U1635</f>
        <v/>
      </c>
      <c r="U1635" s="34">
        <f>MIN(1, S1635/M1635)</f>
        <v/>
      </c>
      <c r="V1635" s="34">
        <f>N1635/(N1635+O1635)</f>
        <v/>
      </c>
      <c r="W1635" s="34">
        <f>U1635*V1635</f>
        <v/>
      </c>
      <c r="X1635" s="32">
        <f>T1635/N1635</f>
        <v/>
      </c>
      <c r="Y1635" s="35">
        <f>IF(W1635=MAXIFS(W$2:W$3601, A$2:A$3601, A1635, B$2:B$3601, B1635), "OPTIMAL", "")</f>
        <v/>
      </c>
    </row>
    <row r="1636" ht="20" customHeight="1">
      <c r="A1636" s="21" t="n">
        <v>4</v>
      </c>
      <c r="B1636" s="21" t="n">
        <v>45</v>
      </c>
      <c r="C1636" s="22" t="n">
        <v>100</v>
      </c>
      <c r="D1636" s="22" t="n">
        <v>3</v>
      </c>
      <c r="E1636" s="23" t="n">
        <v>8</v>
      </c>
      <c r="F1636" s="22" t="n">
        <v>1.5</v>
      </c>
      <c r="G1636" s="23" t="inlineStr">
        <is>
          <t>Non</t>
        </is>
      </c>
      <c r="H1636" s="23" t="inlineStr">
        <is>
          <t>ON</t>
        </is>
      </c>
      <c r="I1636" s="24" t="n">
        <v>1132.611974342026</v>
      </c>
      <c r="J1636" s="24" t="n">
        <v>6657.967474874614</v>
      </c>
      <c r="K1636" s="24" t="n">
        <v>3166.666666666667</v>
      </c>
      <c r="L1636" s="24" t="n">
        <v>150</v>
      </c>
      <c r="M1636" s="24">
        <f>I1636+J1636+K1636+L1636</f>
        <v/>
      </c>
      <c r="N1636" s="24">
        <f>M1636*'Dashboard &amp; Optimisation'!$B$18/('Dashboard &amp; Optimisation'!$B$16/3.6)</f>
        <v/>
      </c>
      <c r="O1636" s="24" t="n">
        <v>1344.50851148187</v>
      </c>
      <c r="P1636" s="25" t="n">
        <v>0.05244036690739898</v>
      </c>
      <c r="Q1636" s="26" t="n">
        <v>13.51537661762185</v>
      </c>
      <c r="R1636" s="24" t="n">
        <v>6144.57980597034</v>
      </c>
      <c r="S1636" s="24">
        <f>R1636*IF(A1636=4, 2.0, 3.0)</f>
        <v/>
      </c>
      <c r="T1636" s="22">
        <f>'Dashboard &amp; Optimisation'!$B$18*U1636</f>
        <v/>
      </c>
      <c r="U1636" s="27">
        <f>MIN(1, S1636/M1636)</f>
        <v/>
      </c>
      <c r="V1636" s="27">
        <f>N1636/(N1636+O1636)</f>
        <v/>
      </c>
      <c r="W1636" s="27">
        <f>U1636*V1636</f>
        <v/>
      </c>
      <c r="X1636" s="25">
        <f>T1636/N1636</f>
        <v/>
      </c>
      <c r="Y1636" s="28">
        <f>IF(W1636=MAXIFS(W$2:W$3601, A$2:A$3601, A1636, B$2:B$3601, B1636), "OPTIMAL", "")</f>
        <v/>
      </c>
    </row>
    <row r="1637" ht="20" customHeight="1">
      <c r="A1637" s="29" t="n">
        <v>4</v>
      </c>
      <c r="B1637" s="29" t="n">
        <v>45</v>
      </c>
      <c r="C1637" s="30" t="n">
        <v>100</v>
      </c>
      <c r="D1637" s="30" t="n">
        <v>3</v>
      </c>
      <c r="E1637" s="6" t="n">
        <v>8</v>
      </c>
      <c r="F1637" s="30" t="n">
        <v>1.5</v>
      </c>
      <c r="G1637" s="6" t="inlineStr">
        <is>
          <t>Non</t>
        </is>
      </c>
      <c r="H1637" s="6" t="inlineStr">
        <is>
          <t>OFF</t>
        </is>
      </c>
      <c r="I1637" s="31" t="n">
        <v>1132.611974342026</v>
      </c>
      <c r="J1637" s="31" t="n">
        <v>6657.967474874614</v>
      </c>
      <c r="K1637" s="31" t="n">
        <v>3166.666666666667</v>
      </c>
      <c r="L1637" s="31" t="n">
        <v>150</v>
      </c>
      <c r="M1637" s="31">
        <f>I1637+J1637+K1637+L1637</f>
        <v/>
      </c>
      <c r="N1637" s="31">
        <f>M1637*'Dashboard &amp; Optimisation'!$B$18/('Dashboard &amp; Optimisation'!$B$16/3.6)</f>
        <v/>
      </c>
      <c r="O1637" s="31" t="n">
        <v>1344.50851148187</v>
      </c>
      <c r="P1637" s="32" t="n">
        <v>0.2368926362878633</v>
      </c>
      <c r="Q1637" s="33" t="n">
        <v>13.51537661762185</v>
      </c>
      <c r="R1637" s="31" t="n">
        <v>1360.211210302562</v>
      </c>
      <c r="S1637" s="31">
        <f>R1637*IF(A1637=4, 2.0, 3.0)</f>
        <v/>
      </c>
      <c r="T1637" s="30">
        <f>'Dashboard &amp; Optimisation'!$B$18*U1637</f>
        <v/>
      </c>
      <c r="U1637" s="34">
        <f>MIN(1, S1637/M1637)</f>
        <v/>
      </c>
      <c r="V1637" s="34">
        <f>N1637/(N1637+O1637)</f>
        <v/>
      </c>
      <c r="W1637" s="34">
        <f>U1637*V1637</f>
        <v/>
      </c>
      <c r="X1637" s="32">
        <f>T1637/N1637</f>
        <v/>
      </c>
      <c r="Y1637" s="35">
        <f>IF(W1637=MAXIFS(W$2:W$3601, A$2:A$3601, A1637, B$2:B$3601, B1637), "OPTIMAL", "")</f>
        <v/>
      </c>
    </row>
    <row r="1638" ht="20" customHeight="1">
      <c r="A1638" s="21" t="n">
        <v>4</v>
      </c>
      <c r="B1638" s="21" t="n">
        <v>45</v>
      </c>
      <c r="C1638" s="22" t="n">
        <v>100</v>
      </c>
      <c r="D1638" s="22" t="n">
        <v>3</v>
      </c>
      <c r="E1638" s="23" t="n">
        <v>8</v>
      </c>
      <c r="F1638" s="22" t="n">
        <v>2</v>
      </c>
      <c r="G1638" s="23" t="inlineStr">
        <is>
          <t>Oui</t>
        </is>
      </c>
      <c r="H1638" s="23" t="inlineStr">
        <is>
          <t>ON</t>
        </is>
      </c>
      <c r="I1638" s="24" t="n">
        <v>1132.611974342026</v>
      </c>
      <c r="J1638" s="24" t="n">
        <v>6657.967474874614</v>
      </c>
      <c r="K1638" s="24" t="n">
        <v>3166.666666666667</v>
      </c>
      <c r="L1638" s="24" t="n">
        <v>150</v>
      </c>
      <c r="M1638" s="24">
        <f>I1638+J1638+K1638+L1638</f>
        <v/>
      </c>
      <c r="N1638" s="24">
        <f>M1638*'Dashboard &amp; Optimisation'!$B$18/('Dashboard &amp; Optimisation'!$B$16/3.6)</f>
        <v/>
      </c>
      <c r="O1638" s="24" t="n">
        <v>1563.805275398687</v>
      </c>
      <c r="P1638" s="25" t="n">
        <v>0.05441799410512958</v>
      </c>
      <c r="Q1638" s="26" t="n">
        <v>17.95383549016247</v>
      </c>
      <c r="R1638" s="24" t="n">
        <v>6061.784311560867</v>
      </c>
      <c r="S1638" s="24">
        <f>R1638*IF(A1638=4, 2.0, 3.0)</f>
        <v/>
      </c>
      <c r="T1638" s="22">
        <f>'Dashboard &amp; Optimisation'!$B$18*U1638</f>
        <v/>
      </c>
      <c r="U1638" s="27">
        <f>MIN(1, S1638/M1638)</f>
        <v/>
      </c>
      <c r="V1638" s="27">
        <f>N1638/(N1638+O1638)</f>
        <v/>
      </c>
      <c r="W1638" s="27">
        <f>U1638*V1638</f>
        <v/>
      </c>
      <c r="X1638" s="25">
        <f>T1638/N1638</f>
        <v/>
      </c>
      <c r="Y1638" s="28">
        <f>IF(W1638=MAXIFS(W$2:W$3601, A$2:A$3601, A1638, B$2:B$3601, B1638), "OPTIMAL", "")</f>
        <v/>
      </c>
    </row>
    <row r="1639" ht="20" customHeight="1">
      <c r="A1639" s="29" t="n">
        <v>4</v>
      </c>
      <c r="B1639" s="29" t="n">
        <v>45</v>
      </c>
      <c r="C1639" s="30" t="n">
        <v>100</v>
      </c>
      <c r="D1639" s="30" t="n">
        <v>3</v>
      </c>
      <c r="E1639" s="6" t="n">
        <v>8</v>
      </c>
      <c r="F1639" s="30" t="n">
        <v>2</v>
      </c>
      <c r="G1639" s="6" t="inlineStr">
        <is>
          <t>Oui</t>
        </is>
      </c>
      <c r="H1639" s="6" t="inlineStr">
        <is>
          <t>OFF</t>
        </is>
      </c>
      <c r="I1639" s="31" t="n">
        <v>1132.611974342026</v>
      </c>
      <c r="J1639" s="31" t="n">
        <v>6657.967474874614</v>
      </c>
      <c r="K1639" s="31" t="n">
        <v>3166.666666666667</v>
      </c>
      <c r="L1639" s="31" t="n">
        <v>150</v>
      </c>
      <c r="M1639" s="31">
        <f>I1639+J1639+K1639+L1639</f>
        <v/>
      </c>
      <c r="N1639" s="31">
        <f>M1639*'Dashboard &amp; Optimisation'!$B$18/('Dashboard &amp; Optimisation'!$B$16/3.6)</f>
        <v/>
      </c>
      <c r="O1639" s="31" t="n">
        <v>1563.805275398687</v>
      </c>
      <c r="P1639" s="32" t="n">
        <v>0.2402392320400437</v>
      </c>
      <c r="Q1639" s="33" t="n">
        <v>17.95383549016247</v>
      </c>
      <c r="R1639" s="31" t="n">
        <v>1373.090232315189</v>
      </c>
      <c r="S1639" s="31">
        <f>R1639*IF(A1639=4, 2.0, 3.0)</f>
        <v/>
      </c>
      <c r="T1639" s="30">
        <f>'Dashboard &amp; Optimisation'!$B$18*U1639</f>
        <v/>
      </c>
      <c r="U1639" s="34">
        <f>MIN(1, S1639/M1639)</f>
        <v/>
      </c>
      <c r="V1639" s="34">
        <f>N1639/(N1639+O1639)</f>
        <v/>
      </c>
      <c r="W1639" s="34">
        <f>U1639*V1639</f>
        <v/>
      </c>
      <c r="X1639" s="32">
        <f>T1639/N1639</f>
        <v/>
      </c>
      <c r="Y1639" s="35">
        <f>IF(W1639=MAXIFS(W$2:W$3601, A$2:A$3601, A1639, B$2:B$3601, B1639), "OPTIMAL", "")</f>
        <v/>
      </c>
    </row>
    <row r="1640" ht="20" customHeight="1">
      <c r="A1640" s="21" t="n">
        <v>4</v>
      </c>
      <c r="B1640" s="21" t="n">
        <v>45</v>
      </c>
      <c r="C1640" s="22" t="n">
        <v>100</v>
      </c>
      <c r="D1640" s="22" t="n">
        <v>3</v>
      </c>
      <c r="E1640" s="23" t="n">
        <v>8</v>
      </c>
      <c r="F1640" s="22" t="n">
        <v>2</v>
      </c>
      <c r="G1640" s="23" t="inlineStr">
        <is>
          <t>Non</t>
        </is>
      </c>
      <c r="H1640" s="23" t="inlineStr">
        <is>
          <t>ON</t>
        </is>
      </c>
      <c r="I1640" s="24" t="n">
        <v>1132.611974342026</v>
      </c>
      <c r="J1640" s="24" t="n">
        <v>6657.967474874614</v>
      </c>
      <c r="K1640" s="24" t="n">
        <v>3166.666666666667</v>
      </c>
      <c r="L1640" s="24" t="n">
        <v>150</v>
      </c>
      <c r="M1640" s="24">
        <f>I1640+J1640+K1640+L1640</f>
        <v/>
      </c>
      <c r="N1640" s="24">
        <f>M1640*'Dashboard &amp; Optimisation'!$B$18/('Dashboard &amp; Optimisation'!$B$16/3.6)</f>
        <v/>
      </c>
      <c r="O1640" s="24" t="n">
        <v>1563.805275398687</v>
      </c>
      <c r="P1640" s="25" t="n">
        <v>0.05123489524329167</v>
      </c>
      <c r="Q1640" s="26" t="n">
        <v>17.95383549016247</v>
      </c>
      <c r="R1640" s="24" t="n">
        <v>6438.388160387173</v>
      </c>
      <c r="S1640" s="24">
        <f>R1640*IF(A1640=4, 2.0, 3.0)</f>
        <v/>
      </c>
      <c r="T1640" s="22">
        <f>'Dashboard &amp; Optimisation'!$B$18*U1640</f>
        <v/>
      </c>
      <c r="U1640" s="27">
        <f>MIN(1, S1640/M1640)</f>
        <v/>
      </c>
      <c r="V1640" s="27">
        <f>N1640/(N1640+O1640)</f>
        <v/>
      </c>
      <c r="W1640" s="27">
        <f>U1640*V1640</f>
        <v/>
      </c>
      <c r="X1640" s="25">
        <f>T1640/N1640</f>
        <v/>
      </c>
      <c r="Y1640" s="28">
        <f>IF(W1640=MAXIFS(W$2:W$3601, A$2:A$3601, A1640, B$2:B$3601, B1640), "OPTIMAL", "")</f>
        <v/>
      </c>
    </row>
    <row r="1641" ht="20" customHeight="1">
      <c r="A1641" s="29" t="n">
        <v>4</v>
      </c>
      <c r="B1641" s="29" t="n">
        <v>45</v>
      </c>
      <c r="C1641" s="30" t="n">
        <v>100</v>
      </c>
      <c r="D1641" s="30" t="n">
        <v>3</v>
      </c>
      <c r="E1641" s="6" t="n">
        <v>8</v>
      </c>
      <c r="F1641" s="30" t="n">
        <v>2</v>
      </c>
      <c r="G1641" s="6" t="inlineStr">
        <is>
          <t>Non</t>
        </is>
      </c>
      <c r="H1641" s="6" t="inlineStr">
        <is>
          <t>OFF</t>
        </is>
      </c>
      <c r="I1641" s="31" t="n">
        <v>1132.611974342026</v>
      </c>
      <c r="J1641" s="31" t="n">
        <v>6657.967474874614</v>
      </c>
      <c r="K1641" s="31" t="n">
        <v>3166.666666666667</v>
      </c>
      <c r="L1641" s="31" t="n">
        <v>150</v>
      </c>
      <c r="M1641" s="31">
        <f>I1641+J1641+K1641+L1641</f>
        <v/>
      </c>
      <c r="N1641" s="31">
        <f>M1641*'Dashboard &amp; Optimisation'!$B$18/('Dashboard &amp; Optimisation'!$B$16/3.6)</f>
        <v/>
      </c>
      <c r="O1641" s="31" t="n">
        <v>1563.805275398687</v>
      </c>
      <c r="P1641" s="32" t="n">
        <v>0.2370561331782058</v>
      </c>
      <c r="Q1641" s="33" t="n">
        <v>17.95383549016247</v>
      </c>
      <c r="R1641" s="31" t="n">
        <v>1391.527561470464</v>
      </c>
      <c r="S1641" s="31">
        <f>R1641*IF(A1641=4, 2.0, 3.0)</f>
        <v/>
      </c>
      <c r="T1641" s="30">
        <f>'Dashboard &amp; Optimisation'!$B$18*U1641</f>
        <v/>
      </c>
      <c r="U1641" s="34">
        <f>MIN(1, S1641/M1641)</f>
        <v/>
      </c>
      <c r="V1641" s="34">
        <f>N1641/(N1641+O1641)</f>
        <v/>
      </c>
      <c r="W1641" s="34">
        <f>U1641*V1641</f>
        <v/>
      </c>
      <c r="X1641" s="32">
        <f>T1641/N1641</f>
        <v/>
      </c>
      <c r="Y1641" s="35">
        <f>IF(W1641=MAXIFS(W$2:W$3601, A$2:A$3601, A1641, B$2:B$3601, B1641), "OPTIMAL", "")</f>
        <v/>
      </c>
    </row>
    <row r="1642" ht="20" customHeight="1">
      <c r="A1642" s="21" t="n">
        <v>4</v>
      </c>
      <c r="B1642" s="21" t="n">
        <v>45</v>
      </c>
      <c r="C1642" s="22" t="n">
        <v>105</v>
      </c>
      <c r="D1642" s="22" t="n">
        <v>2</v>
      </c>
      <c r="E1642" s="23" t="n">
        <v>0</v>
      </c>
      <c r="F1642" s="22" t="n">
        <v>0</v>
      </c>
      <c r="G1642" s="23" t="inlineStr">
        <is>
          <t>Oui</t>
        </is>
      </c>
      <c r="H1642" s="23" t="inlineStr">
        <is>
          <t>ON</t>
        </is>
      </c>
      <c r="I1642" s="24" t="n">
        <v>1132.611974342026</v>
      </c>
      <c r="J1642" s="24" t="n">
        <v>6657.967474874614</v>
      </c>
      <c r="K1642" s="24" t="n">
        <v>3166.666666666667</v>
      </c>
      <c r="L1642" s="24" t="n">
        <v>150</v>
      </c>
      <c r="M1642" s="24">
        <f>I1642+J1642+K1642+L1642</f>
        <v/>
      </c>
      <c r="N1642" s="24">
        <f>M1642*'Dashboard &amp; Optimisation'!$B$18/('Dashboard &amp; Optimisation'!$B$16/3.6)</f>
        <v/>
      </c>
      <c r="O1642" s="24" t="n">
        <v>455.9903798795677</v>
      </c>
      <c r="P1642" s="25" t="n">
        <v>0.4767371025038626</v>
      </c>
      <c r="Q1642" s="26" t="n">
        <v>0.2</v>
      </c>
      <c r="R1642" s="24" t="n">
        <v>547.3887538290656</v>
      </c>
      <c r="S1642" s="24">
        <f>R1642*IF(A1642=4, 2.0, 3.0)</f>
        <v/>
      </c>
      <c r="T1642" s="22">
        <f>'Dashboard &amp; Optimisation'!$B$18*U1642</f>
        <v/>
      </c>
      <c r="U1642" s="27">
        <f>MIN(1, S1642/M1642)</f>
        <v/>
      </c>
      <c r="V1642" s="27">
        <f>N1642/(N1642+O1642)</f>
        <v/>
      </c>
      <c r="W1642" s="27">
        <f>U1642*V1642</f>
        <v/>
      </c>
      <c r="X1642" s="25">
        <f>T1642/N1642</f>
        <v/>
      </c>
      <c r="Y1642" s="28">
        <f>IF(W1642=MAXIFS(W$2:W$3601, A$2:A$3601, A1642, B$2:B$3601, B1642), "OPTIMAL", "")</f>
        <v/>
      </c>
    </row>
    <row r="1643" ht="20" customHeight="1">
      <c r="A1643" s="29" t="n">
        <v>4</v>
      </c>
      <c r="B1643" s="29" t="n">
        <v>45</v>
      </c>
      <c r="C1643" s="30" t="n">
        <v>105</v>
      </c>
      <c r="D1643" s="30" t="n">
        <v>2</v>
      </c>
      <c r="E1643" s="6" t="n">
        <v>0</v>
      </c>
      <c r="F1643" s="30" t="n">
        <v>0</v>
      </c>
      <c r="G1643" s="6" t="inlineStr">
        <is>
          <t>Oui</t>
        </is>
      </c>
      <c r="H1643" s="6" t="inlineStr">
        <is>
          <t>OFF</t>
        </is>
      </c>
      <c r="I1643" s="31" t="n">
        <v>1132.611974342026</v>
      </c>
      <c r="J1643" s="31" t="n">
        <v>6657.967474874614</v>
      </c>
      <c r="K1643" s="31" t="n">
        <v>3166.666666666667</v>
      </c>
      <c r="L1643" s="31" t="n">
        <v>150</v>
      </c>
      <c r="M1643" s="31">
        <f>I1643+J1643+K1643+L1643</f>
        <v/>
      </c>
      <c r="N1643" s="31">
        <f>M1643*'Dashboard &amp; Optimisation'!$B$18/('Dashboard &amp; Optimisation'!$B$16/3.6)</f>
        <v/>
      </c>
      <c r="O1643" s="31" t="n">
        <v>455.9903798795677</v>
      </c>
      <c r="P1643" s="32" t="n">
        <v>0.7798893750598538</v>
      </c>
      <c r="Q1643" s="33" t="n">
        <v>0.2</v>
      </c>
      <c r="R1643" s="31" t="n">
        <v>334.6122370543144</v>
      </c>
      <c r="S1643" s="31">
        <f>R1643*IF(A1643=4, 2.0, 3.0)</f>
        <v/>
      </c>
      <c r="T1643" s="30">
        <f>'Dashboard &amp; Optimisation'!$B$18*U1643</f>
        <v/>
      </c>
      <c r="U1643" s="34">
        <f>MIN(1, S1643/M1643)</f>
        <v/>
      </c>
      <c r="V1643" s="34">
        <f>N1643/(N1643+O1643)</f>
        <v/>
      </c>
      <c r="W1643" s="34">
        <f>U1643*V1643</f>
        <v/>
      </c>
      <c r="X1643" s="32">
        <f>T1643/N1643</f>
        <v/>
      </c>
      <c r="Y1643" s="35">
        <f>IF(W1643=MAXIFS(W$2:W$3601, A$2:A$3601, A1643, B$2:B$3601, B1643), "OPTIMAL", "")</f>
        <v/>
      </c>
    </row>
    <row r="1644" ht="20" customHeight="1">
      <c r="A1644" s="21" t="n">
        <v>4</v>
      </c>
      <c r="B1644" s="21" t="n">
        <v>45</v>
      </c>
      <c r="C1644" s="22" t="n">
        <v>105</v>
      </c>
      <c r="D1644" s="22" t="n">
        <v>2</v>
      </c>
      <c r="E1644" s="23" t="n">
        <v>0</v>
      </c>
      <c r="F1644" s="22" t="n">
        <v>0</v>
      </c>
      <c r="G1644" s="23" t="inlineStr">
        <is>
          <t>Non</t>
        </is>
      </c>
      <c r="H1644" s="23" t="inlineStr">
        <is>
          <t>ON</t>
        </is>
      </c>
      <c r="I1644" s="24" t="n">
        <v>1132.611974342026</v>
      </c>
      <c r="J1644" s="24" t="n">
        <v>6657.967474874614</v>
      </c>
      <c r="K1644" s="24" t="n">
        <v>3166.666666666667</v>
      </c>
      <c r="L1644" s="24" t="n">
        <v>150</v>
      </c>
      <c r="M1644" s="24">
        <f>I1644+J1644+K1644+L1644</f>
        <v/>
      </c>
      <c r="N1644" s="24">
        <f>M1644*'Dashboard &amp; Optimisation'!$B$18/('Dashboard &amp; Optimisation'!$B$16/3.6)</f>
        <v/>
      </c>
      <c r="O1644" s="24" t="n">
        <v>455.9903798795677</v>
      </c>
      <c r="P1644" s="25" t="n">
        <v>0.4737055797783027</v>
      </c>
      <c r="Q1644" s="26" t="n">
        <v>0.2</v>
      </c>
      <c r="R1644" s="24" t="n">
        <v>550.8918188504348</v>
      </c>
      <c r="S1644" s="24">
        <f>R1644*IF(A1644=4, 2.0, 3.0)</f>
        <v/>
      </c>
      <c r="T1644" s="22">
        <f>'Dashboard &amp; Optimisation'!$B$18*U1644</f>
        <v/>
      </c>
      <c r="U1644" s="27">
        <f>MIN(1, S1644/M1644)</f>
        <v/>
      </c>
      <c r="V1644" s="27">
        <f>N1644/(N1644+O1644)</f>
        <v/>
      </c>
      <c r="W1644" s="27">
        <f>U1644*V1644</f>
        <v/>
      </c>
      <c r="X1644" s="25">
        <f>T1644/N1644</f>
        <v/>
      </c>
      <c r="Y1644" s="28">
        <f>IF(W1644=MAXIFS(W$2:W$3601, A$2:A$3601, A1644, B$2:B$3601, B1644), "OPTIMAL", "")</f>
        <v/>
      </c>
    </row>
    <row r="1645" ht="20" customHeight="1">
      <c r="A1645" s="29" t="n">
        <v>4</v>
      </c>
      <c r="B1645" s="29" t="n">
        <v>45</v>
      </c>
      <c r="C1645" s="30" t="n">
        <v>105</v>
      </c>
      <c r="D1645" s="30" t="n">
        <v>2</v>
      </c>
      <c r="E1645" s="6" t="n">
        <v>0</v>
      </c>
      <c r="F1645" s="30" t="n">
        <v>0</v>
      </c>
      <c r="G1645" s="6" t="inlineStr">
        <is>
          <t>Non</t>
        </is>
      </c>
      <c r="H1645" s="6" t="inlineStr">
        <is>
          <t>OFF</t>
        </is>
      </c>
      <c r="I1645" s="31" t="n">
        <v>1132.611974342026</v>
      </c>
      <c r="J1645" s="31" t="n">
        <v>6657.967474874614</v>
      </c>
      <c r="K1645" s="31" t="n">
        <v>3166.666666666667</v>
      </c>
      <c r="L1645" s="31" t="n">
        <v>150</v>
      </c>
      <c r="M1645" s="31">
        <f>I1645+J1645+K1645+L1645</f>
        <v/>
      </c>
      <c r="N1645" s="31">
        <f>M1645*'Dashboard &amp; Optimisation'!$B$18/('Dashboard &amp; Optimisation'!$B$16/3.6)</f>
        <v/>
      </c>
      <c r="O1645" s="31" t="n">
        <v>455.9903798795677</v>
      </c>
      <c r="P1645" s="32" t="n">
        <v>0.7768578523342939</v>
      </c>
      <c r="Q1645" s="33" t="n">
        <v>0.2</v>
      </c>
      <c r="R1645" s="31" t="n">
        <v>335.917990221168</v>
      </c>
      <c r="S1645" s="31">
        <f>R1645*IF(A1645=4, 2.0, 3.0)</f>
        <v/>
      </c>
      <c r="T1645" s="30">
        <f>'Dashboard &amp; Optimisation'!$B$18*U1645</f>
        <v/>
      </c>
      <c r="U1645" s="34">
        <f>MIN(1, S1645/M1645)</f>
        <v/>
      </c>
      <c r="V1645" s="34">
        <f>N1645/(N1645+O1645)</f>
        <v/>
      </c>
      <c r="W1645" s="34">
        <f>U1645*V1645</f>
        <v/>
      </c>
      <c r="X1645" s="32">
        <f>T1645/N1645</f>
        <v/>
      </c>
      <c r="Y1645" s="35">
        <f>IF(W1645=MAXIFS(W$2:W$3601, A$2:A$3601, A1645, B$2:B$3601, B1645), "OPTIMAL", "")</f>
        <v/>
      </c>
    </row>
    <row r="1646" ht="20" customHeight="1">
      <c r="A1646" s="21" t="n">
        <v>4</v>
      </c>
      <c r="B1646" s="21" t="n">
        <v>45</v>
      </c>
      <c r="C1646" s="22" t="n">
        <v>105</v>
      </c>
      <c r="D1646" s="22" t="n">
        <v>2</v>
      </c>
      <c r="E1646" s="23" t="n">
        <v>4</v>
      </c>
      <c r="F1646" s="22" t="n">
        <v>1.5</v>
      </c>
      <c r="G1646" s="23" t="inlineStr">
        <is>
          <t>Oui</t>
        </is>
      </c>
      <c r="H1646" s="23" t="inlineStr">
        <is>
          <t>ON</t>
        </is>
      </c>
      <c r="I1646" s="24" t="n">
        <v>1132.611974342026</v>
      </c>
      <c r="J1646" s="24" t="n">
        <v>6657.967474874614</v>
      </c>
      <c r="K1646" s="24" t="n">
        <v>3166.666666666667</v>
      </c>
      <c r="L1646" s="24" t="n">
        <v>150</v>
      </c>
      <c r="M1646" s="24">
        <f>I1646+J1646+K1646+L1646</f>
        <v/>
      </c>
      <c r="N1646" s="24">
        <f>M1646*'Dashboard &amp; Optimisation'!$B$18/('Dashboard &amp; Optimisation'!$B$16/3.6)</f>
        <v/>
      </c>
      <c r="O1646" s="24" t="n">
        <v>711.7307902914619</v>
      </c>
      <c r="P1646" s="25" t="n">
        <v>0.07211788842163316</v>
      </c>
      <c r="Q1646" s="26" t="n">
        <v>6.39626436661611</v>
      </c>
      <c r="R1646" s="24" t="n">
        <v>3731.42193391303</v>
      </c>
      <c r="S1646" s="24">
        <f>R1646*IF(A1646=4, 2.0, 3.0)</f>
        <v/>
      </c>
      <c r="T1646" s="22">
        <f>'Dashboard &amp; Optimisation'!$B$18*U1646</f>
        <v/>
      </c>
      <c r="U1646" s="27">
        <f>MIN(1, S1646/M1646)</f>
        <v/>
      </c>
      <c r="V1646" s="27">
        <f>N1646/(N1646+O1646)</f>
        <v/>
      </c>
      <c r="W1646" s="27">
        <f>U1646*V1646</f>
        <v/>
      </c>
      <c r="X1646" s="25">
        <f>T1646/N1646</f>
        <v/>
      </c>
      <c r="Y1646" s="28">
        <f>IF(W1646=MAXIFS(W$2:W$3601, A$2:A$3601, A1646, B$2:B$3601, B1646), "OPTIMAL", "")</f>
        <v/>
      </c>
    </row>
    <row r="1647" ht="20" customHeight="1">
      <c r="A1647" s="29" t="n">
        <v>4</v>
      </c>
      <c r="B1647" s="29" t="n">
        <v>45</v>
      </c>
      <c r="C1647" s="30" t="n">
        <v>105</v>
      </c>
      <c r="D1647" s="30" t="n">
        <v>2</v>
      </c>
      <c r="E1647" s="6" t="n">
        <v>4</v>
      </c>
      <c r="F1647" s="30" t="n">
        <v>1.5</v>
      </c>
      <c r="G1647" s="6" t="inlineStr">
        <is>
          <t>Oui</t>
        </is>
      </c>
      <c r="H1647" s="6" t="inlineStr">
        <is>
          <t>OFF</t>
        </is>
      </c>
      <c r="I1647" s="31" t="n">
        <v>1132.611974342026</v>
      </c>
      <c r="J1647" s="31" t="n">
        <v>6657.967474874614</v>
      </c>
      <c r="K1647" s="31" t="n">
        <v>3166.666666666667</v>
      </c>
      <c r="L1647" s="31" t="n">
        <v>150</v>
      </c>
      <c r="M1647" s="31">
        <f>I1647+J1647+K1647+L1647</f>
        <v/>
      </c>
      <c r="N1647" s="31">
        <f>M1647*'Dashboard &amp; Optimisation'!$B$18/('Dashboard &amp; Optimisation'!$B$16/3.6)</f>
        <v/>
      </c>
      <c r="O1647" s="31" t="n">
        <v>711.7307902914619</v>
      </c>
      <c r="P1647" s="32" t="n">
        <v>0.297414701598841</v>
      </c>
      <c r="Q1647" s="33" t="n">
        <v>6.39626436661611</v>
      </c>
      <c r="R1647" s="31" t="n">
        <v>904.804870900246</v>
      </c>
      <c r="S1647" s="31">
        <f>R1647*IF(A1647=4, 2.0, 3.0)</f>
        <v/>
      </c>
      <c r="T1647" s="30">
        <f>'Dashboard &amp; Optimisation'!$B$18*U1647</f>
        <v/>
      </c>
      <c r="U1647" s="34">
        <f>MIN(1, S1647/M1647)</f>
        <v/>
      </c>
      <c r="V1647" s="34">
        <f>N1647/(N1647+O1647)</f>
        <v/>
      </c>
      <c r="W1647" s="34">
        <f>U1647*V1647</f>
        <v/>
      </c>
      <c r="X1647" s="32">
        <f>T1647/N1647</f>
        <v/>
      </c>
      <c r="Y1647" s="35">
        <f>IF(W1647=MAXIFS(W$2:W$3601, A$2:A$3601, A1647, B$2:B$3601, B1647), "OPTIMAL", "")</f>
        <v/>
      </c>
    </row>
    <row r="1648" ht="20" customHeight="1">
      <c r="A1648" s="21" t="n">
        <v>4</v>
      </c>
      <c r="B1648" s="21" t="n">
        <v>45</v>
      </c>
      <c r="C1648" s="22" t="n">
        <v>105</v>
      </c>
      <c r="D1648" s="22" t="n">
        <v>2</v>
      </c>
      <c r="E1648" s="23" t="n">
        <v>4</v>
      </c>
      <c r="F1648" s="22" t="n">
        <v>1.5</v>
      </c>
      <c r="G1648" s="23" t="inlineStr">
        <is>
          <t>Non</t>
        </is>
      </c>
      <c r="H1648" s="23" t="inlineStr">
        <is>
          <t>ON</t>
        </is>
      </c>
      <c r="I1648" s="24" t="n">
        <v>1132.611974342026</v>
      </c>
      <c r="J1648" s="24" t="n">
        <v>6657.967474874614</v>
      </c>
      <c r="K1648" s="24" t="n">
        <v>3166.666666666667</v>
      </c>
      <c r="L1648" s="24" t="n">
        <v>150</v>
      </c>
      <c r="M1648" s="24">
        <f>I1648+J1648+K1648+L1648</f>
        <v/>
      </c>
      <c r="N1648" s="24">
        <f>M1648*'Dashboard &amp; Optimisation'!$B$18/('Dashboard &amp; Optimisation'!$B$16/3.6)</f>
        <v/>
      </c>
      <c r="O1648" s="24" t="n">
        <v>711.7307902914619</v>
      </c>
      <c r="P1648" s="25" t="n">
        <v>0.06908636569607325</v>
      </c>
      <c r="Q1648" s="26" t="n">
        <v>6.39626436661611</v>
      </c>
      <c r="R1648" s="24" t="n">
        <v>3895.157430451865</v>
      </c>
      <c r="S1648" s="24">
        <f>R1648*IF(A1648=4, 2.0, 3.0)</f>
        <v/>
      </c>
      <c r="T1648" s="22">
        <f>'Dashboard &amp; Optimisation'!$B$18*U1648</f>
        <v/>
      </c>
      <c r="U1648" s="27">
        <f>MIN(1, S1648/M1648)</f>
        <v/>
      </c>
      <c r="V1648" s="27">
        <f>N1648/(N1648+O1648)</f>
        <v/>
      </c>
      <c r="W1648" s="27">
        <f>U1648*V1648</f>
        <v/>
      </c>
      <c r="X1648" s="25">
        <f>T1648/N1648</f>
        <v/>
      </c>
      <c r="Y1648" s="28">
        <f>IF(W1648=MAXIFS(W$2:W$3601, A$2:A$3601, A1648, B$2:B$3601, B1648), "OPTIMAL", "")</f>
        <v/>
      </c>
    </row>
    <row r="1649" ht="20" customHeight="1">
      <c r="A1649" s="29" t="n">
        <v>4</v>
      </c>
      <c r="B1649" s="29" t="n">
        <v>45</v>
      </c>
      <c r="C1649" s="30" t="n">
        <v>105</v>
      </c>
      <c r="D1649" s="30" t="n">
        <v>2</v>
      </c>
      <c r="E1649" s="6" t="n">
        <v>4</v>
      </c>
      <c r="F1649" s="30" t="n">
        <v>1.5</v>
      </c>
      <c r="G1649" s="6" t="inlineStr">
        <is>
          <t>Non</t>
        </is>
      </c>
      <c r="H1649" s="6" t="inlineStr">
        <is>
          <t>OFF</t>
        </is>
      </c>
      <c r="I1649" s="31" t="n">
        <v>1132.611974342026</v>
      </c>
      <c r="J1649" s="31" t="n">
        <v>6657.967474874614</v>
      </c>
      <c r="K1649" s="31" t="n">
        <v>3166.666666666667</v>
      </c>
      <c r="L1649" s="31" t="n">
        <v>150</v>
      </c>
      <c r="M1649" s="31">
        <f>I1649+J1649+K1649+L1649</f>
        <v/>
      </c>
      <c r="N1649" s="31">
        <f>M1649*'Dashboard &amp; Optimisation'!$B$18/('Dashboard &amp; Optimisation'!$B$16/3.6)</f>
        <v/>
      </c>
      <c r="O1649" s="31" t="n">
        <v>711.7307902914619</v>
      </c>
      <c r="P1649" s="32" t="n">
        <v>0.2943831788732811</v>
      </c>
      <c r="Q1649" s="33" t="n">
        <v>6.39626436661611</v>
      </c>
      <c r="R1649" s="31" t="n">
        <v>914.1224431162594</v>
      </c>
      <c r="S1649" s="31">
        <f>R1649*IF(A1649=4, 2.0, 3.0)</f>
        <v/>
      </c>
      <c r="T1649" s="30">
        <f>'Dashboard &amp; Optimisation'!$B$18*U1649</f>
        <v/>
      </c>
      <c r="U1649" s="34">
        <f>MIN(1, S1649/M1649)</f>
        <v/>
      </c>
      <c r="V1649" s="34">
        <f>N1649/(N1649+O1649)</f>
        <v/>
      </c>
      <c r="W1649" s="34">
        <f>U1649*V1649</f>
        <v/>
      </c>
      <c r="X1649" s="32">
        <f>T1649/N1649</f>
        <v/>
      </c>
      <c r="Y1649" s="35">
        <f>IF(W1649=MAXIFS(W$2:W$3601, A$2:A$3601, A1649, B$2:B$3601, B1649), "OPTIMAL", "")</f>
        <v/>
      </c>
    </row>
    <row r="1650" ht="20" customHeight="1">
      <c r="A1650" s="21" t="n">
        <v>4</v>
      </c>
      <c r="B1650" s="21" t="n">
        <v>45</v>
      </c>
      <c r="C1650" s="22" t="n">
        <v>105</v>
      </c>
      <c r="D1650" s="22" t="n">
        <v>2</v>
      </c>
      <c r="E1650" s="23" t="n">
        <v>4</v>
      </c>
      <c r="F1650" s="22" t="n">
        <v>2</v>
      </c>
      <c r="G1650" s="23" t="inlineStr">
        <is>
          <t>Oui</t>
        </is>
      </c>
      <c r="H1650" s="23" t="inlineStr">
        <is>
          <t>ON</t>
        </is>
      </c>
      <c r="I1650" s="24" t="n">
        <v>1132.611974342026</v>
      </c>
      <c r="J1650" s="24" t="n">
        <v>6657.967474874614</v>
      </c>
      <c r="K1650" s="24" t="n">
        <v>3166.666666666667</v>
      </c>
      <c r="L1650" s="24" t="n">
        <v>150</v>
      </c>
      <c r="M1650" s="24">
        <f>I1650+J1650+K1650+L1650</f>
        <v/>
      </c>
      <c r="N1650" s="24">
        <f>M1650*'Dashboard &amp; Optimisation'!$B$18/('Dashboard &amp; Optimisation'!$B$16/3.6)</f>
        <v/>
      </c>
      <c r="O1650" s="24" t="n">
        <v>800.5610289338229</v>
      </c>
      <c r="P1650" s="25" t="n">
        <v>0.06926604745833413</v>
      </c>
      <c r="Q1650" s="26" t="n">
        <v>8.461685822154816</v>
      </c>
      <c r="R1650" s="24" t="n">
        <v>3925.881104117387</v>
      </c>
      <c r="S1650" s="24">
        <f>R1650*IF(A1650=4, 2.0, 3.0)</f>
        <v/>
      </c>
      <c r="T1650" s="22">
        <f>'Dashboard &amp; Optimisation'!$B$18*U1650</f>
        <v/>
      </c>
      <c r="U1650" s="27">
        <f>MIN(1, S1650/M1650)</f>
        <v/>
      </c>
      <c r="V1650" s="27">
        <f>N1650/(N1650+O1650)</f>
        <v/>
      </c>
      <c r="W1650" s="27">
        <f>U1650*V1650</f>
        <v/>
      </c>
      <c r="X1650" s="25">
        <f>T1650/N1650</f>
        <v/>
      </c>
      <c r="Y1650" s="28">
        <f>IF(W1650=MAXIFS(W$2:W$3601, A$2:A$3601, A1650, B$2:B$3601, B1650), "OPTIMAL", "")</f>
        <v/>
      </c>
    </row>
    <row r="1651" ht="20" customHeight="1">
      <c r="A1651" s="29" t="n">
        <v>4</v>
      </c>
      <c r="B1651" s="29" t="n">
        <v>45</v>
      </c>
      <c r="C1651" s="30" t="n">
        <v>105</v>
      </c>
      <c r="D1651" s="30" t="n">
        <v>2</v>
      </c>
      <c r="E1651" s="6" t="n">
        <v>4</v>
      </c>
      <c r="F1651" s="30" t="n">
        <v>2</v>
      </c>
      <c r="G1651" s="6" t="inlineStr">
        <is>
          <t>Oui</t>
        </is>
      </c>
      <c r="H1651" s="6" t="inlineStr">
        <is>
          <t>OFF</t>
        </is>
      </c>
      <c r="I1651" s="31" t="n">
        <v>1132.611974342026</v>
      </c>
      <c r="J1651" s="31" t="n">
        <v>6657.967474874614</v>
      </c>
      <c r="K1651" s="31" t="n">
        <v>3166.666666666667</v>
      </c>
      <c r="L1651" s="31" t="n">
        <v>150</v>
      </c>
      <c r="M1651" s="31">
        <f>I1651+J1651+K1651+L1651</f>
        <v/>
      </c>
      <c r="N1651" s="31">
        <f>M1651*'Dashboard &amp; Optimisation'!$B$18/('Dashboard &amp; Optimisation'!$B$16/3.6)</f>
        <v/>
      </c>
      <c r="O1651" s="31" t="n">
        <v>800.5610289338229</v>
      </c>
      <c r="P1651" s="32" t="n">
        <v>0.2955807767744409</v>
      </c>
      <c r="Q1651" s="33" t="n">
        <v>8.461685822154816</v>
      </c>
      <c r="R1651" s="31" t="n">
        <v>919.9863057437033</v>
      </c>
      <c r="S1651" s="31">
        <f>R1651*IF(A1651=4, 2.0, 3.0)</f>
        <v/>
      </c>
      <c r="T1651" s="30">
        <f>'Dashboard &amp; Optimisation'!$B$18*U1651</f>
        <v/>
      </c>
      <c r="U1651" s="34">
        <f>MIN(1, S1651/M1651)</f>
        <v/>
      </c>
      <c r="V1651" s="34">
        <f>N1651/(N1651+O1651)</f>
        <v/>
      </c>
      <c r="W1651" s="34">
        <f>U1651*V1651</f>
        <v/>
      </c>
      <c r="X1651" s="32">
        <f>T1651/N1651</f>
        <v/>
      </c>
      <c r="Y1651" s="35">
        <f>IF(W1651=MAXIFS(W$2:W$3601, A$2:A$3601, A1651, B$2:B$3601, B1651), "OPTIMAL", "")</f>
        <v/>
      </c>
    </row>
    <row r="1652" ht="20" customHeight="1">
      <c r="A1652" s="21" t="n">
        <v>4</v>
      </c>
      <c r="B1652" s="21" t="n">
        <v>45</v>
      </c>
      <c r="C1652" s="22" t="n">
        <v>105</v>
      </c>
      <c r="D1652" s="22" t="n">
        <v>2</v>
      </c>
      <c r="E1652" s="23" t="n">
        <v>4</v>
      </c>
      <c r="F1652" s="22" t="n">
        <v>2</v>
      </c>
      <c r="G1652" s="23" t="inlineStr">
        <is>
          <t>Non</t>
        </is>
      </c>
      <c r="H1652" s="23" t="inlineStr">
        <is>
          <t>ON</t>
        </is>
      </c>
      <c r="I1652" s="24" t="n">
        <v>1132.611974342026</v>
      </c>
      <c r="J1652" s="24" t="n">
        <v>6657.967474874614</v>
      </c>
      <c r="K1652" s="24" t="n">
        <v>3166.666666666667</v>
      </c>
      <c r="L1652" s="24" t="n">
        <v>150</v>
      </c>
      <c r="M1652" s="24">
        <f>I1652+J1652+K1652+L1652</f>
        <v/>
      </c>
      <c r="N1652" s="24">
        <f>M1652*'Dashboard &amp; Optimisation'!$B$18/('Dashboard &amp; Optimisation'!$B$16/3.6)</f>
        <v/>
      </c>
      <c r="O1652" s="24" t="n">
        <v>800.5610289338229</v>
      </c>
      <c r="P1652" s="25" t="n">
        <v>0.06623452473277422</v>
      </c>
      <c r="Q1652" s="26" t="n">
        <v>8.461685822154816</v>
      </c>
      <c r="R1652" s="24" t="n">
        <v>4105.56681686304</v>
      </c>
      <c r="S1652" s="24">
        <f>R1652*IF(A1652=4, 2.0, 3.0)</f>
        <v/>
      </c>
      <c r="T1652" s="22">
        <f>'Dashboard &amp; Optimisation'!$B$18*U1652</f>
        <v/>
      </c>
      <c r="U1652" s="27">
        <f>MIN(1, S1652/M1652)</f>
        <v/>
      </c>
      <c r="V1652" s="27">
        <f>N1652/(N1652+O1652)</f>
        <v/>
      </c>
      <c r="W1652" s="27">
        <f>U1652*V1652</f>
        <v/>
      </c>
      <c r="X1652" s="25">
        <f>T1652/N1652</f>
        <v/>
      </c>
      <c r="Y1652" s="28">
        <f>IF(W1652=MAXIFS(W$2:W$3601, A$2:A$3601, A1652, B$2:B$3601, B1652), "OPTIMAL", "")</f>
        <v/>
      </c>
    </row>
    <row r="1653" ht="20" customHeight="1">
      <c r="A1653" s="29" t="n">
        <v>4</v>
      </c>
      <c r="B1653" s="29" t="n">
        <v>45</v>
      </c>
      <c r="C1653" s="30" t="n">
        <v>105</v>
      </c>
      <c r="D1653" s="30" t="n">
        <v>2</v>
      </c>
      <c r="E1653" s="6" t="n">
        <v>4</v>
      </c>
      <c r="F1653" s="30" t="n">
        <v>2</v>
      </c>
      <c r="G1653" s="6" t="inlineStr">
        <is>
          <t>Non</t>
        </is>
      </c>
      <c r="H1653" s="6" t="inlineStr">
        <is>
          <t>OFF</t>
        </is>
      </c>
      <c r="I1653" s="31" t="n">
        <v>1132.611974342026</v>
      </c>
      <c r="J1653" s="31" t="n">
        <v>6657.967474874614</v>
      </c>
      <c r="K1653" s="31" t="n">
        <v>3166.666666666667</v>
      </c>
      <c r="L1653" s="31" t="n">
        <v>150</v>
      </c>
      <c r="M1653" s="31">
        <f>I1653+J1653+K1653+L1653</f>
        <v/>
      </c>
      <c r="N1653" s="31">
        <f>M1653*'Dashboard &amp; Optimisation'!$B$18/('Dashboard &amp; Optimisation'!$B$16/3.6)</f>
        <v/>
      </c>
      <c r="O1653" s="31" t="n">
        <v>800.5610289338229</v>
      </c>
      <c r="P1653" s="32" t="n">
        <v>0.292549254048881</v>
      </c>
      <c r="Q1653" s="33" t="n">
        <v>8.461685822154816</v>
      </c>
      <c r="R1653" s="31" t="n">
        <v>929.5196043403215</v>
      </c>
      <c r="S1653" s="31">
        <f>R1653*IF(A1653=4, 2.0, 3.0)</f>
        <v/>
      </c>
      <c r="T1653" s="30">
        <f>'Dashboard &amp; Optimisation'!$B$18*U1653</f>
        <v/>
      </c>
      <c r="U1653" s="34">
        <f>MIN(1, S1653/M1653)</f>
        <v/>
      </c>
      <c r="V1653" s="34">
        <f>N1653/(N1653+O1653)</f>
        <v/>
      </c>
      <c r="W1653" s="34">
        <f>U1653*V1653</f>
        <v/>
      </c>
      <c r="X1653" s="32">
        <f>T1653/N1653</f>
        <v/>
      </c>
      <c r="Y1653" s="35">
        <f>IF(W1653=MAXIFS(W$2:W$3601, A$2:A$3601, A1653, B$2:B$3601, B1653), "OPTIMAL", "")</f>
        <v/>
      </c>
    </row>
    <row r="1654" ht="20" customHeight="1">
      <c r="A1654" s="21" t="n">
        <v>4</v>
      </c>
      <c r="B1654" s="21" t="n">
        <v>45</v>
      </c>
      <c r="C1654" s="22" t="n">
        <v>105</v>
      </c>
      <c r="D1654" s="22" t="n">
        <v>2</v>
      </c>
      <c r="E1654" s="23" t="n">
        <v>8</v>
      </c>
      <c r="F1654" s="22" t="n">
        <v>1.5</v>
      </c>
      <c r="G1654" s="23" t="inlineStr">
        <is>
          <t>Oui</t>
        </is>
      </c>
      <c r="H1654" s="23" t="inlineStr">
        <is>
          <t>ON</t>
        </is>
      </c>
      <c r="I1654" s="24" t="n">
        <v>1132.611974342026</v>
      </c>
      <c r="J1654" s="24" t="n">
        <v>6657.967474874614</v>
      </c>
      <c r="K1654" s="24" t="n">
        <v>3166.666666666667</v>
      </c>
      <c r="L1654" s="24" t="n">
        <v>150</v>
      </c>
      <c r="M1654" s="24">
        <f>I1654+J1654+K1654+L1654</f>
        <v/>
      </c>
      <c r="N1654" s="24">
        <f>M1654*'Dashboard &amp; Optimisation'!$B$18/('Dashboard &amp; Optimisation'!$B$16/3.6)</f>
        <v/>
      </c>
      <c r="O1654" s="24" t="n">
        <v>983.9428603713106</v>
      </c>
      <c r="P1654" s="25" t="n">
        <v>0.0545652421498049</v>
      </c>
      <c r="Q1654" s="26" t="n">
        <v>12.59252873323222</v>
      </c>
      <c r="R1654" s="24" t="n">
        <v>5090.574019798548</v>
      </c>
      <c r="S1654" s="24">
        <f>R1654*IF(A1654=4, 2.0, 3.0)</f>
        <v/>
      </c>
      <c r="T1654" s="22">
        <f>'Dashboard &amp; Optimisation'!$B$18*U1654</f>
        <v/>
      </c>
      <c r="U1654" s="27">
        <f>MIN(1, S1654/M1654)</f>
        <v/>
      </c>
      <c r="V1654" s="27">
        <f>N1654/(N1654+O1654)</f>
        <v/>
      </c>
      <c r="W1654" s="27">
        <f>U1654*V1654</f>
        <v/>
      </c>
      <c r="X1654" s="25">
        <f>T1654/N1654</f>
        <v/>
      </c>
      <c r="Y1654" s="28">
        <f>IF(W1654=MAXIFS(W$2:W$3601, A$2:A$3601, A1654, B$2:B$3601, B1654), "OPTIMAL", "")</f>
        <v/>
      </c>
    </row>
    <row r="1655" ht="20" customHeight="1">
      <c r="A1655" s="29" t="n">
        <v>4</v>
      </c>
      <c r="B1655" s="29" t="n">
        <v>45</v>
      </c>
      <c r="C1655" s="30" t="n">
        <v>105</v>
      </c>
      <c r="D1655" s="30" t="n">
        <v>2</v>
      </c>
      <c r="E1655" s="6" t="n">
        <v>8</v>
      </c>
      <c r="F1655" s="30" t="n">
        <v>1.5</v>
      </c>
      <c r="G1655" s="6" t="inlineStr">
        <is>
          <t>Oui</t>
        </is>
      </c>
      <c r="H1655" s="6" t="inlineStr">
        <is>
          <t>OFF</t>
        </is>
      </c>
      <c r="I1655" s="31" t="n">
        <v>1132.611974342026</v>
      </c>
      <c r="J1655" s="31" t="n">
        <v>6657.967474874614</v>
      </c>
      <c r="K1655" s="31" t="n">
        <v>3166.666666666667</v>
      </c>
      <c r="L1655" s="31" t="n">
        <v>150</v>
      </c>
      <c r="M1655" s="31">
        <f>I1655+J1655+K1655+L1655</f>
        <v/>
      </c>
      <c r="N1655" s="31">
        <f>M1655*'Dashboard &amp; Optimisation'!$B$18/('Dashboard &amp; Optimisation'!$B$16/3.6)</f>
        <v/>
      </c>
      <c r="O1655" s="31" t="n">
        <v>983.9428603713106</v>
      </c>
      <c r="P1655" s="32" t="n">
        <v>0.233823801442431</v>
      </c>
      <c r="Q1655" s="33" t="n">
        <v>12.59252873323222</v>
      </c>
      <c r="R1655" s="31" t="n">
        <v>1187.938962407991</v>
      </c>
      <c r="S1655" s="31">
        <f>R1655*IF(A1655=4, 2.0, 3.0)</f>
        <v/>
      </c>
      <c r="T1655" s="30">
        <f>'Dashboard &amp; Optimisation'!$B$18*U1655</f>
        <v/>
      </c>
      <c r="U1655" s="34">
        <f>MIN(1, S1655/M1655)</f>
        <v/>
      </c>
      <c r="V1655" s="34">
        <f>N1655/(N1655+O1655)</f>
        <v/>
      </c>
      <c r="W1655" s="34">
        <f>U1655*V1655</f>
        <v/>
      </c>
      <c r="X1655" s="32">
        <f>T1655/N1655</f>
        <v/>
      </c>
      <c r="Y1655" s="35">
        <f>IF(W1655=MAXIFS(W$2:W$3601, A$2:A$3601, A1655, B$2:B$3601, B1655), "OPTIMAL", "")</f>
        <v/>
      </c>
    </row>
    <row r="1656" ht="20" customHeight="1">
      <c r="A1656" s="21" t="n">
        <v>4</v>
      </c>
      <c r="B1656" s="21" t="n">
        <v>45</v>
      </c>
      <c r="C1656" s="22" t="n">
        <v>105</v>
      </c>
      <c r="D1656" s="22" t="n">
        <v>2</v>
      </c>
      <c r="E1656" s="23" t="n">
        <v>8</v>
      </c>
      <c r="F1656" s="22" t="n">
        <v>1.5</v>
      </c>
      <c r="G1656" s="23" t="inlineStr">
        <is>
          <t>Non</t>
        </is>
      </c>
      <c r="H1656" s="23" t="inlineStr">
        <is>
          <t>ON</t>
        </is>
      </c>
      <c r="I1656" s="24" t="n">
        <v>1132.611974342026</v>
      </c>
      <c r="J1656" s="24" t="n">
        <v>6657.967474874614</v>
      </c>
      <c r="K1656" s="24" t="n">
        <v>3166.666666666667</v>
      </c>
      <c r="L1656" s="24" t="n">
        <v>150</v>
      </c>
      <c r="M1656" s="24">
        <f>I1656+J1656+K1656+L1656</f>
        <v/>
      </c>
      <c r="N1656" s="24">
        <f>M1656*'Dashboard &amp; Optimisation'!$B$18/('Dashboard &amp; Optimisation'!$B$16/3.6)</f>
        <v/>
      </c>
      <c r="O1656" s="24" t="n">
        <v>983.9428603713106</v>
      </c>
      <c r="P1656" s="25" t="n">
        <v>0.05153371942424499</v>
      </c>
      <c r="Q1656" s="26" t="n">
        <v>12.59252873323222</v>
      </c>
      <c r="R1656" s="24" t="n">
        <v>5390.032141579368</v>
      </c>
      <c r="S1656" s="24">
        <f>R1656*IF(A1656=4, 2.0, 3.0)</f>
        <v/>
      </c>
      <c r="T1656" s="22">
        <f>'Dashboard &amp; Optimisation'!$B$18*U1656</f>
        <v/>
      </c>
      <c r="U1656" s="27">
        <f>MIN(1, S1656/M1656)</f>
        <v/>
      </c>
      <c r="V1656" s="27">
        <f>N1656/(N1656+O1656)</f>
        <v/>
      </c>
      <c r="W1656" s="27">
        <f>U1656*V1656</f>
        <v/>
      </c>
      <c r="X1656" s="25">
        <f>T1656/N1656</f>
        <v/>
      </c>
      <c r="Y1656" s="28">
        <f>IF(W1656=MAXIFS(W$2:W$3601, A$2:A$3601, A1656, B$2:B$3601, B1656), "OPTIMAL", "")</f>
        <v/>
      </c>
    </row>
    <row r="1657" ht="20" customHeight="1">
      <c r="A1657" s="29" t="n">
        <v>4</v>
      </c>
      <c r="B1657" s="29" t="n">
        <v>45</v>
      </c>
      <c r="C1657" s="30" t="n">
        <v>105</v>
      </c>
      <c r="D1657" s="30" t="n">
        <v>2</v>
      </c>
      <c r="E1657" s="6" t="n">
        <v>8</v>
      </c>
      <c r="F1657" s="30" t="n">
        <v>1.5</v>
      </c>
      <c r="G1657" s="6" t="inlineStr">
        <is>
          <t>Non</t>
        </is>
      </c>
      <c r="H1657" s="6" t="inlineStr">
        <is>
          <t>OFF</t>
        </is>
      </c>
      <c r="I1657" s="31" t="n">
        <v>1132.611974342026</v>
      </c>
      <c r="J1657" s="31" t="n">
        <v>6657.967474874614</v>
      </c>
      <c r="K1657" s="31" t="n">
        <v>3166.666666666667</v>
      </c>
      <c r="L1657" s="31" t="n">
        <v>150</v>
      </c>
      <c r="M1657" s="31">
        <f>I1657+J1657+K1657+L1657</f>
        <v/>
      </c>
      <c r="N1657" s="31">
        <f>M1657*'Dashboard &amp; Optimisation'!$B$18/('Dashboard &amp; Optimisation'!$B$16/3.6)</f>
        <v/>
      </c>
      <c r="O1657" s="31" t="n">
        <v>983.9428603713106</v>
      </c>
      <c r="P1657" s="32" t="n">
        <v>0.2307922787168711</v>
      </c>
      <c r="Q1657" s="33" t="n">
        <v>12.59252873323222</v>
      </c>
      <c r="R1657" s="31" t="n">
        <v>1203.542881140193</v>
      </c>
      <c r="S1657" s="31">
        <f>R1657*IF(A1657=4, 2.0, 3.0)</f>
        <v/>
      </c>
      <c r="T1657" s="30">
        <f>'Dashboard &amp; Optimisation'!$B$18*U1657</f>
        <v/>
      </c>
      <c r="U1657" s="34">
        <f>MIN(1, S1657/M1657)</f>
        <v/>
      </c>
      <c r="V1657" s="34">
        <f>N1657/(N1657+O1657)</f>
        <v/>
      </c>
      <c r="W1657" s="34">
        <f>U1657*V1657</f>
        <v/>
      </c>
      <c r="X1657" s="32">
        <f>T1657/N1657</f>
        <v/>
      </c>
      <c r="Y1657" s="35">
        <f>IF(W1657=MAXIFS(W$2:W$3601, A$2:A$3601, A1657, B$2:B$3601, B1657), "OPTIMAL", "")</f>
        <v/>
      </c>
    </row>
    <row r="1658" ht="20" customHeight="1">
      <c r="A1658" s="21" t="n">
        <v>4</v>
      </c>
      <c r="B1658" s="21" t="n">
        <v>45</v>
      </c>
      <c r="C1658" s="22" t="n">
        <v>105</v>
      </c>
      <c r="D1658" s="22" t="n">
        <v>2</v>
      </c>
      <c r="E1658" s="23" t="n">
        <v>8</v>
      </c>
      <c r="F1658" s="22" t="n">
        <v>2</v>
      </c>
      <c r="G1658" s="23" t="inlineStr">
        <is>
          <t>Oui</t>
        </is>
      </c>
      <c r="H1658" s="23" t="inlineStr">
        <is>
          <t>ON</t>
        </is>
      </c>
      <c r="I1658" s="24" t="n">
        <v>1132.611974342026</v>
      </c>
      <c r="J1658" s="24" t="n">
        <v>6657.967474874614</v>
      </c>
      <c r="K1658" s="24" t="n">
        <v>3166.666666666667</v>
      </c>
      <c r="L1658" s="24" t="n">
        <v>150</v>
      </c>
      <c r="M1658" s="24">
        <f>I1658+J1658+K1658+L1658</f>
        <v/>
      </c>
      <c r="N1658" s="24">
        <f>M1658*'Dashboard &amp; Optimisation'!$B$18/('Dashboard &amp; Optimisation'!$B$16/3.6)</f>
        <v/>
      </c>
      <c r="O1658" s="24" t="n">
        <v>1175.371591150791</v>
      </c>
      <c r="P1658" s="25" t="n">
        <v>0.05324035668794291</v>
      </c>
      <c r="Q1658" s="26" t="n">
        <v>16.72337164430963</v>
      </c>
      <c r="R1658" s="24" t="n">
        <v>5331.720892169689</v>
      </c>
      <c r="S1658" s="24">
        <f>R1658*IF(A1658=4, 2.0, 3.0)</f>
        <v/>
      </c>
      <c r="T1658" s="22">
        <f>'Dashboard &amp; Optimisation'!$B$18*U1658</f>
        <v/>
      </c>
      <c r="U1658" s="27">
        <f>MIN(1, S1658/M1658)</f>
        <v/>
      </c>
      <c r="V1658" s="27">
        <f>N1658/(N1658+O1658)</f>
        <v/>
      </c>
      <c r="W1658" s="27">
        <f>U1658*V1658</f>
        <v/>
      </c>
      <c r="X1658" s="25">
        <f>T1658/N1658</f>
        <v/>
      </c>
      <c r="Y1658" s="28">
        <f>IF(W1658=MAXIFS(W$2:W$3601, A$2:A$3601, A1658, B$2:B$3601, B1658), "OPTIMAL", "")</f>
        <v/>
      </c>
    </row>
    <row r="1659" ht="20" customHeight="1">
      <c r="A1659" s="29" t="n">
        <v>4</v>
      </c>
      <c r="B1659" s="29" t="n">
        <v>45</v>
      </c>
      <c r="C1659" s="30" t="n">
        <v>105</v>
      </c>
      <c r="D1659" s="30" t="n">
        <v>2</v>
      </c>
      <c r="E1659" s="6" t="n">
        <v>8</v>
      </c>
      <c r="F1659" s="30" t="n">
        <v>2</v>
      </c>
      <c r="G1659" s="6" t="inlineStr">
        <is>
          <t>Oui</t>
        </is>
      </c>
      <c r="H1659" s="6" t="inlineStr">
        <is>
          <t>OFF</t>
        </is>
      </c>
      <c r="I1659" s="31" t="n">
        <v>1132.611974342026</v>
      </c>
      <c r="J1659" s="31" t="n">
        <v>6657.967474874614</v>
      </c>
      <c r="K1659" s="31" t="n">
        <v>3166.666666666667</v>
      </c>
      <c r="L1659" s="31" t="n">
        <v>150</v>
      </c>
      <c r="M1659" s="31">
        <f>I1659+J1659+K1659+L1659</f>
        <v/>
      </c>
      <c r="N1659" s="31">
        <f>M1659*'Dashboard &amp; Optimisation'!$B$18/('Dashboard &amp; Optimisation'!$B$16/3.6)</f>
        <v/>
      </c>
      <c r="O1659" s="31" t="n">
        <v>1175.371591150791</v>
      </c>
      <c r="P1659" s="32" t="n">
        <v>0.2337915759821405</v>
      </c>
      <c r="Q1659" s="33" t="n">
        <v>16.72337164430963</v>
      </c>
      <c r="R1659" s="31" t="n">
        <v>1214.170018176172</v>
      </c>
      <c r="S1659" s="31">
        <f>R1659*IF(A1659=4, 2.0, 3.0)</f>
        <v/>
      </c>
      <c r="T1659" s="30">
        <f>'Dashboard &amp; Optimisation'!$B$18*U1659</f>
        <v/>
      </c>
      <c r="U1659" s="34">
        <f>MIN(1, S1659/M1659)</f>
        <v/>
      </c>
      <c r="V1659" s="34">
        <f>N1659/(N1659+O1659)</f>
        <v/>
      </c>
      <c r="W1659" s="34">
        <f>U1659*V1659</f>
        <v/>
      </c>
      <c r="X1659" s="32">
        <f>T1659/N1659</f>
        <v/>
      </c>
      <c r="Y1659" s="35">
        <f>IF(W1659=MAXIFS(W$2:W$3601, A$2:A$3601, A1659, B$2:B$3601, B1659), "OPTIMAL", "")</f>
        <v/>
      </c>
    </row>
    <row r="1660" ht="20" customHeight="1">
      <c r="A1660" s="21" t="n">
        <v>4</v>
      </c>
      <c r="B1660" s="21" t="n">
        <v>45</v>
      </c>
      <c r="C1660" s="22" t="n">
        <v>105</v>
      </c>
      <c r="D1660" s="22" t="n">
        <v>2</v>
      </c>
      <c r="E1660" s="23" t="n">
        <v>8</v>
      </c>
      <c r="F1660" s="22" t="n">
        <v>2</v>
      </c>
      <c r="G1660" s="23" t="inlineStr">
        <is>
          <t>Non</t>
        </is>
      </c>
      <c r="H1660" s="23" t="inlineStr">
        <is>
          <t>ON</t>
        </is>
      </c>
      <c r="I1660" s="24" t="n">
        <v>1132.611974342026</v>
      </c>
      <c r="J1660" s="24" t="n">
        <v>6657.967474874614</v>
      </c>
      <c r="K1660" s="24" t="n">
        <v>3166.666666666667</v>
      </c>
      <c r="L1660" s="24" t="n">
        <v>150</v>
      </c>
      <c r="M1660" s="24">
        <f>I1660+J1660+K1660+L1660</f>
        <v/>
      </c>
      <c r="N1660" s="24">
        <f>M1660*'Dashboard &amp; Optimisation'!$B$18/('Dashboard &amp; Optimisation'!$B$16/3.6)</f>
        <v/>
      </c>
      <c r="O1660" s="24" t="n">
        <v>1175.371591150791</v>
      </c>
      <c r="P1660" s="25" t="n">
        <v>0.05020883396238299</v>
      </c>
      <c r="Q1660" s="26" t="n">
        <v>16.72337164430963</v>
      </c>
      <c r="R1660" s="24" t="n">
        <v>5653.640996171002</v>
      </c>
      <c r="S1660" s="24">
        <f>R1660*IF(A1660=4, 2.0, 3.0)</f>
        <v/>
      </c>
      <c r="T1660" s="22">
        <f>'Dashboard &amp; Optimisation'!$B$18*U1660</f>
        <v/>
      </c>
      <c r="U1660" s="27">
        <f>MIN(1, S1660/M1660)</f>
        <v/>
      </c>
      <c r="V1660" s="27">
        <f>N1660/(N1660+O1660)</f>
        <v/>
      </c>
      <c r="W1660" s="27">
        <f>U1660*V1660</f>
        <v/>
      </c>
      <c r="X1660" s="25">
        <f>T1660/N1660</f>
        <v/>
      </c>
      <c r="Y1660" s="28">
        <f>IF(W1660=MAXIFS(W$2:W$3601, A$2:A$3601, A1660, B$2:B$3601, B1660), "OPTIMAL", "")</f>
        <v/>
      </c>
    </row>
    <row r="1661" ht="20" customHeight="1">
      <c r="A1661" s="29" t="n">
        <v>4</v>
      </c>
      <c r="B1661" s="29" t="n">
        <v>45</v>
      </c>
      <c r="C1661" s="30" t="n">
        <v>105</v>
      </c>
      <c r="D1661" s="30" t="n">
        <v>2</v>
      </c>
      <c r="E1661" s="6" t="n">
        <v>8</v>
      </c>
      <c r="F1661" s="30" t="n">
        <v>2</v>
      </c>
      <c r="G1661" s="6" t="inlineStr">
        <is>
          <t>Non</t>
        </is>
      </c>
      <c r="H1661" s="6" t="inlineStr">
        <is>
          <t>OFF</t>
        </is>
      </c>
      <c r="I1661" s="31" t="n">
        <v>1132.611974342026</v>
      </c>
      <c r="J1661" s="31" t="n">
        <v>6657.967474874614</v>
      </c>
      <c r="K1661" s="31" t="n">
        <v>3166.666666666667</v>
      </c>
      <c r="L1661" s="31" t="n">
        <v>150</v>
      </c>
      <c r="M1661" s="31">
        <f>I1661+J1661+K1661+L1661</f>
        <v/>
      </c>
      <c r="N1661" s="31">
        <f>M1661*'Dashboard &amp; Optimisation'!$B$18/('Dashboard &amp; Optimisation'!$B$16/3.6)</f>
        <v/>
      </c>
      <c r="O1661" s="31" t="n">
        <v>1175.371591150791</v>
      </c>
      <c r="P1661" s="32" t="n">
        <v>0.2307600532565806</v>
      </c>
      <c r="Q1661" s="33" t="n">
        <v>16.72337164430963</v>
      </c>
      <c r="R1661" s="31" t="n">
        <v>1230.120716535138</v>
      </c>
      <c r="S1661" s="31">
        <f>R1661*IF(A1661=4, 2.0, 3.0)</f>
        <v/>
      </c>
      <c r="T1661" s="30">
        <f>'Dashboard &amp; Optimisation'!$B$18*U1661</f>
        <v/>
      </c>
      <c r="U1661" s="34">
        <f>MIN(1, S1661/M1661)</f>
        <v/>
      </c>
      <c r="V1661" s="34">
        <f>N1661/(N1661+O1661)</f>
        <v/>
      </c>
      <c r="W1661" s="34">
        <f>U1661*V1661</f>
        <v/>
      </c>
      <c r="X1661" s="32">
        <f>T1661/N1661</f>
        <v/>
      </c>
      <c r="Y1661" s="35">
        <f>IF(W1661=MAXIFS(W$2:W$3601, A$2:A$3601, A1661, B$2:B$3601, B1661), "OPTIMAL", "")</f>
        <v/>
      </c>
    </row>
    <row r="1662" ht="20" customHeight="1">
      <c r="A1662" s="21" t="n">
        <v>4</v>
      </c>
      <c r="B1662" s="21" t="n">
        <v>45</v>
      </c>
      <c r="C1662" s="22" t="n">
        <v>105</v>
      </c>
      <c r="D1662" s="22" t="n">
        <v>3</v>
      </c>
      <c r="E1662" s="23" t="n">
        <v>0</v>
      </c>
      <c r="F1662" s="22" t="n">
        <v>0</v>
      </c>
      <c r="G1662" s="23" t="inlineStr">
        <is>
          <t>Oui</t>
        </is>
      </c>
      <c r="H1662" s="23" t="inlineStr">
        <is>
          <t>ON</t>
        </is>
      </c>
      <c r="I1662" s="24" t="n">
        <v>1132.611974342026</v>
      </c>
      <c r="J1662" s="24" t="n">
        <v>6657.967474874614</v>
      </c>
      <c r="K1662" s="24" t="n">
        <v>3166.666666666667</v>
      </c>
      <c r="L1662" s="24" t="n">
        <v>150</v>
      </c>
      <c r="M1662" s="24">
        <f>I1662+J1662+K1662+L1662</f>
        <v/>
      </c>
      <c r="N1662" s="24">
        <f>M1662*'Dashboard &amp; Optimisation'!$B$18/('Dashboard &amp; Optimisation'!$B$16/3.6)</f>
        <v/>
      </c>
      <c r="O1662" s="24" t="n">
        <v>704.988844380031</v>
      </c>
      <c r="P1662" s="25" t="n">
        <v>0.4767526303329919</v>
      </c>
      <c r="Q1662" s="26" t="n">
        <v>0.2</v>
      </c>
      <c r="R1662" s="24" t="n">
        <v>569.7103162760645</v>
      </c>
      <c r="S1662" s="24">
        <f>R1662*IF(A1662=4, 2.0, 3.0)</f>
        <v/>
      </c>
      <c r="T1662" s="22">
        <f>'Dashboard &amp; Optimisation'!$B$18*U1662</f>
        <v/>
      </c>
      <c r="U1662" s="27">
        <f>MIN(1, S1662/M1662)</f>
        <v/>
      </c>
      <c r="V1662" s="27">
        <f>N1662/(N1662+O1662)</f>
        <v/>
      </c>
      <c r="W1662" s="27">
        <f>U1662*V1662</f>
        <v/>
      </c>
      <c r="X1662" s="25">
        <f>T1662/N1662</f>
        <v/>
      </c>
      <c r="Y1662" s="28">
        <f>IF(W1662=MAXIFS(W$2:W$3601, A$2:A$3601, A1662, B$2:B$3601, B1662), "OPTIMAL", "")</f>
        <v/>
      </c>
    </row>
    <row r="1663" ht="20" customHeight="1">
      <c r="A1663" s="29" t="n">
        <v>4</v>
      </c>
      <c r="B1663" s="29" t="n">
        <v>45</v>
      </c>
      <c r="C1663" s="30" t="n">
        <v>105</v>
      </c>
      <c r="D1663" s="30" t="n">
        <v>3</v>
      </c>
      <c r="E1663" s="6" t="n">
        <v>0</v>
      </c>
      <c r="F1663" s="30" t="n">
        <v>0</v>
      </c>
      <c r="G1663" s="6" t="inlineStr">
        <is>
          <t>Oui</t>
        </is>
      </c>
      <c r="H1663" s="6" t="inlineStr">
        <is>
          <t>OFF</t>
        </is>
      </c>
      <c r="I1663" s="31" t="n">
        <v>1132.611974342026</v>
      </c>
      <c r="J1663" s="31" t="n">
        <v>6657.967474874614</v>
      </c>
      <c r="K1663" s="31" t="n">
        <v>3166.666666666667</v>
      </c>
      <c r="L1663" s="31" t="n">
        <v>150</v>
      </c>
      <c r="M1663" s="31">
        <f>I1663+J1663+K1663+L1663</f>
        <v/>
      </c>
      <c r="N1663" s="31">
        <f>M1663*'Dashboard &amp; Optimisation'!$B$18/('Dashboard &amp; Optimisation'!$B$16/3.6)</f>
        <v/>
      </c>
      <c r="O1663" s="31" t="n">
        <v>704.988844380031</v>
      </c>
      <c r="P1663" s="32" t="n">
        <v>0.7799049028889831</v>
      </c>
      <c r="Q1663" s="33" t="n">
        <v>0.2</v>
      </c>
      <c r="R1663" s="31" t="n">
        <v>348.2615518973311</v>
      </c>
      <c r="S1663" s="31">
        <f>R1663*IF(A1663=4, 2.0, 3.0)</f>
        <v/>
      </c>
      <c r="T1663" s="30">
        <f>'Dashboard &amp; Optimisation'!$B$18*U1663</f>
        <v/>
      </c>
      <c r="U1663" s="34">
        <f>MIN(1, S1663/M1663)</f>
        <v/>
      </c>
      <c r="V1663" s="34">
        <f>N1663/(N1663+O1663)</f>
        <v/>
      </c>
      <c r="W1663" s="34">
        <f>U1663*V1663</f>
        <v/>
      </c>
      <c r="X1663" s="32">
        <f>T1663/N1663</f>
        <v/>
      </c>
      <c r="Y1663" s="35">
        <f>IF(W1663=MAXIFS(W$2:W$3601, A$2:A$3601, A1663, B$2:B$3601, B1663), "OPTIMAL", "")</f>
        <v/>
      </c>
    </row>
    <row r="1664" ht="20" customHeight="1">
      <c r="A1664" s="21" t="n">
        <v>4</v>
      </c>
      <c r="B1664" s="21" t="n">
        <v>45</v>
      </c>
      <c r="C1664" s="22" t="n">
        <v>105</v>
      </c>
      <c r="D1664" s="22" t="n">
        <v>3</v>
      </c>
      <c r="E1664" s="23" t="n">
        <v>0</v>
      </c>
      <c r="F1664" s="22" t="n">
        <v>0</v>
      </c>
      <c r="G1664" s="23" t="inlineStr">
        <is>
          <t>Non</t>
        </is>
      </c>
      <c r="H1664" s="23" t="inlineStr">
        <is>
          <t>ON</t>
        </is>
      </c>
      <c r="I1664" s="24" t="n">
        <v>1132.611974342026</v>
      </c>
      <c r="J1664" s="24" t="n">
        <v>6657.967474874614</v>
      </c>
      <c r="K1664" s="24" t="n">
        <v>3166.666666666667</v>
      </c>
      <c r="L1664" s="24" t="n">
        <v>150</v>
      </c>
      <c r="M1664" s="24">
        <f>I1664+J1664+K1664+L1664</f>
        <v/>
      </c>
      <c r="N1664" s="24">
        <f>M1664*'Dashboard &amp; Optimisation'!$B$18/('Dashboard &amp; Optimisation'!$B$16/3.6)</f>
        <v/>
      </c>
      <c r="O1664" s="24" t="n">
        <v>704.988844380031</v>
      </c>
      <c r="P1664" s="25" t="n">
        <v>0.473721107607432</v>
      </c>
      <c r="Q1664" s="26" t="n">
        <v>0.2</v>
      </c>
      <c r="R1664" s="24" t="n">
        <v>573.3561106961182</v>
      </c>
      <c r="S1664" s="24">
        <f>R1664*IF(A1664=4, 2.0, 3.0)</f>
        <v/>
      </c>
      <c r="T1664" s="22">
        <f>'Dashboard &amp; Optimisation'!$B$18*U1664</f>
        <v/>
      </c>
      <c r="U1664" s="27">
        <f>MIN(1, S1664/M1664)</f>
        <v/>
      </c>
      <c r="V1664" s="27">
        <f>N1664/(N1664+O1664)</f>
        <v/>
      </c>
      <c r="W1664" s="27">
        <f>U1664*V1664</f>
        <v/>
      </c>
      <c r="X1664" s="25">
        <f>T1664/N1664</f>
        <v/>
      </c>
      <c r="Y1664" s="28">
        <f>IF(W1664=MAXIFS(W$2:W$3601, A$2:A$3601, A1664, B$2:B$3601, B1664), "OPTIMAL", "")</f>
        <v/>
      </c>
    </row>
    <row r="1665" ht="20" customHeight="1">
      <c r="A1665" s="29" t="n">
        <v>4</v>
      </c>
      <c r="B1665" s="29" t="n">
        <v>45</v>
      </c>
      <c r="C1665" s="30" t="n">
        <v>105</v>
      </c>
      <c r="D1665" s="30" t="n">
        <v>3</v>
      </c>
      <c r="E1665" s="6" t="n">
        <v>0</v>
      </c>
      <c r="F1665" s="30" t="n">
        <v>0</v>
      </c>
      <c r="G1665" s="6" t="inlineStr">
        <is>
          <t>Non</t>
        </is>
      </c>
      <c r="H1665" s="6" t="inlineStr">
        <is>
          <t>OFF</t>
        </is>
      </c>
      <c r="I1665" s="31" t="n">
        <v>1132.611974342026</v>
      </c>
      <c r="J1665" s="31" t="n">
        <v>6657.967474874614</v>
      </c>
      <c r="K1665" s="31" t="n">
        <v>3166.666666666667</v>
      </c>
      <c r="L1665" s="31" t="n">
        <v>150</v>
      </c>
      <c r="M1665" s="31">
        <f>I1665+J1665+K1665+L1665</f>
        <v/>
      </c>
      <c r="N1665" s="31">
        <f>M1665*'Dashboard &amp; Optimisation'!$B$18/('Dashboard &amp; Optimisation'!$B$16/3.6)</f>
        <v/>
      </c>
      <c r="O1665" s="31" t="n">
        <v>704.988844380031</v>
      </c>
      <c r="P1665" s="32" t="n">
        <v>0.7768733801634231</v>
      </c>
      <c r="Q1665" s="33" t="n">
        <v>0.2</v>
      </c>
      <c r="R1665" s="31" t="n">
        <v>349.6205414520941</v>
      </c>
      <c r="S1665" s="31">
        <f>R1665*IF(A1665=4, 2.0, 3.0)</f>
        <v/>
      </c>
      <c r="T1665" s="30">
        <f>'Dashboard &amp; Optimisation'!$B$18*U1665</f>
        <v/>
      </c>
      <c r="U1665" s="34">
        <f>MIN(1, S1665/M1665)</f>
        <v/>
      </c>
      <c r="V1665" s="34">
        <f>N1665/(N1665+O1665)</f>
        <v/>
      </c>
      <c r="W1665" s="34">
        <f>U1665*V1665</f>
        <v/>
      </c>
      <c r="X1665" s="32">
        <f>T1665/N1665</f>
        <v/>
      </c>
      <c r="Y1665" s="35">
        <f>IF(W1665=MAXIFS(W$2:W$3601, A$2:A$3601, A1665, B$2:B$3601, B1665), "OPTIMAL", "")</f>
        <v/>
      </c>
    </row>
    <row r="1666" ht="20" customHeight="1">
      <c r="A1666" s="21" t="n">
        <v>4</v>
      </c>
      <c r="B1666" s="21" t="n">
        <v>45</v>
      </c>
      <c r="C1666" s="22" t="n">
        <v>105</v>
      </c>
      <c r="D1666" s="22" t="n">
        <v>3</v>
      </c>
      <c r="E1666" s="23" t="n">
        <v>4</v>
      </c>
      <c r="F1666" s="22" t="n">
        <v>1.5</v>
      </c>
      <c r="G1666" s="23" t="inlineStr">
        <is>
          <t>Oui</t>
        </is>
      </c>
      <c r="H1666" s="23" t="inlineStr">
        <is>
          <t>ON</t>
        </is>
      </c>
      <c r="I1666" s="24" t="n">
        <v>1132.611974342026</v>
      </c>
      <c r="J1666" s="24" t="n">
        <v>6657.967474874614</v>
      </c>
      <c r="K1666" s="24" t="n">
        <v>3166.666666666667</v>
      </c>
      <c r="L1666" s="24" t="n">
        <v>150</v>
      </c>
      <c r="M1666" s="24">
        <f>I1666+J1666+K1666+L1666</f>
        <v/>
      </c>
      <c r="N1666" s="24">
        <f>M1666*'Dashboard &amp; Optimisation'!$B$18/('Dashboard &amp; Optimisation'!$B$16/3.6)</f>
        <v/>
      </c>
      <c r="O1666" s="24" t="n">
        <v>975.3393374102631</v>
      </c>
      <c r="P1666" s="25" t="n">
        <v>0.07189461044958809</v>
      </c>
      <c r="Q1666" s="26" t="n">
        <v>6.521441424527548</v>
      </c>
      <c r="R1666" s="24" t="n">
        <v>3898.227686416035</v>
      </c>
      <c r="S1666" s="24">
        <f>R1666*IF(A1666=4, 2.0, 3.0)</f>
        <v/>
      </c>
      <c r="T1666" s="22">
        <f>'Dashboard &amp; Optimisation'!$B$18*U1666</f>
        <v/>
      </c>
      <c r="U1666" s="27">
        <f>MIN(1, S1666/M1666)</f>
        <v/>
      </c>
      <c r="V1666" s="27">
        <f>N1666/(N1666+O1666)</f>
        <v/>
      </c>
      <c r="W1666" s="27">
        <f>U1666*V1666</f>
        <v/>
      </c>
      <c r="X1666" s="25">
        <f>T1666/N1666</f>
        <v/>
      </c>
      <c r="Y1666" s="28">
        <f>IF(W1666=MAXIFS(W$2:W$3601, A$2:A$3601, A1666, B$2:B$3601, B1666), "OPTIMAL", "")</f>
        <v/>
      </c>
    </row>
    <row r="1667" ht="20" customHeight="1">
      <c r="A1667" s="29" t="n">
        <v>4</v>
      </c>
      <c r="B1667" s="29" t="n">
        <v>45</v>
      </c>
      <c r="C1667" s="30" t="n">
        <v>105</v>
      </c>
      <c r="D1667" s="30" t="n">
        <v>3</v>
      </c>
      <c r="E1667" s="6" t="n">
        <v>4</v>
      </c>
      <c r="F1667" s="30" t="n">
        <v>1.5</v>
      </c>
      <c r="G1667" s="6" t="inlineStr">
        <is>
          <t>Oui</t>
        </is>
      </c>
      <c r="H1667" s="6" t="inlineStr">
        <is>
          <t>OFF</t>
        </is>
      </c>
      <c r="I1667" s="31" t="n">
        <v>1132.611974342026</v>
      </c>
      <c r="J1667" s="31" t="n">
        <v>6657.967474874614</v>
      </c>
      <c r="K1667" s="31" t="n">
        <v>3166.666666666667</v>
      </c>
      <c r="L1667" s="31" t="n">
        <v>150</v>
      </c>
      <c r="M1667" s="31">
        <f>I1667+J1667+K1667+L1667</f>
        <v/>
      </c>
      <c r="N1667" s="31">
        <f>M1667*'Dashboard &amp; Optimisation'!$B$18/('Dashboard &amp; Optimisation'!$B$16/3.6)</f>
        <v/>
      </c>
      <c r="O1667" s="31" t="n">
        <v>975.3393374102631</v>
      </c>
      <c r="P1667" s="32" t="n">
        <v>0.297191423626796</v>
      </c>
      <c r="Q1667" s="33" t="n">
        <v>6.521441424527548</v>
      </c>
      <c r="R1667" s="31" t="n">
        <v>943.0338114690142</v>
      </c>
      <c r="S1667" s="31">
        <f>R1667*IF(A1667=4, 2.0, 3.0)</f>
        <v/>
      </c>
      <c r="T1667" s="30">
        <f>'Dashboard &amp; Optimisation'!$B$18*U1667</f>
        <v/>
      </c>
      <c r="U1667" s="34">
        <f>MIN(1, S1667/M1667)</f>
        <v/>
      </c>
      <c r="V1667" s="34">
        <f>N1667/(N1667+O1667)</f>
        <v/>
      </c>
      <c r="W1667" s="34">
        <f>U1667*V1667</f>
        <v/>
      </c>
      <c r="X1667" s="32">
        <f>T1667/N1667</f>
        <v/>
      </c>
      <c r="Y1667" s="35">
        <f>IF(W1667=MAXIFS(W$2:W$3601, A$2:A$3601, A1667, B$2:B$3601, B1667), "OPTIMAL", "")</f>
        <v/>
      </c>
    </row>
    <row r="1668" ht="20" customHeight="1">
      <c r="A1668" s="21" t="n">
        <v>4</v>
      </c>
      <c r="B1668" s="21" t="n">
        <v>45</v>
      </c>
      <c r="C1668" s="22" t="n">
        <v>105</v>
      </c>
      <c r="D1668" s="22" t="n">
        <v>3</v>
      </c>
      <c r="E1668" s="23" t="n">
        <v>4</v>
      </c>
      <c r="F1668" s="22" t="n">
        <v>1.5</v>
      </c>
      <c r="G1668" s="23" t="inlineStr">
        <is>
          <t>Non</t>
        </is>
      </c>
      <c r="H1668" s="23" t="inlineStr">
        <is>
          <t>ON</t>
        </is>
      </c>
      <c r="I1668" s="24" t="n">
        <v>1132.611974342026</v>
      </c>
      <c r="J1668" s="24" t="n">
        <v>6657.967474874614</v>
      </c>
      <c r="K1668" s="24" t="n">
        <v>3166.666666666667</v>
      </c>
      <c r="L1668" s="24" t="n">
        <v>150</v>
      </c>
      <c r="M1668" s="24">
        <f>I1668+J1668+K1668+L1668</f>
        <v/>
      </c>
      <c r="N1668" s="24">
        <f>M1668*'Dashboard &amp; Optimisation'!$B$18/('Dashboard &amp; Optimisation'!$B$16/3.6)</f>
        <v/>
      </c>
      <c r="O1668" s="24" t="n">
        <v>975.3393374102631</v>
      </c>
      <c r="P1668" s="25" t="n">
        <v>0.06886308772402817</v>
      </c>
      <c r="Q1668" s="26" t="n">
        <v>6.521441424527548</v>
      </c>
      <c r="R1668" s="24" t="n">
        <v>4069.837270176445</v>
      </c>
      <c r="S1668" s="24">
        <f>R1668*IF(A1668=4, 2.0, 3.0)</f>
        <v/>
      </c>
      <c r="T1668" s="22">
        <f>'Dashboard &amp; Optimisation'!$B$18*U1668</f>
        <v/>
      </c>
      <c r="U1668" s="27">
        <f>MIN(1, S1668/M1668)</f>
        <v/>
      </c>
      <c r="V1668" s="27">
        <f>N1668/(N1668+O1668)</f>
        <v/>
      </c>
      <c r="W1668" s="27">
        <f>U1668*V1668</f>
        <v/>
      </c>
      <c r="X1668" s="25">
        <f>T1668/N1668</f>
        <v/>
      </c>
      <c r="Y1668" s="28">
        <f>IF(W1668=MAXIFS(W$2:W$3601, A$2:A$3601, A1668, B$2:B$3601, B1668), "OPTIMAL", "")</f>
        <v/>
      </c>
    </row>
    <row r="1669" ht="20" customHeight="1">
      <c r="A1669" s="29" t="n">
        <v>4</v>
      </c>
      <c r="B1669" s="29" t="n">
        <v>45</v>
      </c>
      <c r="C1669" s="30" t="n">
        <v>105</v>
      </c>
      <c r="D1669" s="30" t="n">
        <v>3</v>
      </c>
      <c r="E1669" s="6" t="n">
        <v>4</v>
      </c>
      <c r="F1669" s="30" t="n">
        <v>1.5</v>
      </c>
      <c r="G1669" s="6" t="inlineStr">
        <is>
          <t>Non</t>
        </is>
      </c>
      <c r="H1669" s="6" t="inlineStr">
        <is>
          <t>OFF</t>
        </is>
      </c>
      <c r="I1669" s="31" t="n">
        <v>1132.611974342026</v>
      </c>
      <c r="J1669" s="31" t="n">
        <v>6657.967474874614</v>
      </c>
      <c r="K1669" s="31" t="n">
        <v>3166.666666666667</v>
      </c>
      <c r="L1669" s="31" t="n">
        <v>150</v>
      </c>
      <c r="M1669" s="31">
        <f>I1669+J1669+K1669+L1669</f>
        <v/>
      </c>
      <c r="N1669" s="31">
        <f>M1669*'Dashboard &amp; Optimisation'!$B$18/('Dashboard &amp; Optimisation'!$B$16/3.6)</f>
        <v/>
      </c>
      <c r="O1669" s="31" t="n">
        <v>975.3393374102631</v>
      </c>
      <c r="P1669" s="32" t="n">
        <v>0.2941599009012361</v>
      </c>
      <c r="Q1669" s="33" t="n">
        <v>6.521441424527548</v>
      </c>
      <c r="R1669" s="31" t="n">
        <v>952.7524319257144</v>
      </c>
      <c r="S1669" s="31">
        <f>R1669*IF(A1669=4, 2.0, 3.0)</f>
        <v/>
      </c>
      <c r="T1669" s="30">
        <f>'Dashboard &amp; Optimisation'!$B$18*U1669</f>
        <v/>
      </c>
      <c r="U1669" s="34">
        <f>MIN(1, S1669/M1669)</f>
        <v/>
      </c>
      <c r="V1669" s="34">
        <f>N1669/(N1669+O1669)</f>
        <v/>
      </c>
      <c r="W1669" s="34">
        <f>U1669*V1669</f>
        <v/>
      </c>
      <c r="X1669" s="32">
        <f>T1669/N1669</f>
        <v/>
      </c>
      <c r="Y1669" s="35">
        <f>IF(W1669=MAXIFS(W$2:W$3601, A$2:A$3601, A1669, B$2:B$3601, B1669), "OPTIMAL", "")</f>
        <v/>
      </c>
    </row>
    <row r="1670" ht="20" customHeight="1">
      <c r="A1670" s="21" t="n">
        <v>4</v>
      </c>
      <c r="B1670" s="21" t="n">
        <v>45</v>
      </c>
      <c r="C1670" s="22" t="n">
        <v>105</v>
      </c>
      <c r="D1670" s="22" t="n">
        <v>3</v>
      </c>
      <c r="E1670" s="23" t="n">
        <v>4</v>
      </c>
      <c r="F1670" s="22" t="n">
        <v>2</v>
      </c>
      <c r="G1670" s="23" t="inlineStr">
        <is>
          <t>Oui</t>
        </is>
      </c>
      <c r="H1670" s="23" t="inlineStr">
        <is>
          <t>ON</t>
        </is>
      </c>
      <c r="I1670" s="24" t="n">
        <v>1132.611974342026</v>
      </c>
      <c r="J1670" s="24" t="n">
        <v>6657.967474874614</v>
      </c>
      <c r="K1670" s="24" t="n">
        <v>3166.666666666667</v>
      </c>
      <c r="L1670" s="24" t="n">
        <v>150</v>
      </c>
      <c r="M1670" s="24">
        <f>I1670+J1670+K1670+L1670</f>
        <v/>
      </c>
      <c r="N1670" s="24">
        <f>M1670*'Dashboard &amp; Optimisation'!$B$18/('Dashboard &amp; Optimisation'!$B$16/3.6)</f>
        <v/>
      </c>
      <c r="O1670" s="24" t="n">
        <v>1069.324133140421</v>
      </c>
      <c r="P1670" s="25" t="n">
        <v>0.06909966512774487</v>
      </c>
      <c r="Q1670" s="26" t="n">
        <v>8.628588566036731</v>
      </c>
      <c r="R1670" s="24" t="n">
        <v>4099.424850574156</v>
      </c>
      <c r="S1670" s="24">
        <f>R1670*IF(A1670=4, 2.0, 3.0)</f>
        <v/>
      </c>
      <c r="T1670" s="22">
        <f>'Dashboard &amp; Optimisation'!$B$18*U1670</f>
        <v/>
      </c>
      <c r="U1670" s="27">
        <f>MIN(1, S1670/M1670)</f>
        <v/>
      </c>
      <c r="V1670" s="27">
        <f>N1670/(N1670+O1670)</f>
        <v/>
      </c>
      <c r="W1670" s="27">
        <f>U1670*V1670</f>
        <v/>
      </c>
      <c r="X1670" s="25">
        <f>T1670/N1670</f>
        <v/>
      </c>
      <c r="Y1670" s="28">
        <f>IF(W1670=MAXIFS(W$2:W$3601, A$2:A$3601, A1670, B$2:B$3601, B1670), "OPTIMAL", "")</f>
        <v/>
      </c>
    </row>
    <row r="1671" ht="20" customHeight="1">
      <c r="A1671" s="29" t="n">
        <v>4</v>
      </c>
      <c r="B1671" s="29" t="n">
        <v>45</v>
      </c>
      <c r="C1671" s="30" t="n">
        <v>105</v>
      </c>
      <c r="D1671" s="30" t="n">
        <v>3</v>
      </c>
      <c r="E1671" s="6" t="n">
        <v>4</v>
      </c>
      <c r="F1671" s="30" t="n">
        <v>2</v>
      </c>
      <c r="G1671" s="6" t="inlineStr">
        <is>
          <t>Oui</t>
        </is>
      </c>
      <c r="H1671" s="6" t="inlineStr">
        <is>
          <t>OFF</t>
        </is>
      </c>
      <c r="I1671" s="31" t="n">
        <v>1132.611974342026</v>
      </c>
      <c r="J1671" s="31" t="n">
        <v>6657.967474874614</v>
      </c>
      <c r="K1671" s="31" t="n">
        <v>3166.666666666667</v>
      </c>
      <c r="L1671" s="31" t="n">
        <v>150</v>
      </c>
      <c r="M1671" s="31">
        <f>I1671+J1671+K1671+L1671</f>
        <v/>
      </c>
      <c r="N1671" s="31">
        <f>M1671*'Dashboard &amp; Optimisation'!$B$18/('Dashboard &amp; Optimisation'!$B$16/3.6)</f>
        <v/>
      </c>
      <c r="O1671" s="31" t="n">
        <v>1069.324133140421</v>
      </c>
      <c r="P1671" s="32" t="n">
        <v>0.2954143944438517</v>
      </c>
      <c r="Q1671" s="33" t="n">
        <v>8.628588566036731</v>
      </c>
      <c r="R1671" s="31" t="n">
        <v>958.8865326766249</v>
      </c>
      <c r="S1671" s="31">
        <f>R1671*IF(A1671=4, 2.0, 3.0)</f>
        <v/>
      </c>
      <c r="T1671" s="30">
        <f>'Dashboard &amp; Optimisation'!$B$18*U1671</f>
        <v/>
      </c>
      <c r="U1671" s="34">
        <f>MIN(1, S1671/M1671)</f>
        <v/>
      </c>
      <c r="V1671" s="34">
        <f>N1671/(N1671+O1671)</f>
        <v/>
      </c>
      <c r="W1671" s="34">
        <f>U1671*V1671</f>
        <v/>
      </c>
      <c r="X1671" s="32">
        <f>T1671/N1671</f>
        <v/>
      </c>
      <c r="Y1671" s="35">
        <f>IF(W1671=MAXIFS(W$2:W$3601, A$2:A$3601, A1671, B$2:B$3601, B1671), "OPTIMAL", "")</f>
        <v/>
      </c>
    </row>
    <row r="1672" ht="20" customHeight="1">
      <c r="A1672" s="21" t="n">
        <v>4</v>
      </c>
      <c r="B1672" s="21" t="n">
        <v>45</v>
      </c>
      <c r="C1672" s="22" t="n">
        <v>105</v>
      </c>
      <c r="D1672" s="22" t="n">
        <v>3</v>
      </c>
      <c r="E1672" s="23" t="n">
        <v>4</v>
      </c>
      <c r="F1672" s="22" t="n">
        <v>2</v>
      </c>
      <c r="G1672" s="23" t="inlineStr">
        <is>
          <t>Non</t>
        </is>
      </c>
      <c r="H1672" s="23" t="inlineStr">
        <is>
          <t>ON</t>
        </is>
      </c>
      <c r="I1672" s="24" t="n">
        <v>1132.611974342026</v>
      </c>
      <c r="J1672" s="24" t="n">
        <v>6657.967474874614</v>
      </c>
      <c r="K1672" s="24" t="n">
        <v>3166.666666666667</v>
      </c>
      <c r="L1672" s="24" t="n">
        <v>150</v>
      </c>
      <c r="M1672" s="24">
        <f>I1672+J1672+K1672+L1672</f>
        <v/>
      </c>
      <c r="N1672" s="24">
        <f>M1672*'Dashboard &amp; Optimisation'!$B$18/('Dashboard &amp; Optimisation'!$B$16/3.6)</f>
        <v/>
      </c>
      <c r="O1672" s="24" t="n">
        <v>1069.324133140421</v>
      </c>
      <c r="P1672" s="25" t="n">
        <v>0.06606814240218496</v>
      </c>
      <c r="Q1672" s="26" t="n">
        <v>8.628588566036731</v>
      </c>
      <c r="R1672" s="24" t="n">
        <v>4287.526091874223</v>
      </c>
      <c r="S1672" s="24">
        <f>R1672*IF(A1672=4, 2.0, 3.0)</f>
        <v/>
      </c>
      <c r="T1672" s="22">
        <f>'Dashboard &amp; Optimisation'!$B$18*U1672</f>
        <v/>
      </c>
      <c r="U1672" s="27">
        <f>MIN(1, S1672/M1672)</f>
        <v/>
      </c>
      <c r="V1672" s="27">
        <f>N1672/(N1672+O1672)</f>
        <v/>
      </c>
      <c r="W1672" s="27">
        <f>U1672*V1672</f>
        <v/>
      </c>
      <c r="X1672" s="25">
        <f>T1672/N1672</f>
        <v/>
      </c>
      <c r="Y1672" s="28">
        <f>IF(W1672=MAXIFS(W$2:W$3601, A$2:A$3601, A1672, B$2:B$3601, B1672), "OPTIMAL", "")</f>
        <v/>
      </c>
    </row>
    <row r="1673" ht="20" customHeight="1">
      <c r="A1673" s="29" t="n">
        <v>4</v>
      </c>
      <c r="B1673" s="29" t="n">
        <v>45</v>
      </c>
      <c r="C1673" s="30" t="n">
        <v>105</v>
      </c>
      <c r="D1673" s="30" t="n">
        <v>3</v>
      </c>
      <c r="E1673" s="6" t="n">
        <v>4</v>
      </c>
      <c r="F1673" s="30" t="n">
        <v>2</v>
      </c>
      <c r="G1673" s="6" t="inlineStr">
        <is>
          <t>Non</t>
        </is>
      </c>
      <c r="H1673" s="6" t="inlineStr">
        <is>
          <t>OFF</t>
        </is>
      </c>
      <c r="I1673" s="31" t="n">
        <v>1132.611974342026</v>
      </c>
      <c r="J1673" s="31" t="n">
        <v>6657.967474874614</v>
      </c>
      <c r="K1673" s="31" t="n">
        <v>3166.666666666667</v>
      </c>
      <c r="L1673" s="31" t="n">
        <v>150</v>
      </c>
      <c r="M1673" s="31">
        <f>I1673+J1673+K1673+L1673</f>
        <v/>
      </c>
      <c r="N1673" s="31">
        <f>M1673*'Dashboard &amp; Optimisation'!$B$18/('Dashboard &amp; Optimisation'!$B$16/3.6)</f>
        <v/>
      </c>
      <c r="O1673" s="31" t="n">
        <v>1069.324133140421</v>
      </c>
      <c r="P1673" s="32" t="n">
        <v>0.2923828717182918</v>
      </c>
      <c r="Q1673" s="33" t="n">
        <v>8.628588566036731</v>
      </c>
      <c r="R1673" s="31" t="n">
        <v>968.8285867304727</v>
      </c>
      <c r="S1673" s="31">
        <f>R1673*IF(A1673=4, 2.0, 3.0)</f>
        <v/>
      </c>
      <c r="T1673" s="30">
        <f>'Dashboard &amp; Optimisation'!$B$18*U1673</f>
        <v/>
      </c>
      <c r="U1673" s="34">
        <f>MIN(1, S1673/M1673)</f>
        <v/>
      </c>
      <c r="V1673" s="34">
        <f>N1673/(N1673+O1673)</f>
        <v/>
      </c>
      <c r="W1673" s="34">
        <f>U1673*V1673</f>
        <v/>
      </c>
      <c r="X1673" s="32">
        <f>T1673/N1673</f>
        <v/>
      </c>
      <c r="Y1673" s="35">
        <f>IF(W1673=MAXIFS(W$2:W$3601, A$2:A$3601, A1673, B$2:B$3601, B1673), "OPTIMAL", "")</f>
        <v/>
      </c>
    </row>
    <row r="1674" ht="20" customHeight="1">
      <c r="A1674" s="21" t="n">
        <v>4</v>
      </c>
      <c r="B1674" s="21" t="n">
        <v>45</v>
      </c>
      <c r="C1674" s="22" t="n">
        <v>105</v>
      </c>
      <c r="D1674" s="22" t="n">
        <v>3</v>
      </c>
      <c r="E1674" s="23" t="n">
        <v>8</v>
      </c>
      <c r="F1674" s="22" t="n">
        <v>1.5</v>
      </c>
      <c r="G1674" s="23" t="inlineStr">
        <is>
          <t>Oui</t>
        </is>
      </c>
      <c r="H1674" s="23" t="inlineStr">
        <is>
          <t>ON</t>
        </is>
      </c>
      <c r="I1674" s="24" t="n">
        <v>1132.611974342026</v>
      </c>
      <c r="J1674" s="24" t="n">
        <v>6657.967474874614</v>
      </c>
      <c r="K1674" s="24" t="n">
        <v>3166.666666666667</v>
      </c>
      <c r="L1674" s="24" t="n">
        <v>150</v>
      </c>
      <c r="M1674" s="24">
        <f>I1674+J1674+K1674+L1674</f>
        <v/>
      </c>
      <c r="N1674" s="24">
        <f>M1674*'Dashboard &amp; Optimisation'!$B$18/('Dashboard &amp; Optimisation'!$B$16/3.6)</f>
        <v/>
      </c>
      <c r="O1674" s="24" t="n">
        <v>1263.477407930433</v>
      </c>
      <c r="P1674" s="25" t="n">
        <v>0.05445758169649494</v>
      </c>
      <c r="Q1674" s="26" t="n">
        <v>12.84288284905509</v>
      </c>
      <c r="R1674" s="24" t="n">
        <v>5315.722578953865</v>
      </c>
      <c r="S1674" s="24">
        <f>R1674*IF(A1674=4, 2.0, 3.0)</f>
        <v/>
      </c>
      <c r="T1674" s="22">
        <f>'Dashboard &amp; Optimisation'!$B$18*U1674</f>
        <v/>
      </c>
      <c r="U1674" s="27">
        <f>MIN(1, S1674/M1674)</f>
        <v/>
      </c>
      <c r="V1674" s="27">
        <f>N1674/(N1674+O1674)</f>
        <v/>
      </c>
      <c r="W1674" s="27">
        <f>U1674*V1674</f>
        <v/>
      </c>
      <c r="X1674" s="25">
        <f>T1674/N1674</f>
        <v/>
      </c>
      <c r="Y1674" s="28">
        <f>IF(W1674=MAXIFS(W$2:W$3601, A$2:A$3601, A1674, B$2:B$3601, B1674), "OPTIMAL", "")</f>
        <v/>
      </c>
    </row>
    <row r="1675" ht="20" customHeight="1">
      <c r="A1675" s="29" t="n">
        <v>4</v>
      </c>
      <c r="B1675" s="29" t="n">
        <v>45</v>
      </c>
      <c r="C1675" s="30" t="n">
        <v>105</v>
      </c>
      <c r="D1675" s="30" t="n">
        <v>3</v>
      </c>
      <c r="E1675" s="6" t="n">
        <v>8</v>
      </c>
      <c r="F1675" s="30" t="n">
        <v>1.5</v>
      </c>
      <c r="G1675" s="6" t="inlineStr">
        <is>
          <t>Oui</t>
        </is>
      </c>
      <c r="H1675" s="6" t="inlineStr">
        <is>
          <t>OFF</t>
        </is>
      </c>
      <c r="I1675" s="31" t="n">
        <v>1132.611974342026</v>
      </c>
      <c r="J1675" s="31" t="n">
        <v>6657.967474874614</v>
      </c>
      <c r="K1675" s="31" t="n">
        <v>3166.666666666667</v>
      </c>
      <c r="L1675" s="31" t="n">
        <v>150</v>
      </c>
      <c r="M1675" s="31">
        <f>I1675+J1675+K1675+L1675</f>
        <v/>
      </c>
      <c r="N1675" s="31">
        <f>M1675*'Dashboard &amp; Optimisation'!$B$18/('Dashboard &amp; Optimisation'!$B$16/3.6)</f>
        <v/>
      </c>
      <c r="O1675" s="31" t="n">
        <v>1263.477407930433</v>
      </c>
      <c r="P1675" s="32" t="n">
        <v>0.233716140989121</v>
      </c>
      <c r="Q1675" s="33" t="n">
        <v>12.84288284905509</v>
      </c>
      <c r="R1675" s="31" t="n">
        <v>1238.602500427035</v>
      </c>
      <c r="S1675" s="31">
        <f>R1675*IF(A1675=4, 2.0, 3.0)</f>
        <v/>
      </c>
      <c r="T1675" s="30">
        <f>'Dashboard &amp; Optimisation'!$B$18*U1675</f>
        <v/>
      </c>
      <c r="U1675" s="34">
        <f>MIN(1, S1675/M1675)</f>
        <v/>
      </c>
      <c r="V1675" s="34">
        <f>N1675/(N1675+O1675)</f>
        <v/>
      </c>
      <c r="W1675" s="34">
        <f>U1675*V1675</f>
        <v/>
      </c>
      <c r="X1675" s="32">
        <f>T1675/N1675</f>
        <v/>
      </c>
      <c r="Y1675" s="35">
        <f>IF(W1675=MAXIFS(W$2:W$3601, A$2:A$3601, A1675, B$2:B$3601, B1675), "OPTIMAL", "")</f>
        <v/>
      </c>
    </row>
    <row r="1676" ht="20" customHeight="1">
      <c r="A1676" s="21" t="n">
        <v>4</v>
      </c>
      <c r="B1676" s="21" t="n">
        <v>45</v>
      </c>
      <c r="C1676" s="22" t="n">
        <v>105</v>
      </c>
      <c r="D1676" s="22" t="n">
        <v>3</v>
      </c>
      <c r="E1676" s="23" t="n">
        <v>8</v>
      </c>
      <c r="F1676" s="22" t="n">
        <v>1.5</v>
      </c>
      <c r="G1676" s="23" t="inlineStr">
        <is>
          <t>Non</t>
        </is>
      </c>
      <c r="H1676" s="23" t="inlineStr">
        <is>
          <t>ON</t>
        </is>
      </c>
      <c r="I1676" s="24" t="n">
        <v>1132.611974342026</v>
      </c>
      <c r="J1676" s="24" t="n">
        <v>6657.967474874614</v>
      </c>
      <c r="K1676" s="24" t="n">
        <v>3166.666666666667</v>
      </c>
      <c r="L1676" s="24" t="n">
        <v>150</v>
      </c>
      <c r="M1676" s="24">
        <f>I1676+J1676+K1676+L1676</f>
        <v/>
      </c>
      <c r="N1676" s="24">
        <f>M1676*'Dashboard &amp; Optimisation'!$B$18/('Dashboard &amp; Optimisation'!$B$16/3.6)</f>
        <v/>
      </c>
      <c r="O1676" s="24" t="n">
        <v>1263.477407930433</v>
      </c>
      <c r="P1676" s="25" t="n">
        <v>0.05142605897093502</v>
      </c>
      <c r="Q1676" s="26" t="n">
        <v>12.84288284905509</v>
      </c>
      <c r="R1676" s="24" t="n">
        <v>5629.079933636212</v>
      </c>
      <c r="S1676" s="24">
        <f>R1676*IF(A1676=4, 2.0, 3.0)</f>
        <v/>
      </c>
      <c r="T1676" s="22">
        <f>'Dashboard &amp; Optimisation'!$B$18*U1676</f>
        <v/>
      </c>
      <c r="U1676" s="27">
        <f>MIN(1, S1676/M1676)</f>
        <v/>
      </c>
      <c r="V1676" s="27">
        <f>N1676/(N1676+O1676)</f>
        <v/>
      </c>
      <c r="W1676" s="27">
        <f>U1676*V1676</f>
        <v/>
      </c>
      <c r="X1676" s="25">
        <f>T1676/N1676</f>
        <v/>
      </c>
      <c r="Y1676" s="28">
        <f>IF(W1676=MAXIFS(W$2:W$3601, A$2:A$3601, A1676, B$2:B$3601, B1676), "OPTIMAL", "")</f>
        <v/>
      </c>
    </row>
    <row r="1677" ht="20" customHeight="1">
      <c r="A1677" s="29" t="n">
        <v>4</v>
      </c>
      <c r="B1677" s="29" t="n">
        <v>45</v>
      </c>
      <c r="C1677" s="30" t="n">
        <v>105</v>
      </c>
      <c r="D1677" s="30" t="n">
        <v>3</v>
      </c>
      <c r="E1677" s="6" t="n">
        <v>8</v>
      </c>
      <c r="F1677" s="30" t="n">
        <v>1.5</v>
      </c>
      <c r="G1677" s="6" t="inlineStr">
        <is>
          <t>Non</t>
        </is>
      </c>
      <c r="H1677" s="6" t="inlineStr">
        <is>
          <t>OFF</t>
        </is>
      </c>
      <c r="I1677" s="31" t="n">
        <v>1132.611974342026</v>
      </c>
      <c r="J1677" s="31" t="n">
        <v>6657.967474874614</v>
      </c>
      <c r="K1677" s="31" t="n">
        <v>3166.666666666667</v>
      </c>
      <c r="L1677" s="31" t="n">
        <v>150</v>
      </c>
      <c r="M1677" s="31">
        <f>I1677+J1677+K1677+L1677</f>
        <v/>
      </c>
      <c r="N1677" s="31">
        <f>M1677*'Dashboard &amp; Optimisation'!$B$18/('Dashboard &amp; Optimisation'!$B$16/3.6)</f>
        <v/>
      </c>
      <c r="O1677" s="31" t="n">
        <v>1263.477407930433</v>
      </c>
      <c r="P1677" s="32" t="n">
        <v>0.2306846182635611</v>
      </c>
      <c r="Q1677" s="33" t="n">
        <v>12.84288284905509</v>
      </c>
      <c r="R1677" s="31" t="n">
        <v>1254.879492175527</v>
      </c>
      <c r="S1677" s="31">
        <f>R1677*IF(A1677=4, 2.0, 3.0)</f>
        <v/>
      </c>
      <c r="T1677" s="30">
        <f>'Dashboard &amp; Optimisation'!$B$18*U1677</f>
        <v/>
      </c>
      <c r="U1677" s="34">
        <f>MIN(1, S1677/M1677)</f>
        <v/>
      </c>
      <c r="V1677" s="34">
        <f>N1677/(N1677+O1677)</f>
        <v/>
      </c>
      <c r="W1677" s="34">
        <f>U1677*V1677</f>
        <v/>
      </c>
      <c r="X1677" s="32">
        <f>T1677/N1677</f>
        <v/>
      </c>
      <c r="Y1677" s="35">
        <f>IF(W1677=MAXIFS(W$2:W$3601, A$2:A$3601, A1677, B$2:B$3601, B1677), "OPTIMAL", "")</f>
        <v/>
      </c>
    </row>
    <row r="1678" ht="20" customHeight="1">
      <c r="A1678" s="21" t="n">
        <v>4</v>
      </c>
      <c r="B1678" s="21" t="n">
        <v>45</v>
      </c>
      <c r="C1678" s="22" t="n">
        <v>105</v>
      </c>
      <c r="D1678" s="22" t="n">
        <v>3</v>
      </c>
      <c r="E1678" s="23" t="n">
        <v>8</v>
      </c>
      <c r="F1678" s="22" t="n">
        <v>2</v>
      </c>
      <c r="G1678" s="23" t="inlineStr">
        <is>
          <t>Oui</t>
        </is>
      </c>
      <c r="H1678" s="23" t="inlineStr">
        <is>
          <t>ON</t>
        </is>
      </c>
      <c r="I1678" s="24" t="n">
        <v>1132.611974342026</v>
      </c>
      <c r="J1678" s="24" t="n">
        <v>6657.967474874614</v>
      </c>
      <c r="K1678" s="24" t="n">
        <v>3166.666666666667</v>
      </c>
      <c r="L1678" s="24" t="n">
        <v>150</v>
      </c>
      <c r="M1678" s="24">
        <f>I1678+J1678+K1678+L1678</f>
        <v/>
      </c>
      <c r="N1678" s="24">
        <f>M1678*'Dashboard &amp; Optimisation'!$B$18/('Dashboard &amp; Optimisation'!$B$16/3.6)</f>
        <v/>
      </c>
      <c r="O1678" s="24" t="n">
        <v>1466.337788674172</v>
      </c>
      <c r="P1678" s="25" t="n">
        <v>0.05316276245002891</v>
      </c>
      <c r="Q1678" s="26" t="n">
        <v>17.05717713207346</v>
      </c>
      <c r="R1678" s="24" t="n">
        <v>5567.290054031124</v>
      </c>
      <c r="S1678" s="24">
        <f>R1678*IF(A1678=4, 2.0, 3.0)</f>
        <v/>
      </c>
      <c r="T1678" s="22">
        <f>'Dashboard &amp; Optimisation'!$B$18*U1678</f>
        <v/>
      </c>
      <c r="U1678" s="27">
        <f>MIN(1, S1678/M1678)</f>
        <v/>
      </c>
      <c r="V1678" s="27">
        <f>N1678/(N1678+O1678)</f>
        <v/>
      </c>
      <c r="W1678" s="27">
        <f>U1678*V1678</f>
        <v/>
      </c>
      <c r="X1678" s="25">
        <f>T1678/N1678</f>
        <v/>
      </c>
      <c r="Y1678" s="28">
        <f>IF(W1678=MAXIFS(W$2:W$3601, A$2:A$3601, A1678, B$2:B$3601, B1678), "OPTIMAL", "")</f>
        <v/>
      </c>
    </row>
    <row r="1679" ht="20" customHeight="1">
      <c r="A1679" s="29" t="n">
        <v>4</v>
      </c>
      <c r="B1679" s="29" t="n">
        <v>45</v>
      </c>
      <c r="C1679" s="30" t="n">
        <v>105</v>
      </c>
      <c r="D1679" s="30" t="n">
        <v>3</v>
      </c>
      <c r="E1679" s="6" t="n">
        <v>8</v>
      </c>
      <c r="F1679" s="30" t="n">
        <v>2</v>
      </c>
      <c r="G1679" s="6" t="inlineStr">
        <is>
          <t>Oui</t>
        </is>
      </c>
      <c r="H1679" s="6" t="inlineStr">
        <is>
          <t>OFF</t>
        </is>
      </c>
      <c r="I1679" s="31" t="n">
        <v>1132.611974342026</v>
      </c>
      <c r="J1679" s="31" t="n">
        <v>6657.967474874614</v>
      </c>
      <c r="K1679" s="31" t="n">
        <v>3166.666666666667</v>
      </c>
      <c r="L1679" s="31" t="n">
        <v>150</v>
      </c>
      <c r="M1679" s="31">
        <f>I1679+J1679+K1679+L1679</f>
        <v/>
      </c>
      <c r="N1679" s="31">
        <f>M1679*'Dashboard &amp; Optimisation'!$B$18/('Dashboard &amp; Optimisation'!$B$16/3.6)</f>
        <v/>
      </c>
      <c r="O1679" s="31" t="n">
        <v>1466.337788674172</v>
      </c>
      <c r="P1679" s="32" t="n">
        <v>0.2337139817442265</v>
      </c>
      <c r="Q1679" s="33" t="n">
        <v>17.05717713207346</v>
      </c>
      <c r="R1679" s="31" t="n">
        <v>1266.387729240665</v>
      </c>
      <c r="S1679" s="31">
        <f>R1679*IF(A1679=4, 2.0, 3.0)</f>
        <v/>
      </c>
      <c r="T1679" s="30">
        <f>'Dashboard &amp; Optimisation'!$B$18*U1679</f>
        <v/>
      </c>
      <c r="U1679" s="34">
        <f>MIN(1, S1679/M1679)</f>
        <v/>
      </c>
      <c r="V1679" s="34">
        <f>N1679/(N1679+O1679)</f>
        <v/>
      </c>
      <c r="W1679" s="34">
        <f>U1679*V1679</f>
        <v/>
      </c>
      <c r="X1679" s="32">
        <f>T1679/N1679</f>
        <v/>
      </c>
      <c r="Y1679" s="35">
        <f>IF(W1679=MAXIFS(W$2:W$3601, A$2:A$3601, A1679, B$2:B$3601, B1679), "OPTIMAL", "")</f>
        <v/>
      </c>
    </row>
    <row r="1680" ht="20" customHeight="1">
      <c r="A1680" s="21" t="n">
        <v>4</v>
      </c>
      <c r="B1680" s="21" t="n">
        <v>45</v>
      </c>
      <c r="C1680" s="22" t="n">
        <v>105</v>
      </c>
      <c r="D1680" s="22" t="n">
        <v>3</v>
      </c>
      <c r="E1680" s="23" t="n">
        <v>8</v>
      </c>
      <c r="F1680" s="22" t="n">
        <v>2</v>
      </c>
      <c r="G1680" s="23" t="inlineStr">
        <is>
          <t>Non</t>
        </is>
      </c>
      <c r="H1680" s="23" t="inlineStr">
        <is>
          <t>ON</t>
        </is>
      </c>
      <c r="I1680" s="24" t="n">
        <v>1132.611974342026</v>
      </c>
      <c r="J1680" s="24" t="n">
        <v>6657.967474874614</v>
      </c>
      <c r="K1680" s="24" t="n">
        <v>3166.666666666667</v>
      </c>
      <c r="L1680" s="24" t="n">
        <v>150</v>
      </c>
      <c r="M1680" s="24">
        <f>I1680+J1680+K1680+L1680</f>
        <v/>
      </c>
      <c r="N1680" s="24">
        <f>M1680*'Dashboard &amp; Optimisation'!$B$18/('Dashboard &amp; Optimisation'!$B$16/3.6)</f>
        <v/>
      </c>
      <c r="O1680" s="24" t="n">
        <v>1466.337788674172</v>
      </c>
      <c r="P1680" s="25" t="n">
        <v>0.050131239724469</v>
      </c>
      <c r="Q1680" s="26" t="n">
        <v>17.05717713207346</v>
      </c>
      <c r="R1680" s="24" t="n">
        <v>5903.953707500305</v>
      </c>
      <c r="S1680" s="24">
        <f>R1680*IF(A1680=4, 2.0, 3.0)</f>
        <v/>
      </c>
      <c r="T1680" s="22">
        <f>'Dashboard &amp; Optimisation'!$B$18*U1680</f>
        <v/>
      </c>
      <c r="U1680" s="27">
        <f>MIN(1, S1680/M1680)</f>
        <v/>
      </c>
      <c r="V1680" s="27">
        <f>N1680/(N1680+O1680)</f>
        <v/>
      </c>
      <c r="W1680" s="27">
        <f>U1680*V1680</f>
        <v/>
      </c>
      <c r="X1680" s="25">
        <f>T1680/N1680</f>
        <v/>
      </c>
      <c r="Y1680" s="28">
        <f>IF(W1680=MAXIFS(W$2:W$3601, A$2:A$3601, A1680, B$2:B$3601, B1680), "OPTIMAL", "")</f>
        <v/>
      </c>
    </row>
    <row r="1681" ht="20" customHeight="1">
      <c r="A1681" s="29" t="n">
        <v>4</v>
      </c>
      <c r="B1681" s="29" t="n">
        <v>45</v>
      </c>
      <c r="C1681" s="30" t="n">
        <v>105</v>
      </c>
      <c r="D1681" s="30" t="n">
        <v>3</v>
      </c>
      <c r="E1681" s="6" t="n">
        <v>8</v>
      </c>
      <c r="F1681" s="30" t="n">
        <v>2</v>
      </c>
      <c r="G1681" s="6" t="inlineStr">
        <is>
          <t>Non</t>
        </is>
      </c>
      <c r="H1681" s="6" t="inlineStr">
        <is>
          <t>OFF</t>
        </is>
      </c>
      <c r="I1681" s="31" t="n">
        <v>1132.611974342026</v>
      </c>
      <c r="J1681" s="31" t="n">
        <v>6657.967474874614</v>
      </c>
      <c r="K1681" s="31" t="n">
        <v>3166.666666666667</v>
      </c>
      <c r="L1681" s="31" t="n">
        <v>150</v>
      </c>
      <c r="M1681" s="31">
        <f>I1681+J1681+K1681+L1681</f>
        <v/>
      </c>
      <c r="N1681" s="31">
        <f>M1681*'Dashboard &amp; Optimisation'!$B$18/('Dashboard &amp; Optimisation'!$B$16/3.6)</f>
        <v/>
      </c>
      <c r="O1681" s="31" t="n">
        <v>1466.337788674172</v>
      </c>
      <c r="P1681" s="32" t="n">
        <v>0.2306824590186666</v>
      </c>
      <c r="Q1681" s="33" t="n">
        <v>17.05717713207346</v>
      </c>
      <c r="R1681" s="31" t="n">
        <v>1283.030014037242</v>
      </c>
      <c r="S1681" s="31">
        <f>R1681*IF(A1681=4, 2.0, 3.0)</f>
        <v/>
      </c>
      <c r="T1681" s="30">
        <f>'Dashboard &amp; Optimisation'!$B$18*U1681</f>
        <v/>
      </c>
      <c r="U1681" s="34">
        <f>MIN(1, S1681/M1681)</f>
        <v/>
      </c>
      <c r="V1681" s="34">
        <f>N1681/(N1681+O1681)</f>
        <v/>
      </c>
      <c r="W1681" s="34">
        <f>U1681*V1681</f>
        <v/>
      </c>
      <c r="X1681" s="32">
        <f>T1681/N1681</f>
        <v/>
      </c>
      <c r="Y1681" s="35">
        <f>IF(W1681=MAXIFS(W$2:W$3601, A$2:A$3601, A1681, B$2:B$3601, B1681), "OPTIMAL", "")</f>
        <v/>
      </c>
    </row>
    <row r="1682" ht="20" customHeight="1">
      <c r="A1682" s="21" t="n">
        <v>4</v>
      </c>
      <c r="B1682" s="21" t="n">
        <v>45</v>
      </c>
      <c r="C1682" s="22" t="n">
        <v>110</v>
      </c>
      <c r="D1682" s="22" t="n">
        <v>2</v>
      </c>
      <c r="E1682" s="23" t="n">
        <v>0</v>
      </c>
      <c r="F1682" s="22" t="n">
        <v>0</v>
      </c>
      <c r="G1682" s="23" t="inlineStr">
        <is>
          <t>Oui</t>
        </is>
      </c>
      <c r="H1682" s="23" t="inlineStr">
        <is>
          <t>ON</t>
        </is>
      </c>
      <c r="I1682" s="24" t="n">
        <v>1132.611974342026</v>
      </c>
      <c r="J1682" s="24" t="n">
        <v>6657.967474874614</v>
      </c>
      <c r="K1682" s="24" t="n">
        <v>3166.666666666667</v>
      </c>
      <c r="L1682" s="24" t="n">
        <v>150</v>
      </c>
      <c r="M1682" s="24">
        <f>I1682+J1682+K1682+L1682</f>
        <v/>
      </c>
      <c r="N1682" s="24">
        <f>M1682*'Dashboard &amp; Optimisation'!$B$18/('Dashboard &amp; Optimisation'!$B$16/3.6)</f>
        <v/>
      </c>
      <c r="O1682" s="24" t="n">
        <v>434.0834500723738</v>
      </c>
      <c r="P1682" s="25" t="n">
        <v>0.4731529974868604</v>
      </c>
      <c r="Q1682" s="26" t="n">
        <v>0.2</v>
      </c>
      <c r="R1682" s="24" t="n">
        <v>500.7307293362153</v>
      </c>
      <c r="S1682" s="24">
        <f>R1682*IF(A1682=4, 2.0, 3.0)</f>
        <v/>
      </c>
      <c r="T1682" s="22">
        <f>'Dashboard &amp; Optimisation'!$B$18*U1682</f>
        <v/>
      </c>
      <c r="U1682" s="27">
        <f>MIN(1, S1682/M1682)</f>
        <v/>
      </c>
      <c r="V1682" s="27">
        <f>N1682/(N1682+O1682)</f>
        <v/>
      </c>
      <c r="W1682" s="27">
        <f>U1682*V1682</f>
        <v/>
      </c>
      <c r="X1682" s="25">
        <f>T1682/N1682</f>
        <v/>
      </c>
      <c r="Y1682" s="28">
        <f>IF(W1682=MAXIFS(W$2:W$3601, A$2:A$3601, A1682, B$2:B$3601, B1682), "OPTIMAL", "")</f>
        <v/>
      </c>
    </row>
    <row r="1683" ht="20" customHeight="1">
      <c r="A1683" s="29" t="n">
        <v>4</v>
      </c>
      <c r="B1683" s="29" t="n">
        <v>45</v>
      </c>
      <c r="C1683" s="30" t="n">
        <v>110</v>
      </c>
      <c r="D1683" s="30" t="n">
        <v>2</v>
      </c>
      <c r="E1683" s="6" t="n">
        <v>0</v>
      </c>
      <c r="F1683" s="30" t="n">
        <v>0</v>
      </c>
      <c r="G1683" s="6" t="inlineStr">
        <is>
          <t>Oui</t>
        </is>
      </c>
      <c r="H1683" s="6" t="inlineStr">
        <is>
          <t>OFF</t>
        </is>
      </c>
      <c r="I1683" s="31" t="n">
        <v>1132.611974342026</v>
      </c>
      <c r="J1683" s="31" t="n">
        <v>6657.967474874614</v>
      </c>
      <c r="K1683" s="31" t="n">
        <v>3166.666666666667</v>
      </c>
      <c r="L1683" s="31" t="n">
        <v>150</v>
      </c>
      <c r="M1683" s="31">
        <f>I1683+J1683+K1683+L1683</f>
        <v/>
      </c>
      <c r="N1683" s="31">
        <f>M1683*'Dashboard &amp; Optimisation'!$B$18/('Dashboard &amp; Optimisation'!$B$16/3.6)</f>
        <v/>
      </c>
      <c r="O1683" s="31" t="n">
        <v>434.0834500723738</v>
      </c>
      <c r="P1683" s="32" t="n">
        <v>0.7625256212903064</v>
      </c>
      <c r="Q1683" s="33" t="n">
        <v>0.2</v>
      </c>
      <c r="R1683" s="31" t="n">
        <v>310.7072587519151</v>
      </c>
      <c r="S1683" s="31">
        <f>R1683*IF(A1683=4, 2.0, 3.0)</f>
        <v/>
      </c>
      <c r="T1683" s="30">
        <f>'Dashboard &amp; Optimisation'!$B$18*U1683</f>
        <v/>
      </c>
      <c r="U1683" s="34">
        <f>MIN(1, S1683/M1683)</f>
        <v/>
      </c>
      <c r="V1683" s="34">
        <f>N1683/(N1683+O1683)</f>
        <v/>
      </c>
      <c r="W1683" s="34">
        <f>U1683*V1683</f>
        <v/>
      </c>
      <c r="X1683" s="32">
        <f>T1683/N1683</f>
        <v/>
      </c>
      <c r="Y1683" s="35">
        <f>IF(W1683=MAXIFS(W$2:W$3601, A$2:A$3601, A1683, B$2:B$3601, B1683), "OPTIMAL", "")</f>
        <v/>
      </c>
    </row>
    <row r="1684" ht="20" customHeight="1">
      <c r="A1684" s="21" t="n">
        <v>4</v>
      </c>
      <c r="B1684" s="21" t="n">
        <v>45</v>
      </c>
      <c r="C1684" s="22" t="n">
        <v>110</v>
      </c>
      <c r="D1684" s="22" t="n">
        <v>2</v>
      </c>
      <c r="E1684" s="23" t="n">
        <v>0</v>
      </c>
      <c r="F1684" s="22" t="n">
        <v>0</v>
      </c>
      <c r="G1684" s="23" t="inlineStr">
        <is>
          <t>Non</t>
        </is>
      </c>
      <c r="H1684" s="23" t="inlineStr">
        <is>
          <t>ON</t>
        </is>
      </c>
      <c r="I1684" s="24" t="n">
        <v>1132.611974342026</v>
      </c>
      <c r="J1684" s="24" t="n">
        <v>6657.967474874614</v>
      </c>
      <c r="K1684" s="24" t="n">
        <v>3166.666666666667</v>
      </c>
      <c r="L1684" s="24" t="n">
        <v>150</v>
      </c>
      <c r="M1684" s="24">
        <f>I1684+J1684+K1684+L1684</f>
        <v/>
      </c>
      <c r="N1684" s="24">
        <f>M1684*'Dashboard &amp; Optimisation'!$B$18/('Dashboard &amp; Optimisation'!$B$16/3.6)</f>
        <v/>
      </c>
      <c r="O1684" s="24" t="n">
        <v>434.0834500723738</v>
      </c>
      <c r="P1684" s="25" t="n">
        <v>0.4702592712488259</v>
      </c>
      <c r="Q1684" s="26" t="n">
        <v>0.2</v>
      </c>
      <c r="R1684" s="24" t="n">
        <v>503.8119607722749</v>
      </c>
      <c r="S1684" s="24">
        <f>R1684*IF(A1684=4, 2.0, 3.0)</f>
        <v/>
      </c>
      <c r="T1684" s="22">
        <f>'Dashboard &amp; Optimisation'!$B$18*U1684</f>
        <v/>
      </c>
      <c r="U1684" s="27">
        <f>MIN(1, S1684/M1684)</f>
        <v/>
      </c>
      <c r="V1684" s="27">
        <f>N1684/(N1684+O1684)</f>
        <v/>
      </c>
      <c r="W1684" s="27">
        <f>U1684*V1684</f>
        <v/>
      </c>
      <c r="X1684" s="25">
        <f>T1684/N1684</f>
        <v/>
      </c>
      <c r="Y1684" s="28">
        <f>IF(W1684=MAXIFS(W$2:W$3601, A$2:A$3601, A1684, B$2:B$3601, B1684), "OPTIMAL", "")</f>
        <v/>
      </c>
    </row>
    <row r="1685" ht="20" customHeight="1">
      <c r="A1685" s="29" t="n">
        <v>4</v>
      </c>
      <c r="B1685" s="29" t="n">
        <v>45</v>
      </c>
      <c r="C1685" s="30" t="n">
        <v>110</v>
      </c>
      <c r="D1685" s="30" t="n">
        <v>2</v>
      </c>
      <c r="E1685" s="6" t="n">
        <v>0</v>
      </c>
      <c r="F1685" s="30" t="n">
        <v>0</v>
      </c>
      <c r="G1685" s="6" t="inlineStr">
        <is>
          <t>Non</t>
        </is>
      </c>
      <c r="H1685" s="6" t="inlineStr">
        <is>
          <t>OFF</t>
        </is>
      </c>
      <c r="I1685" s="31" t="n">
        <v>1132.611974342026</v>
      </c>
      <c r="J1685" s="31" t="n">
        <v>6657.967474874614</v>
      </c>
      <c r="K1685" s="31" t="n">
        <v>3166.666666666667</v>
      </c>
      <c r="L1685" s="31" t="n">
        <v>150</v>
      </c>
      <c r="M1685" s="31">
        <f>I1685+J1685+K1685+L1685</f>
        <v/>
      </c>
      <c r="N1685" s="31">
        <f>M1685*'Dashboard &amp; Optimisation'!$B$18/('Dashboard &amp; Optimisation'!$B$16/3.6)</f>
        <v/>
      </c>
      <c r="O1685" s="31" t="n">
        <v>434.0834500723738</v>
      </c>
      <c r="P1685" s="32" t="n">
        <v>0.759631895052272</v>
      </c>
      <c r="Q1685" s="33" t="n">
        <v>0.2</v>
      </c>
      <c r="R1685" s="31" t="n">
        <v>311.8908606423232</v>
      </c>
      <c r="S1685" s="31">
        <f>R1685*IF(A1685=4, 2.0, 3.0)</f>
        <v/>
      </c>
      <c r="T1685" s="30">
        <f>'Dashboard &amp; Optimisation'!$B$18*U1685</f>
        <v/>
      </c>
      <c r="U1685" s="34">
        <f>MIN(1, S1685/M1685)</f>
        <v/>
      </c>
      <c r="V1685" s="34">
        <f>N1685/(N1685+O1685)</f>
        <v/>
      </c>
      <c r="W1685" s="34">
        <f>U1685*V1685</f>
        <v/>
      </c>
      <c r="X1685" s="32">
        <f>T1685/N1685</f>
        <v/>
      </c>
      <c r="Y1685" s="35">
        <f>IF(W1685=MAXIFS(W$2:W$3601, A$2:A$3601, A1685, B$2:B$3601, B1685), "OPTIMAL", "")</f>
        <v/>
      </c>
    </row>
    <row r="1686" ht="20" customHeight="1">
      <c r="A1686" s="21" t="n">
        <v>4</v>
      </c>
      <c r="B1686" s="21" t="n">
        <v>45</v>
      </c>
      <c r="C1686" s="22" t="n">
        <v>110</v>
      </c>
      <c r="D1686" s="22" t="n">
        <v>2</v>
      </c>
      <c r="E1686" s="23" t="n">
        <v>4</v>
      </c>
      <c r="F1686" s="22" t="n">
        <v>1.5</v>
      </c>
      <c r="G1686" s="23" t="inlineStr">
        <is>
          <t>Oui</t>
        </is>
      </c>
      <c r="H1686" s="23" t="inlineStr">
        <is>
          <t>ON</t>
        </is>
      </c>
      <c r="I1686" s="24" t="n">
        <v>1132.611974342026</v>
      </c>
      <c r="J1686" s="24" t="n">
        <v>6657.967474874614</v>
      </c>
      <c r="K1686" s="24" t="n">
        <v>3166.666666666667</v>
      </c>
      <c r="L1686" s="24" t="n">
        <v>150</v>
      </c>
      <c r="M1686" s="24">
        <f>I1686+J1686+K1686+L1686</f>
        <v/>
      </c>
      <c r="N1686" s="24">
        <f>M1686*'Dashboard &amp; Optimisation'!$B$18/('Dashboard &amp; Optimisation'!$B$16/3.6)</f>
        <v/>
      </c>
      <c r="O1686" s="24" t="n">
        <v>673.8175643905527</v>
      </c>
      <c r="P1686" s="25" t="n">
        <v>0.07062967612279852</v>
      </c>
      <c r="Q1686" s="26" t="n">
        <v>6.103987745549313</v>
      </c>
      <c r="R1686" s="24" t="n">
        <v>3454.001340994502</v>
      </c>
      <c r="S1686" s="24">
        <f>R1686*IF(A1686=4, 2.0, 3.0)</f>
        <v/>
      </c>
      <c r="T1686" s="22">
        <f>'Dashboard &amp; Optimisation'!$B$18*U1686</f>
        <v/>
      </c>
      <c r="U1686" s="27">
        <f>MIN(1, S1686/M1686)</f>
        <v/>
      </c>
      <c r="V1686" s="27">
        <f>N1686/(N1686+O1686)</f>
        <v/>
      </c>
      <c r="W1686" s="27">
        <f>U1686*V1686</f>
        <v/>
      </c>
      <c r="X1686" s="25">
        <f>T1686/N1686</f>
        <v/>
      </c>
      <c r="Y1686" s="28">
        <f>IF(W1686=MAXIFS(W$2:W$3601, A$2:A$3601, A1686, B$2:B$3601, B1686), "OPTIMAL", "")</f>
        <v/>
      </c>
    </row>
    <row r="1687" ht="20" customHeight="1">
      <c r="A1687" s="29" t="n">
        <v>4</v>
      </c>
      <c r="B1687" s="29" t="n">
        <v>45</v>
      </c>
      <c r="C1687" s="30" t="n">
        <v>110</v>
      </c>
      <c r="D1687" s="30" t="n">
        <v>2</v>
      </c>
      <c r="E1687" s="6" t="n">
        <v>4</v>
      </c>
      <c r="F1687" s="30" t="n">
        <v>1.5</v>
      </c>
      <c r="G1687" s="6" t="inlineStr">
        <is>
          <t>Oui</t>
        </is>
      </c>
      <c r="H1687" s="6" t="inlineStr">
        <is>
          <t>OFF</t>
        </is>
      </c>
      <c r="I1687" s="31" t="n">
        <v>1132.611974342026</v>
      </c>
      <c r="J1687" s="31" t="n">
        <v>6657.967474874614</v>
      </c>
      <c r="K1687" s="31" t="n">
        <v>3166.666666666667</v>
      </c>
      <c r="L1687" s="31" t="n">
        <v>150</v>
      </c>
      <c r="M1687" s="31">
        <f>I1687+J1687+K1687+L1687</f>
        <v/>
      </c>
      <c r="N1687" s="31">
        <f>M1687*'Dashboard &amp; Optimisation'!$B$18/('Dashboard &amp; Optimisation'!$B$16/3.6)</f>
        <v/>
      </c>
      <c r="O1687" s="31" t="n">
        <v>673.8175643905527</v>
      </c>
      <c r="P1687" s="32" t="n">
        <v>0.2882258985719243</v>
      </c>
      <c r="Q1687" s="33" t="n">
        <v>6.103987745549313</v>
      </c>
      <c r="R1687" s="31" t="n">
        <v>846.402066056103</v>
      </c>
      <c r="S1687" s="31">
        <f>R1687*IF(A1687=4, 2.0, 3.0)</f>
        <v/>
      </c>
      <c r="T1687" s="30">
        <f>'Dashboard &amp; Optimisation'!$B$18*U1687</f>
        <v/>
      </c>
      <c r="U1687" s="34">
        <f>MIN(1, S1687/M1687)</f>
        <v/>
      </c>
      <c r="V1687" s="34">
        <f>N1687/(N1687+O1687)</f>
        <v/>
      </c>
      <c r="W1687" s="34">
        <f>U1687*V1687</f>
        <v/>
      </c>
      <c r="X1687" s="32">
        <f>T1687/N1687</f>
        <v/>
      </c>
      <c r="Y1687" s="35">
        <f>IF(W1687=MAXIFS(W$2:W$3601, A$2:A$3601, A1687, B$2:B$3601, B1687), "OPTIMAL", "")</f>
        <v/>
      </c>
    </row>
    <row r="1688" ht="20" customHeight="1">
      <c r="A1688" s="21" t="n">
        <v>4</v>
      </c>
      <c r="B1688" s="21" t="n">
        <v>45</v>
      </c>
      <c r="C1688" s="22" t="n">
        <v>110</v>
      </c>
      <c r="D1688" s="22" t="n">
        <v>2</v>
      </c>
      <c r="E1688" s="23" t="n">
        <v>4</v>
      </c>
      <c r="F1688" s="22" t="n">
        <v>1.5</v>
      </c>
      <c r="G1688" s="23" t="inlineStr">
        <is>
          <t>Non</t>
        </is>
      </c>
      <c r="H1688" s="23" t="inlineStr">
        <is>
          <t>ON</t>
        </is>
      </c>
      <c r="I1688" s="24" t="n">
        <v>1132.611974342026</v>
      </c>
      <c r="J1688" s="24" t="n">
        <v>6657.967474874614</v>
      </c>
      <c r="K1688" s="24" t="n">
        <v>3166.666666666667</v>
      </c>
      <c r="L1688" s="24" t="n">
        <v>150</v>
      </c>
      <c r="M1688" s="24">
        <f>I1688+J1688+K1688+L1688</f>
        <v/>
      </c>
      <c r="N1688" s="24">
        <f>M1688*'Dashboard &amp; Optimisation'!$B$18/('Dashboard &amp; Optimisation'!$B$16/3.6)</f>
        <v/>
      </c>
      <c r="O1688" s="24" t="n">
        <v>673.8175643905527</v>
      </c>
      <c r="P1688" s="25" t="n">
        <v>0.06773594988476406</v>
      </c>
      <c r="Q1688" s="26" t="n">
        <v>6.103987745549313</v>
      </c>
      <c r="R1688" s="24" t="n">
        <v>3601.558647323651</v>
      </c>
      <c r="S1688" s="24">
        <f>R1688*IF(A1688=4, 2.0, 3.0)</f>
        <v/>
      </c>
      <c r="T1688" s="22">
        <f>'Dashboard &amp; Optimisation'!$B$18*U1688</f>
        <v/>
      </c>
      <c r="U1688" s="27">
        <f>MIN(1, S1688/M1688)</f>
        <v/>
      </c>
      <c r="V1688" s="27">
        <f>N1688/(N1688+O1688)</f>
        <v/>
      </c>
      <c r="W1688" s="27">
        <f>U1688*V1688</f>
        <v/>
      </c>
      <c r="X1688" s="25">
        <f>T1688/N1688</f>
        <v/>
      </c>
      <c r="Y1688" s="28">
        <f>IF(W1688=MAXIFS(W$2:W$3601, A$2:A$3601, A1688, B$2:B$3601, B1688), "OPTIMAL", "")</f>
        <v/>
      </c>
    </row>
    <row r="1689" ht="20" customHeight="1">
      <c r="A1689" s="29" t="n">
        <v>4</v>
      </c>
      <c r="B1689" s="29" t="n">
        <v>45</v>
      </c>
      <c r="C1689" s="30" t="n">
        <v>110</v>
      </c>
      <c r="D1689" s="30" t="n">
        <v>2</v>
      </c>
      <c r="E1689" s="6" t="n">
        <v>4</v>
      </c>
      <c r="F1689" s="30" t="n">
        <v>1.5</v>
      </c>
      <c r="G1689" s="6" t="inlineStr">
        <is>
          <t>Non</t>
        </is>
      </c>
      <c r="H1689" s="6" t="inlineStr">
        <is>
          <t>OFF</t>
        </is>
      </c>
      <c r="I1689" s="31" t="n">
        <v>1132.611974342026</v>
      </c>
      <c r="J1689" s="31" t="n">
        <v>6657.967474874614</v>
      </c>
      <c r="K1689" s="31" t="n">
        <v>3166.666666666667</v>
      </c>
      <c r="L1689" s="31" t="n">
        <v>150</v>
      </c>
      <c r="M1689" s="31">
        <f>I1689+J1689+K1689+L1689</f>
        <v/>
      </c>
      <c r="N1689" s="31">
        <f>M1689*'Dashboard &amp; Optimisation'!$B$18/('Dashboard &amp; Optimisation'!$B$16/3.6)</f>
        <v/>
      </c>
      <c r="O1689" s="31" t="n">
        <v>673.8175643905527</v>
      </c>
      <c r="P1689" s="32" t="n">
        <v>0.2853321723338898</v>
      </c>
      <c r="Q1689" s="33" t="n">
        <v>6.103987745549313</v>
      </c>
      <c r="R1689" s="31" t="n">
        <v>854.9859416367615</v>
      </c>
      <c r="S1689" s="31">
        <f>R1689*IF(A1689=4, 2.0, 3.0)</f>
        <v/>
      </c>
      <c r="T1689" s="30">
        <f>'Dashboard &amp; Optimisation'!$B$18*U1689</f>
        <v/>
      </c>
      <c r="U1689" s="34">
        <f>MIN(1, S1689/M1689)</f>
        <v/>
      </c>
      <c r="V1689" s="34">
        <f>N1689/(N1689+O1689)</f>
        <v/>
      </c>
      <c r="W1689" s="34">
        <f>U1689*V1689</f>
        <v/>
      </c>
      <c r="X1689" s="32">
        <f>T1689/N1689</f>
        <v/>
      </c>
      <c r="Y1689" s="35">
        <f>IF(W1689=MAXIFS(W$2:W$3601, A$2:A$3601, A1689, B$2:B$3601, B1689), "OPTIMAL", "")</f>
        <v/>
      </c>
    </row>
    <row r="1690" ht="20" customHeight="1">
      <c r="A1690" s="21" t="n">
        <v>4</v>
      </c>
      <c r="B1690" s="21" t="n">
        <v>45</v>
      </c>
      <c r="C1690" s="22" t="n">
        <v>110</v>
      </c>
      <c r="D1690" s="22" t="n">
        <v>2</v>
      </c>
      <c r="E1690" s="23" t="n">
        <v>4</v>
      </c>
      <c r="F1690" s="22" t="n">
        <v>2</v>
      </c>
      <c r="G1690" s="23" t="inlineStr">
        <is>
          <t>Oui</t>
        </is>
      </c>
      <c r="H1690" s="23" t="inlineStr">
        <is>
          <t>ON</t>
        </is>
      </c>
      <c r="I1690" s="24" t="n">
        <v>1132.611974342026</v>
      </c>
      <c r="J1690" s="24" t="n">
        <v>6657.967474874614</v>
      </c>
      <c r="K1690" s="24" t="n">
        <v>3166.666666666667</v>
      </c>
      <c r="L1690" s="24" t="n">
        <v>150</v>
      </c>
      <c r="M1690" s="24">
        <f>I1690+J1690+K1690+L1690</f>
        <v/>
      </c>
      <c r="N1690" s="24">
        <f>M1690*'Dashboard &amp; Optimisation'!$B$18/('Dashboard &amp; Optimisation'!$B$16/3.6)</f>
        <v/>
      </c>
      <c r="O1690" s="24" t="n">
        <v>756.9233061484576</v>
      </c>
      <c r="P1690" s="25" t="n">
        <v>0.06762363614121064</v>
      </c>
      <c r="Q1690" s="26" t="n">
        <v>8.071983660732418</v>
      </c>
      <c r="R1690" s="24" t="n">
        <v>3643.59222798469</v>
      </c>
      <c r="S1690" s="24">
        <f>R1690*IF(A1690=4, 2.0, 3.0)</f>
        <v/>
      </c>
      <c r="T1690" s="22">
        <f>'Dashboard &amp; Optimisation'!$B$18*U1690</f>
        <v/>
      </c>
      <c r="U1690" s="27">
        <f>MIN(1, S1690/M1690)</f>
        <v/>
      </c>
      <c r="V1690" s="27">
        <f>N1690/(N1690+O1690)</f>
        <v/>
      </c>
      <c r="W1690" s="27">
        <f>U1690*V1690</f>
        <v/>
      </c>
      <c r="X1690" s="25">
        <f>T1690/N1690</f>
        <v/>
      </c>
      <c r="Y1690" s="28">
        <f>IF(W1690=MAXIFS(W$2:W$3601, A$2:A$3601, A1690, B$2:B$3601, B1690), "OPTIMAL", "")</f>
        <v/>
      </c>
    </row>
    <row r="1691" ht="20" customHeight="1">
      <c r="A1691" s="29" t="n">
        <v>4</v>
      </c>
      <c r="B1691" s="29" t="n">
        <v>45</v>
      </c>
      <c r="C1691" s="30" t="n">
        <v>110</v>
      </c>
      <c r="D1691" s="30" t="n">
        <v>2</v>
      </c>
      <c r="E1691" s="6" t="n">
        <v>4</v>
      </c>
      <c r="F1691" s="30" t="n">
        <v>2</v>
      </c>
      <c r="G1691" s="6" t="inlineStr">
        <is>
          <t>Oui</t>
        </is>
      </c>
      <c r="H1691" s="6" t="inlineStr">
        <is>
          <t>OFF</t>
        </is>
      </c>
      <c r="I1691" s="31" t="n">
        <v>1132.611974342026</v>
      </c>
      <c r="J1691" s="31" t="n">
        <v>6657.967474874614</v>
      </c>
      <c r="K1691" s="31" t="n">
        <v>3166.666666666667</v>
      </c>
      <c r="L1691" s="31" t="n">
        <v>150</v>
      </c>
      <c r="M1691" s="31">
        <f>I1691+J1691+K1691+L1691</f>
        <v/>
      </c>
      <c r="N1691" s="31">
        <f>M1691*'Dashboard &amp; Optimisation'!$B$18/('Dashboard &amp; Optimisation'!$B$16/3.6)</f>
        <v/>
      </c>
      <c r="O1691" s="31" t="n">
        <v>756.9233061484576</v>
      </c>
      <c r="P1691" s="32" t="n">
        <v>0.2861692165887991</v>
      </c>
      <c r="Q1691" s="33" t="n">
        <v>8.071983660732418</v>
      </c>
      <c r="R1691" s="31" t="n">
        <v>861.0044015538731</v>
      </c>
      <c r="S1691" s="31">
        <f>R1691*IF(A1691=4, 2.0, 3.0)</f>
        <v/>
      </c>
      <c r="T1691" s="30">
        <f>'Dashboard &amp; Optimisation'!$B$18*U1691</f>
        <v/>
      </c>
      <c r="U1691" s="34">
        <f>MIN(1, S1691/M1691)</f>
        <v/>
      </c>
      <c r="V1691" s="34">
        <f>N1691/(N1691+O1691)</f>
        <v/>
      </c>
      <c r="W1691" s="34">
        <f>U1691*V1691</f>
        <v/>
      </c>
      <c r="X1691" s="32">
        <f>T1691/N1691</f>
        <v/>
      </c>
      <c r="Y1691" s="35">
        <f>IF(W1691=MAXIFS(W$2:W$3601, A$2:A$3601, A1691, B$2:B$3601, B1691), "OPTIMAL", "")</f>
        <v/>
      </c>
    </row>
    <row r="1692" ht="20" customHeight="1">
      <c r="A1692" s="21" t="n">
        <v>4</v>
      </c>
      <c r="B1692" s="21" t="n">
        <v>45</v>
      </c>
      <c r="C1692" s="22" t="n">
        <v>110</v>
      </c>
      <c r="D1692" s="22" t="n">
        <v>2</v>
      </c>
      <c r="E1692" s="23" t="n">
        <v>4</v>
      </c>
      <c r="F1692" s="22" t="n">
        <v>2</v>
      </c>
      <c r="G1692" s="23" t="inlineStr">
        <is>
          <t>Non</t>
        </is>
      </c>
      <c r="H1692" s="23" t="inlineStr">
        <is>
          <t>ON</t>
        </is>
      </c>
      <c r="I1692" s="24" t="n">
        <v>1132.611974342026</v>
      </c>
      <c r="J1692" s="24" t="n">
        <v>6657.967474874614</v>
      </c>
      <c r="K1692" s="24" t="n">
        <v>3166.666666666667</v>
      </c>
      <c r="L1692" s="24" t="n">
        <v>150</v>
      </c>
      <c r="M1692" s="24">
        <f>I1692+J1692+K1692+L1692</f>
        <v/>
      </c>
      <c r="N1692" s="24">
        <f>M1692*'Dashboard &amp; Optimisation'!$B$18/('Dashboard &amp; Optimisation'!$B$16/3.6)</f>
        <v/>
      </c>
      <c r="O1692" s="24" t="n">
        <v>756.9233061484576</v>
      </c>
      <c r="P1692" s="25" t="n">
        <v>0.06472990990317617</v>
      </c>
      <c r="Q1692" s="26" t="n">
        <v>8.071983660732418</v>
      </c>
      <c r="R1692" s="24" t="n">
        <v>3806.477645971351</v>
      </c>
      <c r="S1692" s="24">
        <f>R1692*IF(A1692=4, 2.0, 3.0)</f>
        <v/>
      </c>
      <c r="T1692" s="22">
        <f>'Dashboard &amp; Optimisation'!$B$18*U1692</f>
        <v/>
      </c>
      <c r="U1692" s="27">
        <f>MIN(1, S1692/M1692)</f>
        <v/>
      </c>
      <c r="V1692" s="27">
        <f>N1692/(N1692+O1692)</f>
        <v/>
      </c>
      <c r="W1692" s="27">
        <f>U1692*V1692</f>
        <v/>
      </c>
      <c r="X1692" s="25">
        <f>T1692/N1692</f>
        <v/>
      </c>
      <c r="Y1692" s="28">
        <f>IF(W1692=MAXIFS(W$2:W$3601, A$2:A$3601, A1692, B$2:B$3601, B1692), "OPTIMAL", "")</f>
        <v/>
      </c>
    </row>
    <row r="1693" ht="20" customHeight="1">
      <c r="A1693" s="29" t="n">
        <v>4</v>
      </c>
      <c r="B1693" s="29" t="n">
        <v>45</v>
      </c>
      <c r="C1693" s="30" t="n">
        <v>110</v>
      </c>
      <c r="D1693" s="30" t="n">
        <v>2</v>
      </c>
      <c r="E1693" s="6" t="n">
        <v>4</v>
      </c>
      <c r="F1693" s="30" t="n">
        <v>2</v>
      </c>
      <c r="G1693" s="6" t="inlineStr">
        <is>
          <t>Non</t>
        </is>
      </c>
      <c r="H1693" s="6" t="inlineStr">
        <is>
          <t>OFF</t>
        </is>
      </c>
      <c r="I1693" s="31" t="n">
        <v>1132.611974342026</v>
      </c>
      <c r="J1693" s="31" t="n">
        <v>6657.967474874614</v>
      </c>
      <c r="K1693" s="31" t="n">
        <v>3166.666666666667</v>
      </c>
      <c r="L1693" s="31" t="n">
        <v>150</v>
      </c>
      <c r="M1693" s="31">
        <f>I1693+J1693+K1693+L1693</f>
        <v/>
      </c>
      <c r="N1693" s="31">
        <f>M1693*'Dashboard &amp; Optimisation'!$B$18/('Dashboard &amp; Optimisation'!$B$16/3.6)</f>
        <v/>
      </c>
      <c r="O1693" s="31" t="n">
        <v>756.9233061484576</v>
      </c>
      <c r="P1693" s="32" t="n">
        <v>0.2832754903507647</v>
      </c>
      <c r="Q1693" s="33" t="n">
        <v>8.071983660732418</v>
      </c>
      <c r="R1693" s="31" t="n">
        <v>869.7997654759495</v>
      </c>
      <c r="S1693" s="31">
        <f>R1693*IF(A1693=4, 2.0, 3.0)</f>
        <v/>
      </c>
      <c r="T1693" s="30">
        <f>'Dashboard &amp; Optimisation'!$B$18*U1693</f>
        <v/>
      </c>
      <c r="U1693" s="34">
        <f>MIN(1, S1693/M1693)</f>
        <v/>
      </c>
      <c r="V1693" s="34">
        <f>N1693/(N1693+O1693)</f>
        <v/>
      </c>
      <c r="W1693" s="34">
        <f>U1693*V1693</f>
        <v/>
      </c>
      <c r="X1693" s="32">
        <f>T1693/N1693</f>
        <v/>
      </c>
      <c r="Y1693" s="35">
        <f>IF(W1693=MAXIFS(W$2:W$3601, A$2:A$3601, A1693, B$2:B$3601, B1693), "OPTIMAL", "")</f>
        <v/>
      </c>
    </row>
    <row r="1694" ht="20" customHeight="1">
      <c r="A1694" s="21" t="n">
        <v>4</v>
      </c>
      <c r="B1694" s="21" t="n">
        <v>45</v>
      </c>
      <c r="C1694" s="22" t="n">
        <v>110</v>
      </c>
      <c r="D1694" s="22" t="n">
        <v>2</v>
      </c>
      <c r="E1694" s="23" t="n">
        <v>8</v>
      </c>
      <c r="F1694" s="22" t="n">
        <v>1.5</v>
      </c>
      <c r="G1694" s="23" t="inlineStr">
        <is>
          <t>Oui</t>
        </is>
      </c>
      <c r="H1694" s="23" t="inlineStr">
        <is>
          <t>ON</t>
        </is>
      </c>
      <c r="I1694" s="24" t="n">
        <v>1132.611974342026</v>
      </c>
      <c r="J1694" s="24" t="n">
        <v>6657.967474874614</v>
      </c>
      <c r="K1694" s="24" t="n">
        <v>3166.666666666667</v>
      </c>
      <c r="L1694" s="24" t="n">
        <v>150</v>
      </c>
      <c r="M1694" s="24">
        <f>I1694+J1694+K1694+L1694</f>
        <v/>
      </c>
      <c r="N1694" s="24">
        <f>M1694*'Dashboard &amp; Optimisation'!$B$18/('Dashboard &amp; Optimisation'!$B$16/3.6)</f>
        <v/>
      </c>
      <c r="O1694" s="24" t="n">
        <v>928.2195104673373</v>
      </c>
      <c r="P1694" s="25" t="n">
        <v>0.05348631453507773</v>
      </c>
      <c r="Q1694" s="26" t="n">
        <v>12.00797549109863</v>
      </c>
      <c r="R1694" s="24" t="n">
        <v>4700.604982598029</v>
      </c>
      <c r="S1694" s="24">
        <f>R1694*IF(A1694=4, 2.0, 3.0)</f>
        <v/>
      </c>
      <c r="T1694" s="22">
        <f>'Dashboard &amp; Optimisation'!$B$18*U1694</f>
        <v/>
      </c>
      <c r="U1694" s="27">
        <f>MIN(1, S1694/M1694)</f>
        <v/>
      </c>
      <c r="V1694" s="27">
        <f>N1694/(N1694+O1694)</f>
        <v/>
      </c>
      <c r="W1694" s="27">
        <f>U1694*V1694</f>
        <v/>
      </c>
      <c r="X1694" s="25">
        <f>T1694/N1694</f>
        <v/>
      </c>
      <c r="Y1694" s="28">
        <f>IF(W1694=MAXIFS(W$2:W$3601, A$2:A$3601, A1694, B$2:B$3601, B1694), "OPTIMAL", "")</f>
        <v/>
      </c>
    </row>
    <row r="1695" ht="20" customHeight="1">
      <c r="A1695" s="29" t="n">
        <v>4</v>
      </c>
      <c r="B1695" s="29" t="n">
        <v>45</v>
      </c>
      <c r="C1695" s="30" t="n">
        <v>110</v>
      </c>
      <c r="D1695" s="30" t="n">
        <v>2</v>
      </c>
      <c r="E1695" s="6" t="n">
        <v>8</v>
      </c>
      <c r="F1695" s="30" t="n">
        <v>1.5</v>
      </c>
      <c r="G1695" s="6" t="inlineStr">
        <is>
          <t>Oui</t>
        </is>
      </c>
      <c r="H1695" s="6" t="inlineStr">
        <is>
          <t>OFF</t>
        </is>
      </c>
      <c r="I1695" s="31" t="n">
        <v>1132.611974342026</v>
      </c>
      <c r="J1695" s="31" t="n">
        <v>6657.967474874614</v>
      </c>
      <c r="K1695" s="31" t="n">
        <v>3166.666666666667</v>
      </c>
      <c r="L1695" s="31" t="n">
        <v>150</v>
      </c>
      <c r="M1695" s="31">
        <f>I1695+J1695+K1695+L1695</f>
        <v/>
      </c>
      <c r="N1695" s="31">
        <f>M1695*'Dashboard &amp; Optimisation'!$B$18/('Dashboard &amp; Optimisation'!$B$16/3.6)</f>
        <v/>
      </c>
      <c r="O1695" s="31" t="n">
        <v>928.2195104673373</v>
      </c>
      <c r="P1695" s="32" t="n">
        <v>0.2278356335097701</v>
      </c>
      <c r="Q1695" s="33" t="n">
        <v>12.00797549109863</v>
      </c>
      <c r="R1695" s="31" t="n">
        <v>1103.50621073332</v>
      </c>
      <c r="S1695" s="31">
        <f>R1695*IF(A1695=4, 2.0, 3.0)</f>
        <v/>
      </c>
      <c r="T1695" s="30">
        <f>'Dashboard &amp; Optimisation'!$B$18*U1695</f>
        <v/>
      </c>
      <c r="U1695" s="34">
        <f>MIN(1, S1695/M1695)</f>
        <v/>
      </c>
      <c r="V1695" s="34">
        <f>N1695/(N1695+O1695)</f>
        <v/>
      </c>
      <c r="W1695" s="34">
        <f>U1695*V1695</f>
        <v/>
      </c>
      <c r="X1695" s="32">
        <f>T1695/N1695</f>
        <v/>
      </c>
      <c r="Y1695" s="35">
        <f>IF(W1695=MAXIFS(W$2:W$3601, A$2:A$3601, A1695, B$2:B$3601, B1695), "OPTIMAL", "")</f>
        <v/>
      </c>
    </row>
    <row r="1696" ht="20" customHeight="1">
      <c r="A1696" s="21" t="n">
        <v>4</v>
      </c>
      <c r="B1696" s="21" t="n">
        <v>45</v>
      </c>
      <c r="C1696" s="22" t="n">
        <v>110</v>
      </c>
      <c r="D1696" s="22" t="n">
        <v>2</v>
      </c>
      <c r="E1696" s="23" t="n">
        <v>8</v>
      </c>
      <c r="F1696" s="22" t="n">
        <v>1.5</v>
      </c>
      <c r="G1696" s="23" t="inlineStr">
        <is>
          <t>Non</t>
        </is>
      </c>
      <c r="H1696" s="23" t="inlineStr">
        <is>
          <t>ON</t>
        </is>
      </c>
      <c r="I1696" s="24" t="n">
        <v>1132.611974342026</v>
      </c>
      <c r="J1696" s="24" t="n">
        <v>6657.967474874614</v>
      </c>
      <c r="K1696" s="24" t="n">
        <v>3166.666666666667</v>
      </c>
      <c r="L1696" s="24" t="n">
        <v>150</v>
      </c>
      <c r="M1696" s="24">
        <f>I1696+J1696+K1696+L1696</f>
        <v/>
      </c>
      <c r="N1696" s="24">
        <f>M1696*'Dashboard &amp; Optimisation'!$B$18/('Dashboard &amp; Optimisation'!$B$16/3.6)</f>
        <v/>
      </c>
      <c r="O1696" s="24" t="n">
        <v>928.2195104673373</v>
      </c>
      <c r="P1696" s="25" t="n">
        <v>0.05059258829704327</v>
      </c>
      <c r="Q1696" s="26" t="n">
        <v>12.00797549109863</v>
      </c>
      <c r="R1696" s="24" t="n">
        <v>4969.463810158238</v>
      </c>
      <c r="S1696" s="24">
        <f>R1696*IF(A1696=4, 2.0, 3.0)</f>
        <v/>
      </c>
      <c r="T1696" s="22">
        <f>'Dashboard &amp; Optimisation'!$B$18*U1696</f>
        <v/>
      </c>
      <c r="U1696" s="27">
        <f>MIN(1, S1696/M1696)</f>
        <v/>
      </c>
      <c r="V1696" s="27">
        <f>N1696/(N1696+O1696)</f>
        <v/>
      </c>
      <c r="W1696" s="27">
        <f>U1696*V1696</f>
        <v/>
      </c>
      <c r="X1696" s="25">
        <f>T1696/N1696</f>
        <v/>
      </c>
      <c r="Y1696" s="28">
        <f>IF(W1696=MAXIFS(W$2:W$3601, A$2:A$3601, A1696, B$2:B$3601, B1696), "OPTIMAL", "")</f>
        <v/>
      </c>
    </row>
    <row r="1697" ht="20" customHeight="1">
      <c r="A1697" s="29" t="n">
        <v>4</v>
      </c>
      <c r="B1697" s="29" t="n">
        <v>45</v>
      </c>
      <c r="C1697" s="30" t="n">
        <v>110</v>
      </c>
      <c r="D1697" s="30" t="n">
        <v>2</v>
      </c>
      <c r="E1697" s="6" t="n">
        <v>8</v>
      </c>
      <c r="F1697" s="30" t="n">
        <v>1.5</v>
      </c>
      <c r="G1697" s="6" t="inlineStr">
        <is>
          <t>Non</t>
        </is>
      </c>
      <c r="H1697" s="6" t="inlineStr">
        <is>
          <t>OFF</t>
        </is>
      </c>
      <c r="I1697" s="31" t="n">
        <v>1132.611974342026</v>
      </c>
      <c r="J1697" s="31" t="n">
        <v>6657.967474874614</v>
      </c>
      <c r="K1697" s="31" t="n">
        <v>3166.666666666667</v>
      </c>
      <c r="L1697" s="31" t="n">
        <v>150</v>
      </c>
      <c r="M1697" s="31">
        <f>I1697+J1697+K1697+L1697</f>
        <v/>
      </c>
      <c r="N1697" s="31">
        <f>M1697*'Dashboard &amp; Optimisation'!$B$18/('Dashboard &amp; Optimisation'!$B$16/3.6)</f>
        <v/>
      </c>
      <c r="O1697" s="31" t="n">
        <v>928.2195104673373</v>
      </c>
      <c r="P1697" s="32" t="n">
        <v>0.2249419072717356</v>
      </c>
      <c r="Q1697" s="33" t="n">
        <v>12.00797549109863</v>
      </c>
      <c r="R1697" s="31" t="n">
        <v>1117.702075410396</v>
      </c>
      <c r="S1697" s="31">
        <f>R1697*IF(A1697=4, 2.0, 3.0)</f>
        <v/>
      </c>
      <c r="T1697" s="30">
        <f>'Dashboard &amp; Optimisation'!$B$18*U1697</f>
        <v/>
      </c>
      <c r="U1697" s="34">
        <f>MIN(1, S1697/M1697)</f>
        <v/>
      </c>
      <c r="V1697" s="34">
        <f>N1697/(N1697+O1697)</f>
        <v/>
      </c>
      <c r="W1697" s="34">
        <f>U1697*V1697</f>
        <v/>
      </c>
      <c r="X1697" s="32">
        <f>T1697/N1697</f>
        <v/>
      </c>
      <c r="Y1697" s="35">
        <f>IF(W1697=MAXIFS(W$2:W$3601, A$2:A$3601, A1697, B$2:B$3601, B1697), "OPTIMAL", "")</f>
        <v/>
      </c>
    </row>
    <row r="1698" ht="20" customHeight="1">
      <c r="A1698" s="21" t="n">
        <v>4</v>
      </c>
      <c r="B1698" s="21" t="n">
        <v>45</v>
      </c>
      <c r="C1698" s="22" t="n">
        <v>110</v>
      </c>
      <c r="D1698" s="22" t="n">
        <v>2</v>
      </c>
      <c r="E1698" s="23" t="n">
        <v>8</v>
      </c>
      <c r="F1698" s="22" t="n">
        <v>2</v>
      </c>
      <c r="G1698" s="23" t="inlineStr">
        <is>
          <t>Oui</t>
        </is>
      </c>
      <c r="H1698" s="23" t="inlineStr">
        <is>
          <t>ON</t>
        </is>
      </c>
      <c r="I1698" s="24" t="n">
        <v>1132.611974342026</v>
      </c>
      <c r="J1698" s="24" t="n">
        <v>6657.967474874614</v>
      </c>
      <c r="K1698" s="24" t="n">
        <v>3166.666666666667</v>
      </c>
      <c r="L1698" s="24" t="n">
        <v>150</v>
      </c>
      <c r="M1698" s="24">
        <f>I1698+J1698+K1698+L1698</f>
        <v/>
      </c>
      <c r="N1698" s="24">
        <f>M1698*'Dashboard &amp; Optimisation'!$B$18/('Dashboard &amp; Optimisation'!$B$16/3.6)</f>
        <v/>
      </c>
      <c r="O1698" s="24" t="n">
        <v>1106.648208272085</v>
      </c>
      <c r="P1698" s="25" t="n">
        <v>0.05207352280953786</v>
      </c>
      <c r="Q1698" s="26" t="n">
        <v>15.94396732146484</v>
      </c>
      <c r="R1698" s="24" t="n">
        <v>4928.653573963093</v>
      </c>
      <c r="S1698" s="24">
        <f>R1698*IF(A1698=4, 2.0, 3.0)</f>
        <v/>
      </c>
      <c r="T1698" s="22">
        <f>'Dashboard &amp; Optimisation'!$B$18*U1698</f>
        <v/>
      </c>
      <c r="U1698" s="27">
        <f>MIN(1, S1698/M1698)</f>
        <v/>
      </c>
      <c r="V1698" s="27">
        <f>N1698/(N1698+O1698)</f>
        <v/>
      </c>
      <c r="W1698" s="27">
        <f>U1698*V1698</f>
        <v/>
      </c>
      <c r="X1698" s="25">
        <f>T1698/N1698</f>
        <v/>
      </c>
      <c r="Y1698" s="28">
        <f>IF(W1698=MAXIFS(W$2:W$3601, A$2:A$3601, A1698, B$2:B$3601, B1698), "OPTIMAL", "")</f>
        <v/>
      </c>
    </row>
    <row r="1699" ht="20" customHeight="1">
      <c r="A1699" s="29" t="n">
        <v>4</v>
      </c>
      <c r="B1699" s="29" t="n">
        <v>45</v>
      </c>
      <c r="C1699" s="30" t="n">
        <v>110</v>
      </c>
      <c r="D1699" s="30" t="n">
        <v>2</v>
      </c>
      <c r="E1699" s="6" t="n">
        <v>8</v>
      </c>
      <c r="F1699" s="30" t="n">
        <v>2</v>
      </c>
      <c r="G1699" s="6" t="inlineStr">
        <is>
          <t>Oui</t>
        </is>
      </c>
      <c r="H1699" s="6" t="inlineStr">
        <is>
          <t>OFF</t>
        </is>
      </c>
      <c r="I1699" s="31" t="n">
        <v>1132.611974342026</v>
      </c>
      <c r="J1699" s="31" t="n">
        <v>6657.967474874614</v>
      </c>
      <c r="K1699" s="31" t="n">
        <v>3166.666666666667</v>
      </c>
      <c r="L1699" s="31" t="n">
        <v>150</v>
      </c>
      <c r="M1699" s="31">
        <f>I1699+J1699+K1699+L1699</f>
        <v/>
      </c>
      <c r="N1699" s="31">
        <f>M1699*'Dashboard &amp; Optimisation'!$B$18/('Dashboard &amp; Optimisation'!$B$16/3.6)</f>
        <v/>
      </c>
      <c r="O1699" s="31" t="n">
        <v>1106.648208272085</v>
      </c>
      <c r="P1699" s="32" t="n">
        <v>0.2276454001773911</v>
      </c>
      <c r="Q1699" s="33" t="n">
        <v>15.94396732146484</v>
      </c>
      <c r="R1699" s="31" t="n">
        <v>1127.421657121483</v>
      </c>
      <c r="S1699" s="31">
        <f>R1699*IF(A1699=4, 2.0, 3.0)</f>
        <v/>
      </c>
      <c r="T1699" s="30">
        <f>'Dashboard &amp; Optimisation'!$B$18*U1699</f>
        <v/>
      </c>
      <c r="U1699" s="34">
        <f>MIN(1, S1699/M1699)</f>
        <v/>
      </c>
      <c r="V1699" s="34">
        <f>N1699/(N1699+O1699)</f>
        <v/>
      </c>
      <c r="W1699" s="34">
        <f>U1699*V1699</f>
        <v/>
      </c>
      <c r="X1699" s="32">
        <f>T1699/N1699</f>
        <v/>
      </c>
      <c r="Y1699" s="35">
        <f>IF(W1699=MAXIFS(W$2:W$3601, A$2:A$3601, A1699, B$2:B$3601, B1699), "OPTIMAL", "")</f>
        <v/>
      </c>
    </row>
    <row r="1700" ht="20" customHeight="1">
      <c r="A1700" s="21" t="n">
        <v>4</v>
      </c>
      <c r="B1700" s="21" t="n">
        <v>45</v>
      </c>
      <c r="C1700" s="22" t="n">
        <v>110</v>
      </c>
      <c r="D1700" s="22" t="n">
        <v>2</v>
      </c>
      <c r="E1700" s="23" t="n">
        <v>8</v>
      </c>
      <c r="F1700" s="22" t="n">
        <v>2</v>
      </c>
      <c r="G1700" s="23" t="inlineStr">
        <is>
          <t>Non</t>
        </is>
      </c>
      <c r="H1700" s="23" t="inlineStr">
        <is>
          <t>ON</t>
        </is>
      </c>
      <c r="I1700" s="24" t="n">
        <v>1132.611974342026</v>
      </c>
      <c r="J1700" s="24" t="n">
        <v>6657.967474874614</v>
      </c>
      <c r="K1700" s="24" t="n">
        <v>3166.666666666667</v>
      </c>
      <c r="L1700" s="24" t="n">
        <v>150</v>
      </c>
      <c r="M1700" s="24">
        <f>I1700+J1700+K1700+L1700</f>
        <v/>
      </c>
      <c r="N1700" s="24">
        <f>M1700*'Dashboard &amp; Optimisation'!$B$18/('Dashboard &amp; Optimisation'!$B$16/3.6)</f>
        <v/>
      </c>
      <c r="O1700" s="24" t="n">
        <v>1106.648208272085</v>
      </c>
      <c r="P1700" s="25" t="n">
        <v>0.0491797965715034</v>
      </c>
      <c r="Q1700" s="26" t="n">
        <v>15.94396732146484</v>
      </c>
      <c r="R1700" s="24" t="n">
        <v>5218.654248211984</v>
      </c>
      <c r="S1700" s="24">
        <f>R1700*IF(A1700=4, 2.0, 3.0)</f>
        <v/>
      </c>
      <c r="T1700" s="22">
        <f>'Dashboard &amp; Optimisation'!$B$18*U1700</f>
        <v/>
      </c>
      <c r="U1700" s="27">
        <f>MIN(1, S1700/M1700)</f>
        <v/>
      </c>
      <c r="V1700" s="27">
        <f>N1700/(N1700+O1700)</f>
        <v/>
      </c>
      <c r="W1700" s="27">
        <f>U1700*V1700</f>
        <v/>
      </c>
      <c r="X1700" s="25">
        <f>T1700/N1700</f>
        <v/>
      </c>
      <c r="Y1700" s="28">
        <f>IF(W1700=MAXIFS(W$2:W$3601, A$2:A$3601, A1700, B$2:B$3601, B1700), "OPTIMAL", "")</f>
        <v/>
      </c>
    </row>
    <row r="1701" ht="20" customHeight="1">
      <c r="A1701" s="29" t="n">
        <v>4</v>
      </c>
      <c r="B1701" s="29" t="n">
        <v>45</v>
      </c>
      <c r="C1701" s="30" t="n">
        <v>110</v>
      </c>
      <c r="D1701" s="30" t="n">
        <v>2</v>
      </c>
      <c r="E1701" s="6" t="n">
        <v>8</v>
      </c>
      <c r="F1701" s="30" t="n">
        <v>2</v>
      </c>
      <c r="G1701" s="6" t="inlineStr">
        <is>
          <t>Non</t>
        </is>
      </c>
      <c r="H1701" s="6" t="inlineStr">
        <is>
          <t>OFF</t>
        </is>
      </c>
      <c r="I1701" s="31" t="n">
        <v>1132.611974342026</v>
      </c>
      <c r="J1701" s="31" t="n">
        <v>6657.967474874614</v>
      </c>
      <c r="K1701" s="31" t="n">
        <v>3166.666666666667</v>
      </c>
      <c r="L1701" s="31" t="n">
        <v>150</v>
      </c>
      <c r="M1701" s="31">
        <f>I1701+J1701+K1701+L1701</f>
        <v/>
      </c>
      <c r="N1701" s="31">
        <f>M1701*'Dashboard &amp; Optimisation'!$B$18/('Dashboard &amp; Optimisation'!$B$16/3.6)</f>
        <v/>
      </c>
      <c r="O1701" s="31" t="n">
        <v>1106.648208272085</v>
      </c>
      <c r="P1701" s="32" t="n">
        <v>0.2247516739393566</v>
      </c>
      <c r="Q1701" s="33" t="n">
        <v>15.94396732146484</v>
      </c>
      <c r="R1701" s="31" t="n">
        <v>1141.937453926721</v>
      </c>
      <c r="S1701" s="31">
        <f>R1701*IF(A1701=4, 2.0, 3.0)</f>
        <v/>
      </c>
      <c r="T1701" s="30">
        <f>'Dashboard &amp; Optimisation'!$B$18*U1701</f>
        <v/>
      </c>
      <c r="U1701" s="34">
        <f>MIN(1, S1701/M1701)</f>
        <v/>
      </c>
      <c r="V1701" s="34">
        <f>N1701/(N1701+O1701)</f>
        <v/>
      </c>
      <c r="W1701" s="34">
        <f>U1701*V1701</f>
        <v/>
      </c>
      <c r="X1701" s="32">
        <f>T1701/N1701</f>
        <v/>
      </c>
      <c r="Y1701" s="35">
        <f>IF(W1701=MAXIFS(W$2:W$3601, A$2:A$3601, A1701, B$2:B$3601, B1701), "OPTIMAL", "")</f>
        <v/>
      </c>
    </row>
    <row r="1702" ht="20" customHeight="1">
      <c r="A1702" s="21" t="n">
        <v>4</v>
      </c>
      <c r="B1702" s="21" t="n">
        <v>45</v>
      </c>
      <c r="C1702" s="22" t="n">
        <v>110</v>
      </c>
      <c r="D1702" s="22" t="n">
        <v>3</v>
      </c>
      <c r="E1702" s="23" t="n">
        <v>0</v>
      </c>
      <c r="F1702" s="22" t="n">
        <v>0</v>
      </c>
      <c r="G1702" s="23" t="inlineStr">
        <is>
          <t>Oui</t>
        </is>
      </c>
      <c r="H1702" s="23" t="inlineStr">
        <is>
          <t>ON</t>
        </is>
      </c>
      <c r="I1702" s="24" t="n">
        <v>1132.611974342026</v>
      </c>
      <c r="J1702" s="24" t="n">
        <v>6657.967474874614</v>
      </c>
      <c r="K1702" s="24" t="n">
        <v>3166.666666666667</v>
      </c>
      <c r="L1702" s="24" t="n">
        <v>150</v>
      </c>
      <c r="M1702" s="24">
        <f>I1702+J1702+K1702+L1702</f>
        <v/>
      </c>
      <c r="N1702" s="24">
        <f>M1702*'Dashboard &amp; Optimisation'!$B$18/('Dashboard &amp; Optimisation'!$B$16/3.6)</f>
        <v/>
      </c>
      <c r="O1702" s="24" t="n">
        <v>670.1462031768928</v>
      </c>
      <c r="P1702" s="25" t="n">
        <v>0.4731677858497217</v>
      </c>
      <c r="Q1702" s="26" t="n">
        <v>0.2</v>
      </c>
      <c r="R1702" s="24" t="n">
        <v>520.1585275068801</v>
      </c>
      <c r="S1702" s="24">
        <f>R1702*IF(A1702=4, 2.0, 3.0)</f>
        <v/>
      </c>
      <c r="T1702" s="22">
        <f>'Dashboard &amp; Optimisation'!$B$18*U1702</f>
        <v/>
      </c>
      <c r="U1702" s="27">
        <f>MIN(1, S1702/M1702)</f>
        <v/>
      </c>
      <c r="V1702" s="27">
        <f>N1702/(N1702+O1702)</f>
        <v/>
      </c>
      <c r="W1702" s="27">
        <f>U1702*V1702</f>
        <v/>
      </c>
      <c r="X1702" s="25">
        <f>T1702/N1702</f>
        <v/>
      </c>
      <c r="Y1702" s="28">
        <f>IF(W1702=MAXIFS(W$2:W$3601, A$2:A$3601, A1702, B$2:B$3601, B1702), "OPTIMAL", "")</f>
        <v/>
      </c>
    </row>
    <row r="1703" ht="20" customHeight="1">
      <c r="A1703" s="29" t="n">
        <v>4</v>
      </c>
      <c r="B1703" s="29" t="n">
        <v>45</v>
      </c>
      <c r="C1703" s="30" t="n">
        <v>110</v>
      </c>
      <c r="D1703" s="30" t="n">
        <v>3</v>
      </c>
      <c r="E1703" s="6" t="n">
        <v>0</v>
      </c>
      <c r="F1703" s="30" t="n">
        <v>0</v>
      </c>
      <c r="G1703" s="6" t="inlineStr">
        <is>
          <t>Oui</t>
        </is>
      </c>
      <c r="H1703" s="6" t="inlineStr">
        <is>
          <t>OFF</t>
        </is>
      </c>
      <c r="I1703" s="31" t="n">
        <v>1132.611974342026</v>
      </c>
      <c r="J1703" s="31" t="n">
        <v>6657.967474874614</v>
      </c>
      <c r="K1703" s="31" t="n">
        <v>3166.666666666667</v>
      </c>
      <c r="L1703" s="31" t="n">
        <v>150</v>
      </c>
      <c r="M1703" s="31">
        <f>I1703+J1703+K1703+L1703</f>
        <v/>
      </c>
      <c r="N1703" s="31">
        <f>M1703*'Dashboard &amp; Optimisation'!$B$18/('Dashboard &amp; Optimisation'!$B$16/3.6)</f>
        <v/>
      </c>
      <c r="O1703" s="31" t="n">
        <v>670.1462031768928</v>
      </c>
      <c r="P1703" s="32" t="n">
        <v>0.7625404096531678</v>
      </c>
      <c r="Q1703" s="33" t="n">
        <v>0.2</v>
      </c>
      <c r="R1703" s="31" t="n">
        <v>322.7661847628872</v>
      </c>
      <c r="S1703" s="31">
        <f>R1703*IF(A1703=4, 2.0, 3.0)</f>
        <v/>
      </c>
      <c r="T1703" s="30">
        <f>'Dashboard &amp; Optimisation'!$B$18*U1703</f>
        <v/>
      </c>
      <c r="U1703" s="34">
        <f>MIN(1, S1703/M1703)</f>
        <v/>
      </c>
      <c r="V1703" s="34">
        <f>N1703/(N1703+O1703)</f>
        <v/>
      </c>
      <c r="W1703" s="34">
        <f>U1703*V1703</f>
        <v/>
      </c>
      <c r="X1703" s="32">
        <f>T1703/N1703</f>
        <v/>
      </c>
      <c r="Y1703" s="35">
        <f>IF(W1703=MAXIFS(W$2:W$3601, A$2:A$3601, A1703, B$2:B$3601, B1703), "OPTIMAL", "")</f>
        <v/>
      </c>
    </row>
    <row r="1704" ht="20" customHeight="1">
      <c r="A1704" s="21" t="n">
        <v>4</v>
      </c>
      <c r="B1704" s="21" t="n">
        <v>45</v>
      </c>
      <c r="C1704" s="22" t="n">
        <v>110</v>
      </c>
      <c r="D1704" s="22" t="n">
        <v>3</v>
      </c>
      <c r="E1704" s="23" t="n">
        <v>0</v>
      </c>
      <c r="F1704" s="22" t="n">
        <v>0</v>
      </c>
      <c r="G1704" s="23" t="inlineStr">
        <is>
          <t>Non</t>
        </is>
      </c>
      <c r="H1704" s="23" t="inlineStr">
        <is>
          <t>ON</t>
        </is>
      </c>
      <c r="I1704" s="24" t="n">
        <v>1132.611974342026</v>
      </c>
      <c r="J1704" s="24" t="n">
        <v>6657.967474874614</v>
      </c>
      <c r="K1704" s="24" t="n">
        <v>3166.666666666667</v>
      </c>
      <c r="L1704" s="24" t="n">
        <v>150</v>
      </c>
      <c r="M1704" s="24">
        <f>I1704+J1704+K1704+L1704</f>
        <v/>
      </c>
      <c r="N1704" s="24">
        <f>M1704*'Dashboard &amp; Optimisation'!$B$18/('Dashboard &amp; Optimisation'!$B$16/3.6)</f>
        <v/>
      </c>
      <c r="O1704" s="24" t="n">
        <v>670.1462031768928</v>
      </c>
      <c r="P1704" s="25" t="n">
        <v>0.4702740596116872</v>
      </c>
      <c r="Q1704" s="26" t="n">
        <v>0.2</v>
      </c>
      <c r="R1704" s="24" t="n">
        <v>523.3592066602804</v>
      </c>
      <c r="S1704" s="24">
        <f>R1704*IF(A1704=4, 2.0, 3.0)</f>
        <v/>
      </c>
      <c r="T1704" s="22">
        <f>'Dashboard &amp; Optimisation'!$B$18*U1704</f>
        <v/>
      </c>
      <c r="U1704" s="27">
        <f>MIN(1, S1704/M1704)</f>
        <v/>
      </c>
      <c r="V1704" s="27">
        <f>N1704/(N1704+O1704)</f>
        <v/>
      </c>
      <c r="W1704" s="27">
        <f>U1704*V1704</f>
        <v/>
      </c>
      <c r="X1704" s="25">
        <f>T1704/N1704</f>
        <v/>
      </c>
      <c r="Y1704" s="28">
        <f>IF(W1704=MAXIFS(W$2:W$3601, A$2:A$3601, A1704, B$2:B$3601, B1704), "OPTIMAL", "")</f>
        <v/>
      </c>
    </row>
    <row r="1705" ht="20" customHeight="1">
      <c r="A1705" s="29" t="n">
        <v>4</v>
      </c>
      <c r="B1705" s="29" t="n">
        <v>45</v>
      </c>
      <c r="C1705" s="30" t="n">
        <v>110</v>
      </c>
      <c r="D1705" s="30" t="n">
        <v>3</v>
      </c>
      <c r="E1705" s="6" t="n">
        <v>0</v>
      </c>
      <c r="F1705" s="30" t="n">
        <v>0</v>
      </c>
      <c r="G1705" s="6" t="inlineStr">
        <is>
          <t>Non</t>
        </is>
      </c>
      <c r="H1705" s="6" t="inlineStr">
        <is>
          <t>OFF</t>
        </is>
      </c>
      <c r="I1705" s="31" t="n">
        <v>1132.611974342026</v>
      </c>
      <c r="J1705" s="31" t="n">
        <v>6657.967474874614</v>
      </c>
      <c r="K1705" s="31" t="n">
        <v>3166.666666666667</v>
      </c>
      <c r="L1705" s="31" t="n">
        <v>150</v>
      </c>
      <c r="M1705" s="31">
        <f>I1705+J1705+K1705+L1705</f>
        <v/>
      </c>
      <c r="N1705" s="31">
        <f>M1705*'Dashboard &amp; Optimisation'!$B$18/('Dashboard &amp; Optimisation'!$B$16/3.6)</f>
        <v/>
      </c>
      <c r="O1705" s="31" t="n">
        <v>670.1462031768928</v>
      </c>
      <c r="P1705" s="32" t="n">
        <v>0.7596466834151334</v>
      </c>
      <c r="Q1705" s="33" t="n">
        <v>0.2</v>
      </c>
      <c r="R1705" s="31" t="n">
        <v>323.9956997439829</v>
      </c>
      <c r="S1705" s="31">
        <f>R1705*IF(A1705=4, 2.0, 3.0)</f>
        <v/>
      </c>
      <c r="T1705" s="30">
        <f>'Dashboard &amp; Optimisation'!$B$18*U1705</f>
        <v/>
      </c>
      <c r="U1705" s="34">
        <f>MIN(1, S1705/M1705)</f>
        <v/>
      </c>
      <c r="V1705" s="34">
        <f>N1705/(N1705+O1705)</f>
        <v/>
      </c>
      <c r="W1705" s="34">
        <f>U1705*V1705</f>
        <v/>
      </c>
      <c r="X1705" s="32">
        <f>T1705/N1705</f>
        <v/>
      </c>
      <c r="Y1705" s="35">
        <f>IF(W1705=MAXIFS(W$2:W$3601, A$2:A$3601, A1705, B$2:B$3601, B1705), "OPTIMAL", "")</f>
        <v/>
      </c>
    </row>
    <row r="1706" ht="20" customHeight="1">
      <c r="A1706" s="21" t="n">
        <v>4</v>
      </c>
      <c r="B1706" s="21" t="n">
        <v>45</v>
      </c>
      <c r="C1706" s="22" t="n">
        <v>110</v>
      </c>
      <c r="D1706" s="22" t="n">
        <v>3</v>
      </c>
      <c r="E1706" s="23" t="n">
        <v>4</v>
      </c>
      <c r="F1706" s="22" t="n">
        <v>1.5</v>
      </c>
      <c r="G1706" s="23" t="inlineStr">
        <is>
          <t>Oui</t>
        </is>
      </c>
      <c r="H1706" s="23" t="inlineStr">
        <is>
          <t>ON</t>
        </is>
      </c>
      <c r="I1706" s="24" t="n">
        <v>1132.611974342026</v>
      </c>
      <c r="J1706" s="24" t="n">
        <v>6657.967474874614</v>
      </c>
      <c r="K1706" s="24" t="n">
        <v>3166.666666666667</v>
      </c>
      <c r="L1706" s="24" t="n">
        <v>150</v>
      </c>
      <c r="M1706" s="24">
        <f>I1706+J1706+K1706+L1706</f>
        <v/>
      </c>
      <c r="N1706" s="24">
        <f>M1706*'Dashboard &amp; Optimisation'!$B$18/('Dashboard &amp; Optimisation'!$B$16/3.6)</f>
        <v/>
      </c>
      <c r="O1706" s="24" t="n">
        <v>922.9388296388357</v>
      </c>
      <c r="P1706" s="25" t="n">
        <v>0.07040639651024357</v>
      </c>
      <c r="Q1706" s="26" t="n">
        <v>6.217525971425261</v>
      </c>
      <c r="R1706" s="24" t="n">
        <v>3601.559846636902</v>
      </c>
      <c r="S1706" s="24">
        <f>R1706*IF(A1706=4, 2.0, 3.0)</f>
        <v/>
      </c>
      <c r="T1706" s="22">
        <f>'Dashboard &amp; Optimisation'!$B$18*U1706</f>
        <v/>
      </c>
      <c r="U1706" s="27">
        <f>MIN(1, S1706/M1706)</f>
        <v/>
      </c>
      <c r="V1706" s="27">
        <f>N1706/(N1706+O1706)</f>
        <v/>
      </c>
      <c r="W1706" s="27">
        <f>U1706*V1706</f>
        <v/>
      </c>
      <c r="X1706" s="25">
        <f>T1706/N1706</f>
        <v/>
      </c>
      <c r="Y1706" s="28">
        <f>IF(W1706=MAXIFS(W$2:W$3601, A$2:A$3601, A1706, B$2:B$3601, B1706), "OPTIMAL", "")</f>
        <v/>
      </c>
    </row>
    <row r="1707" ht="20" customHeight="1">
      <c r="A1707" s="29" t="n">
        <v>4</v>
      </c>
      <c r="B1707" s="29" t="n">
        <v>45</v>
      </c>
      <c r="C1707" s="30" t="n">
        <v>110</v>
      </c>
      <c r="D1707" s="30" t="n">
        <v>3</v>
      </c>
      <c r="E1707" s="6" t="n">
        <v>4</v>
      </c>
      <c r="F1707" s="30" t="n">
        <v>1.5</v>
      </c>
      <c r="G1707" s="6" t="inlineStr">
        <is>
          <t>Oui</t>
        </is>
      </c>
      <c r="H1707" s="6" t="inlineStr">
        <is>
          <t>OFF</t>
        </is>
      </c>
      <c r="I1707" s="31" t="n">
        <v>1132.611974342026</v>
      </c>
      <c r="J1707" s="31" t="n">
        <v>6657.967474874614</v>
      </c>
      <c r="K1707" s="31" t="n">
        <v>3166.666666666667</v>
      </c>
      <c r="L1707" s="31" t="n">
        <v>150</v>
      </c>
      <c r="M1707" s="31">
        <f>I1707+J1707+K1707+L1707</f>
        <v/>
      </c>
      <c r="N1707" s="31">
        <f>M1707*'Dashboard &amp; Optimisation'!$B$18/('Dashboard &amp; Optimisation'!$B$16/3.6)</f>
        <v/>
      </c>
      <c r="O1707" s="31" t="n">
        <v>922.9388296388357</v>
      </c>
      <c r="P1707" s="32" t="n">
        <v>0.2880026189593694</v>
      </c>
      <c r="Q1707" s="33" t="n">
        <v>6.217525971425261</v>
      </c>
      <c r="R1707" s="31" t="n">
        <v>880.4532803691727</v>
      </c>
      <c r="S1707" s="31">
        <f>R1707*IF(A1707=4, 2.0, 3.0)</f>
        <v/>
      </c>
      <c r="T1707" s="30">
        <f>'Dashboard &amp; Optimisation'!$B$18*U1707</f>
        <v/>
      </c>
      <c r="U1707" s="34">
        <f>MIN(1, S1707/M1707)</f>
        <v/>
      </c>
      <c r="V1707" s="34">
        <f>N1707/(N1707+O1707)</f>
        <v/>
      </c>
      <c r="W1707" s="34">
        <f>U1707*V1707</f>
        <v/>
      </c>
      <c r="X1707" s="32">
        <f>T1707/N1707</f>
        <v/>
      </c>
      <c r="Y1707" s="35">
        <f>IF(W1707=MAXIFS(W$2:W$3601, A$2:A$3601, A1707, B$2:B$3601, B1707), "OPTIMAL", "")</f>
        <v/>
      </c>
    </row>
    <row r="1708" ht="20" customHeight="1">
      <c r="A1708" s="21" t="n">
        <v>4</v>
      </c>
      <c r="B1708" s="21" t="n">
        <v>45</v>
      </c>
      <c r="C1708" s="22" t="n">
        <v>110</v>
      </c>
      <c r="D1708" s="22" t="n">
        <v>3</v>
      </c>
      <c r="E1708" s="23" t="n">
        <v>4</v>
      </c>
      <c r="F1708" s="22" t="n">
        <v>1.5</v>
      </c>
      <c r="G1708" s="23" t="inlineStr">
        <is>
          <t>Non</t>
        </is>
      </c>
      <c r="H1708" s="23" t="inlineStr">
        <is>
          <t>ON</t>
        </is>
      </c>
      <c r="I1708" s="24" t="n">
        <v>1132.611974342026</v>
      </c>
      <c r="J1708" s="24" t="n">
        <v>6657.967474874614</v>
      </c>
      <c r="K1708" s="24" t="n">
        <v>3166.666666666667</v>
      </c>
      <c r="L1708" s="24" t="n">
        <v>150</v>
      </c>
      <c r="M1708" s="24">
        <f>I1708+J1708+K1708+L1708</f>
        <v/>
      </c>
      <c r="N1708" s="24">
        <f>M1708*'Dashboard &amp; Optimisation'!$B$18/('Dashboard &amp; Optimisation'!$B$16/3.6)</f>
        <v/>
      </c>
      <c r="O1708" s="24" t="n">
        <v>922.9388296388357</v>
      </c>
      <c r="P1708" s="25" t="n">
        <v>0.06751267027220911</v>
      </c>
      <c r="Q1708" s="26" t="n">
        <v>6.217525971425261</v>
      </c>
      <c r="R1708" s="24" t="n">
        <v>3755.929806883528</v>
      </c>
      <c r="S1708" s="24">
        <f>R1708*IF(A1708=4, 2.0, 3.0)</f>
        <v/>
      </c>
      <c r="T1708" s="22">
        <f>'Dashboard &amp; Optimisation'!$B$18*U1708</f>
        <v/>
      </c>
      <c r="U1708" s="27">
        <f>MIN(1, S1708/M1708)</f>
        <v/>
      </c>
      <c r="V1708" s="27">
        <f>N1708/(N1708+O1708)</f>
        <v/>
      </c>
      <c r="W1708" s="27">
        <f>U1708*V1708</f>
        <v/>
      </c>
      <c r="X1708" s="25">
        <f>T1708/N1708</f>
        <v/>
      </c>
      <c r="Y1708" s="28">
        <f>IF(W1708=MAXIFS(W$2:W$3601, A$2:A$3601, A1708, B$2:B$3601, B1708), "OPTIMAL", "")</f>
        <v/>
      </c>
    </row>
    <row r="1709" ht="20" customHeight="1">
      <c r="A1709" s="29" t="n">
        <v>4</v>
      </c>
      <c r="B1709" s="29" t="n">
        <v>45</v>
      </c>
      <c r="C1709" s="30" t="n">
        <v>110</v>
      </c>
      <c r="D1709" s="30" t="n">
        <v>3</v>
      </c>
      <c r="E1709" s="6" t="n">
        <v>4</v>
      </c>
      <c r="F1709" s="30" t="n">
        <v>1.5</v>
      </c>
      <c r="G1709" s="6" t="inlineStr">
        <is>
          <t>Non</t>
        </is>
      </c>
      <c r="H1709" s="6" t="inlineStr">
        <is>
          <t>OFF</t>
        </is>
      </c>
      <c r="I1709" s="31" t="n">
        <v>1132.611974342026</v>
      </c>
      <c r="J1709" s="31" t="n">
        <v>6657.967474874614</v>
      </c>
      <c r="K1709" s="31" t="n">
        <v>3166.666666666667</v>
      </c>
      <c r="L1709" s="31" t="n">
        <v>150</v>
      </c>
      <c r="M1709" s="31">
        <f>I1709+J1709+K1709+L1709</f>
        <v/>
      </c>
      <c r="N1709" s="31">
        <f>M1709*'Dashboard &amp; Optimisation'!$B$18/('Dashboard &amp; Optimisation'!$B$16/3.6)</f>
        <v/>
      </c>
      <c r="O1709" s="31" t="n">
        <v>922.9388296388357</v>
      </c>
      <c r="P1709" s="32" t="n">
        <v>0.2851088927213349</v>
      </c>
      <c r="Q1709" s="33" t="n">
        <v>6.217525971425261</v>
      </c>
      <c r="R1709" s="31" t="n">
        <v>889.389482724874</v>
      </c>
      <c r="S1709" s="31">
        <f>R1709*IF(A1709=4, 2.0, 3.0)</f>
        <v/>
      </c>
      <c r="T1709" s="30">
        <f>'Dashboard &amp; Optimisation'!$B$18*U1709</f>
        <v/>
      </c>
      <c r="U1709" s="34">
        <f>MIN(1, S1709/M1709)</f>
        <v/>
      </c>
      <c r="V1709" s="34">
        <f>N1709/(N1709+O1709)</f>
        <v/>
      </c>
      <c r="W1709" s="34">
        <f>U1709*V1709</f>
        <v/>
      </c>
      <c r="X1709" s="32">
        <f>T1709/N1709</f>
        <v/>
      </c>
      <c r="Y1709" s="35">
        <f>IF(W1709=MAXIFS(W$2:W$3601, A$2:A$3601, A1709, B$2:B$3601, B1709), "OPTIMAL", "")</f>
        <v/>
      </c>
    </row>
    <row r="1710" ht="20" customHeight="1">
      <c r="A1710" s="21" t="n">
        <v>4</v>
      </c>
      <c r="B1710" s="21" t="n">
        <v>45</v>
      </c>
      <c r="C1710" s="22" t="n">
        <v>110</v>
      </c>
      <c r="D1710" s="22" t="n">
        <v>3</v>
      </c>
      <c r="E1710" s="23" t="n">
        <v>4</v>
      </c>
      <c r="F1710" s="22" t="n">
        <v>2</v>
      </c>
      <c r="G1710" s="23" t="inlineStr">
        <is>
          <t>Oui</t>
        </is>
      </c>
      <c r="H1710" s="23" t="inlineStr">
        <is>
          <t>ON</t>
        </is>
      </c>
      <c r="I1710" s="24" t="n">
        <v>1132.611974342026</v>
      </c>
      <c r="J1710" s="24" t="n">
        <v>6657.967474874614</v>
      </c>
      <c r="K1710" s="24" t="n">
        <v>3166.666666666667</v>
      </c>
      <c r="L1710" s="24" t="n">
        <v>150</v>
      </c>
      <c r="M1710" s="24">
        <f>I1710+J1710+K1710+L1710</f>
        <v/>
      </c>
      <c r="N1710" s="24">
        <f>M1710*'Dashboard &amp; Optimisation'!$B$18/('Dashboard &amp; Optimisation'!$B$16/3.6)</f>
        <v/>
      </c>
      <c r="O1710" s="24" t="n">
        <v>1010.638826268147</v>
      </c>
      <c r="P1710" s="25" t="n">
        <v>0.06745693940259542</v>
      </c>
      <c r="Q1710" s="26" t="n">
        <v>8.223367961900347</v>
      </c>
      <c r="R1710" s="24" t="n">
        <v>3797.350531394728</v>
      </c>
      <c r="S1710" s="24">
        <f>R1710*IF(A1710=4, 2.0, 3.0)</f>
        <v/>
      </c>
      <c r="T1710" s="22">
        <f>'Dashboard &amp; Optimisation'!$B$18*U1710</f>
        <v/>
      </c>
      <c r="U1710" s="27">
        <f>MIN(1, S1710/M1710)</f>
        <v/>
      </c>
      <c r="V1710" s="27">
        <f>N1710/(N1710+O1710)</f>
        <v/>
      </c>
      <c r="W1710" s="27">
        <f>U1710*V1710</f>
        <v/>
      </c>
      <c r="X1710" s="25">
        <f>T1710/N1710</f>
        <v/>
      </c>
      <c r="Y1710" s="28">
        <f>IF(W1710=MAXIFS(W$2:W$3601, A$2:A$3601, A1710, B$2:B$3601, B1710), "OPTIMAL", "")</f>
        <v/>
      </c>
    </row>
    <row r="1711" ht="20" customHeight="1">
      <c r="A1711" s="29" t="n">
        <v>4</v>
      </c>
      <c r="B1711" s="29" t="n">
        <v>45</v>
      </c>
      <c r="C1711" s="30" t="n">
        <v>110</v>
      </c>
      <c r="D1711" s="30" t="n">
        <v>3</v>
      </c>
      <c r="E1711" s="6" t="n">
        <v>4</v>
      </c>
      <c r="F1711" s="30" t="n">
        <v>2</v>
      </c>
      <c r="G1711" s="6" t="inlineStr">
        <is>
          <t>Oui</t>
        </is>
      </c>
      <c r="H1711" s="6" t="inlineStr">
        <is>
          <t>OFF</t>
        </is>
      </c>
      <c r="I1711" s="31" t="n">
        <v>1132.611974342026</v>
      </c>
      <c r="J1711" s="31" t="n">
        <v>6657.967474874614</v>
      </c>
      <c r="K1711" s="31" t="n">
        <v>3166.666666666667</v>
      </c>
      <c r="L1711" s="31" t="n">
        <v>150</v>
      </c>
      <c r="M1711" s="31">
        <f>I1711+J1711+K1711+L1711</f>
        <v/>
      </c>
      <c r="N1711" s="31">
        <f>M1711*'Dashboard &amp; Optimisation'!$B$18/('Dashboard &amp; Optimisation'!$B$16/3.6)</f>
        <v/>
      </c>
      <c r="O1711" s="31" t="n">
        <v>1010.638826268147</v>
      </c>
      <c r="P1711" s="32" t="n">
        <v>0.286002519850184</v>
      </c>
      <c r="Q1711" s="33" t="n">
        <v>8.223367961900347</v>
      </c>
      <c r="R1711" s="31" t="n">
        <v>895.6482090468647</v>
      </c>
      <c r="S1711" s="31">
        <f>R1711*IF(A1711=4, 2.0, 3.0)</f>
        <v/>
      </c>
      <c r="T1711" s="30">
        <f>'Dashboard &amp; Optimisation'!$B$18*U1711</f>
        <v/>
      </c>
      <c r="U1711" s="34">
        <f>MIN(1, S1711/M1711)</f>
        <v/>
      </c>
      <c r="V1711" s="34">
        <f>N1711/(N1711+O1711)</f>
        <v/>
      </c>
      <c r="W1711" s="34">
        <f>U1711*V1711</f>
        <v/>
      </c>
      <c r="X1711" s="32">
        <f>T1711/N1711</f>
        <v/>
      </c>
      <c r="Y1711" s="35">
        <f>IF(W1711=MAXIFS(W$2:W$3601, A$2:A$3601, A1711, B$2:B$3601, B1711), "OPTIMAL", "")</f>
        <v/>
      </c>
    </row>
    <row r="1712" ht="20" customHeight="1">
      <c r="A1712" s="21" t="n">
        <v>4</v>
      </c>
      <c r="B1712" s="21" t="n">
        <v>45</v>
      </c>
      <c r="C1712" s="22" t="n">
        <v>110</v>
      </c>
      <c r="D1712" s="22" t="n">
        <v>3</v>
      </c>
      <c r="E1712" s="23" t="n">
        <v>4</v>
      </c>
      <c r="F1712" s="22" t="n">
        <v>2</v>
      </c>
      <c r="G1712" s="23" t="inlineStr">
        <is>
          <t>Non</t>
        </is>
      </c>
      <c r="H1712" s="23" t="inlineStr">
        <is>
          <t>ON</t>
        </is>
      </c>
      <c r="I1712" s="24" t="n">
        <v>1132.611974342026</v>
      </c>
      <c r="J1712" s="24" t="n">
        <v>6657.967474874614</v>
      </c>
      <c r="K1712" s="24" t="n">
        <v>3166.666666666667</v>
      </c>
      <c r="L1712" s="24" t="n">
        <v>150</v>
      </c>
      <c r="M1712" s="24">
        <f>I1712+J1712+K1712+L1712</f>
        <v/>
      </c>
      <c r="N1712" s="24">
        <f>M1712*'Dashboard &amp; Optimisation'!$B$18/('Dashboard &amp; Optimisation'!$B$16/3.6)</f>
        <v/>
      </c>
      <c r="O1712" s="24" t="n">
        <v>1010.638826268147</v>
      </c>
      <c r="P1712" s="25" t="n">
        <v>0.06456321316456097</v>
      </c>
      <c r="Q1712" s="26" t="n">
        <v>8.223367961900347</v>
      </c>
      <c r="R1712" s="24" t="n">
        <v>3967.547960071382</v>
      </c>
      <c r="S1712" s="24">
        <f>R1712*IF(A1712=4, 2.0, 3.0)</f>
        <v/>
      </c>
      <c r="T1712" s="22">
        <f>'Dashboard &amp; Optimisation'!$B$18*U1712</f>
        <v/>
      </c>
      <c r="U1712" s="27">
        <f>MIN(1, S1712/M1712)</f>
        <v/>
      </c>
      <c r="V1712" s="27">
        <f>N1712/(N1712+O1712)</f>
        <v/>
      </c>
      <c r="W1712" s="27">
        <f>U1712*V1712</f>
        <v/>
      </c>
      <c r="X1712" s="25">
        <f>T1712/N1712</f>
        <v/>
      </c>
      <c r="Y1712" s="28">
        <f>IF(W1712=MAXIFS(W$2:W$3601, A$2:A$3601, A1712, B$2:B$3601, B1712), "OPTIMAL", "")</f>
        <v/>
      </c>
    </row>
    <row r="1713" ht="20" customHeight="1">
      <c r="A1713" s="29" t="n">
        <v>4</v>
      </c>
      <c r="B1713" s="29" t="n">
        <v>45</v>
      </c>
      <c r="C1713" s="30" t="n">
        <v>110</v>
      </c>
      <c r="D1713" s="30" t="n">
        <v>3</v>
      </c>
      <c r="E1713" s="6" t="n">
        <v>4</v>
      </c>
      <c r="F1713" s="30" t="n">
        <v>2</v>
      </c>
      <c r="G1713" s="6" t="inlineStr">
        <is>
          <t>Non</t>
        </is>
      </c>
      <c r="H1713" s="6" t="inlineStr">
        <is>
          <t>OFF</t>
        </is>
      </c>
      <c r="I1713" s="31" t="n">
        <v>1132.611974342026</v>
      </c>
      <c r="J1713" s="31" t="n">
        <v>6657.967474874614</v>
      </c>
      <c r="K1713" s="31" t="n">
        <v>3166.666666666667</v>
      </c>
      <c r="L1713" s="31" t="n">
        <v>150</v>
      </c>
      <c r="M1713" s="31">
        <f>I1713+J1713+K1713+L1713</f>
        <v/>
      </c>
      <c r="N1713" s="31">
        <f>M1713*'Dashboard &amp; Optimisation'!$B$18/('Dashboard &amp; Optimisation'!$B$16/3.6)</f>
        <v/>
      </c>
      <c r="O1713" s="31" t="n">
        <v>1010.638826268147</v>
      </c>
      <c r="P1713" s="32" t="n">
        <v>0.2831087936121495</v>
      </c>
      <c r="Q1713" s="33" t="n">
        <v>8.223367961900347</v>
      </c>
      <c r="R1713" s="31" t="n">
        <v>904.8028548263177</v>
      </c>
      <c r="S1713" s="31">
        <f>R1713*IF(A1713=4, 2.0, 3.0)</f>
        <v/>
      </c>
      <c r="T1713" s="30">
        <f>'Dashboard &amp; Optimisation'!$B$18*U1713</f>
        <v/>
      </c>
      <c r="U1713" s="34">
        <f>MIN(1, S1713/M1713)</f>
        <v/>
      </c>
      <c r="V1713" s="34">
        <f>N1713/(N1713+O1713)</f>
        <v/>
      </c>
      <c r="W1713" s="34">
        <f>U1713*V1713</f>
        <v/>
      </c>
      <c r="X1713" s="32">
        <f>T1713/N1713</f>
        <v/>
      </c>
      <c r="Y1713" s="35">
        <f>IF(W1713=MAXIFS(W$2:W$3601, A$2:A$3601, A1713, B$2:B$3601, B1713), "OPTIMAL", "")</f>
        <v/>
      </c>
    </row>
    <row r="1714" ht="20" customHeight="1">
      <c r="A1714" s="21" t="n">
        <v>4</v>
      </c>
      <c r="B1714" s="21" t="n">
        <v>45</v>
      </c>
      <c r="C1714" s="22" t="n">
        <v>110</v>
      </c>
      <c r="D1714" s="22" t="n">
        <v>3</v>
      </c>
      <c r="E1714" s="23" t="n">
        <v>8</v>
      </c>
      <c r="F1714" s="22" t="n">
        <v>1.5</v>
      </c>
      <c r="G1714" s="23" t="inlineStr">
        <is>
          <t>Oui</t>
        </is>
      </c>
      <c r="H1714" s="23" t="inlineStr">
        <is>
          <t>ON</t>
        </is>
      </c>
      <c r="I1714" s="24" t="n">
        <v>1132.611974342026</v>
      </c>
      <c r="J1714" s="24" t="n">
        <v>6657.967474874614</v>
      </c>
      <c r="K1714" s="24" t="n">
        <v>3166.666666666667</v>
      </c>
      <c r="L1714" s="24" t="n">
        <v>150</v>
      </c>
      <c r="M1714" s="24">
        <f>I1714+J1714+K1714+L1714</f>
        <v/>
      </c>
      <c r="N1714" s="24">
        <f>M1714*'Dashboard &amp; Optimisation'!$B$18/('Dashboard &amp; Optimisation'!$B$16/3.6)</f>
        <v/>
      </c>
      <c r="O1714" s="24" t="n">
        <v>1191.514265272792</v>
      </c>
      <c r="P1714" s="25" t="n">
        <v>0.05337810813348487</v>
      </c>
      <c r="Q1714" s="26" t="n">
        <v>12.23505194285052</v>
      </c>
      <c r="R1714" s="24" t="n">
        <v>4898.798787262651</v>
      </c>
      <c r="S1714" s="24">
        <f>R1714*IF(A1714=4, 2.0, 3.0)</f>
        <v/>
      </c>
      <c r="T1714" s="22">
        <f>'Dashboard &amp; Optimisation'!$B$18*U1714</f>
        <v/>
      </c>
      <c r="U1714" s="27">
        <f>MIN(1, S1714/M1714)</f>
        <v/>
      </c>
      <c r="V1714" s="27">
        <f>N1714/(N1714+O1714)</f>
        <v/>
      </c>
      <c r="W1714" s="27">
        <f>U1714*V1714</f>
        <v/>
      </c>
      <c r="X1714" s="25">
        <f>T1714/N1714</f>
        <v/>
      </c>
      <c r="Y1714" s="28">
        <f>IF(W1714=MAXIFS(W$2:W$3601, A$2:A$3601, A1714, B$2:B$3601, B1714), "OPTIMAL", "")</f>
        <v/>
      </c>
    </row>
    <row r="1715" ht="20" customHeight="1">
      <c r="A1715" s="29" t="n">
        <v>4</v>
      </c>
      <c r="B1715" s="29" t="n">
        <v>45</v>
      </c>
      <c r="C1715" s="30" t="n">
        <v>110</v>
      </c>
      <c r="D1715" s="30" t="n">
        <v>3</v>
      </c>
      <c r="E1715" s="6" t="n">
        <v>8</v>
      </c>
      <c r="F1715" s="30" t="n">
        <v>1.5</v>
      </c>
      <c r="G1715" s="6" t="inlineStr">
        <is>
          <t>Oui</t>
        </is>
      </c>
      <c r="H1715" s="6" t="inlineStr">
        <is>
          <t>OFF</t>
        </is>
      </c>
      <c r="I1715" s="31" t="n">
        <v>1132.611974342026</v>
      </c>
      <c r="J1715" s="31" t="n">
        <v>6657.967474874614</v>
      </c>
      <c r="K1715" s="31" t="n">
        <v>3166.666666666667</v>
      </c>
      <c r="L1715" s="31" t="n">
        <v>150</v>
      </c>
      <c r="M1715" s="31">
        <f>I1715+J1715+K1715+L1715</f>
        <v/>
      </c>
      <c r="N1715" s="31">
        <f>M1715*'Dashboard &amp; Optimisation'!$B$18/('Dashboard &amp; Optimisation'!$B$16/3.6)</f>
        <v/>
      </c>
      <c r="O1715" s="31" t="n">
        <v>1191.514265272792</v>
      </c>
      <c r="P1715" s="32" t="n">
        <v>0.2277274271081772</v>
      </c>
      <c r="Q1715" s="33" t="n">
        <v>12.23505194285052</v>
      </c>
      <c r="R1715" s="31" t="n">
        <v>1148.252604928767</v>
      </c>
      <c r="S1715" s="31">
        <f>R1715*IF(A1715=4, 2.0, 3.0)</f>
        <v/>
      </c>
      <c r="T1715" s="30">
        <f>'Dashboard &amp; Optimisation'!$B$18*U1715</f>
        <v/>
      </c>
      <c r="U1715" s="34">
        <f>MIN(1, S1715/M1715)</f>
        <v/>
      </c>
      <c r="V1715" s="34">
        <f>N1715/(N1715+O1715)</f>
        <v/>
      </c>
      <c r="W1715" s="34">
        <f>U1715*V1715</f>
        <v/>
      </c>
      <c r="X1715" s="32">
        <f>T1715/N1715</f>
        <v/>
      </c>
      <c r="Y1715" s="35">
        <f>IF(W1715=MAXIFS(W$2:W$3601, A$2:A$3601, A1715, B$2:B$3601, B1715), "OPTIMAL", "")</f>
        <v/>
      </c>
    </row>
    <row r="1716" ht="20" customHeight="1">
      <c r="A1716" s="21" t="n">
        <v>4</v>
      </c>
      <c r="B1716" s="21" t="n">
        <v>45</v>
      </c>
      <c r="C1716" s="22" t="n">
        <v>110</v>
      </c>
      <c r="D1716" s="22" t="n">
        <v>3</v>
      </c>
      <c r="E1716" s="23" t="n">
        <v>8</v>
      </c>
      <c r="F1716" s="22" t="n">
        <v>1.5</v>
      </c>
      <c r="G1716" s="23" t="inlineStr">
        <is>
          <t>Non</t>
        </is>
      </c>
      <c r="H1716" s="23" t="inlineStr">
        <is>
          <t>ON</t>
        </is>
      </c>
      <c r="I1716" s="24" t="n">
        <v>1132.611974342026</v>
      </c>
      <c r="J1716" s="24" t="n">
        <v>6657.967474874614</v>
      </c>
      <c r="K1716" s="24" t="n">
        <v>3166.666666666667</v>
      </c>
      <c r="L1716" s="24" t="n">
        <v>150</v>
      </c>
      <c r="M1716" s="24">
        <f>I1716+J1716+K1716+L1716</f>
        <v/>
      </c>
      <c r="N1716" s="24">
        <f>M1716*'Dashboard &amp; Optimisation'!$B$18/('Dashboard &amp; Optimisation'!$B$16/3.6)</f>
        <v/>
      </c>
      <c r="O1716" s="24" t="n">
        <v>1191.514265272792</v>
      </c>
      <c r="P1716" s="25" t="n">
        <v>0.05048438189545042</v>
      </c>
      <c r="Q1716" s="26" t="n">
        <v>12.23505194285052</v>
      </c>
      <c r="R1716" s="24" t="n">
        <v>5179.594194739568</v>
      </c>
      <c r="S1716" s="24">
        <f>R1716*IF(A1716=4, 2.0, 3.0)</f>
        <v/>
      </c>
      <c r="T1716" s="22">
        <f>'Dashboard &amp; Optimisation'!$B$18*U1716</f>
        <v/>
      </c>
      <c r="U1716" s="27">
        <f>MIN(1, S1716/M1716)</f>
        <v/>
      </c>
      <c r="V1716" s="27">
        <f>N1716/(N1716+O1716)</f>
        <v/>
      </c>
      <c r="W1716" s="27">
        <f>U1716*V1716</f>
        <v/>
      </c>
      <c r="X1716" s="25">
        <f>T1716/N1716</f>
        <v/>
      </c>
      <c r="Y1716" s="28">
        <f>IF(W1716=MAXIFS(W$2:W$3601, A$2:A$3601, A1716, B$2:B$3601, B1716), "OPTIMAL", "")</f>
        <v/>
      </c>
    </row>
    <row r="1717" ht="20" customHeight="1">
      <c r="A1717" s="29" t="n">
        <v>4</v>
      </c>
      <c r="B1717" s="29" t="n">
        <v>45</v>
      </c>
      <c r="C1717" s="30" t="n">
        <v>110</v>
      </c>
      <c r="D1717" s="30" t="n">
        <v>3</v>
      </c>
      <c r="E1717" s="6" t="n">
        <v>8</v>
      </c>
      <c r="F1717" s="30" t="n">
        <v>1.5</v>
      </c>
      <c r="G1717" s="6" t="inlineStr">
        <is>
          <t>Non</t>
        </is>
      </c>
      <c r="H1717" s="6" t="inlineStr">
        <is>
          <t>OFF</t>
        </is>
      </c>
      <c r="I1717" s="31" t="n">
        <v>1132.611974342026</v>
      </c>
      <c r="J1717" s="31" t="n">
        <v>6657.967474874614</v>
      </c>
      <c r="K1717" s="31" t="n">
        <v>3166.666666666667</v>
      </c>
      <c r="L1717" s="31" t="n">
        <v>150</v>
      </c>
      <c r="M1717" s="31">
        <f>I1717+J1717+K1717+L1717</f>
        <v/>
      </c>
      <c r="N1717" s="31">
        <f>M1717*'Dashboard &amp; Optimisation'!$B$18/('Dashboard &amp; Optimisation'!$B$16/3.6)</f>
        <v/>
      </c>
      <c r="O1717" s="31" t="n">
        <v>1191.514265272792</v>
      </c>
      <c r="P1717" s="32" t="n">
        <v>0.2248337008701428</v>
      </c>
      <c r="Q1717" s="33" t="n">
        <v>12.23505194285052</v>
      </c>
      <c r="R1717" s="31" t="n">
        <v>1163.031210973654</v>
      </c>
      <c r="S1717" s="31">
        <f>R1717*IF(A1717=4, 2.0, 3.0)</f>
        <v/>
      </c>
      <c r="T1717" s="30">
        <f>'Dashboard &amp; Optimisation'!$B$18*U1717</f>
        <v/>
      </c>
      <c r="U1717" s="34">
        <f>MIN(1, S1717/M1717)</f>
        <v/>
      </c>
      <c r="V1717" s="34">
        <f>N1717/(N1717+O1717)</f>
        <v/>
      </c>
      <c r="W1717" s="34">
        <f>U1717*V1717</f>
        <v/>
      </c>
      <c r="X1717" s="32">
        <f>T1717/N1717</f>
        <v/>
      </c>
      <c r="Y1717" s="35">
        <f>IF(W1717=MAXIFS(W$2:W$3601, A$2:A$3601, A1717, B$2:B$3601, B1717), "OPTIMAL", "")</f>
        <v/>
      </c>
    </row>
    <row r="1718" ht="20" customHeight="1">
      <c r="A1718" s="21" t="n">
        <v>4</v>
      </c>
      <c r="B1718" s="21" t="n">
        <v>45</v>
      </c>
      <c r="C1718" s="22" t="n">
        <v>110</v>
      </c>
      <c r="D1718" s="22" t="n">
        <v>3</v>
      </c>
      <c r="E1718" s="23" t="n">
        <v>8</v>
      </c>
      <c r="F1718" s="22" t="n">
        <v>2</v>
      </c>
      <c r="G1718" s="23" t="inlineStr">
        <is>
          <t>Oui</t>
        </is>
      </c>
      <c r="H1718" s="23" t="inlineStr">
        <is>
          <t>ON</t>
        </is>
      </c>
      <c r="I1718" s="24" t="n">
        <v>1132.611974342026</v>
      </c>
      <c r="J1718" s="24" t="n">
        <v>6657.967474874614</v>
      </c>
      <c r="K1718" s="24" t="n">
        <v>3166.666666666667</v>
      </c>
      <c r="L1718" s="24" t="n">
        <v>150</v>
      </c>
      <c r="M1718" s="24">
        <f>I1718+J1718+K1718+L1718</f>
        <v/>
      </c>
      <c r="N1718" s="24">
        <f>M1718*'Dashboard &amp; Optimisation'!$B$18/('Dashboard &amp; Optimisation'!$B$16/3.6)</f>
        <v/>
      </c>
      <c r="O1718" s="24" t="n">
        <v>1380.078208153156</v>
      </c>
      <c r="P1718" s="25" t="n">
        <v>0.05199529928547215</v>
      </c>
      <c r="Q1718" s="26" t="n">
        <v>16.2467359238007</v>
      </c>
      <c r="R1718" s="24" t="n">
        <v>5135.967791265864</v>
      </c>
      <c r="S1718" s="24">
        <f>R1718*IF(A1718=4, 2.0, 3.0)</f>
        <v/>
      </c>
      <c r="T1718" s="22">
        <f>'Dashboard &amp; Optimisation'!$B$18*U1718</f>
        <v/>
      </c>
      <c r="U1718" s="27">
        <f>MIN(1, S1718/M1718)</f>
        <v/>
      </c>
      <c r="V1718" s="27">
        <f>N1718/(N1718+O1718)</f>
        <v/>
      </c>
      <c r="W1718" s="27">
        <f>U1718*V1718</f>
        <v/>
      </c>
      <c r="X1718" s="25">
        <f>T1718/N1718</f>
        <v/>
      </c>
      <c r="Y1718" s="28">
        <f>IF(W1718=MAXIFS(W$2:W$3601, A$2:A$3601, A1718, B$2:B$3601, B1718), "OPTIMAL", "")</f>
        <v/>
      </c>
    </row>
    <row r="1719" ht="20" customHeight="1">
      <c r="A1719" s="29" t="n">
        <v>4</v>
      </c>
      <c r="B1719" s="29" t="n">
        <v>45</v>
      </c>
      <c r="C1719" s="30" t="n">
        <v>110</v>
      </c>
      <c r="D1719" s="30" t="n">
        <v>3</v>
      </c>
      <c r="E1719" s="6" t="n">
        <v>8</v>
      </c>
      <c r="F1719" s="30" t="n">
        <v>2</v>
      </c>
      <c r="G1719" s="6" t="inlineStr">
        <is>
          <t>Oui</t>
        </is>
      </c>
      <c r="H1719" s="6" t="inlineStr">
        <is>
          <t>OFF</t>
        </is>
      </c>
      <c r="I1719" s="31" t="n">
        <v>1132.611974342026</v>
      </c>
      <c r="J1719" s="31" t="n">
        <v>6657.967474874614</v>
      </c>
      <c r="K1719" s="31" t="n">
        <v>3166.666666666667</v>
      </c>
      <c r="L1719" s="31" t="n">
        <v>150</v>
      </c>
      <c r="M1719" s="31">
        <f>I1719+J1719+K1719+L1719</f>
        <v/>
      </c>
      <c r="N1719" s="31">
        <f>M1719*'Dashboard &amp; Optimisation'!$B$18/('Dashboard &amp; Optimisation'!$B$16/3.6)</f>
        <v/>
      </c>
      <c r="O1719" s="31" t="n">
        <v>1380.078208153156</v>
      </c>
      <c r="P1719" s="32" t="n">
        <v>0.2275671766533254</v>
      </c>
      <c r="Q1719" s="33" t="n">
        <v>16.2467359238007</v>
      </c>
      <c r="R1719" s="31" t="n">
        <v>1173.482864948624</v>
      </c>
      <c r="S1719" s="31">
        <f>R1719*IF(A1719=4, 2.0, 3.0)</f>
        <v/>
      </c>
      <c r="T1719" s="30">
        <f>'Dashboard &amp; Optimisation'!$B$18*U1719</f>
        <v/>
      </c>
      <c r="U1719" s="34">
        <f>MIN(1, S1719/M1719)</f>
        <v/>
      </c>
      <c r="V1719" s="34">
        <f>N1719/(N1719+O1719)</f>
        <v/>
      </c>
      <c r="W1719" s="34">
        <f>U1719*V1719</f>
        <v/>
      </c>
      <c r="X1719" s="32">
        <f>T1719/N1719</f>
        <v/>
      </c>
      <c r="Y1719" s="35">
        <f>IF(W1719=MAXIFS(W$2:W$3601, A$2:A$3601, A1719, B$2:B$3601, B1719), "OPTIMAL", "")</f>
        <v/>
      </c>
    </row>
    <row r="1720" ht="20" customHeight="1">
      <c r="A1720" s="21" t="n">
        <v>4</v>
      </c>
      <c r="B1720" s="21" t="n">
        <v>45</v>
      </c>
      <c r="C1720" s="22" t="n">
        <v>110</v>
      </c>
      <c r="D1720" s="22" t="n">
        <v>3</v>
      </c>
      <c r="E1720" s="23" t="n">
        <v>8</v>
      </c>
      <c r="F1720" s="22" t="n">
        <v>2</v>
      </c>
      <c r="G1720" s="23" t="inlineStr">
        <is>
          <t>Non</t>
        </is>
      </c>
      <c r="H1720" s="23" t="inlineStr">
        <is>
          <t>ON</t>
        </is>
      </c>
      <c r="I1720" s="24" t="n">
        <v>1132.611974342026</v>
      </c>
      <c r="J1720" s="24" t="n">
        <v>6657.967474874614</v>
      </c>
      <c r="K1720" s="24" t="n">
        <v>3166.666666666667</v>
      </c>
      <c r="L1720" s="24" t="n">
        <v>150</v>
      </c>
      <c r="M1720" s="24">
        <f>I1720+J1720+K1720+L1720</f>
        <v/>
      </c>
      <c r="N1720" s="24">
        <f>M1720*'Dashboard &amp; Optimisation'!$B$18/('Dashboard &amp; Optimisation'!$B$16/3.6)</f>
        <v/>
      </c>
      <c r="O1720" s="24" t="n">
        <v>1380.078208153156</v>
      </c>
      <c r="P1720" s="25" t="n">
        <v>0.04910157304743769</v>
      </c>
      <c r="Q1720" s="26" t="n">
        <v>16.2467359238007</v>
      </c>
      <c r="R1720" s="24" t="n">
        <v>5438.648211319362</v>
      </c>
      <c r="S1720" s="24">
        <f>R1720*IF(A1720=4, 2.0, 3.0)</f>
        <v/>
      </c>
      <c r="T1720" s="22">
        <f>'Dashboard &amp; Optimisation'!$B$18*U1720</f>
        <v/>
      </c>
      <c r="U1720" s="27">
        <f>MIN(1, S1720/M1720)</f>
        <v/>
      </c>
      <c r="V1720" s="27">
        <f>N1720/(N1720+O1720)</f>
        <v/>
      </c>
      <c r="W1720" s="27">
        <f>U1720*V1720</f>
        <v/>
      </c>
      <c r="X1720" s="25">
        <f>T1720/N1720</f>
        <v/>
      </c>
      <c r="Y1720" s="28">
        <f>IF(W1720=MAXIFS(W$2:W$3601, A$2:A$3601, A1720, B$2:B$3601, B1720), "OPTIMAL", "")</f>
        <v/>
      </c>
    </row>
    <row r="1721" ht="20" customHeight="1">
      <c r="A1721" s="29" t="n">
        <v>4</v>
      </c>
      <c r="B1721" s="29" t="n">
        <v>45</v>
      </c>
      <c r="C1721" s="30" t="n">
        <v>110</v>
      </c>
      <c r="D1721" s="30" t="n">
        <v>3</v>
      </c>
      <c r="E1721" s="6" t="n">
        <v>8</v>
      </c>
      <c r="F1721" s="30" t="n">
        <v>2</v>
      </c>
      <c r="G1721" s="6" t="inlineStr">
        <is>
          <t>Non</t>
        </is>
      </c>
      <c r="H1721" s="6" t="inlineStr">
        <is>
          <t>OFF</t>
        </is>
      </c>
      <c r="I1721" s="31" t="n">
        <v>1132.611974342026</v>
      </c>
      <c r="J1721" s="31" t="n">
        <v>6657.967474874614</v>
      </c>
      <c r="K1721" s="31" t="n">
        <v>3166.666666666667</v>
      </c>
      <c r="L1721" s="31" t="n">
        <v>150</v>
      </c>
      <c r="M1721" s="31">
        <f>I1721+J1721+K1721+L1721</f>
        <v/>
      </c>
      <c r="N1721" s="31">
        <f>M1721*'Dashboard &amp; Optimisation'!$B$18/('Dashboard &amp; Optimisation'!$B$16/3.6)</f>
        <v/>
      </c>
      <c r="O1721" s="31" t="n">
        <v>1380.078208153156</v>
      </c>
      <c r="P1721" s="32" t="n">
        <v>0.2246734504152909</v>
      </c>
      <c r="Q1721" s="33" t="n">
        <v>16.2467359238007</v>
      </c>
      <c r="R1721" s="31" t="n">
        <v>1188.596970108397</v>
      </c>
      <c r="S1721" s="31">
        <f>R1721*IF(A1721=4, 2.0, 3.0)</f>
        <v/>
      </c>
      <c r="T1721" s="30">
        <f>'Dashboard &amp; Optimisation'!$B$18*U1721</f>
        <v/>
      </c>
      <c r="U1721" s="34">
        <f>MIN(1, S1721/M1721)</f>
        <v/>
      </c>
      <c r="V1721" s="34">
        <f>N1721/(N1721+O1721)</f>
        <v/>
      </c>
      <c r="W1721" s="34">
        <f>U1721*V1721</f>
        <v/>
      </c>
      <c r="X1721" s="32">
        <f>T1721/N1721</f>
        <v/>
      </c>
      <c r="Y1721" s="35">
        <f>IF(W1721=MAXIFS(W$2:W$3601, A$2:A$3601, A1721, B$2:B$3601, B1721), "OPTIMAL", "")</f>
        <v/>
      </c>
    </row>
    <row r="1722" ht="20" customHeight="1">
      <c r="A1722" s="21" t="n">
        <v>4</v>
      </c>
      <c r="B1722" s="21" t="n">
        <v>45</v>
      </c>
      <c r="C1722" s="22" t="n">
        <v>115</v>
      </c>
      <c r="D1722" s="22" t="n">
        <v>2</v>
      </c>
      <c r="E1722" s="23" t="n">
        <v>0</v>
      </c>
      <c r="F1722" s="22" t="n">
        <v>0</v>
      </c>
      <c r="G1722" s="23" t="inlineStr">
        <is>
          <t>Oui</t>
        </is>
      </c>
      <c r="H1722" s="23" t="inlineStr">
        <is>
          <t>ON</t>
        </is>
      </c>
      <c r="I1722" s="24" t="n">
        <v>1132.611974342026</v>
      </c>
      <c r="J1722" s="24" t="n">
        <v>6657.967474874614</v>
      </c>
      <c r="K1722" s="24" t="n">
        <v>3166.666666666667</v>
      </c>
      <c r="L1722" s="24" t="n">
        <v>150</v>
      </c>
      <c r="M1722" s="24">
        <f>I1722+J1722+K1722+L1722</f>
        <v/>
      </c>
      <c r="N1722" s="24">
        <f>M1722*'Dashboard &amp; Optimisation'!$B$18/('Dashboard &amp; Optimisation'!$B$16/3.6)</f>
        <v/>
      </c>
      <c r="O1722" s="24" t="n">
        <v>414.1843539383909</v>
      </c>
      <c r="P1722" s="25" t="n">
        <v>0.4698805559653013</v>
      </c>
      <c r="Q1722" s="26" t="n">
        <v>0.2</v>
      </c>
      <c r="R1722" s="24" t="n">
        <v>459.8160635859334</v>
      </c>
      <c r="S1722" s="24">
        <f>R1722*IF(A1722=4, 2.0, 3.0)</f>
        <v/>
      </c>
      <c r="T1722" s="22">
        <f>'Dashboard &amp; Optimisation'!$B$18*U1722</f>
        <v/>
      </c>
      <c r="U1722" s="27">
        <f>MIN(1, S1722/M1722)</f>
        <v/>
      </c>
      <c r="V1722" s="27">
        <f>N1722/(N1722+O1722)</f>
        <v/>
      </c>
      <c r="W1722" s="27">
        <f>U1722*V1722</f>
        <v/>
      </c>
      <c r="X1722" s="25">
        <f>T1722/N1722</f>
        <v/>
      </c>
      <c r="Y1722" s="28">
        <f>IF(W1722=MAXIFS(W$2:W$3601, A$2:A$3601, A1722, B$2:B$3601, B1722), "OPTIMAL", "")</f>
        <v/>
      </c>
    </row>
    <row r="1723" ht="20" customHeight="1">
      <c r="A1723" s="29" t="n">
        <v>4</v>
      </c>
      <c r="B1723" s="29" t="n">
        <v>45</v>
      </c>
      <c r="C1723" s="30" t="n">
        <v>115</v>
      </c>
      <c r="D1723" s="30" t="n">
        <v>2</v>
      </c>
      <c r="E1723" s="6" t="n">
        <v>0</v>
      </c>
      <c r="F1723" s="30" t="n">
        <v>0</v>
      </c>
      <c r="G1723" s="6" t="inlineStr">
        <is>
          <t>Oui</t>
        </is>
      </c>
      <c r="H1723" s="6" t="inlineStr">
        <is>
          <t>OFF</t>
        </is>
      </c>
      <c r="I1723" s="31" t="n">
        <v>1132.611974342026</v>
      </c>
      <c r="J1723" s="31" t="n">
        <v>6657.967474874614</v>
      </c>
      <c r="K1723" s="31" t="n">
        <v>3166.666666666667</v>
      </c>
      <c r="L1723" s="31" t="n">
        <v>150</v>
      </c>
      <c r="M1723" s="31">
        <f>I1723+J1723+K1723+L1723</f>
        <v/>
      </c>
      <c r="N1723" s="31">
        <f>M1723*'Dashboard &amp; Optimisation'!$B$18/('Dashboard &amp; Optimisation'!$B$16/3.6)</f>
        <v/>
      </c>
      <c r="O1723" s="31" t="n">
        <v>414.1843539383909</v>
      </c>
      <c r="P1723" s="32" t="n">
        <v>0.7466717613425105</v>
      </c>
      <c r="Q1723" s="33" t="n">
        <v>0.2</v>
      </c>
      <c r="R1723" s="31" t="n">
        <v>289.362259007978</v>
      </c>
      <c r="S1723" s="31">
        <f>R1723*IF(A1723=4, 2.0, 3.0)</f>
        <v/>
      </c>
      <c r="T1723" s="30">
        <f>'Dashboard &amp; Optimisation'!$B$18*U1723</f>
        <v/>
      </c>
      <c r="U1723" s="34">
        <f>MIN(1, S1723/M1723)</f>
        <v/>
      </c>
      <c r="V1723" s="34">
        <f>N1723/(N1723+O1723)</f>
        <v/>
      </c>
      <c r="W1723" s="34">
        <f>U1723*V1723</f>
        <v/>
      </c>
      <c r="X1723" s="32">
        <f>T1723/N1723</f>
        <v/>
      </c>
      <c r="Y1723" s="35">
        <f>IF(W1723=MAXIFS(W$2:W$3601, A$2:A$3601, A1723, B$2:B$3601, B1723), "OPTIMAL", "")</f>
        <v/>
      </c>
    </row>
    <row r="1724" ht="20" customHeight="1">
      <c r="A1724" s="21" t="n">
        <v>4</v>
      </c>
      <c r="B1724" s="21" t="n">
        <v>45</v>
      </c>
      <c r="C1724" s="22" t="n">
        <v>115</v>
      </c>
      <c r="D1724" s="22" t="n">
        <v>2</v>
      </c>
      <c r="E1724" s="23" t="n">
        <v>0</v>
      </c>
      <c r="F1724" s="22" t="n">
        <v>0</v>
      </c>
      <c r="G1724" s="23" t="inlineStr">
        <is>
          <t>Non</t>
        </is>
      </c>
      <c r="H1724" s="23" t="inlineStr">
        <is>
          <t>ON</t>
        </is>
      </c>
      <c r="I1724" s="24" t="n">
        <v>1132.611974342026</v>
      </c>
      <c r="J1724" s="24" t="n">
        <v>6657.967474874614</v>
      </c>
      <c r="K1724" s="24" t="n">
        <v>3166.666666666667</v>
      </c>
      <c r="L1724" s="24" t="n">
        <v>150</v>
      </c>
      <c r="M1724" s="24">
        <f>I1724+J1724+K1724+L1724</f>
        <v/>
      </c>
      <c r="N1724" s="24">
        <f>M1724*'Dashboard &amp; Optimisation'!$B$18/('Dashboard &amp; Optimisation'!$B$16/3.6)</f>
        <v/>
      </c>
      <c r="O1724" s="24" t="n">
        <v>414.1843539383909</v>
      </c>
      <c r="P1724" s="25" t="n">
        <v>0.4671126439115292</v>
      </c>
      <c r="Q1724" s="26" t="n">
        <v>0.2</v>
      </c>
      <c r="R1724" s="24" t="n">
        <v>462.5407391893593</v>
      </c>
      <c r="S1724" s="24">
        <f>R1724*IF(A1724=4, 2.0, 3.0)</f>
        <v/>
      </c>
      <c r="T1724" s="22">
        <f>'Dashboard &amp; Optimisation'!$B$18*U1724</f>
        <v/>
      </c>
      <c r="U1724" s="27">
        <f>MIN(1, S1724/M1724)</f>
        <v/>
      </c>
      <c r="V1724" s="27">
        <f>N1724/(N1724+O1724)</f>
        <v/>
      </c>
      <c r="W1724" s="27">
        <f>U1724*V1724</f>
        <v/>
      </c>
      <c r="X1724" s="25">
        <f>T1724/N1724</f>
        <v/>
      </c>
      <c r="Y1724" s="28">
        <f>IF(W1724=MAXIFS(W$2:W$3601, A$2:A$3601, A1724, B$2:B$3601, B1724), "OPTIMAL", "")</f>
        <v/>
      </c>
    </row>
    <row r="1725" ht="20" customHeight="1">
      <c r="A1725" s="29" t="n">
        <v>4</v>
      </c>
      <c r="B1725" s="29" t="n">
        <v>45</v>
      </c>
      <c r="C1725" s="30" t="n">
        <v>115</v>
      </c>
      <c r="D1725" s="30" t="n">
        <v>2</v>
      </c>
      <c r="E1725" s="6" t="n">
        <v>0</v>
      </c>
      <c r="F1725" s="30" t="n">
        <v>0</v>
      </c>
      <c r="G1725" s="6" t="inlineStr">
        <is>
          <t>Non</t>
        </is>
      </c>
      <c r="H1725" s="6" t="inlineStr">
        <is>
          <t>OFF</t>
        </is>
      </c>
      <c r="I1725" s="31" t="n">
        <v>1132.611974342026</v>
      </c>
      <c r="J1725" s="31" t="n">
        <v>6657.967474874614</v>
      </c>
      <c r="K1725" s="31" t="n">
        <v>3166.666666666667</v>
      </c>
      <c r="L1725" s="31" t="n">
        <v>150</v>
      </c>
      <c r="M1725" s="31">
        <f>I1725+J1725+K1725+L1725</f>
        <v/>
      </c>
      <c r="N1725" s="31">
        <f>M1725*'Dashboard &amp; Optimisation'!$B$18/('Dashboard &amp; Optimisation'!$B$16/3.6)</f>
        <v/>
      </c>
      <c r="O1725" s="31" t="n">
        <v>414.1843539383909</v>
      </c>
      <c r="P1725" s="32" t="n">
        <v>0.7439038492887384</v>
      </c>
      <c r="Q1725" s="33" t="n">
        <v>0.2</v>
      </c>
      <c r="R1725" s="31" t="n">
        <v>290.438916005224</v>
      </c>
      <c r="S1725" s="31">
        <f>R1725*IF(A1725=4, 2.0, 3.0)</f>
        <v/>
      </c>
      <c r="T1725" s="30">
        <f>'Dashboard &amp; Optimisation'!$B$18*U1725</f>
        <v/>
      </c>
      <c r="U1725" s="34">
        <f>MIN(1, S1725/M1725)</f>
        <v/>
      </c>
      <c r="V1725" s="34">
        <f>N1725/(N1725+O1725)</f>
        <v/>
      </c>
      <c r="W1725" s="34">
        <f>U1725*V1725</f>
        <v/>
      </c>
      <c r="X1725" s="32">
        <f>T1725/N1725</f>
        <v/>
      </c>
      <c r="Y1725" s="35">
        <f>IF(W1725=MAXIFS(W$2:W$3601, A$2:A$3601, A1725, B$2:B$3601, B1725), "OPTIMAL", "")</f>
        <v/>
      </c>
    </row>
    <row r="1726" ht="20" customHeight="1">
      <c r="A1726" s="21" t="n">
        <v>4</v>
      </c>
      <c r="B1726" s="21" t="n">
        <v>45</v>
      </c>
      <c r="C1726" s="22" t="n">
        <v>115</v>
      </c>
      <c r="D1726" s="22" t="n">
        <v>2</v>
      </c>
      <c r="E1726" s="23" t="n">
        <v>4</v>
      </c>
      <c r="F1726" s="22" t="n">
        <v>1.5</v>
      </c>
      <c r="G1726" s="23" t="inlineStr">
        <is>
          <t>Oui</t>
        </is>
      </c>
      <c r="H1726" s="23" t="inlineStr">
        <is>
          <t>ON</t>
        </is>
      </c>
      <c r="I1726" s="24" t="n">
        <v>1132.611974342026</v>
      </c>
      <c r="J1726" s="24" t="n">
        <v>6657.967474874614</v>
      </c>
      <c r="K1726" s="24" t="n">
        <v>3166.666666666667</v>
      </c>
      <c r="L1726" s="24" t="n">
        <v>150</v>
      </c>
      <c r="M1726" s="24">
        <f>I1726+J1726+K1726+L1726</f>
        <v/>
      </c>
      <c r="N1726" s="24">
        <f>M1726*'Dashboard &amp; Optimisation'!$B$18/('Dashboard &amp; Optimisation'!$B$16/3.6)</f>
        <v/>
      </c>
      <c r="O1726" s="24" t="n">
        <v>639.7039832597004</v>
      </c>
      <c r="P1726" s="25" t="n">
        <v>0.06928089920961758</v>
      </c>
      <c r="Q1726" s="26" t="n">
        <v>5.838042351605651</v>
      </c>
      <c r="R1726" s="24" t="n">
        <v>3206.872276092087</v>
      </c>
      <c r="S1726" s="24">
        <f>R1726*IF(A1726=4, 2.0, 3.0)</f>
        <v/>
      </c>
      <c r="T1726" s="22">
        <f>'Dashboard &amp; Optimisation'!$B$18*U1726</f>
        <v/>
      </c>
      <c r="U1726" s="27">
        <f>MIN(1, S1726/M1726)</f>
        <v/>
      </c>
      <c r="V1726" s="27">
        <f>N1726/(N1726+O1726)</f>
        <v/>
      </c>
      <c r="W1726" s="27">
        <f>U1726*V1726</f>
        <v/>
      </c>
      <c r="X1726" s="25">
        <f>T1726/N1726</f>
        <v/>
      </c>
      <c r="Y1726" s="28">
        <f>IF(W1726=MAXIFS(W$2:W$3601, A$2:A$3601, A1726, B$2:B$3601, B1726), "OPTIMAL", "")</f>
        <v/>
      </c>
    </row>
    <row r="1727" ht="20" customHeight="1">
      <c r="A1727" s="29" t="n">
        <v>4</v>
      </c>
      <c r="B1727" s="29" t="n">
        <v>45</v>
      </c>
      <c r="C1727" s="30" t="n">
        <v>115</v>
      </c>
      <c r="D1727" s="30" t="n">
        <v>2</v>
      </c>
      <c r="E1727" s="6" t="n">
        <v>4</v>
      </c>
      <c r="F1727" s="30" t="n">
        <v>1.5</v>
      </c>
      <c r="G1727" s="6" t="inlineStr">
        <is>
          <t>Oui</t>
        </is>
      </c>
      <c r="H1727" s="6" t="inlineStr">
        <is>
          <t>OFF</t>
        </is>
      </c>
      <c r="I1727" s="31" t="n">
        <v>1132.611974342026</v>
      </c>
      <c r="J1727" s="31" t="n">
        <v>6657.967474874614</v>
      </c>
      <c r="K1727" s="31" t="n">
        <v>3166.666666666667</v>
      </c>
      <c r="L1727" s="31" t="n">
        <v>150</v>
      </c>
      <c r="M1727" s="31">
        <f>I1727+J1727+K1727+L1727</f>
        <v/>
      </c>
      <c r="N1727" s="31">
        <f>M1727*'Dashboard &amp; Optimisation'!$B$18/('Dashboard &amp; Optimisation'!$B$16/3.6)</f>
        <v/>
      </c>
      <c r="O1727" s="31" t="n">
        <v>639.7039832597004</v>
      </c>
      <c r="P1727" s="32" t="n">
        <v>0.2796855393519176</v>
      </c>
      <c r="Q1727" s="33" t="n">
        <v>5.838042351605651</v>
      </c>
      <c r="R1727" s="31" t="n">
        <v>794.3742656587565</v>
      </c>
      <c r="S1727" s="31">
        <f>R1727*IF(A1727=4, 2.0, 3.0)</f>
        <v/>
      </c>
      <c r="T1727" s="30">
        <f>'Dashboard &amp; Optimisation'!$B$18*U1727</f>
        <v/>
      </c>
      <c r="U1727" s="34">
        <f>MIN(1, S1727/M1727)</f>
        <v/>
      </c>
      <c r="V1727" s="34">
        <f>N1727/(N1727+O1727)</f>
        <v/>
      </c>
      <c r="W1727" s="34">
        <f>U1727*V1727</f>
        <v/>
      </c>
      <c r="X1727" s="32">
        <f>T1727/N1727</f>
        <v/>
      </c>
      <c r="Y1727" s="35">
        <f>IF(W1727=MAXIFS(W$2:W$3601, A$2:A$3601, A1727, B$2:B$3601, B1727), "OPTIMAL", "")</f>
        <v/>
      </c>
    </row>
    <row r="1728" ht="20" customHeight="1">
      <c r="A1728" s="21" t="n">
        <v>4</v>
      </c>
      <c r="B1728" s="21" t="n">
        <v>45</v>
      </c>
      <c r="C1728" s="22" t="n">
        <v>115</v>
      </c>
      <c r="D1728" s="22" t="n">
        <v>2</v>
      </c>
      <c r="E1728" s="23" t="n">
        <v>4</v>
      </c>
      <c r="F1728" s="22" t="n">
        <v>1.5</v>
      </c>
      <c r="G1728" s="23" t="inlineStr">
        <is>
          <t>Non</t>
        </is>
      </c>
      <c r="H1728" s="23" t="inlineStr">
        <is>
          <t>ON</t>
        </is>
      </c>
      <c r="I1728" s="24" t="n">
        <v>1132.611974342026</v>
      </c>
      <c r="J1728" s="24" t="n">
        <v>6657.967474874614</v>
      </c>
      <c r="K1728" s="24" t="n">
        <v>3166.666666666667</v>
      </c>
      <c r="L1728" s="24" t="n">
        <v>150</v>
      </c>
      <c r="M1728" s="24">
        <f>I1728+J1728+K1728+L1728</f>
        <v/>
      </c>
      <c r="N1728" s="24">
        <f>M1728*'Dashboard &amp; Optimisation'!$B$18/('Dashboard &amp; Optimisation'!$B$16/3.6)</f>
        <v/>
      </c>
      <c r="O1728" s="24" t="n">
        <v>639.7039832597004</v>
      </c>
      <c r="P1728" s="25" t="n">
        <v>0.06651298715584548</v>
      </c>
      <c r="Q1728" s="26" t="n">
        <v>5.838042351605651</v>
      </c>
      <c r="R1728" s="24" t="n">
        <v>3340.325016789251</v>
      </c>
      <c r="S1728" s="24">
        <f>R1728*IF(A1728=4, 2.0, 3.0)</f>
        <v/>
      </c>
      <c r="T1728" s="22">
        <f>'Dashboard &amp; Optimisation'!$B$18*U1728</f>
        <v/>
      </c>
      <c r="U1728" s="27">
        <f>MIN(1, S1728/M1728)</f>
        <v/>
      </c>
      <c r="V1728" s="27">
        <f>N1728/(N1728+O1728)</f>
        <v/>
      </c>
      <c r="W1728" s="27">
        <f>U1728*V1728</f>
        <v/>
      </c>
      <c r="X1728" s="25">
        <f>T1728/N1728</f>
        <v/>
      </c>
      <c r="Y1728" s="28">
        <f>IF(W1728=MAXIFS(W$2:W$3601, A$2:A$3601, A1728, B$2:B$3601, B1728), "OPTIMAL", "")</f>
        <v/>
      </c>
    </row>
    <row r="1729" ht="20" customHeight="1">
      <c r="A1729" s="29" t="n">
        <v>4</v>
      </c>
      <c r="B1729" s="29" t="n">
        <v>45</v>
      </c>
      <c r="C1729" s="30" t="n">
        <v>115</v>
      </c>
      <c r="D1729" s="30" t="n">
        <v>2</v>
      </c>
      <c r="E1729" s="6" t="n">
        <v>4</v>
      </c>
      <c r="F1729" s="30" t="n">
        <v>1.5</v>
      </c>
      <c r="G1729" s="6" t="inlineStr">
        <is>
          <t>Non</t>
        </is>
      </c>
      <c r="H1729" s="6" t="inlineStr">
        <is>
          <t>OFF</t>
        </is>
      </c>
      <c r="I1729" s="31" t="n">
        <v>1132.611974342026</v>
      </c>
      <c r="J1729" s="31" t="n">
        <v>6657.967474874614</v>
      </c>
      <c r="K1729" s="31" t="n">
        <v>3166.666666666667</v>
      </c>
      <c r="L1729" s="31" t="n">
        <v>150</v>
      </c>
      <c r="M1729" s="31">
        <f>I1729+J1729+K1729+L1729</f>
        <v/>
      </c>
      <c r="N1729" s="31">
        <f>M1729*'Dashboard &amp; Optimisation'!$B$18/('Dashboard &amp; Optimisation'!$B$16/3.6)</f>
        <v/>
      </c>
      <c r="O1729" s="31" t="n">
        <v>639.7039832597004</v>
      </c>
      <c r="P1729" s="32" t="n">
        <v>0.2769176272981455</v>
      </c>
      <c r="Q1729" s="33" t="n">
        <v>5.838042351605651</v>
      </c>
      <c r="R1729" s="31" t="n">
        <v>802.3143817379539</v>
      </c>
      <c r="S1729" s="31">
        <f>R1729*IF(A1729=4, 2.0, 3.0)</f>
        <v/>
      </c>
      <c r="T1729" s="30">
        <f>'Dashboard &amp; Optimisation'!$B$18*U1729</f>
        <v/>
      </c>
      <c r="U1729" s="34">
        <f>MIN(1, S1729/M1729)</f>
        <v/>
      </c>
      <c r="V1729" s="34">
        <f>N1729/(N1729+O1729)</f>
        <v/>
      </c>
      <c r="W1729" s="34">
        <f>U1729*V1729</f>
        <v/>
      </c>
      <c r="X1729" s="32">
        <f>T1729/N1729</f>
        <v/>
      </c>
      <c r="Y1729" s="35">
        <f>IF(W1729=MAXIFS(W$2:W$3601, A$2:A$3601, A1729, B$2:B$3601, B1729), "OPTIMAL", "")</f>
        <v/>
      </c>
    </row>
    <row r="1730" ht="20" customHeight="1">
      <c r="A1730" s="21" t="n">
        <v>4</v>
      </c>
      <c r="B1730" s="21" t="n">
        <v>45</v>
      </c>
      <c r="C1730" s="22" t="n">
        <v>115</v>
      </c>
      <c r="D1730" s="22" t="n">
        <v>2</v>
      </c>
      <c r="E1730" s="23" t="n">
        <v>4</v>
      </c>
      <c r="F1730" s="22" t="n">
        <v>2</v>
      </c>
      <c r="G1730" s="23" t="inlineStr">
        <is>
          <t>Oui</t>
        </is>
      </c>
      <c r="H1730" s="23" t="inlineStr">
        <is>
          <t>ON</t>
        </is>
      </c>
      <c r="I1730" s="24" t="n">
        <v>1132.611974342026</v>
      </c>
      <c r="J1730" s="24" t="n">
        <v>6657.967474874614</v>
      </c>
      <c r="K1730" s="24" t="n">
        <v>3166.666666666667</v>
      </c>
      <c r="L1730" s="24" t="n">
        <v>150</v>
      </c>
      <c r="M1730" s="24">
        <f>I1730+J1730+K1730+L1730</f>
        <v/>
      </c>
      <c r="N1730" s="24">
        <f>M1730*'Dashboard &amp; Optimisation'!$B$18/('Dashboard &amp; Optimisation'!$B$16/3.6)</f>
        <v/>
      </c>
      <c r="O1730" s="24" t="n">
        <v>717.7416437824783</v>
      </c>
      <c r="P1730" s="25" t="n">
        <v>0.06612266589584477</v>
      </c>
      <c r="Q1730" s="26" t="n">
        <v>7.717389802140867</v>
      </c>
      <c r="R1730" s="24" t="n">
        <v>3392.051249133293</v>
      </c>
      <c r="S1730" s="24">
        <f>R1730*IF(A1730=4, 2.0, 3.0)</f>
        <v/>
      </c>
      <c r="T1730" s="22">
        <f>'Dashboard &amp; Optimisation'!$B$18*U1730</f>
        <v/>
      </c>
      <c r="U1730" s="27">
        <f>MIN(1, S1730/M1730)</f>
        <v/>
      </c>
      <c r="V1730" s="27">
        <f>N1730/(N1730+O1730)</f>
        <v/>
      </c>
      <c r="W1730" s="27">
        <f>U1730*V1730</f>
        <v/>
      </c>
      <c r="X1730" s="25">
        <f>T1730/N1730</f>
        <v/>
      </c>
      <c r="Y1730" s="28">
        <f>IF(W1730=MAXIFS(W$2:W$3601, A$2:A$3601, A1730, B$2:B$3601, B1730), "OPTIMAL", "")</f>
        <v/>
      </c>
    </row>
    <row r="1731" ht="20" customHeight="1">
      <c r="A1731" s="29" t="n">
        <v>4</v>
      </c>
      <c r="B1731" s="29" t="n">
        <v>45</v>
      </c>
      <c r="C1731" s="30" t="n">
        <v>115</v>
      </c>
      <c r="D1731" s="30" t="n">
        <v>2</v>
      </c>
      <c r="E1731" s="6" t="n">
        <v>4</v>
      </c>
      <c r="F1731" s="30" t="n">
        <v>2</v>
      </c>
      <c r="G1731" s="6" t="inlineStr">
        <is>
          <t>Oui</t>
        </is>
      </c>
      <c r="H1731" s="6" t="inlineStr">
        <is>
          <t>OFF</t>
        </is>
      </c>
      <c r="I1731" s="31" t="n">
        <v>1132.611974342026</v>
      </c>
      <c r="J1731" s="31" t="n">
        <v>6657.967474874614</v>
      </c>
      <c r="K1731" s="31" t="n">
        <v>3166.666666666667</v>
      </c>
      <c r="L1731" s="31" t="n">
        <v>150</v>
      </c>
      <c r="M1731" s="31">
        <f>I1731+J1731+K1731+L1731</f>
        <v/>
      </c>
      <c r="N1731" s="31">
        <f>M1731*'Dashboard &amp; Optimisation'!$B$18/('Dashboard &amp; Optimisation'!$B$16/3.6)</f>
        <v/>
      </c>
      <c r="O1731" s="31" t="n">
        <v>717.7416437824783</v>
      </c>
      <c r="P1731" s="32" t="n">
        <v>0.2774148058870663</v>
      </c>
      <c r="Q1731" s="33" t="n">
        <v>7.717389802140867</v>
      </c>
      <c r="R1731" s="31" t="n">
        <v>808.5057707386071</v>
      </c>
      <c r="S1731" s="31">
        <f>R1731*IF(A1731=4, 2.0, 3.0)</f>
        <v/>
      </c>
      <c r="T1731" s="30">
        <f>'Dashboard &amp; Optimisation'!$B$18*U1731</f>
        <v/>
      </c>
      <c r="U1731" s="34">
        <f>MIN(1, S1731/M1731)</f>
        <v/>
      </c>
      <c r="V1731" s="34">
        <f>N1731/(N1731+O1731)</f>
        <v/>
      </c>
      <c r="W1731" s="34">
        <f>U1731*V1731</f>
        <v/>
      </c>
      <c r="X1731" s="32">
        <f>T1731/N1731</f>
        <v/>
      </c>
      <c r="Y1731" s="35">
        <f>IF(W1731=MAXIFS(W$2:W$3601, A$2:A$3601, A1731, B$2:B$3601, B1731), "OPTIMAL", "")</f>
        <v/>
      </c>
    </row>
    <row r="1732" ht="20" customHeight="1">
      <c r="A1732" s="21" t="n">
        <v>4</v>
      </c>
      <c r="B1732" s="21" t="n">
        <v>45</v>
      </c>
      <c r="C1732" s="22" t="n">
        <v>115</v>
      </c>
      <c r="D1732" s="22" t="n">
        <v>2</v>
      </c>
      <c r="E1732" s="23" t="n">
        <v>4</v>
      </c>
      <c r="F1732" s="22" t="n">
        <v>2</v>
      </c>
      <c r="G1732" s="23" t="inlineStr">
        <is>
          <t>Non</t>
        </is>
      </c>
      <c r="H1732" s="23" t="inlineStr">
        <is>
          <t>ON</t>
        </is>
      </c>
      <c r="I1732" s="24" t="n">
        <v>1132.611974342026</v>
      </c>
      <c r="J1732" s="24" t="n">
        <v>6657.967474874614</v>
      </c>
      <c r="K1732" s="24" t="n">
        <v>3166.666666666667</v>
      </c>
      <c r="L1732" s="24" t="n">
        <v>150</v>
      </c>
      <c r="M1732" s="24">
        <f>I1732+J1732+K1732+L1732</f>
        <v/>
      </c>
      <c r="N1732" s="24">
        <f>M1732*'Dashboard &amp; Optimisation'!$B$18/('Dashboard &amp; Optimisation'!$B$16/3.6)</f>
        <v/>
      </c>
      <c r="O1732" s="24" t="n">
        <v>717.7416437824783</v>
      </c>
      <c r="P1732" s="25" t="n">
        <v>0.06335475384207268</v>
      </c>
      <c r="Q1732" s="26" t="n">
        <v>7.717389802140867</v>
      </c>
      <c r="R1732" s="24" t="n">
        <v>3540.246908813273</v>
      </c>
      <c r="S1732" s="24">
        <f>R1732*IF(A1732=4, 2.0, 3.0)</f>
        <v/>
      </c>
      <c r="T1732" s="22">
        <f>'Dashboard &amp; Optimisation'!$B$18*U1732</f>
        <v/>
      </c>
      <c r="U1732" s="27">
        <f>MIN(1, S1732/M1732)</f>
        <v/>
      </c>
      <c r="V1732" s="27">
        <f>N1732/(N1732+O1732)</f>
        <v/>
      </c>
      <c r="W1732" s="27">
        <f>U1732*V1732</f>
        <v/>
      </c>
      <c r="X1732" s="25">
        <f>T1732/N1732</f>
        <v/>
      </c>
      <c r="Y1732" s="28">
        <f>IF(W1732=MAXIFS(W$2:W$3601, A$2:A$3601, A1732, B$2:B$3601, B1732), "OPTIMAL", "")</f>
        <v/>
      </c>
    </row>
    <row r="1733" ht="20" customHeight="1">
      <c r="A1733" s="29" t="n">
        <v>4</v>
      </c>
      <c r="B1733" s="29" t="n">
        <v>45</v>
      </c>
      <c r="C1733" s="30" t="n">
        <v>115</v>
      </c>
      <c r="D1733" s="30" t="n">
        <v>2</v>
      </c>
      <c r="E1733" s="6" t="n">
        <v>4</v>
      </c>
      <c r="F1733" s="30" t="n">
        <v>2</v>
      </c>
      <c r="G1733" s="6" t="inlineStr">
        <is>
          <t>Non</t>
        </is>
      </c>
      <c r="H1733" s="6" t="inlineStr">
        <is>
          <t>OFF</t>
        </is>
      </c>
      <c r="I1733" s="31" t="n">
        <v>1132.611974342026</v>
      </c>
      <c r="J1733" s="31" t="n">
        <v>6657.967474874614</v>
      </c>
      <c r="K1733" s="31" t="n">
        <v>3166.666666666667</v>
      </c>
      <c r="L1733" s="31" t="n">
        <v>150</v>
      </c>
      <c r="M1733" s="31">
        <f>I1733+J1733+K1733+L1733</f>
        <v/>
      </c>
      <c r="N1733" s="31">
        <f>M1733*'Dashboard &amp; Optimisation'!$B$18/('Dashboard &amp; Optimisation'!$B$16/3.6)</f>
        <v/>
      </c>
      <c r="O1733" s="31" t="n">
        <v>717.7416437824783</v>
      </c>
      <c r="P1733" s="32" t="n">
        <v>0.2746468938332942</v>
      </c>
      <c r="Q1733" s="33" t="n">
        <v>7.717389802140867</v>
      </c>
      <c r="R1733" s="31" t="n">
        <v>816.6539527083258</v>
      </c>
      <c r="S1733" s="31">
        <f>R1733*IF(A1733=4, 2.0, 3.0)</f>
        <v/>
      </c>
      <c r="T1733" s="30">
        <f>'Dashboard &amp; Optimisation'!$B$18*U1733</f>
        <v/>
      </c>
      <c r="U1733" s="34">
        <f>MIN(1, S1733/M1733)</f>
        <v/>
      </c>
      <c r="V1733" s="34">
        <f>N1733/(N1733+O1733)</f>
        <v/>
      </c>
      <c r="W1733" s="34">
        <f>U1733*V1733</f>
        <v/>
      </c>
      <c r="X1733" s="32">
        <f>T1733/N1733</f>
        <v/>
      </c>
      <c r="Y1733" s="35">
        <f>IF(W1733=MAXIFS(W$2:W$3601, A$2:A$3601, A1733, B$2:B$3601, B1733), "OPTIMAL", "")</f>
        <v/>
      </c>
    </row>
    <row r="1734" ht="20" customHeight="1">
      <c r="A1734" s="21" t="n">
        <v>4</v>
      </c>
      <c r="B1734" s="21" t="n">
        <v>45</v>
      </c>
      <c r="C1734" s="22" t="n">
        <v>115</v>
      </c>
      <c r="D1734" s="22" t="n">
        <v>2</v>
      </c>
      <c r="E1734" s="23" t="n">
        <v>8</v>
      </c>
      <c r="F1734" s="22" t="n">
        <v>1.5</v>
      </c>
      <c r="G1734" s="23" t="inlineStr">
        <is>
          <t>Oui</t>
        </is>
      </c>
      <c r="H1734" s="23" t="inlineStr">
        <is>
          <t>ON</t>
        </is>
      </c>
      <c r="I1734" s="24" t="n">
        <v>1132.611974342026</v>
      </c>
      <c r="J1734" s="24" t="n">
        <v>6657.967474874614</v>
      </c>
      <c r="K1734" s="24" t="n">
        <v>3166.666666666667</v>
      </c>
      <c r="L1734" s="24" t="n">
        <v>150</v>
      </c>
      <c r="M1734" s="24">
        <f>I1734+J1734+K1734+L1734</f>
        <v/>
      </c>
      <c r="N1734" s="24">
        <f>M1734*'Dashboard &amp; Optimisation'!$B$18/('Dashboard &amp; Optimisation'!$B$16/3.6)</f>
        <v/>
      </c>
      <c r="O1734" s="24" t="n">
        <v>878.363995972716</v>
      </c>
      <c r="P1734" s="25" t="n">
        <v>0.05248603000184628</v>
      </c>
      <c r="Q1734" s="26" t="n">
        <v>11.4760847032113</v>
      </c>
      <c r="R1734" s="24" t="n">
        <v>4356.354357322671</v>
      </c>
      <c r="S1734" s="24">
        <f>R1734*IF(A1734=4, 2.0, 3.0)</f>
        <v/>
      </c>
      <c r="T1734" s="22">
        <f>'Dashboard &amp; Optimisation'!$B$18*U1734</f>
        <v/>
      </c>
      <c r="U1734" s="27">
        <f>MIN(1, S1734/M1734)</f>
        <v/>
      </c>
      <c r="V1734" s="27">
        <f>N1734/(N1734+O1734)</f>
        <v/>
      </c>
      <c r="W1734" s="27">
        <f>U1734*V1734</f>
        <v/>
      </c>
      <c r="X1734" s="25">
        <f>T1734/N1734</f>
        <v/>
      </c>
      <c r="Y1734" s="28">
        <f>IF(W1734=MAXIFS(W$2:W$3601, A$2:A$3601, A1734, B$2:B$3601, B1734), "OPTIMAL", "")</f>
        <v/>
      </c>
    </row>
    <row r="1735" ht="20" customHeight="1">
      <c r="A1735" s="29" t="n">
        <v>4</v>
      </c>
      <c r="B1735" s="29" t="n">
        <v>45</v>
      </c>
      <c r="C1735" s="30" t="n">
        <v>115</v>
      </c>
      <c r="D1735" s="30" t="n">
        <v>2</v>
      </c>
      <c r="E1735" s="6" t="n">
        <v>8</v>
      </c>
      <c r="F1735" s="30" t="n">
        <v>1.5</v>
      </c>
      <c r="G1735" s="6" t="inlineStr">
        <is>
          <t>Oui</t>
        </is>
      </c>
      <c r="H1735" s="6" t="inlineStr">
        <is>
          <t>OFF</t>
        </is>
      </c>
      <c r="I1735" s="31" t="n">
        <v>1132.611974342026</v>
      </c>
      <c r="J1735" s="31" t="n">
        <v>6657.967474874614</v>
      </c>
      <c r="K1735" s="31" t="n">
        <v>3166.666666666667</v>
      </c>
      <c r="L1735" s="31" t="n">
        <v>150</v>
      </c>
      <c r="M1735" s="31">
        <f>I1735+J1735+K1735+L1735</f>
        <v/>
      </c>
      <c r="N1735" s="31">
        <f>M1735*'Dashboard &amp; Optimisation'!$B$18/('Dashboard &amp; Optimisation'!$B$16/3.6)</f>
        <v/>
      </c>
      <c r="O1735" s="31" t="n">
        <v>878.363995972716</v>
      </c>
      <c r="P1735" s="32" t="n">
        <v>0.2221878302428261</v>
      </c>
      <c r="Q1735" s="33" t="n">
        <v>11.4760847032113</v>
      </c>
      <c r="R1735" s="31" t="n">
        <v>1029.074118268428</v>
      </c>
      <c r="S1735" s="31">
        <f>R1735*IF(A1735=4, 2.0, 3.0)</f>
        <v/>
      </c>
      <c r="T1735" s="30">
        <f>'Dashboard &amp; Optimisation'!$B$18*U1735</f>
        <v/>
      </c>
      <c r="U1735" s="34">
        <f>MIN(1, S1735/M1735)</f>
        <v/>
      </c>
      <c r="V1735" s="34">
        <f>N1735/(N1735+O1735)</f>
        <v/>
      </c>
      <c r="W1735" s="34">
        <f>U1735*V1735</f>
        <v/>
      </c>
      <c r="X1735" s="32">
        <f>T1735/N1735</f>
        <v/>
      </c>
      <c r="Y1735" s="35">
        <f>IF(W1735=MAXIFS(W$2:W$3601, A$2:A$3601, A1735, B$2:B$3601, B1735), "OPTIMAL", "")</f>
        <v/>
      </c>
    </row>
    <row r="1736" ht="20" customHeight="1">
      <c r="A1736" s="21" t="n">
        <v>4</v>
      </c>
      <c r="B1736" s="21" t="n">
        <v>45</v>
      </c>
      <c r="C1736" s="22" t="n">
        <v>115</v>
      </c>
      <c r="D1736" s="22" t="n">
        <v>2</v>
      </c>
      <c r="E1736" s="23" t="n">
        <v>8</v>
      </c>
      <c r="F1736" s="22" t="n">
        <v>1.5</v>
      </c>
      <c r="G1736" s="23" t="inlineStr">
        <is>
          <t>Non</t>
        </is>
      </c>
      <c r="H1736" s="23" t="inlineStr">
        <is>
          <t>ON</t>
        </is>
      </c>
      <c r="I1736" s="24" t="n">
        <v>1132.611974342026</v>
      </c>
      <c r="J1736" s="24" t="n">
        <v>6657.967474874614</v>
      </c>
      <c r="K1736" s="24" t="n">
        <v>3166.666666666667</v>
      </c>
      <c r="L1736" s="24" t="n">
        <v>150</v>
      </c>
      <c r="M1736" s="24">
        <f>I1736+J1736+K1736+L1736</f>
        <v/>
      </c>
      <c r="N1736" s="24">
        <f>M1736*'Dashboard &amp; Optimisation'!$B$18/('Dashboard &amp; Optimisation'!$B$16/3.6)</f>
        <v/>
      </c>
      <c r="O1736" s="24" t="n">
        <v>878.363995972716</v>
      </c>
      <c r="P1736" s="25" t="n">
        <v>0.04971811794807418</v>
      </c>
      <c r="Q1736" s="26" t="n">
        <v>11.4760847032113</v>
      </c>
      <c r="R1736" s="24" t="n">
        <v>4598.881754452414</v>
      </c>
      <c r="S1736" s="24">
        <f>R1736*IF(A1736=4, 2.0, 3.0)</f>
        <v/>
      </c>
      <c r="T1736" s="22">
        <f>'Dashboard &amp; Optimisation'!$B$18*U1736</f>
        <v/>
      </c>
      <c r="U1736" s="27">
        <f>MIN(1, S1736/M1736)</f>
        <v/>
      </c>
      <c r="V1736" s="27">
        <f>N1736/(N1736+O1736)</f>
        <v/>
      </c>
      <c r="W1736" s="27">
        <f>U1736*V1736</f>
        <v/>
      </c>
      <c r="X1736" s="25">
        <f>T1736/N1736</f>
        <v/>
      </c>
      <c r="Y1736" s="28">
        <f>IF(W1736=MAXIFS(W$2:W$3601, A$2:A$3601, A1736, B$2:B$3601, B1736), "OPTIMAL", "")</f>
        <v/>
      </c>
    </row>
    <row r="1737" ht="20" customHeight="1">
      <c r="A1737" s="29" t="n">
        <v>4</v>
      </c>
      <c r="B1737" s="29" t="n">
        <v>45</v>
      </c>
      <c r="C1737" s="30" t="n">
        <v>115</v>
      </c>
      <c r="D1737" s="30" t="n">
        <v>2</v>
      </c>
      <c r="E1737" s="6" t="n">
        <v>8</v>
      </c>
      <c r="F1737" s="30" t="n">
        <v>1.5</v>
      </c>
      <c r="G1737" s="6" t="inlineStr">
        <is>
          <t>Non</t>
        </is>
      </c>
      <c r="H1737" s="6" t="inlineStr">
        <is>
          <t>OFF</t>
        </is>
      </c>
      <c r="I1737" s="31" t="n">
        <v>1132.611974342026</v>
      </c>
      <c r="J1737" s="31" t="n">
        <v>6657.967474874614</v>
      </c>
      <c r="K1737" s="31" t="n">
        <v>3166.666666666667</v>
      </c>
      <c r="L1737" s="31" t="n">
        <v>150</v>
      </c>
      <c r="M1737" s="31">
        <f>I1737+J1737+K1737+L1737</f>
        <v/>
      </c>
      <c r="N1737" s="31">
        <f>M1737*'Dashboard &amp; Optimisation'!$B$18/('Dashboard &amp; Optimisation'!$B$16/3.6)</f>
        <v/>
      </c>
      <c r="O1737" s="31" t="n">
        <v>878.363995972716</v>
      </c>
      <c r="P1737" s="32" t="n">
        <v>0.219419918189054</v>
      </c>
      <c r="Q1737" s="33" t="n">
        <v>11.4760847032113</v>
      </c>
      <c r="R1737" s="31" t="n">
        <v>1042.055558967562</v>
      </c>
      <c r="S1737" s="31">
        <f>R1737*IF(A1737=4, 2.0, 3.0)</f>
        <v/>
      </c>
      <c r="T1737" s="30">
        <f>'Dashboard &amp; Optimisation'!$B$18*U1737</f>
        <v/>
      </c>
      <c r="U1737" s="34">
        <f>MIN(1, S1737/M1737)</f>
        <v/>
      </c>
      <c r="V1737" s="34">
        <f>N1737/(N1737+O1737)</f>
        <v/>
      </c>
      <c r="W1737" s="34">
        <f>U1737*V1737</f>
        <v/>
      </c>
      <c r="X1737" s="32">
        <f>T1737/N1737</f>
        <v/>
      </c>
      <c r="Y1737" s="35">
        <f>IF(W1737=MAXIFS(W$2:W$3601, A$2:A$3601, A1737, B$2:B$3601, B1737), "OPTIMAL", "")</f>
        <v/>
      </c>
    </row>
    <row r="1738" ht="20" customHeight="1">
      <c r="A1738" s="21" t="n">
        <v>4</v>
      </c>
      <c r="B1738" s="21" t="n">
        <v>45</v>
      </c>
      <c r="C1738" s="22" t="n">
        <v>115</v>
      </c>
      <c r="D1738" s="22" t="n">
        <v>2</v>
      </c>
      <c r="E1738" s="23" t="n">
        <v>8</v>
      </c>
      <c r="F1738" s="22" t="n">
        <v>2</v>
      </c>
      <c r="G1738" s="23" t="inlineStr">
        <is>
          <t>Oui</t>
        </is>
      </c>
      <c r="H1738" s="23" t="inlineStr">
        <is>
          <t>ON</t>
        </is>
      </c>
      <c r="I1738" s="24" t="n">
        <v>1132.611974342026</v>
      </c>
      <c r="J1738" s="24" t="n">
        <v>6657.967474874614</v>
      </c>
      <c r="K1738" s="24" t="n">
        <v>3166.666666666667</v>
      </c>
      <c r="L1738" s="24" t="n">
        <v>150</v>
      </c>
      <c r="M1738" s="24">
        <f>I1738+J1738+K1738+L1738</f>
        <v/>
      </c>
      <c r="N1738" s="24">
        <f>M1738*'Dashboard &amp; Optimisation'!$B$18/('Dashboard &amp; Optimisation'!$B$16/3.6)</f>
        <v/>
      </c>
      <c r="O1738" s="24" t="n">
        <v>1045.349267721305</v>
      </c>
      <c r="P1738" s="25" t="n">
        <v>0.05098656696881766</v>
      </c>
      <c r="Q1738" s="26" t="n">
        <v>15.23477960428174</v>
      </c>
      <c r="R1738" s="24" t="n">
        <v>4573.294566507402</v>
      </c>
      <c r="S1738" s="24">
        <f>R1738*IF(A1738=4, 2.0, 3.0)</f>
        <v/>
      </c>
      <c r="T1738" s="22">
        <f>'Dashboard &amp; Optimisation'!$B$18*U1738</f>
        <v/>
      </c>
      <c r="U1738" s="27">
        <f>MIN(1, S1738/M1738)</f>
        <v/>
      </c>
      <c r="V1738" s="27">
        <f>N1738/(N1738+O1738)</f>
        <v/>
      </c>
      <c r="W1738" s="27">
        <f>U1738*V1738</f>
        <v/>
      </c>
      <c r="X1738" s="25">
        <f>T1738/N1738</f>
        <v/>
      </c>
      <c r="Y1738" s="28">
        <f>IF(W1738=MAXIFS(W$2:W$3601, A$2:A$3601, A1738, B$2:B$3601, B1738), "OPTIMAL", "")</f>
        <v/>
      </c>
    </row>
    <row r="1739" ht="20" customHeight="1">
      <c r="A1739" s="29" t="n">
        <v>4</v>
      </c>
      <c r="B1739" s="29" t="n">
        <v>45</v>
      </c>
      <c r="C1739" s="30" t="n">
        <v>115</v>
      </c>
      <c r="D1739" s="30" t="n">
        <v>2</v>
      </c>
      <c r="E1739" s="6" t="n">
        <v>8</v>
      </c>
      <c r="F1739" s="30" t="n">
        <v>2</v>
      </c>
      <c r="G1739" s="6" t="inlineStr">
        <is>
          <t>Oui</t>
        </is>
      </c>
      <c r="H1739" s="6" t="inlineStr">
        <is>
          <t>OFF</t>
        </is>
      </c>
      <c r="I1739" s="31" t="n">
        <v>1132.611974342026</v>
      </c>
      <c r="J1739" s="31" t="n">
        <v>6657.967474874614</v>
      </c>
      <c r="K1739" s="31" t="n">
        <v>3166.666666666667</v>
      </c>
      <c r="L1739" s="31" t="n">
        <v>150</v>
      </c>
      <c r="M1739" s="31">
        <f>I1739+J1739+K1739+L1739</f>
        <v/>
      </c>
      <c r="N1739" s="31">
        <f>M1739*'Dashboard &amp; Optimisation'!$B$18/('Dashboard &amp; Optimisation'!$B$16/3.6)</f>
        <v/>
      </c>
      <c r="O1739" s="31" t="n">
        <v>1045.349267721305</v>
      </c>
      <c r="P1739" s="32" t="n">
        <v>0.2218463755842228</v>
      </c>
      <c r="Q1739" s="33" t="n">
        <v>15.23477960428174</v>
      </c>
      <c r="R1739" s="31" t="n">
        <v>1051.072342603295</v>
      </c>
      <c r="S1739" s="31">
        <f>R1739*IF(A1739=4, 2.0, 3.0)</f>
        <v/>
      </c>
      <c r="T1739" s="30">
        <f>'Dashboard &amp; Optimisation'!$B$18*U1739</f>
        <v/>
      </c>
      <c r="U1739" s="34">
        <f>MIN(1, S1739/M1739)</f>
        <v/>
      </c>
      <c r="V1739" s="34">
        <f>N1739/(N1739+O1739)</f>
        <v/>
      </c>
      <c r="W1739" s="34">
        <f>U1739*V1739</f>
        <v/>
      </c>
      <c r="X1739" s="32">
        <f>T1739/N1739</f>
        <v/>
      </c>
      <c r="Y1739" s="35">
        <f>IF(W1739=MAXIFS(W$2:W$3601, A$2:A$3601, A1739, B$2:B$3601, B1739), "OPTIMAL", "")</f>
        <v/>
      </c>
    </row>
    <row r="1740" ht="20" customHeight="1">
      <c r="A1740" s="21" t="n">
        <v>4</v>
      </c>
      <c r="B1740" s="21" t="n">
        <v>45</v>
      </c>
      <c r="C1740" s="22" t="n">
        <v>115</v>
      </c>
      <c r="D1740" s="22" t="n">
        <v>2</v>
      </c>
      <c r="E1740" s="23" t="n">
        <v>8</v>
      </c>
      <c r="F1740" s="22" t="n">
        <v>2</v>
      </c>
      <c r="G1740" s="23" t="inlineStr">
        <is>
          <t>Non</t>
        </is>
      </c>
      <c r="H1740" s="23" t="inlineStr">
        <is>
          <t>ON</t>
        </is>
      </c>
      <c r="I1740" s="24" t="n">
        <v>1132.611974342026</v>
      </c>
      <c r="J1740" s="24" t="n">
        <v>6657.967474874614</v>
      </c>
      <c r="K1740" s="24" t="n">
        <v>3166.666666666667</v>
      </c>
      <c r="L1740" s="24" t="n">
        <v>150</v>
      </c>
      <c r="M1740" s="24">
        <f>I1740+J1740+K1740+L1740</f>
        <v/>
      </c>
      <c r="N1740" s="24">
        <f>M1740*'Dashboard &amp; Optimisation'!$B$18/('Dashboard &amp; Optimisation'!$B$16/3.6)</f>
        <v/>
      </c>
      <c r="O1740" s="24" t="n">
        <v>1045.349267721305</v>
      </c>
      <c r="P1740" s="25" t="n">
        <v>0.04821865491504557</v>
      </c>
      <c r="Q1740" s="26" t="n">
        <v>15.23477960428174</v>
      </c>
      <c r="R1740" s="24" t="n">
        <v>4835.816969473406</v>
      </c>
      <c r="S1740" s="24">
        <f>R1740*IF(A1740=4, 2.0, 3.0)</f>
        <v/>
      </c>
      <c r="T1740" s="22">
        <f>'Dashboard &amp; Optimisation'!$B$18*U1740</f>
        <v/>
      </c>
      <c r="U1740" s="27">
        <f>MIN(1, S1740/M1740)</f>
        <v/>
      </c>
      <c r="V1740" s="27">
        <f>N1740/(N1740+O1740)</f>
        <v/>
      </c>
      <c r="W1740" s="27">
        <f>U1740*V1740</f>
        <v/>
      </c>
      <c r="X1740" s="25">
        <f>T1740/N1740</f>
        <v/>
      </c>
      <c r="Y1740" s="28">
        <f>IF(W1740=MAXIFS(W$2:W$3601, A$2:A$3601, A1740, B$2:B$3601, B1740), "OPTIMAL", "")</f>
        <v/>
      </c>
    </row>
    <row r="1741" ht="20" customHeight="1">
      <c r="A1741" s="29" t="n">
        <v>4</v>
      </c>
      <c r="B1741" s="29" t="n">
        <v>45</v>
      </c>
      <c r="C1741" s="30" t="n">
        <v>115</v>
      </c>
      <c r="D1741" s="30" t="n">
        <v>2</v>
      </c>
      <c r="E1741" s="6" t="n">
        <v>8</v>
      </c>
      <c r="F1741" s="30" t="n">
        <v>2</v>
      </c>
      <c r="G1741" s="6" t="inlineStr">
        <is>
          <t>Non</t>
        </is>
      </c>
      <c r="H1741" s="6" t="inlineStr">
        <is>
          <t>OFF</t>
        </is>
      </c>
      <c r="I1741" s="31" t="n">
        <v>1132.611974342026</v>
      </c>
      <c r="J1741" s="31" t="n">
        <v>6657.967474874614</v>
      </c>
      <c r="K1741" s="31" t="n">
        <v>3166.666666666667</v>
      </c>
      <c r="L1741" s="31" t="n">
        <v>150</v>
      </c>
      <c r="M1741" s="31">
        <f>I1741+J1741+K1741+L1741</f>
        <v/>
      </c>
      <c r="N1741" s="31">
        <f>M1741*'Dashboard &amp; Optimisation'!$B$18/('Dashboard &amp; Optimisation'!$B$16/3.6)</f>
        <v/>
      </c>
      <c r="O1741" s="31" t="n">
        <v>1045.349267721305</v>
      </c>
      <c r="P1741" s="32" t="n">
        <v>0.2190784635304507</v>
      </c>
      <c r="Q1741" s="33" t="n">
        <v>15.23477960428174</v>
      </c>
      <c r="R1741" s="31" t="n">
        <v>1064.35194918623</v>
      </c>
      <c r="S1741" s="31">
        <f>R1741*IF(A1741=4, 2.0, 3.0)</f>
        <v/>
      </c>
      <c r="T1741" s="30">
        <f>'Dashboard &amp; Optimisation'!$B$18*U1741</f>
        <v/>
      </c>
      <c r="U1741" s="34">
        <f>MIN(1, S1741/M1741)</f>
        <v/>
      </c>
      <c r="V1741" s="34">
        <f>N1741/(N1741+O1741)</f>
        <v/>
      </c>
      <c r="W1741" s="34">
        <f>U1741*V1741</f>
        <v/>
      </c>
      <c r="X1741" s="32">
        <f>T1741/N1741</f>
        <v/>
      </c>
      <c r="Y1741" s="35">
        <f>IF(W1741=MAXIFS(W$2:W$3601, A$2:A$3601, A1741, B$2:B$3601, B1741), "OPTIMAL", "")</f>
        <v/>
      </c>
    </row>
    <row r="1742" ht="20" customHeight="1">
      <c r="A1742" s="21" t="n">
        <v>4</v>
      </c>
      <c r="B1742" s="21" t="n">
        <v>45</v>
      </c>
      <c r="C1742" s="22" t="n">
        <v>115</v>
      </c>
      <c r="D1742" s="22" t="n">
        <v>3</v>
      </c>
      <c r="E1742" s="23" t="n">
        <v>0</v>
      </c>
      <c r="F1742" s="22" t="n">
        <v>0</v>
      </c>
      <c r="G1742" s="23" t="inlineStr">
        <is>
          <t>Oui</t>
        </is>
      </c>
      <c r="H1742" s="23" t="inlineStr">
        <is>
          <t>ON</t>
        </is>
      </c>
      <c r="I1742" s="24" t="n">
        <v>1132.611974342026</v>
      </c>
      <c r="J1742" s="24" t="n">
        <v>6657.967474874614</v>
      </c>
      <c r="K1742" s="24" t="n">
        <v>3166.666666666667</v>
      </c>
      <c r="L1742" s="24" t="n">
        <v>150</v>
      </c>
      <c r="M1742" s="24">
        <f>I1742+J1742+K1742+L1742</f>
        <v/>
      </c>
      <c r="N1742" s="24">
        <f>M1742*'Dashboard &amp; Optimisation'!$B$18/('Dashboard &amp; Optimisation'!$B$16/3.6)</f>
        <v/>
      </c>
      <c r="O1742" s="24" t="n">
        <v>638.5832003496223</v>
      </c>
      <c r="P1742" s="25" t="n">
        <v>0.4698946720919304</v>
      </c>
      <c r="Q1742" s="26" t="n">
        <v>0.2</v>
      </c>
      <c r="R1742" s="24" t="n">
        <v>476.8305298458852</v>
      </c>
      <c r="S1742" s="24">
        <f>R1742*IF(A1742=4, 2.0, 3.0)</f>
        <v/>
      </c>
      <c r="T1742" s="22">
        <f>'Dashboard &amp; Optimisation'!$B$18*U1742</f>
        <v/>
      </c>
      <c r="U1742" s="27">
        <f>MIN(1, S1742/M1742)</f>
        <v/>
      </c>
      <c r="V1742" s="27">
        <f>N1742/(N1742+O1742)</f>
        <v/>
      </c>
      <c r="W1742" s="27">
        <f>U1742*V1742</f>
        <v/>
      </c>
      <c r="X1742" s="25">
        <f>T1742/N1742</f>
        <v/>
      </c>
      <c r="Y1742" s="28">
        <f>IF(W1742=MAXIFS(W$2:W$3601, A$2:A$3601, A1742, B$2:B$3601, B1742), "OPTIMAL", "")</f>
        <v/>
      </c>
    </row>
    <row r="1743" ht="20" customHeight="1">
      <c r="A1743" s="29" t="n">
        <v>4</v>
      </c>
      <c r="B1743" s="29" t="n">
        <v>45</v>
      </c>
      <c r="C1743" s="30" t="n">
        <v>115</v>
      </c>
      <c r="D1743" s="30" t="n">
        <v>3</v>
      </c>
      <c r="E1743" s="6" t="n">
        <v>0</v>
      </c>
      <c r="F1743" s="30" t="n">
        <v>0</v>
      </c>
      <c r="G1743" s="6" t="inlineStr">
        <is>
          <t>Oui</t>
        </is>
      </c>
      <c r="H1743" s="6" t="inlineStr">
        <is>
          <t>OFF</t>
        </is>
      </c>
      <c r="I1743" s="31" t="n">
        <v>1132.611974342026</v>
      </c>
      <c r="J1743" s="31" t="n">
        <v>6657.967474874614</v>
      </c>
      <c r="K1743" s="31" t="n">
        <v>3166.666666666667</v>
      </c>
      <c r="L1743" s="31" t="n">
        <v>150</v>
      </c>
      <c r="M1743" s="31">
        <f>I1743+J1743+K1743+L1743</f>
        <v/>
      </c>
      <c r="N1743" s="31">
        <f>M1743*'Dashboard &amp; Optimisation'!$B$18/('Dashboard &amp; Optimisation'!$B$16/3.6)</f>
        <v/>
      </c>
      <c r="O1743" s="31" t="n">
        <v>638.5832003496223</v>
      </c>
      <c r="P1743" s="32" t="n">
        <v>0.7466858774691396</v>
      </c>
      <c r="Q1743" s="33" t="n">
        <v>0.2</v>
      </c>
      <c r="R1743" s="31" t="n">
        <v>300.0728046776458</v>
      </c>
      <c r="S1743" s="31">
        <f>R1743*IF(A1743=4, 2.0, 3.0)</f>
        <v/>
      </c>
      <c r="T1743" s="30">
        <f>'Dashboard &amp; Optimisation'!$B$18*U1743</f>
        <v/>
      </c>
      <c r="U1743" s="34">
        <f>MIN(1, S1743/M1743)</f>
        <v/>
      </c>
      <c r="V1743" s="34">
        <f>N1743/(N1743+O1743)</f>
        <v/>
      </c>
      <c r="W1743" s="34">
        <f>U1743*V1743</f>
        <v/>
      </c>
      <c r="X1743" s="32">
        <f>T1743/N1743</f>
        <v/>
      </c>
      <c r="Y1743" s="35">
        <f>IF(W1743=MAXIFS(W$2:W$3601, A$2:A$3601, A1743, B$2:B$3601, B1743), "OPTIMAL", "")</f>
        <v/>
      </c>
    </row>
    <row r="1744" ht="20" customHeight="1">
      <c r="A1744" s="21" t="n">
        <v>4</v>
      </c>
      <c r="B1744" s="21" t="n">
        <v>45</v>
      </c>
      <c r="C1744" s="22" t="n">
        <v>115</v>
      </c>
      <c r="D1744" s="22" t="n">
        <v>3</v>
      </c>
      <c r="E1744" s="23" t="n">
        <v>0</v>
      </c>
      <c r="F1744" s="22" t="n">
        <v>0</v>
      </c>
      <c r="G1744" s="23" t="inlineStr">
        <is>
          <t>Non</t>
        </is>
      </c>
      <c r="H1744" s="23" t="inlineStr">
        <is>
          <t>ON</t>
        </is>
      </c>
      <c r="I1744" s="24" t="n">
        <v>1132.611974342026</v>
      </c>
      <c r="J1744" s="24" t="n">
        <v>6657.967474874614</v>
      </c>
      <c r="K1744" s="24" t="n">
        <v>3166.666666666667</v>
      </c>
      <c r="L1744" s="24" t="n">
        <v>150</v>
      </c>
      <c r="M1744" s="24">
        <f>I1744+J1744+K1744+L1744</f>
        <v/>
      </c>
      <c r="N1744" s="24">
        <f>M1744*'Dashboard &amp; Optimisation'!$B$18/('Dashboard &amp; Optimisation'!$B$16/3.6)</f>
        <v/>
      </c>
      <c r="O1744" s="24" t="n">
        <v>638.5832003496223</v>
      </c>
      <c r="P1744" s="25" t="n">
        <v>0.4671267600381582</v>
      </c>
      <c r="Q1744" s="26" t="n">
        <v>0.2</v>
      </c>
      <c r="R1744" s="24" t="n">
        <v>479.6559405996155</v>
      </c>
      <c r="S1744" s="24">
        <f>R1744*IF(A1744=4, 2.0, 3.0)</f>
        <v/>
      </c>
      <c r="T1744" s="22">
        <f>'Dashboard &amp; Optimisation'!$B$18*U1744</f>
        <v/>
      </c>
      <c r="U1744" s="27">
        <f>MIN(1, S1744/M1744)</f>
        <v/>
      </c>
      <c r="V1744" s="27">
        <f>N1744/(N1744+O1744)</f>
        <v/>
      </c>
      <c r="W1744" s="27">
        <f>U1744*V1744</f>
        <v/>
      </c>
      <c r="X1744" s="25">
        <f>T1744/N1744</f>
        <v/>
      </c>
      <c r="Y1744" s="28">
        <f>IF(W1744=MAXIFS(W$2:W$3601, A$2:A$3601, A1744, B$2:B$3601, B1744), "OPTIMAL", "")</f>
        <v/>
      </c>
    </row>
    <row r="1745" ht="20" customHeight="1">
      <c r="A1745" s="29" t="n">
        <v>4</v>
      </c>
      <c r="B1745" s="29" t="n">
        <v>45</v>
      </c>
      <c r="C1745" s="30" t="n">
        <v>115</v>
      </c>
      <c r="D1745" s="30" t="n">
        <v>3</v>
      </c>
      <c r="E1745" s="6" t="n">
        <v>0</v>
      </c>
      <c r="F1745" s="30" t="n">
        <v>0</v>
      </c>
      <c r="G1745" s="6" t="inlineStr">
        <is>
          <t>Non</t>
        </is>
      </c>
      <c r="H1745" s="6" t="inlineStr">
        <is>
          <t>OFF</t>
        </is>
      </c>
      <c r="I1745" s="31" t="n">
        <v>1132.611974342026</v>
      </c>
      <c r="J1745" s="31" t="n">
        <v>6657.967474874614</v>
      </c>
      <c r="K1745" s="31" t="n">
        <v>3166.666666666667</v>
      </c>
      <c r="L1745" s="31" t="n">
        <v>150</v>
      </c>
      <c r="M1745" s="31">
        <f>I1745+J1745+K1745+L1745</f>
        <v/>
      </c>
      <c r="N1745" s="31">
        <f>M1745*'Dashboard &amp; Optimisation'!$B$18/('Dashboard &amp; Optimisation'!$B$16/3.6)</f>
        <v/>
      </c>
      <c r="O1745" s="31" t="n">
        <v>638.5832003496223</v>
      </c>
      <c r="P1745" s="32" t="n">
        <v>0.7439179654153676</v>
      </c>
      <c r="Q1745" s="33" t="n">
        <v>0.2</v>
      </c>
      <c r="R1745" s="31" t="n">
        <v>301.1892922094567</v>
      </c>
      <c r="S1745" s="31">
        <f>R1745*IF(A1745=4, 2.0, 3.0)</f>
        <v/>
      </c>
      <c r="T1745" s="30">
        <f>'Dashboard &amp; Optimisation'!$B$18*U1745</f>
        <v/>
      </c>
      <c r="U1745" s="34">
        <f>MIN(1, S1745/M1745)</f>
        <v/>
      </c>
      <c r="V1745" s="34">
        <f>N1745/(N1745+O1745)</f>
        <v/>
      </c>
      <c r="W1745" s="34">
        <f>U1745*V1745</f>
        <v/>
      </c>
      <c r="X1745" s="32">
        <f>T1745/N1745</f>
        <v/>
      </c>
      <c r="Y1745" s="35">
        <f>IF(W1745=MAXIFS(W$2:W$3601, A$2:A$3601, A1745, B$2:B$3601, B1745), "OPTIMAL", "")</f>
        <v/>
      </c>
    </row>
    <row r="1746" ht="20" customHeight="1">
      <c r="A1746" s="21" t="n">
        <v>4</v>
      </c>
      <c r="B1746" s="21" t="n">
        <v>45</v>
      </c>
      <c r="C1746" s="22" t="n">
        <v>115</v>
      </c>
      <c r="D1746" s="22" t="n">
        <v>3</v>
      </c>
      <c r="E1746" s="23" t="n">
        <v>4</v>
      </c>
      <c r="F1746" s="22" t="n">
        <v>1.5</v>
      </c>
      <c r="G1746" s="23" t="inlineStr">
        <is>
          <t>Oui</t>
        </is>
      </c>
      <c r="H1746" s="23" t="inlineStr">
        <is>
          <t>ON</t>
        </is>
      </c>
      <c r="I1746" s="24" t="n">
        <v>1132.611974342026</v>
      </c>
      <c r="J1746" s="24" t="n">
        <v>6657.967474874614</v>
      </c>
      <c r="K1746" s="24" t="n">
        <v>3166.666666666667</v>
      </c>
      <c r="L1746" s="24" t="n">
        <v>150</v>
      </c>
      <c r="M1746" s="24">
        <f>I1746+J1746+K1746+L1746</f>
        <v/>
      </c>
      <c r="N1746" s="24">
        <f>M1746*'Dashboard &amp; Optimisation'!$B$18/('Dashboard &amp; Optimisation'!$B$16/3.6)</f>
        <v/>
      </c>
      <c r="O1746" s="24" t="n">
        <v>875.8418631351786</v>
      </c>
      <c r="P1746" s="25" t="n">
        <v>0.06905768177243103</v>
      </c>
      <c r="Q1746" s="26" t="n">
        <v>5.941492669983736</v>
      </c>
      <c r="R1746" s="24" t="n">
        <v>3338.118800651382</v>
      </c>
      <c r="S1746" s="24">
        <f>R1746*IF(A1746=4, 2.0, 3.0)</f>
        <v/>
      </c>
      <c r="T1746" s="22">
        <f>'Dashboard &amp; Optimisation'!$B$18*U1746</f>
        <v/>
      </c>
      <c r="U1746" s="27">
        <f>MIN(1, S1746/M1746)</f>
        <v/>
      </c>
      <c r="V1746" s="27">
        <f>N1746/(N1746+O1746)</f>
        <v/>
      </c>
      <c r="W1746" s="27">
        <f>U1746*V1746</f>
        <v/>
      </c>
      <c r="X1746" s="25">
        <f>T1746/N1746</f>
        <v/>
      </c>
      <c r="Y1746" s="28">
        <f>IF(W1746=MAXIFS(W$2:W$3601, A$2:A$3601, A1746, B$2:B$3601, B1746), "OPTIMAL", "")</f>
        <v/>
      </c>
    </row>
    <row r="1747" ht="20" customHeight="1">
      <c r="A1747" s="29" t="n">
        <v>4</v>
      </c>
      <c r="B1747" s="29" t="n">
        <v>45</v>
      </c>
      <c r="C1747" s="30" t="n">
        <v>115</v>
      </c>
      <c r="D1747" s="30" t="n">
        <v>3</v>
      </c>
      <c r="E1747" s="6" t="n">
        <v>4</v>
      </c>
      <c r="F1747" s="30" t="n">
        <v>1.5</v>
      </c>
      <c r="G1747" s="6" t="inlineStr">
        <is>
          <t>Oui</t>
        </is>
      </c>
      <c r="H1747" s="6" t="inlineStr">
        <is>
          <t>OFF</t>
        </is>
      </c>
      <c r="I1747" s="31" t="n">
        <v>1132.611974342026</v>
      </c>
      <c r="J1747" s="31" t="n">
        <v>6657.967474874614</v>
      </c>
      <c r="K1747" s="31" t="n">
        <v>3166.666666666667</v>
      </c>
      <c r="L1747" s="31" t="n">
        <v>150</v>
      </c>
      <c r="M1747" s="31">
        <f>I1747+J1747+K1747+L1747</f>
        <v/>
      </c>
      <c r="N1747" s="31">
        <f>M1747*'Dashboard &amp; Optimisation'!$B$18/('Dashboard &amp; Optimisation'!$B$16/3.6)</f>
        <v/>
      </c>
      <c r="O1747" s="31" t="n">
        <v>875.8418631351786</v>
      </c>
      <c r="P1747" s="32" t="n">
        <v>0.2794623219147311</v>
      </c>
      <c r="Q1747" s="33" t="n">
        <v>5.941492669983736</v>
      </c>
      <c r="R1747" s="31" t="n">
        <v>824.8795196237181</v>
      </c>
      <c r="S1747" s="31">
        <f>R1747*IF(A1747=4, 2.0, 3.0)</f>
        <v/>
      </c>
      <c r="T1747" s="30">
        <f>'Dashboard &amp; Optimisation'!$B$18*U1747</f>
        <v/>
      </c>
      <c r="U1747" s="34">
        <f>MIN(1, S1747/M1747)</f>
        <v/>
      </c>
      <c r="V1747" s="34">
        <f>N1747/(N1747+O1747)</f>
        <v/>
      </c>
      <c r="W1747" s="34">
        <f>U1747*V1747</f>
        <v/>
      </c>
      <c r="X1747" s="32">
        <f>T1747/N1747</f>
        <v/>
      </c>
      <c r="Y1747" s="35">
        <f>IF(W1747=MAXIFS(W$2:W$3601, A$2:A$3601, A1747, B$2:B$3601, B1747), "OPTIMAL", "")</f>
        <v/>
      </c>
    </row>
    <row r="1748" ht="20" customHeight="1">
      <c r="A1748" s="21" t="n">
        <v>4</v>
      </c>
      <c r="B1748" s="21" t="n">
        <v>45</v>
      </c>
      <c r="C1748" s="22" t="n">
        <v>115</v>
      </c>
      <c r="D1748" s="22" t="n">
        <v>3</v>
      </c>
      <c r="E1748" s="23" t="n">
        <v>4</v>
      </c>
      <c r="F1748" s="22" t="n">
        <v>1.5</v>
      </c>
      <c r="G1748" s="23" t="inlineStr">
        <is>
          <t>Non</t>
        </is>
      </c>
      <c r="H1748" s="23" t="inlineStr">
        <is>
          <t>ON</t>
        </is>
      </c>
      <c r="I1748" s="24" t="n">
        <v>1132.611974342026</v>
      </c>
      <c r="J1748" s="24" t="n">
        <v>6657.967474874614</v>
      </c>
      <c r="K1748" s="24" t="n">
        <v>3166.666666666667</v>
      </c>
      <c r="L1748" s="24" t="n">
        <v>150</v>
      </c>
      <c r="M1748" s="24">
        <f>I1748+J1748+K1748+L1748</f>
        <v/>
      </c>
      <c r="N1748" s="24">
        <f>M1748*'Dashboard &amp; Optimisation'!$B$18/('Dashboard &amp; Optimisation'!$B$16/3.6)</f>
        <v/>
      </c>
      <c r="O1748" s="24" t="n">
        <v>875.8418631351786</v>
      </c>
      <c r="P1748" s="25" t="n">
        <v>0.06628976971865894</v>
      </c>
      <c r="Q1748" s="26" t="n">
        <v>5.941492669983736</v>
      </c>
      <c r="R1748" s="24" t="n">
        <v>3477.501080970957</v>
      </c>
      <c r="S1748" s="24">
        <f>R1748*IF(A1748=4, 2.0, 3.0)</f>
        <v/>
      </c>
      <c r="T1748" s="22">
        <f>'Dashboard &amp; Optimisation'!$B$18*U1748</f>
        <v/>
      </c>
      <c r="U1748" s="27">
        <f>MIN(1, S1748/M1748)</f>
        <v/>
      </c>
      <c r="V1748" s="27">
        <f>N1748/(N1748+O1748)</f>
        <v/>
      </c>
      <c r="W1748" s="27">
        <f>U1748*V1748</f>
        <v/>
      </c>
      <c r="X1748" s="25">
        <f>T1748/N1748</f>
        <v/>
      </c>
      <c r="Y1748" s="28">
        <f>IF(W1748=MAXIFS(W$2:W$3601, A$2:A$3601, A1748, B$2:B$3601, B1748), "OPTIMAL", "")</f>
        <v/>
      </c>
    </row>
    <row r="1749" ht="20" customHeight="1">
      <c r="A1749" s="29" t="n">
        <v>4</v>
      </c>
      <c r="B1749" s="29" t="n">
        <v>45</v>
      </c>
      <c r="C1749" s="30" t="n">
        <v>115</v>
      </c>
      <c r="D1749" s="30" t="n">
        <v>3</v>
      </c>
      <c r="E1749" s="6" t="n">
        <v>4</v>
      </c>
      <c r="F1749" s="30" t="n">
        <v>1.5</v>
      </c>
      <c r="G1749" s="6" t="inlineStr">
        <is>
          <t>Non</t>
        </is>
      </c>
      <c r="H1749" s="6" t="inlineStr">
        <is>
          <t>OFF</t>
        </is>
      </c>
      <c r="I1749" s="31" t="n">
        <v>1132.611974342026</v>
      </c>
      <c r="J1749" s="31" t="n">
        <v>6657.967474874614</v>
      </c>
      <c r="K1749" s="31" t="n">
        <v>3166.666666666667</v>
      </c>
      <c r="L1749" s="31" t="n">
        <v>150</v>
      </c>
      <c r="M1749" s="31">
        <f>I1749+J1749+K1749+L1749</f>
        <v/>
      </c>
      <c r="N1749" s="31">
        <f>M1749*'Dashboard &amp; Optimisation'!$B$18/('Dashboard &amp; Optimisation'!$B$16/3.6)</f>
        <v/>
      </c>
      <c r="O1749" s="31" t="n">
        <v>875.8418631351786</v>
      </c>
      <c r="P1749" s="32" t="n">
        <v>0.276694409860959</v>
      </c>
      <c r="Q1749" s="33" t="n">
        <v>5.941492669983736</v>
      </c>
      <c r="R1749" s="31" t="n">
        <v>833.1312004813961</v>
      </c>
      <c r="S1749" s="31">
        <f>R1749*IF(A1749=4, 2.0, 3.0)</f>
        <v/>
      </c>
      <c r="T1749" s="30">
        <f>'Dashboard &amp; Optimisation'!$B$18*U1749</f>
        <v/>
      </c>
      <c r="U1749" s="34">
        <f>MIN(1, S1749/M1749)</f>
        <v/>
      </c>
      <c r="V1749" s="34">
        <f>N1749/(N1749+O1749)</f>
        <v/>
      </c>
      <c r="W1749" s="34">
        <f>U1749*V1749</f>
        <v/>
      </c>
      <c r="X1749" s="32">
        <f>T1749/N1749</f>
        <v/>
      </c>
      <c r="Y1749" s="35">
        <f>IF(W1749=MAXIFS(W$2:W$3601, A$2:A$3601, A1749, B$2:B$3601, B1749), "OPTIMAL", "")</f>
        <v/>
      </c>
    </row>
    <row r="1750" ht="20" customHeight="1">
      <c r="A1750" s="21" t="n">
        <v>4</v>
      </c>
      <c r="B1750" s="21" t="n">
        <v>45</v>
      </c>
      <c r="C1750" s="22" t="n">
        <v>115</v>
      </c>
      <c r="D1750" s="22" t="n">
        <v>3</v>
      </c>
      <c r="E1750" s="23" t="n">
        <v>4</v>
      </c>
      <c r="F1750" s="22" t="n">
        <v>2</v>
      </c>
      <c r="G1750" s="23" t="inlineStr">
        <is>
          <t>Oui</t>
        </is>
      </c>
      <c r="H1750" s="23" t="inlineStr">
        <is>
          <t>ON</t>
        </is>
      </c>
      <c r="I1750" s="24" t="n">
        <v>1132.611974342026</v>
      </c>
      <c r="J1750" s="24" t="n">
        <v>6657.967474874614</v>
      </c>
      <c r="K1750" s="24" t="n">
        <v>3166.666666666667</v>
      </c>
      <c r="L1750" s="24" t="n">
        <v>150</v>
      </c>
      <c r="M1750" s="24">
        <f>I1750+J1750+K1750+L1750</f>
        <v/>
      </c>
      <c r="N1750" s="24">
        <f>M1750*'Dashboard &amp; Optimisation'!$B$18/('Dashboard &amp; Optimisation'!$B$16/3.6)</f>
        <v/>
      </c>
      <c r="O1750" s="24" t="n">
        <v>957.9990805586391</v>
      </c>
      <c r="P1750" s="25" t="n">
        <v>0.06595572049116703</v>
      </c>
      <c r="Q1750" s="26" t="n">
        <v>7.855323559978315</v>
      </c>
      <c r="R1750" s="24" t="n">
        <v>3529.043438627093</v>
      </c>
      <c r="S1750" s="24">
        <f>R1750*IF(A1750=4, 2.0, 3.0)</f>
        <v/>
      </c>
      <c r="T1750" s="22">
        <f>'Dashboard &amp; Optimisation'!$B$18*U1750</f>
        <v/>
      </c>
      <c r="U1750" s="27">
        <f>MIN(1, S1750/M1750)</f>
        <v/>
      </c>
      <c r="V1750" s="27">
        <f>N1750/(N1750+O1750)</f>
        <v/>
      </c>
      <c r="W1750" s="27">
        <f>U1750*V1750</f>
        <v/>
      </c>
      <c r="X1750" s="25">
        <f>T1750/N1750</f>
        <v/>
      </c>
      <c r="Y1750" s="28">
        <f>IF(W1750=MAXIFS(W$2:W$3601, A$2:A$3601, A1750, B$2:B$3601, B1750), "OPTIMAL", "")</f>
        <v/>
      </c>
    </row>
    <row r="1751" ht="20" customHeight="1">
      <c r="A1751" s="29" t="n">
        <v>4</v>
      </c>
      <c r="B1751" s="29" t="n">
        <v>45</v>
      </c>
      <c r="C1751" s="30" t="n">
        <v>115</v>
      </c>
      <c r="D1751" s="30" t="n">
        <v>3</v>
      </c>
      <c r="E1751" s="6" t="n">
        <v>4</v>
      </c>
      <c r="F1751" s="30" t="n">
        <v>2</v>
      </c>
      <c r="G1751" s="6" t="inlineStr">
        <is>
          <t>Oui</t>
        </is>
      </c>
      <c r="H1751" s="6" t="inlineStr">
        <is>
          <t>OFF</t>
        </is>
      </c>
      <c r="I1751" s="31" t="n">
        <v>1132.611974342026</v>
      </c>
      <c r="J1751" s="31" t="n">
        <v>6657.967474874614</v>
      </c>
      <c r="K1751" s="31" t="n">
        <v>3166.666666666667</v>
      </c>
      <c r="L1751" s="31" t="n">
        <v>150</v>
      </c>
      <c r="M1751" s="31">
        <f>I1751+J1751+K1751+L1751</f>
        <v/>
      </c>
      <c r="N1751" s="31">
        <f>M1751*'Dashboard &amp; Optimisation'!$B$18/('Dashboard &amp; Optimisation'!$B$16/3.6)</f>
        <v/>
      </c>
      <c r="O1751" s="31" t="n">
        <v>957.9990805586391</v>
      </c>
      <c r="P1751" s="32" t="n">
        <v>0.2772478604823886</v>
      </c>
      <c r="Q1751" s="33" t="n">
        <v>7.855323559978315</v>
      </c>
      <c r="R1751" s="31" t="n">
        <v>839.5397614044383</v>
      </c>
      <c r="S1751" s="31">
        <f>R1751*IF(A1751=4, 2.0, 3.0)</f>
        <v/>
      </c>
      <c r="T1751" s="30">
        <f>'Dashboard &amp; Optimisation'!$B$18*U1751</f>
        <v/>
      </c>
      <c r="U1751" s="34">
        <f>MIN(1, S1751/M1751)</f>
        <v/>
      </c>
      <c r="V1751" s="34">
        <f>N1751/(N1751+O1751)</f>
        <v/>
      </c>
      <c r="W1751" s="34">
        <f>U1751*V1751</f>
        <v/>
      </c>
      <c r="X1751" s="32">
        <f>T1751/N1751</f>
        <v/>
      </c>
      <c r="Y1751" s="35">
        <f>IF(W1751=MAXIFS(W$2:W$3601, A$2:A$3601, A1751, B$2:B$3601, B1751), "OPTIMAL", "")</f>
        <v/>
      </c>
    </row>
    <row r="1752" ht="20" customHeight="1">
      <c r="A1752" s="21" t="n">
        <v>4</v>
      </c>
      <c r="B1752" s="21" t="n">
        <v>45</v>
      </c>
      <c r="C1752" s="22" t="n">
        <v>115</v>
      </c>
      <c r="D1752" s="22" t="n">
        <v>3</v>
      </c>
      <c r="E1752" s="23" t="n">
        <v>4</v>
      </c>
      <c r="F1752" s="22" t="n">
        <v>2</v>
      </c>
      <c r="G1752" s="23" t="inlineStr">
        <is>
          <t>Non</t>
        </is>
      </c>
      <c r="H1752" s="23" t="inlineStr">
        <is>
          <t>ON</t>
        </is>
      </c>
      <c r="I1752" s="24" t="n">
        <v>1132.611974342026</v>
      </c>
      <c r="J1752" s="24" t="n">
        <v>6657.967474874614</v>
      </c>
      <c r="K1752" s="24" t="n">
        <v>3166.666666666667</v>
      </c>
      <c r="L1752" s="24" t="n">
        <v>150</v>
      </c>
      <c r="M1752" s="24">
        <f>I1752+J1752+K1752+L1752</f>
        <v/>
      </c>
      <c r="N1752" s="24">
        <f>M1752*'Dashboard &amp; Optimisation'!$B$18/('Dashboard &amp; Optimisation'!$B$16/3.6)</f>
        <v/>
      </c>
      <c r="O1752" s="24" t="n">
        <v>957.9990805586391</v>
      </c>
      <c r="P1752" s="25" t="n">
        <v>0.06318780843739494</v>
      </c>
      <c r="Q1752" s="26" t="n">
        <v>7.855323559978315</v>
      </c>
      <c r="R1752" s="24" t="n">
        <v>3683.631516827957</v>
      </c>
      <c r="S1752" s="24">
        <f>R1752*IF(A1752=4, 2.0, 3.0)</f>
        <v/>
      </c>
      <c r="T1752" s="22">
        <f>'Dashboard &amp; Optimisation'!$B$18*U1752</f>
        <v/>
      </c>
      <c r="U1752" s="27">
        <f>MIN(1, S1752/M1752)</f>
        <v/>
      </c>
      <c r="V1752" s="27">
        <f>N1752/(N1752+O1752)</f>
        <v/>
      </c>
      <c r="W1752" s="27">
        <f>U1752*V1752</f>
        <v/>
      </c>
      <c r="X1752" s="25">
        <f>T1752/N1752</f>
        <v/>
      </c>
      <c r="Y1752" s="28">
        <f>IF(W1752=MAXIFS(W$2:W$3601, A$2:A$3601, A1752, B$2:B$3601, B1752), "OPTIMAL", "")</f>
        <v/>
      </c>
    </row>
    <row r="1753" ht="20" customHeight="1">
      <c r="A1753" s="29" t="n">
        <v>4</v>
      </c>
      <c r="B1753" s="29" t="n">
        <v>45</v>
      </c>
      <c r="C1753" s="30" t="n">
        <v>115</v>
      </c>
      <c r="D1753" s="30" t="n">
        <v>3</v>
      </c>
      <c r="E1753" s="6" t="n">
        <v>4</v>
      </c>
      <c r="F1753" s="30" t="n">
        <v>2</v>
      </c>
      <c r="G1753" s="6" t="inlineStr">
        <is>
          <t>Non</t>
        </is>
      </c>
      <c r="H1753" s="6" t="inlineStr">
        <is>
          <t>OFF</t>
        </is>
      </c>
      <c r="I1753" s="31" t="n">
        <v>1132.611974342026</v>
      </c>
      <c r="J1753" s="31" t="n">
        <v>6657.967474874614</v>
      </c>
      <c r="K1753" s="31" t="n">
        <v>3166.666666666667</v>
      </c>
      <c r="L1753" s="31" t="n">
        <v>150</v>
      </c>
      <c r="M1753" s="31">
        <f>I1753+J1753+K1753+L1753</f>
        <v/>
      </c>
      <c r="N1753" s="31">
        <f>M1753*'Dashboard &amp; Optimisation'!$B$18/('Dashboard &amp; Optimisation'!$B$16/3.6)</f>
        <v/>
      </c>
      <c r="O1753" s="31" t="n">
        <v>957.9990805586391</v>
      </c>
      <c r="P1753" s="32" t="n">
        <v>0.2744799484286165</v>
      </c>
      <c r="Q1753" s="33" t="n">
        <v>7.855323559978315</v>
      </c>
      <c r="R1753" s="31" t="n">
        <v>848.0058524195225</v>
      </c>
      <c r="S1753" s="31">
        <f>R1753*IF(A1753=4, 2.0, 3.0)</f>
        <v/>
      </c>
      <c r="T1753" s="30">
        <f>'Dashboard &amp; Optimisation'!$B$18*U1753</f>
        <v/>
      </c>
      <c r="U1753" s="34">
        <f>MIN(1, S1753/M1753)</f>
        <v/>
      </c>
      <c r="V1753" s="34">
        <f>N1753/(N1753+O1753)</f>
        <v/>
      </c>
      <c r="W1753" s="34">
        <f>U1753*V1753</f>
        <v/>
      </c>
      <c r="X1753" s="32">
        <f>T1753/N1753</f>
        <v/>
      </c>
      <c r="Y1753" s="35">
        <f>IF(W1753=MAXIFS(W$2:W$3601, A$2:A$3601, A1753, B$2:B$3601, B1753), "OPTIMAL", "")</f>
        <v/>
      </c>
    </row>
    <row r="1754" ht="20" customHeight="1">
      <c r="A1754" s="21" t="n">
        <v>4</v>
      </c>
      <c r="B1754" s="21" t="n">
        <v>45</v>
      </c>
      <c r="C1754" s="22" t="n">
        <v>115</v>
      </c>
      <c r="D1754" s="22" t="n">
        <v>3</v>
      </c>
      <c r="E1754" s="23" t="n">
        <v>8</v>
      </c>
      <c r="F1754" s="22" t="n">
        <v>1.5</v>
      </c>
      <c r="G1754" s="23" t="inlineStr">
        <is>
          <t>Oui</t>
        </is>
      </c>
      <c r="H1754" s="23" t="inlineStr">
        <is>
          <t>ON</t>
        </is>
      </c>
      <c r="I1754" s="24" t="n">
        <v>1132.611974342026</v>
      </c>
      <c r="J1754" s="24" t="n">
        <v>6657.967474874614</v>
      </c>
      <c r="K1754" s="24" t="n">
        <v>3166.666666666667</v>
      </c>
      <c r="L1754" s="24" t="n">
        <v>150</v>
      </c>
      <c r="M1754" s="24">
        <f>I1754+J1754+K1754+L1754</f>
        <v/>
      </c>
      <c r="N1754" s="24">
        <f>M1754*'Dashboard &amp; Optimisation'!$B$18/('Dashboard &amp; Optimisation'!$B$16/3.6)</f>
        <v/>
      </c>
      <c r="O1754" s="24" t="n">
        <v>1127.193634855497</v>
      </c>
      <c r="P1754" s="25" t="n">
        <v>0.05237734442636455</v>
      </c>
      <c r="Q1754" s="26" t="n">
        <v>11.68298533996747</v>
      </c>
      <c r="R1754" s="24" t="n">
        <v>4531.906819215033</v>
      </c>
      <c r="S1754" s="24">
        <f>R1754*IF(A1754=4, 2.0, 3.0)</f>
        <v/>
      </c>
      <c r="T1754" s="22">
        <f>'Dashboard &amp; Optimisation'!$B$18*U1754</f>
        <v/>
      </c>
      <c r="U1754" s="27">
        <f>MIN(1, S1754/M1754)</f>
        <v/>
      </c>
      <c r="V1754" s="27">
        <f>N1754/(N1754+O1754)</f>
        <v/>
      </c>
      <c r="W1754" s="27">
        <f>U1754*V1754</f>
        <v/>
      </c>
      <c r="X1754" s="25">
        <f>T1754/N1754</f>
        <v/>
      </c>
      <c r="Y1754" s="28">
        <f>IF(W1754=MAXIFS(W$2:W$3601, A$2:A$3601, A1754, B$2:B$3601, B1754), "OPTIMAL", "")</f>
        <v/>
      </c>
    </row>
    <row r="1755" ht="20" customHeight="1">
      <c r="A1755" s="29" t="n">
        <v>4</v>
      </c>
      <c r="B1755" s="29" t="n">
        <v>45</v>
      </c>
      <c r="C1755" s="30" t="n">
        <v>115</v>
      </c>
      <c r="D1755" s="30" t="n">
        <v>3</v>
      </c>
      <c r="E1755" s="6" t="n">
        <v>8</v>
      </c>
      <c r="F1755" s="30" t="n">
        <v>1.5</v>
      </c>
      <c r="G1755" s="6" t="inlineStr">
        <is>
          <t>Oui</t>
        </is>
      </c>
      <c r="H1755" s="6" t="inlineStr">
        <is>
          <t>OFF</t>
        </is>
      </c>
      <c r="I1755" s="31" t="n">
        <v>1132.611974342026</v>
      </c>
      <c r="J1755" s="31" t="n">
        <v>6657.967474874614</v>
      </c>
      <c r="K1755" s="31" t="n">
        <v>3166.666666666667</v>
      </c>
      <c r="L1755" s="31" t="n">
        <v>150</v>
      </c>
      <c r="M1755" s="31">
        <f>I1755+J1755+K1755+L1755</f>
        <v/>
      </c>
      <c r="N1755" s="31">
        <f>M1755*'Dashboard &amp; Optimisation'!$B$18/('Dashboard &amp; Optimisation'!$B$16/3.6)</f>
        <v/>
      </c>
      <c r="O1755" s="31" t="n">
        <v>1127.193634855497</v>
      </c>
      <c r="P1755" s="32" t="n">
        <v>0.2220791446673444</v>
      </c>
      <c r="Q1755" s="33" t="n">
        <v>11.68298533996747</v>
      </c>
      <c r="R1755" s="31" t="n">
        <v>1068.849777559144</v>
      </c>
      <c r="S1755" s="31">
        <f>R1755*IF(A1755=4, 2.0, 3.0)</f>
        <v/>
      </c>
      <c r="T1755" s="30">
        <f>'Dashboard &amp; Optimisation'!$B$18*U1755</f>
        <v/>
      </c>
      <c r="U1755" s="34">
        <f>MIN(1, S1755/M1755)</f>
        <v/>
      </c>
      <c r="V1755" s="34">
        <f>N1755/(N1755+O1755)</f>
        <v/>
      </c>
      <c r="W1755" s="34">
        <f>U1755*V1755</f>
        <v/>
      </c>
      <c r="X1755" s="32">
        <f>T1755/N1755</f>
        <v/>
      </c>
      <c r="Y1755" s="35">
        <f>IF(W1755=MAXIFS(W$2:W$3601, A$2:A$3601, A1755, B$2:B$3601, B1755), "OPTIMAL", "")</f>
        <v/>
      </c>
    </row>
    <row r="1756" ht="20" customHeight="1">
      <c r="A1756" s="21" t="n">
        <v>4</v>
      </c>
      <c r="B1756" s="21" t="n">
        <v>45</v>
      </c>
      <c r="C1756" s="22" t="n">
        <v>115</v>
      </c>
      <c r="D1756" s="22" t="n">
        <v>3</v>
      </c>
      <c r="E1756" s="23" t="n">
        <v>8</v>
      </c>
      <c r="F1756" s="22" t="n">
        <v>1.5</v>
      </c>
      <c r="G1756" s="23" t="inlineStr">
        <is>
          <t>Non</t>
        </is>
      </c>
      <c r="H1756" s="23" t="inlineStr">
        <is>
          <t>ON</t>
        </is>
      </c>
      <c r="I1756" s="24" t="n">
        <v>1132.611974342026</v>
      </c>
      <c r="J1756" s="24" t="n">
        <v>6657.967474874614</v>
      </c>
      <c r="K1756" s="24" t="n">
        <v>3166.666666666667</v>
      </c>
      <c r="L1756" s="24" t="n">
        <v>150</v>
      </c>
      <c r="M1756" s="24">
        <f>I1756+J1756+K1756+L1756</f>
        <v/>
      </c>
      <c r="N1756" s="24">
        <f>M1756*'Dashboard &amp; Optimisation'!$B$18/('Dashboard &amp; Optimisation'!$B$16/3.6)</f>
        <v/>
      </c>
      <c r="O1756" s="24" t="n">
        <v>1127.193634855497</v>
      </c>
      <c r="P1756" s="25" t="n">
        <v>0.04960943237259246</v>
      </c>
      <c r="Q1756" s="26" t="n">
        <v>11.68298533996747</v>
      </c>
      <c r="R1756" s="24" t="n">
        <v>4784.760337418304</v>
      </c>
      <c r="S1756" s="24">
        <f>R1756*IF(A1756=4, 2.0, 3.0)</f>
        <v/>
      </c>
      <c r="T1756" s="22">
        <f>'Dashboard &amp; Optimisation'!$B$18*U1756</f>
        <v/>
      </c>
      <c r="U1756" s="27">
        <f>MIN(1, S1756/M1756)</f>
        <v/>
      </c>
      <c r="V1756" s="27">
        <f>N1756/(N1756+O1756)</f>
        <v/>
      </c>
      <c r="W1756" s="27">
        <f>U1756*V1756</f>
        <v/>
      </c>
      <c r="X1756" s="25">
        <f>T1756/N1756</f>
        <v/>
      </c>
      <c r="Y1756" s="28">
        <f>IF(W1756=MAXIFS(W$2:W$3601, A$2:A$3601, A1756, B$2:B$3601, B1756), "OPTIMAL", "")</f>
        <v/>
      </c>
    </row>
    <row r="1757" ht="20" customHeight="1">
      <c r="A1757" s="29" t="n">
        <v>4</v>
      </c>
      <c r="B1757" s="29" t="n">
        <v>45</v>
      </c>
      <c r="C1757" s="30" t="n">
        <v>115</v>
      </c>
      <c r="D1757" s="30" t="n">
        <v>3</v>
      </c>
      <c r="E1757" s="6" t="n">
        <v>8</v>
      </c>
      <c r="F1757" s="30" t="n">
        <v>1.5</v>
      </c>
      <c r="G1757" s="6" t="inlineStr">
        <is>
          <t>Non</t>
        </is>
      </c>
      <c r="H1757" s="6" t="inlineStr">
        <is>
          <t>OFF</t>
        </is>
      </c>
      <c r="I1757" s="31" t="n">
        <v>1132.611974342026</v>
      </c>
      <c r="J1757" s="31" t="n">
        <v>6657.967474874614</v>
      </c>
      <c r="K1757" s="31" t="n">
        <v>3166.666666666667</v>
      </c>
      <c r="L1757" s="31" t="n">
        <v>150</v>
      </c>
      <c r="M1757" s="31">
        <f>I1757+J1757+K1757+L1757</f>
        <v/>
      </c>
      <c r="N1757" s="31">
        <f>M1757*'Dashboard &amp; Optimisation'!$B$18/('Dashboard &amp; Optimisation'!$B$16/3.6)</f>
        <v/>
      </c>
      <c r="O1757" s="31" t="n">
        <v>1127.193634855497</v>
      </c>
      <c r="P1757" s="32" t="n">
        <v>0.2193112326135723</v>
      </c>
      <c r="Q1757" s="33" t="n">
        <v>11.68298533996747</v>
      </c>
      <c r="R1757" s="31" t="n">
        <v>1082.339657433151</v>
      </c>
      <c r="S1757" s="31">
        <f>R1757*IF(A1757=4, 2.0, 3.0)</f>
        <v/>
      </c>
      <c r="T1757" s="30">
        <f>'Dashboard &amp; Optimisation'!$B$18*U1757</f>
        <v/>
      </c>
      <c r="U1757" s="34">
        <f>MIN(1, S1757/M1757)</f>
        <v/>
      </c>
      <c r="V1757" s="34">
        <f>N1757/(N1757+O1757)</f>
        <v/>
      </c>
      <c r="W1757" s="34">
        <f>U1757*V1757</f>
        <v/>
      </c>
      <c r="X1757" s="32">
        <f>T1757/N1757</f>
        <v/>
      </c>
      <c r="Y1757" s="35">
        <f>IF(W1757=MAXIFS(W$2:W$3601, A$2:A$3601, A1757, B$2:B$3601, B1757), "OPTIMAL", "")</f>
        <v/>
      </c>
    </row>
    <row r="1758" ht="20" customHeight="1">
      <c r="A1758" s="21" t="n">
        <v>4</v>
      </c>
      <c r="B1758" s="21" t="n">
        <v>45</v>
      </c>
      <c r="C1758" s="22" t="n">
        <v>115</v>
      </c>
      <c r="D1758" s="22" t="n">
        <v>3</v>
      </c>
      <c r="E1758" s="23" t="n">
        <v>8</v>
      </c>
      <c r="F1758" s="22" t="n">
        <v>2</v>
      </c>
      <c r="G1758" s="23" t="inlineStr">
        <is>
          <t>Oui</t>
        </is>
      </c>
      <c r="H1758" s="23" t="inlineStr">
        <is>
          <t>ON</t>
        </is>
      </c>
      <c r="I1758" s="24" t="n">
        <v>1132.611974342026</v>
      </c>
      <c r="J1758" s="24" t="n">
        <v>6657.967474874614</v>
      </c>
      <c r="K1758" s="24" t="n">
        <v>3166.666666666667</v>
      </c>
      <c r="L1758" s="24" t="n">
        <v>150</v>
      </c>
      <c r="M1758" s="24">
        <f>I1758+J1758+K1758+L1758</f>
        <v/>
      </c>
      <c r="N1758" s="24">
        <f>M1758*'Dashboard &amp; Optimisation'!$B$18/('Dashboard &amp; Optimisation'!$B$16/3.6)</f>
        <v/>
      </c>
      <c r="O1758" s="24" t="n">
        <v>1303.223607808033</v>
      </c>
      <c r="P1758" s="25" t="n">
        <v>0.05090778119320737</v>
      </c>
      <c r="Q1758" s="26" t="n">
        <v>15.51064711995663</v>
      </c>
      <c r="R1758" s="24" t="n">
        <v>4756.916692132914</v>
      </c>
      <c r="S1758" s="24">
        <f>R1758*IF(A1758=4, 2.0, 3.0)</f>
        <v/>
      </c>
      <c r="T1758" s="22">
        <f>'Dashboard &amp; Optimisation'!$B$18*U1758</f>
        <v/>
      </c>
      <c r="U1758" s="27">
        <f>MIN(1, S1758/M1758)</f>
        <v/>
      </c>
      <c r="V1758" s="27">
        <f>N1758/(N1758+O1758)</f>
        <v/>
      </c>
      <c r="W1758" s="27">
        <f>U1758*V1758</f>
        <v/>
      </c>
      <c r="X1758" s="25">
        <f>T1758/N1758</f>
        <v/>
      </c>
      <c r="Y1758" s="28">
        <f>IF(W1758=MAXIFS(W$2:W$3601, A$2:A$3601, A1758, B$2:B$3601, B1758), "OPTIMAL", "")</f>
        <v/>
      </c>
    </row>
    <row r="1759" ht="20" customHeight="1">
      <c r="A1759" s="29" t="n">
        <v>4</v>
      </c>
      <c r="B1759" s="29" t="n">
        <v>45</v>
      </c>
      <c r="C1759" s="30" t="n">
        <v>115</v>
      </c>
      <c r="D1759" s="30" t="n">
        <v>3</v>
      </c>
      <c r="E1759" s="6" t="n">
        <v>8</v>
      </c>
      <c r="F1759" s="30" t="n">
        <v>2</v>
      </c>
      <c r="G1759" s="6" t="inlineStr">
        <is>
          <t>Oui</t>
        </is>
      </c>
      <c r="H1759" s="6" t="inlineStr">
        <is>
          <t>OFF</t>
        </is>
      </c>
      <c r="I1759" s="31" t="n">
        <v>1132.611974342026</v>
      </c>
      <c r="J1759" s="31" t="n">
        <v>6657.967474874614</v>
      </c>
      <c r="K1759" s="31" t="n">
        <v>3166.666666666667</v>
      </c>
      <c r="L1759" s="31" t="n">
        <v>150</v>
      </c>
      <c r="M1759" s="31">
        <f>I1759+J1759+K1759+L1759</f>
        <v/>
      </c>
      <c r="N1759" s="31">
        <f>M1759*'Dashboard &amp; Optimisation'!$B$18/('Dashboard &amp; Optimisation'!$B$16/3.6)</f>
        <v/>
      </c>
      <c r="O1759" s="31" t="n">
        <v>1303.223607808033</v>
      </c>
      <c r="P1759" s="32" t="n">
        <v>0.2217675898086125</v>
      </c>
      <c r="Q1759" s="33" t="n">
        <v>15.51064711995663</v>
      </c>
      <c r="R1759" s="31" t="n">
        <v>1091.972340622036</v>
      </c>
      <c r="S1759" s="31">
        <f>R1759*IF(A1759=4, 2.0, 3.0)</f>
        <v/>
      </c>
      <c r="T1759" s="30">
        <f>'Dashboard &amp; Optimisation'!$B$18*U1759</f>
        <v/>
      </c>
      <c r="U1759" s="34">
        <f>MIN(1, S1759/M1759)</f>
        <v/>
      </c>
      <c r="V1759" s="34">
        <f>N1759/(N1759+O1759)</f>
        <v/>
      </c>
      <c r="W1759" s="34">
        <f>U1759*V1759</f>
        <v/>
      </c>
      <c r="X1759" s="32">
        <f>T1759/N1759</f>
        <v/>
      </c>
      <c r="Y1759" s="35">
        <f>IF(W1759=MAXIFS(W$2:W$3601, A$2:A$3601, A1759, B$2:B$3601, B1759), "OPTIMAL", "")</f>
        <v/>
      </c>
    </row>
    <row r="1760" ht="20" customHeight="1">
      <c r="A1760" s="21" t="n">
        <v>4</v>
      </c>
      <c r="B1760" s="21" t="n">
        <v>45</v>
      </c>
      <c r="C1760" s="22" t="n">
        <v>115</v>
      </c>
      <c r="D1760" s="22" t="n">
        <v>3</v>
      </c>
      <c r="E1760" s="23" t="n">
        <v>8</v>
      </c>
      <c r="F1760" s="22" t="n">
        <v>2</v>
      </c>
      <c r="G1760" s="23" t="inlineStr">
        <is>
          <t>Non</t>
        </is>
      </c>
      <c r="H1760" s="23" t="inlineStr">
        <is>
          <t>ON</t>
        </is>
      </c>
      <c r="I1760" s="24" t="n">
        <v>1132.611974342026</v>
      </c>
      <c r="J1760" s="24" t="n">
        <v>6657.967474874614</v>
      </c>
      <c r="K1760" s="24" t="n">
        <v>3166.666666666667</v>
      </c>
      <c r="L1760" s="24" t="n">
        <v>150</v>
      </c>
      <c r="M1760" s="24">
        <f>I1760+J1760+K1760+L1760</f>
        <v/>
      </c>
      <c r="N1760" s="24">
        <f>M1760*'Dashboard &amp; Optimisation'!$B$18/('Dashboard &amp; Optimisation'!$B$16/3.6)</f>
        <v/>
      </c>
      <c r="O1760" s="24" t="n">
        <v>1303.223607808033</v>
      </c>
      <c r="P1760" s="25" t="n">
        <v>0.04813986913943527</v>
      </c>
      <c r="Q1760" s="26" t="n">
        <v>15.51064711995663</v>
      </c>
      <c r="R1760" s="24" t="n">
        <v>5030.426514372095</v>
      </c>
      <c r="S1760" s="24">
        <f>R1760*IF(A1760=4, 2.0, 3.0)</f>
        <v/>
      </c>
      <c r="T1760" s="22">
        <f>'Dashboard &amp; Optimisation'!$B$18*U1760</f>
        <v/>
      </c>
      <c r="U1760" s="27">
        <f>MIN(1, S1760/M1760)</f>
        <v/>
      </c>
      <c r="V1760" s="27">
        <f>N1760/(N1760+O1760)</f>
        <v/>
      </c>
      <c r="W1760" s="27">
        <f>U1760*V1760</f>
        <v/>
      </c>
      <c r="X1760" s="25">
        <f>T1760/N1760</f>
        <v/>
      </c>
      <c r="Y1760" s="28">
        <f>IF(W1760=MAXIFS(W$2:W$3601, A$2:A$3601, A1760, B$2:B$3601, B1760), "OPTIMAL", "")</f>
        <v/>
      </c>
    </row>
    <row r="1761" ht="20" customHeight="1">
      <c r="A1761" s="29" t="n">
        <v>4</v>
      </c>
      <c r="B1761" s="29" t="n">
        <v>45</v>
      </c>
      <c r="C1761" s="30" t="n">
        <v>115</v>
      </c>
      <c r="D1761" s="30" t="n">
        <v>3</v>
      </c>
      <c r="E1761" s="6" t="n">
        <v>8</v>
      </c>
      <c r="F1761" s="30" t="n">
        <v>2</v>
      </c>
      <c r="G1761" s="6" t="inlineStr">
        <is>
          <t>Non</t>
        </is>
      </c>
      <c r="H1761" s="6" t="inlineStr">
        <is>
          <t>OFF</t>
        </is>
      </c>
      <c r="I1761" s="31" t="n">
        <v>1132.611974342026</v>
      </c>
      <c r="J1761" s="31" t="n">
        <v>6657.967474874614</v>
      </c>
      <c r="K1761" s="31" t="n">
        <v>3166.666666666667</v>
      </c>
      <c r="L1761" s="31" t="n">
        <v>150</v>
      </c>
      <c r="M1761" s="31">
        <f>I1761+J1761+K1761+L1761</f>
        <v/>
      </c>
      <c r="N1761" s="31">
        <f>M1761*'Dashboard &amp; Optimisation'!$B$18/('Dashboard &amp; Optimisation'!$B$16/3.6)</f>
        <v/>
      </c>
      <c r="O1761" s="31" t="n">
        <v>1303.223607808033</v>
      </c>
      <c r="P1761" s="32" t="n">
        <v>0.2189996777548404</v>
      </c>
      <c r="Q1761" s="33" t="n">
        <v>15.51064711995663</v>
      </c>
      <c r="R1761" s="31" t="n">
        <v>1105.773655011991</v>
      </c>
      <c r="S1761" s="31">
        <f>R1761*IF(A1761=4, 2.0, 3.0)</f>
        <v/>
      </c>
      <c r="T1761" s="30">
        <f>'Dashboard &amp; Optimisation'!$B$18*U1761</f>
        <v/>
      </c>
      <c r="U1761" s="34">
        <f>MIN(1, S1761/M1761)</f>
        <v/>
      </c>
      <c r="V1761" s="34">
        <f>N1761/(N1761+O1761)</f>
        <v/>
      </c>
      <c r="W1761" s="34">
        <f>U1761*V1761</f>
        <v/>
      </c>
      <c r="X1761" s="32">
        <f>T1761/N1761</f>
        <v/>
      </c>
      <c r="Y1761" s="35">
        <f>IF(W1761=MAXIFS(W$2:W$3601, A$2:A$3601, A1761, B$2:B$3601, B1761), "OPTIMAL", "")</f>
        <v/>
      </c>
    </row>
    <row r="1762" ht="20" customHeight="1">
      <c r="A1762" s="21" t="n">
        <v>4</v>
      </c>
      <c r="B1762" s="21" t="n">
        <v>45</v>
      </c>
      <c r="C1762" s="22" t="n">
        <v>120</v>
      </c>
      <c r="D1762" s="22" t="n">
        <v>2</v>
      </c>
      <c r="E1762" s="23" t="n">
        <v>0</v>
      </c>
      <c r="F1762" s="22" t="n">
        <v>0</v>
      </c>
      <c r="G1762" s="23" t="inlineStr">
        <is>
          <t>Oui</t>
        </is>
      </c>
      <c r="H1762" s="23" t="inlineStr">
        <is>
          <t>ON</t>
        </is>
      </c>
      <c r="I1762" s="24" t="n">
        <v>1132.611974342026</v>
      </c>
      <c r="J1762" s="24" t="n">
        <v>6657.967474874614</v>
      </c>
      <c r="K1762" s="24" t="n">
        <v>3166.666666666667</v>
      </c>
      <c r="L1762" s="24" t="n">
        <v>150</v>
      </c>
      <c r="M1762" s="24">
        <f>I1762+J1762+K1762+L1762</f>
        <v/>
      </c>
      <c r="N1762" s="24">
        <f>M1762*'Dashboard &amp; Optimisation'!$B$18/('Dashboard &amp; Optimisation'!$B$16/3.6)</f>
        <v/>
      </c>
      <c r="O1762" s="24" t="n">
        <v>396.0292215172896</v>
      </c>
      <c r="P1762" s="25" t="n">
        <v>0.4668808197339223</v>
      </c>
      <c r="Q1762" s="26" t="n">
        <v>0.2</v>
      </c>
      <c r="R1762" s="24" t="n">
        <v>423.7361921293952</v>
      </c>
      <c r="S1762" s="24">
        <f>R1762*IF(A1762=4, 2.0, 3.0)</f>
        <v/>
      </c>
      <c r="T1762" s="22">
        <f>'Dashboard &amp; Optimisation'!$B$18*U1762</f>
        <v/>
      </c>
      <c r="U1762" s="27">
        <f>MIN(1, S1762/M1762)</f>
        <v/>
      </c>
      <c r="V1762" s="27">
        <f>N1762/(N1762+O1762)</f>
        <v/>
      </c>
      <c r="W1762" s="27">
        <f>U1762*V1762</f>
        <v/>
      </c>
      <c r="X1762" s="25">
        <f>T1762/N1762</f>
        <v/>
      </c>
      <c r="Y1762" s="28">
        <f>IF(W1762=MAXIFS(W$2:W$3601, A$2:A$3601, A1762, B$2:B$3601, B1762), "OPTIMAL", "")</f>
        <v/>
      </c>
    </row>
    <row r="1763" ht="20" customHeight="1">
      <c r="A1763" s="29" t="n">
        <v>4</v>
      </c>
      <c r="B1763" s="29" t="n">
        <v>45</v>
      </c>
      <c r="C1763" s="30" t="n">
        <v>120</v>
      </c>
      <c r="D1763" s="30" t="n">
        <v>2</v>
      </c>
      <c r="E1763" s="6" t="n">
        <v>0</v>
      </c>
      <c r="F1763" s="30" t="n">
        <v>0</v>
      </c>
      <c r="G1763" s="6" t="inlineStr">
        <is>
          <t>Oui</t>
        </is>
      </c>
      <c r="H1763" s="6" t="inlineStr">
        <is>
          <t>OFF</t>
        </is>
      </c>
      <c r="I1763" s="31" t="n">
        <v>1132.611974342026</v>
      </c>
      <c r="J1763" s="31" t="n">
        <v>6657.967474874614</v>
      </c>
      <c r="K1763" s="31" t="n">
        <v>3166.666666666667</v>
      </c>
      <c r="L1763" s="31" t="n">
        <v>150</v>
      </c>
      <c r="M1763" s="31">
        <f>I1763+J1763+K1763+L1763</f>
        <v/>
      </c>
      <c r="N1763" s="31">
        <f>M1763*'Dashboard &amp; Optimisation'!$B$18/('Dashboard &amp; Optimisation'!$B$16/3.6)</f>
        <v/>
      </c>
      <c r="O1763" s="31" t="n">
        <v>396.0292215172896</v>
      </c>
      <c r="P1763" s="32" t="n">
        <v>0.7321390582204146</v>
      </c>
      <c r="Q1763" s="33" t="n">
        <v>0.2</v>
      </c>
      <c r="R1763" s="31" t="n">
        <v>270.2141055186592</v>
      </c>
      <c r="S1763" s="31">
        <f>R1763*IF(A1763=4, 2.0, 3.0)</f>
        <v/>
      </c>
      <c r="T1763" s="30">
        <f>'Dashboard &amp; Optimisation'!$B$18*U1763</f>
        <v/>
      </c>
      <c r="U1763" s="34">
        <f>MIN(1, S1763/M1763)</f>
        <v/>
      </c>
      <c r="V1763" s="34">
        <f>N1763/(N1763+O1763)</f>
        <v/>
      </c>
      <c r="W1763" s="34">
        <f>U1763*V1763</f>
        <v/>
      </c>
      <c r="X1763" s="32">
        <f>T1763/N1763</f>
        <v/>
      </c>
      <c r="Y1763" s="35">
        <f>IF(W1763=MAXIFS(W$2:W$3601, A$2:A$3601, A1763, B$2:B$3601, B1763), "OPTIMAL", "")</f>
        <v/>
      </c>
    </row>
    <row r="1764" ht="20" customHeight="1">
      <c r="A1764" s="21" t="n">
        <v>4</v>
      </c>
      <c r="B1764" s="21" t="n">
        <v>45</v>
      </c>
      <c r="C1764" s="22" t="n">
        <v>120</v>
      </c>
      <c r="D1764" s="22" t="n">
        <v>2</v>
      </c>
      <c r="E1764" s="23" t="n">
        <v>0</v>
      </c>
      <c r="F1764" s="22" t="n">
        <v>0</v>
      </c>
      <c r="G1764" s="23" t="inlineStr">
        <is>
          <t>Non</t>
        </is>
      </c>
      <c r="H1764" s="23" t="inlineStr">
        <is>
          <t>ON</t>
        </is>
      </c>
      <c r="I1764" s="24" t="n">
        <v>1132.611974342026</v>
      </c>
      <c r="J1764" s="24" t="n">
        <v>6657.967474874614</v>
      </c>
      <c r="K1764" s="24" t="n">
        <v>3166.666666666667</v>
      </c>
      <c r="L1764" s="24" t="n">
        <v>150</v>
      </c>
      <c r="M1764" s="24">
        <f>I1764+J1764+K1764+L1764</f>
        <v/>
      </c>
      <c r="N1764" s="24">
        <f>M1764*'Dashboard &amp; Optimisation'!$B$18/('Dashboard &amp; Optimisation'!$B$16/3.6)</f>
        <v/>
      </c>
      <c r="O1764" s="24" t="n">
        <v>396.0292215172896</v>
      </c>
      <c r="P1764" s="25" t="n">
        <v>0.4642282373490574</v>
      </c>
      <c r="Q1764" s="26" t="n">
        <v>0.2</v>
      </c>
      <c r="R1764" s="24" t="n">
        <v>426.157404517273</v>
      </c>
      <c r="S1764" s="24">
        <f>R1764*IF(A1764=4, 2.0, 3.0)</f>
        <v/>
      </c>
      <c r="T1764" s="22">
        <f>'Dashboard &amp; Optimisation'!$B$18*U1764</f>
        <v/>
      </c>
      <c r="U1764" s="27">
        <f>MIN(1, S1764/M1764)</f>
        <v/>
      </c>
      <c r="V1764" s="27">
        <f>N1764/(N1764+O1764)</f>
        <v/>
      </c>
      <c r="W1764" s="27">
        <f>U1764*V1764</f>
        <v/>
      </c>
      <c r="X1764" s="25">
        <f>T1764/N1764</f>
        <v/>
      </c>
      <c r="Y1764" s="28">
        <f>IF(W1764=MAXIFS(W$2:W$3601, A$2:A$3601, A1764, B$2:B$3601, B1764), "OPTIMAL", "")</f>
        <v/>
      </c>
    </row>
    <row r="1765" ht="20" customHeight="1">
      <c r="A1765" s="29" t="n">
        <v>4</v>
      </c>
      <c r="B1765" s="29" t="n">
        <v>45</v>
      </c>
      <c r="C1765" s="30" t="n">
        <v>120</v>
      </c>
      <c r="D1765" s="30" t="n">
        <v>2</v>
      </c>
      <c r="E1765" s="6" t="n">
        <v>0</v>
      </c>
      <c r="F1765" s="30" t="n">
        <v>0</v>
      </c>
      <c r="G1765" s="6" t="inlineStr">
        <is>
          <t>Non</t>
        </is>
      </c>
      <c r="H1765" s="6" t="inlineStr">
        <is>
          <t>OFF</t>
        </is>
      </c>
      <c r="I1765" s="31" t="n">
        <v>1132.611974342026</v>
      </c>
      <c r="J1765" s="31" t="n">
        <v>6657.967474874614</v>
      </c>
      <c r="K1765" s="31" t="n">
        <v>3166.666666666667</v>
      </c>
      <c r="L1765" s="31" t="n">
        <v>150</v>
      </c>
      <c r="M1765" s="31">
        <f>I1765+J1765+K1765+L1765</f>
        <v/>
      </c>
      <c r="N1765" s="31">
        <f>M1765*'Dashboard &amp; Optimisation'!$B$18/('Dashboard &amp; Optimisation'!$B$16/3.6)</f>
        <v/>
      </c>
      <c r="O1765" s="31" t="n">
        <v>396.0292215172896</v>
      </c>
      <c r="P1765" s="32" t="n">
        <v>0.7294864758355497</v>
      </c>
      <c r="Q1765" s="33" t="n">
        <v>0.2</v>
      </c>
      <c r="R1765" s="31" t="n">
        <v>271.1966668137399</v>
      </c>
      <c r="S1765" s="31">
        <f>R1765*IF(A1765=4, 2.0, 3.0)</f>
        <v/>
      </c>
      <c r="T1765" s="30">
        <f>'Dashboard &amp; Optimisation'!$B$18*U1765</f>
        <v/>
      </c>
      <c r="U1765" s="34">
        <f>MIN(1, S1765/M1765)</f>
        <v/>
      </c>
      <c r="V1765" s="34">
        <f>N1765/(N1765+O1765)</f>
        <v/>
      </c>
      <c r="W1765" s="34">
        <f>U1765*V1765</f>
        <v/>
      </c>
      <c r="X1765" s="32">
        <f>T1765/N1765</f>
        <v/>
      </c>
      <c r="Y1765" s="35">
        <f>IF(W1765=MAXIFS(W$2:W$3601, A$2:A$3601, A1765, B$2:B$3601, B1765), "OPTIMAL", "")</f>
        <v/>
      </c>
    </row>
    <row r="1766" ht="20" customHeight="1">
      <c r="A1766" s="21" t="n">
        <v>4</v>
      </c>
      <c r="B1766" s="21" t="n">
        <v>45</v>
      </c>
      <c r="C1766" s="22" t="n">
        <v>120</v>
      </c>
      <c r="D1766" s="22" t="n">
        <v>2</v>
      </c>
      <c r="E1766" s="23" t="n">
        <v>4</v>
      </c>
      <c r="F1766" s="22" t="n">
        <v>1.5</v>
      </c>
      <c r="G1766" s="23" t="inlineStr">
        <is>
          <t>Oui</t>
        </is>
      </c>
      <c r="H1766" s="23" t="inlineStr">
        <is>
          <t>ON</t>
        </is>
      </c>
      <c r="I1766" s="24" t="n">
        <v>1132.611974342026</v>
      </c>
      <c r="J1766" s="24" t="n">
        <v>6657.967474874614</v>
      </c>
      <c r="K1766" s="24" t="n">
        <v>3166.666666666667</v>
      </c>
      <c r="L1766" s="24" t="n">
        <v>150</v>
      </c>
      <c r="M1766" s="24">
        <f>I1766+J1766+K1766+L1766</f>
        <v/>
      </c>
      <c r="N1766" s="24">
        <f>M1766*'Dashboard &amp; Optimisation'!$B$18/('Dashboard &amp; Optimisation'!$B$16/3.6)</f>
        <v/>
      </c>
      <c r="O1766" s="24" t="n">
        <v>608.849908181526</v>
      </c>
      <c r="P1766" s="25" t="n">
        <v>0.06805759746267123</v>
      </c>
      <c r="Q1766" s="26" t="n">
        <v>5.595023284726097</v>
      </c>
      <c r="R1766" s="24" t="n">
        <v>2985.51280085404</v>
      </c>
      <c r="S1766" s="24">
        <f>R1766*IF(A1766=4, 2.0, 3.0)</f>
        <v/>
      </c>
      <c r="T1766" s="22">
        <f>'Dashboard &amp; Optimisation'!$B$18*U1766</f>
        <v/>
      </c>
      <c r="U1766" s="27">
        <f>MIN(1, S1766/M1766)</f>
        <v/>
      </c>
      <c r="V1766" s="27">
        <f>N1766/(N1766+O1766)</f>
        <v/>
      </c>
      <c r="W1766" s="27">
        <f>U1766*V1766</f>
        <v/>
      </c>
      <c r="X1766" s="25">
        <f>T1766/N1766</f>
        <v/>
      </c>
      <c r="Y1766" s="28">
        <f>IF(W1766=MAXIFS(W$2:W$3601, A$2:A$3601, A1766, B$2:B$3601, B1766), "OPTIMAL", "")</f>
        <v/>
      </c>
    </row>
    <row r="1767" ht="20" customHeight="1">
      <c r="A1767" s="29" t="n">
        <v>4</v>
      </c>
      <c r="B1767" s="29" t="n">
        <v>45</v>
      </c>
      <c r="C1767" s="30" t="n">
        <v>120</v>
      </c>
      <c r="D1767" s="30" t="n">
        <v>2</v>
      </c>
      <c r="E1767" s="6" t="n">
        <v>4</v>
      </c>
      <c r="F1767" s="30" t="n">
        <v>1.5</v>
      </c>
      <c r="G1767" s="6" t="inlineStr">
        <is>
          <t>Oui</t>
        </is>
      </c>
      <c r="H1767" s="6" t="inlineStr">
        <is>
          <t>OFF</t>
        </is>
      </c>
      <c r="I1767" s="31" t="n">
        <v>1132.611974342026</v>
      </c>
      <c r="J1767" s="31" t="n">
        <v>6657.967474874614</v>
      </c>
      <c r="K1767" s="31" t="n">
        <v>3166.666666666667</v>
      </c>
      <c r="L1767" s="31" t="n">
        <v>150</v>
      </c>
      <c r="M1767" s="31">
        <f>I1767+J1767+K1767+L1767</f>
        <v/>
      </c>
      <c r="N1767" s="31">
        <f>M1767*'Dashboard &amp; Optimisation'!$B$18/('Dashboard &amp; Optimisation'!$B$16/3.6)</f>
        <v/>
      </c>
      <c r="O1767" s="31" t="n">
        <v>608.849908181526</v>
      </c>
      <c r="P1767" s="32" t="n">
        <v>0.2717308104184109</v>
      </c>
      <c r="Q1767" s="33" t="n">
        <v>5.595023284726097</v>
      </c>
      <c r="R1767" s="31" t="n">
        <v>747.7504229546494</v>
      </c>
      <c r="S1767" s="31">
        <f>R1767*IF(A1767=4, 2.0, 3.0)</f>
        <v/>
      </c>
      <c r="T1767" s="30">
        <f>'Dashboard &amp; Optimisation'!$B$18*U1767</f>
        <v/>
      </c>
      <c r="U1767" s="34">
        <f>MIN(1, S1767/M1767)</f>
        <v/>
      </c>
      <c r="V1767" s="34">
        <f>N1767/(N1767+O1767)</f>
        <v/>
      </c>
      <c r="W1767" s="34">
        <f>U1767*V1767</f>
        <v/>
      </c>
      <c r="X1767" s="32">
        <f>T1767/N1767</f>
        <v/>
      </c>
      <c r="Y1767" s="35">
        <f>IF(W1767=MAXIFS(W$2:W$3601, A$2:A$3601, A1767, B$2:B$3601, B1767), "OPTIMAL", "")</f>
        <v/>
      </c>
    </row>
    <row r="1768" ht="20" customHeight="1">
      <c r="A1768" s="21" t="n">
        <v>4</v>
      </c>
      <c r="B1768" s="21" t="n">
        <v>45</v>
      </c>
      <c r="C1768" s="22" t="n">
        <v>120</v>
      </c>
      <c r="D1768" s="22" t="n">
        <v>2</v>
      </c>
      <c r="E1768" s="23" t="n">
        <v>4</v>
      </c>
      <c r="F1768" s="22" t="n">
        <v>1.5</v>
      </c>
      <c r="G1768" s="23" t="inlineStr">
        <is>
          <t>Non</t>
        </is>
      </c>
      <c r="H1768" s="23" t="inlineStr">
        <is>
          <t>ON</t>
        </is>
      </c>
      <c r="I1768" s="24" t="n">
        <v>1132.611974342026</v>
      </c>
      <c r="J1768" s="24" t="n">
        <v>6657.967474874614</v>
      </c>
      <c r="K1768" s="24" t="n">
        <v>3166.666666666667</v>
      </c>
      <c r="L1768" s="24" t="n">
        <v>150</v>
      </c>
      <c r="M1768" s="24">
        <f>I1768+J1768+K1768+L1768</f>
        <v/>
      </c>
      <c r="N1768" s="24">
        <f>M1768*'Dashboard &amp; Optimisation'!$B$18/('Dashboard &amp; Optimisation'!$B$16/3.6)</f>
        <v/>
      </c>
      <c r="O1768" s="24" t="n">
        <v>608.849908181526</v>
      </c>
      <c r="P1768" s="25" t="n">
        <v>0.0654050150778063</v>
      </c>
      <c r="Q1768" s="26" t="n">
        <v>5.595023284726097</v>
      </c>
      <c r="R1768" s="24" t="n">
        <v>3106.594015435418</v>
      </c>
      <c r="S1768" s="24">
        <f>R1768*IF(A1768=4, 2.0, 3.0)</f>
        <v/>
      </c>
      <c r="T1768" s="22">
        <f>'Dashboard &amp; Optimisation'!$B$18*U1768</f>
        <v/>
      </c>
      <c r="U1768" s="27">
        <f>MIN(1, S1768/M1768)</f>
        <v/>
      </c>
      <c r="V1768" s="27">
        <f>N1768/(N1768+O1768)</f>
        <v/>
      </c>
      <c r="W1768" s="27">
        <f>U1768*V1768</f>
        <v/>
      </c>
      <c r="X1768" s="25">
        <f>T1768/N1768</f>
        <v/>
      </c>
      <c r="Y1768" s="28">
        <f>IF(W1768=MAXIFS(W$2:W$3601, A$2:A$3601, A1768, B$2:B$3601, B1768), "OPTIMAL", "")</f>
        <v/>
      </c>
    </row>
    <row r="1769" ht="20" customHeight="1">
      <c r="A1769" s="29" t="n">
        <v>4</v>
      </c>
      <c r="B1769" s="29" t="n">
        <v>45</v>
      </c>
      <c r="C1769" s="30" t="n">
        <v>120</v>
      </c>
      <c r="D1769" s="30" t="n">
        <v>2</v>
      </c>
      <c r="E1769" s="6" t="n">
        <v>4</v>
      </c>
      <c r="F1769" s="30" t="n">
        <v>1.5</v>
      </c>
      <c r="G1769" s="6" t="inlineStr">
        <is>
          <t>Non</t>
        </is>
      </c>
      <c r="H1769" s="6" t="inlineStr">
        <is>
          <t>OFF</t>
        </is>
      </c>
      <c r="I1769" s="31" t="n">
        <v>1132.611974342026</v>
      </c>
      <c r="J1769" s="31" t="n">
        <v>6657.967474874614</v>
      </c>
      <c r="K1769" s="31" t="n">
        <v>3166.666666666667</v>
      </c>
      <c r="L1769" s="31" t="n">
        <v>150</v>
      </c>
      <c r="M1769" s="31">
        <f>I1769+J1769+K1769+L1769</f>
        <v/>
      </c>
      <c r="N1769" s="31">
        <f>M1769*'Dashboard &amp; Optimisation'!$B$18/('Dashboard &amp; Optimisation'!$B$16/3.6)</f>
        <v/>
      </c>
      <c r="O1769" s="31" t="n">
        <v>608.849908181526</v>
      </c>
      <c r="P1769" s="32" t="n">
        <v>0.2690782280335459</v>
      </c>
      <c r="Q1769" s="33" t="n">
        <v>5.595023284726097</v>
      </c>
      <c r="R1769" s="31" t="n">
        <v>755.1217722261986</v>
      </c>
      <c r="S1769" s="31">
        <f>R1769*IF(A1769=4, 2.0, 3.0)</f>
        <v/>
      </c>
      <c r="T1769" s="30">
        <f>'Dashboard &amp; Optimisation'!$B$18*U1769</f>
        <v/>
      </c>
      <c r="U1769" s="34">
        <f>MIN(1, S1769/M1769)</f>
        <v/>
      </c>
      <c r="V1769" s="34">
        <f>N1769/(N1769+O1769)</f>
        <v/>
      </c>
      <c r="W1769" s="34">
        <f>U1769*V1769</f>
        <v/>
      </c>
      <c r="X1769" s="32">
        <f>T1769/N1769</f>
        <v/>
      </c>
      <c r="Y1769" s="35">
        <f>IF(W1769=MAXIFS(W$2:W$3601, A$2:A$3601, A1769, B$2:B$3601, B1769), "OPTIMAL", "")</f>
        <v/>
      </c>
    </row>
    <row r="1770" ht="20" customHeight="1">
      <c r="A1770" s="21" t="n">
        <v>4</v>
      </c>
      <c r="B1770" s="21" t="n">
        <v>45</v>
      </c>
      <c r="C1770" s="22" t="n">
        <v>120</v>
      </c>
      <c r="D1770" s="22" t="n">
        <v>2</v>
      </c>
      <c r="E1770" s="23" t="n">
        <v>4</v>
      </c>
      <c r="F1770" s="22" t="n">
        <v>2</v>
      </c>
      <c r="G1770" s="23" t="inlineStr">
        <is>
          <t>Oui</t>
        </is>
      </c>
      <c r="H1770" s="23" t="inlineStr">
        <is>
          <t>ON</t>
        </is>
      </c>
      <c r="I1770" s="24" t="n">
        <v>1132.611974342026</v>
      </c>
      <c r="J1770" s="24" t="n">
        <v>6657.967474874614</v>
      </c>
      <c r="K1770" s="24" t="n">
        <v>3166.666666666667</v>
      </c>
      <c r="L1770" s="24" t="n">
        <v>150</v>
      </c>
      <c r="M1770" s="24">
        <f>I1770+J1770+K1770+L1770</f>
        <v/>
      </c>
      <c r="N1770" s="24">
        <f>M1770*'Dashboard &amp; Optimisation'!$B$18/('Dashboard &amp; Optimisation'!$B$16/3.6)</f>
        <v/>
      </c>
      <c r="O1770" s="24" t="n">
        <v>682.3725347404351</v>
      </c>
      <c r="P1770" s="25" t="n">
        <v>0.06474901627983365</v>
      </c>
      <c r="Q1770" s="26" t="n">
        <v>7.393364379634797</v>
      </c>
      <c r="R1770" s="24" t="n">
        <v>3166.626528998883</v>
      </c>
      <c r="S1770" s="24">
        <f>R1770*IF(A1770=4, 2.0, 3.0)</f>
        <v/>
      </c>
      <c r="T1770" s="22">
        <f>'Dashboard &amp; Optimisation'!$B$18*U1770</f>
        <v/>
      </c>
      <c r="U1770" s="27">
        <f>MIN(1, S1770/M1770)</f>
        <v/>
      </c>
      <c r="V1770" s="27">
        <f>N1770/(N1770+O1770)</f>
        <v/>
      </c>
      <c r="W1770" s="27">
        <f>U1770*V1770</f>
        <v/>
      </c>
      <c r="X1770" s="25">
        <f>T1770/N1770</f>
        <v/>
      </c>
      <c r="Y1770" s="28">
        <f>IF(W1770=MAXIFS(W$2:W$3601, A$2:A$3601, A1770, B$2:B$3601, B1770), "OPTIMAL", "")</f>
        <v/>
      </c>
    </row>
    <row r="1771" ht="20" customHeight="1">
      <c r="A1771" s="29" t="n">
        <v>4</v>
      </c>
      <c r="B1771" s="29" t="n">
        <v>45</v>
      </c>
      <c r="C1771" s="30" t="n">
        <v>120</v>
      </c>
      <c r="D1771" s="30" t="n">
        <v>2</v>
      </c>
      <c r="E1771" s="6" t="n">
        <v>4</v>
      </c>
      <c r="F1771" s="30" t="n">
        <v>2</v>
      </c>
      <c r="G1771" s="6" t="inlineStr">
        <is>
          <t>Oui</t>
        </is>
      </c>
      <c r="H1771" s="6" t="inlineStr">
        <is>
          <t>OFF</t>
        </is>
      </c>
      <c r="I1771" s="31" t="n">
        <v>1132.611974342026</v>
      </c>
      <c r="J1771" s="31" t="n">
        <v>6657.967474874614</v>
      </c>
      <c r="K1771" s="31" t="n">
        <v>3166.666666666667</v>
      </c>
      <c r="L1771" s="31" t="n">
        <v>150</v>
      </c>
      <c r="M1771" s="31">
        <f>I1771+J1771+K1771+L1771</f>
        <v/>
      </c>
      <c r="N1771" s="31">
        <f>M1771*'Dashboard &amp; Optimisation'!$B$18/('Dashboard &amp; Optimisation'!$B$16/3.6)</f>
        <v/>
      </c>
      <c r="O1771" s="31" t="n">
        <v>682.3725347404351</v>
      </c>
      <c r="P1771" s="32" t="n">
        <v>0.269253725510994</v>
      </c>
      <c r="Q1771" s="33" t="n">
        <v>7.393364379634797</v>
      </c>
      <c r="R1771" s="31" t="n">
        <v>761.497179989548</v>
      </c>
      <c r="S1771" s="31">
        <f>R1771*IF(A1771=4, 2.0, 3.0)</f>
        <v/>
      </c>
      <c r="T1771" s="30">
        <f>'Dashboard &amp; Optimisation'!$B$18*U1771</f>
        <v/>
      </c>
      <c r="U1771" s="34">
        <f>MIN(1, S1771/M1771)</f>
        <v/>
      </c>
      <c r="V1771" s="34">
        <f>N1771/(N1771+O1771)</f>
        <v/>
      </c>
      <c r="W1771" s="34">
        <f>U1771*V1771</f>
        <v/>
      </c>
      <c r="X1771" s="32">
        <f>T1771/N1771</f>
        <v/>
      </c>
      <c r="Y1771" s="35">
        <f>IF(W1771=MAXIFS(W$2:W$3601, A$2:A$3601, A1771, B$2:B$3601, B1771), "OPTIMAL", "")</f>
        <v/>
      </c>
    </row>
    <row r="1772" ht="20" customHeight="1">
      <c r="A1772" s="21" t="n">
        <v>4</v>
      </c>
      <c r="B1772" s="21" t="n">
        <v>45</v>
      </c>
      <c r="C1772" s="22" t="n">
        <v>120</v>
      </c>
      <c r="D1772" s="22" t="n">
        <v>2</v>
      </c>
      <c r="E1772" s="23" t="n">
        <v>4</v>
      </c>
      <c r="F1772" s="22" t="n">
        <v>2</v>
      </c>
      <c r="G1772" s="23" t="inlineStr">
        <is>
          <t>Non</t>
        </is>
      </c>
      <c r="H1772" s="23" t="inlineStr">
        <is>
          <t>ON</t>
        </is>
      </c>
      <c r="I1772" s="24" t="n">
        <v>1132.611974342026</v>
      </c>
      <c r="J1772" s="24" t="n">
        <v>6657.967474874614</v>
      </c>
      <c r="K1772" s="24" t="n">
        <v>3166.666666666667</v>
      </c>
      <c r="L1772" s="24" t="n">
        <v>150</v>
      </c>
      <c r="M1772" s="24">
        <f>I1772+J1772+K1772+L1772</f>
        <v/>
      </c>
      <c r="N1772" s="24">
        <f>M1772*'Dashboard &amp; Optimisation'!$B$18/('Dashboard &amp; Optimisation'!$B$16/3.6)</f>
        <v/>
      </c>
      <c r="O1772" s="24" t="n">
        <v>682.3725347404351</v>
      </c>
      <c r="P1772" s="25" t="n">
        <v>0.06209643389496873</v>
      </c>
      <c r="Q1772" s="26" t="n">
        <v>7.393364379634797</v>
      </c>
      <c r="R1772" s="24" t="n">
        <v>3301.89577432263</v>
      </c>
      <c r="S1772" s="24">
        <f>R1772*IF(A1772=4, 2.0, 3.0)</f>
        <v/>
      </c>
      <c r="T1772" s="22">
        <f>'Dashboard &amp; Optimisation'!$B$18*U1772</f>
        <v/>
      </c>
      <c r="U1772" s="27">
        <f>MIN(1, S1772/M1772)</f>
        <v/>
      </c>
      <c r="V1772" s="27">
        <f>N1772/(N1772+O1772)</f>
        <v/>
      </c>
      <c r="W1772" s="27">
        <f>U1772*V1772</f>
        <v/>
      </c>
      <c r="X1772" s="25">
        <f>T1772/N1772</f>
        <v/>
      </c>
      <c r="Y1772" s="28">
        <f>IF(W1772=MAXIFS(W$2:W$3601, A$2:A$3601, A1772, B$2:B$3601, B1772), "OPTIMAL", "")</f>
        <v/>
      </c>
    </row>
    <row r="1773" ht="20" customHeight="1">
      <c r="A1773" s="29" t="n">
        <v>4</v>
      </c>
      <c r="B1773" s="29" t="n">
        <v>45</v>
      </c>
      <c r="C1773" s="30" t="n">
        <v>120</v>
      </c>
      <c r="D1773" s="30" t="n">
        <v>2</v>
      </c>
      <c r="E1773" s="6" t="n">
        <v>4</v>
      </c>
      <c r="F1773" s="30" t="n">
        <v>2</v>
      </c>
      <c r="G1773" s="6" t="inlineStr">
        <is>
          <t>Non</t>
        </is>
      </c>
      <c r="H1773" s="6" t="inlineStr">
        <is>
          <t>OFF</t>
        </is>
      </c>
      <c r="I1773" s="31" t="n">
        <v>1132.611974342026</v>
      </c>
      <c r="J1773" s="31" t="n">
        <v>6657.967474874614</v>
      </c>
      <c r="K1773" s="31" t="n">
        <v>3166.666666666667</v>
      </c>
      <c r="L1773" s="31" t="n">
        <v>150</v>
      </c>
      <c r="M1773" s="31">
        <f>I1773+J1773+K1773+L1773</f>
        <v/>
      </c>
      <c r="N1773" s="31">
        <f>M1773*'Dashboard &amp; Optimisation'!$B$18/('Dashboard &amp; Optimisation'!$B$16/3.6)</f>
        <v/>
      </c>
      <c r="O1773" s="31" t="n">
        <v>682.3725347404351</v>
      </c>
      <c r="P1773" s="32" t="n">
        <v>0.2666011431261291</v>
      </c>
      <c r="Q1773" s="33" t="n">
        <v>7.393364379634797</v>
      </c>
      <c r="R1773" s="31" t="n">
        <v>769.0737941858681</v>
      </c>
      <c r="S1773" s="31">
        <f>R1773*IF(A1773=4, 2.0, 3.0)</f>
        <v/>
      </c>
      <c r="T1773" s="30">
        <f>'Dashboard &amp; Optimisation'!$B$18*U1773</f>
        <v/>
      </c>
      <c r="U1773" s="34">
        <f>MIN(1, S1773/M1773)</f>
        <v/>
      </c>
      <c r="V1773" s="34">
        <f>N1773/(N1773+O1773)</f>
        <v/>
      </c>
      <c r="W1773" s="34">
        <f>U1773*V1773</f>
        <v/>
      </c>
      <c r="X1773" s="32">
        <f>T1773/N1773</f>
        <v/>
      </c>
      <c r="Y1773" s="35">
        <f>IF(W1773=MAXIFS(W$2:W$3601, A$2:A$3601, A1773, B$2:B$3601, B1773), "OPTIMAL", "")</f>
        <v/>
      </c>
    </row>
    <row r="1774" ht="20" customHeight="1">
      <c r="A1774" s="21" t="n">
        <v>4</v>
      </c>
      <c r="B1774" s="21" t="n">
        <v>45</v>
      </c>
      <c r="C1774" s="22" t="n">
        <v>120</v>
      </c>
      <c r="D1774" s="22" t="n">
        <v>2</v>
      </c>
      <c r="E1774" s="23" t="n">
        <v>8</v>
      </c>
      <c r="F1774" s="22" t="n">
        <v>1.5</v>
      </c>
      <c r="G1774" s="23" t="inlineStr">
        <is>
          <t>Oui</t>
        </is>
      </c>
      <c r="H1774" s="23" t="inlineStr">
        <is>
          <t>ON</t>
        </is>
      </c>
      <c r="I1774" s="24" t="n">
        <v>1132.611974342026</v>
      </c>
      <c r="J1774" s="24" t="n">
        <v>6657.967474874614</v>
      </c>
      <c r="K1774" s="24" t="n">
        <v>3166.666666666667</v>
      </c>
      <c r="L1774" s="24" t="n">
        <v>150</v>
      </c>
      <c r="M1774" s="24">
        <f>I1774+J1774+K1774+L1774</f>
        <v/>
      </c>
      <c r="N1774" s="24">
        <f>M1774*'Dashboard &amp; Optimisation'!$B$18/('Dashboard &amp; Optimisation'!$B$16/3.6)</f>
        <v/>
      </c>
      <c r="O1774" s="24" t="n">
        <v>833.5068180881538</v>
      </c>
      <c r="P1774" s="25" t="n">
        <v>0.05155761606859751</v>
      </c>
      <c r="Q1774" s="26" t="n">
        <v>10.9900465694522</v>
      </c>
      <c r="R1774" s="24" t="n">
        <v>4050.556598788186</v>
      </c>
      <c r="S1774" s="24">
        <f>R1774*IF(A1774=4, 2.0, 3.0)</f>
        <v/>
      </c>
      <c r="T1774" s="22">
        <f>'Dashboard &amp; Optimisation'!$B$18*U1774</f>
        <v/>
      </c>
      <c r="U1774" s="27">
        <f>MIN(1, S1774/M1774)</f>
        <v/>
      </c>
      <c r="V1774" s="27">
        <f>N1774/(N1774+O1774)</f>
        <v/>
      </c>
      <c r="W1774" s="27">
        <f>U1774*V1774</f>
        <v/>
      </c>
      <c r="X1774" s="25">
        <f>T1774/N1774</f>
        <v/>
      </c>
      <c r="Y1774" s="28">
        <f>IF(W1774=MAXIFS(W$2:W$3601, A$2:A$3601, A1774, B$2:B$3601, B1774), "OPTIMAL", "")</f>
        <v/>
      </c>
    </row>
    <row r="1775" ht="20" customHeight="1">
      <c r="A1775" s="29" t="n">
        <v>4</v>
      </c>
      <c r="B1775" s="29" t="n">
        <v>45</v>
      </c>
      <c r="C1775" s="30" t="n">
        <v>120</v>
      </c>
      <c r="D1775" s="30" t="n">
        <v>2</v>
      </c>
      <c r="E1775" s="6" t="n">
        <v>8</v>
      </c>
      <c r="F1775" s="30" t="n">
        <v>1.5</v>
      </c>
      <c r="G1775" s="6" t="inlineStr">
        <is>
          <t>Oui</t>
        </is>
      </c>
      <c r="H1775" s="6" t="inlineStr">
        <is>
          <t>OFF</t>
        </is>
      </c>
      <c r="I1775" s="31" t="n">
        <v>1132.611974342026</v>
      </c>
      <c r="J1775" s="31" t="n">
        <v>6657.967474874614</v>
      </c>
      <c r="K1775" s="31" t="n">
        <v>3166.666666666667</v>
      </c>
      <c r="L1775" s="31" t="n">
        <v>150</v>
      </c>
      <c r="M1775" s="31">
        <f>I1775+J1775+K1775+L1775</f>
        <v/>
      </c>
      <c r="N1775" s="31">
        <f>M1775*'Dashboard &amp; Optimisation'!$B$18/('Dashboard &amp; Optimisation'!$B$16/3.6)</f>
        <v/>
      </c>
      <c r="O1775" s="31" t="n">
        <v>833.5068180881538</v>
      </c>
      <c r="P1775" s="32" t="n">
        <v>0.216853233443705</v>
      </c>
      <c r="Q1775" s="33" t="n">
        <v>10.9900465694522</v>
      </c>
      <c r="R1775" s="31" t="n">
        <v>963.0340238328032</v>
      </c>
      <c r="S1775" s="31">
        <f>R1775*IF(A1775=4, 2.0, 3.0)</f>
        <v/>
      </c>
      <c r="T1775" s="30">
        <f>'Dashboard &amp; Optimisation'!$B$18*U1775</f>
        <v/>
      </c>
      <c r="U1775" s="34">
        <f>MIN(1, S1775/M1775)</f>
        <v/>
      </c>
      <c r="V1775" s="34">
        <f>N1775/(N1775+O1775)</f>
        <v/>
      </c>
      <c r="W1775" s="34">
        <f>U1775*V1775</f>
        <v/>
      </c>
      <c r="X1775" s="32">
        <f>T1775/N1775</f>
        <v/>
      </c>
      <c r="Y1775" s="35">
        <f>IF(W1775=MAXIFS(W$2:W$3601, A$2:A$3601, A1775, B$2:B$3601, B1775), "OPTIMAL", "")</f>
        <v/>
      </c>
    </row>
    <row r="1776" ht="20" customHeight="1">
      <c r="A1776" s="21" t="n">
        <v>4</v>
      </c>
      <c r="B1776" s="21" t="n">
        <v>45</v>
      </c>
      <c r="C1776" s="22" t="n">
        <v>120</v>
      </c>
      <c r="D1776" s="22" t="n">
        <v>2</v>
      </c>
      <c r="E1776" s="23" t="n">
        <v>8</v>
      </c>
      <c r="F1776" s="22" t="n">
        <v>1.5</v>
      </c>
      <c r="G1776" s="23" t="inlineStr">
        <is>
          <t>Non</t>
        </is>
      </c>
      <c r="H1776" s="23" t="inlineStr">
        <is>
          <t>ON</t>
        </is>
      </c>
      <c r="I1776" s="24" t="n">
        <v>1132.611974342026</v>
      </c>
      <c r="J1776" s="24" t="n">
        <v>6657.967474874614</v>
      </c>
      <c r="K1776" s="24" t="n">
        <v>3166.666666666667</v>
      </c>
      <c r="L1776" s="24" t="n">
        <v>150</v>
      </c>
      <c r="M1776" s="24">
        <f>I1776+J1776+K1776+L1776</f>
        <v/>
      </c>
      <c r="N1776" s="24">
        <f>M1776*'Dashboard &amp; Optimisation'!$B$18/('Dashboard &amp; Optimisation'!$B$16/3.6)</f>
        <v/>
      </c>
      <c r="O1776" s="24" t="n">
        <v>833.5068180881538</v>
      </c>
      <c r="P1776" s="25" t="n">
        <v>0.04890503368373258</v>
      </c>
      <c r="Q1776" s="26" t="n">
        <v>10.9900465694522</v>
      </c>
      <c r="R1776" s="24" t="n">
        <v>4270.256582072685</v>
      </c>
      <c r="S1776" s="24">
        <f>R1776*IF(A1776=4, 2.0, 3.0)</f>
        <v/>
      </c>
      <c r="T1776" s="22">
        <f>'Dashboard &amp; Optimisation'!$B$18*U1776</f>
        <v/>
      </c>
      <c r="U1776" s="27">
        <f>MIN(1, S1776/M1776)</f>
        <v/>
      </c>
      <c r="V1776" s="27">
        <f>N1776/(N1776+O1776)</f>
        <v/>
      </c>
      <c r="W1776" s="27">
        <f>U1776*V1776</f>
        <v/>
      </c>
      <c r="X1776" s="25">
        <f>T1776/N1776</f>
        <v/>
      </c>
      <c r="Y1776" s="28">
        <f>IF(W1776=MAXIFS(W$2:W$3601, A$2:A$3601, A1776, B$2:B$3601, B1776), "OPTIMAL", "")</f>
        <v/>
      </c>
    </row>
    <row r="1777" ht="20" customHeight="1">
      <c r="A1777" s="29" t="n">
        <v>4</v>
      </c>
      <c r="B1777" s="29" t="n">
        <v>45</v>
      </c>
      <c r="C1777" s="30" t="n">
        <v>120</v>
      </c>
      <c r="D1777" s="30" t="n">
        <v>2</v>
      </c>
      <c r="E1777" s="6" t="n">
        <v>8</v>
      </c>
      <c r="F1777" s="30" t="n">
        <v>1.5</v>
      </c>
      <c r="G1777" s="6" t="inlineStr">
        <is>
          <t>Non</t>
        </is>
      </c>
      <c r="H1777" s="6" t="inlineStr">
        <is>
          <t>OFF</t>
        </is>
      </c>
      <c r="I1777" s="31" t="n">
        <v>1132.611974342026</v>
      </c>
      <c r="J1777" s="31" t="n">
        <v>6657.967474874614</v>
      </c>
      <c r="K1777" s="31" t="n">
        <v>3166.666666666667</v>
      </c>
      <c r="L1777" s="31" t="n">
        <v>150</v>
      </c>
      <c r="M1777" s="31">
        <f>I1777+J1777+K1777+L1777</f>
        <v/>
      </c>
      <c r="N1777" s="31">
        <f>M1777*'Dashboard &amp; Optimisation'!$B$18/('Dashboard &amp; Optimisation'!$B$16/3.6)</f>
        <v/>
      </c>
      <c r="O1777" s="31" t="n">
        <v>833.5068180881538</v>
      </c>
      <c r="P1777" s="32" t="n">
        <v>0.2142006510588401</v>
      </c>
      <c r="Q1777" s="33" t="n">
        <v>10.9900465694522</v>
      </c>
      <c r="R1777" s="31" t="n">
        <v>974.9598843519794</v>
      </c>
      <c r="S1777" s="31">
        <f>R1777*IF(A1777=4, 2.0, 3.0)</f>
        <v/>
      </c>
      <c r="T1777" s="30">
        <f>'Dashboard &amp; Optimisation'!$B$18*U1777</f>
        <v/>
      </c>
      <c r="U1777" s="34">
        <f>MIN(1, S1777/M1777)</f>
        <v/>
      </c>
      <c r="V1777" s="34">
        <f>N1777/(N1777+O1777)</f>
        <v/>
      </c>
      <c r="W1777" s="34">
        <f>U1777*V1777</f>
        <v/>
      </c>
      <c r="X1777" s="32">
        <f>T1777/N1777</f>
        <v/>
      </c>
      <c r="Y1777" s="35">
        <f>IF(W1777=MAXIFS(W$2:W$3601, A$2:A$3601, A1777, B$2:B$3601, B1777), "OPTIMAL", "")</f>
        <v/>
      </c>
    </row>
    <row r="1778" ht="20" customHeight="1">
      <c r="A1778" s="21" t="n">
        <v>4</v>
      </c>
      <c r="B1778" s="21" t="n">
        <v>45</v>
      </c>
      <c r="C1778" s="22" t="n">
        <v>120</v>
      </c>
      <c r="D1778" s="22" t="n">
        <v>2</v>
      </c>
      <c r="E1778" s="23" t="n">
        <v>8</v>
      </c>
      <c r="F1778" s="22" t="n">
        <v>2</v>
      </c>
      <c r="G1778" s="23" t="inlineStr">
        <is>
          <t>Oui</t>
        </is>
      </c>
      <c r="H1778" s="23" t="inlineStr">
        <is>
          <t>ON</t>
        </is>
      </c>
      <c r="I1778" s="24" t="n">
        <v>1132.611974342026</v>
      </c>
      <c r="J1778" s="24" t="n">
        <v>6657.967474874614</v>
      </c>
      <c r="K1778" s="24" t="n">
        <v>3166.666666666667</v>
      </c>
      <c r="L1778" s="24" t="n">
        <v>150</v>
      </c>
      <c r="M1778" s="24">
        <f>I1778+J1778+K1778+L1778</f>
        <v/>
      </c>
      <c r="N1778" s="24">
        <f>M1778*'Dashboard &amp; Optimisation'!$B$18/('Dashboard &amp; Optimisation'!$B$16/3.6)</f>
        <v/>
      </c>
      <c r="O1778" s="24" t="n">
        <v>990.3505982755161</v>
      </c>
      <c r="P1778" s="25" t="n">
        <v>0.04997260972227939</v>
      </c>
      <c r="Q1778" s="26" t="n">
        <v>14.58672875926959</v>
      </c>
      <c r="R1778" s="24" t="n">
        <v>4257.967087647923</v>
      </c>
      <c r="S1778" s="24">
        <f>R1778*IF(A1778=4, 2.0, 3.0)</f>
        <v/>
      </c>
      <c r="T1778" s="22">
        <f>'Dashboard &amp; Optimisation'!$B$18*U1778</f>
        <v/>
      </c>
      <c r="U1778" s="27">
        <f>MIN(1, S1778/M1778)</f>
        <v/>
      </c>
      <c r="V1778" s="27">
        <f>N1778/(N1778+O1778)</f>
        <v/>
      </c>
      <c r="W1778" s="27">
        <f>U1778*V1778</f>
        <v/>
      </c>
      <c r="X1778" s="25">
        <f>T1778/N1778</f>
        <v/>
      </c>
      <c r="Y1778" s="28">
        <f>IF(W1778=MAXIFS(W$2:W$3601, A$2:A$3601, A1778, B$2:B$3601, B1778), "OPTIMAL", "")</f>
        <v/>
      </c>
    </row>
    <row r="1779" ht="20" customHeight="1">
      <c r="A1779" s="29" t="n">
        <v>4</v>
      </c>
      <c r="B1779" s="29" t="n">
        <v>45</v>
      </c>
      <c r="C1779" s="30" t="n">
        <v>120</v>
      </c>
      <c r="D1779" s="30" t="n">
        <v>2</v>
      </c>
      <c r="E1779" s="6" t="n">
        <v>8</v>
      </c>
      <c r="F1779" s="30" t="n">
        <v>2</v>
      </c>
      <c r="G1779" s="6" t="inlineStr">
        <is>
          <t>Oui</t>
        </is>
      </c>
      <c r="H1779" s="6" t="inlineStr">
        <is>
          <t>OFF</t>
        </is>
      </c>
      <c r="I1779" s="31" t="n">
        <v>1132.611974342026</v>
      </c>
      <c r="J1779" s="31" t="n">
        <v>6657.967474874614</v>
      </c>
      <c r="K1779" s="31" t="n">
        <v>3166.666666666667</v>
      </c>
      <c r="L1779" s="31" t="n">
        <v>150</v>
      </c>
      <c r="M1779" s="31">
        <f>I1779+J1779+K1779+L1779</f>
        <v/>
      </c>
      <c r="N1779" s="31">
        <f>M1779*'Dashboard &amp; Optimisation'!$B$18/('Dashboard &amp; Optimisation'!$B$16/3.6)</f>
        <v/>
      </c>
      <c r="O1779" s="31" t="n">
        <v>990.3505982755161</v>
      </c>
      <c r="P1779" s="32" t="n">
        <v>0.2163666659525478</v>
      </c>
      <c r="Q1779" s="33" t="n">
        <v>14.58672875926959</v>
      </c>
      <c r="R1779" s="31" t="n">
        <v>983.4311886471746</v>
      </c>
      <c r="S1779" s="31">
        <f>R1779*IF(A1779=4, 2.0, 3.0)</f>
        <v/>
      </c>
      <c r="T1779" s="30">
        <f>'Dashboard &amp; Optimisation'!$B$18*U1779</f>
        <v/>
      </c>
      <c r="U1779" s="34">
        <f>MIN(1, S1779/M1779)</f>
        <v/>
      </c>
      <c r="V1779" s="34">
        <f>N1779/(N1779+O1779)</f>
        <v/>
      </c>
      <c r="W1779" s="34">
        <f>U1779*V1779</f>
        <v/>
      </c>
      <c r="X1779" s="32">
        <f>T1779/N1779</f>
        <v/>
      </c>
      <c r="Y1779" s="35">
        <f>IF(W1779=MAXIFS(W$2:W$3601, A$2:A$3601, A1779, B$2:B$3601, B1779), "OPTIMAL", "")</f>
        <v/>
      </c>
    </row>
    <row r="1780" ht="20" customHeight="1">
      <c r="A1780" s="21" t="n">
        <v>4</v>
      </c>
      <c r="B1780" s="21" t="n">
        <v>45</v>
      </c>
      <c r="C1780" s="22" t="n">
        <v>120</v>
      </c>
      <c r="D1780" s="22" t="n">
        <v>2</v>
      </c>
      <c r="E1780" s="23" t="n">
        <v>8</v>
      </c>
      <c r="F1780" s="22" t="n">
        <v>2</v>
      </c>
      <c r="G1780" s="23" t="inlineStr">
        <is>
          <t>Non</t>
        </is>
      </c>
      <c r="H1780" s="23" t="inlineStr">
        <is>
          <t>ON</t>
        </is>
      </c>
      <c r="I1780" s="24" t="n">
        <v>1132.611974342026</v>
      </c>
      <c r="J1780" s="24" t="n">
        <v>6657.967474874614</v>
      </c>
      <c r="K1780" s="24" t="n">
        <v>3166.666666666667</v>
      </c>
      <c r="L1780" s="24" t="n">
        <v>150</v>
      </c>
      <c r="M1780" s="24">
        <f>I1780+J1780+K1780+L1780</f>
        <v/>
      </c>
      <c r="N1780" s="24">
        <f>M1780*'Dashboard &amp; Optimisation'!$B$18/('Dashboard &amp; Optimisation'!$B$16/3.6)</f>
        <v/>
      </c>
      <c r="O1780" s="24" t="n">
        <v>990.3505982755161</v>
      </c>
      <c r="P1780" s="25" t="n">
        <v>0.04732002733741447</v>
      </c>
      <c r="Q1780" s="26" t="n">
        <v>14.58672875926959</v>
      </c>
      <c r="R1780" s="24" t="n">
        <v>4496.652674439611</v>
      </c>
      <c r="S1780" s="24">
        <f>R1780*IF(A1780=4, 2.0, 3.0)</f>
        <v/>
      </c>
      <c r="T1780" s="22">
        <f>'Dashboard &amp; Optimisation'!$B$18*U1780</f>
        <v/>
      </c>
      <c r="U1780" s="27">
        <f>MIN(1, S1780/M1780)</f>
        <v/>
      </c>
      <c r="V1780" s="27">
        <f>N1780/(N1780+O1780)</f>
        <v/>
      </c>
      <c r="W1780" s="27">
        <f>U1780*V1780</f>
        <v/>
      </c>
      <c r="X1780" s="25">
        <f>T1780/N1780</f>
        <v/>
      </c>
      <c r="Y1780" s="28">
        <f>IF(W1780=MAXIFS(W$2:W$3601, A$2:A$3601, A1780, B$2:B$3601, B1780), "OPTIMAL", "")</f>
        <v/>
      </c>
    </row>
    <row r="1781" ht="20" customHeight="1">
      <c r="A1781" s="29" t="n">
        <v>4</v>
      </c>
      <c r="B1781" s="29" t="n">
        <v>45</v>
      </c>
      <c r="C1781" s="30" t="n">
        <v>120</v>
      </c>
      <c r="D1781" s="30" t="n">
        <v>2</v>
      </c>
      <c r="E1781" s="6" t="n">
        <v>8</v>
      </c>
      <c r="F1781" s="30" t="n">
        <v>2</v>
      </c>
      <c r="G1781" s="6" t="inlineStr">
        <is>
          <t>Non</t>
        </is>
      </c>
      <c r="H1781" s="6" t="inlineStr">
        <is>
          <t>OFF</t>
        </is>
      </c>
      <c r="I1781" s="31" t="n">
        <v>1132.611974342026</v>
      </c>
      <c r="J1781" s="31" t="n">
        <v>6657.967474874614</v>
      </c>
      <c r="K1781" s="31" t="n">
        <v>3166.666666666667</v>
      </c>
      <c r="L1781" s="31" t="n">
        <v>150</v>
      </c>
      <c r="M1781" s="31">
        <f>I1781+J1781+K1781+L1781</f>
        <v/>
      </c>
      <c r="N1781" s="31">
        <f>M1781*'Dashboard &amp; Optimisation'!$B$18/('Dashboard &amp; Optimisation'!$B$16/3.6)</f>
        <v/>
      </c>
      <c r="O1781" s="31" t="n">
        <v>990.3505982755161</v>
      </c>
      <c r="P1781" s="32" t="n">
        <v>0.2137140835676829</v>
      </c>
      <c r="Q1781" s="33" t="n">
        <v>14.58672875926959</v>
      </c>
      <c r="R1781" s="31" t="n">
        <v>995.6373671272472</v>
      </c>
      <c r="S1781" s="31">
        <f>R1781*IF(A1781=4, 2.0, 3.0)</f>
        <v/>
      </c>
      <c r="T1781" s="30">
        <f>'Dashboard &amp; Optimisation'!$B$18*U1781</f>
        <v/>
      </c>
      <c r="U1781" s="34">
        <f>MIN(1, S1781/M1781)</f>
        <v/>
      </c>
      <c r="V1781" s="34">
        <f>N1781/(N1781+O1781)</f>
        <v/>
      </c>
      <c r="W1781" s="34">
        <f>U1781*V1781</f>
        <v/>
      </c>
      <c r="X1781" s="32">
        <f>T1781/N1781</f>
        <v/>
      </c>
      <c r="Y1781" s="35">
        <f>IF(W1781=MAXIFS(W$2:W$3601, A$2:A$3601, A1781, B$2:B$3601, B1781), "OPTIMAL", "")</f>
        <v/>
      </c>
    </row>
    <row r="1782" ht="20" customHeight="1">
      <c r="A1782" s="21" t="n">
        <v>4</v>
      </c>
      <c r="B1782" s="21" t="n">
        <v>45</v>
      </c>
      <c r="C1782" s="22" t="n">
        <v>120</v>
      </c>
      <c r="D1782" s="22" t="n">
        <v>3</v>
      </c>
      <c r="E1782" s="23" t="n">
        <v>0</v>
      </c>
      <c r="F1782" s="22" t="n">
        <v>0</v>
      </c>
      <c r="G1782" s="23" t="inlineStr">
        <is>
          <t>Oui</t>
        </is>
      </c>
      <c r="H1782" s="23" t="inlineStr">
        <is>
          <t>ON</t>
        </is>
      </c>
      <c r="I1782" s="24" t="n">
        <v>1132.611974342026</v>
      </c>
      <c r="J1782" s="24" t="n">
        <v>6657.967474874614</v>
      </c>
      <c r="K1782" s="24" t="n">
        <v>3166.666666666667</v>
      </c>
      <c r="L1782" s="24" t="n">
        <v>150</v>
      </c>
      <c r="M1782" s="24">
        <f>I1782+J1782+K1782+L1782</f>
        <v/>
      </c>
      <c r="N1782" s="24">
        <f>M1782*'Dashboard &amp; Optimisation'!$B$18/('Dashboard &amp; Optimisation'!$B$16/3.6)</f>
        <v/>
      </c>
      <c r="O1782" s="24" t="n">
        <v>609.8578541971722</v>
      </c>
      <c r="P1782" s="25" t="n">
        <v>0.4668943220842715</v>
      </c>
      <c r="Q1782" s="26" t="n">
        <v>0.2</v>
      </c>
      <c r="R1782" s="24" t="n">
        <v>438.7218612077345</v>
      </c>
      <c r="S1782" s="24">
        <f>R1782*IF(A1782=4, 2.0, 3.0)</f>
        <v/>
      </c>
      <c r="T1782" s="22">
        <f>'Dashboard &amp; Optimisation'!$B$18*U1782</f>
        <v/>
      </c>
      <c r="U1782" s="27">
        <f>MIN(1, S1782/M1782)</f>
        <v/>
      </c>
      <c r="V1782" s="27">
        <f>N1782/(N1782+O1782)</f>
        <v/>
      </c>
      <c r="W1782" s="27">
        <f>U1782*V1782</f>
        <v/>
      </c>
      <c r="X1782" s="25">
        <f>T1782/N1782</f>
        <v/>
      </c>
      <c r="Y1782" s="28">
        <f>IF(W1782=MAXIFS(W$2:W$3601, A$2:A$3601, A1782, B$2:B$3601, B1782), "OPTIMAL", "")</f>
        <v/>
      </c>
    </row>
    <row r="1783" ht="20" customHeight="1">
      <c r="A1783" s="29" t="n">
        <v>4</v>
      </c>
      <c r="B1783" s="29" t="n">
        <v>45</v>
      </c>
      <c r="C1783" s="30" t="n">
        <v>120</v>
      </c>
      <c r="D1783" s="30" t="n">
        <v>3</v>
      </c>
      <c r="E1783" s="6" t="n">
        <v>0</v>
      </c>
      <c r="F1783" s="30" t="n">
        <v>0</v>
      </c>
      <c r="G1783" s="6" t="inlineStr">
        <is>
          <t>Oui</t>
        </is>
      </c>
      <c r="H1783" s="6" t="inlineStr">
        <is>
          <t>OFF</t>
        </is>
      </c>
      <c r="I1783" s="31" t="n">
        <v>1132.611974342026</v>
      </c>
      <c r="J1783" s="31" t="n">
        <v>6657.967474874614</v>
      </c>
      <c r="K1783" s="31" t="n">
        <v>3166.666666666667</v>
      </c>
      <c r="L1783" s="31" t="n">
        <v>150</v>
      </c>
      <c r="M1783" s="31">
        <f>I1783+J1783+K1783+L1783</f>
        <v/>
      </c>
      <c r="N1783" s="31">
        <f>M1783*'Dashboard &amp; Optimisation'!$B$18/('Dashboard &amp; Optimisation'!$B$16/3.6)</f>
        <v/>
      </c>
      <c r="O1783" s="31" t="n">
        <v>609.8578541971722</v>
      </c>
      <c r="P1783" s="32" t="n">
        <v>0.7321525605707637</v>
      </c>
      <c r="Q1783" s="33" t="n">
        <v>0.2</v>
      </c>
      <c r="R1783" s="31" t="n">
        <v>279.7733109236831</v>
      </c>
      <c r="S1783" s="31">
        <f>R1783*IF(A1783=4, 2.0, 3.0)</f>
        <v/>
      </c>
      <c r="T1783" s="30">
        <f>'Dashboard &amp; Optimisation'!$B$18*U1783</f>
        <v/>
      </c>
      <c r="U1783" s="34">
        <f>MIN(1, S1783/M1783)</f>
        <v/>
      </c>
      <c r="V1783" s="34">
        <f>N1783/(N1783+O1783)</f>
        <v/>
      </c>
      <c r="W1783" s="34">
        <f>U1783*V1783</f>
        <v/>
      </c>
      <c r="X1783" s="32">
        <f>T1783/N1783</f>
        <v/>
      </c>
      <c r="Y1783" s="35">
        <f>IF(W1783=MAXIFS(W$2:W$3601, A$2:A$3601, A1783, B$2:B$3601, B1783), "OPTIMAL", "")</f>
        <v/>
      </c>
    </row>
    <row r="1784" ht="20" customHeight="1">
      <c r="A1784" s="21" t="n">
        <v>4</v>
      </c>
      <c r="B1784" s="21" t="n">
        <v>45</v>
      </c>
      <c r="C1784" s="22" t="n">
        <v>120</v>
      </c>
      <c r="D1784" s="22" t="n">
        <v>3</v>
      </c>
      <c r="E1784" s="23" t="n">
        <v>0</v>
      </c>
      <c r="F1784" s="22" t="n">
        <v>0</v>
      </c>
      <c r="G1784" s="23" t="inlineStr">
        <is>
          <t>Non</t>
        </is>
      </c>
      <c r="H1784" s="23" t="inlineStr">
        <is>
          <t>ON</t>
        </is>
      </c>
      <c r="I1784" s="24" t="n">
        <v>1132.611974342026</v>
      </c>
      <c r="J1784" s="24" t="n">
        <v>6657.967474874614</v>
      </c>
      <c r="K1784" s="24" t="n">
        <v>3166.666666666667</v>
      </c>
      <c r="L1784" s="24" t="n">
        <v>150</v>
      </c>
      <c r="M1784" s="24">
        <f>I1784+J1784+K1784+L1784</f>
        <v/>
      </c>
      <c r="N1784" s="24">
        <f>M1784*'Dashboard &amp; Optimisation'!$B$18/('Dashboard &amp; Optimisation'!$B$16/3.6)</f>
        <v/>
      </c>
      <c r="O1784" s="24" t="n">
        <v>609.8578541971722</v>
      </c>
      <c r="P1784" s="25" t="n">
        <v>0.4642417396994065</v>
      </c>
      <c r="Q1784" s="26" t="n">
        <v>0.2</v>
      </c>
      <c r="R1784" s="24" t="n">
        <v>441.2286282245226</v>
      </c>
      <c r="S1784" s="24">
        <f>R1784*IF(A1784=4, 2.0, 3.0)</f>
        <v/>
      </c>
      <c r="T1784" s="22">
        <f>'Dashboard &amp; Optimisation'!$B$18*U1784</f>
        <v/>
      </c>
      <c r="U1784" s="27">
        <f>MIN(1, S1784/M1784)</f>
        <v/>
      </c>
      <c r="V1784" s="27">
        <f>N1784/(N1784+O1784)</f>
        <v/>
      </c>
      <c r="W1784" s="27">
        <f>U1784*V1784</f>
        <v/>
      </c>
      <c r="X1784" s="25">
        <f>T1784/N1784</f>
        <v/>
      </c>
      <c r="Y1784" s="28">
        <f>IF(W1784=MAXIFS(W$2:W$3601, A$2:A$3601, A1784, B$2:B$3601, B1784), "OPTIMAL", "")</f>
        <v/>
      </c>
    </row>
    <row r="1785" ht="20" customHeight="1">
      <c r="A1785" s="29" t="n">
        <v>4</v>
      </c>
      <c r="B1785" s="29" t="n">
        <v>45</v>
      </c>
      <c r="C1785" s="30" t="n">
        <v>120</v>
      </c>
      <c r="D1785" s="30" t="n">
        <v>3</v>
      </c>
      <c r="E1785" s="6" t="n">
        <v>0</v>
      </c>
      <c r="F1785" s="30" t="n">
        <v>0</v>
      </c>
      <c r="G1785" s="6" t="inlineStr">
        <is>
          <t>Non</t>
        </is>
      </c>
      <c r="H1785" s="6" t="inlineStr">
        <is>
          <t>OFF</t>
        </is>
      </c>
      <c r="I1785" s="31" t="n">
        <v>1132.611974342026</v>
      </c>
      <c r="J1785" s="31" t="n">
        <v>6657.967474874614</v>
      </c>
      <c r="K1785" s="31" t="n">
        <v>3166.666666666667</v>
      </c>
      <c r="L1785" s="31" t="n">
        <v>150</v>
      </c>
      <c r="M1785" s="31">
        <f>I1785+J1785+K1785+L1785</f>
        <v/>
      </c>
      <c r="N1785" s="31">
        <f>M1785*'Dashboard &amp; Optimisation'!$B$18/('Dashboard &amp; Optimisation'!$B$16/3.6)</f>
        <v/>
      </c>
      <c r="O1785" s="31" t="n">
        <v>609.8578541971722</v>
      </c>
      <c r="P1785" s="32" t="n">
        <v>0.7294999781858988</v>
      </c>
      <c r="Q1785" s="33" t="n">
        <v>0.2</v>
      </c>
      <c r="R1785" s="31" t="n">
        <v>280.7906128818778</v>
      </c>
      <c r="S1785" s="31">
        <f>R1785*IF(A1785=4, 2.0, 3.0)</f>
        <v/>
      </c>
      <c r="T1785" s="30">
        <f>'Dashboard &amp; Optimisation'!$B$18*U1785</f>
        <v/>
      </c>
      <c r="U1785" s="34">
        <f>MIN(1, S1785/M1785)</f>
        <v/>
      </c>
      <c r="V1785" s="34">
        <f>N1785/(N1785+O1785)</f>
        <v/>
      </c>
      <c r="W1785" s="34">
        <f>U1785*V1785</f>
        <v/>
      </c>
      <c r="X1785" s="32">
        <f>T1785/N1785</f>
        <v/>
      </c>
      <c r="Y1785" s="35">
        <f>IF(W1785=MAXIFS(W$2:W$3601, A$2:A$3601, A1785, B$2:B$3601, B1785), "OPTIMAL", "")</f>
        <v/>
      </c>
    </row>
    <row r="1786" ht="20" customHeight="1">
      <c r="A1786" s="21" t="n">
        <v>4</v>
      </c>
      <c r="B1786" s="21" t="n">
        <v>45</v>
      </c>
      <c r="C1786" s="22" t="n">
        <v>120</v>
      </c>
      <c r="D1786" s="22" t="n">
        <v>3</v>
      </c>
      <c r="E1786" s="23" t="n">
        <v>4</v>
      </c>
      <c r="F1786" s="22" t="n">
        <v>1.5</v>
      </c>
      <c r="G1786" s="23" t="inlineStr">
        <is>
          <t>Oui</t>
        </is>
      </c>
      <c r="H1786" s="23" t="inlineStr">
        <is>
          <t>ON</t>
        </is>
      </c>
      <c r="I1786" s="24" t="n">
        <v>1132.611974342026</v>
      </c>
      <c r="J1786" s="24" t="n">
        <v>6657.967474874614</v>
      </c>
      <c r="K1786" s="24" t="n">
        <v>3166.666666666667</v>
      </c>
      <c r="L1786" s="24" t="n">
        <v>150</v>
      </c>
      <c r="M1786" s="24">
        <f>I1786+J1786+K1786+L1786</f>
        <v/>
      </c>
      <c r="N1786" s="24">
        <f>M1786*'Dashboard &amp; Optimisation'!$B$18/('Dashboard &amp; Optimisation'!$B$16/3.6)</f>
        <v/>
      </c>
      <c r="O1786" s="24" t="n">
        <v>833.2864639907375</v>
      </c>
      <c r="P1786" s="25" t="n">
        <v>0.06783449726767998</v>
      </c>
      <c r="Q1786" s="26" t="n">
        <v>5.689672816037082</v>
      </c>
      <c r="R1786" s="24" t="n">
        <v>3102.8258971085</v>
      </c>
      <c r="S1786" s="24">
        <f>R1786*IF(A1786=4, 2.0, 3.0)</f>
        <v/>
      </c>
      <c r="T1786" s="22">
        <f>'Dashboard &amp; Optimisation'!$B$18*U1786</f>
        <v/>
      </c>
      <c r="U1786" s="27">
        <f>MIN(1, S1786/M1786)</f>
        <v/>
      </c>
      <c r="V1786" s="27">
        <f>N1786/(N1786+O1786)</f>
        <v/>
      </c>
      <c r="W1786" s="27">
        <f>U1786*V1786</f>
        <v/>
      </c>
      <c r="X1786" s="25">
        <f>T1786/N1786</f>
        <v/>
      </c>
      <c r="Y1786" s="28">
        <f>IF(W1786=MAXIFS(W$2:W$3601, A$2:A$3601, A1786, B$2:B$3601, B1786), "OPTIMAL", "")</f>
        <v/>
      </c>
    </row>
    <row r="1787" ht="20" customHeight="1">
      <c r="A1787" s="29" t="n">
        <v>4</v>
      </c>
      <c r="B1787" s="29" t="n">
        <v>45</v>
      </c>
      <c r="C1787" s="30" t="n">
        <v>120</v>
      </c>
      <c r="D1787" s="30" t="n">
        <v>3</v>
      </c>
      <c r="E1787" s="6" t="n">
        <v>4</v>
      </c>
      <c r="F1787" s="30" t="n">
        <v>1.5</v>
      </c>
      <c r="G1787" s="6" t="inlineStr">
        <is>
          <t>Oui</t>
        </is>
      </c>
      <c r="H1787" s="6" t="inlineStr">
        <is>
          <t>OFF</t>
        </is>
      </c>
      <c r="I1787" s="31" t="n">
        <v>1132.611974342026</v>
      </c>
      <c r="J1787" s="31" t="n">
        <v>6657.967474874614</v>
      </c>
      <c r="K1787" s="31" t="n">
        <v>3166.666666666667</v>
      </c>
      <c r="L1787" s="31" t="n">
        <v>150</v>
      </c>
      <c r="M1787" s="31">
        <f>I1787+J1787+K1787+L1787</f>
        <v/>
      </c>
      <c r="N1787" s="31">
        <f>M1787*'Dashboard &amp; Optimisation'!$B$18/('Dashboard &amp; Optimisation'!$B$16/3.6)</f>
        <v/>
      </c>
      <c r="O1787" s="31" t="n">
        <v>833.2864639907375</v>
      </c>
      <c r="P1787" s="32" t="n">
        <v>0.2715077102234196</v>
      </c>
      <c r="Q1787" s="33" t="n">
        <v>5.689672816037082</v>
      </c>
      <c r="R1787" s="31" t="n">
        <v>775.2215753515566</v>
      </c>
      <c r="S1787" s="31">
        <f>R1787*IF(A1787=4, 2.0, 3.0)</f>
        <v/>
      </c>
      <c r="T1787" s="30">
        <f>'Dashboard &amp; Optimisation'!$B$18*U1787</f>
        <v/>
      </c>
      <c r="U1787" s="34">
        <f>MIN(1, S1787/M1787)</f>
        <v/>
      </c>
      <c r="V1787" s="34">
        <f>N1787/(N1787+O1787)</f>
        <v/>
      </c>
      <c r="W1787" s="34">
        <f>U1787*V1787</f>
        <v/>
      </c>
      <c r="X1787" s="32">
        <f>T1787/N1787</f>
        <v/>
      </c>
      <c r="Y1787" s="35">
        <f>IF(W1787=MAXIFS(W$2:W$3601, A$2:A$3601, A1787, B$2:B$3601, B1787), "OPTIMAL", "")</f>
        <v/>
      </c>
    </row>
    <row r="1788" ht="20" customHeight="1">
      <c r="A1788" s="21" t="n">
        <v>4</v>
      </c>
      <c r="B1788" s="21" t="n">
        <v>45</v>
      </c>
      <c r="C1788" s="22" t="n">
        <v>120</v>
      </c>
      <c r="D1788" s="22" t="n">
        <v>3</v>
      </c>
      <c r="E1788" s="23" t="n">
        <v>4</v>
      </c>
      <c r="F1788" s="22" t="n">
        <v>1.5</v>
      </c>
      <c r="G1788" s="23" t="inlineStr">
        <is>
          <t>Non</t>
        </is>
      </c>
      <c r="H1788" s="23" t="inlineStr">
        <is>
          <t>ON</t>
        </is>
      </c>
      <c r="I1788" s="24" t="n">
        <v>1132.611974342026</v>
      </c>
      <c r="J1788" s="24" t="n">
        <v>6657.967474874614</v>
      </c>
      <c r="K1788" s="24" t="n">
        <v>3166.666666666667</v>
      </c>
      <c r="L1788" s="24" t="n">
        <v>150</v>
      </c>
      <c r="M1788" s="24">
        <f>I1788+J1788+K1788+L1788</f>
        <v/>
      </c>
      <c r="N1788" s="24">
        <f>M1788*'Dashboard &amp; Optimisation'!$B$18/('Dashboard &amp; Optimisation'!$B$16/3.6)</f>
        <v/>
      </c>
      <c r="O1788" s="24" t="n">
        <v>833.2864639907375</v>
      </c>
      <c r="P1788" s="25" t="n">
        <v>0.06518191488281506</v>
      </c>
      <c r="Q1788" s="26" t="n">
        <v>5.689672816037082</v>
      </c>
      <c r="R1788" s="24" t="n">
        <v>3229.095604477018</v>
      </c>
      <c r="S1788" s="24">
        <f>R1788*IF(A1788=4, 2.0, 3.0)</f>
        <v/>
      </c>
      <c r="T1788" s="22">
        <f>'Dashboard &amp; Optimisation'!$B$18*U1788</f>
        <v/>
      </c>
      <c r="U1788" s="27">
        <f>MIN(1, S1788/M1788)</f>
        <v/>
      </c>
      <c r="V1788" s="27">
        <f>N1788/(N1788+O1788)</f>
        <v/>
      </c>
      <c r="W1788" s="27">
        <f>U1788*V1788</f>
        <v/>
      </c>
      <c r="X1788" s="25">
        <f>T1788/N1788</f>
        <v/>
      </c>
      <c r="Y1788" s="28">
        <f>IF(W1788=MAXIFS(W$2:W$3601, A$2:A$3601, A1788, B$2:B$3601, B1788), "OPTIMAL", "")</f>
        <v/>
      </c>
    </row>
    <row r="1789" ht="20" customHeight="1">
      <c r="A1789" s="29" t="n">
        <v>4</v>
      </c>
      <c r="B1789" s="29" t="n">
        <v>45</v>
      </c>
      <c r="C1789" s="30" t="n">
        <v>120</v>
      </c>
      <c r="D1789" s="30" t="n">
        <v>3</v>
      </c>
      <c r="E1789" s="6" t="n">
        <v>4</v>
      </c>
      <c r="F1789" s="30" t="n">
        <v>1.5</v>
      </c>
      <c r="G1789" s="6" t="inlineStr">
        <is>
          <t>Non</t>
        </is>
      </c>
      <c r="H1789" s="6" t="inlineStr">
        <is>
          <t>OFF</t>
        </is>
      </c>
      <c r="I1789" s="31" t="n">
        <v>1132.611974342026</v>
      </c>
      <c r="J1789" s="31" t="n">
        <v>6657.967474874614</v>
      </c>
      <c r="K1789" s="31" t="n">
        <v>3166.666666666667</v>
      </c>
      <c r="L1789" s="31" t="n">
        <v>150</v>
      </c>
      <c r="M1789" s="31">
        <f>I1789+J1789+K1789+L1789</f>
        <v/>
      </c>
      <c r="N1789" s="31">
        <f>M1789*'Dashboard &amp; Optimisation'!$B$18/('Dashboard &amp; Optimisation'!$B$16/3.6)</f>
        <v/>
      </c>
      <c r="O1789" s="31" t="n">
        <v>833.2864639907375</v>
      </c>
      <c r="P1789" s="32" t="n">
        <v>0.2688551278385546</v>
      </c>
      <c r="Q1789" s="33" t="n">
        <v>5.689672816037082</v>
      </c>
      <c r="R1789" s="31" t="n">
        <v>782.8700777687379</v>
      </c>
      <c r="S1789" s="31">
        <f>R1789*IF(A1789=4, 2.0, 3.0)</f>
        <v/>
      </c>
      <c r="T1789" s="30">
        <f>'Dashboard &amp; Optimisation'!$B$18*U1789</f>
        <v/>
      </c>
      <c r="U1789" s="34">
        <f>MIN(1, S1789/M1789)</f>
        <v/>
      </c>
      <c r="V1789" s="34">
        <f>N1789/(N1789+O1789)</f>
        <v/>
      </c>
      <c r="W1789" s="34">
        <f>U1789*V1789</f>
        <v/>
      </c>
      <c r="X1789" s="32">
        <f>T1789/N1789</f>
        <v/>
      </c>
      <c r="Y1789" s="35">
        <f>IF(W1789=MAXIFS(W$2:W$3601, A$2:A$3601, A1789, B$2:B$3601, B1789), "OPTIMAL", "")</f>
        <v/>
      </c>
    </row>
    <row r="1790" ht="20" customHeight="1">
      <c r="A1790" s="21" t="n">
        <v>4</v>
      </c>
      <c r="B1790" s="21" t="n">
        <v>45</v>
      </c>
      <c r="C1790" s="22" t="n">
        <v>120</v>
      </c>
      <c r="D1790" s="22" t="n">
        <v>3</v>
      </c>
      <c r="E1790" s="23" t="n">
        <v>4</v>
      </c>
      <c r="F1790" s="22" t="n">
        <v>2</v>
      </c>
      <c r="G1790" s="23" t="inlineStr">
        <is>
          <t>Oui</t>
        </is>
      </c>
      <c r="H1790" s="23" t="inlineStr">
        <is>
          <t>ON</t>
        </is>
      </c>
      <c r="I1790" s="24" t="n">
        <v>1132.611974342026</v>
      </c>
      <c r="J1790" s="24" t="n">
        <v>6657.967474874614</v>
      </c>
      <c r="K1790" s="24" t="n">
        <v>3166.666666666667</v>
      </c>
      <c r="L1790" s="24" t="n">
        <v>150</v>
      </c>
      <c r="M1790" s="24">
        <f>I1790+J1790+K1790+L1790</f>
        <v/>
      </c>
      <c r="N1790" s="24">
        <f>M1790*'Dashboard &amp; Optimisation'!$B$18/('Dashboard &amp; Optimisation'!$B$16/3.6)</f>
        <v/>
      </c>
      <c r="O1790" s="24" t="n">
        <v>910.5231093950913</v>
      </c>
      <c r="P1790" s="25" t="n">
        <v>0.06458187918791126</v>
      </c>
      <c r="Q1790" s="26" t="n">
        <v>7.519563754716109</v>
      </c>
      <c r="R1790" s="24" t="n">
        <v>3289.296815254362</v>
      </c>
      <c r="S1790" s="24">
        <f>R1790*IF(A1790=4, 2.0, 3.0)</f>
        <v/>
      </c>
      <c r="T1790" s="22">
        <f>'Dashboard &amp; Optimisation'!$B$18*U1790</f>
        <v/>
      </c>
      <c r="U1790" s="27">
        <f>MIN(1, S1790/M1790)</f>
        <v/>
      </c>
      <c r="V1790" s="27">
        <f>N1790/(N1790+O1790)</f>
        <v/>
      </c>
      <c r="W1790" s="27">
        <f>U1790*V1790</f>
        <v/>
      </c>
      <c r="X1790" s="25">
        <f>T1790/N1790</f>
        <v/>
      </c>
      <c r="Y1790" s="28">
        <f>IF(W1790=MAXIFS(W$2:W$3601, A$2:A$3601, A1790, B$2:B$3601, B1790), "OPTIMAL", "")</f>
        <v/>
      </c>
    </row>
    <row r="1791" ht="20" customHeight="1">
      <c r="A1791" s="29" t="n">
        <v>4</v>
      </c>
      <c r="B1791" s="29" t="n">
        <v>45</v>
      </c>
      <c r="C1791" s="30" t="n">
        <v>120</v>
      </c>
      <c r="D1791" s="30" t="n">
        <v>3</v>
      </c>
      <c r="E1791" s="6" t="n">
        <v>4</v>
      </c>
      <c r="F1791" s="30" t="n">
        <v>2</v>
      </c>
      <c r="G1791" s="6" t="inlineStr">
        <is>
          <t>Oui</t>
        </is>
      </c>
      <c r="H1791" s="6" t="inlineStr">
        <is>
          <t>OFF</t>
        </is>
      </c>
      <c r="I1791" s="31" t="n">
        <v>1132.611974342026</v>
      </c>
      <c r="J1791" s="31" t="n">
        <v>6657.967474874614</v>
      </c>
      <c r="K1791" s="31" t="n">
        <v>3166.666666666667</v>
      </c>
      <c r="L1791" s="31" t="n">
        <v>150</v>
      </c>
      <c r="M1791" s="31">
        <f>I1791+J1791+K1791+L1791</f>
        <v/>
      </c>
      <c r="N1791" s="31">
        <f>M1791*'Dashboard &amp; Optimisation'!$B$18/('Dashboard &amp; Optimisation'!$B$16/3.6)</f>
        <v/>
      </c>
      <c r="O1791" s="31" t="n">
        <v>910.5231093950913</v>
      </c>
      <c r="P1791" s="32" t="n">
        <v>0.2690865884190716</v>
      </c>
      <c r="Q1791" s="33" t="n">
        <v>7.519563754716109</v>
      </c>
      <c r="R1791" s="31" t="n">
        <v>789.4446571417549</v>
      </c>
      <c r="S1791" s="31">
        <f>R1791*IF(A1791=4, 2.0, 3.0)</f>
        <v/>
      </c>
      <c r="T1791" s="30">
        <f>'Dashboard &amp; Optimisation'!$B$18*U1791</f>
        <v/>
      </c>
      <c r="U1791" s="34">
        <f>MIN(1, S1791/M1791)</f>
        <v/>
      </c>
      <c r="V1791" s="34">
        <f>N1791/(N1791+O1791)</f>
        <v/>
      </c>
      <c r="W1791" s="34">
        <f>U1791*V1791</f>
        <v/>
      </c>
      <c r="X1791" s="32">
        <f>T1791/N1791</f>
        <v/>
      </c>
      <c r="Y1791" s="35">
        <f>IF(W1791=MAXIFS(W$2:W$3601, A$2:A$3601, A1791, B$2:B$3601, B1791), "OPTIMAL", "")</f>
        <v/>
      </c>
    </row>
    <row r="1792" ht="20" customHeight="1">
      <c r="A1792" s="21" t="n">
        <v>4</v>
      </c>
      <c r="B1792" s="21" t="n">
        <v>45</v>
      </c>
      <c r="C1792" s="22" t="n">
        <v>120</v>
      </c>
      <c r="D1792" s="22" t="n">
        <v>3</v>
      </c>
      <c r="E1792" s="23" t="n">
        <v>4</v>
      </c>
      <c r="F1792" s="22" t="n">
        <v>2</v>
      </c>
      <c r="G1792" s="23" t="inlineStr">
        <is>
          <t>Non</t>
        </is>
      </c>
      <c r="H1792" s="23" t="inlineStr">
        <is>
          <t>ON</t>
        </is>
      </c>
      <c r="I1792" s="24" t="n">
        <v>1132.611974342026</v>
      </c>
      <c r="J1792" s="24" t="n">
        <v>6657.967474874614</v>
      </c>
      <c r="K1792" s="24" t="n">
        <v>3166.666666666667</v>
      </c>
      <c r="L1792" s="24" t="n">
        <v>150</v>
      </c>
      <c r="M1792" s="24">
        <f>I1792+J1792+K1792+L1792</f>
        <v/>
      </c>
      <c r="N1792" s="24">
        <f>M1792*'Dashboard &amp; Optimisation'!$B$18/('Dashboard &amp; Optimisation'!$B$16/3.6)</f>
        <v/>
      </c>
      <c r="O1792" s="24" t="n">
        <v>910.5231093950913</v>
      </c>
      <c r="P1792" s="25" t="n">
        <v>0.06192929680304634</v>
      </c>
      <c r="Q1792" s="26" t="n">
        <v>7.519563754716109</v>
      </c>
      <c r="R1792" s="24" t="n">
        <v>3430.185396929761</v>
      </c>
      <c r="S1792" s="24">
        <f>R1792*IF(A1792=4, 2.0, 3.0)</f>
        <v/>
      </c>
      <c r="T1792" s="22">
        <f>'Dashboard &amp; Optimisation'!$B$18*U1792</f>
        <v/>
      </c>
      <c r="U1792" s="27">
        <f>MIN(1, S1792/M1792)</f>
        <v/>
      </c>
      <c r="V1792" s="27">
        <f>N1792/(N1792+O1792)</f>
        <v/>
      </c>
      <c r="W1792" s="27">
        <f>U1792*V1792</f>
        <v/>
      </c>
      <c r="X1792" s="25">
        <f>T1792/N1792</f>
        <v/>
      </c>
      <c r="Y1792" s="28">
        <f>IF(W1792=MAXIFS(W$2:W$3601, A$2:A$3601, A1792, B$2:B$3601, B1792), "OPTIMAL", "")</f>
        <v/>
      </c>
    </row>
    <row r="1793" ht="20" customHeight="1">
      <c r="A1793" s="29" t="n">
        <v>4</v>
      </c>
      <c r="B1793" s="29" t="n">
        <v>45</v>
      </c>
      <c r="C1793" s="30" t="n">
        <v>120</v>
      </c>
      <c r="D1793" s="30" t="n">
        <v>3</v>
      </c>
      <c r="E1793" s="6" t="n">
        <v>4</v>
      </c>
      <c r="F1793" s="30" t="n">
        <v>2</v>
      </c>
      <c r="G1793" s="6" t="inlineStr">
        <is>
          <t>Non</t>
        </is>
      </c>
      <c r="H1793" s="6" t="inlineStr">
        <is>
          <t>OFF</t>
        </is>
      </c>
      <c r="I1793" s="31" t="n">
        <v>1132.611974342026</v>
      </c>
      <c r="J1793" s="31" t="n">
        <v>6657.967474874614</v>
      </c>
      <c r="K1793" s="31" t="n">
        <v>3166.666666666667</v>
      </c>
      <c r="L1793" s="31" t="n">
        <v>150</v>
      </c>
      <c r="M1793" s="31">
        <f>I1793+J1793+K1793+L1793</f>
        <v/>
      </c>
      <c r="N1793" s="31">
        <f>M1793*'Dashboard &amp; Optimisation'!$B$18/('Dashboard &amp; Optimisation'!$B$16/3.6)</f>
        <v/>
      </c>
      <c r="O1793" s="31" t="n">
        <v>910.5231093950913</v>
      </c>
      <c r="P1793" s="32" t="n">
        <v>0.2664340060342067</v>
      </c>
      <c r="Q1793" s="33" t="n">
        <v>7.519563754716109</v>
      </c>
      <c r="R1793" s="31" t="n">
        <v>797.3042656899636</v>
      </c>
      <c r="S1793" s="31">
        <f>R1793*IF(A1793=4, 2.0, 3.0)</f>
        <v/>
      </c>
      <c r="T1793" s="30">
        <f>'Dashboard &amp; Optimisation'!$B$18*U1793</f>
        <v/>
      </c>
      <c r="U1793" s="34">
        <f>MIN(1, S1793/M1793)</f>
        <v/>
      </c>
      <c r="V1793" s="34">
        <f>N1793/(N1793+O1793)</f>
        <v/>
      </c>
      <c r="W1793" s="34">
        <f>U1793*V1793</f>
        <v/>
      </c>
      <c r="X1793" s="32">
        <f>T1793/N1793</f>
        <v/>
      </c>
      <c r="Y1793" s="35">
        <f>IF(W1793=MAXIFS(W$2:W$3601, A$2:A$3601, A1793, B$2:B$3601, B1793), "OPTIMAL", "")</f>
        <v/>
      </c>
    </row>
    <row r="1794" ht="20" customHeight="1">
      <c r="A1794" s="21" t="n">
        <v>4</v>
      </c>
      <c r="B1794" s="21" t="n">
        <v>45</v>
      </c>
      <c r="C1794" s="22" t="n">
        <v>120</v>
      </c>
      <c r="D1794" s="22" t="n">
        <v>3</v>
      </c>
      <c r="E1794" s="23" t="n">
        <v>8</v>
      </c>
      <c r="F1794" s="22" t="n">
        <v>1.5</v>
      </c>
      <c r="G1794" s="23" t="inlineStr">
        <is>
          <t>Oui</t>
        </is>
      </c>
      <c r="H1794" s="23" t="inlineStr">
        <is>
          <t>ON</t>
        </is>
      </c>
      <c r="I1794" s="24" t="n">
        <v>1132.611974342026</v>
      </c>
      <c r="J1794" s="24" t="n">
        <v>6657.967474874614</v>
      </c>
      <c r="K1794" s="24" t="n">
        <v>3166.666666666667</v>
      </c>
      <c r="L1794" s="24" t="n">
        <v>150</v>
      </c>
      <c r="M1794" s="24">
        <f>I1794+J1794+K1794+L1794</f>
        <v/>
      </c>
      <c r="N1794" s="24">
        <f>M1794*'Dashboard &amp; Optimisation'!$B$18/('Dashboard &amp; Optimisation'!$B$16/3.6)</f>
        <v/>
      </c>
      <c r="O1794" s="24" t="n">
        <v>1069.37161928518</v>
      </c>
      <c r="P1794" s="25" t="n">
        <v>0.05144850932496671</v>
      </c>
      <c r="Q1794" s="26" t="n">
        <v>11.17934563207417</v>
      </c>
      <c r="R1794" s="24" t="n">
        <v>4206.926930393576</v>
      </c>
      <c r="S1794" s="24">
        <f>R1794*IF(A1794=4, 2.0, 3.0)</f>
        <v/>
      </c>
      <c r="T1794" s="22">
        <f>'Dashboard &amp; Optimisation'!$B$18*U1794</f>
        <v/>
      </c>
      <c r="U1794" s="27">
        <f>MIN(1, S1794/M1794)</f>
        <v/>
      </c>
      <c r="V1794" s="27">
        <f>N1794/(N1794+O1794)</f>
        <v/>
      </c>
      <c r="W1794" s="27">
        <f>U1794*V1794</f>
        <v/>
      </c>
      <c r="X1794" s="25">
        <f>T1794/N1794</f>
        <v/>
      </c>
      <c r="Y1794" s="28">
        <f>IF(W1794=MAXIFS(W$2:W$3601, A$2:A$3601, A1794, B$2:B$3601, B1794), "OPTIMAL", "")</f>
        <v/>
      </c>
    </row>
    <row r="1795" ht="20" customHeight="1">
      <c r="A1795" s="29" t="n">
        <v>4</v>
      </c>
      <c r="B1795" s="29" t="n">
        <v>45</v>
      </c>
      <c r="C1795" s="30" t="n">
        <v>120</v>
      </c>
      <c r="D1795" s="30" t="n">
        <v>3</v>
      </c>
      <c r="E1795" s="6" t="n">
        <v>8</v>
      </c>
      <c r="F1795" s="30" t="n">
        <v>1.5</v>
      </c>
      <c r="G1795" s="6" t="inlineStr">
        <is>
          <t>Oui</t>
        </is>
      </c>
      <c r="H1795" s="6" t="inlineStr">
        <is>
          <t>OFF</t>
        </is>
      </c>
      <c r="I1795" s="31" t="n">
        <v>1132.611974342026</v>
      </c>
      <c r="J1795" s="31" t="n">
        <v>6657.967474874614</v>
      </c>
      <c r="K1795" s="31" t="n">
        <v>3166.666666666667</v>
      </c>
      <c r="L1795" s="31" t="n">
        <v>150</v>
      </c>
      <c r="M1795" s="31">
        <f>I1795+J1795+K1795+L1795</f>
        <v/>
      </c>
      <c r="N1795" s="31">
        <f>M1795*'Dashboard &amp; Optimisation'!$B$18/('Dashboard &amp; Optimisation'!$B$16/3.6)</f>
        <v/>
      </c>
      <c r="O1795" s="31" t="n">
        <v>1069.37161928518</v>
      </c>
      <c r="P1795" s="32" t="n">
        <v>0.2167441267000743</v>
      </c>
      <c r="Q1795" s="33" t="n">
        <v>11.17934563207417</v>
      </c>
      <c r="R1795" s="31" t="n">
        <v>998.5973908640789</v>
      </c>
      <c r="S1795" s="31">
        <f>R1795*IF(A1795=4, 2.0, 3.0)</f>
        <v/>
      </c>
      <c r="T1795" s="30">
        <f>'Dashboard &amp; Optimisation'!$B$18*U1795</f>
        <v/>
      </c>
      <c r="U1795" s="34">
        <f>MIN(1, S1795/M1795)</f>
        <v/>
      </c>
      <c r="V1795" s="34">
        <f>N1795/(N1795+O1795)</f>
        <v/>
      </c>
      <c r="W1795" s="34">
        <f>U1795*V1795</f>
        <v/>
      </c>
      <c r="X1795" s="32">
        <f>T1795/N1795</f>
        <v/>
      </c>
      <c r="Y1795" s="35">
        <f>IF(W1795=MAXIFS(W$2:W$3601, A$2:A$3601, A1795, B$2:B$3601, B1795), "OPTIMAL", "")</f>
        <v/>
      </c>
    </row>
    <row r="1796" ht="20" customHeight="1">
      <c r="A1796" s="21" t="n">
        <v>4</v>
      </c>
      <c r="B1796" s="21" t="n">
        <v>45</v>
      </c>
      <c r="C1796" s="22" t="n">
        <v>120</v>
      </c>
      <c r="D1796" s="22" t="n">
        <v>3</v>
      </c>
      <c r="E1796" s="23" t="n">
        <v>8</v>
      </c>
      <c r="F1796" s="22" t="n">
        <v>1.5</v>
      </c>
      <c r="G1796" s="23" t="inlineStr">
        <is>
          <t>Non</t>
        </is>
      </c>
      <c r="H1796" s="23" t="inlineStr">
        <is>
          <t>ON</t>
        </is>
      </c>
      <c r="I1796" s="24" t="n">
        <v>1132.611974342026</v>
      </c>
      <c r="J1796" s="24" t="n">
        <v>6657.967474874614</v>
      </c>
      <c r="K1796" s="24" t="n">
        <v>3166.666666666667</v>
      </c>
      <c r="L1796" s="24" t="n">
        <v>150</v>
      </c>
      <c r="M1796" s="24">
        <f>I1796+J1796+K1796+L1796</f>
        <v/>
      </c>
      <c r="N1796" s="24">
        <f>M1796*'Dashboard &amp; Optimisation'!$B$18/('Dashboard &amp; Optimisation'!$B$16/3.6)</f>
        <v/>
      </c>
      <c r="O1796" s="24" t="n">
        <v>1069.37161928518</v>
      </c>
      <c r="P1796" s="25" t="n">
        <v>0.04879592694010178</v>
      </c>
      <c r="Q1796" s="26" t="n">
        <v>11.17934563207417</v>
      </c>
      <c r="R1796" s="24" t="n">
        <v>4435.618564506278</v>
      </c>
      <c r="S1796" s="24">
        <f>R1796*IF(A1796=4, 2.0, 3.0)</f>
        <v/>
      </c>
      <c r="T1796" s="22">
        <f>'Dashboard &amp; Optimisation'!$B$18*U1796</f>
        <v/>
      </c>
      <c r="U1796" s="27">
        <f>MIN(1, S1796/M1796)</f>
        <v/>
      </c>
      <c r="V1796" s="27">
        <f>N1796/(N1796+O1796)</f>
        <v/>
      </c>
      <c r="W1796" s="27">
        <f>U1796*V1796</f>
        <v/>
      </c>
      <c r="X1796" s="25">
        <f>T1796/N1796</f>
        <v/>
      </c>
      <c r="Y1796" s="28">
        <f>IF(W1796=MAXIFS(W$2:W$3601, A$2:A$3601, A1796, B$2:B$3601, B1796), "OPTIMAL", "")</f>
        <v/>
      </c>
    </row>
    <row r="1797" ht="20" customHeight="1">
      <c r="A1797" s="29" t="n">
        <v>4</v>
      </c>
      <c r="B1797" s="29" t="n">
        <v>45</v>
      </c>
      <c r="C1797" s="30" t="n">
        <v>120</v>
      </c>
      <c r="D1797" s="30" t="n">
        <v>3</v>
      </c>
      <c r="E1797" s="6" t="n">
        <v>8</v>
      </c>
      <c r="F1797" s="30" t="n">
        <v>1.5</v>
      </c>
      <c r="G1797" s="6" t="inlineStr">
        <is>
          <t>Non</t>
        </is>
      </c>
      <c r="H1797" s="6" t="inlineStr">
        <is>
          <t>OFF</t>
        </is>
      </c>
      <c r="I1797" s="31" t="n">
        <v>1132.611974342026</v>
      </c>
      <c r="J1797" s="31" t="n">
        <v>6657.967474874614</v>
      </c>
      <c r="K1797" s="31" t="n">
        <v>3166.666666666667</v>
      </c>
      <c r="L1797" s="31" t="n">
        <v>150</v>
      </c>
      <c r="M1797" s="31">
        <f>I1797+J1797+K1797+L1797</f>
        <v/>
      </c>
      <c r="N1797" s="31">
        <f>M1797*'Dashboard &amp; Optimisation'!$B$18/('Dashboard &amp; Optimisation'!$B$16/3.6)</f>
        <v/>
      </c>
      <c r="O1797" s="31" t="n">
        <v>1069.37161928518</v>
      </c>
      <c r="P1797" s="32" t="n">
        <v>0.2140915443152093</v>
      </c>
      <c r="Q1797" s="33" t="n">
        <v>11.17934563207417</v>
      </c>
      <c r="R1797" s="31" t="n">
        <v>1010.969957268094</v>
      </c>
      <c r="S1797" s="31">
        <f>R1797*IF(A1797=4, 2.0, 3.0)</f>
        <v/>
      </c>
      <c r="T1797" s="30">
        <f>'Dashboard &amp; Optimisation'!$B$18*U1797</f>
        <v/>
      </c>
      <c r="U1797" s="34">
        <f>MIN(1, S1797/M1797)</f>
        <v/>
      </c>
      <c r="V1797" s="34">
        <f>N1797/(N1797+O1797)</f>
        <v/>
      </c>
      <c r="W1797" s="34">
        <f>U1797*V1797</f>
        <v/>
      </c>
      <c r="X1797" s="32">
        <f>T1797/N1797</f>
        <v/>
      </c>
      <c r="Y1797" s="35">
        <f>IF(W1797=MAXIFS(W$2:W$3601, A$2:A$3601, A1797, B$2:B$3601, B1797), "OPTIMAL", "")</f>
        <v/>
      </c>
    </row>
    <row r="1798" ht="20" customHeight="1">
      <c r="A1798" s="21" t="n">
        <v>4</v>
      </c>
      <c r="B1798" s="21" t="n">
        <v>45</v>
      </c>
      <c r="C1798" s="22" t="n">
        <v>120</v>
      </c>
      <c r="D1798" s="22" t="n">
        <v>3</v>
      </c>
      <c r="E1798" s="23" t="n">
        <v>8</v>
      </c>
      <c r="F1798" s="22" t="n">
        <v>2</v>
      </c>
      <c r="G1798" s="23" t="inlineStr">
        <is>
          <t>Oui</t>
        </is>
      </c>
      <c r="H1798" s="23" t="inlineStr">
        <is>
          <t>ON</t>
        </is>
      </c>
      <c r="I1798" s="24" t="n">
        <v>1132.611974342026</v>
      </c>
      <c r="J1798" s="24" t="n">
        <v>6657.967474874614</v>
      </c>
      <c r="K1798" s="24" t="n">
        <v>3166.666666666667</v>
      </c>
      <c r="L1798" s="24" t="n">
        <v>150</v>
      </c>
      <c r="M1798" s="24">
        <f>I1798+J1798+K1798+L1798</f>
        <v/>
      </c>
      <c r="N1798" s="24">
        <f>M1798*'Dashboard &amp; Optimisation'!$B$18/('Dashboard &amp; Optimisation'!$B$16/3.6)</f>
        <v/>
      </c>
      <c r="O1798" s="24" t="n">
        <v>1234.334435342746</v>
      </c>
      <c r="P1798" s="25" t="n">
        <v>0.04989331996011</v>
      </c>
      <c r="Q1798" s="26" t="n">
        <v>14.83912750943222</v>
      </c>
      <c r="R1798" s="24" t="n">
        <v>4421.547099837062</v>
      </c>
      <c r="S1798" s="24">
        <f>R1798*IF(A1798=4, 2.0, 3.0)</f>
        <v/>
      </c>
      <c r="T1798" s="22">
        <f>'Dashboard &amp; Optimisation'!$B$18*U1798</f>
        <v/>
      </c>
      <c r="U1798" s="27">
        <f>MIN(1, S1798/M1798)</f>
        <v/>
      </c>
      <c r="V1798" s="27">
        <f>N1798/(N1798+O1798)</f>
        <v/>
      </c>
      <c r="W1798" s="27">
        <f>U1798*V1798</f>
        <v/>
      </c>
      <c r="X1798" s="25">
        <f>T1798/N1798</f>
        <v/>
      </c>
      <c r="Y1798" s="28">
        <f>IF(W1798=MAXIFS(W$2:W$3601, A$2:A$3601, A1798, B$2:B$3601, B1798), "OPTIMAL", "")</f>
        <v/>
      </c>
    </row>
    <row r="1799" ht="20" customHeight="1">
      <c r="A1799" s="29" t="n">
        <v>4</v>
      </c>
      <c r="B1799" s="29" t="n">
        <v>45</v>
      </c>
      <c r="C1799" s="30" t="n">
        <v>120</v>
      </c>
      <c r="D1799" s="30" t="n">
        <v>3</v>
      </c>
      <c r="E1799" s="6" t="n">
        <v>8</v>
      </c>
      <c r="F1799" s="30" t="n">
        <v>2</v>
      </c>
      <c r="G1799" s="6" t="inlineStr">
        <is>
          <t>Oui</t>
        </is>
      </c>
      <c r="H1799" s="6" t="inlineStr">
        <is>
          <t>OFF</t>
        </is>
      </c>
      <c r="I1799" s="31" t="n">
        <v>1132.611974342026</v>
      </c>
      <c r="J1799" s="31" t="n">
        <v>6657.967474874614</v>
      </c>
      <c r="K1799" s="31" t="n">
        <v>3166.666666666667</v>
      </c>
      <c r="L1799" s="31" t="n">
        <v>150</v>
      </c>
      <c r="M1799" s="31">
        <f>I1799+J1799+K1799+L1799</f>
        <v/>
      </c>
      <c r="N1799" s="31">
        <f>M1799*'Dashboard &amp; Optimisation'!$B$18/('Dashboard &amp; Optimisation'!$B$16/3.6)</f>
        <v/>
      </c>
      <c r="O1799" s="31" t="n">
        <v>1234.334435342746</v>
      </c>
      <c r="P1799" s="32" t="n">
        <v>0.2162873761903785</v>
      </c>
      <c r="Q1799" s="33" t="n">
        <v>14.83912750943222</v>
      </c>
      <c r="R1799" s="31" t="n">
        <v>1019.965510963005</v>
      </c>
      <c r="S1799" s="31">
        <f>R1799*IF(A1799=4, 2.0, 3.0)</f>
        <v/>
      </c>
      <c r="T1799" s="30">
        <f>'Dashboard &amp; Optimisation'!$B$18*U1799</f>
        <v/>
      </c>
      <c r="U1799" s="34">
        <f>MIN(1, S1799/M1799)</f>
        <v/>
      </c>
      <c r="V1799" s="34">
        <f>N1799/(N1799+O1799)</f>
        <v/>
      </c>
      <c r="W1799" s="34">
        <f>U1799*V1799</f>
        <v/>
      </c>
      <c r="X1799" s="32">
        <f>T1799/N1799</f>
        <v/>
      </c>
      <c r="Y1799" s="35">
        <f>IF(W1799=MAXIFS(W$2:W$3601, A$2:A$3601, A1799, B$2:B$3601, B1799), "OPTIMAL", "")</f>
        <v/>
      </c>
    </row>
    <row r="1800" ht="20" customHeight="1">
      <c r="A1800" s="21" t="n">
        <v>4</v>
      </c>
      <c r="B1800" s="21" t="n">
        <v>45</v>
      </c>
      <c r="C1800" s="22" t="n">
        <v>120</v>
      </c>
      <c r="D1800" s="22" t="n">
        <v>3</v>
      </c>
      <c r="E1800" s="23" t="n">
        <v>8</v>
      </c>
      <c r="F1800" s="22" t="n">
        <v>2</v>
      </c>
      <c r="G1800" s="23" t="inlineStr">
        <is>
          <t>Non</t>
        </is>
      </c>
      <c r="H1800" s="23" t="inlineStr">
        <is>
          <t>ON</t>
        </is>
      </c>
      <c r="I1800" s="24" t="n">
        <v>1132.611974342026</v>
      </c>
      <c r="J1800" s="24" t="n">
        <v>6657.967474874614</v>
      </c>
      <c r="K1800" s="24" t="n">
        <v>3166.666666666667</v>
      </c>
      <c r="L1800" s="24" t="n">
        <v>150</v>
      </c>
      <c r="M1800" s="24">
        <f>I1800+J1800+K1800+L1800</f>
        <v/>
      </c>
      <c r="N1800" s="24">
        <f>M1800*'Dashboard &amp; Optimisation'!$B$18/('Dashboard &amp; Optimisation'!$B$16/3.6)</f>
        <v/>
      </c>
      <c r="O1800" s="24" t="n">
        <v>1234.334435342746</v>
      </c>
      <c r="P1800" s="25" t="n">
        <v>0.04724073757524508</v>
      </c>
      <c r="Q1800" s="26" t="n">
        <v>14.83912750943222</v>
      </c>
      <c r="R1800" s="24" t="n">
        <v>4669.818370627388</v>
      </c>
      <c r="S1800" s="24">
        <f>R1800*IF(A1800=4, 2.0, 3.0)</f>
        <v/>
      </c>
      <c r="T1800" s="22">
        <f>'Dashboard &amp; Optimisation'!$B$18*U1800</f>
        <v/>
      </c>
      <c r="U1800" s="27">
        <f>MIN(1, S1800/M1800)</f>
        <v/>
      </c>
      <c r="V1800" s="27">
        <f>N1800/(N1800+O1800)</f>
        <v/>
      </c>
      <c r="W1800" s="27">
        <f>U1800*V1800</f>
        <v/>
      </c>
      <c r="X1800" s="25">
        <f>T1800/N1800</f>
        <v/>
      </c>
      <c r="Y1800" s="28">
        <f>IF(W1800=MAXIFS(W$2:W$3601, A$2:A$3601, A1800, B$2:B$3601, B1800), "OPTIMAL", "")</f>
        <v/>
      </c>
    </row>
    <row r="1801" ht="20" customHeight="1">
      <c r="A1801" s="29" t="n">
        <v>4</v>
      </c>
      <c r="B1801" s="29" t="n">
        <v>45</v>
      </c>
      <c r="C1801" s="30" t="n">
        <v>120</v>
      </c>
      <c r="D1801" s="30" t="n">
        <v>3</v>
      </c>
      <c r="E1801" s="6" t="n">
        <v>8</v>
      </c>
      <c r="F1801" s="30" t="n">
        <v>2</v>
      </c>
      <c r="G1801" s="6" t="inlineStr">
        <is>
          <t>Non</t>
        </is>
      </c>
      <c r="H1801" s="6" t="inlineStr">
        <is>
          <t>OFF</t>
        </is>
      </c>
      <c r="I1801" s="31" t="n">
        <v>1132.611974342026</v>
      </c>
      <c r="J1801" s="31" t="n">
        <v>6657.967474874614</v>
      </c>
      <c r="K1801" s="31" t="n">
        <v>3166.666666666667</v>
      </c>
      <c r="L1801" s="31" t="n">
        <v>150</v>
      </c>
      <c r="M1801" s="31">
        <f>I1801+J1801+K1801+L1801</f>
        <v/>
      </c>
      <c r="N1801" s="31">
        <f>M1801*'Dashboard &amp; Optimisation'!$B$18/('Dashboard &amp; Optimisation'!$B$16/3.6)</f>
        <v/>
      </c>
      <c r="O1801" s="31" t="n">
        <v>1234.334435342746</v>
      </c>
      <c r="P1801" s="32" t="n">
        <v>0.2136347938055135</v>
      </c>
      <c r="Q1801" s="33" t="n">
        <v>14.83912750943222</v>
      </c>
      <c r="R1801" s="31" t="n">
        <v>1032.629845734303</v>
      </c>
      <c r="S1801" s="31">
        <f>R1801*IF(A1801=4, 2.0, 3.0)</f>
        <v/>
      </c>
      <c r="T1801" s="30">
        <f>'Dashboard &amp; Optimisation'!$B$18*U1801</f>
        <v/>
      </c>
      <c r="U1801" s="34">
        <f>MIN(1, S1801/M1801)</f>
        <v/>
      </c>
      <c r="V1801" s="34">
        <f>N1801/(N1801+O1801)</f>
        <v/>
      </c>
      <c r="W1801" s="34">
        <f>U1801*V1801</f>
        <v/>
      </c>
      <c r="X1801" s="32">
        <f>T1801/N1801</f>
        <v/>
      </c>
      <c r="Y1801" s="35">
        <f>IF(W1801=MAXIFS(W$2:W$3601, A$2:A$3601, A1801, B$2:B$3601, B1801), "OPTIMAL", "")</f>
        <v/>
      </c>
    </row>
    <row r="1802" ht="20" customHeight="1">
      <c r="A1802" s="21" t="n">
        <v>-18</v>
      </c>
      <c r="B1802" s="21" t="n">
        <v>25</v>
      </c>
      <c r="C1802" s="22" t="n">
        <v>80</v>
      </c>
      <c r="D1802" s="22" t="n">
        <v>2</v>
      </c>
      <c r="E1802" s="23" t="n">
        <v>0</v>
      </c>
      <c r="F1802" s="22" t="n">
        <v>0</v>
      </c>
      <c r="G1802" s="23" t="inlineStr">
        <is>
          <t>Oui</t>
        </is>
      </c>
      <c r="H1802" s="23" t="inlineStr">
        <is>
          <t>ON</t>
        </is>
      </c>
      <c r="I1802" s="24" t="n">
        <v>604.2334594602274</v>
      </c>
      <c r="J1802" s="24" t="n">
        <v>4012.68388558375</v>
      </c>
      <c r="K1802" s="24" t="n">
        <v>3342.592592592593</v>
      </c>
      <c r="L1802" s="24" t="n">
        <v>150</v>
      </c>
      <c r="M1802" s="24">
        <f>I1802+J1802+K1802+L1802</f>
        <v/>
      </c>
      <c r="N1802" s="24">
        <f>M1802*'Dashboard &amp; Optimisation'!$B$18/('Dashboard &amp; Optimisation'!$B$16/3.6)</f>
        <v/>
      </c>
      <c r="O1802" s="24" t="n">
        <v>445.263234248985</v>
      </c>
      <c r="P1802" s="25" t="n">
        <v>0.5013778930875155</v>
      </c>
      <c r="Q1802" s="26" t="n">
        <v>0.2</v>
      </c>
      <c r="R1802" s="24" t="n">
        <v>671.1404586344094</v>
      </c>
      <c r="S1802" s="24">
        <f>R1802*IF(A1802=4, 2.0, 3.0)</f>
        <v/>
      </c>
      <c r="T1802" s="22">
        <f>'Dashboard &amp; Optimisation'!$B$18*U1802</f>
        <v/>
      </c>
      <c r="U1802" s="27">
        <f>MIN(1, S1802/M1802)</f>
        <v/>
      </c>
      <c r="V1802" s="27">
        <f>N1802/(N1802+O1802)</f>
        <v/>
      </c>
      <c r="W1802" s="27">
        <f>U1802*V1802</f>
        <v/>
      </c>
      <c r="X1802" s="25">
        <f>T1802/N1802</f>
        <v/>
      </c>
      <c r="Y1802" s="28">
        <f>IF(W1802=MAXIFS(W$2:W$3601, A$2:A$3601, A1802, B$2:B$3601, B1802), "OPTIMAL", "")</f>
        <v/>
      </c>
    </row>
    <row r="1803" ht="20" customHeight="1">
      <c r="A1803" s="29" t="n">
        <v>-18</v>
      </c>
      <c r="B1803" s="29" t="n">
        <v>25</v>
      </c>
      <c r="C1803" s="30" t="n">
        <v>80</v>
      </c>
      <c r="D1803" s="30" t="n">
        <v>2</v>
      </c>
      <c r="E1803" s="6" t="n">
        <v>0</v>
      </c>
      <c r="F1803" s="30" t="n">
        <v>0</v>
      </c>
      <c r="G1803" s="6" t="inlineStr">
        <is>
          <t>Oui</t>
        </is>
      </c>
      <c r="H1803" s="6" t="inlineStr">
        <is>
          <t>OFF</t>
        </is>
      </c>
      <c r="I1803" s="31" t="n">
        <v>604.2334594602274</v>
      </c>
      <c r="J1803" s="31" t="n">
        <v>4012.68388558375</v>
      </c>
      <c r="K1803" s="31" t="n">
        <v>3342.592592592593</v>
      </c>
      <c r="L1803" s="31" t="n">
        <v>150</v>
      </c>
      <c r="M1803" s="31">
        <f>I1803+J1803+K1803+L1803</f>
        <v/>
      </c>
      <c r="N1803" s="31">
        <f>M1803*'Dashboard &amp; Optimisation'!$B$18/('Dashboard &amp; Optimisation'!$B$16/3.6)</f>
        <v/>
      </c>
      <c r="O1803" s="31" t="n">
        <v>445.263234248985</v>
      </c>
      <c r="P1803" s="32" t="n">
        <v>0.8992652508172538</v>
      </c>
      <c r="Q1803" s="33" t="n">
        <v>0.2</v>
      </c>
      <c r="R1803" s="31" t="n">
        <v>374.1888044824391</v>
      </c>
      <c r="S1803" s="31">
        <f>R1803*IF(A1803=4, 2.0, 3.0)</f>
        <v/>
      </c>
      <c r="T1803" s="30">
        <f>'Dashboard &amp; Optimisation'!$B$18*U1803</f>
        <v/>
      </c>
      <c r="U1803" s="34">
        <f>MIN(1, S1803/M1803)</f>
        <v/>
      </c>
      <c r="V1803" s="34">
        <f>N1803/(N1803+O1803)</f>
        <v/>
      </c>
      <c r="W1803" s="34">
        <f>U1803*V1803</f>
        <v/>
      </c>
      <c r="X1803" s="32">
        <f>T1803/N1803</f>
        <v/>
      </c>
      <c r="Y1803" s="35">
        <f>IF(W1803=MAXIFS(W$2:W$3601, A$2:A$3601, A1803, B$2:B$3601, B1803), "OPTIMAL", "")</f>
        <v/>
      </c>
    </row>
    <row r="1804" ht="20" customHeight="1">
      <c r="A1804" s="21" t="n">
        <v>-18</v>
      </c>
      <c r="B1804" s="21" t="n">
        <v>25</v>
      </c>
      <c r="C1804" s="22" t="n">
        <v>80</v>
      </c>
      <c r="D1804" s="22" t="n">
        <v>2</v>
      </c>
      <c r="E1804" s="23" t="n">
        <v>0</v>
      </c>
      <c r="F1804" s="22" t="n">
        <v>0</v>
      </c>
      <c r="G1804" s="23" t="inlineStr">
        <is>
          <t>Non</t>
        </is>
      </c>
      <c r="H1804" s="23" t="inlineStr">
        <is>
          <t>ON</t>
        </is>
      </c>
      <c r="I1804" s="24" t="n">
        <v>604.2334594602274</v>
      </c>
      <c r="J1804" s="24" t="n">
        <v>4012.68388558375</v>
      </c>
      <c r="K1804" s="24" t="n">
        <v>3342.592592592593</v>
      </c>
      <c r="L1804" s="24" t="n">
        <v>150</v>
      </c>
      <c r="M1804" s="24">
        <f>I1804+J1804+K1804+L1804</f>
        <v/>
      </c>
      <c r="N1804" s="24">
        <f>M1804*'Dashboard &amp; Optimisation'!$B$18/('Dashboard &amp; Optimisation'!$B$16/3.6)</f>
        <v/>
      </c>
      <c r="O1804" s="24" t="n">
        <v>445.263234248985</v>
      </c>
      <c r="P1804" s="25" t="n">
        <v>0.4973990195102181</v>
      </c>
      <c r="Q1804" s="26" t="n">
        <v>0.2</v>
      </c>
      <c r="R1804" s="24" t="n">
        <v>676.5091524451555</v>
      </c>
      <c r="S1804" s="24">
        <f>R1804*IF(A1804=4, 2.0, 3.0)</f>
        <v/>
      </c>
      <c r="T1804" s="22">
        <f>'Dashboard &amp; Optimisation'!$B$18*U1804</f>
        <v/>
      </c>
      <c r="U1804" s="27">
        <f>MIN(1, S1804/M1804)</f>
        <v/>
      </c>
      <c r="V1804" s="27">
        <f>N1804/(N1804+O1804)</f>
        <v/>
      </c>
      <c r="W1804" s="27">
        <f>U1804*V1804</f>
        <v/>
      </c>
      <c r="X1804" s="25">
        <f>T1804/N1804</f>
        <v/>
      </c>
      <c r="Y1804" s="28">
        <f>IF(W1804=MAXIFS(W$2:W$3601, A$2:A$3601, A1804, B$2:B$3601, B1804), "OPTIMAL", "")</f>
        <v/>
      </c>
    </row>
    <row r="1805" ht="20" customHeight="1">
      <c r="A1805" s="29" t="n">
        <v>-18</v>
      </c>
      <c r="B1805" s="29" t="n">
        <v>25</v>
      </c>
      <c r="C1805" s="30" t="n">
        <v>80</v>
      </c>
      <c r="D1805" s="30" t="n">
        <v>2</v>
      </c>
      <c r="E1805" s="6" t="n">
        <v>0</v>
      </c>
      <c r="F1805" s="30" t="n">
        <v>0</v>
      </c>
      <c r="G1805" s="6" t="inlineStr">
        <is>
          <t>Non</t>
        </is>
      </c>
      <c r="H1805" s="6" t="inlineStr">
        <is>
          <t>OFF</t>
        </is>
      </c>
      <c r="I1805" s="31" t="n">
        <v>604.2334594602274</v>
      </c>
      <c r="J1805" s="31" t="n">
        <v>4012.68388558375</v>
      </c>
      <c r="K1805" s="31" t="n">
        <v>3342.592592592593</v>
      </c>
      <c r="L1805" s="31" t="n">
        <v>150</v>
      </c>
      <c r="M1805" s="31">
        <f>I1805+J1805+K1805+L1805</f>
        <v/>
      </c>
      <c r="N1805" s="31">
        <f>M1805*'Dashboard &amp; Optimisation'!$B$18/('Dashboard &amp; Optimisation'!$B$16/3.6)</f>
        <v/>
      </c>
      <c r="O1805" s="31" t="n">
        <v>445.263234248985</v>
      </c>
      <c r="P1805" s="32" t="n">
        <v>0.8952863772399564</v>
      </c>
      <c r="Q1805" s="33" t="n">
        <v>0.2</v>
      </c>
      <c r="R1805" s="31" t="n">
        <v>375.8517918627069</v>
      </c>
      <c r="S1805" s="31">
        <f>R1805*IF(A1805=4, 2.0, 3.0)</f>
        <v/>
      </c>
      <c r="T1805" s="30">
        <f>'Dashboard &amp; Optimisation'!$B$18*U1805</f>
        <v/>
      </c>
      <c r="U1805" s="34">
        <f>MIN(1, S1805/M1805)</f>
        <v/>
      </c>
      <c r="V1805" s="34">
        <f>N1805/(N1805+O1805)</f>
        <v/>
      </c>
      <c r="W1805" s="34">
        <f>U1805*V1805</f>
        <v/>
      </c>
      <c r="X1805" s="32">
        <f>T1805/N1805</f>
        <v/>
      </c>
      <c r="Y1805" s="35">
        <f>IF(W1805=MAXIFS(W$2:W$3601, A$2:A$3601, A1805, B$2:B$3601, B1805), "OPTIMAL", "")</f>
        <v/>
      </c>
    </row>
    <row r="1806" ht="20" customHeight="1">
      <c r="A1806" s="21" t="n">
        <v>-18</v>
      </c>
      <c r="B1806" s="21" t="n">
        <v>25</v>
      </c>
      <c r="C1806" s="22" t="n">
        <v>80</v>
      </c>
      <c r="D1806" s="22" t="n">
        <v>2</v>
      </c>
      <c r="E1806" s="23" t="n">
        <v>4</v>
      </c>
      <c r="F1806" s="22" t="n">
        <v>1.5</v>
      </c>
      <c r="G1806" s="23" t="inlineStr">
        <is>
          <t>Oui</t>
        </is>
      </c>
      <c r="H1806" s="23" t="inlineStr">
        <is>
          <t>ON</t>
        </is>
      </c>
      <c r="I1806" s="24" t="n">
        <v>604.2334594602274</v>
      </c>
      <c r="J1806" s="24" t="n">
        <v>4012.68388558375</v>
      </c>
      <c r="K1806" s="24" t="n">
        <v>3342.592592592593</v>
      </c>
      <c r="L1806" s="24" t="n">
        <v>150</v>
      </c>
      <c r="M1806" s="24">
        <f>I1806+J1806+K1806+L1806</f>
        <v/>
      </c>
      <c r="N1806" s="24">
        <f>M1806*'Dashboard &amp; Optimisation'!$B$18/('Dashboard &amp; Optimisation'!$B$16/3.6)</f>
        <v/>
      </c>
      <c r="O1806" s="24" t="n">
        <v>721.7691484867919</v>
      </c>
      <c r="P1806" s="25" t="n">
        <v>0.08231647342522849</v>
      </c>
      <c r="Q1806" s="26" t="n">
        <v>8.434509224055622</v>
      </c>
      <c r="R1806" s="24" t="n">
        <v>4259.067493164613</v>
      </c>
      <c r="S1806" s="24">
        <f>R1806*IF(A1806=4, 2.0, 3.0)</f>
        <v/>
      </c>
      <c r="T1806" s="22">
        <f>'Dashboard &amp; Optimisation'!$B$18*U1806</f>
        <v/>
      </c>
      <c r="U1806" s="27">
        <f>MIN(1, S1806/M1806)</f>
        <v/>
      </c>
      <c r="V1806" s="27">
        <f>N1806/(N1806+O1806)</f>
        <v/>
      </c>
      <c r="W1806" s="27">
        <f>U1806*V1806</f>
        <v/>
      </c>
      <c r="X1806" s="25">
        <f>T1806/N1806</f>
        <v/>
      </c>
      <c r="Y1806" s="28">
        <f>IF(W1806=MAXIFS(W$2:W$3601, A$2:A$3601, A1806, B$2:B$3601, B1806), "OPTIMAL", "")</f>
        <v/>
      </c>
    </row>
    <row r="1807" ht="20" customHeight="1">
      <c r="A1807" s="29" t="n">
        <v>-18</v>
      </c>
      <c r="B1807" s="29" t="n">
        <v>25</v>
      </c>
      <c r="C1807" s="30" t="n">
        <v>80</v>
      </c>
      <c r="D1807" s="30" t="n">
        <v>2</v>
      </c>
      <c r="E1807" s="6" t="n">
        <v>4</v>
      </c>
      <c r="F1807" s="30" t="n">
        <v>1.5</v>
      </c>
      <c r="G1807" s="6" t="inlineStr">
        <is>
          <t>Oui</t>
        </is>
      </c>
      <c r="H1807" s="6" t="inlineStr">
        <is>
          <t>OFF</t>
        </is>
      </c>
      <c r="I1807" s="31" t="n">
        <v>604.2334594602274</v>
      </c>
      <c r="J1807" s="31" t="n">
        <v>4012.68388558375</v>
      </c>
      <c r="K1807" s="31" t="n">
        <v>3342.592592592593</v>
      </c>
      <c r="L1807" s="31" t="n">
        <v>150</v>
      </c>
      <c r="M1807" s="31">
        <f>I1807+J1807+K1807+L1807</f>
        <v/>
      </c>
      <c r="N1807" s="31">
        <f>M1807*'Dashboard &amp; Optimisation'!$B$18/('Dashboard &amp; Optimisation'!$B$16/3.6)</f>
        <v/>
      </c>
      <c r="O1807" s="31" t="n">
        <v>721.7691484867919</v>
      </c>
      <c r="P1807" s="32" t="n">
        <v>0.3560493820000729</v>
      </c>
      <c r="Q1807" s="33" t="n">
        <v>8.434509224055622</v>
      </c>
      <c r="R1807" s="31" t="n">
        <v>984.670761532926</v>
      </c>
      <c r="S1807" s="31">
        <f>R1807*IF(A1807=4, 2.0, 3.0)</f>
        <v/>
      </c>
      <c r="T1807" s="30">
        <f>'Dashboard &amp; Optimisation'!$B$18*U1807</f>
        <v/>
      </c>
      <c r="U1807" s="34">
        <f>MIN(1, S1807/M1807)</f>
        <v/>
      </c>
      <c r="V1807" s="34">
        <f>N1807/(N1807+O1807)</f>
        <v/>
      </c>
      <c r="W1807" s="34">
        <f>U1807*V1807</f>
        <v/>
      </c>
      <c r="X1807" s="32">
        <f>T1807/N1807</f>
        <v/>
      </c>
      <c r="Y1807" s="35">
        <f>IF(W1807=MAXIFS(W$2:W$3601, A$2:A$3601, A1807, B$2:B$3601, B1807), "OPTIMAL", "")</f>
        <v/>
      </c>
    </row>
    <row r="1808" ht="20" customHeight="1">
      <c r="A1808" s="21" t="n">
        <v>-18</v>
      </c>
      <c r="B1808" s="21" t="n">
        <v>25</v>
      </c>
      <c r="C1808" s="22" t="n">
        <v>80</v>
      </c>
      <c r="D1808" s="22" t="n">
        <v>2</v>
      </c>
      <c r="E1808" s="23" t="n">
        <v>4</v>
      </c>
      <c r="F1808" s="22" t="n">
        <v>1.5</v>
      </c>
      <c r="G1808" s="23" t="inlineStr">
        <is>
          <t>Non</t>
        </is>
      </c>
      <c r="H1808" s="23" t="inlineStr">
        <is>
          <t>ON</t>
        </is>
      </c>
      <c r="I1808" s="24" t="n">
        <v>604.2334594602274</v>
      </c>
      <c r="J1808" s="24" t="n">
        <v>4012.68388558375</v>
      </c>
      <c r="K1808" s="24" t="n">
        <v>3342.592592592593</v>
      </c>
      <c r="L1808" s="24" t="n">
        <v>150</v>
      </c>
      <c r="M1808" s="24">
        <f>I1808+J1808+K1808+L1808</f>
        <v/>
      </c>
      <c r="N1808" s="24">
        <f>M1808*'Dashboard &amp; Optimisation'!$B$18/('Dashboard &amp; Optimisation'!$B$16/3.6)</f>
        <v/>
      </c>
      <c r="O1808" s="24" t="n">
        <v>721.7691484867919</v>
      </c>
      <c r="P1808" s="25" t="n">
        <v>0.07833759984793112</v>
      </c>
      <c r="Q1808" s="26" t="n">
        <v>8.434509224055622</v>
      </c>
      <c r="R1808" s="24" t="n">
        <v>4475.391342061886</v>
      </c>
      <c r="S1808" s="24">
        <f>R1808*IF(A1808=4, 2.0, 3.0)</f>
        <v/>
      </c>
      <c r="T1808" s="22">
        <f>'Dashboard &amp; Optimisation'!$B$18*U1808</f>
        <v/>
      </c>
      <c r="U1808" s="27">
        <f>MIN(1, S1808/M1808)</f>
        <v/>
      </c>
      <c r="V1808" s="27">
        <f>N1808/(N1808+O1808)</f>
        <v/>
      </c>
      <c r="W1808" s="27">
        <f>U1808*V1808</f>
        <v/>
      </c>
      <c r="X1808" s="25">
        <f>T1808/N1808</f>
        <v/>
      </c>
      <c r="Y1808" s="28">
        <f>IF(W1808=MAXIFS(W$2:W$3601, A$2:A$3601, A1808, B$2:B$3601, B1808), "OPTIMAL", "")</f>
        <v/>
      </c>
    </row>
    <row r="1809" ht="20" customHeight="1">
      <c r="A1809" s="29" t="n">
        <v>-18</v>
      </c>
      <c r="B1809" s="29" t="n">
        <v>25</v>
      </c>
      <c r="C1809" s="30" t="n">
        <v>80</v>
      </c>
      <c r="D1809" s="30" t="n">
        <v>2</v>
      </c>
      <c r="E1809" s="6" t="n">
        <v>4</v>
      </c>
      <c r="F1809" s="30" t="n">
        <v>1.5</v>
      </c>
      <c r="G1809" s="6" t="inlineStr">
        <is>
          <t>Non</t>
        </is>
      </c>
      <c r="H1809" s="6" t="inlineStr">
        <is>
          <t>OFF</t>
        </is>
      </c>
      <c r="I1809" s="31" t="n">
        <v>604.2334594602274</v>
      </c>
      <c r="J1809" s="31" t="n">
        <v>4012.68388558375</v>
      </c>
      <c r="K1809" s="31" t="n">
        <v>3342.592592592593</v>
      </c>
      <c r="L1809" s="31" t="n">
        <v>150</v>
      </c>
      <c r="M1809" s="31">
        <f>I1809+J1809+K1809+L1809</f>
        <v/>
      </c>
      <c r="N1809" s="31">
        <f>M1809*'Dashboard &amp; Optimisation'!$B$18/('Dashboard &amp; Optimisation'!$B$16/3.6)</f>
        <v/>
      </c>
      <c r="O1809" s="31" t="n">
        <v>721.7691484867919</v>
      </c>
      <c r="P1809" s="32" t="n">
        <v>0.3520705084227755</v>
      </c>
      <c r="Q1809" s="33" t="n">
        <v>8.434509224055622</v>
      </c>
      <c r="R1809" s="31" t="n">
        <v>995.7988747422719</v>
      </c>
      <c r="S1809" s="31">
        <f>R1809*IF(A1809=4, 2.0, 3.0)</f>
        <v/>
      </c>
      <c r="T1809" s="30">
        <f>'Dashboard &amp; Optimisation'!$B$18*U1809</f>
        <v/>
      </c>
      <c r="U1809" s="34">
        <f>MIN(1, S1809/M1809)</f>
        <v/>
      </c>
      <c r="V1809" s="34">
        <f>N1809/(N1809+O1809)</f>
        <v/>
      </c>
      <c r="W1809" s="34">
        <f>U1809*V1809</f>
        <v/>
      </c>
      <c r="X1809" s="32">
        <f>T1809/N1809</f>
        <v/>
      </c>
      <c r="Y1809" s="35">
        <f>IF(W1809=MAXIFS(W$2:W$3601, A$2:A$3601, A1809, B$2:B$3601, B1809), "OPTIMAL", "")</f>
        <v/>
      </c>
    </row>
    <row r="1810" ht="20" customHeight="1">
      <c r="A1810" s="21" t="n">
        <v>-18</v>
      </c>
      <c r="B1810" s="21" t="n">
        <v>25</v>
      </c>
      <c r="C1810" s="22" t="n">
        <v>80</v>
      </c>
      <c r="D1810" s="22" t="n">
        <v>2</v>
      </c>
      <c r="E1810" s="23" t="n">
        <v>4</v>
      </c>
      <c r="F1810" s="22" t="n">
        <v>2</v>
      </c>
      <c r="G1810" s="23" t="inlineStr">
        <is>
          <t>Oui</t>
        </is>
      </c>
      <c r="H1810" s="23" t="inlineStr">
        <is>
          <t>ON</t>
        </is>
      </c>
      <c r="I1810" s="24" t="n">
        <v>604.2334594602274</v>
      </c>
      <c r="J1810" s="24" t="n">
        <v>4012.68388558375</v>
      </c>
      <c r="K1810" s="24" t="n">
        <v>3342.592592592593</v>
      </c>
      <c r="L1810" s="24" t="n">
        <v>150</v>
      </c>
      <c r="M1810" s="24">
        <f>I1810+J1810+K1810+L1810</f>
        <v/>
      </c>
      <c r="N1810" s="24">
        <f>M1810*'Dashboard &amp; Optimisation'!$B$18/('Dashboard &amp; Optimisation'!$B$16/3.6)</f>
        <v/>
      </c>
      <c r="O1810" s="24" t="n">
        <v>819.158857236831</v>
      </c>
      <c r="P1810" s="25" t="n">
        <v>0.08027381372050572</v>
      </c>
      <c r="Q1810" s="26" t="n">
        <v>11.17934563207416</v>
      </c>
      <c r="R1810" s="24" t="n">
        <v>4429.294956318545</v>
      </c>
      <c r="S1810" s="24">
        <f>R1810*IF(A1810=4, 2.0, 3.0)</f>
        <v/>
      </c>
      <c r="T1810" s="22">
        <f>'Dashboard &amp; Optimisation'!$B$18*U1810</f>
        <v/>
      </c>
      <c r="U1810" s="27">
        <f>MIN(1, S1810/M1810)</f>
        <v/>
      </c>
      <c r="V1810" s="27">
        <f>N1810/(N1810+O1810)</f>
        <v/>
      </c>
      <c r="W1810" s="27">
        <f>U1810*V1810</f>
        <v/>
      </c>
      <c r="X1810" s="25">
        <f>T1810/N1810</f>
        <v/>
      </c>
      <c r="Y1810" s="28">
        <f>IF(W1810=MAXIFS(W$2:W$3601, A$2:A$3601, A1810, B$2:B$3601, B1810), "OPTIMAL", "")</f>
        <v/>
      </c>
    </row>
    <row r="1811" ht="20" customHeight="1">
      <c r="A1811" s="29" t="n">
        <v>-18</v>
      </c>
      <c r="B1811" s="29" t="n">
        <v>25</v>
      </c>
      <c r="C1811" s="30" t="n">
        <v>80</v>
      </c>
      <c r="D1811" s="30" t="n">
        <v>2</v>
      </c>
      <c r="E1811" s="6" t="n">
        <v>4</v>
      </c>
      <c r="F1811" s="30" t="n">
        <v>2</v>
      </c>
      <c r="G1811" s="6" t="inlineStr">
        <is>
          <t>Oui</t>
        </is>
      </c>
      <c r="H1811" s="6" t="inlineStr">
        <is>
          <t>OFF</t>
        </is>
      </c>
      <c r="I1811" s="31" t="n">
        <v>604.2334594602274</v>
      </c>
      <c r="J1811" s="31" t="n">
        <v>4012.68388558375</v>
      </c>
      <c r="K1811" s="31" t="n">
        <v>3342.592592592593</v>
      </c>
      <c r="L1811" s="31" t="n">
        <v>150</v>
      </c>
      <c r="M1811" s="31">
        <f>I1811+J1811+K1811+L1811</f>
        <v/>
      </c>
      <c r="N1811" s="31">
        <f>M1811*'Dashboard &amp; Optimisation'!$B$18/('Dashboard &amp; Optimisation'!$B$16/3.6)</f>
        <v/>
      </c>
      <c r="O1811" s="31" t="n">
        <v>819.158857236831</v>
      </c>
      <c r="P1811" s="32" t="n">
        <v>0.355510990994127</v>
      </c>
      <c r="Q1811" s="33" t="n">
        <v>11.17934563207416</v>
      </c>
      <c r="R1811" s="31" t="n">
        <v>1000.127723878343</v>
      </c>
      <c r="S1811" s="31">
        <f>R1811*IF(A1811=4, 2.0, 3.0)</f>
        <v/>
      </c>
      <c r="T1811" s="30">
        <f>'Dashboard &amp; Optimisation'!$B$18*U1811</f>
        <v/>
      </c>
      <c r="U1811" s="34">
        <f>MIN(1, S1811/M1811)</f>
        <v/>
      </c>
      <c r="V1811" s="34">
        <f>N1811/(N1811+O1811)</f>
        <v/>
      </c>
      <c r="W1811" s="34">
        <f>U1811*V1811</f>
        <v/>
      </c>
      <c r="X1811" s="32">
        <f>T1811/N1811</f>
        <v/>
      </c>
      <c r="Y1811" s="35">
        <f>IF(W1811=MAXIFS(W$2:W$3601, A$2:A$3601, A1811, B$2:B$3601, B1811), "OPTIMAL", "")</f>
        <v/>
      </c>
    </row>
    <row r="1812" ht="20" customHeight="1">
      <c r="A1812" s="21" t="n">
        <v>-18</v>
      </c>
      <c r="B1812" s="21" t="n">
        <v>25</v>
      </c>
      <c r="C1812" s="22" t="n">
        <v>80</v>
      </c>
      <c r="D1812" s="22" t="n">
        <v>2</v>
      </c>
      <c r="E1812" s="23" t="n">
        <v>4</v>
      </c>
      <c r="F1812" s="22" t="n">
        <v>2</v>
      </c>
      <c r="G1812" s="23" t="inlineStr">
        <is>
          <t>Non</t>
        </is>
      </c>
      <c r="H1812" s="23" t="inlineStr">
        <is>
          <t>ON</t>
        </is>
      </c>
      <c r="I1812" s="24" t="n">
        <v>604.2334594602274</v>
      </c>
      <c r="J1812" s="24" t="n">
        <v>4012.68388558375</v>
      </c>
      <c r="K1812" s="24" t="n">
        <v>3342.592592592593</v>
      </c>
      <c r="L1812" s="24" t="n">
        <v>150</v>
      </c>
      <c r="M1812" s="24">
        <f>I1812+J1812+K1812+L1812</f>
        <v/>
      </c>
      <c r="N1812" s="24">
        <f>M1812*'Dashboard &amp; Optimisation'!$B$18/('Dashboard &amp; Optimisation'!$B$16/3.6)</f>
        <v/>
      </c>
      <c r="O1812" s="24" t="n">
        <v>819.158857236831</v>
      </c>
      <c r="P1812" s="25" t="n">
        <v>0.07629494014320834</v>
      </c>
      <c r="Q1812" s="26" t="n">
        <v>11.17934563207416</v>
      </c>
      <c r="R1812" s="24" t="n">
        <v>4660.288055397884</v>
      </c>
      <c r="S1812" s="24">
        <f>R1812*IF(A1812=4, 2.0, 3.0)</f>
        <v/>
      </c>
      <c r="T1812" s="22">
        <f>'Dashboard &amp; Optimisation'!$B$18*U1812</f>
        <v/>
      </c>
      <c r="U1812" s="27">
        <f>MIN(1, S1812/M1812)</f>
        <v/>
      </c>
      <c r="V1812" s="27">
        <f>N1812/(N1812+O1812)</f>
        <v/>
      </c>
      <c r="W1812" s="27">
        <f>U1812*V1812</f>
        <v/>
      </c>
      <c r="X1812" s="25">
        <f>T1812/N1812</f>
        <v/>
      </c>
      <c r="Y1812" s="28">
        <f>IF(W1812=MAXIFS(W$2:W$3601, A$2:A$3601, A1812, B$2:B$3601, B1812), "OPTIMAL", "")</f>
        <v/>
      </c>
    </row>
    <row r="1813" ht="20" customHeight="1">
      <c r="A1813" s="29" t="n">
        <v>-18</v>
      </c>
      <c r="B1813" s="29" t="n">
        <v>25</v>
      </c>
      <c r="C1813" s="30" t="n">
        <v>80</v>
      </c>
      <c r="D1813" s="30" t="n">
        <v>2</v>
      </c>
      <c r="E1813" s="6" t="n">
        <v>4</v>
      </c>
      <c r="F1813" s="30" t="n">
        <v>2</v>
      </c>
      <c r="G1813" s="6" t="inlineStr">
        <is>
          <t>Non</t>
        </is>
      </c>
      <c r="H1813" s="6" t="inlineStr">
        <is>
          <t>OFF</t>
        </is>
      </c>
      <c r="I1813" s="31" t="n">
        <v>604.2334594602274</v>
      </c>
      <c r="J1813" s="31" t="n">
        <v>4012.68388558375</v>
      </c>
      <c r="K1813" s="31" t="n">
        <v>3342.592592592593</v>
      </c>
      <c r="L1813" s="31" t="n">
        <v>150</v>
      </c>
      <c r="M1813" s="31">
        <f>I1813+J1813+K1813+L1813</f>
        <v/>
      </c>
      <c r="N1813" s="31">
        <f>M1813*'Dashboard &amp; Optimisation'!$B$18/('Dashboard &amp; Optimisation'!$B$16/3.6)</f>
        <v/>
      </c>
      <c r="O1813" s="31" t="n">
        <v>819.158857236831</v>
      </c>
      <c r="P1813" s="32" t="n">
        <v>0.3515321174168297</v>
      </c>
      <c r="Q1813" s="33" t="n">
        <v>11.17934563207416</v>
      </c>
      <c r="R1813" s="31" t="n">
        <v>1011.447832560599</v>
      </c>
      <c r="S1813" s="31">
        <f>R1813*IF(A1813=4, 2.0, 3.0)</f>
        <v/>
      </c>
      <c r="T1813" s="30">
        <f>'Dashboard &amp; Optimisation'!$B$18*U1813</f>
        <v/>
      </c>
      <c r="U1813" s="34">
        <f>MIN(1, S1813/M1813)</f>
        <v/>
      </c>
      <c r="V1813" s="34">
        <f>N1813/(N1813+O1813)</f>
        <v/>
      </c>
      <c r="W1813" s="34">
        <f>U1813*V1813</f>
        <v/>
      </c>
      <c r="X1813" s="32">
        <f>T1813/N1813</f>
        <v/>
      </c>
      <c r="Y1813" s="35">
        <f>IF(W1813=MAXIFS(W$2:W$3601, A$2:A$3601, A1813, B$2:B$3601, B1813), "OPTIMAL", "")</f>
        <v/>
      </c>
    </row>
    <row r="1814" ht="20" customHeight="1">
      <c r="A1814" s="21" t="n">
        <v>-18</v>
      </c>
      <c r="B1814" s="21" t="n">
        <v>25</v>
      </c>
      <c r="C1814" s="22" t="n">
        <v>80</v>
      </c>
      <c r="D1814" s="22" t="n">
        <v>2</v>
      </c>
      <c r="E1814" s="23" t="n">
        <v>8</v>
      </c>
      <c r="F1814" s="22" t="n">
        <v>1.5</v>
      </c>
      <c r="G1814" s="23" t="inlineStr">
        <is>
          <t>Oui</t>
        </is>
      </c>
      <c r="H1814" s="23" t="inlineStr">
        <is>
          <t>ON</t>
        </is>
      </c>
      <c r="I1814" s="24" t="n">
        <v>604.2334594602274</v>
      </c>
      <c r="J1814" s="24" t="n">
        <v>4012.68388558375</v>
      </c>
      <c r="K1814" s="24" t="n">
        <v>3342.592592592593</v>
      </c>
      <c r="L1814" s="24" t="n">
        <v>150</v>
      </c>
      <c r="M1814" s="24">
        <f>I1814+J1814+K1814+L1814</f>
        <v/>
      </c>
      <c r="N1814" s="24">
        <f>M1814*'Dashboard &amp; Optimisation'!$B$18/('Dashboard &amp; Optimisation'!$B$16/3.6)</f>
        <v/>
      </c>
      <c r="O1814" s="24" t="n">
        <v>1022.45473281961</v>
      </c>
      <c r="P1814" s="25" t="n">
        <v>0.06145178783543291</v>
      </c>
      <c r="Q1814" s="26" t="n">
        <v>16.66901844811125</v>
      </c>
      <c r="R1814" s="24" t="n">
        <v>5954.595450951305</v>
      </c>
      <c r="S1814" s="24">
        <f>R1814*IF(A1814=4, 2.0, 3.0)</f>
        <v/>
      </c>
      <c r="T1814" s="22">
        <f>'Dashboard &amp; Optimisation'!$B$18*U1814</f>
        <v/>
      </c>
      <c r="U1814" s="27">
        <f>MIN(1, S1814/M1814)</f>
        <v/>
      </c>
      <c r="V1814" s="27">
        <f>N1814/(N1814+O1814)</f>
        <v/>
      </c>
      <c r="W1814" s="27">
        <f>U1814*V1814</f>
        <v/>
      </c>
      <c r="X1814" s="25">
        <f>T1814/N1814</f>
        <v/>
      </c>
      <c r="Y1814" s="28">
        <f>IF(W1814=MAXIFS(W$2:W$3601, A$2:A$3601, A1814, B$2:B$3601, B1814), "OPTIMAL", "")</f>
        <v/>
      </c>
    </row>
    <row r="1815" ht="20" customHeight="1">
      <c r="A1815" s="29" t="n">
        <v>-18</v>
      </c>
      <c r="B1815" s="29" t="n">
        <v>25</v>
      </c>
      <c r="C1815" s="30" t="n">
        <v>80</v>
      </c>
      <c r="D1815" s="30" t="n">
        <v>2</v>
      </c>
      <c r="E1815" s="6" t="n">
        <v>8</v>
      </c>
      <c r="F1815" s="30" t="n">
        <v>1.5</v>
      </c>
      <c r="G1815" s="6" t="inlineStr">
        <is>
          <t>Oui</t>
        </is>
      </c>
      <c r="H1815" s="6" t="inlineStr">
        <is>
          <t>OFF</t>
        </is>
      </c>
      <c r="I1815" s="31" t="n">
        <v>604.2334594602274</v>
      </c>
      <c r="J1815" s="31" t="n">
        <v>4012.68388558375</v>
      </c>
      <c r="K1815" s="31" t="n">
        <v>3342.592592592593</v>
      </c>
      <c r="L1815" s="31" t="n">
        <v>150</v>
      </c>
      <c r="M1815" s="31">
        <f>I1815+J1815+K1815+L1815</f>
        <v/>
      </c>
      <c r="N1815" s="31">
        <f>M1815*'Dashboard &amp; Optimisation'!$B$18/('Dashboard &amp; Optimisation'!$B$16/3.6)</f>
        <v/>
      </c>
      <c r="O1815" s="31" t="n">
        <v>1022.45473281961</v>
      </c>
      <c r="P1815" s="32" t="n">
        <v>0.2700829218988253</v>
      </c>
      <c r="Q1815" s="33" t="n">
        <v>16.66901844811125</v>
      </c>
      <c r="R1815" s="31" t="n">
        <v>1354.845148020021</v>
      </c>
      <c r="S1815" s="31">
        <f>R1815*IF(A1815=4, 2.0, 3.0)</f>
        <v/>
      </c>
      <c r="T1815" s="30">
        <f>'Dashboard &amp; Optimisation'!$B$18*U1815</f>
        <v/>
      </c>
      <c r="U1815" s="34">
        <f>MIN(1, S1815/M1815)</f>
        <v/>
      </c>
      <c r="V1815" s="34">
        <f>N1815/(N1815+O1815)</f>
        <v/>
      </c>
      <c r="W1815" s="34">
        <f>U1815*V1815</f>
        <v/>
      </c>
      <c r="X1815" s="32">
        <f>T1815/N1815</f>
        <v/>
      </c>
      <c r="Y1815" s="35">
        <f>IF(W1815=MAXIFS(W$2:W$3601, A$2:A$3601, A1815, B$2:B$3601, B1815), "OPTIMAL", "")</f>
        <v/>
      </c>
    </row>
    <row r="1816" ht="20" customHeight="1">
      <c r="A1816" s="21" t="n">
        <v>-18</v>
      </c>
      <c r="B1816" s="21" t="n">
        <v>25</v>
      </c>
      <c r="C1816" s="22" t="n">
        <v>80</v>
      </c>
      <c r="D1816" s="22" t="n">
        <v>2</v>
      </c>
      <c r="E1816" s="23" t="n">
        <v>8</v>
      </c>
      <c r="F1816" s="22" t="n">
        <v>1.5</v>
      </c>
      <c r="G1816" s="23" t="inlineStr">
        <is>
          <t>Non</t>
        </is>
      </c>
      <c r="H1816" s="23" t="inlineStr">
        <is>
          <t>ON</t>
        </is>
      </c>
      <c r="I1816" s="24" t="n">
        <v>604.2334594602274</v>
      </c>
      <c r="J1816" s="24" t="n">
        <v>4012.68388558375</v>
      </c>
      <c r="K1816" s="24" t="n">
        <v>3342.592592592593</v>
      </c>
      <c r="L1816" s="24" t="n">
        <v>150</v>
      </c>
      <c r="M1816" s="24">
        <f>I1816+J1816+K1816+L1816</f>
        <v/>
      </c>
      <c r="N1816" s="24">
        <f>M1816*'Dashboard &amp; Optimisation'!$B$18/('Dashboard &amp; Optimisation'!$B$16/3.6)</f>
        <v/>
      </c>
      <c r="O1816" s="24" t="n">
        <v>1022.45473281961</v>
      </c>
      <c r="P1816" s="25" t="n">
        <v>0.05747291425813553</v>
      </c>
      <c r="Q1816" s="26" t="n">
        <v>16.66901844811125</v>
      </c>
      <c r="R1816" s="24" t="n">
        <v>6366.834551910616</v>
      </c>
      <c r="S1816" s="24">
        <f>R1816*IF(A1816=4, 2.0, 3.0)</f>
        <v/>
      </c>
      <c r="T1816" s="22">
        <f>'Dashboard &amp; Optimisation'!$B$18*U1816</f>
        <v/>
      </c>
      <c r="U1816" s="27">
        <f>MIN(1, S1816/M1816)</f>
        <v/>
      </c>
      <c r="V1816" s="27">
        <f>N1816/(N1816+O1816)</f>
        <v/>
      </c>
      <c r="W1816" s="27">
        <f>U1816*V1816</f>
        <v/>
      </c>
      <c r="X1816" s="25">
        <f>T1816/N1816</f>
        <v/>
      </c>
      <c r="Y1816" s="28">
        <f>IF(W1816=MAXIFS(W$2:W$3601, A$2:A$3601, A1816, B$2:B$3601, B1816), "OPTIMAL", "")</f>
        <v/>
      </c>
    </row>
    <row r="1817" ht="20" customHeight="1">
      <c r="A1817" s="29" t="n">
        <v>-18</v>
      </c>
      <c r="B1817" s="29" t="n">
        <v>25</v>
      </c>
      <c r="C1817" s="30" t="n">
        <v>80</v>
      </c>
      <c r="D1817" s="30" t="n">
        <v>2</v>
      </c>
      <c r="E1817" s="6" t="n">
        <v>8</v>
      </c>
      <c r="F1817" s="30" t="n">
        <v>1.5</v>
      </c>
      <c r="G1817" s="6" t="inlineStr">
        <is>
          <t>Non</t>
        </is>
      </c>
      <c r="H1817" s="6" t="inlineStr">
        <is>
          <t>OFF</t>
        </is>
      </c>
      <c r="I1817" s="31" t="n">
        <v>604.2334594602274</v>
      </c>
      <c r="J1817" s="31" t="n">
        <v>4012.68388558375</v>
      </c>
      <c r="K1817" s="31" t="n">
        <v>3342.592592592593</v>
      </c>
      <c r="L1817" s="31" t="n">
        <v>150</v>
      </c>
      <c r="M1817" s="31">
        <f>I1817+J1817+K1817+L1817</f>
        <v/>
      </c>
      <c r="N1817" s="31">
        <f>M1817*'Dashboard &amp; Optimisation'!$B$18/('Dashboard &amp; Optimisation'!$B$16/3.6)</f>
        <v/>
      </c>
      <c r="O1817" s="31" t="n">
        <v>1022.45473281961</v>
      </c>
      <c r="P1817" s="32" t="n">
        <v>0.2661040483215279</v>
      </c>
      <c r="Q1817" s="33" t="n">
        <v>16.66901844811125</v>
      </c>
      <c r="R1817" s="31" t="n">
        <v>1375.103229754549</v>
      </c>
      <c r="S1817" s="31">
        <f>R1817*IF(A1817=4, 2.0, 3.0)</f>
        <v/>
      </c>
      <c r="T1817" s="30">
        <f>'Dashboard &amp; Optimisation'!$B$18*U1817</f>
        <v/>
      </c>
      <c r="U1817" s="34">
        <f>MIN(1, S1817/M1817)</f>
        <v/>
      </c>
      <c r="V1817" s="34">
        <f>N1817/(N1817+O1817)</f>
        <v/>
      </c>
      <c r="W1817" s="34">
        <f>U1817*V1817</f>
        <v/>
      </c>
      <c r="X1817" s="32">
        <f>T1817/N1817</f>
        <v/>
      </c>
      <c r="Y1817" s="35">
        <f>IF(W1817=MAXIFS(W$2:W$3601, A$2:A$3601, A1817, B$2:B$3601, B1817), "OPTIMAL", "")</f>
        <v/>
      </c>
    </row>
    <row r="1818" ht="20" customHeight="1">
      <c r="A1818" s="21" t="n">
        <v>-18</v>
      </c>
      <c r="B1818" s="21" t="n">
        <v>25</v>
      </c>
      <c r="C1818" s="22" t="n">
        <v>80</v>
      </c>
      <c r="D1818" s="22" t="n">
        <v>2</v>
      </c>
      <c r="E1818" s="23" t="n">
        <v>8</v>
      </c>
      <c r="F1818" s="22" t="n">
        <v>2</v>
      </c>
      <c r="G1818" s="23" t="inlineStr">
        <is>
          <t>Oui</t>
        </is>
      </c>
      <c r="H1818" s="23" t="inlineStr">
        <is>
          <t>ON</t>
        </is>
      </c>
      <c r="I1818" s="24" t="n">
        <v>604.2334594602274</v>
      </c>
      <c r="J1818" s="24" t="n">
        <v>4012.68388558375</v>
      </c>
      <c r="K1818" s="24" t="n">
        <v>3342.592592592593</v>
      </c>
      <c r="L1818" s="24" t="n">
        <v>150</v>
      </c>
      <c r="M1818" s="24">
        <f>I1818+J1818+K1818+L1818</f>
        <v/>
      </c>
      <c r="N1818" s="24">
        <f>M1818*'Dashboard &amp; Optimisation'!$B$18/('Dashboard &amp; Optimisation'!$B$16/3.6)</f>
        <v/>
      </c>
      <c r="O1818" s="24" t="n">
        <v>1237.958220013959</v>
      </c>
      <c r="P1818" s="25" t="n">
        <v>0.06058998977604487</v>
      </c>
      <c r="Q1818" s="26" t="n">
        <v>22.15869126414833</v>
      </c>
      <c r="R1818" s="24" t="n">
        <v>6220.615429326941</v>
      </c>
      <c r="S1818" s="24">
        <f>R1818*IF(A1818=4, 2.0, 3.0)</f>
        <v/>
      </c>
      <c r="T1818" s="22">
        <f>'Dashboard &amp; Optimisation'!$B$18*U1818</f>
        <v/>
      </c>
      <c r="U1818" s="27">
        <f>MIN(1, S1818/M1818)</f>
        <v/>
      </c>
      <c r="V1818" s="27">
        <f>N1818/(N1818+O1818)</f>
        <v/>
      </c>
      <c r="W1818" s="27">
        <f>U1818*V1818</f>
        <v/>
      </c>
      <c r="X1818" s="25">
        <f>T1818/N1818</f>
        <v/>
      </c>
      <c r="Y1818" s="28">
        <f>IF(W1818=MAXIFS(W$2:W$3601, A$2:A$3601, A1818, B$2:B$3601, B1818), "OPTIMAL", "")</f>
        <v/>
      </c>
    </row>
    <row r="1819" ht="20" customHeight="1">
      <c r="A1819" s="29" t="n">
        <v>-18</v>
      </c>
      <c r="B1819" s="29" t="n">
        <v>25</v>
      </c>
      <c r="C1819" s="30" t="n">
        <v>80</v>
      </c>
      <c r="D1819" s="30" t="n">
        <v>2</v>
      </c>
      <c r="E1819" s="6" t="n">
        <v>8</v>
      </c>
      <c r="F1819" s="30" t="n">
        <v>2</v>
      </c>
      <c r="G1819" s="6" t="inlineStr">
        <is>
          <t>Oui</t>
        </is>
      </c>
      <c r="H1819" s="6" t="inlineStr">
        <is>
          <t>OFF</t>
        </is>
      </c>
      <c r="I1819" s="31" t="n">
        <v>604.2334594602274</v>
      </c>
      <c r="J1819" s="31" t="n">
        <v>4012.68388558375</v>
      </c>
      <c r="K1819" s="31" t="n">
        <v>3342.592592592593</v>
      </c>
      <c r="L1819" s="31" t="n">
        <v>150</v>
      </c>
      <c r="M1819" s="31">
        <f>I1819+J1819+K1819+L1819</f>
        <v/>
      </c>
      <c r="N1819" s="31">
        <f>M1819*'Dashboard &amp; Optimisation'!$B$18/('Dashboard &amp; Optimisation'!$B$16/3.6)</f>
        <v/>
      </c>
      <c r="O1819" s="31" t="n">
        <v>1237.958220013959</v>
      </c>
      <c r="P1819" s="32" t="n">
        <v>0.2709744149858122</v>
      </c>
      <c r="Q1819" s="33" t="n">
        <v>22.15869126414833</v>
      </c>
      <c r="R1819" s="31" t="n">
        <v>1390.932148643482</v>
      </c>
      <c r="S1819" s="31">
        <f>R1819*IF(A1819=4, 2.0, 3.0)</f>
        <v/>
      </c>
      <c r="T1819" s="30">
        <f>'Dashboard &amp; Optimisation'!$B$18*U1819</f>
        <v/>
      </c>
      <c r="U1819" s="34">
        <f>MIN(1, S1819/M1819)</f>
        <v/>
      </c>
      <c r="V1819" s="34">
        <f>N1819/(N1819+O1819)</f>
        <v/>
      </c>
      <c r="W1819" s="34">
        <f>U1819*V1819</f>
        <v/>
      </c>
      <c r="X1819" s="32">
        <f>T1819/N1819</f>
        <v/>
      </c>
      <c r="Y1819" s="35">
        <f>IF(W1819=MAXIFS(W$2:W$3601, A$2:A$3601, A1819, B$2:B$3601, B1819), "OPTIMAL", "")</f>
        <v/>
      </c>
    </row>
    <row r="1820" ht="20" customHeight="1">
      <c r="A1820" s="21" t="n">
        <v>-18</v>
      </c>
      <c r="B1820" s="21" t="n">
        <v>25</v>
      </c>
      <c r="C1820" s="22" t="n">
        <v>80</v>
      </c>
      <c r="D1820" s="22" t="n">
        <v>2</v>
      </c>
      <c r="E1820" s="23" t="n">
        <v>8</v>
      </c>
      <c r="F1820" s="22" t="n">
        <v>2</v>
      </c>
      <c r="G1820" s="23" t="inlineStr">
        <is>
          <t>Non</t>
        </is>
      </c>
      <c r="H1820" s="23" t="inlineStr">
        <is>
          <t>ON</t>
        </is>
      </c>
      <c r="I1820" s="24" t="n">
        <v>604.2334594602274</v>
      </c>
      <c r="J1820" s="24" t="n">
        <v>4012.68388558375</v>
      </c>
      <c r="K1820" s="24" t="n">
        <v>3342.592592592593</v>
      </c>
      <c r="L1820" s="24" t="n">
        <v>150</v>
      </c>
      <c r="M1820" s="24">
        <f>I1820+J1820+K1820+L1820</f>
        <v/>
      </c>
      <c r="N1820" s="24">
        <f>M1820*'Dashboard &amp; Optimisation'!$B$18/('Dashboard &amp; Optimisation'!$B$16/3.6)</f>
        <v/>
      </c>
      <c r="O1820" s="24" t="n">
        <v>1237.958220013959</v>
      </c>
      <c r="P1820" s="25" t="n">
        <v>0.05661111619874749</v>
      </c>
      <c r="Q1820" s="26" t="n">
        <v>22.15869126414833</v>
      </c>
      <c r="R1820" s="24" t="n">
        <v>6657.827129576459</v>
      </c>
      <c r="S1820" s="24">
        <f>R1820*IF(A1820=4, 2.0, 3.0)</f>
        <v/>
      </c>
      <c r="T1820" s="22">
        <f>'Dashboard &amp; Optimisation'!$B$18*U1820</f>
        <v/>
      </c>
      <c r="U1820" s="27">
        <f>MIN(1, S1820/M1820)</f>
        <v/>
      </c>
      <c r="V1820" s="27">
        <f>N1820/(N1820+O1820)</f>
        <v/>
      </c>
      <c r="W1820" s="27">
        <f>U1820*V1820</f>
        <v/>
      </c>
      <c r="X1820" s="25">
        <f>T1820/N1820</f>
        <v/>
      </c>
      <c r="Y1820" s="28">
        <f>IF(W1820=MAXIFS(W$2:W$3601, A$2:A$3601, A1820, B$2:B$3601, B1820), "OPTIMAL", "")</f>
        <v/>
      </c>
    </row>
    <row r="1821" ht="20" customHeight="1">
      <c r="A1821" s="29" t="n">
        <v>-18</v>
      </c>
      <c r="B1821" s="29" t="n">
        <v>25</v>
      </c>
      <c r="C1821" s="30" t="n">
        <v>80</v>
      </c>
      <c r="D1821" s="30" t="n">
        <v>2</v>
      </c>
      <c r="E1821" s="6" t="n">
        <v>8</v>
      </c>
      <c r="F1821" s="30" t="n">
        <v>2</v>
      </c>
      <c r="G1821" s="6" t="inlineStr">
        <is>
          <t>Non</t>
        </is>
      </c>
      <c r="H1821" s="6" t="inlineStr">
        <is>
          <t>OFF</t>
        </is>
      </c>
      <c r="I1821" s="31" t="n">
        <v>604.2334594602274</v>
      </c>
      <c r="J1821" s="31" t="n">
        <v>4012.68388558375</v>
      </c>
      <c r="K1821" s="31" t="n">
        <v>3342.592592592593</v>
      </c>
      <c r="L1821" s="31" t="n">
        <v>150</v>
      </c>
      <c r="M1821" s="31">
        <f>I1821+J1821+K1821+L1821</f>
        <v/>
      </c>
      <c r="N1821" s="31">
        <f>M1821*'Dashboard &amp; Optimisation'!$B$18/('Dashboard &amp; Optimisation'!$B$16/3.6)</f>
        <v/>
      </c>
      <c r="O1821" s="31" t="n">
        <v>1237.958220013959</v>
      </c>
      <c r="P1821" s="32" t="n">
        <v>0.2669955414085148</v>
      </c>
      <c r="Q1821" s="33" t="n">
        <v>22.15869126414833</v>
      </c>
      <c r="R1821" s="31" t="n">
        <v>1411.660371837229</v>
      </c>
      <c r="S1821" s="31">
        <f>R1821*IF(A1821=4, 2.0, 3.0)</f>
        <v/>
      </c>
      <c r="T1821" s="30">
        <f>'Dashboard &amp; Optimisation'!$B$18*U1821</f>
        <v/>
      </c>
      <c r="U1821" s="34">
        <f>MIN(1, S1821/M1821)</f>
        <v/>
      </c>
      <c r="V1821" s="34">
        <f>N1821/(N1821+O1821)</f>
        <v/>
      </c>
      <c r="W1821" s="34">
        <f>U1821*V1821</f>
        <v/>
      </c>
      <c r="X1821" s="32">
        <f>T1821/N1821</f>
        <v/>
      </c>
      <c r="Y1821" s="35">
        <f>IF(W1821=MAXIFS(W$2:W$3601, A$2:A$3601, A1821, B$2:B$3601, B1821), "OPTIMAL", "")</f>
        <v/>
      </c>
    </row>
    <row r="1822" ht="20" customHeight="1">
      <c r="A1822" s="21" t="n">
        <v>-18</v>
      </c>
      <c r="B1822" s="21" t="n">
        <v>25</v>
      </c>
      <c r="C1822" s="22" t="n">
        <v>80</v>
      </c>
      <c r="D1822" s="22" t="n">
        <v>3</v>
      </c>
      <c r="E1822" s="23" t="n">
        <v>0</v>
      </c>
      <c r="F1822" s="22" t="n">
        <v>0</v>
      </c>
      <c r="G1822" s="23" t="inlineStr">
        <is>
          <t>Oui</t>
        </is>
      </c>
      <c r="H1822" s="23" t="inlineStr">
        <is>
          <t>ON</t>
        </is>
      </c>
      <c r="I1822" s="24" t="n">
        <v>604.2334594602274</v>
      </c>
      <c r="J1822" s="24" t="n">
        <v>4012.68388558375</v>
      </c>
      <c r="K1822" s="24" t="n">
        <v>3342.592592592593</v>
      </c>
      <c r="L1822" s="24" t="n">
        <v>150</v>
      </c>
      <c r="M1822" s="24">
        <f>I1822+J1822+K1822+L1822</f>
        <v/>
      </c>
      <c r="N1822" s="24">
        <f>M1822*'Dashboard &amp; Optimisation'!$B$18/('Dashboard &amp; Optimisation'!$B$16/3.6)</f>
        <v/>
      </c>
      <c r="O1822" s="24" t="n">
        <v>695.4532855211016</v>
      </c>
      <c r="P1822" s="25" t="n">
        <v>0.5013985973965238</v>
      </c>
      <c r="Q1822" s="26" t="n">
        <v>0.2</v>
      </c>
      <c r="R1822" s="24" t="n">
        <v>707.8793309018059</v>
      </c>
      <c r="S1822" s="24">
        <f>R1822*IF(A1822=4, 2.0, 3.0)</f>
        <v/>
      </c>
      <c r="T1822" s="22">
        <f>'Dashboard &amp; Optimisation'!$B$18*U1822</f>
        <v/>
      </c>
      <c r="U1822" s="27">
        <f>MIN(1, S1822/M1822)</f>
        <v/>
      </c>
      <c r="V1822" s="27">
        <f>N1822/(N1822+O1822)</f>
        <v/>
      </c>
      <c r="W1822" s="27">
        <f>U1822*V1822</f>
        <v/>
      </c>
      <c r="X1822" s="25">
        <f>T1822/N1822</f>
        <v/>
      </c>
      <c r="Y1822" s="28">
        <f>IF(W1822=MAXIFS(W$2:W$3601, A$2:A$3601, A1822, B$2:B$3601, B1822), "OPTIMAL", "")</f>
        <v/>
      </c>
    </row>
    <row r="1823" ht="20" customHeight="1">
      <c r="A1823" s="29" t="n">
        <v>-18</v>
      </c>
      <c r="B1823" s="29" t="n">
        <v>25</v>
      </c>
      <c r="C1823" s="30" t="n">
        <v>80</v>
      </c>
      <c r="D1823" s="30" t="n">
        <v>3</v>
      </c>
      <c r="E1823" s="6" t="n">
        <v>0</v>
      </c>
      <c r="F1823" s="30" t="n">
        <v>0</v>
      </c>
      <c r="G1823" s="6" t="inlineStr">
        <is>
          <t>Oui</t>
        </is>
      </c>
      <c r="H1823" s="6" t="inlineStr">
        <is>
          <t>OFF</t>
        </is>
      </c>
      <c r="I1823" s="31" t="n">
        <v>604.2334594602274</v>
      </c>
      <c r="J1823" s="31" t="n">
        <v>4012.68388558375</v>
      </c>
      <c r="K1823" s="31" t="n">
        <v>3342.592592592593</v>
      </c>
      <c r="L1823" s="31" t="n">
        <v>150</v>
      </c>
      <c r="M1823" s="31">
        <f>I1823+J1823+K1823+L1823</f>
        <v/>
      </c>
      <c r="N1823" s="31">
        <f>M1823*'Dashboard &amp; Optimisation'!$B$18/('Dashboard &amp; Optimisation'!$B$16/3.6)</f>
        <v/>
      </c>
      <c r="O1823" s="31" t="n">
        <v>695.4532855211016</v>
      </c>
      <c r="P1823" s="32" t="n">
        <v>0.8992859551262622</v>
      </c>
      <c r="Q1823" s="33" t="n">
        <v>0.2</v>
      </c>
      <c r="R1823" s="31" t="n">
        <v>394.6794694356392</v>
      </c>
      <c r="S1823" s="31">
        <f>R1823*IF(A1823=4, 2.0, 3.0)</f>
        <v/>
      </c>
      <c r="T1823" s="30">
        <f>'Dashboard &amp; Optimisation'!$B$18*U1823</f>
        <v/>
      </c>
      <c r="U1823" s="34">
        <f>MIN(1, S1823/M1823)</f>
        <v/>
      </c>
      <c r="V1823" s="34">
        <f>N1823/(N1823+O1823)</f>
        <v/>
      </c>
      <c r="W1823" s="34">
        <f>U1823*V1823</f>
        <v/>
      </c>
      <c r="X1823" s="32">
        <f>T1823/N1823</f>
        <v/>
      </c>
      <c r="Y1823" s="35">
        <f>IF(W1823=MAXIFS(W$2:W$3601, A$2:A$3601, A1823, B$2:B$3601, B1823), "OPTIMAL", "")</f>
        <v/>
      </c>
    </row>
    <row r="1824" ht="20" customHeight="1">
      <c r="A1824" s="21" t="n">
        <v>-18</v>
      </c>
      <c r="B1824" s="21" t="n">
        <v>25</v>
      </c>
      <c r="C1824" s="22" t="n">
        <v>80</v>
      </c>
      <c r="D1824" s="22" t="n">
        <v>3</v>
      </c>
      <c r="E1824" s="23" t="n">
        <v>0</v>
      </c>
      <c r="F1824" s="22" t="n">
        <v>0</v>
      </c>
      <c r="G1824" s="23" t="inlineStr">
        <is>
          <t>Non</t>
        </is>
      </c>
      <c r="H1824" s="23" t="inlineStr">
        <is>
          <t>ON</t>
        </is>
      </c>
      <c r="I1824" s="24" t="n">
        <v>604.2334594602274</v>
      </c>
      <c r="J1824" s="24" t="n">
        <v>4012.68388558375</v>
      </c>
      <c r="K1824" s="24" t="n">
        <v>3342.592592592593</v>
      </c>
      <c r="L1824" s="24" t="n">
        <v>150</v>
      </c>
      <c r="M1824" s="24">
        <f>I1824+J1824+K1824+L1824</f>
        <v/>
      </c>
      <c r="N1824" s="24">
        <f>M1824*'Dashboard &amp; Optimisation'!$B$18/('Dashboard &amp; Optimisation'!$B$16/3.6)</f>
        <v/>
      </c>
      <c r="O1824" s="24" t="n">
        <v>695.4532855211016</v>
      </c>
      <c r="P1824" s="25" t="n">
        <v>0.4974197238192265</v>
      </c>
      <c r="Q1824" s="26" t="n">
        <v>0.2</v>
      </c>
      <c r="R1824" s="24" t="n">
        <v>713.5416764638483</v>
      </c>
      <c r="S1824" s="24">
        <f>R1824*IF(A1824=4, 2.0, 3.0)</f>
        <v/>
      </c>
      <c r="T1824" s="22">
        <f>'Dashboard &amp; Optimisation'!$B$18*U1824</f>
        <v/>
      </c>
      <c r="U1824" s="27">
        <f>MIN(1, S1824/M1824)</f>
        <v/>
      </c>
      <c r="V1824" s="27">
        <f>N1824/(N1824+O1824)</f>
        <v/>
      </c>
      <c r="W1824" s="27">
        <f>U1824*V1824</f>
        <v/>
      </c>
      <c r="X1824" s="25">
        <f>T1824/N1824</f>
        <v/>
      </c>
      <c r="Y1824" s="28">
        <f>IF(W1824=MAXIFS(W$2:W$3601, A$2:A$3601, A1824, B$2:B$3601, B1824), "OPTIMAL", "")</f>
        <v/>
      </c>
    </row>
    <row r="1825" ht="20" customHeight="1">
      <c r="A1825" s="29" t="n">
        <v>-18</v>
      </c>
      <c r="B1825" s="29" t="n">
        <v>25</v>
      </c>
      <c r="C1825" s="30" t="n">
        <v>80</v>
      </c>
      <c r="D1825" s="30" t="n">
        <v>3</v>
      </c>
      <c r="E1825" s="6" t="n">
        <v>0</v>
      </c>
      <c r="F1825" s="30" t="n">
        <v>0</v>
      </c>
      <c r="G1825" s="6" t="inlineStr">
        <is>
          <t>Non</t>
        </is>
      </c>
      <c r="H1825" s="6" t="inlineStr">
        <is>
          <t>OFF</t>
        </is>
      </c>
      <c r="I1825" s="31" t="n">
        <v>604.2334594602274</v>
      </c>
      <c r="J1825" s="31" t="n">
        <v>4012.68388558375</v>
      </c>
      <c r="K1825" s="31" t="n">
        <v>3342.592592592593</v>
      </c>
      <c r="L1825" s="31" t="n">
        <v>150</v>
      </c>
      <c r="M1825" s="31">
        <f>I1825+J1825+K1825+L1825</f>
        <v/>
      </c>
      <c r="N1825" s="31">
        <f>M1825*'Dashboard &amp; Optimisation'!$B$18/('Dashboard &amp; Optimisation'!$B$16/3.6)</f>
        <v/>
      </c>
      <c r="O1825" s="31" t="n">
        <v>695.4532855211016</v>
      </c>
      <c r="P1825" s="32" t="n">
        <v>0.8953070815489648</v>
      </c>
      <c r="Q1825" s="33" t="n">
        <v>0.2</v>
      </c>
      <c r="R1825" s="31" t="n">
        <v>396.433481824017</v>
      </c>
      <c r="S1825" s="31">
        <f>R1825*IF(A1825=4, 2.0, 3.0)</f>
        <v/>
      </c>
      <c r="T1825" s="30">
        <f>'Dashboard &amp; Optimisation'!$B$18*U1825</f>
        <v/>
      </c>
      <c r="U1825" s="34">
        <f>MIN(1, S1825/M1825)</f>
        <v/>
      </c>
      <c r="V1825" s="34">
        <f>N1825/(N1825+O1825)</f>
        <v/>
      </c>
      <c r="W1825" s="34">
        <f>U1825*V1825</f>
        <v/>
      </c>
      <c r="X1825" s="32">
        <f>T1825/N1825</f>
        <v/>
      </c>
      <c r="Y1825" s="35">
        <f>IF(W1825=MAXIFS(W$2:W$3601, A$2:A$3601, A1825, B$2:B$3601, B1825), "OPTIMAL", "")</f>
        <v/>
      </c>
    </row>
    <row r="1826" ht="20" customHeight="1">
      <c r="A1826" s="21" t="n">
        <v>-18</v>
      </c>
      <c r="B1826" s="21" t="n">
        <v>25</v>
      </c>
      <c r="C1826" s="22" t="n">
        <v>80</v>
      </c>
      <c r="D1826" s="22" t="n">
        <v>3</v>
      </c>
      <c r="E1826" s="23" t="n">
        <v>4</v>
      </c>
      <c r="F1826" s="22" t="n">
        <v>1.5</v>
      </c>
      <c r="G1826" s="23" t="inlineStr">
        <is>
          <t>Oui</t>
        </is>
      </c>
      <c r="H1826" s="23" t="inlineStr">
        <is>
          <t>ON</t>
        </is>
      </c>
      <c r="I1826" s="24" t="n">
        <v>604.2334594602274</v>
      </c>
      <c r="J1826" s="24" t="n">
        <v>4012.68388558375</v>
      </c>
      <c r="K1826" s="24" t="n">
        <v>3342.592592592593</v>
      </c>
      <c r="L1826" s="24" t="n">
        <v>150</v>
      </c>
      <c r="M1826" s="24">
        <f>I1826+J1826+K1826+L1826</f>
        <v/>
      </c>
      <c r="N1826" s="24">
        <f>M1826*'Dashboard &amp; Optimisation'!$B$18/('Dashboard &amp; Optimisation'!$B$16/3.6)</f>
        <v/>
      </c>
      <c r="O1826" s="24" t="n">
        <v>992.8980820872464</v>
      </c>
      <c r="P1826" s="25" t="n">
        <v>0.08209463084427607</v>
      </c>
      <c r="Q1826" s="26" t="n">
        <v>8.657063527408475</v>
      </c>
      <c r="R1826" s="24" t="n">
        <v>4509.644034459395</v>
      </c>
      <c r="S1826" s="24">
        <f>R1826*IF(A1826=4, 2.0, 3.0)</f>
        <v/>
      </c>
      <c r="T1826" s="22">
        <f>'Dashboard &amp; Optimisation'!$B$18*U1826</f>
        <v/>
      </c>
      <c r="U1826" s="27">
        <f>MIN(1, S1826/M1826)</f>
        <v/>
      </c>
      <c r="V1826" s="27">
        <f>N1826/(N1826+O1826)</f>
        <v/>
      </c>
      <c r="W1826" s="27">
        <f>U1826*V1826</f>
        <v/>
      </c>
      <c r="X1826" s="25">
        <f>T1826/N1826</f>
        <v/>
      </c>
      <c r="Y1826" s="28">
        <f>IF(W1826=MAXIFS(W$2:W$3601, A$2:A$3601, A1826, B$2:B$3601, B1826), "OPTIMAL", "")</f>
        <v/>
      </c>
    </row>
    <row r="1827" ht="20" customHeight="1">
      <c r="A1827" s="29" t="n">
        <v>-18</v>
      </c>
      <c r="B1827" s="29" t="n">
        <v>25</v>
      </c>
      <c r="C1827" s="30" t="n">
        <v>80</v>
      </c>
      <c r="D1827" s="30" t="n">
        <v>3</v>
      </c>
      <c r="E1827" s="6" t="n">
        <v>4</v>
      </c>
      <c r="F1827" s="30" t="n">
        <v>1.5</v>
      </c>
      <c r="G1827" s="6" t="inlineStr">
        <is>
          <t>Oui</t>
        </is>
      </c>
      <c r="H1827" s="6" t="inlineStr">
        <is>
          <t>OFF</t>
        </is>
      </c>
      <c r="I1827" s="31" t="n">
        <v>604.2334594602274</v>
      </c>
      <c r="J1827" s="31" t="n">
        <v>4012.68388558375</v>
      </c>
      <c r="K1827" s="31" t="n">
        <v>3342.592592592593</v>
      </c>
      <c r="L1827" s="31" t="n">
        <v>150</v>
      </c>
      <c r="M1827" s="31">
        <f>I1827+J1827+K1827+L1827</f>
        <v/>
      </c>
      <c r="N1827" s="31">
        <f>M1827*'Dashboard &amp; Optimisation'!$B$18/('Dashboard &amp; Optimisation'!$B$16/3.6)</f>
        <v/>
      </c>
      <c r="O1827" s="31" t="n">
        <v>992.8980820872464</v>
      </c>
      <c r="P1827" s="32" t="n">
        <v>0.3558275394191204</v>
      </c>
      <c r="Q1827" s="33" t="n">
        <v>8.657063527408475</v>
      </c>
      <c r="R1827" s="31" t="n">
        <v>1040.441003673877</v>
      </c>
      <c r="S1827" s="31">
        <f>R1827*IF(A1827=4, 2.0, 3.0)</f>
        <v/>
      </c>
      <c r="T1827" s="30">
        <f>'Dashboard &amp; Optimisation'!$B$18*U1827</f>
        <v/>
      </c>
      <c r="U1827" s="34">
        <f>MIN(1, S1827/M1827)</f>
        <v/>
      </c>
      <c r="V1827" s="34">
        <f>N1827/(N1827+O1827)</f>
        <v/>
      </c>
      <c r="W1827" s="34">
        <f>U1827*V1827</f>
        <v/>
      </c>
      <c r="X1827" s="32">
        <f>T1827/N1827</f>
        <v/>
      </c>
      <c r="Y1827" s="35">
        <f>IF(W1827=MAXIFS(W$2:W$3601, A$2:A$3601, A1827, B$2:B$3601, B1827), "OPTIMAL", "")</f>
        <v/>
      </c>
    </row>
    <row r="1828" ht="20" customHeight="1">
      <c r="A1828" s="21" t="n">
        <v>-18</v>
      </c>
      <c r="B1828" s="21" t="n">
        <v>25</v>
      </c>
      <c r="C1828" s="22" t="n">
        <v>80</v>
      </c>
      <c r="D1828" s="22" t="n">
        <v>3</v>
      </c>
      <c r="E1828" s="23" t="n">
        <v>4</v>
      </c>
      <c r="F1828" s="22" t="n">
        <v>1.5</v>
      </c>
      <c r="G1828" s="23" t="inlineStr">
        <is>
          <t>Non</t>
        </is>
      </c>
      <c r="H1828" s="23" t="inlineStr">
        <is>
          <t>ON</t>
        </is>
      </c>
      <c r="I1828" s="24" t="n">
        <v>604.2334594602274</v>
      </c>
      <c r="J1828" s="24" t="n">
        <v>4012.68388558375</v>
      </c>
      <c r="K1828" s="24" t="n">
        <v>3342.592592592593</v>
      </c>
      <c r="L1828" s="24" t="n">
        <v>150</v>
      </c>
      <c r="M1828" s="24">
        <f>I1828+J1828+K1828+L1828</f>
        <v/>
      </c>
      <c r="N1828" s="24">
        <f>M1828*'Dashboard &amp; Optimisation'!$B$18/('Dashboard &amp; Optimisation'!$B$16/3.6)</f>
        <v/>
      </c>
      <c r="O1828" s="24" t="n">
        <v>992.8980820872464</v>
      </c>
      <c r="P1828" s="25" t="n">
        <v>0.07811575726697868</v>
      </c>
      <c r="Q1828" s="26" t="n">
        <v>8.657063527408475</v>
      </c>
      <c r="R1828" s="24" t="n">
        <v>4739.345494440149</v>
      </c>
      <c r="S1828" s="24">
        <f>R1828*IF(A1828=4, 2.0, 3.0)</f>
        <v/>
      </c>
      <c r="T1828" s="22">
        <f>'Dashboard &amp; Optimisation'!$B$18*U1828</f>
        <v/>
      </c>
      <c r="U1828" s="27">
        <f>MIN(1, S1828/M1828)</f>
        <v/>
      </c>
      <c r="V1828" s="27">
        <f>N1828/(N1828+O1828)</f>
        <v/>
      </c>
      <c r="W1828" s="27">
        <f>U1828*V1828</f>
        <v/>
      </c>
      <c r="X1828" s="25">
        <f>T1828/N1828</f>
        <v/>
      </c>
      <c r="Y1828" s="28">
        <f>IF(W1828=MAXIFS(W$2:W$3601, A$2:A$3601, A1828, B$2:B$3601, B1828), "OPTIMAL", "")</f>
        <v/>
      </c>
    </row>
    <row r="1829" ht="20" customHeight="1">
      <c r="A1829" s="29" t="n">
        <v>-18</v>
      </c>
      <c r="B1829" s="29" t="n">
        <v>25</v>
      </c>
      <c r="C1829" s="30" t="n">
        <v>80</v>
      </c>
      <c r="D1829" s="30" t="n">
        <v>3</v>
      </c>
      <c r="E1829" s="6" t="n">
        <v>4</v>
      </c>
      <c r="F1829" s="30" t="n">
        <v>1.5</v>
      </c>
      <c r="G1829" s="6" t="inlineStr">
        <is>
          <t>Non</t>
        </is>
      </c>
      <c r="H1829" s="6" t="inlineStr">
        <is>
          <t>OFF</t>
        </is>
      </c>
      <c r="I1829" s="31" t="n">
        <v>604.2334594602274</v>
      </c>
      <c r="J1829" s="31" t="n">
        <v>4012.68388558375</v>
      </c>
      <c r="K1829" s="31" t="n">
        <v>3342.592592592593</v>
      </c>
      <c r="L1829" s="31" t="n">
        <v>150</v>
      </c>
      <c r="M1829" s="31">
        <f>I1829+J1829+K1829+L1829</f>
        <v/>
      </c>
      <c r="N1829" s="31">
        <f>M1829*'Dashboard &amp; Optimisation'!$B$18/('Dashboard &amp; Optimisation'!$B$16/3.6)</f>
        <v/>
      </c>
      <c r="O1829" s="31" t="n">
        <v>992.8980820872464</v>
      </c>
      <c r="P1829" s="32" t="n">
        <v>0.3518486658418231</v>
      </c>
      <c r="Q1829" s="33" t="n">
        <v>8.657063527408475</v>
      </c>
      <c r="R1829" s="31" t="n">
        <v>1052.206809885903</v>
      </c>
      <c r="S1829" s="31">
        <f>R1829*IF(A1829=4, 2.0, 3.0)</f>
        <v/>
      </c>
      <c r="T1829" s="30">
        <f>'Dashboard &amp; Optimisation'!$B$18*U1829</f>
        <v/>
      </c>
      <c r="U1829" s="34">
        <f>MIN(1, S1829/M1829)</f>
        <v/>
      </c>
      <c r="V1829" s="34">
        <f>N1829/(N1829+O1829)</f>
        <v/>
      </c>
      <c r="W1829" s="34">
        <f>U1829*V1829</f>
        <v/>
      </c>
      <c r="X1829" s="32">
        <f>T1829/N1829</f>
        <v/>
      </c>
      <c r="Y1829" s="35">
        <f>IF(W1829=MAXIFS(W$2:W$3601, A$2:A$3601, A1829, B$2:B$3601, B1829), "OPTIMAL", "")</f>
        <v/>
      </c>
    </row>
    <row r="1830" ht="20" customHeight="1">
      <c r="A1830" s="21" t="n">
        <v>-18</v>
      </c>
      <c r="B1830" s="21" t="n">
        <v>25</v>
      </c>
      <c r="C1830" s="22" t="n">
        <v>80</v>
      </c>
      <c r="D1830" s="22" t="n">
        <v>3</v>
      </c>
      <c r="E1830" s="23" t="n">
        <v>4</v>
      </c>
      <c r="F1830" s="22" t="n">
        <v>2</v>
      </c>
      <c r="G1830" s="23" t="inlineStr">
        <is>
          <t>Oui</t>
        </is>
      </c>
      <c r="H1830" s="23" t="inlineStr">
        <is>
          <t>ON</t>
        </is>
      </c>
      <c r="I1830" s="24" t="n">
        <v>604.2334594602274</v>
      </c>
      <c r="J1830" s="24" t="n">
        <v>4012.68388558375</v>
      </c>
      <c r="K1830" s="24" t="n">
        <v>3342.592592592593</v>
      </c>
      <c r="L1830" s="24" t="n">
        <v>150</v>
      </c>
      <c r="M1830" s="24">
        <f>I1830+J1830+K1830+L1830</f>
        <v/>
      </c>
      <c r="N1830" s="24">
        <f>M1830*'Dashboard &amp; Optimisation'!$B$18/('Dashboard &amp; Optimisation'!$B$16/3.6)</f>
        <v/>
      </c>
      <c r="O1830" s="24" t="n">
        <v>1097.823433291385</v>
      </c>
      <c r="P1830" s="25" t="n">
        <v>0.08011046001180847</v>
      </c>
      <c r="Q1830" s="26" t="n">
        <v>11.4760847032113</v>
      </c>
      <c r="R1830" s="24" t="n">
        <v>4688.656657965518</v>
      </c>
      <c r="S1830" s="24">
        <f>R1830*IF(A1830=4, 2.0, 3.0)</f>
        <v/>
      </c>
      <c r="T1830" s="22">
        <f>'Dashboard &amp; Optimisation'!$B$18*U1830</f>
        <v/>
      </c>
      <c r="U1830" s="27">
        <f>MIN(1, S1830/M1830)</f>
        <v/>
      </c>
      <c r="V1830" s="27">
        <f>N1830/(N1830+O1830)</f>
        <v/>
      </c>
      <c r="W1830" s="27">
        <f>U1830*V1830</f>
        <v/>
      </c>
      <c r="X1830" s="25">
        <f>T1830/N1830</f>
        <v/>
      </c>
      <c r="Y1830" s="28">
        <f>IF(W1830=MAXIFS(W$2:W$3601, A$2:A$3601, A1830, B$2:B$3601, B1830), "OPTIMAL", "")</f>
        <v/>
      </c>
    </row>
    <row r="1831" ht="20" customHeight="1">
      <c r="A1831" s="29" t="n">
        <v>-18</v>
      </c>
      <c r="B1831" s="29" t="n">
        <v>25</v>
      </c>
      <c r="C1831" s="30" t="n">
        <v>80</v>
      </c>
      <c r="D1831" s="30" t="n">
        <v>3</v>
      </c>
      <c r="E1831" s="6" t="n">
        <v>4</v>
      </c>
      <c r="F1831" s="30" t="n">
        <v>2</v>
      </c>
      <c r="G1831" s="6" t="inlineStr">
        <is>
          <t>Oui</t>
        </is>
      </c>
      <c r="H1831" s="6" t="inlineStr">
        <is>
          <t>OFF</t>
        </is>
      </c>
      <c r="I1831" s="31" t="n">
        <v>604.2334594602274</v>
      </c>
      <c r="J1831" s="31" t="n">
        <v>4012.68388558375</v>
      </c>
      <c r="K1831" s="31" t="n">
        <v>3342.592592592593</v>
      </c>
      <c r="L1831" s="31" t="n">
        <v>150</v>
      </c>
      <c r="M1831" s="31">
        <f>I1831+J1831+K1831+L1831</f>
        <v/>
      </c>
      <c r="N1831" s="31">
        <f>M1831*'Dashboard &amp; Optimisation'!$B$18/('Dashboard &amp; Optimisation'!$B$16/3.6)</f>
        <v/>
      </c>
      <c r="O1831" s="31" t="n">
        <v>1097.823433291385</v>
      </c>
      <c r="P1831" s="32" t="n">
        <v>0.3553476372854298</v>
      </c>
      <c r="Q1831" s="33" t="n">
        <v>11.4760847032113</v>
      </c>
      <c r="R1831" s="31" t="n">
        <v>1057.022482480559</v>
      </c>
      <c r="S1831" s="31">
        <f>R1831*IF(A1831=4, 2.0, 3.0)</f>
        <v/>
      </c>
      <c r="T1831" s="30">
        <f>'Dashboard &amp; Optimisation'!$B$18*U1831</f>
        <v/>
      </c>
      <c r="U1831" s="34">
        <f>MIN(1, S1831/M1831)</f>
        <v/>
      </c>
      <c r="V1831" s="34">
        <f>N1831/(N1831+O1831)</f>
        <v/>
      </c>
      <c r="W1831" s="34">
        <f>U1831*V1831</f>
        <v/>
      </c>
      <c r="X1831" s="32">
        <f>T1831/N1831</f>
        <v/>
      </c>
      <c r="Y1831" s="35">
        <f>IF(W1831=MAXIFS(W$2:W$3601, A$2:A$3601, A1831, B$2:B$3601, B1831), "OPTIMAL", "")</f>
        <v/>
      </c>
    </row>
    <row r="1832" ht="20" customHeight="1">
      <c r="A1832" s="21" t="n">
        <v>-18</v>
      </c>
      <c r="B1832" s="21" t="n">
        <v>25</v>
      </c>
      <c r="C1832" s="22" t="n">
        <v>80</v>
      </c>
      <c r="D1832" s="22" t="n">
        <v>3</v>
      </c>
      <c r="E1832" s="23" t="n">
        <v>4</v>
      </c>
      <c r="F1832" s="22" t="n">
        <v>2</v>
      </c>
      <c r="G1832" s="23" t="inlineStr">
        <is>
          <t>Non</t>
        </is>
      </c>
      <c r="H1832" s="23" t="inlineStr">
        <is>
          <t>ON</t>
        </is>
      </c>
      <c r="I1832" s="24" t="n">
        <v>604.2334594602274</v>
      </c>
      <c r="J1832" s="24" t="n">
        <v>4012.68388558375</v>
      </c>
      <c r="K1832" s="24" t="n">
        <v>3342.592592592593</v>
      </c>
      <c r="L1832" s="24" t="n">
        <v>150</v>
      </c>
      <c r="M1832" s="24">
        <f>I1832+J1832+K1832+L1832</f>
        <v/>
      </c>
      <c r="N1832" s="24">
        <f>M1832*'Dashboard &amp; Optimisation'!$B$18/('Dashboard &amp; Optimisation'!$B$16/3.6)</f>
        <v/>
      </c>
      <c r="O1832" s="24" t="n">
        <v>1097.823433291385</v>
      </c>
      <c r="P1832" s="25" t="n">
        <v>0.07613158643451108</v>
      </c>
      <c r="Q1832" s="26" t="n">
        <v>11.4760847032113</v>
      </c>
      <c r="R1832" s="24" t="n">
        <v>4933.700442852965</v>
      </c>
      <c r="S1832" s="24">
        <f>R1832*IF(A1832=4, 2.0, 3.0)</f>
        <v/>
      </c>
      <c r="T1832" s="22">
        <f>'Dashboard &amp; Optimisation'!$B$18*U1832</f>
        <v/>
      </c>
      <c r="U1832" s="27">
        <f>MIN(1, S1832/M1832)</f>
        <v/>
      </c>
      <c r="V1832" s="27">
        <f>N1832/(N1832+O1832)</f>
        <v/>
      </c>
      <c r="W1832" s="27">
        <f>U1832*V1832</f>
        <v/>
      </c>
      <c r="X1832" s="25">
        <f>T1832/N1832</f>
        <v/>
      </c>
      <c r="Y1832" s="28">
        <f>IF(W1832=MAXIFS(W$2:W$3601, A$2:A$3601, A1832, B$2:B$3601, B1832), "OPTIMAL", "")</f>
        <v/>
      </c>
    </row>
    <row r="1833" ht="20" customHeight="1">
      <c r="A1833" s="29" t="n">
        <v>-18</v>
      </c>
      <c r="B1833" s="29" t="n">
        <v>25</v>
      </c>
      <c r="C1833" s="30" t="n">
        <v>80</v>
      </c>
      <c r="D1833" s="30" t="n">
        <v>3</v>
      </c>
      <c r="E1833" s="6" t="n">
        <v>4</v>
      </c>
      <c r="F1833" s="30" t="n">
        <v>2</v>
      </c>
      <c r="G1833" s="6" t="inlineStr">
        <is>
          <t>Non</t>
        </is>
      </c>
      <c r="H1833" s="6" t="inlineStr">
        <is>
          <t>OFF</t>
        </is>
      </c>
      <c r="I1833" s="31" t="n">
        <v>604.2334594602274</v>
      </c>
      <c r="J1833" s="31" t="n">
        <v>4012.68388558375</v>
      </c>
      <c r="K1833" s="31" t="n">
        <v>3342.592592592593</v>
      </c>
      <c r="L1833" s="31" t="n">
        <v>150</v>
      </c>
      <c r="M1833" s="31">
        <f>I1833+J1833+K1833+L1833</f>
        <v/>
      </c>
      <c r="N1833" s="31">
        <f>M1833*'Dashboard &amp; Optimisation'!$B$18/('Dashboard &amp; Optimisation'!$B$16/3.6)</f>
        <v/>
      </c>
      <c r="O1833" s="31" t="n">
        <v>1097.823433291385</v>
      </c>
      <c r="P1833" s="32" t="n">
        <v>0.3513687637081325</v>
      </c>
      <c r="Q1833" s="33" t="n">
        <v>11.4760847032113</v>
      </c>
      <c r="R1833" s="31" t="n">
        <v>1068.992125945066</v>
      </c>
      <c r="S1833" s="31">
        <f>R1833*IF(A1833=4, 2.0, 3.0)</f>
        <v/>
      </c>
      <c r="T1833" s="30">
        <f>'Dashboard &amp; Optimisation'!$B$18*U1833</f>
        <v/>
      </c>
      <c r="U1833" s="34">
        <f>MIN(1, S1833/M1833)</f>
        <v/>
      </c>
      <c r="V1833" s="34">
        <f>N1833/(N1833+O1833)</f>
        <v/>
      </c>
      <c r="W1833" s="34">
        <f>U1833*V1833</f>
        <v/>
      </c>
      <c r="X1833" s="32">
        <f>T1833/N1833</f>
        <v/>
      </c>
      <c r="Y1833" s="35">
        <f>IF(W1833=MAXIFS(W$2:W$3601, A$2:A$3601, A1833, B$2:B$3601, B1833), "OPTIMAL", "")</f>
        <v/>
      </c>
    </row>
    <row r="1834" ht="20" customHeight="1">
      <c r="A1834" s="21" t="n">
        <v>-18</v>
      </c>
      <c r="B1834" s="21" t="n">
        <v>25</v>
      </c>
      <c r="C1834" s="22" t="n">
        <v>80</v>
      </c>
      <c r="D1834" s="22" t="n">
        <v>3</v>
      </c>
      <c r="E1834" s="23" t="n">
        <v>8</v>
      </c>
      <c r="F1834" s="22" t="n">
        <v>1.5</v>
      </c>
      <c r="G1834" s="23" t="inlineStr">
        <is>
          <t>Oui</t>
        </is>
      </c>
      <c r="H1834" s="23" t="inlineStr">
        <is>
          <t>ON</t>
        </is>
      </c>
      <c r="I1834" s="24" t="n">
        <v>604.2334594602274</v>
      </c>
      <c r="J1834" s="24" t="n">
        <v>4012.68388558375</v>
      </c>
      <c r="K1834" s="24" t="n">
        <v>3342.592592592593</v>
      </c>
      <c r="L1834" s="24" t="n">
        <v>150</v>
      </c>
      <c r="M1834" s="24">
        <f>I1834+J1834+K1834+L1834</f>
        <v/>
      </c>
      <c r="N1834" s="24">
        <f>M1834*'Dashboard &amp; Optimisation'!$B$18/('Dashboard &amp; Optimisation'!$B$16/3.6)</f>
        <v/>
      </c>
      <c r="O1834" s="24" t="n">
        <v>1317.119873656</v>
      </c>
      <c r="P1834" s="25" t="n">
        <v>0.06134832938702932</v>
      </c>
      <c r="Q1834" s="26" t="n">
        <v>17.11412705481695</v>
      </c>
      <c r="R1834" s="24" t="n">
        <v>6306.311677785009</v>
      </c>
      <c r="S1834" s="24">
        <f>R1834*IF(A1834=4, 2.0, 3.0)</f>
        <v/>
      </c>
      <c r="T1834" s="22">
        <f>'Dashboard &amp; Optimisation'!$B$18*U1834</f>
        <v/>
      </c>
      <c r="U1834" s="27">
        <f>MIN(1, S1834/M1834)</f>
        <v/>
      </c>
      <c r="V1834" s="27">
        <f>N1834/(N1834+O1834)</f>
        <v/>
      </c>
      <c r="W1834" s="27">
        <f>U1834*V1834</f>
        <v/>
      </c>
      <c r="X1834" s="25">
        <f>T1834/N1834</f>
        <v/>
      </c>
      <c r="Y1834" s="28">
        <f>IF(W1834=MAXIFS(W$2:W$3601, A$2:A$3601, A1834, B$2:B$3601, B1834), "OPTIMAL", "")</f>
        <v/>
      </c>
    </row>
    <row r="1835" ht="20" customHeight="1">
      <c r="A1835" s="29" t="n">
        <v>-18</v>
      </c>
      <c r="B1835" s="29" t="n">
        <v>25</v>
      </c>
      <c r="C1835" s="30" t="n">
        <v>80</v>
      </c>
      <c r="D1835" s="30" t="n">
        <v>3</v>
      </c>
      <c r="E1835" s="6" t="n">
        <v>8</v>
      </c>
      <c r="F1835" s="30" t="n">
        <v>1.5</v>
      </c>
      <c r="G1835" s="6" t="inlineStr">
        <is>
          <t>Oui</t>
        </is>
      </c>
      <c r="H1835" s="6" t="inlineStr">
        <is>
          <t>OFF</t>
        </is>
      </c>
      <c r="I1835" s="31" t="n">
        <v>604.2334594602274</v>
      </c>
      <c r="J1835" s="31" t="n">
        <v>4012.68388558375</v>
      </c>
      <c r="K1835" s="31" t="n">
        <v>3342.592592592593</v>
      </c>
      <c r="L1835" s="31" t="n">
        <v>150</v>
      </c>
      <c r="M1835" s="31">
        <f>I1835+J1835+K1835+L1835</f>
        <v/>
      </c>
      <c r="N1835" s="31">
        <f>M1835*'Dashboard &amp; Optimisation'!$B$18/('Dashboard &amp; Optimisation'!$B$16/3.6)</f>
        <v/>
      </c>
      <c r="O1835" s="31" t="n">
        <v>1317.119873656</v>
      </c>
      <c r="P1835" s="32" t="n">
        <v>0.2699794634504217</v>
      </c>
      <c r="Q1835" s="33" t="n">
        <v>17.11412705481695</v>
      </c>
      <c r="R1835" s="31" t="n">
        <v>1433.004129579175</v>
      </c>
      <c r="S1835" s="31">
        <f>R1835*IF(A1835=4, 2.0, 3.0)</f>
        <v/>
      </c>
      <c r="T1835" s="30">
        <f>'Dashboard &amp; Optimisation'!$B$18*U1835</f>
        <v/>
      </c>
      <c r="U1835" s="34">
        <f>MIN(1, S1835/M1835)</f>
        <v/>
      </c>
      <c r="V1835" s="34">
        <f>N1835/(N1835+O1835)</f>
        <v/>
      </c>
      <c r="W1835" s="34">
        <f>U1835*V1835</f>
        <v/>
      </c>
      <c r="X1835" s="32">
        <f>T1835/N1835</f>
        <v/>
      </c>
      <c r="Y1835" s="35">
        <f>IF(W1835=MAXIFS(W$2:W$3601, A$2:A$3601, A1835, B$2:B$3601, B1835), "OPTIMAL", "")</f>
        <v/>
      </c>
    </row>
    <row r="1836" ht="20" customHeight="1">
      <c r="A1836" s="21" t="n">
        <v>-18</v>
      </c>
      <c r="B1836" s="21" t="n">
        <v>25</v>
      </c>
      <c r="C1836" s="22" t="n">
        <v>80</v>
      </c>
      <c r="D1836" s="22" t="n">
        <v>3</v>
      </c>
      <c r="E1836" s="23" t="n">
        <v>8</v>
      </c>
      <c r="F1836" s="22" t="n">
        <v>1.5</v>
      </c>
      <c r="G1836" s="23" t="inlineStr">
        <is>
          <t>Non</t>
        </is>
      </c>
      <c r="H1836" s="23" t="inlineStr">
        <is>
          <t>ON</t>
        </is>
      </c>
      <c r="I1836" s="24" t="n">
        <v>604.2334594602274</v>
      </c>
      <c r="J1836" s="24" t="n">
        <v>4012.68388558375</v>
      </c>
      <c r="K1836" s="24" t="n">
        <v>3342.592592592593</v>
      </c>
      <c r="L1836" s="24" t="n">
        <v>150</v>
      </c>
      <c r="M1836" s="24">
        <f>I1836+J1836+K1836+L1836</f>
        <v/>
      </c>
      <c r="N1836" s="24">
        <f>M1836*'Dashboard &amp; Optimisation'!$B$18/('Dashboard &amp; Optimisation'!$B$16/3.6)</f>
        <v/>
      </c>
      <c r="O1836" s="24" t="n">
        <v>1317.119873656</v>
      </c>
      <c r="P1836" s="25" t="n">
        <v>0.05736945580973193</v>
      </c>
      <c r="Q1836" s="26" t="n">
        <v>17.11412705481695</v>
      </c>
      <c r="R1836" s="24" t="n">
        <v>6743.687569725825</v>
      </c>
      <c r="S1836" s="24">
        <f>R1836*IF(A1836=4, 2.0, 3.0)</f>
        <v/>
      </c>
      <c r="T1836" s="22">
        <f>'Dashboard &amp; Optimisation'!$B$18*U1836</f>
        <v/>
      </c>
      <c r="U1836" s="27">
        <f>MIN(1, S1836/M1836)</f>
        <v/>
      </c>
      <c r="V1836" s="27">
        <f>N1836/(N1836+O1836)</f>
        <v/>
      </c>
      <c r="W1836" s="27">
        <f>U1836*V1836</f>
        <v/>
      </c>
      <c r="X1836" s="25">
        <f>T1836/N1836</f>
        <v/>
      </c>
      <c r="Y1836" s="28">
        <f>IF(W1836=MAXIFS(W$2:W$3601, A$2:A$3601, A1836, B$2:B$3601, B1836), "OPTIMAL", "")</f>
        <v/>
      </c>
    </row>
    <row r="1837" ht="20" customHeight="1">
      <c r="A1837" s="29" t="n">
        <v>-18</v>
      </c>
      <c r="B1837" s="29" t="n">
        <v>25</v>
      </c>
      <c r="C1837" s="30" t="n">
        <v>80</v>
      </c>
      <c r="D1837" s="30" t="n">
        <v>3</v>
      </c>
      <c r="E1837" s="6" t="n">
        <v>8</v>
      </c>
      <c r="F1837" s="30" t="n">
        <v>1.5</v>
      </c>
      <c r="G1837" s="6" t="inlineStr">
        <is>
          <t>Non</t>
        </is>
      </c>
      <c r="H1837" s="6" t="inlineStr">
        <is>
          <t>OFF</t>
        </is>
      </c>
      <c r="I1837" s="31" t="n">
        <v>604.2334594602274</v>
      </c>
      <c r="J1837" s="31" t="n">
        <v>4012.68388558375</v>
      </c>
      <c r="K1837" s="31" t="n">
        <v>3342.592592592593</v>
      </c>
      <c r="L1837" s="31" t="n">
        <v>150</v>
      </c>
      <c r="M1837" s="31">
        <f>I1837+J1837+K1837+L1837</f>
        <v/>
      </c>
      <c r="N1837" s="31">
        <f>M1837*'Dashboard &amp; Optimisation'!$B$18/('Dashboard &amp; Optimisation'!$B$16/3.6)</f>
        <v/>
      </c>
      <c r="O1837" s="31" t="n">
        <v>1317.119873656</v>
      </c>
      <c r="P1837" s="32" t="n">
        <v>0.2660005898731243</v>
      </c>
      <c r="Q1837" s="33" t="n">
        <v>17.11412705481695</v>
      </c>
      <c r="R1837" s="31" t="n">
        <v>1454.43920335123</v>
      </c>
      <c r="S1837" s="31">
        <f>R1837*IF(A1837=4, 2.0, 3.0)</f>
        <v/>
      </c>
      <c r="T1837" s="30">
        <f>'Dashboard &amp; Optimisation'!$B$18*U1837</f>
        <v/>
      </c>
      <c r="U1837" s="34">
        <f>MIN(1, S1837/M1837)</f>
        <v/>
      </c>
      <c r="V1837" s="34">
        <f>N1837/(N1837+O1837)</f>
        <v/>
      </c>
      <c r="W1837" s="34">
        <f>U1837*V1837</f>
        <v/>
      </c>
      <c r="X1837" s="32">
        <f>T1837/N1837</f>
        <v/>
      </c>
      <c r="Y1837" s="35">
        <f>IF(W1837=MAXIFS(W$2:W$3601, A$2:A$3601, A1837, B$2:B$3601, B1837), "OPTIMAL", "")</f>
        <v/>
      </c>
    </row>
    <row r="1838" ht="20" customHeight="1">
      <c r="A1838" s="21" t="n">
        <v>-18</v>
      </c>
      <c r="B1838" s="21" t="n">
        <v>25</v>
      </c>
      <c r="C1838" s="22" t="n">
        <v>80</v>
      </c>
      <c r="D1838" s="22" t="n">
        <v>3</v>
      </c>
      <c r="E1838" s="23" t="n">
        <v>8</v>
      </c>
      <c r="F1838" s="22" t="n">
        <v>2</v>
      </c>
      <c r="G1838" s="23" t="inlineStr">
        <is>
          <t>Oui</t>
        </is>
      </c>
      <c r="H1838" s="23" t="inlineStr">
        <is>
          <t>ON</t>
        </is>
      </c>
      <c r="I1838" s="24" t="n">
        <v>604.2334594602274</v>
      </c>
      <c r="J1838" s="24" t="n">
        <v>4012.68388558375</v>
      </c>
      <c r="K1838" s="24" t="n">
        <v>3342.592592592593</v>
      </c>
      <c r="L1838" s="24" t="n">
        <v>150</v>
      </c>
      <c r="M1838" s="24">
        <f>I1838+J1838+K1838+L1838</f>
        <v/>
      </c>
      <c r="N1838" s="24">
        <f>M1838*'Dashboard &amp; Optimisation'!$B$18/('Dashboard &amp; Optimisation'!$B$16/3.6)</f>
        <v/>
      </c>
      <c r="O1838" s="24" t="n">
        <v>1549.984679847579</v>
      </c>
      <c r="P1838" s="25" t="n">
        <v>0.060517018169736</v>
      </c>
      <c r="Q1838" s="26" t="n">
        <v>22.7521694064226</v>
      </c>
      <c r="R1838" s="24" t="n">
        <v>6590.713153730818</v>
      </c>
      <c r="S1838" s="24">
        <f>R1838*IF(A1838=4, 2.0, 3.0)</f>
        <v/>
      </c>
      <c r="T1838" s="22">
        <f>'Dashboard &amp; Optimisation'!$B$18*U1838</f>
        <v/>
      </c>
      <c r="U1838" s="27">
        <f>MIN(1, S1838/M1838)</f>
        <v/>
      </c>
      <c r="V1838" s="27">
        <f>N1838/(N1838+O1838)</f>
        <v/>
      </c>
      <c r="W1838" s="27">
        <f>U1838*V1838</f>
        <v/>
      </c>
      <c r="X1838" s="25">
        <f>T1838/N1838</f>
        <v/>
      </c>
      <c r="Y1838" s="28">
        <f>IF(W1838=MAXIFS(W$2:W$3601, A$2:A$3601, A1838, B$2:B$3601, B1838), "OPTIMAL", "")</f>
        <v/>
      </c>
    </row>
    <row r="1839" ht="20" customHeight="1">
      <c r="A1839" s="29" t="n">
        <v>-18</v>
      </c>
      <c r="B1839" s="29" t="n">
        <v>25</v>
      </c>
      <c r="C1839" s="30" t="n">
        <v>80</v>
      </c>
      <c r="D1839" s="30" t="n">
        <v>3</v>
      </c>
      <c r="E1839" s="6" t="n">
        <v>8</v>
      </c>
      <c r="F1839" s="30" t="n">
        <v>2</v>
      </c>
      <c r="G1839" s="6" t="inlineStr">
        <is>
          <t>Oui</t>
        </is>
      </c>
      <c r="H1839" s="6" t="inlineStr">
        <is>
          <t>OFF</t>
        </is>
      </c>
      <c r="I1839" s="31" t="n">
        <v>604.2334594602274</v>
      </c>
      <c r="J1839" s="31" t="n">
        <v>4012.68388558375</v>
      </c>
      <c r="K1839" s="31" t="n">
        <v>3342.592592592593</v>
      </c>
      <c r="L1839" s="31" t="n">
        <v>150</v>
      </c>
      <c r="M1839" s="31">
        <f>I1839+J1839+K1839+L1839</f>
        <v/>
      </c>
      <c r="N1839" s="31">
        <f>M1839*'Dashboard &amp; Optimisation'!$B$18/('Dashboard &amp; Optimisation'!$B$16/3.6)</f>
        <v/>
      </c>
      <c r="O1839" s="31" t="n">
        <v>1549.984679847579</v>
      </c>
      <c r="P1839" s="32" t="n">
        <v>0.2709014433795033</v>
      </c>
      <c r="Q1839" s="33" t="n">
        <v>22.7521694064226</v>
      </c>
      <c r="R1839" s="31" t="n">
        <v>1472.307798364515</v>
      </c>
      <c r="S1839" s="31">
        <f>R1839*IF(A1839=4, 2.0, 3.0)</f>
        <v/>
      </c>
      <c r="T1839" s="30">
        <f>'Dashboard &amp; Optimisation'!$B$18*U1839</f>
        <v/>
      </c>
      <c r="U1839" s="34">
        <f>MIN(1, S1839/M1839)</f>
        <v/>
      </c>
      <c r="V1839" s="34">
        <f>N1839/(N1839+O1839)</f>
        <v/>
      </c>
      <c r="W1839" s="34">
        <f>U1839*V1839</f>
        <v/>
      </c>
      <c r="X1839" s="32">
        <f>T1839/N1839</f>
        <v/>
      </c>
      <c r="Y1839" s="35">
        <f>IF(W1839=MAXIFS(W$2:W$3601, A$2:A$3601, A1839, B$2:B$3601, B1839), "OPTIMAL", "")</f>
        <v/>
      </c>
    </row>
    <row r="1840" ht="20" customHeight="1">
      <c r="A1840" s="21" t="n">
        <v>-18</v>
      </c>
      <c r="B1840" s="21" t="n">
        <v>25</v>
      </c>
      <c r="C1840" s="22" t="n">
        <v>80</v>
      </c>
      <c r="D1840" s="22" t="n">
        <v>3</v>
      </c>
      <c r="E1840" s="23" t="n">
        <v>8</v>
      </c>
      <c r="F1840" s="22" t="n">
        <v>2</v>
      </c>
      <c r="G1840" s="23" t="inlineStr">
        <is>
          <t>Non</t>
        </is>
      </c>
      <c r="H1840" s="23" t="inlineStr">
        <is>
          <t>ON</t>
        </is>
      </c>
      <c r="I1840" s="24" t="n">
        <v>604.2334594602274</v>
      </c>
      <c r="J1840" s="24" t="n">
        <v>4012.68388558375</v>
      </c>
      <c r="K1840" s="24" t="n">
        <v>3342.592592592593</v>
      </c>
      <c r="L1840" s="24" t="n">
        <v>150</v>
      </c>
      <c r="M1840" s="24">
        <f>I1840+J1840+K1840+L1840</f>
        <v/>
      </c>
      <c r="N1840" s="24">
        <f>M1840*'Dashboard &amp; Optimisation'!$B$18/('Dashboard &amp; Optimisation'!$B$16/3.6)</f>
        <v/>
      </c>
      <c r="O1840" s="24" t="n">
        <v>1549.984679847579</v>
      </c>
      <c r="P1840" s="25" t="n">
        <v>0.05653814459243862</v>
      </c>
      <c r="Q1840" s="26" t="n">
        <v>22.7521694064226</v>
      </c>
      <c r="R1840" s="24" t="n">
        <v>7054.534784453963</v>
      </c>
      <c r="S1840" s="24">
        <f>R1840*IF(A1840=4, 2.0, 3.0)</f>
        <v/>
      </c>
      <c r="T1840" s="22">
        <f>'Dashboard &amp; Optimisation'!$B$18*U1840</f>
        <v/>
      </c>
      <c r="U1840" s="27">
        <f>MIN(1, S1840/M1840)</f>
        <v/>
      </c>
      <c r="V1840" s="27">
        <f>N1840/(N1840+O1840)</f>
        <v/>
      </c>
      <c r="W1840" s="27">
        <f>U1840*V1840</f>
        <v/>
      </c>
      <c r="X1840" s="25">
        <f>T1840/N1840</f>
        <v/>
      </c>
      <c r="Y1840" s="28">
        <f>IF(W1840=MAXIFS(W$2:W$3601, A$2:A$3601, A1840, B$2:B$3601, B1840), "OPTIMAL", "")</f>
        <v/>
      </c>
    </row>
    <row r="1841" ht="20" customHeight="1">
      <c r="A1841" s="29" t="n">
        <v>-18</v>
      </c>
      <c r="B1841" s="29" t="n">
        <v>25</v>
      </c>
      <c r="C1841" s="30" t="n">
        <v>80</v>
      </c>
      <c r="D1841" s="30" t="n">
        <v>3</v>
      </c>
      <c r="E1841" s="6" t="n">
        <v>8</v>
      </c>
      <c r="F1841" s="30" t="n">
        <v>2</v>
      </c>
      <c r="G1841" s="6" t="inlineStr">
        <is>
          <t>Non</t>
        </is>
      </c>
      <c r="H1841" s="6" t="inlineStr">
        <is>
          <t>OFF</t>
        </is>
      </c>
      <c r="I1841" s="31" t="n">
        <v>604.2334594602274</v>
      </c>
      <c r="J1841" s="31" t="n">
        <v>4012.68388558375</v>
      </c>
      <c r="K1841" s="31" t="n">
        <v>3342.592592592593</v>
      </c>
      <c r="L1841" s="31" t="n">
        <v>150</v>
      </c>
      <c r="M1841" s="31">
        <f>I1841+J1841+K1841+L1841</f>
        <v/>
      </c>
      <c r="N1841" s="31">
        <f>M1841*'Dashboard &amp; Optimisation'!$B$18/('Dashboard &amp; Optimisation'!$B$16/3.6)</f>
        <v/>
      </c>
      <c r="O1841" s="31" t="n">
        <v>1549.984679847579</v>
      </c>
      <c r="P1841" s="32" t="n">
        <v>0.266922569802206</v>
      </c>
      <c r="Q1841" s="33" t="n">
        <v>22.7521694064226</v>
      </c>
      <c r="R1841" s="31" t="n">
        <v>1494.25471203653</v>
      </c>
      <c r="S1841" s="31">
        <f>R1841*IF(A1841=4, 2.0, 3.0)</f>
        <v/>
      </c>
      <c r="T1841" s="30">
        <f>'Dashboard &amp; Optimisation'!$B$18*U1841</f>
        <v/>
      </c>
      <c r="U1841" s="34">
        <f>MIN(1, S1841/M1841)</f>
        <v/>
      </c>
      <c r="V1841" s="34">
        <f>N1841/(N1841+O1841)</f>
        <v/>
      </c>
      <c r="W1841" s="34">
        <f>U1841*V1841</f>
        <v/>
      </c>
      <c r="X1841" s="32">
        <f>T1841/N1841</f>
        <v/>
      </c>
      <c r="Y1841" s="35">
        <f>IF(W1841=MAXIFS(W$2:W$3601, A$2:A$3601, A1841, B$2:B$3601, B1841), "OPTIMAL", "")</f>
        <v/>
      </c>
    </row>
    <row r="1842" ht="20" customHeight="1">
      <c r="A1842" s="21" t="n">
        <v>-18</v>
      </c>
      <c r="B1842" s="21" t="n">
        <v>25</v>
      </c>
      <c r="C1842" s="22" t="n">
        <v>85</v>
      </c>
      <c r="D1842" s="22" t="n">
        <v>2</v>
      </c>
      <c r="E1842" s="23" t="n">
        <v>0</v>
      </c>
      <c r="F1842" s="22" t="n">
        <v>0</v>
      </c>
      <c r="G1842" s="23" t="inlineStr">
        <is>
          <t>Oui</t>
        </is>
      </c>
      <c r="H1842" s="23" t="inlineStr">
        <is>
          <t>ON</t>
        </is>
      </c>
      <c r="I1842" s="24" t="n">
        <v>604.2334594602274</v>
      </c>
      <c r="J1842" s="24" t="n">
        <v>4012.68388558375</v>
      </c>
      <c r="K1842" s="24" t="n">
        <v>3342.592592592593</v>
      </c>
      <c r="L1842" s="24" t="n">
        <v>150</v>
      </c>
      <c r="M1842" s="24">
        <f>I1842+J1842+K1842+L1842</f>
        <v/>
      </c>
      <c r="N1842" s="24">
        <f>M1842*'Dashboard &amp; Optimisation'!$B$18/('Dashboard &amp; Optimisation'!$B$16/3.6)</f>
        <v/>
      </c>
      <c r="O1842" s="24" t="n">
        <v>417.1165992614432</v>
      </c>
      <c r="P1842" s="25" t="n">
        <v>0.4952901571326194</v>
      </c>
      <c r="Q1842" s="26" t="n">
        <v>0.2</v>
      </c>
      <c r="R1842" s="24" t="n">
        <v>598.1030964238615</v>
      </c>
      <c r="S1842" s="24">
        <f>R1842*IF(A1842=4, 2.0, 3.0)</f>
        <v/>
      </c>
      <c r="T1842" s="22">
        <f>'Dashboard &amp; Optimisation'!$B$18*U1842</f>
        <v/>
      </c>
      <c r="U1842" s="27">
        <f>MIN(1, S1842/M1842)</f>
        <v/>
      </c>
      <c r="V1842" s="27">
        <f>N1842/(N1842+O1842)</f>
        <v/>
      </c>
      <c r="W1842" s="27">
        <f>U1842*V1842</f>
        <v/>
      </c>
      <c r="X1842" s="25">
        <f>T1842/N1842</f>
        <v/>
      </c>
      <c r="Y1842" s="28">
        <f>IF(W1842=MAXIFS(W$2:W$3601, A$2:A$3601, A1842, B$2:B$3601, B1842), "OPTIMAL", "")</f>
        <v/>
      </c>
    </row>
    <row r="1843" ht="20" customHeight="1">
      <c r="A1843" s="29" t="n">
        <v>-18</v>
      </c>
      <c r="B1843" s="29" t="n">
        <v>25</v>
      </c>
      <c r="C1843" s="30" t="n">
        <v>85</v>
      </c>
      <c r="D1843" s="30" t="n">
        <v>2</v>
      </c>
      <c r="E1843" s="6" t="n">
        <v>0</v>
      </c>
      <c r="F1843" s="30" t="n">
        <v>0</v>
      </c>
      <c r="G1843" s="6" t="inlineStr">
        <is>
          <t>Oui</t>
        </is>
      </c>
      <c r="H1843" s="6" t="inlineStr">
        <is>
          <t>OFF</t>
        </is>
      </c>
      <c r="I1843" s="31" t="n">
        <v>604.2334594602274</v>
      </c>
      <c r="J1843" s="31" t="n">
        <v>4012.68388558375</v>
      </c>
      <c r="K1843" s="31" t="n">
        <v>3342.592592592593</v>
      </c>
      <c r="L1843" s="31" t="n">
        <v>150</v>
      </c>
      <c r="M1843" s="31">
        <f>I1843+J1843+K1843+L1843</f>
        <v/>
      </c>
      <c r="N1843" s="31">
        <f>M1843*'Dashboard &amp; Optimisation'!$B$18/('Dashboard &amp; Optimisation'!$B$16/3.6)</f>
        <v/>
      </c>
      <c r="O1843" s="31" t="n">
        <v>417.1165992614432</v>
      </c>
      <c r="P1843" s="32" t="n">
        <v>0.869772376172373</v>
      </c>
      <c r="Q1843" s="33" t="n">
        <v>0.2</v>
      </c>
      <c r="R1843" s="31" t="n">
        <v>340.5886237879004</v>
      </c>
      <c r="S1843" s="31">
        <f>R1843*IF(A1843=4, 2.0, 3.0)</f>
        <v/>
      </c>
      <c r="T1843" s="30">
        <f>'Dashboard &amp; Optimisation'!$B$18*U1843</f>
        <v/>
      </c>
      <c r="U1843" s="34">
        <f>MIN(1, S1843/M1843)</f>
        <v/>
      </c>
      <c r="V1843" s="34">
        <f>N1843/(N1843+O1843)</f>
        <v/>
      </c>
      <c r="W1843" s="34">
        <f>U1843*V1843</f>
        <v/>
      </c>
      <c r="X1843" s="32">
        <f>T1843/N1843</f>
        <v/>
      </c>
      <c r="Y1843" s="35">
        <f>IF(W1843=MAXIFS(W$2:W$3601, A$2:A$3601, A1843, B$2:B$3601, B1843), "OPTIMAL", "")</f>
        <v/>
      </c>
    </row>
    <row r="1844" ht="20" customHeight="1">
      <c r="A1844" s="21" t="n">
        <v>-18</v>
      </c>
      <c r="B1844" s="21" t="n">
        <v>25</v>
      </c>
      <c r="C1844" s="22" t="n">
        <v>85</v>
      </c>
      <c r="D1844" s="22" t="n">
        <v>2</v>
      </c>
      <c r="E1844" s="23" t="n">
        <v>0</v>
      </c>
      <c r="F1844" s="22" t="n">
        <v>0</v>
      </c>
      <c r="G1844" s="23" t="inlineStr">
        <is>
          <t>Non</t>
        </is>
      </c>
      <c r="H1844" s="23" t="inlineStr">
        <is>
          <t>ON</t>
        </is>
      </c>
      <c r="I1844" s="24" t="n">
        <v>604.2334594602274</v>
      </c>
      <c r="J1844" s="24" t="n">
        <v>4012.68388558375</v>
      </c>
      <c r="K1844" s="24" t="n">
        <v>3342.592592592593</v>
      </c>
      <c r="L1844" s="24" t="n">
        <v>150</v>
      </c>
      <c r="M1844" s="24">
        <f>I1844+J1844+K1844+L1844</f>
        <v/>
      </c>
      <c r="N1844" s="24">
        <f>M1844*'Dashboard &amp; Optimisation'!$B$18/('Dashboard &amp; Optimisation'!$B$16/3.6)</f>
        <v/>
      </c>
      <c r="O1844" s="24" t="n">
        <v>417.1165992614432</v>
      </c>
      <c r="P1844" s="25" t="n">
        <v>0.4915453349422219</v>
      </c>
      <c r="Q1844" s="26" t="n">
        <v>0.2</v>
      </c>
      <c r="R1844" s="24" t="n">
        <v>602.6597254637787</v>
      </c>
      <c r="S1844" s="24">
        <f>R1844*IF(A1844=4, 2.0, 3.0)</f>
        <v/>
      </c>
      <c r="T1844" s="22">
        <f>'Dashboard &amp; Optimisation'!$B$18*U1844</f>
        <v/>
      </c>
      <c r="U1844" s="27">
        <f>MIN(1, S1844/M1844)</f>
        <v/>
      </c>
      <c r="V1844" s="27">
        <f>N1844/(N1844+O1844)</f>
        <v/>
      </c>
      <c r="W1844" s="27">
        <f>U1844*V1844</f>
        <v/>
      </c>
      <c r="X1844" s="25">
        <f>T1844/N1844</f>
        <v/>
      </c>
      <c r="Y1844" s="28">
        <f>IF(W1844=MAXIFS(W$2:W$3601, A$2:A$3601, A1844, B$2:B$3601, B1844), "OPTIMAL", "")</f>
        <v/>
      </c>
    </row>
    <row r="1845" ht="20" customHeight="1">
      <c r="A1845" s="29" t="n">
        <v>-18</v>
      </c>
      <c r="B1845" s="29" t="n">
        <v>25</v>
      </c>
      <c r="C1845" s="30" t="n">
        <v>85</v>
      </c>
      <c r="D1845" s="30" t="n">
        <v>2</v>
      </c>
      <c r="E1845" s="6" t="n">
        <v>0</v>
      </c>
      <c r="F1845" s="30" t="n">
        <v>0</v>
      </c>
      <c r="G1845" s="6" t="inlineStr">
        <is>
          <t>Non</t>
        </is>
      </c>
      <c r="H1845" s="6" t="inlineStr">
        <is>
          <t>OFF</t>
        </is>
      </c>
      <c r="I1845" s="31" t="n">
        <v>604.2334594602274</v>
      </c>
      <c r="J1845" s="31" t="n">
        <v>4012.68388558375</v>
      </c>
      <c r="K1845" s="31" t="n">
        <v>3342.592592592593</v>
      </c>
      <c r="L1845" s="31" t="n">
        <v>150</v>
      </c>
      <c r="M1845" s="31">
        <f>I1845+J1845+K1845+L1845</f>
        <v/>
      </c>
      <c r="N1845" s="31">
        <f>M1845*'Dashboard &amp; Optimisation'!$B$18/('Dashboard &amp; Optimisation'!$B$16/3.6)</f>
        <v/>
      </c>
      <c r="O1845" s="31" t="n">
        <v>417.1165992614432</v>
      </c>
      <c r="P1845" s="32" t="n">
        <v>0.8660275539819755</v>
      </c>
      <c r="Q1845" s="33" t="n">
        <v>0.2</v>
      </c>
      <c r="R1845" s="31" t="n">
        <v>342.0613758155852</v>
      </c>
      <c r="S1845" s="31">
        <f>R1845*IF(A1845=4, 2.0, 3.0)</f>
        <v/>
      </c>
      <c r="T1845" s="30">
        <f>'Dashboard &amp; Optimisation'!$B$18*U1845</f>
        <v/>
      </c>
      <c r="U1845" s="34">
        <f>MIN(1, S1845/M1845)</f>
        <v/>
      </c>
      <c r="V1845" s="34">
        <f>N1845/(N1845+O1845)</f>
        <v/>
      </c>
      <c r="W1845" s="34">
        <f>U1845*V1845</f>
        <v/>
      </c>
      <c r="X1845" s="32">
        <f>T1845/N1845</f>
        <v/>
      </c>
      <c r="Y1845" s="35">
        <f>IF(W1845=MAXIFS(W$2:W$3601, A$2:A$3601, A1845, B$2:B$3601, B1845), "OPTIMAL", "")</f>
        <v/>
      </c>
    </row>
    <row r="1846" ht="20" customHeight="1">
      <c r="A1846" s="21" t="n">
        <v>-18</v>
      </c>
      <c r="B1846" s="21" t="n">
        <v>25</v>
      </c>
      <c r="C1846" s="22" t="n">
        <v>85</v>
      </c>
      <c r="D1846" s="22" t="n">
        <v>2</v>
      </c>
      <c r="E1846" s="23" t="n">
        <v>4</v>
      </c>
      <c r="F1846" s="22" t="n">
        <v>1.5</v>
      </c>
      <c r="G1846" s="23" t="inlineStr">
        <is>
          <t>Oui</t>
        </is>
      </c>
      <c r="H1846" s="23" t="inlineStr">
        <is>
          <t>ON</t>
        </is>
      </c>
      <c r="I1846" s="24" t="n">
        <v>604.2334594602274</v>
      </c>
      <c r="J1846" s="24" t="n">
        <v>4012.68388558375</v>
      </c>
      <c r="K1846" s="24" t="n">
        <v>3342.592592592593</v>
      </c>
      <c r="L1846" s="24" t="n">
        <v>150</v>
      </c>
      <c r="M1846" s="24">
        <f>I1846+J1846+K1846+L1846</f>
        <v/>
      </c>
      <c r="N1846" s="24">
        <f>M1846*'Dashboard &amp; Optimisation'!$B$18/('Dashboard &amp; Optimisation'!$B$16/3.6)</f>
        <v/>
      </c>
      <c r="O1846" s="24" t="n">
        <v>669.86009059362</v>
      </c>
      <c r="P1846" s="25" t="n">
        <v>0.07982907988340278</v>
      </c>
      <c r="Q1846" s="26" t="n">
        <v>7.926206185533672</v>
      </c>
      <c r="R1846" s="24" t="n">
        <v>3856.343397115717</v>
      </c>
      <c r="S1846" s="24">
        <f>R1846*IF(A1846=4, 2.0, 3.0)</f>
        <v/>
      </c>
      <c r="T1846" s="22">
        <f>'Dashboard &amp; Optimisation'!$B$18*U1846</f>
        <v/>
      </c>
      <c r="U1846" s="27">
        <f>MIN(1, S1846/M1846)</f>
        <v/>
      </c>
      <c r="V1846" s="27">
        <f>N1846/(N1846+O1846)</f>
        <v/>
      </c>
      <c r="W1846" s="27">
        <f>U1846*V1846</f>
        <v/>
      </c>
      <c r="X1846" s="25">
        <f>T1846/N1846</f>
        <v/>
      </c>
      <c r="Y1846" s="28">
        <f>IF(W1846=MAXIFS(W$2:W$3601, A$2:A$3601, A1846, B$2:B$3601, B1846), "OPTIMAL", "")</f>
        <v/>
      </c>
    </row>
    <row r="1847" ht="20" customHeight="1">
      <c r="A1847" s="29" t="n">
        <v>-18</v>
      </c>
      <c r="B1847" s="29" t="n">
        <v>25</v>
      </c>
      <c r="C1847" s="30" t="n">
        <v>85</v>
      </c>
      <c r="D1847" s="30" t="n">
        <v>2</v>
      </c>
      <c r="E1847" s="6" t="n">
        <v>4</v>
      </c>
      <c r="F1847" s="30" t="n">
        <v>1.5</v>
      </c>
      <c r="G1847" s="6" t="inlineStr">
        <is>
          <t>Oui</t>
        </is>
      </c>
      <c r="H1847" s="6" t="inlineStr">
        <is>
          <t>OFF</t>
        </is>
      </c>
      <c r="I1847" s="31" t="n">
        <v>604.2334594602274</v>
      </c>
      <c r="J1847" s="31" t="n">
        <v>4012.68388558375</v>
      </c>
      <c r="K1847" s="31" t="n">
        <v>3342.592592592593</v>
      </c>
      <c r="L1847" s="31" t="n">
        <v>150</v>
      </c>
      <c r="M1847" s="31">
        <f>I1847+J1847+K1847+L1847</f>
        <v/>
      </c>
      <c r="N1847" s="31">
        <f>M1847*'Dashboard &amp; Optimisation'!$B$18/('Dashboard &amp; Optimisation'!$B$16/3.6)</f>
        <v/>
      </c>
      <c r="O1847" s="31" t="n">
        <v>669.86009059362</v>
      </c>
      <c r="P1847" s="32" t="n">
        <v>0.3422773582181225</v>
      </c>
      <c r="Q1847" s="33" t="n">
        <v>7.926206185533672</v>
      </c>
      <c r="R1847" s="31" t="n">
        <v>899.4119468165389</v>
      </c>
      <c r="S1847" s="31">
        <f>R1847*IF(A1847=4, 2.0, 3.0)</f>
        <v/>
      </c>
      <c r="T1847" s="30">
        <f>'Dashboard &amp; Optimisation'!$B$18*U1847</f>
        <v/>
      </c>
      <c r="U1847" s="34">
        <f>MIN(1, S1847/M1847)</f>
        <v/>
      </c>
      <c r="V1847" s="34">
        <f>N1847/(N1847+O1847)</f>
        <v/>
      </c>
      <c r="W1847" s="34">
        <f>U1847*V1847</f>
        <v/>
      </c>
      <c r="X1847" s="32">
        <f>T1847/N1847</f>
        <v/>
      </c>
      <c r="Y1847" s="35">
        <f>IF(W1847=MAXIFS(W$2:W$3601, A$2:A$3601, A1847, B$2:B$3601, B1847), "OPTIMAL", "")</f>
        <v/>
      </c>
    </row>
    <row r="1848" ht="20" customHeight="1">
      <c r="A1848" s="21" t="n">
        <v>-18</v>
      </c>
      <c r="B1848" s="21" t="n">
        <v>25</v>
      </c>
      <c r="C1848" s="22" t="n">
        <v>85</v>
      </c>
      <c r="D1848" s="22" t="n">
        <v>2</v>
      </c>
      <c r="E1848" s="23" t="n">
        <v>4</v>
      </c>
      <c r="F1848" s="22" t="n">
        <v>1.5</v>
      </c>
      <c r="G1848" s="23" t="inlineStr">
        <is>
          <t>Non</t>
        </is>
      </c>
      <c r="H1848" s="23" t="inlineStr">
        <is>
          <t>ON</t>
        </is>
      </c>
      <c r="I1848" s="24" t="n">
        <v>604.2334594602274</v>
      </c>
      <c r="J1848" s="24" t="n">
        <v>4012.68388558375</v>
      </c>
      <c r="K1848" s="24" t="n">
        <v>3342.592592592593</v>
      </c>
      <c r="L1848" s="24" t="n">
        <v>150</v>
      </c>
      <c r="M1848" s="24">
        <f>I1848+J1848+K1848+L1848</f>
        <v/>
      </c>
      <c r="N1848" s="24">
        <f>M1848*'Dashboard &amp; Optimisation'!$B$18/('Dashboard &amp; Optimisation'!$B$16/3.6)</f>
        <v/>
      </c>
      <c r="O1848" s="24" t="n">
        <v>669.86009059362</v>
      </c>
      <c r="P1848" s="25" t="n">
        <v>0.07608425769300524</v>
      </c>
      <c r="Q1848" s="26" t="n">
        <v>7.926206185533672</v>
      </c>
      <c r="R1848" s="24" t="n">
        <v>4046.150339644902</v>
      </c>
      <c r="S1848" s="24">
        <f>R1848*IF(A1848=4, 2.0, 3.0)</f>
        <v/>
      </c>
      <c r="T1848" s="22">
        <f>'Dashboard &amp; Optimisation'!$B$18*U1848</f>
        <v/>
      </c>
      <c r="U1848" s="27">
        <f>MIN(1, S1848/M1848)</f>
        <v/>
      </c>
      <c r="V1848" s="27">
        <f>N1848/(N1848+O1848)</f>
        <v/>
      </c>
      <c r="W1848" s="27">
        <f>U1848*V1848</f>
        <v/>
      </c>
      <c r="X1848" s="25">
        <f>T1848/N1848</f>
        <v/>
      </c>
      <c r="Y1848" s="28">
        <f>IF(W1848=MAXIFS(W$2:W$3601, A$2:A$3601, A1848, B$2:B$3601, B1848), "OPTIMAL", "")</f>
        <v/>
      </c>
    </row>
    <row r="1849" ht="20" customHeight="1">
      <c r="A1849" s="29" t="n">
        <v>-18</v>
      </c>
      <c r="B1849" s="29" t="n">
        <v>25</v>
      </c>
      <c r="C1849" s="30" t="n">
        <v>85</v>
      </c>
      <c r="D1849" s="30" t="n">
        <v>2</v>
      </c>
      <c r="E1849" s="6" t="n">
        <v>4</v>
      </c>
      <c r="F1849" s="30" t="n">
        <v>1.5</v>
      </c>
      <c r="G1849" s="6" t="inlineStr">
        <is>
          <t>Non</t>
        </is>
      </c>
      <c r="H1849" s="6" t="inlineStr">
        <is>
          <t>OFF</t>
        </is>
      </c>
      <c r="I1849" s="31" t="n">
        <v>604.2334594602274</v>
      </c>
      <c r="J1849" s="31" t="n">
        <v>4012.68388558375</v>
      </c>
      <c r="K1849" s="31" t="n">
        <v>3342.592592592593</v>
      </c>
      <c r="L1849" s="31" t="n">
        <v>150</v>
      </c>
      <c r="M1849" s="31">
        <f>I1849+J1849+K1849+L1849</f>
        <v/>
      </c>
      <c r="N1849" s="31">
        <f>M1849*'Dashboard &amp; Optimisation'!$B$18/('Dashboard &amp; Optimisation'!$B$16/3.6)</f>
        <v/>
      </c>
      <c r="O1849" s="31" t="n">
        <v>669.86009059362</v>
      </c>
      <c r="P1849" s="32" t="n">
        <v>0.338532536027725</v>
      </c>
      <c r="Q1849" s="33" t="n">
        <v>7.926206185533672</v>
      </c>
      <c r="R1849" s="31" t="n">
        <v>909.3611760878766</v>
      </c>
      <c r="S1849" s="31">
        <f>R1849*IF(A1849=4, 2.0, 3.0)</f>
        <v/>
      </c>
      <c r="T1849" s="30">
        <f>'Dashboard &amp; Optimisation'!$B$18*U1849</f>
        <v/>
      </c>
      <c r="U1849" s="34">
        <f>MIN(1, S1849/M1849)</f>
        <v/>
      </c>
      <c r="V1849" s="34">
        <f>N1849/(N1849+O1849)</f>
        <v/>
      </c>
      <c r="W1849" s="34">
        <f>U1849*V1849</f>
        <v/>
      </c>
      <c r="X1849" s="32">
        <f>T1849/N1849</f>
        <v/>
      </c>
      <c r="Y1849" s="35">
        <f>IF(W1849=MAXIFS(W$2:W$3601, A$2:A$3601, A1849, B$2:B$3601, B1849), "OPTIMAL", "")</f>
        <v/>
      </c>
    </row>
    <row r="1850" ht="20" customHeight="1">
      <c r="A1850" s="21" t="n">
        <v>-18</v>
      </c>
      <c r="B1850" s="21" t="n">
        <v>25</v>
      </c>
      <c r="C1850" s="22" t="n">
        <v>85</v>
      </c>
      <c r="D1850" s="22" t="n">
        <v>2</v>
      </c>
      <c r="E1850" s="23" t="n">
        <v>4</v>
      </c>
      <c r="F1850" s="22" t="n">
        <v>2</v>
      </c>
      <c r="G1850" s="23" t="inlineStr">
        <is>
          <t>Oui</t>
        </is>
      </c>
      <c r="H1850" s="23" t="inlineStr">
        <is>
          <t>ON</t>
        </is>
      </c>
      <c r="I1850" s="24" t="n">
        <v>604.2334594602274</v>
      </c>
      <c r="J1850" s="24" t="n">
        <v>4012.68388558375</v>
      </c>
      <c r="K1850" s="24" t="n">
        <v>3342.592592592593</v>
      </c>
      <c r="L1850" s="24" t="n">
        <v>150</v>
      </c>
      <c r="M1850" s="24">
        <f>I1850+J1850+K1850+L1850</f>
        <v/>
      </c>
      <c r="N1850" s="24">
        <f>M1850*'Dashboard &amp; Optimisation'!$B$18/('Dashboard &amp; Optimisation'!$B$16/3.6)</f>
        <v/>
      </c>
      <c r="O1850" s="24" t="n">
        <v>758.5701077792025</v>
      </c>
      <c r="P1850" s="25" t="n">
        <v>0.07761847907948814</v>
      </c>
      <c r="Q1850" s="26" t="n">
        <v>10.50160824737823</v>
      </c>
      <c r="R1850" s="24" t="n">
        <v>4018.690472582786</v>
      </c>
      <c r="S1850" s="24">
        <f>R1850*IF(A1850=4, 2.0, 3.0)</f>
        <v/>
      </c>
      <c r="T1850" s="22">
        <f>'Dashboard &amp; Optimisation'!$B$18*U1850</f>
        <v/>
      </c>
      <c r="U1850" s="27">
        <f>MIN(1, S1850/M1850)</f>
        <v/>
      </c>
      <c r="V1850" s="27">
        <f>N1850/(N1850+O1850)</f>
        <v/>
      </c>
      <c r="W1850" s="27">
        <f>U1850*V1850</f>
        <v/>
      </c>
      <c r="X1850" s="25">
        <f>T1850/N1850</f>
        <v/>
      </c>
      <c r="Y1850" s="28">
        <f>IF(W1850=MAXIFS(W$2:W$3601, A$2:A$3601, A1850, B$2:B$3601, B1850), "OPTIMAL", "")</f>
        <v/>
      </c>
    </row>
    <row r="1851" ht="20" customHeight="1">
      <c r="A1851" s="29" t="n">
        <v>-18</v>
      </c>
      <c r="B1851" s="29" t="n">
        <v>25</v>
      </c>
      <c r="C1851" s="30" t="n">
        <v>85</v>
      </c>
      <c r="D1851" s="30" t="n">
        <v>2</v>
      </c>
      <c r="E1851" s="6" t="n">
        <v>4</v>
      </c>
      <c r="F1851" s="30" t="n">
        <v>2</v>
      </c>
      <c r="G1851" s="6" t="inlineStr">
        <is>
          <t>Oui</t>
        </is>
      </c>
      <c r="H1851" s="6" t="inlineStr">
        <is>
          <t>OFF</t>
        </is>
      </c>
      <c r="I1851" s="31" t="n">
        <v>604.2334594602274</v>
      </c>
      <c r="J1851" s="31" t="n">
        <v>4012.68388558375</v>
      </c>
      <c r="K1851" s="31" t="n">
        <v>3342.592592592593</v>
      </c>
      <c r="L1851" s="31" t="n">
        <v>150</v>
      </c>
      <c r="M1851" s="31">
        <f>I1851+J1851+K1851+L1851</f>
        <v/>
      </c>
      <c r="N1851" s="31">
        <f>M1851*'Dashboard &amp; Optimisation'!$B$18/('Dashboard &amp; Optimisation'!$B$16/3.6)</f>
        <v/>
      </c>
      <c r="O1851" s="31" t="n">
        <v>758.5701077792025</v>
      </c>
      <c r="P1851" s="32" t="n">
        <v>0.3414492073746781</v>
      </c>
      <c r="Q1851" s="33" t="n">
        <v>10.50160824737823</v>
      </c>
      <c r="R1851" s="31" t="n">
        <v>913.5316048071096</v>
      </c>
      <c r="S1851" s="31">
        <f>R1851*IF(A1851=4, 2.0, 3.0)</f>
        <v/>
      </c>
      <c r="T1851" s="30">
        <f>'Dashboard &amp; Optimisation'!$B$18*U1851</f>
        <v/>
      </c>
      <c r="U1851" s="34">
        <f>MIN(1, S1851/M1851)</f>
        <v/>
      </c>
      <c r="V1851" s="34">
        <f>N1851/(N1851+O1851)</f>
        <v/>
      </c>
      <c r="W1851" s="34">
        <f>U1851*V1851</f>
        <v/>
      </c>
      <c r="X1851" s="32">
        <f>T1851/N1851</f>
        <v/>
      </c>
      <c r="Y1851" s="35">
        <f>IF(W1851=MAXIFS(W$2:W$3601, A$2:A$3601, A1851, B$2:B$3601, B1851), "OPTIMAL", "")</f>
        <v/>
      </c>
    </row>
    <row r="1852" ht="20" customHeight="1">
      <c r="A1852" s="21" t="n">
        <v>-18</v>
      </c>
      <c r="B1852" s="21" t="n">
        <v>25</v>
      </c>
      <c r="C1852" s="22" t="n">
        <v>85</v>
      </c>
      <c r="D1852" s="22" t="n">
        <v>2</v>
      </c>
      <c r="E1852" s="23" t="n">
        <v>4</v>
      </c>
      <c r="F1852" s="22" t="n">
        <v>2</v>
      </c>
      <c r="G1852" s="23" t="inlineStr">
        <is>
          <t>Non</t>
        </is>
      </c>
      <c r="H1852" s="23" t="inlineStr">
        <is>
          <t>ON</t>
        </is>
      </c>
      <c r="I1852" s="24" t="n">
        <v>604.2334594602274</v>
      </c>
      <c r="J1852" s="24" t="n">
        <v>4012.68388558375</v>
      </c>
      <c r="K1852" s="24" t="n">
        <v>3342.592592592593</v>
      </c>
      <c r="L1852" s="24" t="n">
        <v>150</v>
      </c>
      <c r="M1852" s="24">
        <f>I1852+J1852+K1852+L1852</f>
        <v/>
      </c>
      <c r="N1852" s="24">
        <f>M1852*'Dashboard &amp; Optimisation'!$B$18/('Dashboard &amp; Optimisation'!$B$16/3.6)</f>
        <v/>
      </c>
      <c r="O1852" s="24" t="n">
        <v>758.5701077792025</v>
      </c>
      <c r="P1852" s="25" t="n">
        <v>0.0738736568890906</v>
      </c>
      <c r="Q1852" s="26" t="n">
        <v>10.50160824737823</v>
      </c>
      <c r="R1852" s="24" t="n">
        <v>4222.406951390127</v>
      </c>
      <c r="S1852" s="24">
        <f>R1852*IF(A1852=4, 2.0, 3.0)</f>
        <v/>
      </c>
      <c r="T1852" s="22">
        <f>'Dashboard &amp; Optimisation'!$B$18*U1852</f>
        <v/>
      </c>
      <c r="U1852" s="27">
        <f>MIN(1, S1852/M1852)</f>
        <v/>
      </c>
      <c r="V1852" s="27">
        <f>N1852/(N1852+O1852)</f>
        <v/>
      </c>
      <c r="W1852" s="27">
        <f>U1852*V1852</f>
        <v/>
      </c>
      <c r="X1852" s="25">
        <f>T1852/N1852</f>
        <v/>
      </c>
      <c r="Y1852" s="28">
        <f>IF(W1852=MAXIFS(W$2:W$3601, A$2:A$3601, A1852, B$2:B$3601, B1852), "OPTIMAL", "")</f>
        <v/>
      </c>
    </row>
    <row r="1853" ht="20" customHeight="1">
      <c r="A1853" s="29" t="n">
        <v>-18</v>
      </c>
      <c r="B1853" s="29" t="n">
        <v>25</v>
      </c>
      <c r="C1853" s="30" t="n">
        <v>85</v>
      </c>
      <c r="D1853" s="30" t="n">
        <v>2</v>
      </c>
      <c r="E1853" s="6" t="n">
        <v>4</v>
      </c>
      <c r="F1853" s="30" t="n">
        <v>2</v>
      </c>
      <c r="G1853" s="6" t="inlineStr">
        <is>
          <t>Non</t>
        </is>
      </c>
      <c r="H1853" s="6" t="inlineStr">
        <is>
          <t>OFF</t>
        </is>
      </c>
      <c r="I1853" s="31" t="n">
        <v>604.2334594602274</v>
      </c>
      <c r="J1853" s="31" t="n">
        <v>4012.68388558375</v>
      </c>
      <c r="K1853" s="31" t="n">
        <v>3342.592592592593</v>
      </c>
      <c r="L1853" s="31" t="n">
        <v>150</v>
      </c>
      <c r="M1853" s="31">
        <f>I1853+J1853+K1853+L1853</f>
        <v/>
      </c>
      <c r="N1853" s="31">
        <f>M1853*'Dashboard &amp; Optimisation'!$B$18/('Dashboard &amp; Optimisation'!$B$16/3.6)</f>
        <v/>
      </c>
      <c r="O1853" s="31" t="n">
        <v>758.5701077792025</v>
      </c>
      <c r="P1853" s="32" t="n">
        <v>0.3377043851842806</v>
      </c>
      <c r="Q1853" s="33" t="n">
        <v>10.50160824737823</v>
      </c>
      <c r="R1853" s="31" t="n">
        <v>923.6618061767019</v>
      </c>
      <c r="S1853" s="31">
        <f>R1853*IF(A1853=4, 2.0, 3.0)</f>
        <v/>
      </c>
      <c r="T1853" s="30">
        <f>'Dashboard &amp; Optimisation'!$B$18*U1853</f>
        <v/>
      </c>
      <c r="U1853" s="34">
        <f>MIN(1, S1853/M1853)</f>
        <v/>
      </c>
      <c r="V1853" s="34">
        <f>N1853/(N1853+O1853)</f>
        <v/>
      </c>
      <c r="W1853" s="34">
        <f>U1853*V1853</f>
        <v/>
      </c>
      <c r="X1853" s="32">
        <f>T1853/N1853</f>
        <v/>
      </c>
      <c r="Y1853" s="35">
        <f>IF(W1853=MAXIFS(W$2:W$3601, A$2:A$3601, A1853, B$2:B$3601, B1853), "OPTIMAL", "")</f>
        <v/>
      </c>
    </row>
    <row r="1854" ht="20" customHeight="1">
      <c r="A1854" s="21" t="n">
        <v>-18</v>
      </c>
      <c r="B1854" s="21" t="n">
        <v>25</v>
      </c>
      <c r="C1854" s="22" t="n">
        <v>85</v>
      </c>
      <c r="D1854" s="22" t="n">
        <v>2</v>
      </c>
      <c r="E1854" s="23" t="n">
        <v>8</v>
      </c>
      <c r="F1854" s="22" t="n">
        <v>1.5</v>
      </c>
      <c r="G1854" s="23" t="inlineStr">
        <is>
          <t>Oui</t>
        </is>
      </c>
      <c r="H1854" s="23" t="inlineStr">
        <is>
          <t>ON</t>
        </is>
      </c>
      <c r="I1854" s="24" t="n">
        <v>604.2334594602274</v>
      </c>
      <c r="J1854" s="24" t="n">
        <v>4012.68388558375</v>
      </c>
      <c r="K1854" s="24" t="n">
        <v>3342.592592592593</v>
      </c>
      <c r="L1854" s="24" t="n">
        <v>150</v>
      </c>
      <c r="M1854" s="24">
        <f>I1854+J1854+K1854+L1854</f>
        <v/>
      </c>
      <c r="N1854" s="24">
        <f>M1854*'Dashboard &amp; Optimisation'!$B$18/('Dashboard &amp; Optimisation'!$B$16/3.6)</f>
        <v/>
      </c>
      <c r="O1854" s="24" t="n">
        <v>943.2296522183939</v>
      </c>
      <c r="P1854" s="25" t="n">
        <v>0.05983888553171247</v>
      </c>
      <c r="Q1854" s="26" t="n">
        <v>15.65241237106734</v>
      </c>
      <c r="R1854" s="24" t="n">
        <v>5354.543210848052</v>
      </c>
      <c r="S1854" s="24">
        <f>R1854*IF(A1854=4, 2.0, 3.0)</f>
        <v/>
      </c>
      <c r="T1854" s="22">
        <f>'Dashboard &amp; Optimisation'!$B$18*U1854</f>
        <v/>
      </c>
      <c r="U1854" s="27">
        <f>MIN(1, S1854/M1854)</f>
        <v/>
      </c>
      <c r="V1854" s="27">
        <f>N1854/(N1854+O1854)</f>
        <v/>
      </c>
      <c r="W1854" s="27">
        <f>U1854*V1854</f>
        <v/>
      </c>
      <c r="X1854" s="25">
        <f>T1854/N1854</f>
        <v/>
      </c>
      <c r="Y1854" s="28">
        <f>IF(W1854=MAXIFS(W$2:W$3601, A$2:A$3601, A1854, B$2:B$3601, B1854), "OPTIMAL", "")</f>
        <v/>
      </c>
    </row>
    <row r="1855" ht="20" customHeight="1">
      <c r="A1855" s="29" t="n">
        <v>-18</v>
      </c>
      <c r="B1855" s="29" t="n">
        <v>25</v>
      </c>
      <c r="C1855" s="30" t="n">
        <v>85</v>
      </c>
      <c r="D1855" s="30" t="n">
        <v>2</v>
      </c>
      <c r="E1855" s="6" t="n">
        <v>8</v>
      </c>
      <c r="F1855" s="30" t="n">
        <v>1.5</v>
      </c>
      <c r="G1855" s="6" t="inlineStr">
        <is>
          <t>Oui</t>
        </is>
      </c>
      <c r="H1855" s="6" t="inlineStr">
        <is>
          <t>OFF</t>
        </is>
      </c>
      <c r="I1855" s="31" t="n">
        <v>604.2334594602274</v>
      </c>
      <c r="J1855" s="31" t="n">
        <v>4012.68388558375</v>
      </c>
      <c r="K1855" s="31" t="n">
        <v>3342.592592592593</v>
      </c>
      <c r="L1855" s="31" t="n">
        <v>150</v>
      </c>
      <c r="M1855" s="31">
        <f>I1855+J1855+K1855+L1855</f>
        <v/>
      </c>
      <c r="N1855" s="31">
        <f>M1855*'Dashboard &amp; Optimisation'!$B$18/('Dashboard &amp; Optimisation'!$B$16/3.6)</f>
        <v/>
      </c>
      <c r="O1855" s="31" t="n">
        <v>943.2296522183939</v>
      </c>
      <c r="P1855" s="32" t="n">
        <v>0.261849893463025</v>
      </c>
      <c r="Q1855" s="33" t="n">
        <v>15.65241237106734</v>
      </c>
      <c r="R1855" s="31" t="n">
        <v>1223.639597599412</v>
      </c>
      <c r="S1855" s="31">
        <f>R1855*IF(A1855=4, 2.0, 3.0)</f>
        <v/>
      </c>
      <c r="T1855" s="30">
        <f>'Dashboard &amp; Optimisation'!$B$18*U1855</f>
        <v/>
      </c>
      <c r="U1855" s="34">
        <f>MIN(1, S1855/M1855)</f>
        <v/>
      </c>
      <c r="V1855" s="34">
        <f>N1855/(N1855+O1855)</f>
        <v/>
      </c>
      <c r="W1855" s="34">
        <f>U1855*V1855</f>
        <v/>
      </c>
      <c r="X1855" s="32">
        <f>T1855/N1855</f>
        <v/>
      </c>
      <c r="Y1855" s="35">
        <f>IF(W1855=MAXIFS(W$2:W$3601, A$2:A$3601, A1855, B$2:B$3601, B1855), "OPTIMAL", "")</f>
        <v/>
      </c>
    </row>
    <row r="1856" ht="20" customHeight="1">
      <c r="A1856" s="21" t="n">
        <v>-18</v>
      </c>
      <c r="B1856" s="21" t="n">
        <v>25</v>
      </c>
      <c r="C1856" s="22" t="n">
        <v>85</v>
      </c>
      <c r="D1856" s="22" t="n">
        <v>2</v>
      </c>
      <c r="E1856" s="23" t="n">
        <v>8</v>
      </c>
      <c r="F1856" s="22" t="n">
        <v>1.5</v>
      </c>
      <c r="G1856" s="23" t="inlineStr">
        <is>
          <t>Non</t>
        </is>
      </c>
      <c r="H1856" s="23" t="inlineStr">
        <is>
          <t>ON</t>
        </is>
      </c>
      <c r="I1856" s="24" t="n">
        <v>604.2334594602274</v>
      </c>
      <c r="J1856" s="24" t="n">
        <v>4012.68388558375</v>
      </c>
      <c r="K1856" s="24" t="n">
        <v>3342.592592592593</v>
      </c>
      <c r="L1856" s="24" t="n">
        <v>150</v>
      </c>
      <c r="M1856" s="24">
        <f>I1856+J1856+K1856+L1856</f>
        <v/>
      </c>
      <c r="N1856" s="24">
        <f>M1856*'Dashboard &amp; Optimisation'!$B$18/('Dashboard &amp; Optimisation'!$B$16/3.6)</f>
        <v/>
      </c>
      <c r="O1856" s="24" t="n">
        <v>943.2296522183939</v>
      </c>
      <c r="P1856" s="25" t="n">
        <v>0.05609406334131493</v>
      </c>
      <c r="Q1856" s="26" t="n">
        <v>15.65241237106734</v>
      </c>
      <c r="R1856" s="24" t="n">
        <v>5712.010847189837</v>
      </c>
      <c r="S1856" s="24">
        <f>R1856*IF(A1856=4, 2.0, 3.0)</f>
        <v/>
      </c>
      <c r="T1856" s="22">
        <f>'Dashboard &amp; Optimisation'!$B$18*U1856</f>
        <v/>
      </c>
      <c r="U1856" s="27">
        <f>MIN(1, S1856/M1856)</f>
        <v/>
      </c>
      <c r="V1856" s="27">
        <f>N1856/(N1856+O1856)</f>
        <v/>
      </c>
      <c r="W1856" s="27">
        <f>U1856*V1856</f>
        <v/>
      </c>
      <c r="X1856" s="25">
        <f>T1856/N1856</f>
        <v/>
      </c>
      <c r="Y1856" s="28">
        <f>IF(W1856=MAXIFS(W$2:W$3601, A$2:A$3601, A1856, B$2:B$3601, B1856), "OPTIMAL", "")</f>
        <v/>
      </c>
    </row>
    <row r="1857" ht="20" customHeight="1">
      <c r="A1857" s="29" t="n">
        <v>-18</v>
      </c>
      <c r="B1857" s="29" t="n">
        <v>25</v>
      </c>
      <c r="C1857" s="30" t="n">
        <v>85</v>
      </c>
      <c r="D1857" s="30" t="n">
        <v>2</v>
      </c>
      <c r="E1857" s="6" t="n">
        <v>8</v>
      </c>
      <c r="F1857" s="30" t="n">
        <v>1.5</v>
      </c>
      <c r="G1857" s="6" t="inlineStr">
        <is>
          <t>Non</t>
        </is>
      </c>
      <c r="H1857" s="6" t="inlineStr">
        <is>
          <t>OFF</t>
        </is>
      </c>
      <c r="I1857" s="31" t="n">
        <v>604.2334594602274</v>
      </c>
      <c r="J1857" s="31" t="n">
        <v>4012.68388558375</v>
      </c>
      <c r="K1857" s="31" t="n">
        <v>3342.592592592593</v>
      </c>
      <c r="L1857" s="31" t="n">
        <v>150</v>
      </c>
      <c r="M1857" s="31">
        <f>I1857+J1857+K1857+L1857</f>
        <v/>
      </c>
      <c r="N1857" s="31">
        <f>M1857*'Dashboard &amp; Optimisation'!$B$18/('Dashboard &amp; Optimisation'!$B$16/3.6)</f>
        <v/>
      </c>
      <c r="O1857" s="31" t="n">
        <v>943.2296522183939</v>
      </c>
      <c r="P1857" s="32" t="n">
        <v>0.2581050712726274</v>
      </c>
      <c r="Q1857" s="33" t="n">
        <v>15.65241237106734</v>
      </c>
      <c r="R1857" s="31" t="n">
        <v>1241.393269371708</v>
      </c>
      <c r="S1857" s="31">
        <f>R1857*IF(A1857=4, 2.0, 3.0)</f>
        <v/>
      </c>
      <c r="T1857" s="30">
        <f>'Dashboard &amp; Optimisation'!$B$18*U1857</f>
        <v/>
      </c>
      <c r="U1857" s="34">
        <f>MIN(1, S1857/M1857)</f>
        <v/>
      </c>
      <c r="V1857" s="34">
        <f>N1857/(N1857+O1857)</f>
        <v/>
      </c>
      <c r="W1857" s="34">
        <f>U1857*V1857</f>
        <v/>
      </c>
      <c r="X1857" s="32">
        <f>T1857/N1857</f>
        <v/>
      </c>
      <c r="Y1857" s="35">
        <f>IF(W1857=MAXIFS(W$2:W$3601, A$2:A$3601, A1857, B$2:B$3601, B1857), "OPTIMAL", "")</f>
        <v/>
      </c>
    </row>
    <row r="1858" ht="20" customHeight="1">
      <c r="A1858" s="21" t="n">
        <v>-18</v>
      </c>
      <c r="B1858" s="21" t="n">
        <v>25</v>
      </c>
      <c r="C1858" s="22" t="n">
        <v>85</v>
      </c>
      <c r="D1858" s="22" t="n">
        <v>2</v>
      </c>
      <c r="E1858" s="23" t="n">
        <v>8</v>
      </c>
      <c r="F1858" s="22" t="n">
        <v>2</v>
      </c>
      <c r="G1858" s="23" t="inlineStr">
        <is>
          <t>Oui</t>
        </is>
      </c>
      <c r="H1858" s="23" t="inlineStr">
        <is>
          <t>ON</t>
        </is>
      </c>
      <c r="I1858" s="24" t="n">
        <v>604.2334594602274</v>
      </c>
      <c r="J1858" s="24" t="n">
        <v>4012.68388558375</v>
      </c>
      <c r="K1858" s="24" t="n">
        <v>3342.592592592593</v>
      </c>
      <c r="L1858" s="24" t="n">
        <v>150</v>
      </c>
      <c r="M1858" s="24">
        <f>I1858+J1858+K1858+L1858</f>
        <v/>
      </c>
      <c r="N1858" s="24">
        <f>M1858*'Dashboard &amp; Optimisation'!$B$18/('Dashboard &amp; Optimisation'!$B$16/3.6)</f>
        <v/>
      </c>
      <c r="O1858" s="24" t="n">
        <v>1138.216685822985</v>
      </c>
      <c r="P1858" s="25" t="n">
        <v>0.0588807326139491</v>
      </c>
      <c r="Q1858" s="26" t="n">
        <v>20.80321649475646</v>
      </c>
      <c r="R1858" s="24" t="n">
        <v>5593.845321696789</v>
      </c>
      <c r="S1858" s="24">
        <f>R1858*IF(A1858=4, 2.0, 3.0)</f>
        <v/>
      </c>
      <c r="T1858" s="22">
        <f>'Dashboard &amp; Optimisation'!$B$18*U1858</f>
        <v/>
      </c>
      <c r="U1858" s="27">
        <f>MIN(1, S1858/M1858)</f>
        <v/>
      </c>
      <c r="V1858" s="27">
        <f>N1858/(N1858+O1858)</f>
        <v/>
      </c>
      <c r="W1858" s="27">
        <f>U1858*V1858</f>
        <v/>
      </c>
      <c r="X1858" s="25">
        <f>T1858/N1858</f>
        <v/>
      </c>
      <c r="Y1858" s="28">
        <f>IF(W1858=MAXIFS(W$2:W$3601, A$2:A$3601, A1858, B$2:B$3601, B1858), "OPTIMAL", "")</f>
        <v/>
      </c>
    </row>
    <row r="1859" ht="20" customHeight="1">
      <c r="A1859" s="29" t="n">
        <v>-18</v>
      </c>
      <c r="B1859" s="29" t="n">
        <v>25</v>
      </c>
      <c r="C1859" s="30" t="n">
        <v>85</v>
      </c>
      <c r="D1859" s="30" t="n">
        <v>2</v>
      </c>
      <c r="E1859" s="6" t="n">
        <v>8</v>
      </c>
      <c r="F1859" s="30" t="n">
        <v>2</v>
      </c>
      <c r="G1859" s="6" t="inlineStr">
        <is>
          <t>Oui</t>
        </is>
      </c>
      <c r="H1859" s="6" t="inlineStr">
        <is>
          <t>OFF</t>
        </is>
      </c>
      <c r="I1859" s="31" t="n">
        <v>604.2334594602274</v>
      </c>
      <c r="J1859" s="31" t="n">
        <v>4012.68388558375</v>
      </c>
      <c r="K1859" s="31" t="n">
        <v>3342.592592592593</v>
      </c>
      <c r="L1859" s="31" t="n">
        <v>150</v>
      </c>
      <c r="M1859" s="31">
        <f>I1859+J1859+K1859+L1859</f>
        <v/>
      </c>
      <c r="N1859" s="31">
        <f>M1859*'Dashboard &amp; Optimisation'!$B$18/('Dashboard &amp; Optimisation'!$B$16/3.6)</f>
        <v/>
      </c>
      <c r="O1859" s="31" t="n">
        <v>1138.216685822985</v>
      </c>
      <c r="P1859" s="32" t="n">
        <v>0.2625350412538471</v>
      </c>
      <c r="Q1859" s="33" t="n">
        <v>20.80321649475646</v>
      </c>
      <c r="R1859" s="31" t="n">
        <v>1254.57428119909</v>
      </c>
      <c r="S1859" s="31">
        <f>R1859*IF(A1859=4, 2.0, 3.0)</f>
        <v/>
      </c>
      <c r="T1859" s="30">
        <f>'Dashboard &amp; Optimisation'!$B$18*U1859</f>
        <v/>
      </c>
      <c r="U1859" s="34">
        <f>MIN(1, S1859/M1859)</f>
        <v/>
      </c>
      <c r="V1859" s="34">
        <f>N1859/(N1859+O1859)</f>
        <v/>
      </c>
      <c r="W1859" s="34">
        <f>U1859*V1859</f>
        <v/>
      </c>
      <c r="X1859" s="32">
        <f>T1859/N1859</f>
        <v/>
      </c>
      <c r="Y1859" s="35">
        <f>IF(W1859=MAXIFS(W$2:W$3601, A$2:A$3601, A1859, B$2:B$3601, B1859), "OPTIMAL", "")</f>
        <v/>
      </c>
    </row>
    <row r="1860" ht="20" customHeight="1">
      <c r="A1860" s="21" t="n">
        <v>-18</v>
      </c>
      <c r="B1860" s="21" t="n">
        <v>25</v>
      </c>
      <c r="C1860" s="22" t="n">
        <v>85</v>
      </c>
      <c r="D1860" s="22" t="n">
        <v>2</v>
      </c>
      <c r="E1860" s="23" t="n">
        <v>8</v>
      </c>
      <c r="F1860" s="22" t="n">
        <v>2</v>
      </c>
      <c r="G1860" s="23" t="inlineStr">
        <is>
          <t>Non</t>
        </is>
      </c>
      <c r="H1860" s="23" t="inlineStr">
        <is>
          <t>ON</t>
        </is>
      </c>
      <c r="I1860" s="24" t="n">
        <v>604.2334594602274</v>
      </c>
      <c r="J1860" s="24" t="n">
        <v>4012.68388558375</v>
      </c>
      <c r="K1860" s="24" t="n">
        <v>3342.592592592593</v>
      </c>
      <c r="L1860" s="24" t="n">
        <v>150</v>
      </c>
      <c r="M1860" s="24">
        <f>I1860+J1860+K1860+L1860</f>
        <v/>
      </c>
      <c r="N1860" s="24">
        <f>M1860*'Dashboard &amp; Optimisation'!$B$18/('Dashboard &amp; Optimisation'!$B$16/3.6)</f>
        <v/>
      </c>
      <c r="O1860" s="24" t="n">
        <v>1138.216685822985</v>
      </c>
      <c r="P1860" s="25" t="n">
        <v>0.05513591042355157</v>
      </c>
      <c r="Q1860" s="26" t="n">
        <v>20.80321649475646</v>
      </c>
      <c r="R1860" s="24" t="n">
        <v>5973.778398514064</v>
      </c>
      <c r="S1860" s="24">
        <f>R1860*IF(A1860=4, 2.0, 3.0)</f>
        <v/>
      </c>
      <c r="T1860" s="22">
        <f>'Dashboard &amp; Optimisation'!$B$18*U1860</f>
        <v/>
      </c>
      <c r="U1860" s="27">
        <f>MIN(1, S1860/M1860)</f>
        <v/>
      </c>
      <c r="V1860" s="27">
        <f>N1860/(N1860+O1860)</f>
        <v/>
      </c>
      <c r="W1860" s="27">
        <f>U1860*V1860</f>
        <v/>
      </c>
      <c r="X1860" s="25">
        <f>T1860/N1860</f>
        <v/>
      </c>
      <c r="Y1860" s="28">
        <f>IF(W1860=MAXIFS(W$2:W$3601, A$2:A$3601, A1860, B$2:B$3601, B1860), "OPTIMAL", "")</f>
        <v/>
      </c>
    </row>
    <row r="1861" ht="20" customHeight="1">
      <c r="A1861" s="29" t="n">
        <v>-18</v>
      </c>
      <c r="B1861" s="29" t="n">
        <v>25</v>
      </c>
      <c r="C1861" s="30" t="n">
        <v>85</v>
      </c>
      <c r="D1861" s="30" t="n">
        <v>2</v>
      </c>
      <c r="E1861" s="6" t="n">
        <v>8</v>
      </c>
      <c r="F1861" s="30" t="n">
        <v>2</v>
      </c>
      <c r="G1861" s="6" t="inlineStr">
        <is>
          <t>Non</t>
        </is>
      </c>
      <c r="H1861" s="6" t="inlineStr">
        <is>
          <t>OFF</t>
        </is>
      </c>
      <c r="I1861" s="31" t="n">
        <v>604.2334594602274</v>
      </c>
      <c r="J1861" s="31" t="n">
        <v>4012.68388558375</v>
      </c>
      <c r="K1861" s="31" t="n">
        <v>3342.592592592593</v>
      </c>
      <c r="L1861" s="31" t="n">
        <v>150</v>
      </c>
      <c r="M1861" s="31">
        <f>I1861+J1861+K1861+L1861</f>
        <v/>
      </c>
      <c r="N1861" s="31">
        <f>M1861*'Dashboard &amp; Optimisation'!$B$18/('Dashboard &amp; Optimisation'!$B$16/3.6)</f>
        <v/>
      </c>
      <c r="O1861" s="31" t="n">
        <v>1138.216685822985</v>
      </c>
      <c r="P1861" s="32" t="n">
        <v>0.2587902190634496</v>
      </c>
      <c r="Q1861" s="33" t="n">
        <v>20.80321649475646</v>
      </c>
      <c r="R1861" s="31" t="n">
        <v>1272.728590217178</v>
      </c>
      <c r="S1861" s="31">
        <f>R1861*IF(A1861=4, 2.0, 3.0)</f>
        <v/>
      </c>
      <c r="T1861" s="30">
        <f>'Dashboard &amp; Optimisation'!$B$18*U1861</f>
        <v/>
      </c>
      <c r="U1861" s="34">
        <f>MIN(1, S1861/M1861)</f>
        <v/>
      </c>
      <c r="V1861" s="34">
        <f>N1861/(N1861+O1861)</f>
        <v/>
      </c>
      <c r="W1861" s="34">
        <f>U1861*V1861</f>
        <v/>
      </c>
      <c r="X1861" s="32">
        <f>T1861/N1861</f>
        <v/>
      </c>
      <c r="Y1861" s="35">
        <f>IF(W1861=MAXIFS(W$2:W$3601, A$2:A$3601, A1861, B$2:B$3601, B1861), "OPTIMAL", "")</f>
        <v/>
      </c>
    </row>
    <row r="1862" ht="20" customHeight="1">
      <c r="A1862" s="21" t="n">
        <v>-18</v>
      </c>
      <c r="B1862" s="21" t="n">
        <v>25</v>
      </c>
      <c r="C1862" s="22" t="n">
        <v>85</v>
      </c>
      <c r="D1862" s="22" t="n">
        <v>3</v>
      </c>
      <c r="E1862" s="23" t="n">
        <v>0</v>
      </c>
      <c r="F1862" s="22" t="n">
        <v>0</v>
      </c>
      <c r="G1862" s="23" t="inlineStr">
        <is>
          <t>Oui</t>
        </is>
      </c>
      <c r="H1862" s="23" t="inlineStr">
        <is>
          <t>ON</t>
        </is>
      </c>
      <c r="I1862" s="24" t="n">
        <v>604.2334594602274</v>
      </c>
      <c r="J1862" s="24" t="n">
        <v>4012.68388558375</v>
      </c>
      <c r="K1862" s="24" t="n">
        <v>3342.592592592593</v>
      </c>
      <c r="L1862" s="24" t="n">
        <v>150</v>
      </c>
      <c r="M1862" s="24">
        <f>I1862+J1862+K1862+L1862</f>
        <v/>
      </c>
      <c r="N1862" s="24">
        <f>M1862*'Dashboard &amp; Optimisation'!$B$18/('Dashboard &amp; Optimisation'!$B$16/3.6)</f>
        <v/>
      </c>
      <c r="O1862" s="24" t="n">
        <v>649.8308831296001</v>
      </c>
      <c r="P1862" s="25" t="n">
        <v>0.4953095672830083</v>
      </c>
      <c r="Q1862" s="26" t="n">
        <v>0.2</v>
      </c>
      <c r="R1862" s="24" t="n">
        <v>628.7454953049221</v>
      </c>
      <c r="S1862" s="24">
        <f>R1862*IF(A1862=4, 2.0, 3.0)</f>
        <v/>
      </c>
      <c r="T1862" s="22">
        <f>'Dashboard &amp; Optimisation'!$B$18*U1862</f>
        <v/>
      </c>
      <c r="U1862" s="27">
        <f>MIN(1, S1862/M1862)</f>
        <v/>
      </c>
      <c r="V1862" s="27">
        <f>N1862/(N1862+O1862)</f>
        <v/>
      </c>
      <c r="W1862" s="27">
        <f>U1862*V1862</f>
        <v/>
      </c>
      <c r="X1862" s="25">
        <f>T1862/N1862</f>
        <v/>
      </c>
      <c r="Y1862" s="28">
        <f>IF(W1862=MAXIFS(W$2:W$3601, A$2:A$3601, A1862, B$2:B$3601, B1862), "OPTIMAL", "")</f>
        <v/>
      </c>
    </row>
    <row r="1863" ht="20" customHeight="1">
      <c r="A1863" s="29" t="n">
        <v>-18</v>
      </c>
      <c r="B1863" s="29" t="n">
        <v>25</v>
      </c>
      <c r="C1863" s="30" t="n">
        <v>85</v>
      </c>
      <c r="D1863" s="30" t="n">
        <v>3</v>
      </c>
      <c r="E1863" s="6" t="n">
        <v>0</v>
      </c>
      <c r="F1863" s="30" t="n">
        <v>0</v>
      </c>
      <c r="G1863" s="6" t="inlineStr">
        <is>
          <t>Oui</t>
        </is>
      </c>
      <c r="H1863" s="6" t="inlineStr">
        <is>
          <t>OFF</t>
        </is>
      </c>
      <c r="I1863" s="31" t="n">
        <v>604.2334594602274</v>
      </c>
      <c r="J1863" s="31" t="n">
        <v>4012.68388558375</v>
      </c>
      <c r="K1863" s="31" t="n">
        <v>3342.592592592593</v>
      </c>
      <c r="L1863" s="31" t="n">
        <v>150</v>
      </c>
      <c r="M1863" s="31">
        <f>I1863+J1863+K1863+L1863</f>
        <v/>
      </c>
      <c r="N1863" s="31">
        <f>M1863*'Dashboard &amp; Optimisation'!$B$18/('Dashboard &amp; Optimisation'!$B$16/3.6)</f>
        <v/>
      </c>
      <c r="O1863" s="31" t="n">
        <v>649.8308831296001</v>
      </c>
      <c r="P1863" s="32" t="n">
        <v>0.869791786322762</v>
      </c>
      <c r="Q1863" s="33" t="n">
        <v>0.2</v>
      </c>
      <c r="R1863" s="31" t="n">
        <v>358.043918220054</v>
      </c>
      <c r="S1863" s="31">
        <f>R1863*IF(A1863=4, 2.0, 3.0)</f>
        <v/>
      </c>
      <c r="T1863" s="30">
        <f>'Dashboard &amp; Optimisation'!$B$18*U1863</f>
        <v/>
      </c>
      <c r="U1863" s="34">
        <f>MIN(1, S1863/M1863)</f>
        <v/>
      </c>
      <c r="V1863" s="34">
        <f>N1863/(N1863+O1863)</f>
        <v/>
      </c>
      <c r="W1863" s="34">
        <f>U1863*V1863</f>
        <v/>
      </c>
      <c r="X1863" s="32">
        <f>T1863/N1863</f>
        <v/>
      </c>
      <c r="Y1863" s="35">
        <f>IF(W1863=MAXIFS(W$2:W$3601, A$2:A$3601, A1863, B$2:B$3601, B1863), "OPTIMAL", "")</f>
        <v/>
      </c>
    </row>
    <row r="1864" ht="20" customHeight="1">
      <c r="A1864" s="21" t="n">
        <v>-18</v>
      </c>
      <c r="B1864" s="21" t="n">
        <v>25</v>
      </c>
      <c r="C1864" s="22" t="n">
        <v>85</v>
      </c>
      <c r="D1864" s="22" t="n">
        <v>3</v>
      </c>
      <c r="E1864" s="23" t="n">
        <v>0</v>
      </c>
      <c r="F1864" s="22" t="n">
        <v>0</v>
      </c>
      <c r="G1864" s="23" t="inlineStr">
        <is>
          <t>Non</t>
        </is>
      </c>
      <c r="H1864" s="23" t="inlineStr">
        <is>
          <t>ON</t>
        </is>
      </c>
      <c r="I1864" s="24" t="n">
        <v>604.2334594602274</v>
      </c>
      <c r="J1864" s="24" t="n">
        <v>4012.68388558375</v>
      </c>
      <c r="K1864" s="24" t="n">
        <v>3342.592592592593</v>
      </c>
      <c r="L1864" s="24" t="n">
        <v>150</v>
      </c>
      <c r="M1864" s="24">
        <f>I1864+J1864+K1864+L1864</f>
        <v/>
      </c>
      <c r="N1864" s="24">
        <f>M1864*'Dashboard &amp; Optimisation'!$B$18/('Dashboard &amp; Optimisation'!$B$16/3.6)</f>
        <v/>
      </c>
      <c r="O1864" s="24" t="n">
        <v>649.8308831296001</v>
      </c>
      <c r="P1864" s="25" t="n">
        <v>0.4915647450926108</v>
      </c>
      <c r="Q1864" s="26" t="n">
        <v>0.2</v>
      </c>
      <c r="R1864" s="24" t="n">
        <v>633.5353833236138</v>
      </c>
      <c r="S1864" s="24">
        <f>R1864*IF(A1864=4, 2.0, 3.0)</f>
        <v/>
      </c>
      <c r="T1864" s="22">
        <f>'Dashboard &amp; Optimisation'!$B$18*U1864</f>
        <v/>
      </c>
      <c r="U1864" s="27">
        <f>MIN(1, S1864/M1864)</f>
        <v/>
      </c>
      <c r="V1864" s="27">
        <f>N1864/(N1864+O1864)</f>
        <v/>
      </c>
      <c r="W1864" s="27">
        <f>U1864*V1864</f>
        <v/>
      </c>
      <c r="X1864" s="25">
        <f>T1864/N1864</f>
        <v/>
      </c>
      <c r="Y1864" s="28">
        <f>IF(W1864=MAXIFS(W$2:W$3601, A$2:A$3601, A1864, B$2:B$3601, B1864), "OPTIMAL", "")</f>
        <v/>
      </c>
    </row>
    <row r="1865" ht="20" customHeight="1">
      <c r="A1865" s="29" t="n">
        <v>-18</v>
      </c>
      <c r="B1865" s="29" t="n">
        <v>25</v>
      </c>
      <c r="C1865" s="30" t="n">
        <v>85</v>
      </c>
      <c r="D1865" s="30" t="n">
        <v>3</v>
      </c>
      <c r="E1865" s="6" t="n">
        <v>0</v>
      </c>
      <c r="F1865" s="30" t="n">
        <v>0</v>
      </c>
      <c r="G1865" s="6" t="inlineStr">
        <is>
          <t>Non</t>
        </is>
      </c>
      <c r="H1865" s="6" t="inlineStr">
        <is>
          <t>OFF</t>
        </is>
      </c>
      <c r="I1865" s="31" t="n">
        <v>604.2334594602274</v>
      </c>
      <c r="J1865" s="31" t="n">
        <v>4012.68388558375</v>
      </c>
      <c r="K1865" s="31" t="n">
        <v>3342.592592592593</v>
      </c>
      <c r="L1865" s="31" t="n">
        <v>150</v>
      </c>
      <c r="M1865" s="31">
        <f>I1865+J1865+K1865+L1865</f>
        <v/>
      </c>
      <c r="N1865" s="31">
        <f>M1865*'Dashboard &amp; Optimisation'!$B$18/('Dashboard &amp; Optimisation'!$B$16/3.6)</f>
        <v/>
      </c>
      <c r="O1865" s="31" t="n">
        <v>649.8308831296001</v>
      </c>
      <c r="P1865" s="32" t="n">
        <v>0.8660469641323645</v>
      </c>
      <c r="Q1865" s="33" t="n">
        <v>0.2</v>
      </c>
      <c r="R1865" s="31" t="n">
        <v>359.5921146408227</v>
      </c>
      <c r="S1865" s="31">
        <f>R1865*IF(A1865=4, 2.0, 3.0)</f>
        <v/>
      </c>
      <c r="T1865" s="30">
        <f>'Dashboard &amp; Optimisation'!$B$18*U1865</f>
        <v/>
      </c>
      <c r="U1865" s="34">
        <f>MIN(1, S1865/M1865)</f>
        <v/>
      </c>
      <c r="V1865" s="34">
        <f>N1865/(N1865+O1865)</f>
        <v/>
      </c>
      <c r="W1865" s="34">
        <f>U1865*V1865</f>
        <v/>
      </c>
      <c r="X1865" s="32">
        <f>T1865/N1865</f>
        <v/>
      </c>
      <c r="Y1865" s="35">
        <f>IF(W1865=MAXIFS(W$2:W$3601, A$2:A$3601, A1865, B$2:B$3601, B1865), "OPTIMAL", "")</f>
        <v/>
      </c>
    </row>
    <row r="1866" ht="20" customHeight="1">
      <c r="A1866" s="21" t="n">
        <v>-18</v>
      </c>
      <c r="B1866" s="21" t="n">
        <v>25</v>
      </c>
      <c r="C1866" s="22" t="n">
        <v>85</v>
      </c>
      <c r="D1866" s="22" t="n">
        <v>3</v>
      </c>
      <c r="E1866" s="23" t="n">
        <v>4</v>
      </c>
      <c r="F1866" s="22" t="n">
        <v>1.5</v>
      </c>
      <c r="G1866" s="23" t="inlineStr">
        <is>
          <t>Oui</t>
        </is>
      </c>
      <c r="H1866" s="23" t="inlineStr">
        <is>
          <t>ON</t>
        </is>
      </c>
      <c r="I1866" s="24" t="n">
        <v>604.2334594602274</v>
      </c>
      <c r="J1866" s="24" t="n">
        <v>4012.68388558375</v>
      </c>
      <c r="K1866" s="24" t="n">
        <v>3342.592592592593</v>
      </c>
      <c r="L1866" s="24" t="n">
        <v>150</v>
      </c>
      <c r="M1866" s="24">
        <f>I1866+J1866+K1866+L1866</f>
        <v/>
      </c>
      <c r="N1866" s="24">
        <f>M1866*'Dashboard &amp; Optimisation'!$B$18/('Dashboard &amp; Optimisation'!$B$16/3.6)</f>
        <v/>
      </c>
      <c r="O1866" s="24" t="n">
        <v>920.5378768175613</v>
      </c>
      <c r="P1866" s="25" t="n">
        <v>0.07960669836162382</v>
      </c>
      <c r="Q1866" s="26" t="n">
        <v>8.12180634212946</v>
      </c>
      <c r="R1866" s="24" t="n">
        <v>4069.436980303613</v>
      </c>
      <c r="S1866" s="24">
        <f>R1866*IF(A1866=4, 2.0, 3.0)</f>
        <v/>
      </c>
      <c r="T1866" s="22">
        <f>'Dashboard &amp; Optimisation'!$B$18*U1866</f>
        <v/>
      </c>
      <c r="U1866" s="27">
        <f>MIN(1, S1866/M1866)</f>
        <v/>
      </c>
      <c r="V1866" s="27">
        <f>N1866/(N1866+O1866)</f>
        <v/>
      </c>
      <c r="W1866" s="27">
        <f>U1866*V1866</f>
        <v/>
      </c>
      <c r="X1866" s="25">
        <f>T1866/N1866</f>
        <v/>
      </c>
      <c r="Y1866" s="28">
        <f>IF(W1866=MAXIFS(W$2:W$3601, A$2:A$3601, A1866, B$2:B$3601, B1866), "OPTIMAL", "")</f>
        <v/>
      </c>
    </row>
    <row r="1867" ht="20" customHeight="1">
      <c r="A1867" s="29" t="n">
        <v>-18</v>
      </c>
      <c r="B1867" s="29" t="n">
        <v>25</v>
      </c>
      <c r="C1867" s="30" t="n">
        <v>85</v>
      </c>
      <c r="D1867" s="30" t="n">
        <v>3</v>
      </c>
      <c r="E1867" s="6" t="n">
        <v>4</v>
      </c>
      <c r="F1867" s="30" t="n">
        <v>1.5</v>
      </c>
      <c r="G1867" s="6" t="inlineStr">
        <is>
          <t>Oui</t>
        </is>
      </c>
      <c r="H1867" s="6" t="inlineStr">
        <is>
          <t>OFF</t>
        </is>
      </c>
      <c r="I1867" s="31" t="n">
        <v>604.2334594602274</v>
      </c>
      <c r="J1867" s="31" t="n">
        <v>4012.68388558375</v>
      </c>
      <c r="K1867" s="31" t="n">
        <v>3342.592592592593</v>
      </c>
      <c r="L1867" s="31" t="n">
        <v>150</v>
      </c>
      <c r="M1867" s="31">
        <f>I1867+J1867+K1867+L1867</f>
        <v/>
      </c>
      <c r="N1867" s="31">
        <f>M1867*'Dashboard &amp; Optimisation'!$B$18/('Dashboard &amp; Optimisation'!$B$16/3.6)</f>
        <v/>
      </c>
      <c r="O1867" s="31" t="n">
        <v>920.5378768175613</v>
      </c>
      <c r="P1867" s="32" t="n">
        <v>0.3420549766963435</v>
      </c>
      <c r="Q1867" s="33" t="n">
        <v>8.12180634212946</v>
      </c>
      <c r="R1867" s="31" t="n">
        <v>947.0829669590072</v>
      </c>
      <c r="S1867" s="31">
        <f>R1867*IF(A1867=4, 2.0, 3.0)</f>
        <v/>
      </c>
      <c r="T1867" s="30">
        <f>'Dashboard &amp; Optimisation'!$B$18*U1867</f>
        <v/>
      </c>
      <c r="U1867" s="34">
        <f>MIN(1, S1867/M1867)</f>
        <v/>
      </c>
      <c r="V1867" s="34">
        <f>N1867/(N1867+O1867)</f>
        <v/>
      </c>
      <c r="W1867" s="34">
        <f>U1867*V1867</f>
        <v/>
      </c>
      <c r="X1867" s="32">
        <f>T1867/N1867</f>
        <v/>
      </c>
      <c r="Y1867" s="35">
        <f>IF(W1867=MAXIFS(W$2:W$3601, A$2:A$3601, A1867, B$2:B$3601, B1867), "OPTIMAL", "")</f>
        <v/>
      </c>
    </row>
    <row r="1868" ht="20" customHeight="1">
      <c r="A1868" s="21" t="n">
        <v>-18</v>
      </c>
      <c r="B1868" s="21" t="n">
        <v>25</v>
      </c>
      <c r="C1868" s="22" t="n">
        <v>85</v>
      </c>
      <c r="D1868" s="22" t="n">
        <v>3</v>
      </c>
      <c r="E1868" s="23" t="n">
        <v>4</v>
      </c>
      <c r="F1868" s="22" t="n">
        <v>1.5</v>
      </c>
      <c r="G1868" s="23" t="inlineStr">
        <is>
          <t>Non</t>
        </is>
      </c>
      <c r="H1868" s="23" t="inlineStr">
        <is>
          <t>ON</t>
        </is>
      </c>
      <c r="I1868" s="24" t="n">
        <v>604.2334594602274</v>
      </c>
      <c r="J1868" s="24" t="n">
        <v>4012.68388558375</v>
      </c>
      <c r="K1868" s="24" t="n">
        <v>3342.592592592593</v>
      </c>
      <c r="L1868" s="24" t="n">
        <v>150</v>
      </c>
      <c r="M1868" s="24">
        <f>I1868+J1868+K1868+L1868</f>
        <v/>
      </c>
      <c r="N1868" s="24">
        <f>M1868*'Dashboard &amp; Optimisation'!$B$18/('Dashboard &amp; Optimisation'!$B$16/3.6)</f>
        <v/>
      </c>
      <c r="O1868" s="24" t="n">
        <v>920.5378768175613</v>
      </c>
      <c r="P1868" s="25" t="n">
        <v>0.07586187617122628</v>
      </c>
      <c r="Q1868" s="26" t="n">
        <v>8.12180634212946</v>
      </c>
      <c r="R1868" s="24" t="n">
        <v>4270.319408677372</v>
      </c>
      <c r="S1868" s="24">
        <f>R1868*IF(A1868=4, 2.0, 3.0)</f>
        <v/>
      </c>
      <c r="T1868" s="22">
        <f>'Dashboard &amp; Optimisation'!$B$18*U1868</f>
        <v/>
      </c>
      <c r="U1868" s="27">
        <f>MIN(1, S1868/M1868)</f>
        <v/>
      </c>
      <c r="V1868" s="27">
        <f>N1868/(N1868+O1868)</f>
        <v/>
      </c>
      <c r="W1868" s="27">
        <f>U1868*V1868</f>
        <v/>
      </c>
      <c r="X1868" s="25">
        <f>T1868/N1868</f>
        <v/>
      </c>
      <c r="Y1868" s="28">
        <f>IF(W1868=MAXIFS(W$2:W$3601, A$2:A$3601, A1868, B$2:B$3601, B1868), "OPTIMAL", "")</f>
        <v/>
      </c>
    </row>
    <row r="1869" ht="20" customHeight="1">
      <c r="A1869" s="29" t="n">
        <v>-18</v>
      </c>
      <c r="B1869" s="29" t="n">
        <v>25</v>
      </c>
      <c r="C1869" s="30" t="n">
        <v>85</v>
      </c>
      <c r="D1869" s="30" t="n">
        <v>3</v>
      </c>
      <c r="E1869" s="6" t="n">
        <v>4</v>
      </c>
      <c r="F1869" s="30" t="n">
        <v>1.5</v>
      </c>
      <c r="G1869" s="6" t="inlineStr">
        <is>
          <t>Non</t>
        </is>
      </c>
      <c r="H1869" s="6" t="inlineStr">
        <is>
          <t>OFF</t>
        </is>
      </c>
      <c r="I1869" s="31" t="n">
        <v>604.2334594602274</v>
      </c>
      <c r="J1869" s="31" t="n">
        <v>4012.68388558375</v>
      </c>
      <c r="K1869" s="31" t="n">
        <v>3342.592592592593</v>
      </c>
      <c r="L1869" s="31" t="n">
        <v>150</v>
      </c>
      <c r="M1869" s="31">
        <f>I1869+J1869+K1869+L1869</f>
        <v/>
      </c>
      <c r="N1869" s="31">
        <f>M1869*'Dashboard &amp; Optimisation'!$B$18/('Dashboard &amp; Optimisation'!$B$16/3.6)</f>
        <v/>
      </c>
      <c r="O1869" s="31" t="n">
        <v>920.5378768175613</v>
      </c>
      <c r="P1869" s="32" t="n">
        <v>0.338310154505946</v>
      </c>
      <c r="Q1869" s="33" t="n">
        <v>8.12180634212946</v>
      </c>
      <c r="R1869" s="31" t="n">
        <v>957.5664161359762</v>
      </c>
      <c r="S1869" s="31">
        <f>R1869*IF(A1869=4, 2.0, 3.0)</f>
        <v/>
      </c>
      <c r="T1869" s="30">
        <f>'Dashboard &amp; Optimisation'!$B$18*U1869</f>
        <v/>
      </c>
      <c r="U1869" s="34">
        <f>MIN(1, S1869/M1869)</f>
        <v/>
      </c>
      <c r="V1869" s="34">
        <f>N1869/(N1869+O1869)</f>
        <v/>
      </c>
      <c r="W1869" s="34">
        <f>U1869*V1869</f>
        <v/>
      </c>
      <c r="X1869" s="32">
        <f>T1869/N1869</f>
        <v/>
      </c>
      <c r="Y1869" s="35">
        <f>IF(W1869=MAXIFS(W$2:W$3601, A$2:A$3601, A1869, B$2:B$3601, B1869), "OPTIMAL", "")</f>
        <v/>
      </c>
    </row>
    <row r="1870" ht="20" customHeight="1">
      <c r="A1870" s="21" t="n">
        <v>-18</v>
      </c>
      <c r="B1870" s="21" t="n">
        <v>25</v>
      </c>
      <c r="C1870" s="22" t="n">
        <v>85</v>
      </c>
      <c r="D1870" s="22" t="n">
        <v>3</v>
      </c>
      <c r="E1870" s="23" t="n">
        <v>4</v>
      </c>
      <c r="F1870" s="22" t="n">
        <v>2</v>
      </c>
      <c r="G1870" s="23" t="inlineStr">
        <is>
          <t>Oui</t>
        </is>
      </c>
      <c r="H1870" s="23" t="inlineStr">
        <is>
          <t>ON</t>
        </is>
      </c>
      <c r="I1870" s="24" t="n">
        <v>604.2334594602274</v>
      </c>
      <c r="J1870" s="24" t="n">
        <v>4012.68388558375</v>
      </c>
      <c r="K1870" s="24" t="n">
        <v>3342.592592592593</v>
      </c>
      <c r="L1870" s="24" t="n">
        <v>150</v>
      </c>
      <c r="M1870" s="24">
        <f>I1870+J1870+K1870+L1870</f>
        <v/>
      </c>
      <c r="N1870" s="24">
        <f>M1870*'Dashboard &amp; Optimisation'!$B$18/('Dashboard &amp; Optimisation'!$B$16/3.6)</f>
        <v/>
      </c>
      <c r="O1870" s="24" t="n">
        <v>1015.680449146366</v>
      </c>
      <c r="P1870" s="25" t="n">
        <v>0.07745426381627818</v>
      </c>
      <c r="Q1870" s="26" t="n">
        <v>10.76240845617261</v>
      </c>
      <c r="R1870" s="24" t="n">
        <v>4239.385800300536</v>
      </c>
      <c r="S1870" s="24">
        <f>R1870*IF(A1870=4, 2.0, 3.0)</f>
        <v/>
      </c>
      <c r="T1870" s="22">
        <f>'Dashboard &amp; Optimisation'!$B$18*U1870</f>
        <v/>
      </c>
      <c r="U1870" s="27">
        <f>MIN(1, S1870/M1870)</f>
        <v/>
      </c>
      <c r="V1870" s="27">
        <f>N1870/(N1870+O1870)</f>
        <v/>
      </c>
      <c r="W1870" s="27">
        <f>U1870*V1870</f>
        <v/>
      </c>
      <c r="X1870" s="25">
        <f>T1870/N1870</f>
        <v/>
      </c>
      <c r="Y1870" s="28">
        <f>IF(W1870=MAXIFS(W$2:W$3601, A$2:A$3601, A1870, B$2:B$3601, B1870), "OPTIMAL", "")</f>
        <v/>
      </c>
    </row>
    <row r="1871" ht="20" customHeight="1">
      <c r="A1871" s="29" t="n">
        <v>-18</v>
      </c>
      <c r="B1871" s="29" t="n">
        <v>25</v>
      </c>
      <c r="C1871" s="30" t="n">
        <v>85</v>
      </c>
      <c r="D1871" s="30" t="n">
        <v>3</v>
      </c>
      <c r="E1871" s="6" t="n">
        <v>4</v>
      </c>
      <c r="F1871" s="30" t="n">
        <v>2</v>
      </c>
      <c r="G1871" s="6" t="inlineStr">
        <is>
          <t>Oui</t>
        </is>
      </c>
      <c r="H1871" s="6" t="inlineStr">
        <is>
          <t>OFF</t>
        </is>
      </c>
      <c r="I1871" s="31" t="n">
        <v>604.2334594602274</v>
      </c>
      <c r="J1871" s="31" t="n">
        <v>4012.68388558375</v>
      </c>
      <c r="K1871" s="31" t="n">
        <v>3342.592592592593</v>
      </c>
      <c r="L1871" s="31" t="n">
        <v>150</v>
      </c>
      <c r="M1871" s="31">
        <f>I1871+J1871+K1871+L1871</f>
        <v/>
      </c>
      <c r="N1871" s="31">
        <f>M1871*'Dashboard &amp; Optimisation'!$B$18/('Dashboard &amp; Optimisation'!$B$16/3.6)</f>
        <v/>
      </c>
      <c r="O1871" s="31" t="n">
        <v>1015.680449146366</v>
      </c>
      <c r="P1871" s="32" t="n">
        <v>0.3412849921114681</v>
      </c>
      <c r="Q1871" s="33" t="n">
        <v>10.76240845617261</v>
      </c>
      <c r="R1871" s="31" t="n">
        <v>962.1240716269619</v>
      </c>
      <c r="S1871" s="31">
        <f>R1871*IF(A1871=4, 2.0, 3.0)</f>
        <v/>
      </c>
      <c r="T1871" s="30">
        <f>'Dashboard &amp; Optimisation'!$B$18*U1871</f>
        <v/>
      </c>
      <c r="U1871" s="34">
        <f>MIN(1, S1871/M1871)</f>
        <v/>
      </c>
      <c r="V1871" s="34">
        <f>N1871/(N1871+O1871)</f>
        <v/>
      </c>
      <c r="W1871" s="34">
        <f>U1871*V1871</f>
        <v/>
      </c>
      <c r="X1871" s="32">
        <f>T1871/N1871</f>
        <v/>
      </c>
      <c r="Y1871" s="35">
        <f>IF(W1871=MAXIFS(W$2:W$3601, A$2:A$3601, A1871, B$2:B$3601, B1871), "OPTIMAL", "")</f>
        <v/>
      </c>
    </row>
    <row r="1872" ht="20" customHeight="1">
      <c r="A1872" s="21" t="n">
        <v>-18</v>
      </c>
      <c r="B1872" s="21" t="n">
        <v>25</v>
      </c>
      <c r="C1872" s="22" t="n">
        <v>85</v>
      </c>
      <c r="D1872" s="22" t="n">
        <v>3</v>
      </c>
      <c r="E1872" s="23" t="n">
        <v>4</v>
      </c>
      <c r="F1872" s="22" t="n">
        <v>2</v>
      </c>
      <c r="G1872" s="23" t="inlineStr">
        <is>
          <t>Non</t>
        </is>
      </c>
      <c r="H1872" s="23" t="inlineStr">
        <is>
          <t>ON</t>
        </is>
      </c>
      <c r="I1872" s="24" t="n">
        <v>604.2334594602274</v>
      </c>
      <c r="J1872" s="24" t="n">
        <v>4012.68388558375</v>
      </c>
      <c r="K1872" s="24" t="n">
        <v>3342.592592592593</v>
      </c>
      <c r="L1872" s="24" t="n">
        <v>150</v>
      </c>
      <c r="M1872" s="24">
        <f>I1872+J1872+K1872+L1872</f>
        <v/>
      </c>
      <c r="N1872" s="24">
        <f>M1872*'Dashboard &amp; Optimisation'!$B$18/('Dashboard &amp; Optimisation'!$B$16/3.6)</f>
        <v/>
      </c>
      <c r="O1872" s="24" t="n">
        <v>1015.680449146366</v>
      </c>
      <c r="P1872" s="25" t="n">
        <v>0.07370944162588064</v>
      </c>
      <c r="Q1872" s="26" t="n">
        <v>10.76240845617261</v>
      </c>
      <c r="R1872" s="24" t="n">
        <v>4454.768601586707</v>
      </c>
      <c r="S1872" s="24">
        <f>R1872*IF(A1872=4, 2.0, 3.0)</f>
        <v/>
      </c>
      <c r="T1872" s="22">
        <f>'Dashboard &amp; Optimisation'!$B$18*U1872</f>
        <v/>
      </c>
      <c r="U1872" s="27">
        <f>MIN(1, S1872/M1872)</f>
        <v/>
      </c>
      <c r="V1872" s="27">
        <f>N1872/(N1872+O1872)</f>
        <v/>
      </c>
      <c r="W1872" s="27">
        <f>U1872*V1872</f>
        <v/>
      </c>
      <c r="X1872" s="25">
        <f>T1872/N1872</f>
        <v/>
      </c>
      <c r="Y1872" s="28">
        <f>IF(W1872=MAXIFS(W$2:W$3601, A$2:A$3601, A1872, B$2:B$3601, B1872), "OPTIMAL", "")</f>
        <v/>
      </c>
    </row>
    <row r="1873" ht="20" customHeight="1">
      <c r="A1873" s="29" t="n">
        <v>-18</v>
      </c>
      <c r="B1873" s="29" t="n">
        <v>25</v>
      </c>
      <c r="C1873" s="30" t="n">
        <v>85</v>
      </c>
      <c r="D1873" s="30" t="n">
        <v>3</v>
      </c>
      <c r="E1873" s="6" t="n">
        <v>4</v>
      </c>
      <c r="F1873" s="30" t="n">
        <v>2</v>
      </c>
      <c r="G1873" s="6" t="inlineStr">
        <is>
          <t>Non</t>
        </is>
      </c>
      <c r="H1873" s="6" t="inlineStr">
        <is>
          <t>OFF</t>
        </is>
      </c>
      <c r="I1873" s="31" t="n">
        <v>604.2334594602274</v>
      </c>
      <c r="J1873" s="31" t="n">
        <v>4012.68388558375</v>
      </c>
      <c r="K1873" s="31" t="n">
        <v>3342.592592592593</v>
      </c>
      <c r="L1873" s="31" t="n">
        <v>150</v>
      </c>
      <c r="M1873" s="31">
        <f>I1873+J1873+K1873+L1873</f>
        <v/>
      </c>
      <c r="N1873" s="31">
        <f>M1873*'Dashboard &amp; Optimisation'!$B$18/('Dashboard &amp; Optimisation'!$B$16/3.6)</f>
        <v/>
      </c>
      <c r="O1873" s="31" t="n">
        <v>1015.680449146366</v>
      </c>
      <c r="P1873" s="32" t="n">
        <v>0.3375401699210706</v>
      </c>
      <c r="Q1873" s="33" t="n">
        <v>10.76240845617261</v>
      </c>
      <c r="R1873" s="31" t="n">
        <v>972.7983080421026</v>
      </c>
      <c r="S1873" s="31">
        <f>R1873*IF(A1873=4, 2.0, 3.0)</f>
        <v/>
      </c>
      <c r="T1873" s="30">
        <f>'Dashboard &amp; Optimisation'!$B$18*U1873</f>
        <v/>
      </c>
      <c r="U1873" s="34">
        <f>MIN(1, S1873/M1873)</f>
        <v/>
      </c>
      <c r="V1873" s="34">
        <f>N1873/(N1873+O1873)</f>
        <v/>
      </c>
      <c r="W1873" s="34">
        <f>U1873*V1873</f>
        <v/>
      </c>
      <c r="X1873" s="32">
        <f>T1873/N1873</f>
        <v/>
      </c>
      <c r="Y1873" s="35">
        <f>IF(W1873=MAXIFS(W$2:W$3601, A$2:A$3601, A1873, B$2:B$3601, B1873), "OPTIMAL", "")</f>
        <v/>
      </c>
    </row>
    <row r="1874" ht="20" customHeight="1">
      <c r="A1874" s="21" t="n">
        <v>-18</v>
      </c>
      <c r="B1874" s="21" t="n">
        <v>25</v>
      </c>
      <c r="C1874" s="22" t="n">
        <v>85</v>
      </c>
      <c r="D1874" s="22" t="n">
        <v>3</v>
      </c>
      <c r="E1874" s="23" t="n">
        <v>8</v>
      </c>
      <c r="F1874" s="22" t="n">
        <v>1.5</v>
      </c>
      <c r="G1874" s="23" t="inlineStr">
        <is>
          <t>Oui</t>
        </is>
      </c>
      <c r="H1874" s="23" t="inlineStr">
        <is>
          <t>ON</t>
        </is>
      </c>
      <c r="I1874" s="24" t="n">
        <v>604.2334594602274</v>
      </c>
      <c r="J1874" s="24" t="n">
        <v>4012.68388558375</v>
      </c>
      <c r="K1874" s="24" t="n">
        <v>3342.592592592593</v>
      </c>
      <c r="L1874" s="24" t="n">
        <v>150</v>
      </c>
      <c r="M1874" s="24">
        <f>I1874+J1874+K1874+L1874</f>
        <v/>
      </c>
      <c r="N1874" s="24">
        <f>M1874*'Dashboard &amp; Optimisation'!$B$18/('Dashboard &amp; Optimisation'!$B$16/3.6)</f>
        <v/>
      </c>
      <c r="O1874" s="24" t="n">
        <v>1213.943106960188</v>
      </c>
      <c r="P1874" s="25" t="n">
        <v>0.05973432874252066</v>
      </c>
      <c r="Q1874" s="26" t="n">
        <v>16.04361268425892</v>
      </c>
      <c r="R1874" s="24" t="n">
        <v>5650.618550627491</v>
      </c>
      <c r="S1874" s="24">
        <f>R1874*IF(A1874=4, 2.0, 3.0)</f>
        <v/>
      </c>
      <c r="T1874" s="22">
        <f>'Dashboard &amp; Optimisation'!$B$18*U1874</f>
        <v/>
      </c>
      <c r="U1874" s="27">
        <f>MIN(1, S1874/M1874)</f>
        <v/>
      </c>
      <c r="V1874" s="27">
        <f>N1874/(N1874+O1874)</f>
        <v/>
      </c>
      <c r="W1874" s="27">
        <f>U1874*V1874</f>
        <v/>
      </c>
      <c r="X1874" s="25">
        <f>T1874/N1874</f>
        <v/>
      </c>
      <c r="Y1874" s="28">
        <f>IF(W1874=MAXIFS(W$2:W$3601, A$2:A$3601, A1874, B$2:B$3601, B1874), "OPTIMAL", "")</f>
        <v/>
      </c>
    </row>
    <row r="1875" ht="20" customHeight="1">
      <c r="A1875" s="29" t="n">
        <v>-18</v>
      </c>
      <c r="B1875" s="29" t="n">
        <v>25</v>
      </c>
      <c r="C1875" s="30" t="n">
        <v>85</v>
      </c>
      <c r="D1875" s="30" t="n">
        <v>3</v>
      </c>
      <c r="E1875" s="6" t="n">
        <v>8</v>
      </c>
      <c r="F1875" s="30" t="n">
        <v>1.5</v>
      </c>
      <c r="G1875" s="6" t="inlineStr">
        <is>
          <t>Oui</t>
        </is>
      </c>
      <c r="H1875" s="6" t="inlineStr">
        <is>
          <t>OFF</t>
        </is>
      </c>
      <c r="I1875" s="31" t="n">
        <v>604.2334594602274</v>
      </c>
      <c r="J1875" s="31" t="n">
        <v>4012.68388558375</v>
      </c>
      <c r="K1875" s="31" t="n">
        <v>3342.592592592593</v>
      </c>
      <c r="L1875" s="31" t="n">
        <v>150</v>
      </c>
      <c r="M1875" s="31">
        <f>I1875+J1875+K1875+L1875</f>
        <v/>
      </c>
      <c r="N1875" s="31">
        <f>M1875*'Dashboard &amp; Optimisation'!$B$18/('Dashboard &amp; Optimisation'!$B$16/3.6)</f>
        <v/>
      </c>
      <c r="O1875" s="31" t="n">
        <v>1213.943106960188</v>
      </c>
      <c r="P1875" s="32" t="n">
        <v>0.2617453366738331</v>
      </c>
      <c r="Q1875" s="33" t="n">
        <v>16.04361268425892</v>
      </c>
      <c r="R1875" s="31" t="n">
        <v>1289.558432601149</v>
      </c>
      <c r="S1875" s="31">
        <f>R1875*IF(A1875=4, 2.0, 3.0)</f>
        <v/>
      </c>
      <c r="T1875" s="30">
        <f>'Dashboard &amp; Optimisation'!$B$18*U1875</f>
        <v/>
      </c>
      <c r="U1875" s="34">
        <f>MIN(1, S1875/M1875)</f>
        <v/>
      </c>
      <c r="V1875" s="34">
        <f>N1875/(N1875+O1875)</f>
        <v/>
      </c>
      <c r="W1875" s="34">
        <f>U1875*V1875</f>
        <v/>
      </c>
      <c r="X1875" s="32">
        <f>T1875/N1875</f>
        <v/>
      </c>
      <c r="Y1875" s="35">
        <f>IF(W1875=MAXIFS(W$2:W$3601, A$2:A$3601, A1875, B$2:B$3601, B1875), "OPTIMAL", "")</f>
        <v/>
      </c>
    </row>
    <row r="1876" ht="20" customHeight="1">
      <c r="A1876" s="21" t="n">
        <v>-18</v>
      </c>
      <c r="B1876" s="21" t="n">
        <v>25</v>
      </c>
      <c r="C1876" s="22" t="n">
        <v>85</v>
      </c>
      <c r="D1876" s="22" t="n">
        <v>3</v>
      </c>
      <c r="E1876" s="23" t="n">
        <v>8</v>
      </c>
      <c r="F1876" s="22" t="n">
        <v>1.5</v>
      </c>
      <c r="G1876" s="23" t="inlineStr">
        <is>
          <t>Non</t>
        </is>
      </c>
      <c r="H1876" s="23" t="inlineStr">
        <is>
          <t>ON</t>
        </is>
      </c>
      <c r="I1876" s="24" t="n">
        <v>604.2334594602274</v>
      </c>
      <c r="J1876" s="24" t="n">
        <v>4012.68388558375</v>
      </c>
      <c r="K1876" s="24" t="n">
        <v>3342.592592592593</v>
      </c>
      <c r="L1876" s="24" t="n">
        <v>150</v>
      </c>
      <c r="M1876" s="24">
        <f>I1876+J1876+K1876+L1876</f>
        <v/>
      </c>
      <c r="N1876" s="24">
        <f>M1876*'Dashboard &amp; Optimisation'!$B$18/('Dashboard &amp; Optimisation'!$B$16/3.6)</f>
        <v/>
      </c>
      <c r="O1876" s="24" t="n">
        <v>1213.943106960188</v>
      </c>
      <c r="P1876" s="25" t="n">
        <v>0.05598950655212312</v>
      </c>
      <c r="Q1876" s="26" t="n">
        <v>16.04361268425892</v>
      </c>
      <c r="R1876" s="24" t="n">
        <v>6028.556543672</v>
      </c>
      <c r="S1876" s="24">
        <f>R1876*IF(A1876=4, 2.0, 3.0)</f>
        <v/>
      </c>
      <c r="T1876" s="22">
        <f>'Dashboard &amp; Optimisation'!$B$18*U1876</f>
        <v/>
      </c>
      <c r="U1876" s="27">
        <f>MIN(1, S1876/M1876)</f>
        <v/>
      </c>
      <c r="V1876" s="27">
        <f>N1876/(N1876+O1876)</f>
        <v/>
      </c>
      <c r="W1876" s="27">
        <f>U1876*V1876</f>
        <v/>
      </c>
      <c r="X1876" s="25">
        <f>T1876/N1876</f>
        <v/>
      </c>
      <c r="Y1876" s="28">
        <f>IF(W1876=MAXIFS(W$2:W$3601, A$2:A$3601, A1876, B$2:B$3601, B1876), "OPTIMAL", "")</f>
        <v/>
      </c>
    </row>
    <row r="1877" ht="20" customHeight="1">
      <c r="A1877" s="29" t="n">
        <v>-18</v>
      </c>
      <c r="B1877" s="29" t="n">
        <v>25</v>
      </c>
      <c r="C1877" s="30" t="n">
        <v>85</v>
      </c>
      <c r="D1877" s="30" t="n">
        <v>3</v>
      </c>
      <c r="E1877" s="6" t="n">
        <v>8</v>
      </c>
      <c r="F1877" s="30" t="n">
        <v>1.5</v>
      </c>
      <c r="G1877" s="6" t="inlineStr">
        <is>
          <t>Non</t>
        </is>
      </c>
      <c r="H1877" s="6" t="inlineStr">
        <is>
          <t>OFF</t>
        </is>
      </c>
      <c r="I1877" s="31" t="n">
        <v>604.2334594602274</v>
      </c>
      <c r="J1877" s="31" t="n">
        <v>4012.68388558375</v>
      </c>
      <c r="K1877" s="31" t="n">
        <v>3342.592592592593</v>
      </c>
      <c r="L1877" s="31" t="n">
        <v>150</v>
      </c>
      <c r="M1877" s="31">
        <f>I1877+J1877+K1877+L1877</f>
        <v/>
      </c>
      <c r="N1877" s="31">
        <f>M1877*'Dashboard &amp; Optimisation'!$B$18/('Dashboard &amp; Optimisation'!$B$16/3.6)</f>
        <v/>
      </c>
      <c r="O1877" s="31" t="n">
        <v>1213.943106960188</v>
      </c>
      <c r="P1877" s="32" t="n">
        <v>0.2580005144834356</v>
      </c>
      <c r="Q1877" s="33" t="n">
        <v>16.04361268425892</v>
      </c>
      <c r="R1877" s="31" t="n">
        <v>1308.276096958865</v>
      </c>
      <c r="S1877" s="31">
        <f>R1877*IF(A1877=4, 2.0, 3.0)</f>
        <v/>
      </c>
      <c r="T1877" s="30">
        <f>'Dashboard &amp; Optimisation'!$B$18*U1877</f>
        <v/>
      </c>
      <c r="U1877" s="34">
        <f>MIN(1, S1877/M1877)</f>
        <v/>
      </c>
      <c r="V1877" s="34">
        <f>N1877/(N1877+O1877)</f>
        <v/>
      </c>
      <c r="W1877" s="34">
        <f>U1877*V1877</f>
        <v/>
      </c>
      <c r="X1877" s="32">
        <f>T1877/N1877</f>
        <v/>
      </c>
      <c r="Y1877" s="35">
        <f>IF(W1877=MAXIFS(W$2:W$3601, A$2:A$3601, A1877, B$2:B$3601, B1877), "OPTIMAL", "")</f>
        <v/>
      </c>
    </row>
    <row r="1878" ht="20" customHeight="1">
      <c r="A1878" s="21" t="n">
        <v>-18</v>
      </c>
      <c r="B1878" s="21" t="n">
        <v>25</v>
      </c>
      <c r="C1878" s="22" t="n">
        <v>85</v>
      </c>
      <c r="D1878" s="22" t="n">
        <v>3</v>
      </c>
      <c r="E1878" s="23" t="n">
        <v>8</v>
      </c>
      <c r="F1878" s="22" t="n">
        <v>2</v>
      </c>
      <c r="G1878" s="23" t="inlineStr">
        <is>
          <t>Oui</t>
        </is>
      </c>
      <c r="H1878" s="23" t="inlineStr">
        <is>
          <t>ON</t>
        </is>
      </c>
      <c r="I1878" s="24" t="n">
        <v>604.2334594602274</v>
      </c>
      <c r="J1878" s="24" t="n">
        <v>4012.68388558375</v>
      </c>
      <c r="K1878" s="24" t="n">
        <v>3342.592592592593</v>
      </c>
      <c r="L1878" s="24" t="n">
        <v>150</v>
      </c>
      <c r="M1878" s="24">
        <f>I1878+J1878+K1878+L1878</f>
        <v/>
      </c>
      <c r="N1878" s="24">
        <f>M1878*'Dashboard &amp; Optimisation'!$B$18/('Dashboard &amp; Optimisation'!$B$16/3.6)</f>
        <v/>
      </c>
      <c r="O1878" s="24" t="n">
        <v>1423.607039231631</v>
      </c>
      <c r="P1878" s="25" t="n">
        <v>0.05880657801325698</v>
      </c>
      <c r="Q1878" s="26" t="n">
        <v>21.32481691234523</v>
      </c>
      <c r="R1878" s="24" t="n">
        <v>5904.799640922136</v>
      </c>
      <c r="S1878" s="24">
        <f>R1878*IF(A1878=4, 2.0, 3.0)</f>
        <v/>
      </c>
      <c r="T1878" s="22">
        <f>'Dashboard &amp; Optimisation'!$B$18*U1878</f>
        <v/>
      </c>
      <c r="U1878" s="27">
        <f>MIN(1, S1878/M1878)</f>
        <v/>
      </c>
      <c r="V1878" s="27">
        <f>N1878/(N1878+O1878)</f>
        <v/>
      </c>
      <c r="W1878" s="27">
        <f>U1878*V1878</f>
        <v/>
      </c>
      <c r="X1878" s="25">
        <f>T1878/N1878</f>
        <v/>
      </c>
      <c r="Y1878" s="28">
        <f>IF(W1878=MAXIFS(W$2:W$3601, A$2:A$3601, A1878, B$2:B$3601, B1878), "OPTIMAL", "")</f>
        <v/>
      </c>
    </row>
    <row r="1879" ht="20" customHeight="1">
      <c r="A1879" s="29" t="n">
        <v>-18</v>
      </c>
      <c r="B1879" s="29" t="n">
        <v>25</v>
      </c>
      <c r="C1879" s="30" t="n">
        <v>85</v>
      </c>
      <c r="D1879" s="30" t="n">
        <v>3</v>
      </c>
      <c r="E1879" s="6" t="n">
        <v>8</v>
      </c>
      <c r="F1879" s="30" t="n">
        <v>2</v>
      </c>
      <c r="G1879" s="6" t="inlineStr">
        <is>
          <t>Oui</t>
        </is>
      </c>
      <c r="H1879" s="6" t="inlineStr">
        <is>
          <t>OFF</t>
        </is>
      </c>
      <c r="I1879" s="31" t="n">
        <v>604.2334594602274</v>
      </c>
      <c r="J1879" s="31" t="n">
        <v>4012.68388558375</v>
      </c>
      <c r="K1879" s="31" t="n">
        <v>3342.592592592593</v>
      </c>
      <c r="L1879" s="31" t="n">
        <v>150</v>
      </c>
      <c r="M1879" s="31">
        <f>I1879+J1879+K1879+L1879</f>
        <v/>
      </c>
      <c r="N1879" s="31">
        <f>M1879*'Dashboard &amp; Optimisation'!$B$18/('Dashboard &amp; Optimisation'!$B$16/3.6)</f>
        <v/>
      </c>
      <c r="O1879" s="31" t="n">
        <v>1423.607039231631</v>
      </c>
      <c r="P1879" s="32" t="n">
        <v>0.2624608866531549</v>
      </c>
      <c r="Q1879" s="33" t="n">
        <v>21.32481691234523</v>
      </c>
      <c r="R1879" s="31" t="n">
        <v>1323.020222801512</v>
      </c>
      <c r="S1879" s="31">
        <f>R1879*IF(A1879=4, 2.0, 3.0)</f>
        <v/>
      </c>
      <c r="T1879" s="30">
        <f>'Dashboard &amp; Optimisation'!$B$18*U1879</f>
        <v/>
      </c>
      <c r="U1879" s="34">
        <f>MIN(1, S1879/M1879)</f>
        <v/>
      </c>
      <c r="V1879" s="34">
        <f>N1879/(N1879+O1879)</f>
        <v/>
      </c>
      <c r="W1879" s="34">
        <f>U1879*V1879</f>
        <v/>
      </c>
      <c r="X1879" s="32">
        <f>T1879/N1879</f>
        <v/>
      </c>
      <c r="Y1879" s="35">
        <f>IF(W1879=MAXIFS(W$2:W$3601, A$2:A$3601, A1879, B$2:B$3601, B1879), "OPTIMAL", "")</f>
        <v/>
      </c>
    </row>
    <row r="1880" ht="20" customHeight="1">
      <c r="A1880" s="21" t="n">
        <v>-18</v>
      </c>
      <c r="B1880" s="21" t="n">
        <v>25</v>
      </c>
      <c r="C1880" s="22" t="n">
        <v>85</v>
      </c>
      <c r="D1880" s="22" t="n">
        <v>3</v>
      </c>
      <c r="E1880" s="23" t="n">
        <v>8</v>
      </c>
      <c r="F1880" s="22" t="n">
        <v>2</v>
      </c>
      <c r="G1880" s="23" t="inlineStr">
        <is>
          <t>Non</t>
        </is>
      </c>
      <c r="H1880" s="23" t="inlineStr">
        <is>
          <t>ON</t>
        </is>
      </c>
      <c r="I1880" s="24" t="n">
        <v>604.2334594602274</v>
      </c>
      <c r="J1880" s="24" t="n">
        <v>4012.68388558375</v>
      </c>
      <c r="K1880" s="24" t="n">
        <v>3342.592592592593</v>
      </c>
      <c r="L1880" s="24" t="n">
        <v>150</v>
      </c>
      <c r="M1880" s="24">
        <f>I1880+J1880+K1880+L1880</f>
        <v/>
      </c>
      <c r="N1880" s="24">
        <f>M1880*'Dashboard &amp; Optimisation'!$B$18/('Dashboard &amp; Optimisation'!$B$16/3.6)</f>
        <v/>
      </c>
      <c r="O1880" s="24" t="n">
        <v>1423.607039231631</v>
      </c>
      <c r="P1880" s="25" t="n">
        <v>0.05506175582285944</v>
      </c>
      <c r="Q1880" s="26" t="n">
        <v>21.32481691234523</v>
      </c>
      <c r="R1880" s="24" t="n">
        <v>6306.392804720165</v>
      </c>
      <c r="S1880" s="24">
        <f>R1880*IF(A1880=4, 2.0, 3.0)</f>
        <v/>
      </c>
      <c r="T1880" s="22">
        <f>'Dashboard &amp; Optimisation'!$B$18*U1880</f>
        <v/>
      </c>
      <c r="U1880" s="27">
        <f>MIN(1, S1880/M1880)</f>
        <v/>
      </c>
      <c r="V1880" s="27">
        <f>N1880/(N1880+O1880)</f>
        <v/>
      </c>
      <c r="W1880" s="27">
        <f>U1880*V1880</f>
        <v/>
      </c>
      <c r="X1880" s="25">
        <f>T1880/N1880</f>
        <v/>
      </c>
      <c r="Y1880" s="28">
        <f>IF(W1880=MAXIFS(W$2:W$3601, A$2:A$3601, A1880, B$2:B$3601, B1880), "OPTIMAL", "")</f>
        <v/>
      </c>
    </row>
    <row r="1881" ht="20" customHeight="1">
      <c r="A1881" s="29" t="n">
        <v>-18</v>
      </c>
      <c r="B1881" s="29" t="n">
        <v>25</v>
      </c>
      <c r="C1881" s="30" t="n">
        <v>85</v>
      </c>
      <c r="D1881" s="30" t="n">
        <v>3</v>
      </c>
      <c r="E1881" s="6" t="n">
        <v>8</v>
      </c>
      <c r="F1881" s="30" t="n">
        <v>2</v>
      </c>
      <c r="G1881" s="6" t="inlineStr">
        <is>
          <t>Non</t>
        </is>
      </c>
      <c r="H1881" s="6" t="inlineStr">
        <is>
          <t>OFF</t>
        </is>
      </c>
      <c r="I1881" s="31" t="n">
        <v>604.2334594602274</v>
      </c>
      <c r="J1881" s="31" t="n">
        <v>4012.68388558375</v>
      </c>
      <c r="K1881" s="31" t="n">
        <v>3342.592592592593</v>
      </c>
      <c r="L1881" s="31" t="n">
        <v>150</v>
      </c>
      <c r="M1881" s="31">
        <f>I1881+J1881+K1881+L1881</f>
        <v/>
      </c>
      <c r="N1881" s="31">
        <f>M1881*'Dashboard &amp; Optimisation'!$B$18/('Dashboard &amp; Optimisation'!$B$16/3.6)</f>
        <v/>
      </c>
      <c r="O1881" s="31" t="n">
        <v>1423.607039231631</v>
      </c>
      <c r="P1881" s="32" t="n">
        <v>0.2587160644627574</v>
      </c>
      <c r="Q1881" s="33" t="n">
        <v>21.32481691234523</v>
      </c>
      <c r="R1881" s="31" t="n">
        <v>1342.170465748273</v>
      </c>
      <c r="S1881" s="31">
        <f>R1881*IF(A1881=4, 2.0, 3.0)</f>
        <v/>
      </c>
      <c r="T1881" s="30">
        <f>'Dashboard &amp; Optimisation'!$B$18*U1881</f>
        <v/>
      </c>
      <c r="U1881" s="34">
        <f>MIN(1, S1881/M1881)</f>
        <v/>
      </c>
      <c r="V1881" s="34">
        <f>N1881/(N1881+O1881)</f>
        <v/>
      </c>
      <c r="W1881" s="34">
        <f>U1881*V1881</f>
        <v/>
      </c>
      <c r="X1881" s="32">
        <f>T1881/N1881</f>
        <v/>
      </c>
      <c r="Y1881" s="35">
        <f>IF(W1881=MAXIFS(W$2:W$3601, A$2:A$3601, A1881, B$2:B$3601, B1881), "OPTIMAL", "")</f>
        <v/>
      </c>
    </row>
    <row r="1882" ht="20" customHeight="1">
      <c r="A1882" s="21" t="n">
        <v>-18</v>
      </c>
      <c r="B1882" s="21" t="n">
        <v>25</v>
      </c>
      <c r="C1882" s="22" t="n">
        <v>90</v>
      </c>
      <c r="D1882" s="22" t="n">
        <v>2</v>
      </c>
      <c r="E1882" s="23" t="n">
        <v>0</v>
      </c>
      <c r="F1882" s="22" t="n">
        <v>0</v>
      </c>
      <c r="G1882" s="23" t="inlineStr">
        <is>
          <t>Oui</t>
        </is>
      </c>
      <c r="H1882" s="23" t="inlineStr">
        <is>
          <t>ON</t>
        </is>
      </c>
      <c r="I1882" s="24" t="n">
        <v>604.2334594602274</v>
      </c>
      <c r="J1882" s="24" t="n">
        <v>4012.68388558375</v>
      </c>
      <c r="K1882" s="24" t="n">
        <v>3342.592592592593</v>
      </c>
      <c r="L1882" s="24" t="n">
        <v>150</v>
      </c>
      <c r="M1882" s="24">
        <f>I1882+J1882+K1882+L1882</f>
        <v/>
      </c>
      <c r="N1882" s="24">
        <f>M1882*'Dashboard &amp; Optimisation'!$B$18/('Dashboard &amp; Optimisation'!$B$16/3.6)</f>
        <v/>
      </c>
      <c r="O1882" s="24" t="n">
        <v>392.3152480376575</v>
      </c>
      <c r="P1882" s="25" t="n">
        <v>0.4898788424939614</v>
      </c>
      <c r="Q1882" s="26" t="n">
        <v>0.2</v>
      </c>
      <c r="R1882" s="24" t="n">
        <v>536.4388223430412</v>
      </c>
      <c r="S1882" s="24">
        <f>R1882*IF(A1882=4, 2.0, 3.0)</f>
        <v/>
      </c>
      <c r="T1882" s="22">
        <f>'Dashboard &amp; Optimisation'!$B$18*U1882</f>
        <v/>
      </c>
      <c r="U1882" s="27">
        <f>MIN(1, S1882/M1882)</f>
        <v/>
      </c>
      <c r="V1882" s="27">
        <f>N1882/(N1882+O1882)</f>
        <v/>
      </c>
      <c r="W1882" s="27">
        <f>U1882*V1882</f>
        <v/>
      </c>
      <c r="X1882" s="25">
        <f>T1882/N1882</f>
        <v/>
      </c>
      <c r="Y1882" s="28">
        <f>IF(W1882=MAXIFS(W$2:W$3601, A$2:A$3601, A1882, B$2:B$3601, B1882), "OPTIMAL", "")</f>
        <v/>
      </c>
    </row>
    <row r="1883" ht="20" customHeight="1">
      <c r="A1883" s="29" t="n">
        <v>-18</v>
      </c>
      <c r="B1883" s="29" t="n">
        <v>25</v>
      </c>
      <c r="C1883" s="30" t="n">
        <v>90</v>
      </c>
      <c r="D1883" s="30" t="n">
        <v>2</v>
      </c>
      <c r="E1883" s="6" t="n">
        <v>0</v>
      </c>
      <c r="F1883" s="30" t="n">
        <v>0</v>
      </c>
      <c r="G1883" s="6" t="inlineStr">
        <is>
          <t>Oui</t>
        </is>
      </c>
      <c r="H1883" s="6" t="inlineStr">
        <is>
          <t>OFF</t>
        </is>
      </c>
      <c r="I1883" s="31" t="n">
        <v>604.2334594602274</v>
      </c>
      <c r="J1883" s="31" t="n">
        <v>4012.68388558375</v>
      </c>
      <c r="K1883" s="31" t="n">
        <v>3342.592592592593</v>
      </c>
      <c r="L1883" s="31" t="n">
        <v>150</v>
      </c>
      <c r="M1883" s="31">
        <f>I1883+J1883+K1883+L1883</f>
        <v/>
      </c>
      <c r="N1883" s="31">
        <f>M1883*'Dashboard &amp; Optimisation'!$B$18/('Dashboard &amp; Optimisation'!$B$16/3.6)</f>
        <v/>
      </c>
      <c r="O1883" s="31" t="n">
        <v>392.3152480376575</v>
      </c>
      <c r="P1883" s="32" t="n">
        <v>0.8435564938092843</v>
      </c>
      <c r="Q1883" s="33" t="n">
        <v>0.2</v>
      </c>
      <c r="R1883" s="31" t="n">
        <v>311.5262952591837</v>
      </c>
      <c r="S1883" s="31">
        <f>R1883*IF(A1883=4, 2.0, 3.0)</f>
        <v/>
      </c>
      <c r="T1883" s="30">
        <f>'Dashboard &amp; Optimisation'!$B$18*U1883</f>
        <v/>
      </c>
      <c r="U1883" s="34">
        <f>MIN(1, S1883/M1883)</f>
        <v/>
      </c>
      <c r="V1883" s="34">
        <f>N1883/(N1883+O1883)</f>
        <v/>
      </c>
      <c r="W1883" s="34">
        <f>U1883*V1883</f>
        <v/>
      </c>
      <c r="X1883" s="32">
        <f>T1883/N1883</f>
        <v/>
      </c>
      <c r="Y1883" s="35">
        <f>IF(W1883=MAXIFS(W$2:W$3601, A$2:A$3601, A1883, B$2:B$3601, B1883), "OPTIMAL", "")</f>
        <v/>
      </c>
    </row>
    <row r="1884" ht="20" customHeight="1">
      <c r="A1884" s="21" t="n">
        <v>-18</v>
      </c>
      <c r="B1884" s="21" t="n">
        <v>25</v>
      </c>
      <c r="C1884" s="22" t="n">
        <v>90</v>
      </c>
      <c r="D1884" s="22" t="n">
        <v>2</v>
      </c>
      <c r="E1884" s="23" t="n">
        <v>0</v>
      </c>
      <c r="F1884" s="22" t="n">
        <v>0</v>
      </c>
      <c r="G1884" s="23" t="inlineStr">
        <is>
          <t>Non</t>
        </is>
      </c>
      <c r="H1884" s="23" t="inlineStr">
        <is>
          <t>ON</t>
        </is>
      </c>
      <c r="I1884" s="24" t="n">
        <v>604.2334594602274</v>
      </c>
      <c r="J1884" s="24" t="n">
        <v>4012.68388558375</v>
      </c>
      <c r="K1884" s="24" t="n">
        <v>3342.592592592593</v>
      </c>
      <c r="L1884" s="24" t="n">
        <v>150</v>
      </c>
      <c r="M1884" s="24">
        <f>I1884+J1884+K1884+L1884</f>
        <v/>
      </c>
      <c r="N1884" s="24">
        <f>M1884*'Dashboard &amp; Optimisation'!$B$18/('Dashboard &amp; Optimisation'!$B$16/3.6)</f>
        <v/>
      </c>
      <c r="O1884" s="24" t="n">
        <v>392.3152480376575</v>
      </c>
      <c r="P1884" s="25" t="n">
        <v>0.4863420659808082</v>
      </c>
      <c r="Q1884" s="26" t="n">
        <v>0.2</v>
      </c>
      <c r="R1884" s="24" t="n">
        <v>540.3399124611256</v>
      </c>
      <c r="S1884" s="24">
        <f>R1884*IF(A1884=4, 2.0, 3.0)</f>
        <v/>
      </c>
      <c r="T1884" s="22">
        <f>'Dashboard &amp; Optimisation'!$B$18*U1884</f>
        <v/>
      </c>
      <c r="U1884" s="27">
        <f>MIN(1, S1884/M1884)</f>
        <v/>
      </c>
      <c r="V1884" s="27">
        <f>N1884/(N1884+O1884)</f>
        <v/>
      </c>
      <c r="W1884" s="27">
        <f>U1884*V1884</f>
        <v/>
      </c>
      <c r="X1884" s="25">
        <f>T1884/N1884</f>
        <v/>
      </c>
      <c r="Y1884" s="28">
        <f>IF(W1884=MAXIFS(W$2:W$3601, A$2:A$3601, A1884, B$2:B$3601, B1884), "OPTIMAL", "")</f>
        <v/>
      </c>
    </row>
    <row r="1885" ht="20" customHeight="1">
      <c r="A1885" s="29" t="n">
        <v>-18</v>
      </c>
      <c r="B1885" s="29" t="n">
        <v>25</v>
      </c>
      <c r="C1885" s="30" t="n">
        <v>90</v>
      </c>
      <c r="D1885" s="30" t="n">
        <v>2</v>
      </c>
      <c r="E1885" s="6" t="n">
        <v>0</v>
      </c>
      <c r="F1885" s="30" t="n">
        <v>0</v>
      </c>
      <c r="G1885" s="6" t="inlineStr">
        <is>
          <t>Non</t>
        </is>
      </c>
      <c r="H1885" s="6" t="inlineStr">
        <is>
          <t>OFF</t>
        </is>
      </c>
      <c r="I1885" s="31" t="n">
        <v>604.2334594602274</v>
      </c>
      <c r="J1885" s="31" t="n">
        <v>4012.68388558375</v>
      </c>
      <c r="K1885" s="31" t="n">
        <v>3342.592592592593</v>
      </c>
      <c r="L1885" s="31" t="n">
        <v>150</v>
      </c>
      <c r="M1885" s="31">
        <f>I1885+J1885+K1885+L1885</f>
        <v/>
      </c>
      <c r="N1885" s="31">
        <f>M1885*'Dashboard &amp; Optimisation'!$B$18/('Dashboard &amp; Optimisation'!$B$16/3.6)</f>
        <v/>
      </c>
      <c r="O1885" s="31" t="n">
        <v>392.3152480376575</v>
      </c>
      <c r="P1885" s="32" t="n">
        <v>0.8400197172961312</v>
      </c>
      <c r="Q1885" s="33" t="n">
        <v>0.2</v>
      </c>
      <c r="R1885" s="31" t="n">
        <v>312.8379298096783</v>
      </c>
      <c r="S1885" s="31">
        <f>R1885*IF(A1885=4, 2.0, 3.0)</f>
        <v/>
      </c>
      <c r="T1885" s="30">
        <f>'Dashboard &amp; Optimisation'!$B$18*U1885</f>
        <v/>
      </c>
      <c r="U1885" s="34">
        <f>MIN(1, S1885/M1885)</f>
        <v/>
      </c>
      <c r="V1885" s="34">
        <f>N1885/(N1885+O1885)</f>
        <v/>
      </c>
      <c r="W1885" s="34">
        <f>U1885*V1885</f>
        <v/>
      </c>
      <c r="X1885" s="32">
        <f>T1885/N1885</f>
        <v/>
      </c>
      <c r="Y1885" s="35">
        <f>IF(W1885=MAXIFS(W$2:W$3601, A$2:A$3601, A1885, B$2:B$3601, B1885), "OPTIMAL", "")</f>
        <v/>
      </c>
    </row>
    <row r="1886" ht="20" customHeight="1">
      <c r="A1886" s="21" t="n">
        <v>-18</v>
      </c>
      <c r="B1886" s="21" t="n">
        <v>25</v>
      </c>
      <c r="C1886" s="22" t="n">
        <v>90</v>
      </c>
      <c r="D1886" s="22" t="n">
        <v>2</v>
      </c>
      <c r="E1886" s="23" t="n">
        <v>4</v>
      </c>
      <c r="F1886" s="22" t="n">
        <v>1.5</v>
      </c>
      <c r="G1886" s="23" t="inlineStr">
        <is>
          <t>Oui</t>
        </is>
      </c>
      <c r="H1886" s="23" t="inlineStr">
        <is>
          <t>ON</t>
        </is>
      </c>
      <c r="I1886" s="24" t="n">
        <v>604.2334594602274</v>
      </c>
      <c r="J1886" s="24" t="n">
        <v>4012.68388558375</v>
      </c>
      <c r="K1886" s="24" t="n">
        <v>3342.592592592593</v>
      </c>
      <c r="L1886" s="24" t="n">
        <v>150</v>
      </c>
      <c r="M1886" s="24">
        <f>I1886+J1886+K1886+L1886</f>
        <v/>
      </c>
      <c r="N1886" s="24">
        <f>M1886*'Dashboard &amp; Optimisation'!$B$18/('Dashboard &amp; Optimisation'!$B$16/3.6)</f>
        <v/>
      </c>
      <c r="O1886" s="24" t="n">
        <v>624.8222016314111</v>
      </c>
      <c r="P1886" s="25" t="n">
        <v>0.07759354469391215</v>
      </c>
      <c r="Q1886" s="26" t="n">
        <v>7.477008151491015</v>
      </c>
      <c r="R1886" s="24" t="n">
        <v>3511.523574951422</v>
      </c>
      <c r="S1886" s="24">
        <f>R1886*IF(A1886=4, 2.0, 3.0)</f>
        <v/>
      </c>
      <c r="T1886" s="22">
        <f>'Dashboard &amp; Optimisation'!$B$18*U1886</f>
        <v/>
      </c>
      <c r="U1886" s="27">
        <f>MIN(1, S1886/M1886)</f>
        <v/>
      </c>
      <c r="V1886" s="27">
        <f>N1886/(N1886+O1886)</f>
        <v/>
      </c>
      <c r="W1886" s="27">
        <f>U1886*V1886</f>
        <v/>
      </c>
      <c r="X1886" s="25">
        <f>T1886/N1886</f>
        <v/>
      </c>
      <c r="Y1886" s="28">
        <f>IF(W1886=MAXIFS(W$2:W$3601, A$2:A$3601, A1886, B$2:B$3601, B1886), "OPTIMAL", "")</f>
        <v/>
      </c>
    </row>
    <row r="1887" ht="20" customHeight="1">
      <c r="A1887" s="29" t="n">
        <v>-18</v>
      </c>
      <c r="B1887" s="29" t="n">
        <v>25</v>
      </c>
      <c r="C1887" s="30" t="n">
        <v>90</v>
      </c>
      <c r="D1887" s="30" t="n">
        <v>2</v>
      </c>
      <c r="E1887" s="6" t="n">
        <v>4</v>
      </c>
      <c r="F1887" s="30" t="n">
        <v>1.5</v>
      </c>
      <c r="G1887" s="6" t="inlineStr">
        <is>
          <t>Oui</t>
        </is>
      </c>
      <c r="H1887" s="6" t="inlineStr">
        <is>
          <t>OFF</t>
        </is>
      </c>
      <c r="I1887" s="31" t="n">
        <v>604.2334594602274</v>
      </c>
      <c r="J1887" s="31" t="n">
        <v>4012.68388558375</v>
      </c>
      <c r="K1887" s="31" t="n">
        <v>3342.592592592593</v>
      </c>
      <c r="L1887" s="31" t="n">
        <v>150</v>
      </c>
      <c r="M1887" s="31">
        <f>I1887+J1887+K1887+L1887</f>
        <v/>
      </c>
      <c r="N1887" s="31">
        <f>M1887*'Dashboard &amp; Optimisation'!$B$18/('Dashboard &amp; Optimisation'!$B$16/3.6)</f>
        <v/>
      </c>
      <c r="O1887" s="31" t="n">
        <v>624.8222016314111</v>
      </c>
      <c r="P1887" s="32" t="n">
        <v>0.3296507660240217</v>
      </c>
      <c r="Q1887" s="33" t="n">
        <v>7.477008151491015</v>
      </c>
      <c r="R1887" s="31" t="n">
        <v>826.5461195283991</v>
      </c>
      <c r="S1887" s="31">
        <f>R1887*IF(A1887=4, 2.0, 3.0)</f>
        <v/>
      </c>
      <c r="T1887" s="30">
        <f>'Dashboard &amp; Optimisation'!$B$18*U1887</f>
        <v/>
      </c>
      <c r="U1887" s="34">
        <f>MIN(1, S1887/M1887)</f>
        <v/>
      </c>
      <c r="V1887" s="34">
        <f>N1887/(N1887+O1887)</f>
        <v/>
      </c>
      <c r="W1887" s="34">
        <f>U1887*V1887</f>
        <v/>
      </c>
      <c r="X1887" s="32">
        <f>T1887/N1887</f>
        <v/>
      </c>
      <c r="Y1887" s="35">
        <f>IF(W1887=MAXIFS(W$2:W$3601, A$2:A$3601, A1887, B$2:B$3601, B1887), "OPTIMAL", "")</f>
        <v/>
      </c>
    </row>
    <row r="1888" ht="20" customHeight="1">
      <c r="A1888" s="21" t="n">
        <v>-18</v>
      </c>
      <c r="B1888" s="21" t="n">
        <v>25</v>
      </c>
      <c r="C1888" s="22" t="n">
        <v>90</v>
      </c>
      <c r="D1888" s="22" t="n">
        <v>2</v>
      </c>
      <c r="E1888" s="23" t="n">
        <v>4</v>
      </c>
      <c r="F1888" s="22" t="n">
        <v>1.5</v>
      </c>
      <c r="G1888" s="23" t="inlineStr">
        <is>
          <t>Non</t>
        </is>
      </c>
      <c r="H1888" s="23" t="inlineStr">
        <is>
          <t>ON</t>
        </is>
      </c>
      <c r="I1888" s="24" t="n">
        <v>604.2334594602274</v>
      </c>
      <c r="J1888" s="24" t="n">
        <v>4012.68388558375</v>
      </c>
      <c r="K1888" s="24" t="n">
        <v>3342.592592592593</v>
      </c>
      <c r="L1888" s="24" t="n">
        <v>150</v>
      </c>
      <c r="M1888" s="24">
        <f>I1888+J1888+K1888+L1888</f>
        <v/>
      </c>
      <c r="N1888" s="24">
        <f>M1888*'Dashboard &amp; Optimisation'!$B$18/('Dashboard &amp; Optimisation'!$B$16/3.6)</f>
        <v/>
      </c>
      <c r="O1888" s="24" t="n">
        <v>624.8222016314111</v>
      </c>
      <c r="P1888" s="25" t="n">
        <v>0.07405676818075892</v>
      </c>
      <c r="Q1888" s="26" t="n">
        <v>7.477008151491015</v>
      </c>
      <c r="R1888" s="24" t="n">
        <v>3679.225655535852</v>
      </c>
      <c r="S1888" s="24">
        <f>R1888*IF(A1888=4, 2.0, 3.0)</f>
        <v/>
      </c>
      <c r="T1888" s="22">
        <f>'Dashboard &amp; Optimisation'!$B$18*U1888</f>
        <v/>
      </c>
      <c r="U1888" s="27">
        <f>MIN(1, S1888/M1888)</f>
        <v/>
      </c>
      <c r="V1888" s="27">
        <f>N1888/(N1888+O1888)</f>
        <v/>
      </c>
      <c r="W1888" s="27">
        <f>U1888*V1888</f>
        <v/>
      </c>
      <c r="X1888" s="25">
        <f>T1888/N1888</f>
        <v/>
      </c>
      <c r="Y1888" s="28">
        <f>IF(W1888=MAXIFS(W$2:W$3601, A$2:A$3601, A1888, B$2:B$3601, B1888), "OPTIMAL", "")</f>
        <v/>
      </c>
    </row>
    <row r="1889" ht="20" customHeight="1">
      <c r="A1889" s="29" t="n">
        <v>-18</v>
      </c>
      <c r="B1889" s="29" t="n">
        <v>25</v>
      </c>
      <c r="C1889" s="30" t="n">
        <v>90</v>
      </c>
      <c r="D1889" s="30" t="n">
        <v>2</v>
      </c>
      <c r="E1889" s="6" t="n">
        <v>4</v>
      </c>
      <c r="F1889" s="30" t="n">
        <v>1.5</v>
      </c>
      <c r="G1889" s="6" t="inlineStr">
        <is>
          <t>Non</t>
        </is>
      </c>
      <c r="H1889" s="6" t="inlineStr">
        <is>
          <t>OFF</t>
        </is>
      </c>
      <c r="I1889" s="31" t="n">
        <v>604.2334594602274</v>
      </c>
      <c r="J1889" s="31" t="n">
        <v>4012.68388558375</v>
      </c>
      <c r="K1889" s="31" t="n">
        <v>3342.592592592593</v>
      </c>
      <c r="L1889" s="31" t="n">
        <v>150</v>
      </c>
      <c r="M1889" s="31">
        <f>I1889+J1889+K1889+L1889</f>
        <v/>
      </c>
      <c r="N1889" s="31">
        <f>M1889*'Dashboard &amp; Optimisation'!$B$18/('Dashboard &amp; Optimisation'!$B$16/3.6)</f>
        <v/>
      </c>
      <c r="O1889" s="31" t="n">
        <v>624.8222016314111</v>
      </c>
      <c r="P1889" s="32" t="n">
        <v>0.3261139895108685</v>
      </c>
      <c r="Q1889" s="33" t="n">
        <v>7.477008151491015</v>
      </c>
      <c r="R1889" s="31" t="n">
        <v>835.510190364399</v>
      </c>
      <c r="S1889" s="31">
        <f>R1889*IF(A1889=4, 2.0, 3.0)</f>
        <v/>
      </c>
      <c r="T1889" s="30">
        <f>'Dashboard &amp; Optimisation'!$B$18*U1889</f>
        <v/>
      </c>
      <c r="U1889" s="34">
        <f>MIN(1, S1889/M1889)</f>
        <v/>
      </c>
      <c r="V1889" s="34">
        <f>N1889/(N1889+O1889)</f>
        <v/>
      </c>
      <c r="W1889" s="34">
        <f>U1889*V1889</f>
        <v/>
      </c>
      <c r="X1889" s="32">
        <f>T1889/N1889</f>
        <v/>
      </c>
      <c r="Y1889" s="35">
        <f>IF(W1889=MAXIFS(W$2:W$3601, A$2:A$3601, A1889, B$2:B$3601, B1889), "OPTIMAL", "")</f>
        <v/>
      </c>
    </row>
    <row r="1890" ht="20" customHeight="1">
      <c r="A1890" s="21" t="n">
        <v>-18</v>
      </c>
      <c r="B1890" s="21" t="n">
        <v>25</v>
      </c>
      <c r="C1890" s="22" t="n">
        <v>90</v>
      </c>
      <c r="D1890" s="22" t="n">
        <v>2</v>
      </c>
      <c r="E1890" s="23" t="n">
        <v>4</v>
      </c>
      <c r="F1890" s="22" t="n">
        <v>2</v>
      </c>
      <c r="G1890" s="23" t="inlineStr">
        <is>
          <t>Oui</t>
        </is>
      </c>
      <c r="H1890" s="23" t="inlineStr">
        <is>
          <t>ON</t>
        </is>
      </c>
      <c r="I1890" s="24" t="n">
        <v>604.2334594602274</v>
      </c>
      <c r="J1890" s="24" t="n">
        <v>4012.68388558375</v>
      </c>
      <c r="K1890" s="24" t="n">
        <v>3342.592592592593</v>
      </c>
      <c r="L1890" s="24" t="n">
        <v>150</v>
      </c>
      <c r="M1890" s="24">
        <f>I1890+J1890+K1890+L1890</f>
        <v/>
      </c>
      <c r="N1890" s="24">
        <f>M1890*'Dashboard &amp; Optimisation'!$B$18/('Dashboard &amp; Optimisation'!$B$16/3.6)</f>
        <v/>
      </c>
      <c r="O1890" s="24" t="n">
        <v>706.1789034976836</v>
      </c>
      <c r="P1890" s="25" t="n">
        <v>0.07521841927673642</v>
      </c>
      <c r="Q1890" s="26" t="n">
        <v>9.902677535321354</v>
      </c>
      <c r="R1890" s="24" t="n">
        <v>3667.44259016443</v>
      </c>
      <c r="S1890" s="24">
        <f>R1890*IF(A1890=4, 2.0, 3.0)</f>
        <v/>
      </c>
      <c r="T1890" s="22">
        <f>'Dashboard &amp; Optimisation'!$B$18*U1890</f>
        <v/>
      </c>
      <c r="U1890" s="27">
        <f>MIN(1, S1890/M1890)</f>
        <v/>
      </c>
      <c r="V1890" s="27">
        <f>N1890/(N1890+O1890)</f>
        <v/>
      </c>
      <c r="W1890" s="27">
        <f>U1890*V1890</f>
        <v/>
      </c>
      <c r="X1890" s="25">
        <f>T1890/N1890</f>
        <v/>
      </c>
      <c r="Y1890" s="28">
        <f>IF(W1890=MAXIFS(W$2:W$3601, A$2:A$3601, A1890, B$2:B$3601, B1890), "OPTIMAL", "")</f>
        <v/>
      </c>
    </row>
    <row r="1891" ht="20" customHeight="1">
      <c r="A1891" s="29" t="n">
        <v>-18</v>
      </c>
      <c r="B1891" s="29" t="n">
        <v>25</v>
      </c>
      <c r="C1891" s="30" t="n">
        <v>90</v>
      </c>
      <c r="D1891" s="30" t="n">
        <v>2</v>
      </c>
      <c r="E1891" s="6" t="n">
        <v>4</v>
      </c>
      <c r="F1891" s="30" t="n">
        <v>2</v>
      </c>
      <c r="G1891" s="6" t="inlineStr">
        <is>
          <t>Oui</t>
        </is>
      </c>
      <c r="H1891" s="6" t="inlineStr">
        <is>
          <t>OFF</t>
        </is>
      </c>
      <c r="I1891" s="31" t="n">
        <v>604.2334594602274</v>
      </c>
      <c r="J1891" s="31" t="n">
        <v>4012.68388558375</v>
      </c>
      <c r="K1891" s="31" t="n">
        <v>3342.592592592593</v>
      </c>
      <c r="L1891" s="31" t="n">
        <v>150</v>
      </c>
      <c r="M1891" s="31">
        <f>I1891+J1891+K1891+L1891</f>
        <v/>
      </c>
      <c r="N1891" s="31">
        <f>M1891*'Dashboard &amp; Optimisation'!$B$18/('Dashboard &amp; Optimisation'!$B$16/3.6)</f>
        <v/>
      </c>
      <c r="O1891" s="31" t="n">
        <v>706.1789034976836</v>
      </c>
      <c r="P1891" s="32" t="n">
        <v>0.328550491855213</v>
      </c>
      <c r="Q1891" s="33" t="n">
        <v>9.902677535321354</v>
      </c>
      <c r="R1891" s="31" t="n">
        <v>839.6250842988089</v>
      </c>
      <c r="S1891" s="31">
        <f>R1891*IF(A1891=4, 2.0, 3.0)</f>
        <v/>
      </c>
      <c r="T1891" s="30">
        <f>'Dashboard &amp; Optimisation'!$B$18*U1891</f>
        <v/>
      </c>
      <c r="U1891" s="34">
        <f>MIN(1, S1891/M1891)</f>
        <v/>
      </c>
      <c r="V1891" s="34">
        <f>N1891/(N1891+O1891)</f>
        <v/>
      </c>
      <c r="W1891" s="34">
        <f>U1891*V1891</f>
        <v/>
      </c>
      <c r="X1891" s="32">
        <f>T1891/N1891</f>
        <v/>
      </c>
      <c r="Y1891" s="35">
        <f>IF(W1891=MAXIFS(W$2:W$3601, A$2:A$3601, A1891, B$2:B$3601, B1891), "OPTIMAL", "")</f>
        <v/>
      </c>
    </row>
    <row r="1892" ht="20" customHeight="1">
      <c r="A1892" s="21" t="n">
        <v>-18</v>
      </c>
      <c r="B1892" s="21" t="n">
        <v>25</v>
      </c>
      <c r="C1892" s="22" t="n">
        <v>90</v>
      </c>
      <c r="D1892" s="22" t="n">
        <v>2</v>
      </c>
      <c r="E1892" s="23" t="n">
        <v>4</v>
      </c>
      <c r="F1892" s="22" t="n">
        <v>2</v>
      </c>
      <c r="G1892" s="23" t="inlineStr">
        <is>
          <t>Non</t>
        </is>
      </c>
      <c r="H1892" s="23" t="inlineStr">
        <is>
          <t>ON</t>
        </is>
      </c>
      <c r="I1892" s="24" t="n">
        <v>604.2334594602274</v>
      </c>
      <c r="J1892" s="24" t="n">
        <v>4012.68388558375</v>
      </c>
      <c r="K1892" s="24" t="n">
        <v>3342.592592592593</v>
      </c>
      <c r="L1892" s="24" t="n">
        <v>150</v>
      </c>
      <c r="M1892" s="24">
        <f>I1892+J1892+K1892+L1892</f>
        <v/>
      </c>
      <c r="N1892" s="24">
        <f>M1892*'Dashboard &amp; Optimisation'!$B$18/('Dashboard &amp; Optimisation'!$B$16/3.6)</f>
        <v/>
      </c>
      <c r="O1892" s="24" t="n">
        <v>706.1789034976836</v>
      </c>
      <c r="P1892" s="25" t="n">
        <v>0.07168164276358319</v>
      </c>
      <c r="Q1892" s="26" t="n">
        <v>9.902677535321354</v>
      </c>
      <c r="R1892" s="24" t="n">
        <v>3848.394425476178</v>
      </c>
      <c r="S1892" s="24">
        <f>R1892*IF(A1892=4, 2.0, 3.0)</f>
        <v/>
      </c>
      <c r="T1892" s="22">
        <f>'Dashboard &amp; Optimisation'!$B$18*U1892</f>
        <v/>
      </c>
      <c r="U1892" s="27">
        <f>MIN(1, S1892/M1892)</f>
        <v/>
      </c>
      <c r="V1892" s="27">
        <f>N1892/(N1892+O1892)</f>
        <v/>
      </c>
      <c r="W1892" s="27">
        <f>U1892*V1892</f>
        <v/>
      </c>
      <c r="X1892" s="25">
        <f>T1892/N1892</f>
        <v/>
      </c>
      <c r="Y1892" s="28">
        <f>IF(W1892=MAXIFS(W$2:W$3601, A$2:A$3601, A1892, B$2:B$3601, B1892), "OPTIMAL", "")</f>
        <v/>
      </c>
    </row>
    <row r="1893" ht="20" customHeight="1">
      <c r="A1893" s="29" t="n">
        <v>-18</v>
      </c>
      <c r="B1893" s="29" t="n">
        <v>25</v>
      </c>
      <c r="C1893" s="30" t="n">
        <v>90</v>
      </c>
      <c r="D1893" s="30" t="n">
        <v>2</v>
      </c>
      <c r="E1893" s="6" t="n">
        <v>4</v>
      </c>
      <c r="F1893" s="30" t="n">
        <v>2</v>
      </c>
      <c r="G1893" s="6" t="inlineStr">
        <is>
          <t>Non</t>
        </is>
      </c>
      <c r="H1893" s="6" t="inlineStr">
        <is>
          <t>OFF</t>
        </is>
      </c>
      <c r="I1893" s="31" t="n">
        <v>604.2334594602274</v>
      </c>
      <c r="J1893" s="31" t="n">
        <v>4012.68388558375</v>
      </c>
      <c r="K1893" s="31" t="n">
        <v>3342.592592592593</v>
      </c>
      <c r="L1893" s="31" t="n">
        <v>150</v>
      </c>
      <c r="M1893" s="31">
        <f>I1893+J1893+K1893+L1893</f>
        <v/>
      </c>
      <c r="N1893" s="31">
        <f>M1893*'Dashboard &amp; Optimisation'!$B$18/('Dashboard &amp; Optimisation'!$B$16/3.6)</f>
        <v/>
      </c>
      <c r="O1893" s="31" t="n">
        <v>706.1789034976836</v>
      </c>
      <c r="P1893" s="32" t="n">
        <v>0.3250137153420598</v>
      </c>
      <c r="Q1893" s="33" t="n">
        <v>9.902677535321354</v>
      </c>
      <c r="R1893" s="31" t="n">
        <v>848.7618257279421</v>
      </c>
      <c r="S1893" s="31">
        <f>R1893*IF(A1893=4, 2.0, 3.0)</f>
        <v/>
      </c>
      <c r="T1893" s="30">
        <f>'Dashboard &amp; Optimisation'!$B$18*U1893</f>
        <v/>
      </c>
      <c r="U1893" s="34">
        <f>MIN(1, S1893/M1893)</f>
        <v/>
      </c>
      <c r="V1893" s="34">
        <f>N1893/(N1893+O1893)</f>
        <v/>
      </c>
      <c r="W1893" s="34">
        <f>U1893*V1893</f>
        <v/>
      </c>
      <c r="X1893" s="32">
        <f>T1893/N1893</f>
        <v/>
      </c>
      <c r="Y1893" s="35">
        <f>IF(W1893=MAXIFS(W$2:W$3601, A$2:A$3601, A1893, B$2:B$3601, B1893), "OPTIMAL", "")</f>
        <v/>
      </c>
    </row>
    <row r="1894" ht="20" customHeight="1">
      <c r="A1894" s="21" t="n">
        <v>-18</v>
      </c>
      <c r="B1894" s="21" t="n">
        <v>25</v>
      </c>
      <c r="C1894" s="22" t="n">
        <v>90</v>
      </c>
      <c r="D1894" s="22" t="n">
        <v>2</v>
      </c>
      <c r="E1894" s="23" t="n">
        <v>8</v>
      </c>
      <c r="F1894" s="22" t="n">
        <v>1.5</v>
      </c>
      <c r="G1894" s="23" t="inlineStr">
        <is>
          <t>Oui</t>
        </is>
      </c>
      <c r="H1894" s="23" t="inlineStr">
        <is>
          <t>ON</t>
        </is>
      </c>
      <c r="I1894" s="24" t="n">
        <v>604.2334594602274</v>
      </c>
      <c r="J1894" s="24" t="n">
        <v>4012.68388558375</v>
      </c>
      <c r="K1894" s="24" t="n">
        <v>3342.592592592593</v>
      </c>
      <c r="L1894" s="24" t="n">
        <v>150</v>
      </c>
      <c r="M1894" s="24">
        <f>I1894+J1894+K1894+L1894</f>
        <v/>
      </c>
      <c r="N1894" s="24">
        <f>M1894*'Dashboard &amp; Optimisation'!$B$18/('Dashboard &amp; Optimisation'!$B$16/3.6)</f>
        <v/>
      </c>
      <c r="O1894" s="24" t="n">
        <v>875.1161798308945</v>
      </c>
      <c r="P1894" s="25" t="n">
        <v>0.05835644876127537</v>
      </c>
      <c r="Q1894" s="26" t="n">
        <v>14.75401630298203</v>
      </c>
      <c r="R1894" s="24" t="n">
        <v>4847.686020479586</v>
      </c>
      <c r="S1894" s="24">
        <f>R1894*IF(A1894=4, 2.0, 3.0)</f>
        <v/>
      </c>
      <c r="T1894" s="22">
        <f>'Dashboard &amp; Optimisation'!$B$18*U1894</f>
        <v/>
      </c>
      <c r="U1894" s="27">
        <f>MIN(1, S1894/M1894)</f>
        <v/>
      </c>
      <c r="V1894" s="27">
        <f>N1894/(N1894+O1894)</f>
        <v/>
      </c>
      <c r="W1894" s="27">
        <f>U1894*V1894</f>
        <v/>
      </c>
      <c r="X1894" s="25">
        <f>T1894/N1894</f>
        <v/>
      </c>
      <c r="Y1894" s="28">
        <f>IF(W1894=MAXIFS(W$2:W$3601, A$2:A$3601, A1894, B$2:B$3601, B1894), "OPTIMAL", "")</f>
        <v/>
      </c>
    </row>
    <row r="1895" ht="20" customHeight="1">
      <c r="A1895" s="29" t="n">
        <v>-18</v>
      </c>
      <c r="B1895" s="29" t="n">
        <v>25</v>
      </c>
      <c r="C1895" s="30" t="n">
        <v>90</v>
      </c>
      <c r="D1895" s="30" t="n">
        <v>2</v>
      </c>
      <c r="E1895" s="6" t="n">
        <v>8</v>
      </c>
      <c r="F1895" s="30" t="n">
        <v>1.5</v>
      </c>
      <c r="G1895" s="6" t="inlineStr">
        <is>
          <t>Oui</t>
        </is>
      </c>
      <c r="H1895" s="6" t="inlineStr">
        <is>
          <t>OFF</t>
        </is>
      </c>
      <c r="I1895" s="31" t="n">
        <v>604.2334594602274</v>
      </c>
      <c r="J1895" s="31" t="n">
        <v>4012.68388558375</v>
      </c>
      <c r="K1895" s="31" t="n">
        <v>3342.592592592593</v>
      </c>
      <c r="L1895" s="31" t="n">
        <v>150</v>
      </c>
      <c r="M1895" s="31">
        <f>I1895+J1895+K1895+L1895</f>
        <v/>
      </c>
      <c r="N1895" s="31">
        <f>M1895*'Dashboard &amp; Optimisation'!$B$18/('Dashboard &amp; Optimisation'!$B$16/3.6)</f>
        <v/>
      </c>
      <c r="O1895" s="31" t="n">
        <v>875.1161798308945</v>
      </c>
      <c r="P1895" s="32" t="n">
        <v>0.2541545323509655</v>
      </c>
      <c r="Q1895" s="33" t="n">
        <v>14.75401630298203</v>
      </c>
      <c r="R1895" s="31" t="n">
        <v>1113.077694299057</v>
      </c>
      <c r="S1895" s="31">
        <f>R1895*IF(A1895=4, 2.0, 3.0)</f>
        <v/>
      </c>
      <c r="T1895" s="30">
        <f>'Dashboard &amp; Optimisation'!$B$18*U1895</f>
        <v/>
      </c>
      <c r="U1895" s="34">
        <f>MIN(1, S1895/M1895)</f>
        <v/>
      </c>
      <c r="V1895" s="34">
        <f>N1895/(N1895+O1895)</f>
        <v/>
      </c>
      <c r="W1895" s="34">
        <f>U1895*V1895</f>
        <v/>
      </c>
      <c r="X1895" s="32">
        <f>T1895/N1895</f>
        <v/>
      </c>
      <c r="Y1895" s="35">
        <f>IF(W1895=MAXIFS(W$2:W$3601, A$2:A$3601, A1895, B$2:B$3601, B1895), "OPTIMAL", "")</f>
        <v/>
      </c>
    </row>
    <row r="1896" ht="20" customHeight="1">
      <c r="A1896" s="21" t="n">
        <v>-18</v>
      </c>
      <c r="B1896" s="21" t="n">
        <v>25</v>
      </c>
      <c r="C1896" s="22" t="n">
        <v>90</v>
      </c>
      <c r="D1896" s="22" t="n">
        <v>2</v>
      </c>
      <c r="E1896" s="23" t="n">
        <v>8</v>
      </c>
      <c r="F1896" s="22" t="n">
        <v>1.5</v>
      </c>
      <c r="G1896" s="23" t="inlineStr">
        <is>
          <t>Non</t>
        </is>
      </c>
      <c r="H1896" s="23" t="inlineStr">
        <is>
          <t>ON</t>
        </is>
      </c>
      <c r="I1896" s="24" t="n">
        <v>604.2334594602274</v>
      </c>
      <c r="J1896" s="24" t="n">
        <v>4012.68388558375</v>
      </c>
      <c r="K1896" s="24" t="n">
        <v>3342.592592592593</v>
      </c>
      <c r="L1896" s="24" t="n">
        <v>150</v>
      </c>
      <c r="M1896" s="24">
        <f>I1896+J1896+K1896+L1896</f>
        <v/>
      </c>
      <c r="N1896" s="24">
        <f>M1896*'Dashboard &amp; Optimisation'!$B$18/('Dashboard &amp; Optimisation'!$B$16/3.6)</f>
        <v/>
      </c>
      <c r="O1896" s="24" t="n">
        <v>875.1161798308945</v>
      </c>
      <c r="P1896" s="25" t="n">
        <v>0.05481967224812215</v>
      </c>
      <c r="Q1896" s="26" t="n">
        <v>14.75401630298203</v>
      </c>
      <c r="R1896" s="24" t="n">
        <v>5160.442032277171</v>
      </c>
      <c r="S1896" s="24">
        <f>R1896*IF(A1896=4, 2.0, 3.0)</f>
        <v/>
      </c>
      <c r="T1896" s="22">
        <f>'Dashboard &amp; Optimisation'!$B$18*U1896</f>
        <v/>
      </c>
      <c r="U1896" s="27">
        <f>MIN(1, S1896/M1896)</f>
        <v/>
      </c>
      <c r="V1896" s="27">
        <f>N1896/(N1896+O1896)</f>
        <v/>
      </c>
      <c r="W1896" s="27">
        <f>U1896*V1896</f>
        <v/>
      </c>
      <c r="X1896" s="25">
        <f>T1896/N1896</f>
        <v/>
      </c>
      <c r="Y1896" s="28">
        <f>IF(W1896=MAXIFS(W$2:W$3601, A$2:A$3601, A1896, B$2:B$3601, B1896), "OPTIMAL", "")</f>
        <v/>
      </c>
    </row>
    <row r="1897" ht="20" customHeight="1">
      <c r="A1897" s="29" t="n">
        <v>-18</v>
      </c>
      <c r="B1897" s="29" t="n">
        <v>25</v>
      </c>
      <c r="C1897" s="30" t="n">
        <v>90</v>
      </c>
      <c r="D1897" s="30" t="n">
        <v>2</v>
      </c>
      <c r="E1897" s="6" t="n">
        <v>8</v>
      </c>
      <c r="F1897" s="30" t="n">
        <v>1.5</v>
      </c>
      <c r="G1897" s="6" t="inlineStr">
        <is>
          <t>Non</t>
        </is>
      </c>
      <c r="H1897" s="6" t="inlineStr">
        <is>
          <t>OFF</t>
        </is>
      </c>
      <c r="I1897" s="31" t="n">
        <v>604.2334594602274</v>
      </c>
      <c r="J1897" s="31" t="n">
        <v>4012.68388558375</v>
      </c>
      <c r="K1897" s="31" t="n">
        <v>3342.592592592593</v>
      </c>
      <c r="L1897" s="31" t="n">
        <v>150</v>
      </c>
      <c r="M1897" s="31">
        <f>I1897+J1897+K1897+L1897</f>
        <v/>
      </c>
      <c r="N1897" s="31">
        <f>M1897*'Dashboard &amp; Optimisation'!$B$18/('Dashboard &amp; Optimisation'!$B$16/3.6)</f>
        <v/>
      </c>
      <c r="O1897" s="31" t="n">
        <v>875.1161798308945</v>
      </c>
      <c r="P1897" s="32" t="n">
        <v>0.2506177558378123</v>
      </c>
      <c r="Q1897" s="33" t="n">
        <v>14.75401630298203</v>
      </c>
      <c r="R1897" s="31" t="n">
        <v>1128.785707617393</v>
      </c>
      <c r="S1897" s="31">
        <f>R1897*IF(A1897=4, 2.0, 3.0)</f>
        <v/>
      </c>
      <c r="T1897" s="30">
        <f>'Dashboard &amp; Optimisation'!$B$18*U1897</f>
        <v/>
      </c>
      <c r="U1897" s="34">
        <f>MIN(1, S1897/M1897)</f>
        <v/>
      </c>
      <c r="V1897" s="34">
        <f>N1897/(N1897+O1897)</f>
        <v/>
      </c>
      <c r="W1897" s="34">
        <f>U1897*V1897</f>
        <v/>
      </c>
      <c r="X1897" s="32">
        <f>T1897/N1897</f>
        <v/>
      </c>
      <c r="Y1897" s="35">
        <f>IF(W1897=MAXIFS(W$2:W$3601, A$2:A$3601, A1897, B$2:B$3601, B1897), "OPTIMAL", "")</f>
        <v/>
      </c>
    </row>
    <row r="1898" ht="20" customHeight="1">
      <c r="A1898" s="21" t="n">
        <v>-18</v>
      </c>
      <c r="B1898" s="21" t="n">
        <v>25</v>
      </c>
      <c r="C1898" s="22" t="n">
        <v>90</v>
      </c>
      <c r="D1898" s="22" t="n">
        <v>2</v>
      </c>
      <c r="E1898" s="23" t="n">
        <v>8</v>
      </c>
      <c r="F1898" s="22" t="n">
        <v>2</v>
      </c>
      <c r="G1898" s="23" t="inlineStr">
        <is>
          <t>Oui</t>
        </is>
      </c>
      <c r="H1898" s="23" t="inlineStr">
        <is>
          <t>ON</t>
        </is>
      </c>
      <c r="I1898" s="24" t="n">
        <v>604.2334594602274</v>
      </c>
      <c r="J1898" s="24" t="n">
        <v>4012.68388558375</v>
      </c>
      <c r="K1898" s="24" t="n">
        <v>3342.592592592593</v>
      </c>
      <c r="L1898" s="24" t="n">
        <v>150</v>
      </c>
      <c r="M1898" s="24">
        <f>I1898+J1898+K1898+L1898</f>
        <v/>
      </c>
      <c r="N1898" s="24">
        <f>M1898*'Dashboard &amp; Optimisation'!$B$18/('Dashboard &amp; Optimisation'!$B$16/3.6)</f>
        <v/>
      </c>
      <c r="O1898" s="24" t="n">
        <v>1052.894832982628</v>
      </c>
      <c r="P1898" s="25" t="n">
        <v>0.05730401653259074</v>
      </c>
      <c r="Q1898" s="26" t="n">
        <v>19.60535507064271</v>
      </c>
      <c r="R1898" s="24" t="n">
        <v>5065.899698155206</v>
      </c>
      <c r="S1898" s="24">
        <f>R1898*IF(A1898=4, 2.0, 3.0)</f>
        <v/>
      </c>
      <c r="T1898" s="22">
        <f>'Dashboard &amp; Optimisation'!$B$18*U1898</f>
        <v/>
      </c>
      <c r="U1898" s="27">
        <f>MIN(1, S1898/M1898)</f>
        <v/>
      </c>
      <c r="V1898" s="27">
        <f>N1898/(N1898+O1898)</f>
        <v/>
      </c>
      <c r="W1898" s="27">
        <f>U1898*V1898</f>
        <v/>
      </c>
      <c r="X1898" s="25">
        <f>T1898/N1898</f>
        <v/>
      </c>
      <c r="Y1898" s="28">
        <f>IF(W1898=MAXIFS(W$2:W$3601, A$2:A$3601, A1898, B$2:B$3601, B1898), "OPTIMAL", "")</f>
        <v/>
      </c>
    </row>
    <row r="1899" ht="20" customHeight="1">
      <c r="A1899" s="29" t="n">
        <v>-18</v>
      </c>
      <c r="B1899" s="29" t="n">
        <v>25</v>
      </c>
      <c r="C1899" s="30" t="n">
        <v>90</v>
      </c>
      <c r="D1899" s="30" t="n">
        <v>2</v>
      </c>
      <c r="E1899" s="6" t="n">
        <v>8</v>
      </c>
      <c r="F1899" s="30" t="n">
        <v>2</v>
      </c>
      <c r="G1899" s="6" t="inlineStr">
        <is>
          <t>Oui</t>
        </is>
      </c>
      <c r="H1899" s="6" t="inlineStr">
        <is>
          <t>OFF</t>
        </is>
      </c>
      <c r="I1899" s="31" t="n">
        <v>604.2334594602274</v>
      </c>
      <c r="J1899" s="31" t="n">
        <v>4012.68388558375</v>
      </c>
      <c r="K1899" s="31" t="n">
        <v>3342.592592592593</v>
      </c>
      <c r="L1899" s="31" t="n">
        <v>150</v>
      </c>
      <c r="M1899" s="31">
        <f>I1899+J1899+K1899+L1899</f>
        <v/>
      </c>
      <c r="N1899" s="31">
        <f>M1899*'Dashboard &amp; Optimisation'!$B$18/('Dashboard &amp; Optimisation'!$B$16/3.6)</f>
        <v/>
      </c>
      <c r="O1899" s="31" t="n">
        <v>1052.894832982628</v>
      </c>
      <c r="P1899" s="32" t="n">
        <v>0.2546454449662799</v>
      </c>
      <c r="Q1899" s="33" t="n">
        <v>19.60535507064271</v>
      </c>
      <c r="R1899" s="31" t="n">
        <v>1140.002327919015</v>
      </c>
      <c r="S1899" s="31">
        <f>R1899*IF(A1899=4, 2.0, 3.0)</f>
        <v/>
      </c>
      <c r="T1899" s="30">
        <f>'Dashboard &amp; Optimisation'!$B$18*U1899</f>
        <v/>
      </c>
      <c r="U1899" s="34">
        <f>MIN(1, S1899/M1899)</f>
        <v/>
      </c>
      <c r="V1899" s="34">
        <f>N1899/(N1899+O1899)</f>
        <v/>
      </c>
      <c r="W1899" s="34">
        <f>U1899*V1899</f>
        <v/>
      </c>
      <c r="X1899" s="32">
        <f>T1899/N1899</f>
        <v/>
      </c>
      <c r="Y1899" s="35">
        <f>IF(W1899=MAXIFS(W$2:W$3601, A$2:A$3601, A1899, B$2:B$3601, B1899), "OPTIMAL", "")</f>
        <v/>
      </c>
    </row>
    <row r="1900" ht="20" customHeight="1">
      <c r="A1900" s="21" t="n">
        <v>-18</v>
      </c>
      <c r="B1900" s="21" t="n">
        <v>25</v>
      </c>
      <c r="C1900" s="22" t="n">
        <v>90</v>
      </c>
      <c r="D1900" s="22" t="n">
        <v>2</v>
      </c>
      <c r="E1900" s="23" t="n">
        <v>8</v>
      </c>
      <c r="F1900" s="22" t="n">
        <v>2</v>
      </c>
      <c r="G1900" s="23" t="inlineStr">
        <is>
          <t>Non</t>
        </is>
      </c>
      <c r="H1900" s="23" t="inlineStr">
        <is>
          <t>ON</t>
        </is>
      </c>
      <c r="I1900" s="24" t="n">
        <v>604.2334594602274</v>
      </c>
      <c r="J1900" s="24" t="n">
        <v>4012.68388558375</v>
      </c>
      <c r="K1900" s="24" t="n">
        <v>3342.592592592593</v>
      </c>
      <c r="L1900" s="24" t="n">
        <v>150</v>
      </c>
      <c r="M1900" s="24">
        <f>I1900+J1900+K1900+L1900</f>
        <v/>
      </c>
      <c r="N1900" s="24">
        <f>M1900*'Dashboard &amp; Optimisation'!$B$18/('Dashboard &amp; Optimisation'!$B$16/3.6)</f>
        <v/>
      </c>
      <c r="O1900" s="24" t="n">
        <v>1052.894832982628</v>
      </c>
      <c r="P1900" s="25" t="n">
        <v>0.05376724001943751</v>
      </c>
      <c r="Q1900" s="26" t="n">
        <v>19.60535507064271</v>
      </c>
      <c r="R1900" s="24" t="n">
        <v>5399.131514851548</v>
      </c>
      <c r="S1900" s="24">
        <f>R1900*IF(A1900=4, 2.0, 3.0)</f>
        <v/>
      </c>
      <c r="T1900" s="22">
        <f>'Dashboard &amp; Optimisation'!$B$18*U1900</f>
        <v/>
      </c>
      <c r="U1900" s="27">
        <f>MIN(1, S1900/M1900)</f>
        <v/>
      </c>
      <c r="V1900" s="27">
        <f>N1900/(N1900+O1900)</f>
        <v/>
      </c>
      <c r="W1900" s="27">
        <f>U1900*V1900</f>
        <v/>
      </c>
      <c r="X1900" s="25">
        <f>T1900/N1900</f>
        <v/>
      </c>
      <c r="Y1900" s="28">
        <f>IF(W1900=MAXIFS(W$2:W$3601, A$2:A$3601, A1900, B$2:B$3601, B1900), "OPTIMAL", "")</f>
        <v/>
      </c>
    </row>
    <row r="1901" ht="20" customHeight="1">
      <c r="A1901" s="29" t="n">
        <v>-18</v>
      </c>
      <c r="B1901" s="29" t="n">
        <v>25</v>
      </c>
      <c r="C1901" s="30" t="n">
        <v>90</v>
      </c>
      <c r="D1901" s="30" t="n">
        <v>2</v>
      </c>
      <c r="E1901" s="6" t="n">
        <v>8</v>
      </c>
      <c r="F1901" s="30" t="n">
        <v>2</v>
      </c>
      <c r="G1901" s="6" t="inlineStr">
        <is>
          <t>Non</t>
        </is>
      </c>
      <c r="H1901" s="6" t="inlineStr">
        <is>
          <t>OFF</t>
        </is>
      </c>
      <c r="I1901" s="31" t="n">
        <v>604.2334594602274</v>
      </c>
      <c r="J1901" s="31" t="n">
        <v>4012.68388558375</v>
      </c>
      <c r="K1901" s="31" t="n">
        <v>3342.592592592593</v>
      </c>
      <c r="L1901" s="31" t="n">
        <v>150</v>
      </c>
      <c r="M1901" s="31">
        <f>I1901+J1901+K1901+L1901</f>
        <v/>
      </c>
      <c r="N1901" s="31">
        <f>M1901*'Dashboard &amp; Optimisation'!$B$18/('Dashboard &amp; Optimisation'!$B$16/3.6)</f>
        <v/>
      </c>
      <c r="O1901" s="31" t="n">
        <v>1052.894832982628</v>
      </c>
      <c r="P1901" s="32" t="n">
        <v>0.2511086684531266</v>
      </c>
      <c r="Q1901" s="33" t="n">
        <v>19.60535507064271</v>
      </c>
      <c r="R1901" s="31" t="n">
        <v>1156.05885628644</v>
      </c>
      <c r="S1901" s="31">
        <f>R1901*IF(A1901=4, 2.0, 3.0)</f>
        <v/>
      </c>
      <c r="T1901" s="30">
        <f>'Dashboard &amp; Optimisation'!$B$18*U1901</f>
        <v/>
      </c>
      <c r="U1901" s="34">
        <f>MIN(1, S1901/M1901)</f>
        <v/>
      </c>
      <c r="V1901" s="34">
        <f>N1901/(N1901+O1901)</f>
        <v/>
      </c>
      <c r="W1901" s="34">
        <f>U1901*V1901</f>
        <v/>
      </c>
      <c r="X1901" s="32">
        <f>T1901/N1901</f>
        <v/>
      </c>
      <c r="Y1901" s="35">
        <f>IF(W1901=MAXIFS(W$2:W$3601, A$2:A$3601, A1901, B$2:B$3601, B1901), "OPTIMAL", "")</f>
        <v/>
      </c>
    </row>
    <row r="1902" ht="20" customHeight="1">
      <c r="A1902" s="21" t="n">
        <v>-18</v>
      </c>
      <c r="B1902" s="21" t="n">
        <v>25</v>
      </c>
      <c r="C1902" s="22" t="n">
        <v>90</v>
      </c>
      <c r="D1902" s="22" t="n">
        <v>3</v>
      </c>
      <c r="E1902" s="23" t="n">
        <v>0</v>
      </c>
      <c r="F1902" s="22" t="n">
        <v>0</v>
      </c>
      <c r="G1902" s="23" t="inlineStr">
        <is>
          <t>Oui</t>
        </is>
      </c>
      <c r="H1902" s="23" t="inlineStr">
        <is>
          <t>ON</t>
        </is>
      </c>
      <c r="I1902" s="24" t="n">
        <v>604.2334594602274</v>
      </c>
      <c r="J1902" s="24" t="n">
        <v>4012.68388558375</v>
      </c>
      <c r="K1902" s="24" t="n">
        <v>3342.592592592593</v>
      </c>
      <c r="L1902" s="24" t="n">
        <v>150</v>
      </c>
      <c r="M1902" s="24">
        <f>I1902+J1902+K1902+L1902</f>
        <v/>
      </c>
      <c r="N1902" s="24">
        <f>M1902*'Dashboard &amp; Optimisation'!$B$18/('Dashboard &amp; Optimisation'!$B$16/3.6)</f>
        <v/>
      </c>
      <c r="O1902" s="24" t="n">
        <v>609.8195708205945</v>
      </c>
      <c r="P1902" s="25" t="n">
        <v>0.4898971107621382</v>
      </c>
      <c r="Q1902" s="26" t="n">
        <v>0.2</v>
      </c>
      <c r="R1902" s="24" t="n">
        <v>562.2666640982512</v>
      </c>
      <c r="S1902" s="24">
        <f>R1902*IF(A1902=4, 2.0, 3.0)</f>
        <v/>
      </c>
      <c r="T1902" s="22">
        <f>'Dashboard &amp; Optimisation'!$B$18*U1902</f>
        <v/>
      </c>
      <c r="U1902" s="27">
        <f>MIN(1, S1902/M1902)</f>
        <v/>
      </c>
      <c r="V1902" s="27">
        <f>N1902/(N1902+O1902)</f>
        <v/>
      </c>
      <c r="W1902" s="27">
        <f>U1902*V1902</f>
        <v/>
      </c>
      <c r="X1902" s="25">
        <f>T1902/N1902</f>
        <v/>
      </c>
      <c r="Y1902" s="28">
        <f>IF(W1902=MAXIFS(W$2:W$3601, A$2:A$3601, A1902, B$2:B$3601, B1902), "OPTIMAL", "")</f>
        <v/>
      </c>
    </row>
    <row r="1903" ht="20" customHeight="1">
      <c r="A1903" s="29" t="n">
        <v>-18</v>
      </c>
      <c r="B1903" s="29" t="n">
        <v>25</v>
      </c>
      <c r="C1903" s="30" t="n">
        <v>90</v>
      </c>
      <c r="D1903" s="30" t="n">
        <v>3</v>
      </c>
      <c r="E1903" s="6" t="n">
        <v>0</v>
      </c>
      <c r="F1903" s="30" t="n">
        <v>0</v>
      </c>
      <c r="G1903" s="6" t="inlineStr">
        <is>
          <t>Oui</t>
        </is>
      </c>
      <c r="H1903" s="6" t="inlineStr">
        <is>
          <t>OFF</t>
        </is>
      </c>
      <c r="I1903" s="31" t="n">
        <v>604.2334594602274</v>
      </c>
      <c r="J1903" s="31" t="n">
        <v>4012.68388558375</v>
      </c>
      <c r="K1903" s="31" t="n">
        <v>3342.592592592593</v>
      </c>
      <c r="L1903" s="31" t="n">
        <v>150</v>
      </c>
      <c r="M1903" s="31">
        <f>I1903+J1903+K1903+L1903</f>
        <v/>
      </c>
      <c r="N1903" s="31">
        <f>M1903*'Dashboard &amp; Optimisation'!$B$18/('Dashboard &amp; Optimisation'!$B$16/3.6)</f>
        <v/>
      </c>
      <c r="O1903" s="31" t="n">
        <v>609.8195708205945</v>
      </c>
      <c r="P1903" s="32" t="n">
        <v>0.8435747620774612</v>
      </c>
      <c r="Q1903" s="33" t="n">
        <v>0.2</v>
      </c>
      <c r="R1903" s="31" t="n">
        <v>326.5304115325175</v>
      </c>
      <c r="S1903" s="31">
        <f>R1903*IF(A1903=4, 2.0, 3.0)</f>
        <v/>
      </c>
      <c r="T1903" s="30">
        <f>'Dashboard &amp; Optimisation'!$B$18*U1903</f>
        <v/>
      </c>
      <c r="U1903" s="34">
        <f>MIN(1, S1903/M1903)</f>
        <v/>
      </c>
      <c r="V1903" s="34">
        <f>N1903/(N1903+O1903)</f>
        <v/>
      </c>
      <c r="W1903" s="34">
        <f>U1903*V1903</f>
        <v/>
      </c>
      <c r="X1903" s="32">
        <f>T1903/N1903</f>
        <v/>
      </c>
      <c r="Y1903" s="35">
        <f>IF(W1903=MAXIFS(W$2:W$3601, A$2:A$3601, A1903, B$2:B$3601, B1903), "OPTIMAL", "")</f>
        <v/>
      </c>
    </row>
    <row r="1904" ht="20" customHeight="1">
      <c r="A1904" s="21" t="n">
        <v>-18</v>
      </c>
      <c r="B1904" s="21" t="n">
        <v>25</v>
      </c>
      <c r="C1904" s="22" t="n">
        <v>90</v>
      </c>
      <c r="D1904" s="22" t="n">
        <v>3</v>
      </c>
      <c r="E1904" s="23" t="n">
        <v>0</v>
      </c>
      <c r="F1904" s="22" t="n">
        <v>0</v>
      </c>
      <c r="G1904" s="23" t="inlineStr">
        <is>
          <t>Non</t>
        </is>
      </c>
      <c r="H1904" s="23" t="inlineStr">
        <is>
          <t>ON</t>
        </is>
      </c>
      <c r="I1904" s="24" t="n">
        <v>604.2334594602274</v>
      </c>
      <c r="J1904" s="24" t="n">
        <v>4012.68388558375</v>
      </c>
      <c r="K1904" s="24" t="n">
        <v>3342.592592592593</v>
      </c>
      <c r="L1904" s="24" t="n">
        <v>150</v>
      </c>
      <c r="M1904" s="24">
        <f>I1904+J1904+K1904+L1904</f>
        <v/>
      </c>
      <c r="N1904" s="24">
        <f>M1904*'Dashboard &amp; Optimisation'!$B$18/('Dashboard &amp; Optimisation'!$B$16/3.6)</f>
        <v/>
      </c>
      <c r="O1904" s="24" t="n">
        <v>609.8195708205945</v>
      </c>
      <c r="P1904" s="25" t="n">
        <v>0.486360334248985</v>
      </c>
      <c r="Q1904" s="26" t="n">
        <v>0.2</v>
      </c>
      <c r="R1904" s="24" t="n">
        <v>566.3554258489036</v>
      </c>
      <c r="S1904" s="24">
        <f>R1904*IF(A1904=4, 2.0, 3.0)</f>
        <v/>
      </c>
      <c r="T1904" s="22">
        <f>'Dashboard &amp; Optimisation'!$B$18*U1904</f>
        <v/>
      </c>
      <c r="U1904" s="27">
        <f>MIN(1, S1904/M1904)</f>
        <v/>
      </c>
      <c r="V1904" s="27">
        <f>N1904/(N1904+O1904)</f>
        <v/>
      </c>
      <c r="W1904" s="27">
        <f>U1904*V1904</f>
        <v/>
      </c>
      <c r="X1904" s="25">
        <f>T1904/N1904</f>
        <v/>
      </c>
      <c r="Y1904" s="28">
        <f>IF(W1904=MAXIFS(W$2:W$3601, A$2:A$3601, A1904, B$2:B$3601, B1904), "OPTIMAL", "")</f>
        <v/>
      </c>
    </row>
    <row r="1905" ht="20" customHeight="1">
      <c r="A1905" s="29" t="n">
        <v>-18</v>
      </c>
      <c r="B1905" s="29" t="n">
        <v>25</v>
      </c>
      <c r="C1905" s="30" t="n">
        <v>90</v>
      </c>
      <c r="D1905" s="30" t="n">
        <v>3</v>
      </c>
      <c r="E1905" s="6" t="n">
        <v>0</v>
      </c>
      <c r="F1905" s="30" t="n">
        <v>0</v>
      </c>
      <c r="G1905" s="6" t="inlineStr">
        <is>
          <t>Non</t>
        </is>
      </c>
      <c r="H1905" s="6" t="inlineStr">
        <is>
          <t>OFF</t>
        </is>
      </c>
      <c r="I1905" s="31" t="n">
        <v>604.2334594602274</v>
      </c>
      <c r="J1905" s="31" t="n">
        <v>4012.68388558375</v>
      </c>
      <c r="K1905" s="31" t="n">
        <v>3342.592592592593</v>
      </c>
      <c r="L1905" s="31" t="n">
        <v>150</v>
      </c>
      <c r="M1905" s="31">
        <f>I1905+J1905+K1905+L1905</f>
        <v/>
      </c>
      <c r="N1905" s="31">
        <f>M1905*'Dashboard &amp; Optimisation'!$B$18/('Dashboard &amp; Optimisation'!$B$16/3.6)</f>
        <v/>
      </c>
      <c r="O1905" s="31" t="n">
        <v>609.8195708205945</v>
      </c>
      <c r="P1905" s="32" t="n">
        <v>0.840037985564308</v>
      </c>
      <c r="Q1905" s="33" t="n">
        <v>0.2</v>
      </c>
      <c r="R1905" s="31" t="n">
        <v>327.9051887571006</v>
      </c>
      <c r="S1905" s="31">
        <f>R1905*IF(A1905=4, 2.0, 3.0)</f>
        <v/>
      </c>
      <c r="T1905" s="30">
        <f>'Dashboard &amp; Optimisation'!$B$18*U1905</f>
        <v/>
      </c>
      <c r="U1905" s="34">
        <f>MIN(1, S1905/M1905)</f>
        <v/>
      </c>
      <c r="V1905" s="34">
        <f>N1905/(N1905+O1905)</f>
        <v/>
      </c>
      <c r="W1905" s="34">
        <f>U1905*V1905</f>
        <v/>
      </c>
      <c r="X1905" s="32">
        <f>T1905/N1905</f>
        <v/>
      </c>
      <c r="Y1905" s="35">
        <f>IF(W1905=MAXIFS(W$2:W$3601, A$2:A$3601, A1905, B$2:B$3601, B1905), "OPTIMAL", "")</f>
        <v/>
      </c>
    </row>
    <row r="1906" ht="20" customHeight="1">
      <c r="A1906" s="21" t="n">
        <v>-18</v>
      </c>
      <c r="B1906" s="21" t="n">
        <v>25</v>
      </c>
      <c r="C1906" s="22" t="n">
        <v>90</v>
      </c>
      <c r="D1906" s="22" t="n">
        <v>3</v>
      </c>
      <c r="E1906" s="23" t="n">
        <v>4</v>
      </c>
      <c r="F1906" s="22" t="n">
        <v>1.5</v>
      </c>
      <c r="G1906" s="23" t="inlineStr">
        <is>
          <t>Oui</t>
        </is>
      </c>
      <c r="H1906" s="23" t="inlineStr">
        <is>
          <t>ON</t>
        </is>
      </c>
      <c r="I1906" s="24" t="n">
        <v>604.2334594602274</v>
      </c>
      <c r="J1906" s="24" t="n">
        <v>4012.68388558375</v>
      </c>
      <c r="K1906" s="24" t="n">
        <v>3342.592592592593</v>
      </c>
      <c r="L1906" s="24" t="n">
        <v>150</v>
      </c>
      <c r="M1906" s="24">
        <f>I1906+J1906+K1906+L1906</f>
        <v/>
      </c>
      <c r="N1906" s="24">
        <f>M1906*'Dashboard &amp; Optimisation'!$B$18/('Dashboard &amp; Optimisation'!$B$16/3.6)</f>
        <v/>
      </c>
      <c r="O1906" s="24" t="n">
        <v>857.8979251890239</v>
      </c>
      <c r="P1906" s="25" t="n">
        <v>0.07737077298591719</v>
      </c>
      <c r="Q1906" s="26" t="n">
        <v>7.65027025033604</v>
      </c>
      <c r="R1906" s="24" t="n">
        <v>3694.568255036433</v>
      </c>
      <c r="S1906" s="24">
        <f>R1906*IF(A1906=4, 2.0, 3.0)</f>
        <v/>
      </c>
      <c r="T1906" s="22">
        <f>'Dashboard &amp; Optimisation'!$B$18*U1906</f>
        <v/>
      </c>
      <c r="U1906" s="27">
        <f>MIN(1, S1906/M1906)</f>
        <v/>
      </c>
      <c r="V1906" s="27">
        <f>N1906/(N1906+O1906)</f>
        <v/>
      </c>
      <c r="W1906" s="27">
        <f>U1906*V1906</f>
        <v/>
      </c>
      <c r="X1906" s="25">
        <f>T1906/N1906</f>
        <v/>
      </c>
      <c r="Y1906" s="28">
        <f>IF(W1906=MAXIFS(W$2:W$3601, A$2:A$3601, A1906, B$2:B$3601, B1906), "OPTIMAL", "")</f>
        <v/>
      </c>
    </row>
    <row r="1907" ht="20" customHeight="1">
      <c r="A1907" s="29" t="n">
        <v>-18</v>
      </c>
      <c r="B1907" s="29" t="n">
        <v>25</v>
      </c>
      <c r="C1907" s="30" t="n">
        <v>90</v>
      </c>
      <c r="D1907" s="30" t="n">
        <v>3</v>
      </c>
      <c r="E1907" s="6" t="n">
        <v>4</v>
      </c>
      <c r="F1907" s="30" t="n">
        <v>1.5</v>
      </c>
      <c r="G1907" s="6" t="inlineStr">
        <is>
          <t>Oui</t>
        </is>
      </c>
      <c r="H1907" s="6" t="inlineStr">
        <is>
          <t>OFF</t>
        </is>
      </c>
      <c r="I1907" s="31" t="n">
        <v>604.2334594602274</v>
      </c>
      <c r="J1907" s="31" t="n">
        <v>4012.68388558375</v>
      </c>
      <c r="K1907" s="31" t="n">
        <v>3342.592592592593</v>
      </c>
      <c r="L1907" s="31" t="n">
        <v>150</v>
      </c>
      <c r="M1907" s="31">
        <f>I1907+J1907+K1907+L1907</f>
        <v/>
      </c>
      <c r="N1907" s="31">
        <f>M1907*'Dashboard &amp; Optimisation'!$B$18/('Dashboard &amp; Optimisation'!$B$16/3.6)</f>
        <v/>
      </c>
      <c r="O1907" s="31" t="n">
        <v>857.8979251890239</v>
      </c>
      <c r="P1907" s="32" t="n">
        <v>0.3294279943160268</v>
      </c>
      <c r="Q1907" s="33" t="n">
        <v>7.65027025033604</v>
      </c>
      <c r="R1907" s="31" t="n">
        <v>867.7210397218913</v>
      </c>
      <c r="S1907" s="31">
        <f>R1907*IF(A1907=4, 2.0, 3.0)</f>
        <v/>
      </c>
      <c r="T1907" s="30">
        <f>'Dashboard &amp; Optimisation'!$B$18*U1907</f>
        <v/>
      </c>
      <c r="U1907" s="34">
        <f>MIN(1, S1907/M1907)</f>
        <v/>
      </c>
      <c r="V1907" s="34">
        <f>N1907/(N1907+O1907)</f>
        <v/>
      </c>
      <c r="W1907" s="34">
        <f>U1907*V1907</f>
        <v/>
      </c>
      <c r="X1907" s="32">
        <f>T1907/N1907</f>
        <v/>
      </c>
      <c r="Y1907" s="35">
        <f>IF(W1907=MAXIFS(W$2:W$3601, A$2:A$3601, A1907, B$2:B$3601, B1907), "OPTIMAL", "")</f>
        <v/>
      </c>
    </row>
    <row r="1908" ht="20" customHeight="1">
      <c r="A1908" s="21" t="n">
        <v>-18</v>
      </c>
      <c r="B1908" s="21" t="n">
        <v>25</v>
      </c>
      <c r="C1908" s="22" t="n">
        <v>90</v>
      </c>
      <c r="D1908" s="22" t="n">
        <v>3</v>
      </c>
      <c r="E1908" s="23" t="n">
        <v>4</v>
      </c>
      <c r="F1908" s="22" t="n">
        <v>1.5</v>
      </c>
      <c r="G1908" s="23" t="inlineStr">
        <is>
          <t>Non</t>
        </is>
      </c>
      <c r="H1908" s="23" t="inlineStr">
        <is>
          <t>ON</t>
        </is>
      </c>
      <c r="I1908" s="24" t="n">
        <v>604.2334594602274</v>
      </c>
      <c r="J1908" s="24" t="n">
        <v>4012.68388558375</v>
      </c>
      <c r="K1908" s="24" t="n">
        <v>3342.592592592593</v>
      </c>
      <c r="L1908" s="24" t="n">
        <v>150</v>
      </c>
      <c r="M1908" s="24">
        <f>I1908+J1908+K1908+L1908</f>
        <v/>
      </c>
      <c r="N1908" s="24">
        <f>M1908*'Dashboard &amp; Optimisation'!$B$18/('Dashboard &amp; Optimisation'!$B$16/3.6)</f>
        <v/>
      </c>
      <c r="O1908" s="24" t="n">
        <v>857.8979251890239</v>
      </c>
      <c r="P1908" s="25" t="n">
        <v>0.07383399647276395</v>
      </c>
      <c r="Q1908" s="26" t="n">
        <v>7.65027025033604</v>
      </c>
      <c r="R1908" s="24" t="n">
        <v>3871.544483534026</v>
      </c>
      <c r="S1908" s="24">
        <f>R1908*IF(A1908=4, 2.0, 3.0)</f>
        <v/>
      </c>
      <c r="T1908" s="22">
        <f>'Dashboard &amp; Optimisation'!$B$18*U1908</f>
        <v/>
      </c>
      <c r="U1908" s="27">
        <f>MIN(1, S1908/M1908)</f>
        <v/>
      </c>
      <c r="V1908" s="27">
        <f>N1908/(N1908+O1908)</f>
        <v/>
      </c>
      <c r="W1908" s="27">
        <f>U1908*V1908</f>
        <v/>
      </c>
      <c r="X1908" s="25">
        <f>T1908/N1908</f>
        <v/>
      </c>
      <c r="Y1908" s="28">
        <f>IF(W1908=MAXIFS(W$2:W$3601, A$2:A$3601, A1908, B$2:B$3601, B1908), "OPTIMAL", "")</f>
        <v/>
      </c>
    </row>
    <row r="1909" ht="20" customHeight="1">
      <c r="A1909" s="29" t="n">
        <v>-18</v>
      </c>
      <c r="B1909" s="29" t="n">
        <v>25</v>
      </c>
      <c r="C1909" s="30" t="n">
        <v>90</v>
      </c>
      <c r="D1909" s="30" t="n">
        <v>3</v>
      </c>
      <c r="E1909" s="6" t="n">
        <v>4</v>
      </c>
      <c r="F1909" s="30" t="n">
        <v>1.5</v>
      </c>
      <c r="G1909" s="6" t="inlineStr">
        <is>
          <t>Non</t>
        </is>
      </c>
      <c r="H1909" s="6" t="inlineStr">
        <is>
          <t>OFF</t>
        </is>
      </c>
      <c r="I1909" s="31" t="n">
        <v>604.2334594602274</v>
      </c>
      <c r="J1909" s="31" t="n">
        <v>4012.68388558375</v>
      </c>
      <c r="K1909" s="31" t="n">
        <v>3342.592592592593</v>
      </c>
      <c r="L1909" s="31" t="n">
        <v>150</v>
      </c>
      <c r="M1909" s="31">
        <f>I1909+J1909+K1909+L1909</f>
        <v/>
      </c>
      <c r="N1909" s="31">
        <f>M1909*'Dashboard &amp; Optimisation'!$B$18/('Dashboard &amp; Optimisation'!$B$16/3.6)</f>
        <v/>
      </c>
      <c r="O1909" s="31" t="n">
        <v>857.8979251890239</v>
      </c>
      <c r="P1909" s="32" t="n">
        <v>0.3258912178028736</v>
      </c>
      <c r="Q1909" s="33" t="n">
        <v>7.65027025033604</v>
      </c>
      <c r="R1909" s="31" t="n">
        <v>877.1380943266386</v>
      </c>
      <c r="S1909" s="31">
        <f>R1909*IF(A1909=4, 2.0, 3.0)</f>
        <v/>
      </c>
      <c r="T1909" s="30">
        <f>'Dashboard &amp; Optimisation'!$B$18*U1909</f>
        <v/>
      </c>
      <c r="U1909" s="34">
        <f>MIN(1, S1909/M1909)</f>
        <v/>
      </c>
      <c r="V1909" s="34">
        <f>N1909/(N1909+O1909)</f>
        <v/>
      </c>
      <c r="W1909" s="34">
        <f>U1909*V1909</f>
        <v/>
      </c>
      <c r="X1909" s="32">
        <f>T1909/N1909</f>
        <v/>
      </c>
      <c r="Y1909" s="35">
        <f>IF(W1909=MAXIFS(W$2:W$3601, A$2:A$3601, A1909, B$2:B$3601, B1909), "OPTIMAL", "")</f>
        <v/>
      </c>
    </row>
    <row r="1910" ht="20" customHeight="1">
      <c r="A1910" s="21" t="n">
        <v>-18</v>
      </c>
      <c r="B1910" s="21" t="n">
        <v>25</v>
      </c>
      <c r="C1910" s="22" t="n">
        <v>90</v>
      </c>
      <c r="D1910" s="22" t="n">
        <v>3</v>
      </c>
      <c r="E1910" s="23" t="n">
        <v>4</v>
      </c>
      <c r="F1910" s="22" t="n">
        <v>2</v>
      </c>
      <c r="G1910" s="23" t="inlineStr">
        <is>
          <t>Oui</t>
        </is>
      </c>
      <c r="H1910" s="23" t="inlineStr">
        <is>
          <t>ON</t>
        </is>
      </c>
      <c r="I1910" s="24" t="n">
        <v>604.2334594602274</v>
      </c>
      <c r="J1910" s="24" t="n">
        <v>4012.68388558375</v>
      </c>
      <c r="K1910" s="24" t="n">
        <v>3342.592592592593</v>
      </c>
      <c r="L1910" s="24" t="n">
        <v>150</v>
      </c>
      <c r="M1910" s="24">
        <f>I1910+J1910+K1910+L1910</f>
        <v/>
      </c>
      <c r="N1910" s="24">
        <f>M1910*'Dashboard &amp; Optimisation'!$B$18/('Dashboard &amp; Optimisation'!$B$16/3.6)</f>
        <v/>
      </c>
      <c r="O1910" s="24" t="n">
        <v>944.806137509497</v>
      </c>
      <c r="P1910" s="25" t="n">
        <v>0.07505349321204312</v>
      </c>
      <c r="Q1910" s="26" t="n">
        <v>10.13369366711472</v>
      </c>
      <c r="R1910" s="24" t="n">
        <v>3857.176413992307</v>
      </c>
      <c r="S1910" s="24">
        <f>R1910*IF(A1910=4, 2.0, 3.0)</f>
        <v/>
      </c>
      <c r="T1910" s="22">
        <f>'Dashboard &amp; Optimisation'!$B$18*U1910</f>
        <v/>
      </c>
      <c r="U1910" s="27">
        <f>MIN(1, S1910/M1910)</f>
        <v/>
      </c>
      <c r="V1910" s="27">
        <f>N1910/(N1910+O1910)</f>
        <v/>
      </c>
      <c r="W1910" s="27">
        <f>U1910*V1910</f>
        <v/>
      </c>
      <c r="X1910" s="25">
        <f>T1910/N1910</f>
        <v/>
      </c>
      <c r="Y1910" s="28">
        <f>IF(W1910=MAXIFS(W$2:W$3601, A$2:A$3601, A1910, B$2:B$3601, B1910), "OPTIMAL", "")</f>
        <v/>
      </c>
    </row>
    <row r="1911" ht="20" customHeight="1">
      <c r="A1911" s="29" t="n">
        <v>-18</v>
      </c>
      <c r="B1911" s="29" t="n">
        <v>25</v>
      </c>
      <c r="C1911" s="30" t="n">
        <v>90</v>
      </c>
      <c r="D1911" s="30" t="n">
        <v>3</v>
      </c>
      <c r="E1911" s="6" t="n">
        <v>4</v>
      </c>
      <c r="F1911" s="30" t="n">
        <v>2</v>
      </c>
      <c r="G1911" s="6" t="inlineStr">
        <is>
          <t>Oui</t>
        </is>
      </c>
      <c r="H1911" s="6" t="inlineStr">
        <is>
          <t>OFF</t>
        </is>
      </c>
      <c r="I1911" s="31" t="n">
        <v>604.2334594602274</v>
      </c>
      <c r="J1911" s="31" t="n">
        <v>4012.68388558375</v>
      </c>
      <c r="K1911" s="31" t="n">
        <v>3342.592592592593</v>
      </c>
      <c r="L1911" s="31" t="n">
        <v>150</v>
      </c>
      <c r="M1911" s="31">
        <f>I1911+J1911+K1911+L1911</f>
        <v/>
      </c>
      <c r="N1911" s="31">
        <f>M1911*'Dashboard &amp; Optimisation'!$B$18/('Dashboard &amp; Optimisation'!$B$16/3.6)</f>
        <v/>
      </c>
      <c r="O1911" s="31" t="n">
        <v>944.806137509497</v>
      </c>
      <c r="P1911" s="32" t="n">
        <v>0.3283855657905198</v>
      </c>
      <c r="Q1911" s="33" t="n">
        <v>10.13369366711472</v>
      </c>
      <c r="R1911" s="31" t="n">
        <v>881.5690881793986</v>
      </c>
      <c r="S1911" s="31">
        <f>R1911*IF(A1911=4, 2.0, 3.0)</f>
        <v/>
      </c>
      <c r="T1911" s="30">
        <f>'Dashboard &amp; Optimisation'!$B$18*U1911</f>
        <v/>
      </c>
      <c r="U1911" s="34">
        <f>MIN(1, S1911/M1911)</f>
        <v/>
      </c>
      <c r="V1911" s="34">
        <f>N1911/(N1911+O1911)</f>
        <v/>
      </c>
      <c r="W1911" s="34">
        <f>U1911*V1911</f>
        <v/>
      </c>
      <c r="X1911" s="32">
        <f>T1911/N1911</f>
        <v/>
      </c>
      <c r="Y1911" s="35">
        <f>IF(W1911=MAXIFS(W$2:W$3601, A$2:A$3601, A1911, B$2:B$3601, B1911), "OPTIMAL", "")</f>
        <v/>
      </c>
    </row>
    <row r="1912" ht="20" customHeight="1">
      <c r="A1912" s="21" t="n">
        <v>-18</v>
      </c>
      <c r="B1912" s="21" t="n">
        <v>25</v>
      </c>
      <c r="C1912" s="22" t="n">
        <v>90</v>
      </c>
      <c r="D1912" s="22" t="n">
        <v>3</v>
      </c>
      <c r="E1912" s="23" t="n">
        <v>4</v>
      </c>
      <c r="F1912" s="22" t="n">
        <v>2</v>
      </c>
      <c r="G1912" s="23" t="inlineStr">
        <is>
          <t>Non</t>
        </is>
      </c>
      <c r="H1912" s="23" t="inlineStr">
        <is>
          <t>ON</t>
        </is>
      </c>
      <c r="I1912" s="24" t="n">
        <v>604.2334594602274</v>
      </c>
      <c r="J1912" s="24" t="n">
        <v>4012.68388558375</v>
      </c>
      <c r="K1912" s="24" t="n">
        <v>3342.592592592593</v>
      </c>
      <c r="L1912" s="24" t="n">
        <v>150</v>
      </c>
      <c r="M1912" s="24">
        <f>I1912+J1912+K1912+L1912</f>
        <v/>
      </c>
      <c r="N1912" s="24">
        <f>M1912*'Dashboard &amp; Optimisation'!$B$18/('Dashboard &amp; Optimisation'!$B$16/3.6)</f>
        <v/>
      </c>
      <c r="O1912" s="24" t="n">
        <v>944.806137509497</v>
      </c>
      <c r="P1912" s="25" t="n">
        <v>0.07151671669888988</v>
      </c>
      <c r="Q1912" s="26" t="n">
        <v>10.13369366711472</v>
      </c>
      <c r="R1912" s="24" t="n">
        <v>4047.928612608107</v>
      </c>
      <c r="S1912" s="24">
        <f>R1912*IF(A1912=4, 2.0, 3.0)</f>
        <v/>
      </c>
      <c r="T1912" s="22">
        <f>'Dashboard &amp; Optimisation'!$B$18*U1912</f>
        <v/>
      </c>
      <c r="U1912" s="27">
        <f>MIN(1, S1912/M1912)</f>
        <v/>
      </c>
      <c r="V1912" s="27">
        <f>N1912/(N1912+O1912)</f>
        <v/>
      </c>
      <c r="W1912" s="27">
        <f>U1912*V1912</f>
        <v/>
      </c>
      <c r="X1912" s="25">
        <f>T1912/N1912</f>
        <v/>
      </c>
      <c r="Y1912" s="28">
        <f>IF(W1912=MAXIFS(W$2:W$3601, A$2:A$3601, A1912, B$2:B$3601, B1912), "OPTIMAL", "")</f>
        <v/>
      </c>
    </row>
    <row r="1913" ht="20" customHeight="1">
      <c r="A1913" s="29" t="n">
        <v>-18</v>
      </c>
      <c r="B1913" s="29" t="n">
        <v>25</v>
      </c>
      <c r="C1913" s="30" t="n">
        <v>90</v>
      </c>
      <c r="D1913" s="30" t="n">
        <v>3</v>
      </c>
      <c r="E1913" s="6" t="n">
        <v>4</v>
      </c>
      <c r="F1913" s="30" t="n">
        <v>2</v>
      </c>
      <c r="G1913" s="6" t="inlineStr">
        <is>
          <t>Non</t>
        </is>
      </c>
      <c r="H1913" s="6" t="inlineStr">
        <is>
          <t>OFF</t>
        </is>
      </c>
      <c r="I1913" s="31" t="n">
        <v>604.2334594602274</v>
      </c>
      <c r="J1913" s="31" t="n">
        <v>4012.68388558375</v>
      </c>
      <c r="K1913" s="31" t="n">
        <v>3342.592592592593</v>
      </c>
      <c r="L1913" s="31" t="n">
        <v>150</v>
      </c>
      <c r="M1913" s="31">
        <f>I1913+J1913+K1913+L1913</f>
        <v/>
      </c>
      <c r="N1913" s="31">
        <f>M1913*'Dashboard &amp; Optimisation'!$B$18/('Dashboard &amp; Optimisation'!$B$16/3.6)</f>
        <v/>
      </c>
      <c r="O1913" s="31" t="n">
        <v>944.806137509497</v>
      </c>
      <c r="P1913" s="32" t="n">
        <v>0.3248487892773665</v>
      </c>
      <c r="Q1913" s="33" t="n">
        <v>10.13369366711472</v>
      </c>
      <c r="R1913" s="31" t="n">
        <v>891.1671317883363</v>
      </c>
      <c r="S1913" s="31">
        <f>R1913*IF(A1913=4, 2.0, 3.0)</f>
        <v/>
      </c>
      <c r="T1913" s="30">
        <f>'Dashboard &amp; Optimisation'!$B$18*U1913</f>
        <v/>
      </c>
      <c r="U1913" s="34">
        <f>MIN(1, S1913/M1913)</f>
        <v/>
      </c>
      <c r="V1913" s="34">
        <f>N1913/(N1913+O1913)</f>
        <v/>
      </c>
      <c r="W1913" s="34">
        <f>U1913*V1913</f>
        <v/>
      </c>
      <c r="X1913" s="32">
        <f>T1913/N1913</f>
        <v/>
      </c>
      <c r="Y1913" s="35">
        <f>IF(W1913=MAXIFS(W$2:W$3601, A$2:A$3601, A1913, B$2:B$3601, B1913), "OPTIMAL", "")</f>
        <v/>
      </c>
    </row>
    <row r="1914" ht="20" customHeight="1">
      <c r="A1914" s="21" t="n">
        <v>-18</v>
      </c>
      <c r="B1914" s="21" t="n">
        <v>25</v>
      </c>
      <c r="C1914" s="22" t="n">
        <v>90</v>
      </c>
      <c r="D1914" s="22" t="n">
        <v>3</v>
      </c>
      <c r="E1914" s="23" t="n">
        <v>8</v>
      </c>
      <c r="F1914" s="22" t="n">
        <v>1.5</v>
      </c>
      <c r="G1914" s="23" t="inlineStr">
        <is>
          <t>Oui</t>
        </is>
      </c>
      <c r="H1914" s="23" t="inlineStr">
        <is>
          <t>ON</t>
        </is>
      </c>
      <c r="I1914" s="24" t="n">
        <v>604.2334594602274</v>
      </c>
      <c r="J1914" s="24" t="n">
        <v>4012.68388558375</v>
      </c>
      <c r="K1914" s="24" t="n">
        <v>3342.592592592593</v>
      </c>
      <c r="L1914" s="24" t="n">
        <v>150</v>
      </c>
      <c r="M1914" s="24">
        <f>I1914+J1914+K1914+L1914</f>
        <v/>
      </c>
      <c r="N1914" s="24">
        <f>M1914*'Dashboard &amp; Optimisation'!$B$18/('Dashboard &amp; Optimisation'!$B$16/3.6)</f>
        <v/>
      </c>
      <c r="O1914" s="24" t="n">
        <v>1125.441851372943</v>
      </c>
      <c r="P1914" s="25" t="n">
        <v>0.05825094544482953</v>
      </c>
      <c r="Q1914" s="26" t="n">
        <v>15.10054050067208</v>
      </c>
      <c r="R1914" s="24" t="n">
        <v>5099.768462229694</v>
      </c>
      <c r="S1914" s="24">
        <f>R1914*IF(A1914=4, 2.0, 3.0)</f>
        <v/>
      </c>
      <c r="T1914" s="22">
        <f>'Dashboard &amp; Optimisation'!$B$18*U1914</f>
        <v/>
      </c>
      <c r="U1914" s="27">
        <f>MIN(1, S1914/M1914)</f>
        <v/>
      </c>
      <c r="V1914" s="27">
        <f>N1914/(N1914+O1914)</f>
        <v/>
      </c>
      <c r="W1914" s="27">
        <f>U1914*V1914</f>
        <v/>
      </c>
      <c r="X1914" s="25">
        <f>T1914/N1914</f>
        <v/>
      </c>
      <c r="Y1914" s="28">
        <f>IF(W1914=MAXIFS(W$2:W$3601, A$2:A$3601, A1914, B$2:B$3601, B1914), "OPTIMAL", "")</f>
        <v/>
      </c>
    </row>
    <row r="1915" ht="20" customHeight="1">
      <c r="A1915" s="29" t="n">
        <v>-18</v>
      </c>
      <c r="B1915" s="29" t="n">
        <v>25</v>
      </c>
      <c r="C1915" s="30" t="n">
        <v>90</v>
      </c>
      <c r="D1915" s="30" t="n">
        <v>3</v>
      </c>
      <c r="E1915" s="6" t="n">
        <v>8</v>
      </c>
      <c r="F1915" s="30" t="n">
        <v>1.5</v>
      </c>
      <c r="G1915" s="6" t="inlineStr">
        <is>
          <t>Oui</t>
        </is>
      </c>
      <c r="H1915" s="6" t="inlineStr">
        <is>
          <t>OFF</t>
        </is>
      </c>
      <c r="I1915" s="31" t="n">
        <v>604.2334594602274</v>
      </c>
      <c r="J1915" s="31" t="n">
        <v>4012.68388558375</v>
      </c>
      <c r="K1915" s="31" t="n">
        <v>3342.592592592593</v>
      </c>
      <c r="L1915" s="31" t="n">
        <v>150</v>
      </c>
      <c r="M1915" s="31">
        <f>I1915+J1915+K1915+L1915</f>
        <v/>
      </c>
      <c r="N1915" s="31">
        <f>M1915*'Dashboard &amp; Optimisation'!$B$18/('Dashboard &amp; Optimisation'!$B$16/3.6)</f>
        <v/>
      </c>
      <c r="O1915" s="31" t="n">
        <v>1125.441851372943</v>
      </c>
      <c r="P1915" s="32" t="n">
        <v>0.2540490290345196</v>
      </c>
      <c r="Q1915" s="33" t="n">
        <v>15.10054050067208</v>
      </c>
      <c r="R1915" s="31" t="n">
        <v>1169.326785477457</v>
      </c>
      <c r="S1915" s="31">
        <f>R1915*IF(A1915=4, 2.0, 3.0)</f>
        <v/>
      </c>
      <c r="T1915" s="30">
        <f>'Dashboard &amp; Optimisation'!$B$18*U1915</f>
        <v/>
      </c>
      <c r="U1915" s="34">
        <f>MIN(1, S1915/M1915)</f>
        <v/>
      </c>
      <c r="V1915" s="34">
        <f>N1915/(N1915+O1915)</f>
        <v/>
      </c>
      <c r="W1915" s="34">
        <f>U1915*V1915</f>
        <v/>
      </c>
      <c r="X1915" s="32">
        <f>T1915/N1915</f>
        <v/>
      </c>
      <c r="Y1915" s="35">
        <f>IF(W1915=MAXIFS(W$2:W$3601, A$2:A$3601, A1915, B$2:B$3601, B1915), "OPTIMAL", "")</f>
        <v/>
      </c>
    </row>
    <row r="1916" ht="20" customHeight="1">
      <c r="A1916" s="21" t="n">
        <v>-18</v>
      </c>
      <c r="B1916" s="21" t="n">
        <v>25</v>
      </c>
      <c r="C1916" s="22" t="n">
        <v>90</v>
      </c>
      <c r="D1916" s="22" t="n">
        <v>3</v>
      </c>
      <c r="E1916" s="23" t="n">
        <v>8</v>
      </c>
      <c r="F1916" s="22" t="n">
        <v>1.5</v>
      </c>
      <c r="G1916" s="23" t="inlineStr">
        <is>
          <t>Non</t>
        </is>
      </c>
      <c r="H1916" s="23" t="inlineStr">
        <is>
          <t>ON</t>
        </is>
      </c>
      <c r="I1916" s="24" t="n">
        <v>604.2334594602274</v>
      </c>
      <c r="J1916" s="24" t="n">
        <v>4012.68388558375</v>
      </c>
      <c r="K1916" s="24" t="n">
        <v>3342.592592592593</v>
      </c>
      <c r="L1916" s="24" t="n">
        <v>150</v>
      </c>
      <c r="M1916" s="24">
        <f>I1916+J1916+K1916+L1916</f>
        <v/>
      </c>
      <c r="N1916" s="24">
        <f>M1916*'Dashboard &amp; Optimisation'!$B$18/('Dashboard &amp; Optimisation'!$B$16/3.6)</f>
        <v/>
      </c>
      <c r="O1916" s="24" t="n">
        <v>1125.441851372943</v>
      </c>
      <c r="P1916" s="25" t="n">
        <v>0.0547141689316763</v>
      </c>
      <c r="Q1916" s="26" t="n">
        <v>15.10054050067208</v>
      </c>
      <c r="R1916" s="24" t="n">
        <v>5429.422401454407</v>
      </c>
      <c r="S1916" s="24">
        <f>R1916*IF(A1916=4, 2.0, 3.0)</f>
        <v/>
      </c>
      <c r="T1916" s="22">
        <f>'Dashboard &amp; Optimisation'!$B$18*U1916</f>
        <v/>
      </c>
      <c r="U1916" s="27">
        <f>MIN(1, S1916/M1916)</f>
        <v/>
      </c>
      <c r="V1916" s="27">
        <f>N1916/(N1916+O1916)</f>
        <v/>
      </c>
      <c r="W1916" s="27">
        <f>U1916*V1916</f>
        <v/>
      </c>
      <c r="X1916" s="25">
        <f>T1916/N1916</f>
        <v/>
      </c>
      <c r="Y1916" s="28">
        <f>IF(W1916=MAXIFS(W$2:W$3601, A$2:A$3601, A1916, B$2:B$3601, B1916), "OPTIMAL", "")</f>
        <v/>
      </c>
    </row>
    <row r="1917" ht="20" customHeight="1">
      <c r="A1917" s="29" t="n">
        <v>-18</v>
      </c>
      <c r="B1917" s="29" t="n">
        <v>25</v>
      </c>
      <c r="C1917" s="30" t="n">
        <v>90</v>
      </c>
      <c r="D1917" s="30" t="n">
        <v>3</v>
      </c>
      <c r="E1917" s="6" t="n">
        <v>8</v>
      </c>
      <c r="F1917" s="30" t="n">
        <v>1.5</v>
      </c>
      <c r="G1917" s="6" t="inlineStr">
        <is>
          <t>Non</t>
        </is>
      </c>
      <c r="H1917" s="6" t="inlineStr">
        <is>
          <t>OFF</t>
        </is>
      </c>
      <c r="I1917" s="31" t="n">
        <v>604.2334594602274</v>
      </c>
      <c r="J1917" s="31" t="n">
        <v>4012.68388558375</v>
      </c>
      <c r="K1917" s="31" t="n">
        <v>3342.592592592593</v>
      </c>
      <c r="L1917" s="31" t="n">
        <v>150</v>
      </c>
      <c r="M1917" s="31">
        <f>I1917+J1917+K1917+L1917</f>
        <v/>
      </c>
      <c r="N1917" s="31">
        <f>M1917*'Dashboard &amp; Optimisation'!$B$18/('Dashboard &amp; Optimisation'!$B$16/3.6)</f>
        <v/>
      </c>
      <c r="O1917" s="31" t="n">
        <v>1125.441851372943</v>
      </c>
      <c r="P1917" s="32" t="n">
        <v>0.2505122525213664</v>
      </c>
      <c r="Q1917" s="33" t="n">
        <v>15.10054050067208</v>
      </c>
      <c r="R1917" s="31" t="n">
        <v>1185.835548899018</v>
      </c>
      <c r="S1917" s="31">
        <f>R1917*IF(A1917=4, 2.0, 3.0)</f>
        <v/>
      </c>
      <c r="T1917" s="30">
        <f>'Dashboard &amp; Optimisation'!$B$18*U1917</f>
        <v/>
      </c>
      <c r="U1917" s="34">
        <f>MIN(1, S1917/M1917)</f>
        <v/>
      </c>
      <c r="V1917" s="34">
        <f>N1917/(N1917+O1917)</f>
        <v/>
      </c>
      <c r="W1917" s="34">
        <f>U1917*V1917</f>
        <v/>
      </c>
      <c r="X1917" s="32">
        <f>T1917/N1917</f>
        <v/>
      </c>
      <c r="Y1917" s="35">
        <f>IF(W1917=MAXIFS(W$2:W$3601, A$2:A$3601, A1917, B$2:B$3601, B1917), "OPTIMAL", "")</f>
        <v/>
      </c>
    </row>
    <row r="1918" ht="20" customHeight="1">
      <c r="A1918" s="21" t="n">
        <v>-18</v>
      </c>
      <c r="B1918" s="21" t="n">
        <v>25</v>
      </c>
      <c r="C1918" s="22" t="n">
        <v>90</v>
      </c>
      <c r="D1918" s="22" t="n">
        <v>3</v>
      </c>
      <c r="E1918" s="23" t="n">
        <v>8</v>
      </c>
      <c r="F1918" s="22" t="n">
        <v>2</v>
      </c>
      <c r="G1918" s="23" t="inlineStr">
        <is>
          <t>Oui</t>
        </is>
      </c>
      <c r="H1918" s="23" t="inlineStr">
        <is>
          <t>ON</t>
        </is>
      </c>
      <c r="I1918" s="24" t="n">
        <v>604.2334594602274</v>
      </c>
      <c r="J1918" s="24" t="n">
        <v>4012.68388558375</v>
      </c>
      <c r="K1918" s="24" t="n">
        <v>3342.592592592593</v>
      </c>
      <c r="L1918" s="24" t="n">
        <v>150</v>
      </c>
      <c r="M1918" s="24">
        <f>I1918+J1918+K1918+L1918</f>
        <v/>
      </c>
      <c r="N1918" s="24">
        <f>M1918*'Dashboard &amp; Optimisation'!$B$18/('Dashboard &amp; Optimisation'!$B$16/3.6)</f>
        <v/>
      </c>
      <c r="O1918" s="24" t="n">
        <v>1315.780450092631</v>
      </c>
      <c r="P1918" s="25" t="n">
        <v>0.05722883101616391</v>
      </c>
      <c r="Q1918" s="26" t="n">
        <v>20.06738733422944</v>
      </c>
      <c r="R1918" s="24" t="n">
        <v>5330.264815135714</v>
      </c>
      <c r="S1918" s="24">
        <f>R1918*IF(A1918=4, 2.0, 3.0)</f>
        <v/>
      </c>
      <c r="T1918" s="22">
        <f>'Dashboard &amp; Optimisation'!$B$18*U1918</f>
        <v/>
      </c>
      <c r="U1918" s="27">
        <f>MIN(1, S1918/M1918)</f>
        <v/>
      </c>
      <c r="V1918" s="27">
        <f>N1918/(N1918+O1918)</f>
        <v/>
      </c>
      <c r="W1918" s="27">
        <f>U1918*V1918</f>
        <v/>
      </c>
      <c r="X1918" s="25">
        <f>T1918/N1918</f>
        <v/>
      </c>
      <c r="Y1918" s="28">
        <f>IF(W1918=MAXIFS(W$2:W$3601, A$2:A$3601, A1918, B$2:B$3601, B1918), "OPTIMAL", "")</f>
        <v/>
      </c>
    </row>
    <row r="1919" ht="20" customHeight="1">
      <c r="A1919" s="29" t="n">
        <v>-18</v>
      </c>
      <c r="B1919" s="29" t="n">
        <v>25</v>
      </c>
      <c r="C1919" s="30" t="n">
        <v>90</v>
      </c>
      <c r="D1919" s="30" t="n">
        <v>3</v>
      </c>
      <c r="E1919" s="6" t="n">
        <v>8</v>
      </c>
      <c r="F1919" s="30" t="n">
        <v>2</v>
      </c>
      <c r="G1919" s="6" t="inlineStr">
        <is>
          <t>Oui</t>
        </is>
      </c>
      <c r="H1919" s="6" t="inlineStr">
        <is>
          <t>OFF</t>
        </is>
      </c>
      <c r="I1919" s="31" t="n">
        <v>604.2334594602274</v>
      </c>
      <c r="J1919" s="31" t="n">
        <v>4012.68388558375</v>
      </c>
      <c r="K1919" s="31" t="n">
        <v>3342.592592592593</v>
      </c>
      <c r="L1919" s="31" t="n">
        <v>150</v>
      </c>
      <c r="M1919" s="31">
        <f>I1919+J1919+K1919+L1919</f>
        <v/>
      </c>
      <c r="N1919" s="31">
        <f>M1919*'Dashboard &amp; Optimisation'!$B$18/('Dashboard &amp; Optimisation'!$B$16/3.6)</f>
        <v/>
      </c>
      <c r="O1919" s="31" t="n">
        <v>1315.780450092631</v>
      </c>
      <c r="P1919" s="32" t="n">
        <v>0.2545702594498531</v>
      </c>
      <c r="Q1919" s="33" t="n">
        <v>20.06738733422944</v>
      </c>
      <c r="R1919" s="31" t="n">
        <v>1198.273612306609</v>
      </c>
      <c r="S1919" s="31">
        <f>R1919*IF(A1919=4, 2.0, 3.0)</f>
        <v/>
      </c>
      <c r="T1919" s="30">
        <f>'Dashboard &amp; Optimisation'!$B$18*U1919</f>
        <v/>
      </c>
      <c r="U1919" s="34">
        <f>MIN(1, S1919/M1919)</f>
        <v/>
      </c>
      <c r="V1919" s="34">
        <f>N1919/(N1919+O1919)</f>
        <v/>
      </c>
      <c r="W1919" s="34">
        <f>U1919*V1919</f>
        <v/>
      </c>
      <c r="X1919" s="32">
        <f>T1919/N1919</f>
        <v/>
      </c>
      <c r="Y1919" s="35">
        <f>IF(W1919=MAXIFS(W$2:W$3601, A$2:A$3601, A1919, B$2:B$3601, B1919), "OPTIMAL", "")</f>
        <v/>
      </c>
    </row>
    <row r="1920" ht="20" customHeight="1">
      <c r="A1920" s="21" t="n">
        <v>-18</v>
      </c>
      <c r="B1920" s="21" t="n">
        <v>25</v>
      </c>
      <c r="C1920" s="22" t="n">
        <v>90</v>
      </c>
      <c r="D1920" s="22" t="n">
        <v>3</v>
      </c>
      <c r="E1920" s="23" t="n">
        <v>8</v>
      </c>
      <c r="F1920" s="22" t="n">
        <v>2</v>
      </c>
      <c r="G1920" s="23" t="inlineStr">
        <is>
          <t>Non</t>
        </is>
      </c>
      <c r="H1920" s="23" t="inlineStr">
        <is>
          <t>ON</t>
        </is>
      </c>
      <c r="I1920" s="24" t="n">
        <v>604.2334594602274</v>
      </c>
      <c r="J1920" s="24" t="n">
        <v>4012.68388558375</v>
      </c>
      <c r="K1920" s="24" t="n">
        <v>3342.592592592593</v>
      </c>
      <c r="L1920" s="24" t="n">
        <v>150</v>
      </c>
      <c r="M1920" s="24">
        <f>I1920+J1920+K1920+L1920</f>
        <v/>
      </c>
      <c r="N1920" s="24">
        <f>M1920*'Dashboard &amp; Optimisation'!$B$18/('Dashboard &amp; Optimisation'!$B$16/3.6)</f>
        <v/>
      </c>
      <c r="O1920" s="24" t="n">
        <v>1315.780450092631</v>
      </c>
      <c r="P1920" s="25" t="n">
        <v>0.05369205450301068</v>
      </c>
      <c r="Q1920" s="26" t="n">
        <v>20.06738733422944</v>
      </c>
      <c r="R1920" s="24" t="n">
        <v>5681.37738815156</v>
      </c>
      <c r="S1920" s="24">
        <f>R1920*IF(A1920=4, 2.0, 3.0)</f>
        <v/>
      </c>
      <c r="T1920" s="22">
        <f>'Dashboard &amp; Optimisation'!$B$18*U1920</f>
        <v/>
      </c>
      <c r="U1920" s="27">
        <f>MIN(1, S1920/M1920)</f>
        <v/>
      </c>
      <c r="V1920" s="27">
        <f>N1920/(N1920+O1920)</f>
        <v/>
      </c>
      <c r="W1920" s="27">
        <f>U1920*V1920</f>
        <v/>
      </c>
      <c r="X1920" s="25">
        <f>T1920/N1920</f>
        <v/>
      </c>
      <c r="Y1920" s="28">
        <f>IF(W1920=MAXIFS(W$2:W$3601, A$2:A$3601, A1920, B$2:B$3601, B1920), "OPTIMAL", "")</f>
        <v/>
      </c>
    </row>
    <row r="1921" ht="20" customHeight="1">
      <c r="A1921" s="29" t="n">
        <v>-18</v>
      </c>
      <c r="B1921" s="29" t="n">
        <v>25</v>
      </c>
      <c r="C1921" s="30" t="n">
        <v>90</v>
      </c>
      <c r="D1921" s="30" t="n">
        <v>3</v>
      </c>
      <c r="E1921" s="6" t="n">
        <v>8</v>
      </c>
      <c r="F1921" s="30" t="n">
        <v>2</v>
      </c>
      <c r="G1921" s="6" t="inlineStr">
        <is>
          <t>Non</t>
        </is>
      </c>
      <c r="H1921" s="6" t="inlineStr">
        <is>
          <t>OFF</t>
        </is>
      </c>
      <c r="I1921" s="31" t="n">
        <v>604.2334594602274</v>
      </c>
      <c r="J1921" s="31" t="n">
        <v>4012.68388558375</v>
      </c>
      <c r="K1921" s="31" t="n">
        <v>3342.592592592593</v>
      </c>
      <c r="L1921" s="31" t="n">
        <v>150</v>
      </c>
      <c r="M1921" s="31">
        <f>I1921+J1921+K1921+L1921</f>
        <v/>
      </c>
      <c r="N1921" s="31">
        <f>M1921*'Dashboard &amp; Optimisation'!$B$18/('Dashboard &amp; Optimisation'!$B$16/3.6)</f>
        <v/>
      </c>
      <c r="O1921" s="31" t="n">
        <v>1315.780450092631</v>
      </c>
      <c r="P1921" s="32" t="n">
        <v>0.2510334829366998</v>
      </c>
      <c r="Q1921" s="33" t="n">
        <v>20.06738733422944</v>
      </c>
      <c r="R1921" s="31" t="n">
        <v>1215.155925848049</v>
      </c>
      <c r="S1921" s="31">
        <f>R1921*IF(A1921=4, 2.0, 3.0)</f>
        <v/>
      </c>
      <c r="T1921" s="30">
        <f>'Dashboard &amp; Optimisation'!$B$18*U1921</f>
        <v/>
      </c>
      <c r="U1921" s="34">
        <f>MIN(1, S1921/M1921)</f>
        <v/>
      </c>
      <c r="V1921" s="34">
        <f>N1921/(N1921+O1921)</f>
        <v/>
      </c>
      <c r="W1921" s="34">
        <f>U1921*V1921</f>
        <v/>
      </c>
      <c r="X1921" s="32">
        <f>T1921/N1921</f>
        <v/>
      </c>
      <c r="Y1921" s="35">
        <f>IF(W1921=MAXIFS(W$2:W$3601, A$2:A$3601, A1921, B$2:B$3601, B1921), "OPTIMAL", "")</f>
        <v/>
      </c>
    </row>
    <row r="1922" ht="20" customHeight="1">
      <c r="A1922" s="21" t="n">
        <v>-18</v>
      </c>
      <c r="B1922" s="21" t="n">
        <v>25</v>
      </c>
      <c r="C1922" s="22" t="n">
        <v>95</v>
      </c>
      <c r="D1922" s="22" t="n">
        <v>2</v>
      </c>
      <c r="E1922" s="23" t="n">
        <v>0</v>
      </c>
      <c r="F1922" s="22" t="n">
        <v>0</v>
      </c>
      <c r="G1922" s="23" t="inlineStr">
        <is>
          <t>Oui</t>
        </is>
      </c>
      <c r="H1922" s="23" t="inlineStr">
        <is>
          <t>ON</t>
        </is>
      </c>
      <c r="I1922" s="24" t="n">
        <v>604.2334594602274</v>
      </c>
      <c r="J1922" s="24" t="n">
        <v>4012.68388558375</v>
      </c>
      <c r="K1922" s="24" t="n">
        <v>3342.592592592593</v>
      </c>
      <c r="L1922" s="24" t="n">
        <v>150</v>
      </c>
      <c r="M1922" s="24">
        <f>I1922+J1922+K1922+L1922</f>
        <v/>
      </c>
      <c r="N1922" s="24">
        <f>M1922*'Dashboard &amp; Optimisation'!$B$18/('Dashboard &amp; Optimisation'!$B$16/3.6)</f>
        <v/>
      </c>
      <c r="O1922" s="24" t="n">
        <v>370.2964788333171</v>
      </c>
      <c r="P1922" s="25" t="n">
        <v>0.4850371448496216</v>
      </c>
      <c r="Q1922" s="26" t="n">
        <v>0.2</v>
      </c>
      <c r="R1922" s="24" t="n">
        <v>483.8915101390286</v>
      </c>
      <c r="S1922" s="24">
        <f>R1922*IF(A1922=4, 2.0, 3.0)</f>
        <v/>
      </c>
      <c r="T1922" s="22">
        <f>'Dashboard &amp; Optimisation'!$B$18*U1922</f>
        <v/>
      </c>
      <c r="U1922" s="27">
        <f>MIN(1, S1922/M1922)</f>
        <v/>
      </c>
      <c r="V1922" s="27">
        <f>N1922/(N1922+O1922)</f>
        <v/>
      </c>
      <c r="W1922" s="27">
        <f>U1922*V1922</f>
        <v/>
      </c>
      <c r="X1922" s="25">
        <f>T1922/N1922</f>
        <v/>
      </c>
      <c r="Y1922" s="28">
        <f>IF(W1922=MAXIFS(W$2:W$3601, A$2:A$3601, A1922, B$2:B$3601, B1922), "OPTIMAL", "")</f>
        <v/>
      </c>
    </row>
    <row r="1923" ht="20" customHeight="1">
      <c r="A1923" s="29" t="n">
        <v>-18</v>
      </c>
      <c r="B1923" s="29" t="n">
        <v>25</v>
      </c>
      <c r="C1923" s="30" t="n">
        <v>95</v>
      </c>
      <c r="D1923" s="30" t="n">
        <v>2</v>
      </c>
      <c r="E1923" s="6" t="n">
        <v>0</v>
      </c>
      <c r="F1923" s="30" t="n">
        <v>0</v>
      </c>
      <c r="G1923" s="6" t="inlineStr">
        <is>
          <t>Oui</t>
        </is>
      </c>
      <c r="H1923" s="6" t="inlineStr">
        <is>
          <t>OFF</t>
        </is>
      </c>
      <c r="I1923" s="31" t="n">
        <v>604.2334594602274</v>
      </c>
      <c r="J1923" s="31" t="n">
        <v>4012.68388558375</v>
      </c>
      <c r="K1923" s="31" t="n">
        <v>3342.592592592593</v>
      </c>
      <c r="L1923" s="31" t="n">
        <v>150</v>
      </c>
      <c r="M1923" s="31">
        <f>I1923+J1923+K1923+L1923</f>
        <v/>
      </c>
      <c r="N1923" s="31">
        <f>M1923*'Dashboard &amp; Optimisation'!$B$18/('Dashboard &amp; Optimisation'!$B$16/3.6)</f>
        <v/>
      </c>
      <c r="O1923" s="31" t="n">
        <v>370.2964788333171</v>
      </c>
      <c r="P1923" s="32" t="n">
        <v>0.8201001829378223</v>
      </c>
      <c r="Q1923" s="33" t="n">
        <v>0.2</v>
      </c>
      <c r="R1923" s="31" t="n">
        <v>286.1910793069545</v>
      </c>
      <c r="S1923" s="31">
        <f>R1923*IF(A1923=4, 2.0, 3.0)</f>
        <v/>
      </c>
      <c r="T1923" s="30">
        <f>'Dashboard &amp; Optimisation'!$B$18*U1923</f>
        <v/>
      </c>
      <c r="U1923" s="34">
        <f>MIN(1, S1923/M1923)</f>
        <v/>
      </c>
      <c r="V1923" s="34">
        <f>N1923/(N1923+O1923)</f>
        <v/>
      </c>
      <c r="W1923" s="34">
        <f>U1923*V1923</f>
        <v/>
      </c>
      <c r="X1923" s="32">
        <f>T1923/N1923</f>
        <v/>
      </c>
      <c r="Y1923" s="35">
        <f>IF(W1923=MAXIFS(W$2:W$3601, A$2:A$3601, A1923, B$2:B$3601, B1923), "OPTIMAL", "")</f>
        <v/>
      </c>
    </row>
    <row r="1924" ht="20" customHeight="1">
      <c r="A1924" s="21" t="n">
        <v>-18</v>
      </c>
      <c r="B1924" s="21" t="n">
        <v>25</v>
      </c>
      <c r="C1924" s="22" t="n">
        <v>95</v>
      </c>
      <c r="D1924" s="22" t="n">
        <v>2</v>
      </c>
      <c r="E1924" s="23" t="n">
        <v>0</v>
      </c>
      <c r="F1924" s="22" t="n">
        <v>0</v>
      </c>
      <c r="G1924" s="23" t="inlineStr">
        <is>
          <t>Non</t>
        </is>
      </c>
      <c r="H1924" s="23" t="inlineStr">
        <is>
          <t>ON</t>
        </is>
      </c>
      <c r="I1924" s="24" t="n">
        <v>604.2334594602274</v>
      </c>
      <c r="J1924" s="24" t="n">
        <v>4012.68388558375</v>
      </c>
      <c r="K1924" s="24" t="n">
        <v>3342.592592592593</v>
      </c>
      <c r="L1924" s="24" t="n">
        <v>150</v>
      </c>
      <c r="M1924" s="24">
        <f>I1924+J1924+K1924+L1924</f>
        <v/>
      </c>
      <c r="N1924" s="24">
        <f>M1924*'Dashboard &amp; Optimisation'!$B$18/('Dashboard &amp; Optimisation'!$B$16/3.6)</f>
        <v/>
      </c>
      <c r="O1924" s="24" t="n">
        <v>370.2964788333171</v>
      </c>
      <c r="P1924" s="25" t="n">
        <v>0.4816865144687396</v>
      </c>
      <c r="Q1924" s="26" t="n">
        <v>0.2</v>
      </c>
      <c r="R1924" s="24" t="n">
        <v>487.2574785567057</v>
      </c>
      <c r="S1924" s="24">
        <f>R1924*IF(A1924=4, 2.0, 3.0)</f>
        <v/>
      </c>
      <c r="T1924" s="22">
        <f>'Dashboard &amp; Optimisation'!$B$18*U1924</f>
        <v/>
      </c>
      <c r="U1924" s="27">
        <f>MIN(1, S1924/M1924)</f>
        <v/>
      </c>
      <c r="V1924" s="27">
        <f>N1924/(N1924+O1924)</f>
        <v/>
      </c>
      <c r="W1924" s="27">
        <f>U1924*V1924</f>
        <v/>
      </c>
      <c r="X1924" s="25">
        <f>T1924/N1924</f>
        <v/>
      </c>
      <c r="Y1924" s="28">
        <f>IF(W1924=MAXIFS(W$2:W$3601, A$2:A$3601, A1924, B$2:B$3601, B1924), "OPTIMAL", "")</f>
        <v/>
      </c>
    </row>
    <row r="1925" ht="20" customHeight="1">
      <c r="A1925" s="29" t="n">
        <v>-18</v>
      </c>
      <c r="B1925" s="29" t="n">
        <v>25</v>
      </c>
      <c r="C1925" s="30" t="n">
        <v>95</v>
      </c>
      <c r="D1925" s="30" t="n">
        <v>2</v>
      </c>
      <c r="E1925" s="6" t="n">
        <v>0</v>
      </c>
      <c r="F1925" s="30" t="n">
        <v>0</v>
      </c>
      <c r="G1925" s="6" t="inlineStr">
        <is>
          <t>Non</t>
        </is>
      </c>
      <c r="H1925" s="6" t="inlineStr">
        <is>
          <t>OFF</t>
        </is>
      </c>
      <c r="I1925" s="31" t="n">
        <v>604.2334594602274</v>
      </c>
      <c r="J1925" s="31" t="n">
        <v>4012.68388558375</v>
      </c>
      <c r="K1925" s="31" t="n">
        <v>3342.592592592593</v>
      </c>
      <c r="L1925" s="31" t="n">
        <v>150</v>
      </c>
      <c r="M1925" s="31">
        <f>I1925+J1925+K1925+L1925</f>
        <v/>
      </c>
      <c r="N1925" s="31">
        <f>M1925*'Dashboard &amp; Optimisation'!$B$18/('Dashboard &amp; Optimisation'!$B$16/3.6)</f>
        <v/>
      </c>
      <c r="O1925" s="31" t="n">
        <v>370.2964788333171</v>
      </c>
      <c r="P1925" s="32" t="n">
        <v>0.8167495525569404</v>
      </c>
      <c r="Q1925" s="33" t="n">
        <v>0.2</v>
      </c>
      <c r="R1925" s="31" t="n">
        <v>287.3651485452677</v>
      </c>
      <c r="S1925" s="31">
        <f>R1925*IF(A1925=4, 2.0, 3.0)</f>
        <v/>
      </c>
      <c r="T1925" s="30">
        <f>'Dashboard &amp; Optimisation'!$B$18*U1925</f>
        <v/>
      </c>
      <c r="U1925" s="34">
        <f>MIN(1, S1925/M1925)</f>
        <v/>
      </c>
      <c r="V1925" s="34">
        <f>N1925/(N1925+O1925)</f>
        <v/>
      </c>
      <c r="W1925" s="34">
        <f>U1925*V1925</f>
        <v/>
      </c>
      <c r="X1925" s="32">
        <f>T1925/N1925</f>
        <v/>
      </c>
      <c r="Y1925" s="35">
        <f>IF(W1925=MAXIFS(W$2:W$3601, A$2:A$3601, A1925, B$2:B$3601, B1925), "OPTIMAL", "")</f>
        <v/>
      </c>
    </row>
    <row r="1926" ht="20" customHeight="1">
      <c r="A1926" s="21" t="n">
        <v>-18</v>
      </c>
      <c r="B1926" s="21" t="n">
        <v>25</v>
      </c>
      <c r="C1926" s="22" t="n">
        <v>95</v>
      </c>
      <c r="D1926" s="22" t="n">
        <v>2</v>
      </c>
      <c r="E1926" s="23" t="n">
        <v>4</v>
      </c>
      <c r="F1926" s="22" t="n">
        <v>1.5</v>
      </c>
      <c r="G1926" s="23" t="inlineStr">
        <is>
          <t>Oui</t>
        </is>
      </c>
      <c r="H1926" s="23" t="inlineStr">
        <is>
          <t>ON</t>
        </is>
      </c>
      <c r="I1926" s="24" t="n">
        <v>604.2334594602274</v>
      </c>
      <c r="J1926" s="24" t="n">
        <v>4012.68388558375</v>
      </c>
      <c r="K1926" s="24" t="n">
        <v>3342.592592592593</v>
      </c>
      <c r="L1926" s="24" t="n">
        <v>150</v>
      </c>
      <c r="M1926" s="24">
        <f>I1926+J1926+K1926+L1926</f>
        <v/>
      </c>
      <c r="N1926" s="24">
        <f>M1926*'Dashboard &amp; Optimisation'!$B$18/('Dashboard &amp; Optimisation'!$B$16/3.6)</f>
        <v/>
      </c>
      <c r="O1926" s="24" t="n">
        <v>585.3882393983087</v>
      </c>
      <c r="P1926" s="25" t="n">
        <v>0.07557959322797822</v>
      </c>
      <c r="Q1926" s="26" t="n">
        <v>7.077172538771729</v>
      </c>
      <c r="R1926" s="24" t="n">
        <v>3213.309195557109</v>
      </c>
      <c r="S1926" s="24">
        <f>R1926*IF(A1926=4, 2.0, 3.0)</f>
        <v/>
      </c>
      <c r="T1926" s="22">
        <f>'Dashboard &amp; Optimisation'!$B$18*U1926</f>
        <v/>
      </c>
      <c r="U1926" s="27">
        <f>MIN(1, S1926/M1926)</f>
        <v/>
      </c>
      <c r="V1926" s="27">
        <f>N1926/(N1926+O1926)</f>
        <v/>
      </c>
      <c r="W1926" s="27">
        <f>U1926*V1926</f>
        <v/>
      </c>
      <c r="X1926" s="25">
        <f>T1926/N1926</f>
        <v/>
      </c>
      <c r="Y1926" s="28">
        <f>IF(W1926=MAXIFS(W$2:W$3601, A$2:A$3601, A1926, B$2:B$3601, B1926), "OPTIMAL", "")</f>
        <v/>
      </c>
    </row>
    <row r="1927" ht="20" customHeight="1">
      <c r="A1927" s="29" t="n">
        <v>-18</v>
      </c>
      <c r="B1927" s="29" t="n">
        <v>25</v>
      </c>
      <c r="C1927" s="30" t="n">
        <v>95</v>
      </c>
      <c r="D1927" s="30" t="n">
        <v>2</v>
      </c>
      <c r="E1927" s="6" t="n">
        <v>4</v>
      </c>
      <c r="F1927" s="30" t="n">
        <v>1.5</v>
      </c>
      <c r="G1927" s="6" t="inlineStr">
        <is>
          <t>Oui</t>
        </is>
      </c>
      <c r="H1927" s="6" t="inlineStr">
        <is>
          <t>OFF</t>
        </is>
      </c>
      <c r="I1927" s="31" t="n">
        <v>604.2334594602274</v>
      </c>
      <c r="J1927" s="31" t="n">
        <v>4012.68388558375</v>
      </c>
      <c r="K1927" s="31" t="n">
        <v>3342.592592592593</v>
      </c>
      <c r="L1927" s="31" t="n">
        <v>150</v>
      </c>
      <c r="M1927" s="31">
        <f>I1927+J1927+K1927+L1927</f>
        <v/>
      </c>
      <c r="N1927" s="31">
        <f>M1927*'Dashboard &amp; Optimisation'!$B$18/('Dashboard &amp; Optimisation'!$B$16/3.6)</f>
        <v/>
      </c>
      <c r="O1927" s="31" t="n">
        <v>585.3882393983087</v>
      </c>
      <c r="P1927" s="32" t="n">
        <v>0.3180372372232345</v>
      </c>
      <c r="Q1927" s="33" t="n">
        <v>7.077172538771729</v>
      </c>
      <c r="R1927" s="31" t="n">
        <v>763.6231657535785</v>
      </c>
      <c r="S1927" s="31">
        <f>R1927*IF(A1927=4, 2.0, 3.0)</f>
        <v/>
      </c>
      <c r="T1927" s="30">
        <f>'Dashboard &amp; Optimisation'!$B$18*U1927</f>
        <v/>
      </c>
      <c r="U1927" s="34">
        <f>MIN(1, S1927/M1927)</f>
        <v/>
      </c>
      <c r="V1927" s="34">
        <f>N1927/(N1927+O1927)</f>
        <v/>
      </c>
      <c r="W1927" s="34">
        <f>U1927*V1927</f>
        <v/>
      </c>
      <c r="X1927" s="32">
        <f>T1927/N1927</f>
        <v/>
      </c>
      <c r="Y1927" s="35">
        <f>IF(W1927=MAXIFS(W$2:W$3601, A$2:A$3601, A1927, B$2:B$3601, B1927), "OPTIMAL", "")</f>
        <v/>
      </c>
    </row>
    <row r="1928" ht="20" customHeight="1">
      <c r="A1928" s="21" t="n">
        <v>-18</v>
      </c>
      <c r="B1928" s="21" t="n">
        <v>25</v>
      </c>
      <c r="C1928" s="22" t="n">
        <v>95</v>
      </c>
      <c r="D1928" s="22" t="n">
        <v>2</v>
      </c>
      <c r="E1928" s="23" t="n">
        <v>4</v>
      </c>
      <c r="F1928" s="22" t="n">
        <v>1.5</v>
      </c>
      <c r="G1928" s="23" t="inlineStr">
        <is>
          <t>Non</t>
        </is>
      </c>
      <c r="H1928" s="23" t="inlineStr">
        <is>
          <t>ON</t>
        </is>
      </c>
      <c r="I1928" s="24" t="n">
        <v>604.2334594602274</v>
      </c>
      <c r="J1928" s="24" t="n">
        <v>4012.68388558375</v>
      </c>
      <c r="K1928" s="24" t="n">
        <v>3342.592592592593</v>
      </c>
      <c r="L1928" s="24" t="n">
        <v>150</v>
      </c>
      <c r="M1928" s="24">
        <f>I1928+J1928+K1928+L1928</f>
        <v/>
      </c>
      <c r="N1928" s="24">
        <f>M1928*'Dashboard &amp; Optimisation'!$B$18/('Dashboard &amp; Optimisation'!$B$16/3.6)</f>
        <v/>
      </c>
      <c r="O1928" s="24" t="n">
        <v>585.3882393983087</v>
      </c>
      <c r="P1928" s="25" t="n">
        <v>0.07222896284709622</v>
      </c>
      <c r="Q1928" s="26" t="n">
        <v>7.077172538771729</v>
      </c>
      <c r="R1928" s="24" t="n">
        <v>3362.371441357222</v>
      </c>
      <c r="S1928" s="24">
        <f>R1928*IF(A1928=4, 2.0, 3.0)</f>
        <v/>
      </c>
      <c r="T1928" s="22">
        <f>'Dashboard &amp; Optimisation'!$B$18*U1928</f>
        <v/>
      </c>
      <c r="U1928" s="27">
        <f>MIN(1, S1928/M1928)</f>
        <v/>
      </c>
      <c r="V1928" s="27">
        <f>N1928/(N1928+O1928)</f>
        <v/>
      </c>
      <c r="W1928" s="27">
        <f>U1928*V1928</f>
        <v/>
      </c>
      <c r="X1928" s="25">
        <f>T1928/N1928</f>
        <v/>
      </c>
      <c r="Y1928" s="28">
        <f>IF(W1928=MAXIFS(W$2:W$3601, A$2:A$3601, A1928, B$2:B$3601, B1928), "OPTIMAL", "")</f>
        <v/>
      </c>
    </row>
    <row r="1929" ht="20" customHeight="1">
      <c r="A1929" s="29" t="n">
        <v>-18</v>
      </c>
      <c r="B1929" s="29" t="n">
        <v>25</v>
      </c>
      <c r="C1929" s="30" t="n">
        <v>95</v>
      </c>
      <c r="D1929" s="30" t="n">
        <v>2</v>
      </c>
      <c r="E1929" s="6" t="n">
        <v>4</v>
      </c>
      <c r="F1929" s="30" t="n">
        <v>1.5</v>
      </c>
      <c r="G1929" s="6" t="inlineStr">
        <is>
          <t>Non</t>
        </is>
      </c>
      <c r="H1929" s="6" t="inlineStr">
        <is>
          <t>OFF</t>
        </is>
      </c>
      <c r="I1929" s="31" t="n">
        <v>604.2334594602274</v>
      </c>
      <c r="J1929" s="31" t="n">
        <v>4012.68388558375</v>
      </c>
      <c r="K1929" s="31" t="n">
        <v>3342.592592592593</v>
      </c>
      <c r="L1929" s="31" t="n">
        <v>150</v>
      </c>
      <c r="M1929" s="31">
        <f>I1929+J1929+K1929+L1929</f>
        <v/>
      </c>
      <c r="N1929" s="31">
        <f>M1929*'Dashboard &amp; Optimisation'!$B$18/('Dashboard &amp; Optimisation'!$B$16/3.6)</f>
        <v/>
      </c>
      <c r="O1929" s="31" t="n">
        <v>585.3882393983087</v>
      </c>
      <c r="P1929" s="32" t="n">
        <v>0.3146866068423525</v>
      </c>
      <c r="Q1929" s="33" t="n">
        <v>7.077172538771729</v>
      </c>
      <c r="R1929" s="31" t="n">
        <v>771.7538548998155</v>
      </c>
      <c r="S1929" s="31">
        <f>R1929*IF(A1929=4, 2.0, 3.0)</f>
        <v/>
      </c>
      <c r="T1929" s="30">
        <f>'Dashboard &amp; Optimisation'!$B$18*U1929</f>
        <v/>
      </c>
      <c r="U1929" s="34">
        <f>MIN(1, S1929/M1929)</f>
        <v/>
      </c>
      <c r="V1929" s="34">
        <f>N1929/(N1929+O1929)</f>
        <v/>
      </c>
      <c r="W1929" s="34">
        <f>U1929*V1929</f>
        <v/>
      </c>
      <c r="X1929" s="32">
        <f>T1929/N1929</f>
        <v/>
      </c>
      <c r="Y1929" s="35">
        <f>IF(W1929=MAXIFS(W$2:W$3601, A$2:A$3601, A1929, B$2:B$3601, B1929), "OPTIMAL", "")</f>
        <v/>
      </c>
    </row>
    <row r="1930" ht="20" customHeight="1">
      <c r="A1930" s="21" t="n">
        <v>-18</v>
      </c>
      <c r="B1930" s="21" t="n">
        <v>25</v>
      </c>
      <c r="C1930" s="22" t="n">
        <v>95</v>
      </c>
      <c r="D1930" s="22" t="n">
        <v>2</v>
      </c>
      <c r="E1930" s="23" t="n">
        <v>4</v>
      </c>
      <c r="F1930" s="22" t="n">
        <v>2</v>
      </c>
      <c r="G1930" s="23" t="inlineStr">
        <is>
          <t>Oui</t>
        </is>
      </c>
      <c r="H1930" s="23" t="inlineStr">
        <is>
          <t>ON</t>
        </is>
      </c>
      <c r="I1930" s="24" t="n">
        <v>604.2334594602274</v>
      </c>
      <c r="J1930" s="24" t="n">
        <v>4012.68388558375</v>
      </c>
      <c r="K1930" s="24" t="n">
        <v>3342.592592592593</v>
      </c>
      <c r="L1930" s="24" t="n">
        <v>150</v>
      </c>
      <c r="M1930" s="24">
        <f>I1930+J1930+K1930+L1930</f>
        <v/>
      </c>
      <c r="N1930" s="24">
        <f>M1930*'Dashboard &amp; Optimisation'!$B$18/('Dashboard &amp; Optimisation'!$B$16/3.6)</f>
        <v/>
      </c>
      <c r="O1930" s="24" t="n">
        <v>660.4460768969603</v>
      </c>
      <c r="P1930" s="25" t="n">
        <v>0.07304296145994044</v>
      </c>
      <c r="Q1930" s="26" t="n">
        <v>9.36956338502897</v>
      </c>
      <c r="R1930" s="24" t="n">
        <v>3363.861888022098</v>
      </c>
      <c r="S1930" s="24">
        <f>R1930*IF(A1930=4, 2.0, 3.0)</f>
        <v/>
      </c>
      <c r="T1930" s="22">
        <f>'Dashboard &amp; Optimisation'!$B$18*U1930</f>
        <v/>
      </c>
      <c r="U1930" s="27">
        <f>MIN(1, S1930/M1930)</f>
        <v/>
      </c>
      <c r="V1930" s="27">
        <f>N1930/(N1930+O1930)</f>
        <v/>
      </c>
      <c r="W1930" s="27">
        <f>U1930*V1930</f>
        <v/>
      </c>
      <c r="X1930" s="25">
        <f>T1930/N1930</f>
        <v/>
      </c>
      <c r="Y1930" s="28">
        <f>IF(W1930=MAXIFS(W$2:W$3601, A$2:A$3601, A1930, B$2:B$3601, B1930), "OPTIMAL", "")</f>
        <v/>
      </c>
    </row>
    <row r="1931" ht="20" customHeight="1">
      <c r="A1931" s="29" t="n">
        <v>-18</v>
      </c>
      <c r="B1931" s="29" t="n">
        <v>25</v>
      </c>
      <c r="C1931" s="30" t="n">
        <v>95</v>
      </c>
      <c r="D1931" s="30" t="n">
        <v>2</v>
      </c>
      <c r="E1931" s="6" t="n">
        <v>4</v>
      </c>
      <c r="F1931" s="30" t="n">
        <v>2</v>
      </c>
      <c r="G1931" s="6" t="inlineStr">
        <is>
          <t>Oui</t>
        </is>
      </c>
      <c r="H1931" s="6" t="inlineStr">
        <is>
          <t>OFF</t>
        </is>
      </c>
      <c r="I1931" s="31" t="n">
        <v>604.2334594602274</v>
      </c>
      <c r="J1931" s="31" t="n">
        <v>4012.68388558375</v>
      </c>
      <c r="K1931" s="31" t="n">
        <v>3342.592592592593</v>
      </c>
      <c r="L1931" s="31" t="n">
        <v>150</v>
      </c>
      <c r="M1931" s="31">
        <f>I1931+J1931+K1931+L1931</f>
        <v/>
      </c>
      <c r="N1931" s="31">
        <f>M1931*'Dashboard &amp; Optimisation'!$B$18/('Dashboard &amp; Optimisation'!$B$16/3.6)</f>
        <v/>
      </c>
      <c r="O1931" s="31" t="n">
        <v>660.4460768969603</v>
      </c>
      <c r="P1931" s="32" t="n">
        <v>0.316679947936384</v>
      </c>
      <c r="Q1931" s="33" t="n">
        <v>9.36956338502897</v>
      </c>
      <c r="R1931" s="31" t="n">
        <v>775.8825143318488</v>
      </c>
      <c r="S1931" s="31">
        <f>R1931*IF(A1931=4, 2.0, 3.0)</f>
        <v/>
      </c>
      <c r="T1931" s="30">
        <f>'Dashboard &amp; Optimisation'!$B$18*U1931</f>
        <v/>
      </c>
      <c r="U1931" s="34">
        <f>MIN(1, S1931/M1931)</f>
        <v/>
      </c>
      <c r="V1931" s="34">
        <f>N1931/(N1931+O1931)</f>
        <v/>
      </c>
      <c r="W1931" s="34">
        <f>U1931*V1931</f>
        <v/>
      </c>
      <c r="X1931" s="32">
        <f>T1931/N1931</f>
        <v/>
      </c>
      <c r="Y1931" s="35">
        <f>IF(W1931=MAXIFS(W$2:W$3601, A$2:A$3601, A1931, B$2:B$3601, B1931), "OPTIMAL", "")</f>
        <v/>
      </c>
    </row>
    <row r="1932" ht="20" customHeight="1">
      <c r="A1932" s="21" t="n">
        <v>-18</v>
      </c>
      <c r="B1932" s="21" t="n">
        <v>25</v>
      </c>
      <c r="C1932" s="22" t="n">
        <v>95</v>
      </c>
      <c r="D1932" s="22" t="n">
        <v>2</v>
      </c>
      <c r="E1932" s="23" t="n">
        <v>4</v>
      </c>
      <c r="F1932" s="22" t="n">
        <v>2</v>
      </c>
      <c r="G1932" s="23" t="inlineStr">
        <is>
          <t>Non</t>
        </is>
      </c>
      <c r="H1932" s="23" t="inlineStr">
        <is>
          <t>ON</t>
        </is>
      </c>
      <c r="I1932" s="24" t="n">
        <v>604.2334594602274</v>
      </c>
      <c r="J1932" s="24" t="n">
        <v>4012.68388558375</v>
      </c>
      <c r="K1932" s="24" t="n">
        <v>3342.592592592593</v>
      </c>
      <c r="L1932" s="24" t="n">
        <v>150</v>
      </c>
      <c r="M1932" s="24">
        <f>I1932+J1932+K1932+L1932</f>
        <v/>
      </c>
      <c r="N1932" s="24">
        <f>M1932*'Dashboard &amp; Optimisation'!$B$18/('Dashboard &amp; Optimisation'!$B$16/3.6)</f>
        <v/>
      </c>
      <c r="O1932" s="24" t="n">
        <v>660.4460768969603</v>
      </c>
      <c r="P1932" s="25" t="n">
        <v>0.06969233107905842</v>
      </c>
      <c r="Q1932" s="26" t="n">
        <v>9.36956338502897</v>
      </c>
      <c r="R1932" s="24" t="n">
        <v>3525.587829235231</v>
      </c>
      <c r="S1932" s="24">
        <f>R1932*IF(A1932=4, 2.0, 3.0)</f>
        <v/>
      </c>
      <c r="T1932" s="22">
        <f>'Dashboard &amp; Optimisation'!$B$18*U1932</f>
        <v/>
      </c>
      <c r="U1932" s="27">
        <f>MIN(1, S1932/M1932)</f>
        <v/>
      </c>
      <c r="V1932" s="27">
        <f>N1932/(N1932+O1932)</f>
        <v/>
      </c>
      <c r="W1932" s="27">
        <f>U1932*V1932</f>
        <v/>
      </c>
      <c r="X1932" s="25">
        <f>T1932/N1932</f>
        <v/>
      </c>
      <c r="Y1932" s="28">
        <f>IF(W1932=MAXIFS(W$2:W$3601, A$2:A$3601, A1932, B$2:B$3601, B1932), "OPTIMAL", "")</f>
        <v/>
      </c>
    </row>
    <row r="1933" ht="20" customHeight="1">
      <c r="A1933" s="29" t="n">
        <v>-18</v>
      </c>
      <c r="B1933" s="29" t="n">
        <v>25</v>
      </c>
      <c r="C1933" s="30" t="n">
        <v>95</v>
      </c>
      <c r="D1933" s="30" t="n">
        <v>2</v>
      </c>
      <c r="E1933" s="6" t="n">
        <v>4</v>
      </c>
      <c r="F1933" s="30" t="n">
        <v>2</v>
      </c>
      <c r="G1933" s="6" t="inlineStr">
        <is>
          <t>Non</t>
        </is>
      </c>
      <c r="H1933" s="6" t="inlineStr">
        <is>
          <t>OFF</t>
        </is>
      </c>
      <c r="I1933" s="31" t="n">
        <v>604.2334594602274</v>
      </c>
      <c r="J1933" s="31" t="n">
        <v>4012.68388558375</v>
      </c>
      <c r="K1933" s="31" t="n">
        <v>3342.592592592593</v>
      </c>
      <c r="L1933" s="31" t="n">
        <v>150</v>
      </c>
      <c r="M1933" s="31">
        <f>I1933+J1933+K1933+L1933</f>
        <v/>
      </c>
      <c r="N1933" s="31">
        <f>M1933*'Dashboard &amp; Optimisation'!$B$18/('Dashboard &amp; Optimisation'!$B$16/3.6)</f>
        <v/>
      </c>
      <c r="O1933" s="31" t="n">
        <v>660.4460768969603</v>
      </c>
      <c r="P1933" s="32" t="n">
        <v>0.313329317555502</v>
      </c>
      <c r="Q1933" s="33" t="n">
        <v>9.36956338502897</v>
      </c>
      <c r="R1933" s="31" t="n">
        <v>784.1795212790361</v>
      </c>
      <c r="S1933" s="31">
        <f>R1933*IF(A1933=4, 2.0, 3.0)</f>
        <v/>
      </c>
      <c r="T1933" s="30">
        <f>'Dashboard &amp; Optimisation'!$B$18*U1933</f>
        <v/>
      </c>
      <c r="U1933" s="34">
        <f>MIN(1, S1933/M1933)</f>
        <v/>
      </c>
      <c r="V1933" s="34">
        <f>N1933/(N1933+O1933)</f>
        <v/>
      </c>
      <c r="W1933" s="34">
        <f>U1933*V1933</f>
        <v/>
      </c>
      <c r="X1933" s="32">
        <f>T1933/N1933</f>
        <v/>
      </c>
      <c r="Y1933" s="35">
        <f>IF(W1933=MAXIFS(W$2:W$3601, A$2:A$3601, A1933, B$2:B$3601, B1933), "OPTIMAL", "")</f>
        <v/>
      </c>
    </row>
    <row r="1934" ht="20" customHeight="1">
      <c r="A1934" s="21" t="n">
        <v>-18</v>
      </c>
      <c r="B1934" s="21" t="n">
        <v>25</v>
      </c>
      <c r="C1934" s="22" t="n">
        <v>95</v>
      </c>
      <c r="D1934" s="22" t="n">
        <v>2</v>
      </c>
      <c r="E1934" s="23" t="n">
        <v>8</v>
      </c>
      <c r="F1934" s="22" t="n">
        <v>1.5</v>
      </c>
      <c r="G1934" s="23" t="inlineStr">
        <is>
          <t>Oui</t>
        </is>
      </c>
      <c r="H1934" s="23" t="inlineStr">
        <is>
          <t>ON</t>
        </is>
      </c>
      <c r="I1934" s="24" t="n">
        <v>604.2334594602274</v>
      </c>
      <c r="J1934" s="24" t="n">
        <v>4012.68388558375</v>
      </c>
      <c r="K1934" s="24" t="n">
        <v>3342.592592592593</v>
      </c>
      <c r="L1934" s="24" t="n">
        <v>150</v>
      </c>
      <c r="M1934" s="24">
        <f>I1934+J1934+K1934+L1934</f>
        <v/>
      </c>
      <c r="N1934" s="24">
        <f>M1934*'Dashboard &amp; Optimisation'!$B$18/('Dashboard &amp; Optimisation'!$B$16/3.6)</f>
        <v/>
      </c>
      <c r="O1934" s="24" t="n">
        <v>815.9655460718892</v>
      </c>
      <c r="P1934" s="25" t="n">
        <v>0.05699087655301123</v>
      </c>
      <c r="Q1934" s="26" t="n">
        <v>13.95434507754346</v>
      </c>
      <c r="R1934" s="24" t="n">
        <v>4414.794086532598</v>
      </c>
      <c r="S1934" s="24">
        <f>R1934*IF(A1934=4, 2.0, 3.0)</f>
        <v/>
      </c>
      <c r="T1934" s="22">
        <f>'Dashboard &amp; Optimisation'!$B$18*U1934</f>
        <v/>
      </c>
      <c r="U1934" s="27">
        <f>MIN(1, S1934/M1934)</f>
        <v/>
      </c>
      <c r="V1934" s="27">
        <f>N1934/(N1934+O1934)</f>
        <v/>
      </c>
      <c r="W1934" s="27">
        <f>U1934*V1934</f>
        <v/>
      </c>
      <c r="X1934" s="25">
        <f>T1934/N1934</f>
        <v/>
      </c>
      <c r="Y1934" s="28">
        <f>IF(W1934=MAXIFS(W$2:W$3601, A$2:A$3601, A1934, B$2:B$3601, B1934), "OPTIMAL", "")</f>
        <v/>
      </c>
    </row>
    <row r="1935" ht="20" customHeight="1">
      <c r="A1935" s="29" t="n">
        <v>-18</v>
      </c>
      <c r="B1935" s="29" t="n">
        <v>25</v>
      </c>
      <c r="C1935" s="30" t="n">
        <v>95</v>
      </c>
      <c r="D1935" s="30" t="n">
        <v>2</v>
      </c>
      <c r="E1935" s="6" t="n">
        <v>8</v>
      </c>
      <c r="F1935" s="30" t="n">
        <v>1.5</v>
      </c>
      <c r="G1935" s="6" t="inlineStr">
        <is>
          <t>Oui</t>
        </is>
      </c>
      <c r="H1935" s="6" t="inlineStr">
        <is>
          <t>OFF</t>
        </is>
      </c>
      <c r="I1935" s="31" t="n">
        <v>604.2334594602274</v>
      </c>
      <c r="J1935" s="31" t="n">
        <v>4012.68388558375</v>
      </c>
      <c r="K1935" s="31" t="n">
        <v>3342.592592592593</v>
      </c>
      <c r="L1935" s="31" t="n">
        <v>150</v>
      </c>
      <c r="M1935" s="31">
        <f>I1935+J1935+K1935+L1935</f>
        <v/>
      </c>
      <c r="N1935" s="31">
        <f>M1935*'Dashboard &amp; Optimisation'!$B$18/('Dashboard &amp; Optimisation'!$B$16/3.6)</f>
        <v/>
      </c>
      <c r="O1935" s="31" t="n">
        <v>815.9655460718892</v>
      </c>
      <c r="P1935" s="32" t="n">
        <v>0.2469467888801933</v>
      </c>
      <c r="Q1935" s="33" t="n">
        <v>13.95434507754346</v>
      </c>
      <c r="R1935" s="31" t="n">
        <v>1018.855057534718</v>
      </c>
      <c r="S1935" s="31">
        <f>R1935*IF(A1935=4, 2.0, 3.0)</f>
        <v/>
      </c>
      <c r="T1935" s="30">
        <f>'Dashboard &amp; Optimisation'!$B$18*U1935</f>
        <v/>
      </c>
      <c r="U1935" s="34">
        <f>MIN(1, S1935/M1935)</f>
        <v/>
      </c>
      <c r="V1935" s="34">
        <f>N1935/(N1935+O1935)</f>
        <v/>
      </c>
      <c r="W1935" s="34">
        <f>U1935*V1935</f>
        <v/>
      </c>
      <c r="X1935" s="32">
        <f>T1935/N1935</f>
        <v/>
      </c>
      <c r="Y1935" s="35">
        <f>IF(W1935=MAXIFS(W$2:W$3601, A$2:A$3601, A1935, B$2:B$3601, B1935), "OPTIMAL", "")</f>
        <v/>
      </c>
    </row>
    <row r="1936" ht="20" customHeight="1">
      <c r="A1936" s="21" t="n">
        <v>-18</v>
      </c>
      <c r="B1936" s="21" t="n">
        <v>25</v>
      </c>
      <c r="C1936" s="22" t="n">
        <v>95</v>
      </c>
      <c r="D1936" s="22" t="n">
        <v>2</v>
      </c>
      <c r="E1936" s="23" t="n">
        <v>8</v>
      </c>
      <c r="F1936" s="22" t="n">
        <v>1.5</v>
      </c>
      <c r="G1936" s="23" t="inlineStr">
        <is>
          <t>Non</t>
        </is>
      </c>
      <c r="H1936" s="23" t="inlineStr">
        <is>
          <t>ON</t>
        </is>
      </c>
      <c r="I1936" s="24" t="n">
        <v>604.2334594602274</v>
      </c>
      <c r="J1936" s="24" t="n">
        <v>4012.68388558375</v>
      </c>
      <c r="K1936" s="24" t="n">
        <v>3342.592592592593</v>
      </c>
      <c r="L1936" s="24" t="n">
        <v>150</v>
      </c>
      <c r="M1936" s="24">
        <f>I1936+J1936+K1936+L1936</f>
        <v/>
      </c>
      <c r="N1936" s="24">
        <f>M1936*'Dashboard &amp; Optimisation'!$B$18/('Dashboard &amp; Optimisation'!$B$16/3.6)</f>
        <v/>
      </c>
      <c r="O1936" s="24" t="n">
        <v>815.9655460718892</v>
      </c>
      <c r="P1936" s="25" t="n">
        <v>0.05364024617212922</v>
      </c>
      <c r="Q1936" s="26" t="n">
        <v>13.95434507754346</v>
      </c>
      <c r="R1936" s="24" t="n">
        <v>4690.563573947074</v>
      </c>
      <c r="S1936" s="24">
        <f>R1936*IF(A1936=4, 2.0, 3.0)</f>
        <v/>
      </c>
      <c r="T1936" s="22">
        <f>'Dashboard &amp; Optimisation'!$B$18*U1936</f>
        <v/>
      </c>
      <c r="U1936" s="27">
        <f>MIN(1, S1936/M1936)</f>
        <v/>
      </c>
      <c r="V1936" s="27">
        <f>N1936/(N1936+O1936)</f>
        <v/>
      </c>
      <c r="W1936" s="27">
        <f>U1936*V1936</f>
        <v/>
      </c>
      <c r="X1936" s="25">
        <f>T1936/N1936</f>
        <v/>
      </c>
      <c r="Y1936" s="28">
        <f>IF(W1936=MAXIFS(W$2:W$3601, A$2:A$3601, A1936, B$2:B$3601, B1936), "OPTIMAL", "")</f>
        <v/>
      </c>
    </row>
    <row r="1937" ht="20" customHeight="1">
      <c r="A1937" s="29" t="n">
        <v>-18</v>
      </c>
      <c r="B1937" s="29" t="n">
        <v>25</v>
      </c>
      <c r="C1937" s="30" t="n">
        <v>95</v>
      </c>
      <c r="D1937" s="30" t="n">
        <v>2</v>
      </c>
      <c r="E1937" s="6" t="n">
        <v>8</v>
      </c>
      <c r="F1937" s="30" t="n">
        <v>1.5</v>
      </c>
      <c r="G1937" s="6" t="inlineStr">
        <is>
          <t>Non</t>
        </is>
      </c>
      <c r="H1937" s="6" t="inlineStr">
        <is>
          <t>OFF</t>
        </is>
      </c>
      <c r="I1937" s="31" t="n">
        <v>604.2334594602274</v>
      </c>
      <c r="J1937" s="31" t="n">
        <v>4012.68388558375</v>
      </c>
      <c r="K1937" s="31" t="n">
        <v>3342.592592592593</v>
      </c>
      <c r="L1937" s="31" t="n">
        <v>150</v>
      </c>
      <c r="M1937" s="31">
        <f>I1937+J1937+K1937+L1937</f>
        <v/>
      </c>
      <c r="N1937" s="31">
        <f>M1937*'Dashboard &amp; Optimisation'!$B$18/('Dashboard &amp; Optimisation'!$B$16/3.6)</f>
        <v/>
      </c>
      <c r="O1937" s="31" t="n">
        <v>815.9655460718892</v>
      </c>
      <c r="P1937" s="32" t="n">
        <v>0.2435961584993113</v>
      </c>
      <c r="Q1937" s="33" t="n">
        <v>13.95434507754346</v>
      </c>
      <c r="R1937" s="31" t="n">
        <v>1032.86926338477</v>
      </c>
      <c r="S1937" s="31">
        <f>R1937*IF(A1937=4, 2.0, 3.0)</f>
        <v/>
      </c>
      <c r="T1937" s="30">
        <f>'Dashboard &amp; Optimisation'!$B$18*U1937</f>
        <v/>
      </c>
      <c r="U1937" s="34">
        <f>MIN(1, S1937/M1937)</f>
        <v/>
      </c>
      <c r="V1937" s="34">
        <f>N1937/(N1937+O1937)</f>
        <v/>
      </c>
      <c r="W1937" s="34">
        <f>U1937*V1937</f>
        <v/>
      </c>
      <c r="X1937" s="32">
        <f>T1937/N1937</f>
        <v/>
      </c>
      <c r="Y1937" s="35">
        <f>IF(W1937=MAXIFS(W$2:W$3601, A$2:A$3601, A1937, B$2:B$3601, B1937), "OPTIMAL", "")</f>
        <v/>
      </c>
    </row>
    <row r="1938" ht="20" customHeight="1">
      <c r="A1938" s="21" t="n">
        <v>-18</v>
      </c>
      <c r="B1938" s="21" t="n">
        <v>25</v>
      </c>
      <c r="C1938" s="22" t="n">
        <v>95</v>
      </c>
      <c r="D1938" s="22" t="n">
        <v>2</v>
      </c>
      <c r="E1938" s="23" t="n">
        <v>8</v>
      </c>
      <c r="F1938" s="22" t="n">
        <v>2</v>
      </c>
      <c r="G1938" s="23" t="inlineStr">
        <is>
          <t>Oui</t>
        </is>
      </c>
      <c r="H1938" s="23" t="inlineStr">
        <is>
          <t>ON</t>
        </is>
      </c>
      <c r="I1938" s="24" t="n">
        <v>604.2334594602274</v>
      </c>
      <c r="J1938" s="24" t="n">
        <v>4012.68388558375</v>
      </c>
      <c r="K1938" s="24" t="n">
        <v>3342.592592592593</v>
      </c>
      <c r="L1938" s="24" t="n">
        <v>150</v>
      </c>
      <c r="M1938" s="24">
        <f>I1938+J1938+K1938+L1938</f>
        <v/>
      </c>
      <c r="N1938" s="24">
        <f>M1938*'Dashboard &amp; Optimisation'!$B$18/('Dashboard &amp; Optimisation'!$B$16/3.6)</f>
        <v/>
      </c>
      <c r="O1938" s="24" t="n">
        <v>979.1329770175803</v>
      </c>
      <c r="P1938" s="25" t="n">
        <v>0.05584601824581075</v>
      </c>
      <c r="Q1938" s="26" t="n">
        <v>18.53912677005794</v>
      </c>
      <c r="R1938" s="24" t="n">
        <v>4616.076801514527</v>
      </c>
      <c r="S1938" s="24">
        <f>R1938*IF(A1938=4, 2.0, 3.0)</f>
        <v/>
      </c>
      <c r="T1938" s="22">
        <f>'Dashboard &amp; Optimisation'!$B$18*U1938</f>
        <v/>
      </c>
      <c r="U1938" s="27">
        <f>MIN(1, S1938/M1938)</f>
        <v/>
      </c>
      <c r="V1938" s="27">
        <f>N1938/(N1938+O1938)</f>
        <v/>
      </c>
      <c r="W1938" s="27">
        <f>U1938*V1938</f>
        <v/>
      </c>
      <c r="X1938" s="25">
        <f>T1938/N1938</f>
        <v/>
      </c>
      <c r="Y1938" s="28">
        <f>IF(W1938=MAXIFS(W$2:W$3601, A$2:A$3601, A1938, B$2:B$3601, B1938), "OPTIMAL", "")</f>
        <v/>
      </c>
    </row>
    <row r="1939" ht="20" customHeight="1">
      <c r="A1939" s="29" t="n">
        <v>-18</v>
      </c>
      <c r="B1939" s="29" t="n">
        <v>25</v>
      </c>
      <c r="C1939" s="30" t="n">
        <v>95</v>
      </c>
      <c r="D1939" s="30" t="n">
        <v>2</v>
      </c>
      <c r="E1939" s="6" t="n">
        <v>8</v>
      </c>
      <c r="F1939" s="30" t="n">
        <v>2</v>
      </c>
      <c r="G1939" s="6" t="inlineStr">
        <is>
          <t>Oui</t>
        </is>
      </c>
      <c r="H1939" s="6" t="inlineStr">
        <is>
          <t>OFF</t>
        </is>
      </c>
      <c r="I1939" s="31" t="n">
        <v>604.2334594602274</v>
      </c>
      <c r="J1939" s="31" t="n">
        <v>4012.68388558375</v>
      </c>
      <c r="K1939" s="31" t="n">
        <v>3342.592592592593</v>
      </c>
      <c r="L1939" s="31" t="n">
        <v>150</v>
      </c>
      <c r="M1939" s="31">
        <f>I1939+J1939+K1939+L1939</f>
        <v/>
      </c>
      <c r="N1939" s="31">
        <f>M1939*'Dashboard &amp; Optimisation'!$B$18/('Dashboard &amp; Optimisation'!$B$16/3.6)</f>
        <v/>
      </c>
      <c r="O1939" s="31" t="n">
        <v>979.1329770175803</v>
      </c>
      <c r="P1939" s="32" t="n">
        <v>0.2472541696165357</v>
      </c>
      <c r="Q1939" s="33" t="n">
        <v>18.53912677005794</v>
      </c>
      <c r="R1939" s="31" t="n">
        <v>1042.609350860483</v>
      </c>
      <c r="S1939" s="31">
        <f>R1939*IF(A1939=4, 2.0, 3.0)</f>
        <v/>
      </c>
      <c r="T1939" s="30">
        <f>'Dashboard &amp; Optimisation'!$B$18*U1939</f>
        <v/>
      </c>
      <c r="U1939" s="34">
        <f>MIN(1, S1939/M1939)</f>
        <v/>
      </c>
      <c r="V1939" s="34">
        <f>N1939/(N1939+O1939)</f>
        <v/>
      </c>
      <c r="W1939" s="34">
        <f>U1939*V1939</f>
        <v/>
      </c>
      <c r="X1939" s="32">
        <f>T1939/N1939</f>
        <v/>
      </c>
      <c r="Y1939" s="35">
        <f>IF(W1939=MAXIFS(W$2:W$3601, A$2:A$3601, A1939, B$2:B$3601, B1939), "OPTIMAL", "")</f>
        <v/>
      </c>
    </row>
    <row r="1940" ht="20" customHeight="1">
      <c r="A1940" s="21" t="n">
        <v>-18</v>
      </c>
      <c r="B1940" s="21" t="n">
        <v>25</v>
      </c>
      <c r="C1940" s="22" t="n">
        <v>95</v>
      </c>
      <c r="D1940" s="22" t="n">
        <v>2</v>
      </c>
      <c r="E1940" s="23" t="n">
        <v>8</v>
      </c>
      <c r="F1940" s="22" t="n">
        <v>2</v>
      </c>
      <c r="G1940" s="23" t="inlineStr">
        <is>
          <t>Non</t>
        </is>
      </c>
      <c r="H1940" s="23" t="inlineStr">
        <is>
          <t>ON</t>
        </is>
      </c>
      <c r="I1940" s="24" t="n">
        <v>604.2334594602274</v>
      </c>
      <c r="J1940" s="24" t="n">
        <v>4012.68388558375</v>
      </c>
      <c r="K1940" s="24" t="n">
        <v>3342.592592592593</v>
      </c>
      <c r="L1940" s="24" t="n">
        <v>150</v>
      </c>
      <c r="M1940" s="24">
        <f>I1940+J1940+K1940+L1940</f>
        <v/>
      </c>
      <c r="N1940" s="24">
        <f>M1940*'Dashboard &amp; Optimisation'!$B$18/('Dashboard &amp; Optimisation'!$B$16/3.6)</f>
        <v/>
      </c>
      <c r="O1940" s="24" t="n">
        <v>979.1329770175803</v>
      </c>
      <c r="P1940" s="25" t="n">
        <v>0.05249538786492874</v>
      </c>
      <c r="Q1940" s="26" t="n">
        <v>18.53912677005794</v>
      </c>
      <c r="R1940" s="24" t="n">
        <v>4910.707773885574</v>
      </c>
      <c r="S1940" s="24">
        <f>R1940*IF(A1940=4, 2.0, 3.0)</f>
        <v/>
      </c>
      <c r="T1940" s="22">
        <f>'Dashboard &amp; Optimisation'!$B$18*U1940</f>
        <v/>
      </c>
      <c r="U1940" s="27">
        <f>MIN(1, S1940/M1940)</f>
        <v/>
      </c>
      <c r="V1940" s="27">
        <f>N1940/(N1940+O1940)</f>
        <v/>
      </c>
      <c r="W1940" s="27">
        <f>U1940*V1940</f>
        <v/>
      </c>
      <c r="X1940" s="25">
        <f>T1940/N1940</f>
        <v/>
      </c>
      <c r="Y1940" s="28">
        <f>IF(W1940=MAXIFS(W$2:W$3601, A$2:A$3601, A1940, B$2:B$3601, B1940), "OPTIMAL", "")</f>
        <v/>
      </c>
    </row>
    <row r="1941" ht="20" customHeight="1">
      <c r="A1941" s="29" t="n">
        <v>-18</v>
      </c>
      <c r="B1941" s="29" t="n">
        <v>25</v>
      </c>
      <c r="C1941" s="30" t="n">
        <v>95</v>
      </c>
      <c r="D1941" s="30" t="n">
        <v>2</v>
      </c>
      <c r="E1941" s="6" t="n">
        <v>8</v>
      </c>
      <c r="F1941" s="30" t="n">
        <v>2</v>
      </c>
      <c r="G1941" s="6" t="inlineStr">
        <is>
          <t>Non</t>
        </is>
      </c>
      <c r="H1941" s="6" t="inlineStr">
        <is>
          <t>OFF</t>
        </is>
      </c>
      <c r="I1941" s="31" t="n">
        <v>604.2334594602274</v>
      </c>
      <c r="J1941" s="31" t="n">
        <v>4012.68388558375</v>
      </c>
      <c r="K1941" s="31" t="n">
        <v>3342.592592592593</v>
      </c>
      <c r="L1941" s="31" t="n">
        <v>150</v>
      </c>
      <c r="M1941" s="31">
        <f>I1941+J1941+K1941+L1941</f>
        <v/>
      </c>
      <c r="N1941" s="31">
        <f>M1941*'Dashboard &amp; Optimisation'!$B$18/('Dashboard &amp; Optimisation'!$B$16/3.6)</f>
        <v/>
      </c>
      <c r="O1941" s="31" t="n">
        <v>979.1329770175803</v>
      </c>
      <c r="P1941" s="32" t="n">
        <v>0.2439035392356537</v>
      </c>
      <c r="Q1941" s="33" t="n">
        <v>18.53912677005794</v>
      </c>
      <c r="R1941" s="31" t="n">
        <v>1056.932220374113</v>
      </c>
      <c r="S1941" s="31">
        <f>R1941*IF(A1941=4, 2.0, 3.0)</f>
        <v/>
      </c>
      <c r="T1941" s="30">
        <f>'Dashboard &amp; Optimisation'!$B$18*U1941</f>
        <v/>
      </c>
      <c r="U1941" s="34">
        <f>MIN(1, S1941/M1941)</f>
        <v/>
      </c>
      <c r="V1941" s="34">
        <f>N1941/(N1941+O1941)</f>
        <v/>
      </c>
      <c r="W1941" s="34">
        <f>U1941*V1941</f>
        <v/>
      </c>
      <c r="X1941" s="32">
        <f>T1941/N1941</f>
        <v/>
      </c>
      <c r="Y1941" s="35">
        <f>IF(W1941=MAXIFS(W$2:W$3601, A$2:A$3601, A1941, B$2:B$3601, B1941), "OPTIMAL", "")</f>
        <v/>
      </c>
    </row>
    <row r="1942" ht="20" customHeight="1">
      <c r="A1942" s="21" t="n">
        <v>-18</v>
      </c>
      <c r="B1942" s="21" t="n">
        <v>25</v>
      </c>
      <c r="C1942" s="22" t="n">
        <v>95</v>
      </c>
      <c r="D1942" s="22" t="n">
        <v>3</v>
      </c>
      <c r="E1942" s="23" t="n">
        <v>0</v>
      </c>
      <c r="F1942" s="22" t="n">
        <v>0</v>
      </c>
      <c r="G1942" s="23" t="inlineStr">
        <is>
          <t>Oui</t>
        </is>
      </c>
      <c r="H1942" s="23" t="inlineStr">
        <is>
          <t>ON</t>
        </is>
      </c>
      <c r="I1942" s="24" t="n">
        <v>604.2334594602274</v>
      </c>
      <c r="J1942" s="24" t="n">
        <v>4012.68388558375</v>
      </c>
      <c r="K1942" s="24" t="n">
        <v>3342.592592592593</v>
      </c>
      <c r="L1942" s="24" t="n">
        <v>150</v>
      </c>
      <c r="M1942" s="24">
        <f>I1942+J1942+K1942+L1942</f>
        <v/>
      </c>
      <c r="N1942" s="24">
        <f>M1942*'Dashboard &amp; Optimisation'!$B$18/('Dashboard &amp; Optimisation'!$B$16/3.6)</f>
        <v/>
      </c>
      <c r="O1942" s="24" t="n">
        <v>574.4450500957452</v>
      </c>
      <c r="P1942" s="25" t="n">
        <v>0.4850543981280133</v>
      </c>
      <c r="Q1942" s="26" t="n">
        <v>0.2</v>
      </c>
      <c r="R1942" s="24" t="n">
        <v>505.8658078014757</v>
      </c>
      <c r="S1942" s="24">
        <f>R1942*IF(A1942=4, 2.0, 3.0)</f>
        <v/>
      </c>
      <c r="T1942" s="22">
        <f>'Dashboard &amp; Optimisation'!$B$18*U1942</f>
        <v/>
      </c>
      <c r="U1942" s="27">
        <f>MIN(1, S1942/M1942)</f>
        <v/>
      </c>
      <c r="V1942" s="27">
        <f>N1942/(N1942+O1942)</f>
        <v/>
      </c>
      <c r="W1942" s="27">
        <f>U1942*V1942</f>
        <v/>
      </c>
      <c r="X1942" s="25">
        <f>T1942/N1942</f>
        <v/>
      </c>
      <c r="Y1942" s="28">
        <f>IF(W1942=MAXIFS(W$2:W$3601, A$2:A$3601, A1942, B$2:B$3601, B1942), "OPTIMAL", "")</f>
        <v/>
      </c>
    </row>
    <row r="1943" ht="20" customHeight="1">
      <c r="A1943" s="29" t="n">
        <v>-18</v>
      </c>
      <c r="B1943" s="29" t="n">
        <v>25</v>
      </c>
      <c r="C1943" s="30" t="n">
        <v>95</v>
      </c>
      <c r="D1943" s="30" t="n">
        <v>3</v>
      </c>
      <c r="E1943" s="6" t="n">
        <v>0</v>
      </c>
      <c r="F1943" s="30" t="n">
        <v>0</v>
      </c>
      <c r="G1943" s="6" t="inlineStr">
        <is>
          <t>Oui</t>
        </is>
      </c>
      <c r="H1943" s="6" t="inlineStr">
        <is>
          <t>OFF</t>
        </is>
      </c>
      <c r="I1943" s="31" t="n">
        <v>604.2334594602274</v>
      </c>
      <c r="J1943" s="31" t="n">
        <v>4012.68388558375</v>
      </c>
      <c r="K1943" s="31" t="n">
        <v>3342.592592592593</v>
      </c>
      <c r="L1943" s="31" t="n">
        <v>150</v>
      </c>
      <c r="M1943" s="31">
        <f>I1943+J1943+K1943+L1943</f>
        <v/>
      </c>
      <c r="N1943" s="31">
        <f>M1943*'Dashboard &amp; Optimisation'!$B$18/('Dashboard &amp; Optimisation'!$B$16/3.6)</f>
        <v/>
      </c>
      <c r="O1943" s="31" t="n">
        <v>574.4450500957452</v>
      </c>
      <c r="P1943" s="32" t="n">
        <v>0.820117436216214</v>
      </c>
      <c r="Q1943" s="33" t="n">
        <v>0.2</v>
      </c>
      <c r="R1943" s="31" t="n">
        <v>299.1918280249764</v>
      </c>
      <c r="S1943" s="31">
        <f>R1943*IF(A1943=4, 2.0, 3.0)</f>
        <v/>
      </c>
      <c r="T1943" s="30">
        <f>'Dashboard &amp; Optimisation'!$B$18*U1943</f>
        <v/>
      </c>
      <c r="U1943" s="34">
        <f>MIN(1, S1943/M1943)</f>
        <v/>
      </c>
      <c r="V1943" s="34">
        <f>N1943/(N1943+O1943)</f>
        <v/>
      </c>
      <c r="W1943" s="34">
        <f>U1943*V1943</f>
        <v/>
      </c>
      <c r="X1943" s="32">
        <f>T1943/N1943</f>
        <v/>
      </c>
      <c r="Y1943" s="35">
        <f>IF(W1943=MAXIFS(W$2:W$3601, A$2:A$3601, A1943, B$2:B$3601, B1943), "OPTIMAL", "")</f>
        <v/>
      </c>
    </row>
    <row r="1944" ht="20" customHeight="1">
      <c r="A1944" s="21" t="n">
        <v>-18</v>
      </c>
      <c r="B1944" s="21" t="n">
        <v>25</v>
      </c>
      <c r="C1944" s="22" t="n">
        <v>95</v>
      </c>
      <c r="D1944" s="22" t="n">
        <v>3</v>
      </c>
      <c r="E1944" s="23" t="n">
        <v>0</v>
      </c>
      <c r="F1944" s="22" t="n">
        <v>0</v>
      </c>
      <c r="G1944" s="23" t="inlineStr">
        <is>
          <t>Non</t>
        </is>
      </c>
      <c r="H1944" s="23" t="inlineStr">
        <is>
          <t>ON</t>
        </is>
      </c>
      <c r="I1944" s="24" t="n">
        <v>604.2334594602274</v>
      </c>
      <c r="J1944" s="24" t="n">
        <v>4012.68388558375</v>
      </c>
      <c r="K1944" s="24" t="n">
        <v>3342.592592592593</v>
      </c>
      <c r="L1944" s="24" t="n">
        <v>150</v>
      </c>
      <c r="M1944" s="24">
        <f>I1944+J1944+K1944+L1944</f>
        <v/>
      </c>
      <c r="N1944" s="24">
        <f>M1944*'Dashboard &amp; Optimisation'!$B$18/('Dashboard &amp; Optimisation'!$B$16/3.6)</f>
        <v/>
      </c>
      <c r="O1944" s="24" t="n">
        <v>574.4450500957452</v>
      </c>
      <c r="P1944" s="25" t="n">
        <v>0.4817037677471313</v>
      </c>
      <c r="Q1944" s="26" t="n">
        <v>0.2</v>
      </c>
      <c r="R1944" s="24" t="n">
        <v>509.3845042654794</v>
      </c>
      <c r="S1944" s="24">
        <f>R1944*IF(A1944=4, 2.0, 3.0)</f>
        <v/>
      </c>
      <c r="T1944" s="22">
        <f>'Dashboard &amp; Optimisation'!$B$18*U1944</f>
        <v/>
      </c>
      <c r="U1944" s="27">
        <f>MIN(1, S1944/M1944)</f>
        <v/>
      </c>
      <c r="V1944" s="27">
        <f>N1944/(N1944+O1944)</f>
        <v/>
      </c>
      <c r="W1944" s="27">
        <f>U1944*V1944</f>
        <v/>
      </c>
      <c r="X1944" s="25">
        <f>T1944/N1944</f>
        <v/>
      </c>
      <c r="Y1944" s="28">
        <f>IF(W1944=MAXIFS(W$2:W$3601, A$2:A$3601, A1944, B$2:B$3601, B1944), "OPTIMAL", "")</f>
        <v/>
      </c>
    </row>
    <row r="1945" ht="20" customHeight="1">
      <c r="A1945" s="29" t="n">
        <v>-18</v>
      </c>
      <c r="B1945" s="29" t="n">
        <v>25</v>
      </c>
      <c r="C1945" s="30" t="n">
        <v>95</v>
      </c>
      <c r="D1945" s="30" t="n">
        <v>3</v>
      </c>
      <c r="E1945" s="6" t="n">
        <v>0</v>
      </c>
      <c r="F1945" s="30" t="n">
        <v>0</v>
      </c>
      <c r="G1945" s="6" t="inlineStr">
        <is>
          <t>Non</t>
        </is>
      </c>
      <c r="H1945" s="6" t="inlineStr">
        <is>
          <t>OFF</t>
        </is>
      </c>
      <c r="I1945" s="31" t="n">
        <v>604.2334594602274</v>
      </c>
      <c r="J1945" s="31" t="n">
        <v>4012.68388558375</v>
      </c>
      <c r="K1945" s="31" t="n">
        <v>3342.592592592593</v>
      </c>
      <c r="L1945" s="31" t="n">
        <v>150</v>
      </c>
      <c r="M1945" s="31">
        <f>I1945+J1945+K1945+L1945</f>
        <v/>
      </c>
      <c r="N1945" s="31">
        <f>M1945*'Dashboard &amp; Optimisation'!$B$18/('Dashboard &amp; Optimisation'!$B$16/3.6)</f>
        <v/>
      </c>
      <c r="O1945" s="31" t="n">
        <v>574.4450500957452</v>
      </c>
      <c r="P1945" s="32" t="n">
        <v>0.816766805835332</v>
      </c>
      <c r="Q1945" s="33" t="n">
        <v>0.2</v>
      </c>
      <c r="R1945" s="31" t="n">
        <v>300.4192055598247</v>
      </c>
      <c r="S1945" s="31">
        <f>R1945*IF(A1945=4, 2.0, 3.0)</f>
        <v/>
      </c>
      <c r="T1945" s="30">
        <f>'Dashboard &amp; Optimisation'!$B$18*U1945</f>
        <v/>
      </c>
      <c r="U1945" s="34">
        <f>MIN(1, S1945/M1945)</f>
        <v/>
      </c>
      <c r="V1945" s="34">
        <f>N1945/(N1945+O1945)</f>
        <v/>
      </c>
      <c r="W1945" s="34">
        <f>U1945*V1945</f>
        <v/>
      </c>
      <c r="X1945" s="32">
        <f>T1945/N1945</f>
        <v/>
      </c>
      <c r="Y1945" s="35">
        <f>IF(W1945=MAXIFS(W$2:W$3601, A$2:A$3601, A1945, B$2:B$3601, B1945), "OPTIMAL", "")</f>
        <v/>
      </c>
    </row>
    <row r="1946" ht="20" customHeight="1">
      <c r="A1946" s="21" t="n">
        <v>-18</v>
      </c>
      <c r="B1946" s="21" t="n">
        <v>25</v>
      </c>
      <c r="C1946" s="22" t="n">
        <v>95</v>
      </c>
      <c r="D1946" s="22" t="n">
        <v>3</v>
      </c>
      <c r="E1946" s="23" t="n">
        <v>4</v>
      </c>
      <c r="F1946" s="22" t="n">
        <v>1.5</v>
      </c>
      <c r="G1946" s="23" t="inlineStr">
        <is>
          <t>Oui</t>
        </is>
      </c>
      <c r="H1946" s="23" t="inlineStr">
        <is>
          <t>ON</t>
        </is>
      </c>
      <c r="I1946" s="24" t="n">
        <v>604.2334594602274</v>
      </c>
      <c r="J1946" s="24" t="n">
        <v>4012.68388558375</v>
      </c>
      <c r="K1946" s="24" t="n">
        <v>3342.592592592593</v>
      </c>
      <c r="L1946" s="24" t="n">
        <v>150</v>
      </c>
      <c r="M1946" s="24">
        <f>I1946+J1946+K1946+L1946</f>
        <v/>
      </c>
      <c r="N1946" s="24">
        <f>M1946*'Dashboard &amp; Optimisation'!$B$18/('Dashboard &amp; Optimisation'!$B$16/3.6)</f>
        <v/>
      </c>
      <c r="O1946" s="24" t="n">
        <v>803.1578038515216</v>
      </c>
      <c r="P1946" s="25" t="n">
        <v>0.07535655472626097</v>
      </c>
      <c r="Q1946" s="26" t="n">
        <v>7.231715741890194</v>
      </c>
      <c r="R1946" s="24" t="n">
        <v>3371.926074371514</v>
      </c>
      <c r="S1946" s="24">
        <f>R1946*IF(A1946=4, 2.0, 3.0)</f>
        <v/>
      </c>
      <c r="T1946" s="22">
        <f>'Dashboard &amp; Optimisation'!$B$18*U1946</f>
        <v/>
      </c>
      <c r="U1946" s="27">
        <f>MIN(1, S1946/M1946)</f>
        <v/>
      </c>
      <c r="V1946" s="27">
        <f>N1946/(N1946+O1946)</f>
        <v/>
      </c>
      <c r="W1946" s="27">
        <f>U1946*V1946</f>
        <v/>
      </c>
      <c r="X1946" s="25">
        <f>T1946/N1946</f>
        <v/>
      </c>
      <c r="Y1946" s="28">
        <f>IF(W1946=MAXIFS(W$2:W$3601, A$2:A$3601, A1946, B$2:B$3601, B1946), "OPTIMAL", "")</f>
        <v/>
      </c>
    </row>
    <row r="1947" ht="20" customHeight="1">
      <c r="A1947" s="29" t="n">
        <v>-18</v>
      </c>
      <c r="B1947" s="29" t="n">
        <v>25</v>
      </c>
      <c r="C1947" s="30" t="n">
        <v>95</v>
      </c>
      <c r="D1947" s="30" t="n">
        <v>3</v>
      </c>
      <c r="E1947" s="6" t="n">
        <v>4</v>
      </c>
      <c r="F1947" s="30" t="n">
        <v>1.5</v>
      </c>
      <c r="G1947" s="6" t="inlineStr">
        <is>
          <t>Oui</t>
        </is>
      </c>
      <c r="H1947" s="6" t="inlineStr">
        <is>
          <t>OFF</t>
        </is>
      </c>
      <c r="I1947" s="31" t="n">
        <v>604.2334594602274</v>
      </c>
      <c r="J1947" s="31" t="n">
        <v>4012.68388558375</v>
      </c>
      <c r="K1947" s="31" t="n">
        <v>3342.592592592593</v>
      </c>
      <c r="L1947" s="31" t="n">
        <v>150</v>
      </c>
      <c r="M1947" s="31">
        <f>I1947+J1947+K1947+L1947</f>
        <v/>
      </c>
      <c r="N1947" s="31">
        <f>M1947*'Dashboard &amp; Optimisation'!$B$18/('Dashboard &amp; Optimisation'!$B$16/3.6)</f>
        <v/>
      </c>
      <c r="O1947" s="31" t="n">
        <v>803.1578038515216</v>
      </c>
      <c r="P1947" s="32" t="n">
        <v>0.3178141987215173</v>
      </c>
      <c r="Q1947" s="33" t="n">
        <v>7.231715741890194</v>
      </c>
      <c r="R1947" s="31" t="n">
        <v>799.5134666054803</v>
      </c>
      <c r="S1947" s="31">
        <f>R1947*IF(A1947=4, 2.0, 3.0)</f>
        <v/>
      </c>
      <c r="T1947" s="30">
        <f>'Dashboard &amp; Optimisation'!$B$18*U1947</f>
        <v/>
      </c>
      <c r="U1947" s="34">
        <f>MIN(1, S1947/M1947)</f>
        <v/>
      </c>
      <c r="V1947" s="34">
        <f>N1947/(N1947+O1947)</f>
        <v/>
      </c>
      <c r="W1947" s="34">
        <f>U1947*V1947</f>
        <v/>
      </c>
      <c r="X1947" s="32">
        <f>T1947/N1947</f>
        <v/>
      </c>
      <c r="Y1947" s="35">
        <f>IF(W1947=MAXIFS(W$2:W$3601, A$2:A$3601, A1947, B$2:B$3601, B1947), "OPTIMAL", "")</f>
        <v/>
      </c>
    </row>
    <row r="1948" ht="20" customHeight="1">
      <c r="A1948" s="21" t="n">
        <v>-18</v>
      </c>
      <c r="B1948" s="21" t="n">
        <v>25</v>
      </c>
      <c r="C1948" s="22" t="n">
        <v>95</v>
      </c>
      <c r="D1948" s="22" t="n">
        <v>3</v>
      </c>
      <c r="E1948" s="23" t="n">
        <v>4</v>
      </c>
      <c r="F1948" s="22" t="n">
        <v>1.5</v>
      </c>
      <c r="G1948" s="23" t="inlineStr">
        <is>
          <t>Non</t>
        </is>
      </c>
      <c r="H1948" s="23" t="inlineStr">
        <is>
          <t>ON</t>
        </is>
      </c>
      <c r="I1948" s="24" t="n">
        <v>604.2334594602274</v>
      </c>
      <c r="J1948" s="24" t="n">
        <v>4012.68388558375</v>
      </c>
      <c r="K1948" s="24" t="n">
        <v>3342.592592592593</v>
      </c>
      <c r="L1948" s="24" t="n">
        <v>150</v>
      </c>
      <c r="M1948" s="24">
        <f>I1948+J1948+K1948+L1948</f>
        <v/>
      </c>
      <c r="N1948" s="24">
        <f>M1948*'Dashboard &amp; Optimisation'!$B$18/('Dashboard &amp; Optimisation'!$B$16/3.6)</f>
        <v/>
      </c>
      <c r="O1948" s="24" t="n">
        <v>803.1578038515216</v>
      </c>
      <c r="P1948" s="25" t="n">
        <v>0.07200592434537897</v>
      </c>
      <c r="Q1948" s="26" t="n">
        <v>7.231715741890194</v>
      </c>
      <c r="R1948" s="24" t="n">
        <v>3528.830913099584</v>
      </c>
      <c r="S1948" s="24">
        <f>R1948*IF(A1948=4, 2.0, 3.0)</f>
        <v/>
      </c>
      <c r="T1948" s="22">
        <f>'Dashboard &amp; Optimisation'!$B$18*U1948</f>
        <v/>
      </c>
      <c r="U1948" s="27">
        <f>MIN(1, S1948/M1948)</f>
        <v/>
      </c>
      <c r="V1948" s="27">
        <f>N1948/(N1948+O1948)</f>
        <v/>
      </c>
      <c r="W1948" s="27">
        <f>U1948*V1948</f>
        <v/>
      </c>
      <c r="X1948" s="25">
        <f>T1948/N1948</f>
        <v/>
      </c>
      <c r="Y1948" s="28">
        <f>IF(W1948=MAXIFS(W$2:W$3601, A$2:A$3601, A1948, B$2:B$3601, B1948), "OPTIMAL", "")</f>
        <v/>
      </c>
    </row>
    <row r="1949" ht="20" customHeight="1">
      <c r="A1949" s="29" t="n">
        <v>-18</v>
      </c>
      <c r="B1949" s="29" t="n">
        <v>25</v>
      </c>
      <c r="C1949" s="30" t="n">
        <v>95</v>
      </c>
      <c r="D1949" s="30" t="n">
        <v>3</v>
      </c>
      <c r="E1949" s="6" t="n">
        <v>4</v>
      </c>
      <c r="F1949" s="30" t="n">
        <v>1.5</v>
      </c>
      <c r="G1949" s="6" t="inlineStr">
        <is>
          <t>Non</t>
        </is>
      </c>
      <c r="H1949" s="6" t="inlineStr">
        <is>
          <t>OFF</t>
        </is>
      </c>
      <c r="I1949" s="31" t="n">
        <v>604.2334594602274</v>
      </c>
      <c r="J1949" s="31" t="n">
        <v>4012.68388558375</v>
      </c>
      <c r="K1949" s="31" t="n">
        <v>3342.592592592593</v>
      </c>
      <c r="L1949" s="31" t="n">
        <v>150</v>
      </c>
      <c r="M1949" s="31">
        <f>I1949+J1949+K1949+L1949</f>
        <v/>
      </c>
      <c r="N1949" s="31">
        <f>M1949*'Dashboard &amp; Optimisation'!$B$18/('Dashboard &amp; Optimisation'!$B$16/3.6)</f>
        <v/>
      </c>
      <c r="O1949" s="31" t="n">
        <v>803.1578038515216</v>
      </c>
      <c r="P1949" s="32" t="n">
        <v>0.3144635683406353</v>
      </c>
      <c r="Q1949" s="33" t="n">
        <v>7.231715741890194</v>
      </c>
      <c r="R1949" s="31" t="n">
        <v>808.0323361370719</v>
      </c>
      <c r="S1949" s="31">
        <f>R1949*IF(A1949=4, 2.0, 3.0)</f>
        <v/>
      </c>
      <c r="T1949" s="30">
        <f>'Dashboard &amp; Optimisation'!$B$18*U1949</f>
        <v/>
      </c>
      <c r="U1949" s="34">
        <f>MIN(1, S1949/M1949)</f>
        <v/>
      </c>
      <c r="V1949" s="34">
        <f>N1949/(N1949+O1949)</f>
        <v/>
      </c>
      <c r="W1949" s="34">
        <f>U1949*V1949</f>
        <v/>
      </c>
      <c r="X1949" s="32">
        <f>T1949/N1949</f>
        <v/>
      </c>
      <c r="Y1949" s="35">
        <f>IF(W1949=MAXIFS(W$2:W$3601, A$2:A$3601, A1949, B$2:B$3601, B1949), "OPTIMAL", "")</f>
        <v/>
      </c>
    </row>
    <row r="1950" ht="20" customHeight="1">
      <c r="A1950" s="21" t="n">
        <v>-18</v>
      </c>
      <c r="B1950" s="21" t="n">
        <v>25</v>
      </c>
      <c r="C1950" s="22" t="n">
        <v>95</v>
      </c>
      <c r="D1950" s="22" t="n">
        <v>3</v>
      </c>
      <c r="E1950" s="23" t="n">
        <v>4</v>
      </c>
      <c r="F1950" s="22" t="n">
        <v>2</v>
      </c>
      <c r="G1950" s="23" t="inlineStr">
        <is>
          <t>Oui</t>
        </is>
      </c>
      <c r="H1950" s="23" t="inlineStr">
        <is>
          <t>ON</t>
        </is>
      </c>
      <c r="I1950" s="24" t="n">
        <v>604.2334594602274</v>
      </c>
      <c r="J1950" s="24" t="n">
        <v>4012.68388558375</v>
      </c>
      <c r="K1950" s="24" t="n">
        <v>3342.592592592593</v>
      </c>
      <c r="L1950" s="24" t="n">
        <v>150</v>
      </c>
      <c r="M1950" s="24">
        <f>I1950+J1950+K1950+L1950</f>
        <v/>
      </c>
      <c r="N1950" s="24">
        <f>M1950*'Dashboard &amp; Optimisation'!$B$18/('Dashboard &amp; Optimisation'!$B$16/3.6)</f>
        <v/>
      </c>
      <c r="O1950" s="24" t="n">
        <v>883.0529397710635</v>
      </c>
      <c r="P1950" s="25" t="n">
        <v>0.072877449969957</v>
      </c>
      <c r="Q1950" s="26" t="n">
        <v>9.575620989186925</v>
      </c>
      <c r="R1950" s="24" t="n">
        <v>3528.44877089753</v>
      </c>
      <c r="S1950" s="24">
        <f>R1950*IF(A1950=4, 2.0, 3.0)</f>
        <v/>
      </c>
      <c r="T1950" s="22">
        <f>'Dashboard &amp; Optimisation'!$B$18*U1950</f>
        <v/>
      </c>
      <c r="U1950" s="27">
        <f>MIN(1, S1950/M1950)</f>
        <v/>
      </c>
      <c r="V1950" s="27">
        <f>N1950/(N1950+O1950)</f>
        <v/>
      </c>
      <c r="W1950" s="27">
        <f>U1950*V1950</f>
        <v/>
      </c>
      <c r="X1950" s="25">
        <f>T1950/N1950</f>
        <v/>
      </c>
      <c r="Y1950" s="28">
        <f>IF(W1950=MAXIFS(W$2:W$3601, A$2:A$3601, A1950, B$2:B$3601, B1950), "OPTIMAL", "")</f>
        <v/>
      </c>
    </row>
    <row r="1951" ht="20" customHeight="1">
      <c r="A1951" s="29" t="n">
        <v>-18</v>
      </c>
      <c r="B1951" s="29" t="n">
        <v>25</v>
      </c>
      <c r="C1951" s="30" t="n">
        <v>95</v>
      </c>
      <c r="D1951" s="30" t="n">
        <v>3</v>
      </c>
      <c r="E1951" s="6" t="n">
        <v>4</v>
      </c>
      <c r="F1951" s="30" t="n">
        <v>2</v>
      </c>
      <c r="G1951" s="6" t="inlineStr">
        <is>
          <t>Oui</t>
        </is>
      </c>
      <c r="H1951" s="6" t="inlineStr">
        <is>
          <t>OFF</t>
        </is>
      </c>
      <c r="I1951" s="31" t="n">
        <v>604.2334594602274</v>
      </c>
      <c r="J1951" s="31" t="n">
        <v>4012.68388558375</v>
      </c>
      <c r="K1951" s="31" t="n">
        <v>3342.592592592593</v>
      </c>
      <c r="L1951" s="31" t="n">
        <v>150</v>
      </c>
      <c r="M1951" s="31">
        <f>I1951+J1951+K1951+L1951</f>
        <v/>
      </c>
      <c r="N1951" s="31">
        <f>M1951*'Dashboard &amp; Optimisation'!$B$18/('Dashboard &amp; Optimisation'!$B$16/3.6)</f>
        <v/>
      </c>
      <c r="O1951" s="31" t="n">
        <v>883.0529397710635</v>
      </c>
      <c r="P1951" s="32" t="n">
        <v>0.3165144364464006</v>
      </c>
      <c r="Q1951" s="33" t="n">
        <v>9.575620989186925</v>
      </c>
      <c r="R1951" s="31" t="n">
        <v>812.4253404036644</v>
      </c>
      <c r="S1951" s="31">
        <f>R1951*IF(A1951=4, 2.0, 3.0)</f>
        <v/>
      </c>
      <c r="T1951" s="30">
        <f>'Dashboard &amp; Optimisation'!$B$18*U1951</f>
        <v/>
      </c>
      <c r="U1951" s="34">
        <f>MIN(1, S1951/M1951)</f>
        <v/>
      </c>
      <c r="V1951" s="34">
        <f>N1951/(N1951+O1951)</f>
        <v/>
      </c>
      <c r="W1951" s="34">
        <f>U1951*V1951</f>
        <v/>
      </c>
      <c r="X1951" s="32">
        <f>T1951/N1951</f>
        <v/>
      </c>
      <c r="Y1951" s="35">
        <f>IF(W1951=MAXIFS(W$2:W$3601, A$2:A$3601, A1951, B$2:B$3601, B1951), "OPTIMAL", "")</f>
        <v/>
      </c>
    </row>
    <row r="1952" ht="20" customHeight="1">
      <c r="A1952" s="21" t="n">
        <v>-18</v>
      </c>
      <c r="B1952" s="21" t="n">
        <v>25</v>
      </c>
      <c r="C1952" s="22" t="n">
        <v>95</v>
      </c>
      <c r="D1952" s="22" t="n">
        <v>3</v>
      </c>
      <c r="E1952" s="23" t="n">
        <v>4</v>
      </c>
      <c r="F1952" s="22" t="n">
        <v>2</v>
      </c>
      <c r="G1952" s="23" t="inlineStr">
        <is>
          <t>Non</t>
        </is>
      </c>
      <c r="H1952" s="23" t="inlineStr">
        <is>
          <t>ON</t>
        </is>
      </c>
      <c r="I1952" s="24" t="n">
        <v>604.2334594602274</v>
      </c>
      <c r="J1952" s="24" t="n">
        <v>4012.68388558375</v>
      </c>
      <c r="K1952" s="24" t="n">
        <v>3342.592592592593</v>
      </c>
      <c r="L1952" s="24" t="n">
        <v>150</v>
      </c>
      <c r="M1952" s="24">
        <f>I1952+J1952+K1952+L1952</f>
        <v/>
      </c>
      <c r="N1952" s="24">
        <f>M1952*'Dashboard &amp; Optimisation'!$B$18/('Dashboard &amp; Optimisation'!$B$16/3.6)</f>
        <v/>
      </c>
      <c r="O1952" s="24" t="n">
        <v>883.0529397710635</v>
      </c>
      <c r="P1952" s="25" t="n">
        <v>0.06952681958907499</v>
      </c>
      <c r="Q1952" s="26" t="n">
        <v>9.575620989186925</v>
      </c>
      <c r="R1952" s="24" t="n">
        <v>3698.491464048603</v>
      </c>
      <c r="S1952" s="24">
        <f>R1952*IF(A1952=4, 2.0, 3.0)</f>
        <v/>
      </c>
      <c r="T1952" s="22">
        <f>'Dashboard &amp; Optimisation'!$B$18*U1952</f>
        <v/>
      </c>
      <c r="U1952" s="27">
        <f>MIN(1, S1952/M1952)</f>
        <v/>
      </c>
      <c r="V1952" s="27">
        <f>N1952/(N1952+O1952)</f>
        <v/>
      </c>
      <c r="W1952" s="27">
        <f>U1952*V1952</f>
        <v/>
      </c>
      <c r="X1952" s="25">
        <f>T1952/N1952</f>
        <v/>
      </c>
      <c r="Y1952" s="28">
        <f>IF(W1952=MAXIFS(W$2:W$3601, A$2:A$3601, A1952, B$2:B$3601, B1952), "OPTIMAL", "")</f>
        <v/>
      </c>
    </row>
    <row r="1953" ht="20" customHeight="1">
      <c r="A1953" s="29" t="n">
        <v>-18</v>
      </c>
      <c r="B1953" s="29" t="n">
        <v>25</v>
      </c>
      <c r="C1953" s="30" t="n">
        <v>95</v>
      </c>
      <c r="D1953" s="30" t="n">
        <v>3</v>
      </c>
      <c r="E1953" s="6" t="n">
        <v>4</v>
      </c>
      <c r="F1953" s="30" t="n">
        <v>2</v>
      </c>
      <c r="G1953" s="6" t="inlineStr">
        <is>
          <t>Non</t>
        </is>
      </c>
      <c r="H1953" s="6" t="inlineStr">
        <is>
          <t>OFF</t>
        </is>
      </c>
      <c r="I1953" s="31" t="n">
        <v>604.2334594602274</v>
      </c>
      <c r="J1953" s="31" t="n">
        <v>4012.68388558375</v>
      </c>
      <c r="K1953" s="31" t="n">
        <v>3342.592592592593</v>
      </c>
      <c r="L1953" s="31" t="n">
        <v>150</v>
      </c>
      <c r="M1953" s="31">
        <f>I1953+J1953+K1953+L1953</f>
        <v/>
      </c>
      <c r="N1953" s="31">
        <f>M1953*'Dashboard &amp; Optimisation'!$B$18/('Dashboard &amp; Optimisation'!$B$16/3.6)</f>
        <v/>
      </c>
      <c r="O1953" s="31" t="n">
        <v>883.0529397710635</v>
      </c>
      <c r="P1953" s="32" t="n">
        <v>0.3131638060655186</v>
      </c>
      <c r="Q1953" s="33" t="n">
        <v>9.575620989186925</v>
      </c>
      <c r="R1953" s="31" t="n">
        <v>821.1177147299154</v>
      </c>
      <c r="S1953" s="31">
        <f>R1953*IF(A1953=4, 2.0, 3.0)</f>
        <v/>
      </c>
      <c r="T1953" s="30">
        <f>'Dashboard &amp; Optimisation'!$B$18*U1953</f>
        <v/>
      </c>
      <c r="U1953" s="34">
        <f>MIN(1, S1953/M1953)</f>
        <v/>
      </c>
      <c r="V1953" s="34">
        <f>N1953/(N1953+O1953)</f>
        <v/>
      </c>
      <c r="W1953" s="34">
        <f>U1953*V1953</f>
        <v/>
      </c>
      <c r="X1953" s="32">
        <f>T1953/N1953</f>
        <v/>
      </c>
      <c r="Y1953" s="35">
        <f>IF(W1953=MAXIFS(W$2:W$3601, A$2:A$3601, A1953, B$2:B$3601, B1953), "OPTIMAL", "")</f>
        <v/>
      </c>
    </row>
    <row r="1954" ht="20" customHeight="1">
      <c r="A1954" s="21" t="n">
        <v>-18</v>
      </c>
      <c r="B1954" s="21" t="n">
        <v>25</v>
      </c>
      <c r="C1954" s="22" t="n">
        <v>95</v>
      </c>
      <c r="D1954" s="22" t="n">
        <v>3</v>
      </c>
      <c r="E1954" s="23" t="n">
        <v>8</v>
      </c>
      <c r="F1954" s="22" t="n">
        <v>1.5</v>
      </c>
      <c r="G1954" s="23" t="inlineStr">
        <is>
          <t>Oui</t>
        </is>
      </c>
      <c r="H1954" s="23" t="inlineStr">
        <is>
          <t>ON</t>
        </is>
      </c>
      <c r="I1954" s="24" t="n">
        <v>604.2334594602274</v>
      </c>
      <c r="J1954" s="24" t="n">
        <v>4012.68388558375</v>
      </c>
      <c r="K1954" s="24" t="n">
        <v>3342.592592592593</v>
      </c>
      <c r="L1954" s="24" t="n">
        <v>150</v>
      </c>
      <c r="M1954" s="24">
        <f>I1954+J1954+K1954+L1954</f>
        <v/>
      </c>
      <c r="N1954" s="24">
        <f>M1954*'Dashboard &amp; Optimisation'!$B$18/('Dashboard &amp; Optimisation'!$B$16/3.6)</f>
        <v/>
      </c>
      <c r="O1954" s="24" t="n">
        <v>1048.734057705537</v>
      </c>
      <c r="P1954" s="25" t="n">
        <v>0.05688455314032285</v>
      </c>
      <c r="Q1954" s="26" t="n">
        <v>14.26343148378039</v>
      </c>
      <c r="R1954" s="24" t="n">
        <v>4631.561220800667</v>
      </c>
      <c r="S1954" s="24">
        <f>R1954*IF(A1954=4, 2.0, 3.0)</f>
        <v/>
      </c>
      <c r="T1954" s="22">
        <f>'Dashboard &amp; Optimisation'!$B$18*U1954</f>
        <v/>
      </c>
      <c r="U1954" s="27">
        <f>MIN(1, S1954/M1954)</f>
        <v/>
      </c>
      <c r="V1954" s="27">
        <f>N1954/(N1954+O1954)</f>
        <v/>
      </c>
      <c r="W1954" s="27">
        <f>U1954*V1954</f>
        <v/>
      </c>
      <c r="X1954" s="25">
        <f>T1954/N1954</f>
        <v/>
      </c>
      <c r="Y1954" s="28">
        <f>IF(W1954=MAXIFS(W$2:W$3601, A$2:A$3601, A1954, B$2:B$3601, B1954), "OPTIMAL", "")</f>
        <v/>
      </c>
    </row>
    <row r="1955" ht="20" customHeight="1">
      <c r="A1955" s="29" t="n">
        <v>-18</v>
      </c>
      <c r="B1955" s="29" t="n">
        <v>25</v>
      </c>
      <c r="C1955" s="30" t="n">
        <v>95</v>
      </c>
      <c r="D1955" s="30" t="n">
        <v>3</v>
      </c>
      <c r="E1955" s="6" t="n">
        <v>8</v>
      </c>
      <c r="F1955" s="30" t="n">
        <v>1.5</v>
      </c>
      <c r="G1955" s="6" t="inlineStr">
        <is>
          <t>Oui</t>
        </is>
      </c>
      <c r="H1955" s="6" t="inlineStr">
        <is>
          <t>OFF</t>
        </is>
      </c>
      <c r="I1955" s="31" t="n">
        <v>604.2334594602274</v>
      </c>
      <c r="J1955" s="31" t="n">
        <v>4012.68388558375</v>
      </c>
      <c r="K1955" s="31" t="n">
        <v>3342.592592592593</v>
      </c>
      <c r="L1955" s="31" t="n">
        <v>150</v>
      </c>
      <c r="M1955" s="31">
        <f>I1955+J1955+K1955+L1955</f>
        <v/>
      </c>
      <c r="N1955" s="31">
        <f>M1955*'Dashboard &amp; Optimisation'!$B$18/('Dashboard &amp; Optimisation'!$B$16/3.6)</f>
        <v/>
      </c>
      <c r="O1955" s="31" t="n">
        <v>1048.734057705537</v>
      </c>
      <c r="P1955" s="32" t="n">
        <v>0.246840465467505</v>
      </c>
      <c r="Q1955" s="33" t="n">
        <v>14.26343148378039</v>
      </c>
      <c r="R1955" s="31" t="n">
        <v>1067.346433204557</v>
      </c>
      <c r="S1955" s="31">
        <f>R1955*IF(A1955=4, 2.0, 3.0)</f>
        <v/>
      </c>
      <c r="T1955" s="30">
        <f>'Dashboard &amp; Optimisation'!$B$18*U1955</f>
        <v/>
      </c>
      <c r="U1955" s="34">
        <f>MIN(1, S1955/M1955)</f>
        <v/>
      </c>
      <c r="V1955" s="34">
        <f>N1955/(N1955+O1955)</f>
        <v/>
      </c>
      <c r="W1955" s="34">
        <f>U1955*V1955</f>
        <v/>
      </c>
      <c r="X1955" s="32">
        <f>T1955/N1955</f>
        <v/>
      </c>
      <c r="Y1955" s="35">
        <f>IF(W1955=MAXIFS(W$2:W$3601, A$2:A$3601, A1955, B$2:B$3601, B1955), "OPTIMAL", "")</f>
        <v/>
      </c>
    </row>
    <row r="1956" ht="20" customHeight="1">
      <c r="A1956" s="21" t="n">
        <v>-18</v>
      </c>
      <c r="B1956" s="21" t="n">
        <v>25</v>
      </c>
      <c r="C1956" s="22" t="n">
        <v>95</v>
      </c>
      <c r="D1956" s="22" t="n">
        <v>3</v>
      </c>
      <c r="E1956" s="23" t="n">
        <v>8</v>
      </c>
      <c r="F1956" s="22" t="n">
        <v>1.5</v>
      </c>
      <c r="G1956" s="23" t="inlineStr">
        <is>
          <t>Non</t>
        </is>
      </c>
      <c r="H1956" s="23" t="inlineStr">
        <is>
          <t>ON</t>
        </is>
      </c>
      <c r="I1956" s="24" t="n">
        <v>604.2334594602274</v>
      </c>
      <c r="J1956" s="24" t="n">
        <v>4012.68388558375</v>
      </c>
      <c r="K1956" s="24" t="n">
        <v>3342.592592592593</v>
      </c>
      <c r="L1956" s="24" t="n">
        <v>150</v>
      </c>
      <c r="M1956" s="24">
        <f>I1956+J1956+K1956+L1956</f>
        <v/>
      </c>
      <c r="N1956" s="24">
        <f>M1956*'Dashboard &amp; Optimisation'!$B$18/('Dashboard &amp; Optimisation'!$B$16/3.6)</f>
        <v/>
      </c>
      <c r="O1956" s="24" t="n">
        <v>1048.734057705537</v>
      </c>
      <c r="P1956" s="25" t="n">
        <v>0.05353392275944084</v>
      </c>
      <c r="Q1956" s="26" t="n">
        <v>14.26343148378039</v>
      </c>
      <c r="R1956" s="24" t="n">
        <v>4921.445633102452</v>
      </c>
      <c r="S1956" s="24">
        <f>R1956*IF(A1956=4, 2.0, 3.0)</f>
        <v/>
      </c>
      <c r="T1956" s="22">
        <f>'Dashboard &amp; Optimisation'!$B$18*U1956</f>
        <v/>
      </c>
      <c r="U1956" s="27">
        <f>MIN(1, S1956/M1956)</f>
        <v/>
      </c>
      <c r="V1956" s="27">
        <f>N1956/(N1956+O1956)</f>
        <v/>
      </c>
      <c r="W1956" s="27">
        <f>U1956*V1956</f>
        <v/>
      </c>
      <c r="X1956" s="25">
        <f>T1956/N1956</f>
        <v/>
      </c>
      <c r="Y1956" s="28">
        <f>IF(W1956=MAXIFS(W$2:W$3601, A$2:A$3601, A1956, B$2:B$3601, B1956), "OPTIMAL", "")</f>
        <v/>
      </c>
    </row>
    <row r="1957" ht="20" customHeight="1">
      <c r="A1957" s="29" t="n">
        <v>-18</v>
      </c>
      <c r="B1957" s="29" t="n">
        <v>25</v>
      </c>
      <c r="C1957" s="30" t="n">
        <v>95</v>
      </c>
      <c r="D1957" s="30" t="n">
        <v>3</v>
      </c>
      <c r="E1957" s="6" t="n">
        <v>8</v>
      </c>
      <c r="F1957" s="30" t="n">
        <v>1.5</v>
      </c>
      <c r="G1957" s="6" t="inlineStr">
        <is>
          <t>Non</t>
        </is>
      </c>
      <c r="H1957" s="6" t="inlineStr">
        <is>
          <t>OFF</t>
        </is>
      </c>
      <c r="I1957" s="31" t="n">
        <v>604.2334594602274</v>
      </c>
      <c r="J1957" s="31" t="n">
        <v>4012.68388558375</v>
      </c>
      <c r="K1957" s="31" t="n">
        <v>3342.592592592593</v>
      </c>
      <c r="L1957" s="31" t="n">
        <v>150</v>
      </c>
      <c r="M1957" s="31">
        <f>I1957+J1957+K1957+L1957</f>
        <v/>
      </c>
      <c r="N1957" s="31">
        <f>M1957*'Dashboard &amp; Optimisation'!$B$18/('Dashboard &amp; Optimisation'!$B$16/3.6)</f>
        <v/>
      </c>
      <c r="O1957" s="31" t="n">
        <v>1048.734057705537</v>
      </c>
      <c r="P1957" s="32" t="n">
        <v>0.2434898350866229</v>
      </c>
      <c r="Q1957" s="33" t="n">
        <v>14.26343148378039</v>
      </c>
      <c r="R1957" s="31" t="n">
        <v>1082.03404176427</v>
      </c>
      <c r="S1957" s="31">
        <f>R1957*IF(A1957=4, 2.0, 3.0)</f>
        <v/>
      </c>
      <c r="T1957" s="30">
        <f>'Dashboard &amp; Optimisation'!$B$18*U1957</f>
        <v/>
      </c>
      <c r="U1957" s="34">
        <f>MIN(1, S1957/M1957)</f>
        <v/>
      </c>
      <c r="V1957" s="34">
        <f>N1957/(N1957+O1957)</f>
        <v/>
      </c>
      <c r="W1957" s="34">
        <f>U1957*V1957</f>
        <v/>
      </c>
      <c r="X1957" s="32">
        <f>T1957/N1957</f>
        <v/>
      </c>
      <c r="Y1957" s="35">
        <f>IF(W1957=MAXIFS(W$2:W$3601, A$2:A$3601, A1957, B$2:B$3601, B1957), "OPTIMAL", "")</f>
        <v/>
      </c>
    </row>
    <row r="1958" ht="20" customHeight="1">
      <c r="A1958" s="21" t="n">
        <v>-18</v>
      </c>
      <c r="B1958" s="21" t="n">
        <v>25</v>
      </c>
      <c r="C1958" s="22" t="n">
        <v>95</v>
      </c>
      <c r="D1958" s="22" t="n">
        <v>3</v>
      </c>
      <c r="E1958" s="23" t="n">
        <v>8</v>
      </c>
      <c r="F1958" s="22" t="n">
        <v>2</v>
      </c>
      <c r="G1958" s="23" t="inlineStr">
        <is>
          <t>Oui</t>
        </is>
      </c>
      <c r="H1958" s="23" t="inlineStr">
        <is>
          <t>ON</t>
        </is>
      </c>
      <c r="I1958" s="24" t="n">
        <v>604.2334594602274</v>
      </c>
      <c r="J1958" s="24" t="n">
        <v>4012.68388558375</v>
      </c>
      <c r="K1958" s="24" t="n">
        <v>3342.592592592593</v>
      </c>
      <c r="L1958" s="24" t="n">
        <v>150</v>
      </c>
      <c r="M1958" s="24">
        <f>I1958+J1958+K1958+L1958</f>
        <v/>
      </c>
      <c r="N1958" s="24">
        <f>M1958*'Dashboard &amp; Optimisation'!$B$18/('Dashboard &amp; Optimisation'!$B$16/3.6)</f>
        <v/>
      </c>
      <c r="O1958" s="24" t="n">
        <v>1222.764402925032</v>
      </c>
      <c r="P1958" s="25" t="n">
        <v>0.0557699285087862</v>
      </c>
      <c r="Q1958" s="26" t="n">
        <v>18.95124197837385</v>
      </c>
      <c r="R1958" s="24" t="n">
        <v>4843.160503902149</v>
      </c>
      <c r="S1958" s="24">
        <f>R1958*IF(A1958=4, 2.0, 3.0)</f>
        <v/>
      </c>
      <c r="T1958" s="22">
        <f>'Dashboard &amp; Optimisation'!$B$18*U1958</f>
        <v/>
      </c>
      <c r="U1958" s="27">
        <f>MIN(1, S1958/M1958)</f>
        <v/>
      </c>
      <c r="V1958" s="27">
        <f>N1958/(N1958+O1958)</f>
        <v/>
      </c>
      <c r="W1958" s="27">
        <f>U1958*V1958</f>
        <v/>
      </c>
      <c r="X1958" s="25">
        <f>T1958/N1958</f>
        <v/>
      </c>
      <c r="Y1958" s="28">
        <f>IF(W1958=MAXIFS(W$2:W$3601, A$2:A$3601, A1958, B$2:B$3601, B1958), "OPTIMAL", "")</f>
        <v/>
      </c>
    </row>
    <row r="1959" ht="20" customHeight="1">
      <c r="A1959" s="29" t="n">
        <v>-18</v>
      </c>
      <c r="B1959" s="29" t="n">
        <v>25</v>
      </c>
      <c r="C1959" s="30" t="n">
        <v>95</v>
      </c>
      <c r="D1959" s="30" t="n">
        <v>3</v>
      </c>
      <c r="E1959" s="6" t="n">
        <v>8</v>
      </c>
      <c r="F1959" s="30" t="n">
        <v>2</v>
      </c>
      <c r="G1959" s="6" t="inlineStr">
        <is>
          <t>Oui</t>
        </is>
      </c>
      <c r="H1959" s="6" t="inlineStr">
        <is>
          <t>OFF</t>
        </is>
      </c>
      <c r="I1959" s="31" t="n">
        <v>604.2334594602274</v>
      </c>
      <c r="J1959" s="31" t="n">
        <v>4012.68388558375</v>
      </c>
      <c r="K1959" s="31" t="n">
        <v>3342.592592592593</v>
      </c>
      <c r="L1959" s="31" t="n">
        <v>150</v>
      </c>
      <c r="M1959" s="31">
        <f>I1959+J1959+K1959+L1959</f>
        <v/>
      </c>
      <c r="N1959" s="31">
        <f>M1959*'Dashboard &amp; Optimisation'!$B$18/('Dashboard &amp; Optimisation'!$B$16/3.6)</f>
        <v/>
      </c>
      <c r="O1959" s="31" t="n">
        <v>1222.764402925032</v>
      </c>
      <c r="P1959" s="32" t="n">
        <v>0.2471780798795112</v>
      </c>
      <c r="Q1959" s="33" t="n">
        <v>18.95124197837385</v>
      </c>
      <c r="R1959" s="31" t="n">
        <v>1092.745421401701</v>
      </c>
      <c r="S1959" s="31">
        <f>R1959*IF(A1959=4, 2.0, 3.0)</f>
        <v/>
      </c>
      <c r="T1959" s="30">
        <f>'Dashboard &amp; Optimisation'!$B$18*U1959</f>
        <v/>
      </c>
      <c r="U1959" s="34">
        <f>MIN(1, S1959/M1959)</f>
        <v/>
      </c>
      <c r="V1959" s="34">
        <f>N1959/(N1959+O1959)</f>
        <v/>
      </c>
      <c r="W1959" s="34">
        <f>U1959*V1959</f>
        <v/>
      </c>
      <c r="X1959" s="32">
        <f>T1959/N1959</f>
        <v/>
      </c>
      <c r="Y1959" s="35">
        <f>IF(W1959=MAXIFS(W$2:W$3601, A$2:A$3601, A1959, B$2:B$3601, B1959), "OPTIMAL", "")</f>
        <v/>
      </c>
    </row>
    <row r="1960" ht="20" customHeight="1">
      <c r="A1960" s="21" t="n">
        <v>-18</v>
      </c>
      <c r="B1960" s="21" t="n">
        <v>25</v>
      </c>
      <c r="C1960" s="22" t="n">
        <v>95</v>
      </c>
      <c r="D1960" s="22" t="n">
        <v>3</v>
      </c>
      <c r="E1960" s="23" t="n">
        <v>8</v>
      </c>
      <c r="F1960" s="22" t="n">
        <v>2</v>
      </c>
      <c r="G1960" s="23" t="inlineStr">
        <is>
          <t>Non</t>
        </is>
      </c>
      <c r="H1960" s="23" t="inlineStr">
        <is>
          <t>ON</t>
        </is>
      </c>
      <c r="I1960" s="24" t="n">
        <v>604.2334594602274</v>
      </c>
      <c r="J1960" s="24" t="n">
        <v>4012.68388558375</v>
      </c>
      <c r="K1960" s="24" t="n">
        <v>3342.592592592593</v>
      </c>
      <c r="L1960" s="24" t="n">
        <v>150</v>
      </c>
      <c r="M1960" s="24">
        <f>I1960+J1960+K1960+L1960</f>
        <v/>
      </c>
      <c r="N1960" s="24">
        <f>M1960*'Dashboard &amp; Optimisation'!$B$18/('Dashboard &amp; Optimisation'!$B$16/3.6)</f>
        <v/>
      </c>
      <c r="O1960" s="24" t="n">
        <v>1222.764402925032</v>
      </c>
      <c r="P1960" s="25" t="n">
        <v>0.05241929812790419</v>
      </c>
      <c r="Q1960" s="26" t="n">
        <v>18.95124197837385</v>
      </c>
      <c r="R1960" s="24" t="n">
        <v>5152.73429262909</v>
      </c>
      <c r="S1960" s="24">
        <f>R1960*IF(A1960=4, 2.0, 3.0)</f>
        <v/>
      </c>
      <c r="T1960" s="22">
        <f>'Dashboard &amp; Optimisation'!$B$18*U1960</f>
        <v/>
      </c>
      <c r="U1960" s="27">
        <f>MIN(1, S1960/M1960)</f>
        <v/>
      </c>
      <c r="V1960" s="27">
        <f>N1960/(N1960+O1960)</f>
        <v/>
      </c>
      <c r="W1960" s="27">
        <f>U1960*V1960</f>
        <v/>
      </c>
      <c r="X1960" s="25">
        <f>T1960/N1960</f>
        <v/>
      </c>
      <c r="Y1960" s="28">
        <f>IF(W1960=MAXIFS(W$2:W$3601, A$2:A$3601, A1960, B$2:B$3601, B1960), "OPTIMAL", "")</f>
        <v/>
      </c>
    </row>
    <row r="1961" ht="20" customHeight="1">
      <c r="A1961" s="29" t="n">
        <v>-18</v>
      </c>
      <c r="B1961" s="29" t="n">
        <v>25</v>
      </c>
      <c r="C1961" s="30" t="n">
        <v>95</v>
      </c>
      <c r="D1961" s="30" t="n">
        <v>3</v>
      </c>
      <c r="E1961" s="6" t="n">
        <v>8</v>
      </c>
      <c r="F1961" s="30" t="n">
        <v>2</v>
      </c>
      <c r="G1961" s="6" t="inlineStr">
        <is>
          <t>Non</t>
        </is>
      </c>
      <c r="H1961" s="6" t="inlineStr">
        <is>
          <t>OFF</t>
        </is>
      </c>
      <c r="I1961" s="31" t="n">
        <v>604.2334594602274</v>
      </c>
      <c r="J1961" s="31" t="n">
        <v>4012.68388558375</v>
      </c>
      <c r="K1961" s="31" t="n">
        <v>3342.592592592593</v>
      </c>
      <c r="L1961" s="31" t="n">
        <v>150</v>
      </c>
      <c r="M1961" s="31">
        <f>I1961+J1961+K1961+L1961</f>
        <v/>
      </c>
      <c r="N1961" s="31">
        <f>M1961*'Dashboard &amp; Optimisation'!$B$18/('Dashboard &amp; Optimisation'!$B$16/3.6)</f>
        <v/>
      </c>
      <c r="O1961" s="31" t="n">
        <v>1222.764402925032</v>
      </c>
      <c r="P1961" s="32" t="n">
        <v>0.2438274494986292</v>
      </c>
      <c r="Q1961" s="33" t="n">
        <v>18.95124197837385</v>
      </c>
      <c r="R1961" s="31" t="n">
        <v>1107.761720899756</v>
      </c>
      <c r="S1961" s="31">
        <f>R1961*IF(A1961=4, 2.0, 3.0)</f>
        <v/>
      </c>
      <c r="T1961" s="30">
        <f>'Dashboard &amp; Optimisation'!$B$18*U1961</f>
        <v/>
      </c>
      <c r="U1961" s="34">
        <f>MIN(1, S1961/M1961)</f>
        <v/>
      </c>
      <c r="V1961" s="34">
        <f>N1961/(N1961+O1961)</f>
        <v/>
      </c>
      <c r="W1961" s="34">
        <f>U1961*V1961</f>
        <v/>
      </c>
      <c r="X1961" s="32">
        <f>T1961/N1961</f>
        <v/>
      </c>
      <c r="Y1961" s="35">
        <f>IF(W1961=MAXIFS(W$2:W$3601, A$2:A$3601, A1961, B$2:B$3601, B1961), "OPTIMAL", "")</f>
        <v/>
      </c>
    </row>
    <row r="1962" ht="20" customHeight="1">
      <c r="A1962" s="21" t="n">
        <v>-18</v>
      </c>
      <c r="B1962" s="21" t="n">
        <v>25</v>
      </c>
      <c r="C1962" s="22" t="n">
        <v>100</v>
      </c>
      <c r="D1962" s="22" t="n">
        <v>2</v>
      </c>
      <c r="E1962" s="23" t="n">
        <v>0</v>
      </c>
      <c r="F1962" s="22" t="n">
        <v>0</v>
      </c>
      <c r="G1962" s="23" t="inlineStr">
        <is>
          <t>Oui</t>
        </is>
      </c>
      <c r="H1962" s="23" t="inlineStr">
        <is>
          <t>ON</t>
        </is>
      </c>
      <c r="I1962" s="24" t="n">
        <v>604.2334594602274</v>
      </c>
      <c r="J1962" s="24" t="n">
        <v>4012.68388558375</v>
      </c>
      <c r="K1962" s="24" t="n">
        <v>3342.592592592593</v>
      </c>
      <c r="L1962" s="24" t="n">
        <v>150</v>
      </c>
      <c r="M1962" s="24">
        <f>I1962+J1962+K1962+L1962</f>
        <v/>
      </c>
      <c r="N1962" s="24">
        <f>M1962*'Dashboard &amp; Optimisation'!$B$18/('Dashboard &amp; Optimisation'!$B$16/3.6)</f>
        <v/>
      </c>
      <c r="O1962" s="24" t="n">
        <v>350.6170473036996</v>
      </c>
      <c r="P1962" s="25" t="n">
        <v>0.4806796209288155</v>
      </c>
      <c r="Q1962" s="26" t="n">
        <v>0.2</v>
      </c>
      <c r="R1962" s="24" t="n">
        <v>438.7403827925377</v>
      </c>
      <c r="S1962" s="24">
        <f>R1962*IF(A1962=4, 2.0, 3.0)</f>
        <v/>
      </c>
      <c r="T1962" s="22">
        <f>'Dashboard &amp; Optimisation'!$B$18*U1962</f>
        <v/>
      </c>
      <c r="U1962" s="27">
        <f>MIN(1, S1962/M1962)</f>
        <v/>
      </c>
      <c r="V1962" s="27">
        <f>N1962/(N1962+O1962)</f>
        <v/>
      </c>
      <c r="W1962" s="27">
        <f>U1962*V1962</f>
        <v/>
      </c>
      <c r="X1962" s="25">
        <f>T1962/N1962</f>
        <v/>
      </c>
      <c r="Y1962" s="28">
        <f>IF(W1962=MAXIFS(W$2:W$3601, A$2:A$3601, A1962, B$2:B$3601, B1962), "OPTIMAL", "")</f>
        <v/>
      </c>
    </row>
    <row r="1963" ht="20" customHeight="1">
      <c r="A1963" s="29" t="n">
        <v>-18</v>
      </c>
      <c r="B1963" s="29" t="n">
        <v>25</v>
      </c>
      <c r="C1963" s="30" t="n">
        <v>100</v>
      </c>
      <c r="D1963" s="30" t="n">
        <v>2</v>
      </c>
      <c r="E1963" s="6" t="n">
        <v>0</v>
      </c>
      <c r="F1963" s="30" t="n">
        <v>0</v>
      </c>
      <c r="G1963" s="6" t="inlineStr">
        <is>
          <t>Oui</t>
        </is>
      </c>
      <c r="H1963" s="6" t="inlineStr">
        <is>
          <t>OFF</t>
        </is>
      </c>
      <c r="I1963" s="31" t="n">
        <v>604.2334594602274</v>
      </c>
      <c r="J1963" s="31" t="n">
        <v>4012.68388558375</v>
      </c>
      <c r="K1963" s="31" t="n">
        <v>3342.592592592593</v>
      </c>
      <c r="L1963" s="31" t="n">
        <v>150</v>
      </c>
      <c r="M1963" s="31">
        <f>I1963+J1963+K1963+L1963</f>
        <v/>
      </c>
      <c r="N1963" s="31">
        <f>M1963*'Dashboard &amp; Optimisation'!$B$18/('Dashboard &amp; Optimisation'!$B$16/3.6)</f>
        <v/>
      </c>
      <c r="O1963" s="31" t="n">
        <v>350.6170473036996</v>
      </c>
      <c r="P1963" s="32" t="n">
        <v>0.7989895071126063</v>
      </c>
      <c r="Q1963" s="33" t="n">
        <v>0.2</v>
      </c>
      <c r="R1963" s="31" t="n">
        <v>263.9503510490507</v>
      </c>
      <c r="S1963" s="31">
        <f>R1963*IF(A1963=4, 2.0, 3.0)</f>
        <v/>
      </c>
      <c r="T1963" s="30">
        <f>'Dashboard &amp; Optimisation'!$B$18*U1963</f>
        <v/>
      </c>
      <c r="U1963" s="34">
        <f>MIN(1, S1963/M1963)</f>
        <v/>
      </c>
      <c r="V1963" s="34">
        <f>N1963/(N1963+O1963)</f>
        <v/>
      </c>
      <c r="W1963" s="34">
        <f>U1963*V1963</f>
        <v/>
      </c>
      <c r="X1963" s="32">
        <f>T1963/N1963</f>
        <v/>
      </c>
      <c r="Y1963" s="35">
        <f>IF(W1963=MAXIFS(W$2:W$3601, A$2:A$3601, A1963, B$2:B$3601, B1963), "OPTIMAL", "")</f>
        <v/>
      </c>
    </row>
    <row r="1964" ht="20" customHeight="1">
      <c r="A1964" s="21" t="n">
        <v>-18</v>
      </c>
      <c r="B1964" s="21" t="n">
        <v>25</v>
      </c>
      <c r="C1964" s="22" t="n">
        <v>100</v>
      </c>
      <c r="D1964" s="22" t="n">
        <v>2</v>
      </c>
      <c r="E1964" s="23" t="n">
        <v>0</v>
      </c>
      <c r="F1964" s="22" t="n">
        <v>0</v>
      </c>
      <c r="G1964" s="23" t="inlineStr">
        <is>
          <t>Non</t>
        </is>
      </c>
      <c r="H1964" s="23" t="inlineStr">
        <is>
          <t>ON</t>
        </is>
      </c>
      <c r="I1964" s="24" t="n">
        <v>604.2334594602274</v>
      </c>
      <c r="J1964" s="24" t="n">
        <v>4012.68388558375</v>
      </c>
      <c r="K1964" s="24" t="n">
        <v>3342.592592592593</v>
      </c>
      <c r="L1964" s="24" t="n">
        <v>150</v>
      </c>
      <c r="M1964" s="24">
        <f>I1964+J1964+K1964+L1964</f>
        <v/>
      </c>
      <c r="N1964" s="24">
        <f>M1964*'Dashboard &amp; Optimisation'!$B$18/('Dashboard &amp; Optimisation'!$B$16/3.6)</f>
        <v/>
      </c>
      <c r="O1964" s="24" t="n">
        <v>350.6170473036996</v>
      </c>
      <c r="P1964" s="25" t="n">
        <v>0.4774965220669776</v>
      </c>
      <c r="Q1964" s="26" t="n">
        <v>0.2</v>
      </c>
      <c r="R1964" s="24" t="n">
        <v>441.6651245415747</v>
      </c>
      <c r="S1964" s="24">
        <f>R1964*IF(A1964=4, 2.0, 3.0)</f>
        <v/>
      </c>
      <c r="T1964" s="22">
        <f>'Dashboard &amp; Optimisation'!$B$18*U1964</f>
        <v/>
      </c>
      <c r="U1964" s="27">
        <f>MIN(1, S1964/M1964)</f>
        <v/>
      </c>
      <c r="V1964" s="27">
        <f>N1964/(N1964+O1964)</f>
        <v/>
      </c>
      <c r="W1964" s="27">
        <f>U1964*V1964</f>
        <v/>
      </c>
      <c r="X1964" s="25">
        <f>T1964/N1964</f>
        <v/>
      </c>
      <c r="Y1964" s="28">
        <f>IF(W1964=MAXIFS(W$2:W$3601, A$2:A$3601, A1964, B$2:B$3601, B1964), "OPTIMAL", "")</f>
        <v/>
      </c>
    </row>
    <row r="1965" ht="20" customHeight="1">
      <c r="A1965" s="29" t="n">
        <v>-18</v>
      </c>
      <c r="B1965" s="29" t="n">
        <v>25</v>
      </c>
      <c r="C1965" s="30" t="n">
        <v>100</v>
      </c>
      <c r="D1965" s="30" t="n">
        <v>2</v>
      </c>
      <c r="E1965" s="6" t="n">
        <v>0</v>
      </c>
      <c r="F1965" s="30" t="n">
        <v>0</v>
      </c>
      <c r="G1965" s="6" t="inlineStr">
        <is>
          <t>Non</t>
        </is>
      </c>
      <c r="H1965" s="6" t="inlineStr">
        <is>
          <t>OFF</t>
        </is>
      </c>
      <c r="I1965" s="31" t="n">
        <v>604.2334594602274</v>
      </c>
      <c r="J1965" s="31" t="n">
        <v>4012.68388558375</v>
      </c>
      <c r="K1965" s="31" t="n">
        <v>3342.592592592593</v>
      </c>
      <c r="L1965" s="31" t="n">
        <v>150</v>
      </c>
      <c r="M1965" s="31">
        <f>I1965+J1965+K1965+L1965</f>
        <v/>
      </c>
      <c r="N1965" s="31">
        <f>M1965*'Dashboard &amp; Optimisation'!$B$18/('Dashboard &amp; Optimisation'!$B$16/3.6)</f>
        <v/>
      </c>
      <c r="O1965" s="31" t="n">
        <v>350.6170473036996</v>
      </c>
      <c r="P1965" s="32" t="n">
        <v>0.7958064082507683</v>
      </c>
      <c r="Q1965" s="33" t="n">
        <v>0.2</v>
      </c>
      <c r="R1965" s="31" t="n">
        <v>265.0061104062199</v>
      </c>
      <c r="S1965" s="31">
        <f>R1965*IF(A1965=4, 2.0, 3.0)</f>
        <v/>
      </c>
      <c r="T1965" s="30">
        <f>'Dashboard &amp; Optimisation'!$B$18*U1965</f>
        <v/>
      </c>
      <c r="U1965" s="34">
        <f>MIN(1, S1965/M1965)</f>
        <v/>
      </c>
      <c r="V1965" s="34">
        <f>N1965/(N1965+O1965)</f>
        <v/>
      </c>
      <c r="W1965" s="34">
        <f>U1965*V1965</f>
        <v/>
      </c>
      <c r="X1965" s="32">
        <f>T1965/N1965</f>
        <v/>
      </c>
      <c r="Y1965" s="35">
        <f>IF(W1965=MAXIFS(W$2:W$3601, A$2:A$3601, A1965, B$2:B$3601, B1965), "OPTIMAL", "")</f>
        <v/>
      </c>
    </row>
    <row r="1966" ht="20" customHeight="1">
      <c r="A1966" s="21" t="n">
        <v>-18</v>
      </c>
      <c r="B1966" s="21" t="n">
        <v>25</v>
      </c>
      <c r="C1966" s="22" t="n">
        <v>100</v>
      </c>
      <c r="D1966" s="22" t="n">
        <v>2</v>
      </c>
      <c r="E1966" s="23" t="n">
        <v>4</v>
      </c>
      <c r="F1966" s="22" t="n">
        <v>1.5</v>
      </c>
      <c r="G1966" s="23" t="inlineStr">
        <is>
          <t>Oui</t>
        </is>
      </c>
      <c r="H1966" s="23" t="inlineStr">
        <is>
          <t>ON</t>
        </is>
      </c>
      <c r="I1966" s="24" t="n">
        <v>604.2334594602274</v>
      </c>
      <c r="J1966" s="24" t="n">
        <v>4012.68388558375</v>
      </c>
      <c r="K1966" s="24" t="n">
        <v>3342.592592592593</v>
      </c>
      <c r="L1966" s="24" t="n">
        <v>150</v>
      </c>
      <c r="M1966" s="24">
        <f>I1966+J1966+K1966+L1966</f>
        <v/>
      </c>
      <c r="N1966" s="24">
        <f>M1966*'Dashboard &amp; Optimisation'!$B$18/('Dashboard &amp; Optimisation'!$B$16/3.6)</f>
        <v/>
      </c>
      <c r="O1966" s="24" t="n">
        <v>550.5824320848959</v>
      </c>
      <c r="P1966" s="25" t="n">
        <v>0.07376163664698646</v>
      </c>
      <c r="Q1966" s="26" t="n">
        <v>6.718986469044035</v>
      </c>
      <c r="R1966" s="24" t="n">
        <v>2953.123418068168</v>
      </c>
      <c r="S1966" s="24">
        <f>R1966*IF(A1966=4, 2.0, 3.0)</f>
        <v/>
      </c>
      <c r="T1966" s="22">
        <f>'Dashboard &amp; Optimisation'!$B$18*U1966</f>
        <v/>
      </c>
      <c r="U1966" s="27">
        <f>MIN(1, S1966/M1966)</f>
        <v/>
      </c>
      <c r="V1966" s="27">
        <f>N1966/(N1966+O1966)</f>
        <v/>
      </c>
      <c r="W1966" s="27">
        <f>U1966*V1966</f>
        <v/>
      </c>
      <c r="X1966" s="25">
        <f>T1966/N1966</f>
        <v/>
      </c>
      <c r="Y1966" s="28">
        <f>IF(W1966=MAXIFS(W$2:W$3601, A$2:A$3601, A1966, B$2:B$3601, B1966), "OPTIMAL", "")</f>
        <v/>
      </c>
    </row>
    <row r="1967" ht="20" customHeight="1">
      <c r="A1967" s="29" t="n">
        <v>-18</v>
      </c>
      <c r="B1967" s="29" t="n">
        <v>25</v>
      </c>
      <c r="C1967" s="30" t="n">
        <v>100</v>
      </c>
      <c r="D1967" s="30" t="n">
        <v>2</v>
      </c>
      <c r="E1967" s="6" t="n">
        <v>4</v>
      </c>
      <c r="F1967" s="30" t="n">
        <v>1.5</v>
      </c>
      <c r="G1967" s="6" t="inlineStr">
        <is>
          <t>Oui</t>
        </is>
      </c>
      <c r="H1967" s="6" t="inlineStr">
        <is>
          <t>OFF</t>
        </is>
      </c>
      <c r="I1967" s="31" t="n">
        <v>604.2334594602274</v>
      </c>
      <c r="J1967" s="31" t="n">
        <v>4012.68388558375</v>
      </c>
      <c r="K1967" s="31" t="n">
        <v>3342.592592592593</v>
      </c>
      <c r="L1967" s="31" t="n">
        <v>150</v>
      </c>
      <c r="M1967" s="31">
        <f>I1967+J1967+K1967+L1967</f>
        <v/>
      </c>
      <c r="N1967" s="31">
        <f>M1967*'Dashboard &amp; Optimisation'!$B$18/('Dashboard &amp; Optimisation'!$B$16/3.6)</f>
        <v/>
      </c>
      <c r="O1967" s="31" t="n">
        <v>550.5824320848959</v>
      </c>
      <c r="P1967" s="32" t="n">
        <v>0.3073240714228834</v>
      </c>
      <c r="Q1967" s="33" t="n">
        <v>6.718986469044035</v>
      </c>
      <c r="R1967" s="31" t="n">
        <v>708.7867069075652</v>
      </c>
      <c r="S1967" s="31">
        <f>R1967*IF(A1967=4, 2.0, 3.0)</f>
        <v/>
      </c>
      <c r="T1967" s="30">
        <f>'Dashboard &amp; Optimisation'!$B$18*U1967</f>
        <v/>
      </c>
      <c r="U1967" s="34">
        <f>MIN(1, S1967/M1967)</f>
        <v/>
      </c>
      <c r="V1967" s="34">
        <f>N1967/(N1967+O1967)</f>
        <v/>
      </c>
      <c r="W1967" s="34">
        <f>U1967*V1967</f>
        <v/>
      </c>
      <c r="X1967" s="32">
        <f>T1967/N1967</f>
        <v/>
      </c>
      <c r="Y1967" s="35">
        <f>IF(W1967=MAXIFS(W$2:W$3601, A$2:A$3601, A1967, B$2:B$3601, B1967), "OPTIMAL", "")</f>
        <v/>
      </c>
    </row>
    <row r="1968" ht="20" customHeight="1">
      <c r="A1968" s="21" t="n">
        <v>-18</v>
      </c>
      <c r="B1968" s="21" t="n">
        <v>25</v>
      </c>
      <c r="C1968" s="22" t="n">
        <v>100</v>
      </c>
      <c r="D1968" s="22" t="n">
        <v>2</v>
      </c>
      <c r="E1968" s="23" t="n">
        <v>4</v>
      </c>
      <c r="F1968" s="22" t="n">
        <v>1.5</v>
      </c>
      <c r="G1968" s="23" t="inlineStr">
        <is>
          <t>Non</t>
        </is>
      </c>
      <c r="H1968" s="23" t="inlineStr">
        <is>
          <t>ON</t>
        </is>
      </c>
      <c r="I1968" s="24" t="n">
        <v>604.2334594602274</v>
      </c>
      <c r="J1968" s="24" t="n">
        <v>4012.68388558375</v>
      </c>
      <c r="K1968" s="24" t="n">
        <v>3342.592592592593</v>
      </c>
      <c r="L1968" s="24" t="n">
        <v>150</v>
      </c>
      <c r="M1968" s="24">
        <f>I1968+J1968+K1968+L1968</f>
        <v/>
      </c>
      <c r="N1968" s="24">
        <f>M1968*'Dashboard &amp; Optimisation'!$B$18/('Dashboard &amp; Optimisation'!$B$16/3.6)</f>
        <v/>
      </c>
      <c r="O1968" s="24" t="n">
        <v>550.5824320848959</v>
      </c>
      <c r="P1968" s="25" t="n">
        <v>0.07057853778514854</v>
      </c>
      <c r="Q1968" s="26" t="n">
        <v>6.718986469044035</v>
      </c>
      <c r="R1968" s="24" t="n">
        <v>3086.309569069694</v>
      </c>
      <c r="S1968" s="24">
        <f>R1968*IF(A1968=4, 2.0, 3.0)</f>
        <v/>
      </c>
      <c r="T1968" s="22">
        <f>'Dashboard &amp; Optimisation'!$B$18*U1968</f>
        <v/>
      </c>
      <c r="U1968" s="27">
        <f>MIN(1, S1968/M1968)</f>
        <v/>
      </c>
      <c r="V1968" s="27">
        <f>N1968/(N1968+O1968)</f>
        <v/>
      </c>
      <c r="W1968" s="27">
        <f>U1968*V1968</f>
        <v/>
      </c>
      <c r="X1968" s="25">
        <f>T1968/N1968</f>
        <v/>
      </c>
      <c r="Y1968" s="28">
        <f>IF(W1968=MAXIFS(W$2:W$3601, A$2:A$3601, A1968, B$2:B$3601, B1968), "OPTIMAL", "")</f>
        <v/>
      </c>
    </row>
    <row r="1969" ht="20" customHeight="1">
      <c r="A1969" s="29" t="n">
        <v>-18</v>
      </c>
      <c r="B1969" s="29" t="n">
        <v>25</v>
      </c>
      <c r="C1969" s="30" t="n">
        <v>100</v>
      </c>
      <c r="D1969" s="30" t="n">
        <v>2</v>
      </c>
      <c r="E1969" s="6" t="n">
        <v>4</v>
      </c>
      <c r="F1969" s="30" t="n">
        <v>1.5</v>
      </c>
      <c r="G1969" s="6" t="inlineStr">
        <is>
          <t>Non</t>
        </is>
      </c>
      <c r="H1969" s="6" t="inlineStr">
        <is>
          <t>OFF</t>
        </is>
      </c>
      <c r="I1969" s="31" t="n">
        <v>604.2334594602274</v>
      </c>
      <c r="J1969" s="31" t="n">
        <v>4012.68388558375</v>
      </c>
      <c r="K1969" s="31" t="n">
        <v>3342.592592592593</v>
      </c>
      <c r="L1969" s="31" t="n">
        <v>150</v>
      </c>
      <c r="M1969" s="31">
        <f>I1969+J1969+K1969+L1969</f>
        <v/>
      </c>
      <c r="N1969" s="31">
        <f>M1969*'Dashboard &amp; Optimisation'!$B$18/('Dashboard &amp; Optimisation'!$B$16/3.6)</f>
        <v/>
      </c>
      <c r="O1969" s="31" t="n">
        <v>550.5824320848959</v>
      </c>
      <c r="P1969" s="32" t="n">
        <v>0.3041409725610454</v>
      </c>
      <c r="Q1969" s="33" t="n">
        <v>6.718986469044035</v>
      </c>
      <c r="R1969" s="31" t="n">
        <v>716.2047740658481</v>
      </c>
      <c r="S1969" s="31">
        <f>R1969*IF(A1969=4, 2.0, 3.0)</f>
        <v/>
      </c>
      <c r="T1969" s="30">
        <f>'Dashboard &amp; Optimisation'!$B$18*U1969</f>
        <v/>
      </c>
      <c r="U1969" s="34">
        <f>MIN(1, S1969/M1969)</f>
        <v/>
      </c>
      <c r="V1969" s="34">
        <f>N1969/(N1969+O1969)</f>
        <v/>
      </c>
      <c r="W1969" s="34">
        <f>U1969*V1969</f>
        <v/>
      </c>
      <c r="X1969" s="32">
        <f>T1969/N1969</f>
        <v/>
      </c>
      <c r="Y1969" s="35">
        <f>IF(W1969=MAXIFS(W$2:W$3601, A$2:A$3601, A1969, B$2:B$3601, B1969), "OPTIMAL", "")</f>
        <v/>
      </c>
    </row>
    <row r="1970" ht="20" customHeight="1">
      <c r="A1970" s="21" t="n">
        <v>-18</v>
      </c>
      <c r="B1970" s="21" t="n">
        <v>25</v>
      </c>
      <c r="C1970" s="22" t="n">
        <v>100</v>
      </c>
      <c r="D1970" s="22" t="n">
        <v>2</v>
      </c>
      <c r="E1970" s="23" t="n">
        <v>4</v>
      </c>
      <c r="F1970" s="22" t="n">
        <v>2</v>
      </c>
      <c r="G1970" s="23" t="inlineStr">
        <is>
          <t>Oui</t>
        </is>
      </c>
      <c r="H1970" s="23" t="inlineStr">
        <is>
          <t>ON</t>
        </is>
      </c>
      <c r="I1970" s="24" t="n">
        <v>604.2334594602274</v>
      </c>
      <c r="J1970" s="24" t="n">
        <v>4012.68388558375</v>
      </c>
      <c r="K1970" s="24" t="n">
        <v>3342.592592592593</v>
      </c>
      <c r="L1970" s="24" t="n">
        <v>150</v>
      </c>
      <c r="M1970" s="24">
        <f>I1970+J1970+K1970+L1970</f>
        <v/>
      </c>
      <c r="N1970" s="24">
        <f>M1970*'Dashboard &amp; Optimisation'!$B$18/('Dashboard &amp; Optimisation'!$B$16/3.6)</f>
        <v/>
      </c>
      <c r="O1970" s="24" t="n">
        <v>620.191876941233</v>
      </c>
      <c r="P1970" s="25" t="n">
        <v>0.07106618988155999</v>
      </c>
      <c r="Q1970" s="26" t="n">
        <v>8.891981958725379</v>
      </c>
      <c r="R1970" s="24" t="n">
        <v>3099.095002193455</v>
      </c>
      <c r="S1970" s="24">
        <f>R1970*IF(A1970=4, 2.0, 3.0)</f>
        <v/>
      </c>
      <c r="T1970" s="22">
        <f>'Dashboard &amp; Optimisation'!$B$18*U1970</f>
        <v/>
      </c>
      <c r="U1970" s="27">
        <f>MIN(1, S1970/M1970)</f>
        <v/>
      </c>
      <c r="V1970" s="27">
        <f>N1970/(N1970+O1970)</f>
        <v/>
      </c>
      <c r="W1970" s="27">
        <f>U1970*V1970</f>
        <v/>
      </c>
      <c r="X1970" s="25">
        <f>T1970/N1970</f>
        <v/>
      </c>
      <c r="Y1970" s="28">
        <f>IF(W1970=MAXIFS(W$2:W$3601, A$2:A$3601, A1970, B$2:B$3601, B1970), "OPTIMAL", "")</f>
        <v/>
      </c>
    </row>
    <row r="1971" ht="20" customHeight="1">
      <c r="A1971" s="29" t="n">
        <v>-18</v>
      </c>
      <c r="B1971" s="29" t="n">
        <v>25</v>
      </c>
      <c r="C1971" s="30" t="n">
        <v>100</v>
      </c>
      <c r="D1971" s="30" t="n">
        <v>2</v>
      </c>
      <c r="E1971" s="6" t="n">
        <v>4</v>
      </c>
      <c r="F1971" s="30" t="n">
        <v>2</v>
      </c>
      <c r="G1971" s="6" t="inlineStr">
        <is>
          <t>Oui</t>
        </is>
      </c>
      <c r="H1971" s="6" t="inlineStr">
        <is>
          <t>OFF</t>
        </is>
      </c>
      <c r="I1971" s="31" t="n">
        <v>604.2334594602274</v>
      </c>
      <c r="J1971" s="31" t="n">
        <v>4012.68388558375</v>
      </c>
      <c r="K1971" s="31" t="n">
        <v>3342.592592592593</v>
      </c>
      <c r="L1971" s="31" t="n">
        <v>150</v>
      </c>
      <c r="M1971" s="31">
        <f>I1971+J1971+K1971+L1971</f>
        <v/>
      </c>
      <c r="N1971" s="31">
        <f>M1971*'Dashboard &amp; Optimisation'!$B$18/('Dashboard &amp; Optimisation'!$B$16/3.6)</f>
        <v/>
      </c>
      <c r="O1971" s="31" t="n">
        <v>620.191876941233</v>
      </c>
      <c r="P1971" s="32" t="n">
        <v>0.3057228026390766</v>
      </c>
      <c r="Q1971" s="33" t="n">
        <v>8.891981958725379</v>
      </c>
      <c r="R1971" s="31" t="n">
        <v>720.3940039332974</v>
      </c>
      <c r="S1971" s="31">
        <f>R1971*IF(A1971=4, 2.0, 3.0)</f>
        <v/>
      </c>
      <c r="T1971" s="30">
        <f>'Dashboard &amp; Optimisation'!$B$18*U1971</f>
        <v/>
      </c>
      <c r="U1971" s="34">
        <f>MIN(1, S1971/M1971)</f>
        <v/>
      </c>
      <c r="V1971" s="34">
        <f>N1971/(N1971+O1971)</f>
        <v/>
      </c>
      <c r="W1971" s="34">
        <f>U1971*V1971</f>
        <v/>
      </c>
      <c r="X1971" s="32">
        <f>T1971/N1971</f>
        <v/>
      </c>
      <c r="Y1971" s="35">
        <f>IF(W1971=MAXIFS(W$2:W$3601, A$2:A$3601, A1971, B$2:B$3601, B1971), "OPTIMAL", "")</f>
        <v/>
      </c>
    </row>
    <row r="1972" ht="20" customHeight="1">
      <c r="A1972" s="21" t="n">
        <v>-18</v>
      </c>
      <c r="B1972" s="21" t="n">
        <v>25</v>
      </c>
      <c r="C1972" s="22" t="n">
        <v>100</v>
      </c>
      <c r="D1972" s="22" t="n">
        <v>2</v>
      </c>
      <c r="E1972" s="23" t="n">
        <v>4</v>
      </c>
      <c r="F1972" s="22" t="n">
        <v>2</v>
      </c>
      <c r="G1972" s="23" t="inlineStr">
        <is>
          <t>Non</t>
        </is>
      </c>
      <c r="H1972" s="23" t="inlineStr">
        <is>
          <t>ON</t>
        </is>
      </c>
      <c r="I1972" s="24" t="n">
        <v>604.2334594602274</v>
      </c>
      <c r="J1972" s="24" t="n">
        <v>4012.68388558375</v>
      </c>
      <c r="K1972" s="24" t="n">
        <v>3342.592592592593</v>
      </c>
      <c r="L1972" s="24" t="n">
        <v>150</v>
      </c>
      <c r="M1972" s="24">
        <f>I1972+J1972+K1972+L1972</f>
        <v/>
      </c>
      <c r="N1972" s="24">
        <f>M1972*'Dashboard &amp; Optimisation'!$B$18/('Dashboard &amp; Optimisation'!$B$16/3.6)</f>
        <v/>
      </c>
      <c r="O1972" s="24" t="n">
        <v>620.191876941233</v>
      </c>
      <c r="P1972" s="25" t="n">
        <v>0.06788309101972209</v>
      </c>
      <c r="Q1972" s="26" t="n">
        <v>8.891981958725379</v>
      </c>
      <c r="R1972" s="24" t="n">
        <v>3244.414339100838</v>
      </c>
      <c r="S1972" s="24">
        <f>R1972*IF(A1972=4, 2.0, 3.0)</f>
        <v/>
      </c>
      <c r="T1972" s="22">
        <f>'Dashboard &amp; Optimisation'!$B$18*U1972</f>
        <v/>
      </c>
      <c r="U1972" s="27">
        <f>MIN(1, S1972/M1972)</f>
        <v/>
      </c>
      <c r="V1972" s="27">
        <f>N1972/(N1972+O1972)</f>
        <v/>
      </c>
      <c r="W1972" s="27">
        <f>U1972*V1972</f>
        <v/>
      </c>
      <c r="X1972" s="25">
        <f>T1972/N1972</f>
        <v/>
      </c>
      <c r="Y1972" s="28">
        <f>IF(W1972=MAXIFS(W$2:W$3601, A$2:A$3601, A1972, B$2:B$3601, B1972), "OPTIMAL", "")</f>
        <v/>
      </c>
    </row>
    <row r="1973" ht="20" customHeight="1">
      <c r="A1973" s="29" t="n">
        <v>-18</v>
      </c>
      <c r="B1973" s="29" t="n">
        <v>25</v>
      </c>
      <c r="C1973" s="30" t="n">
        <v>100</v>
      </c>
      <c r="D1973" s="30" t="n">
        <v>2</v>
      </c>
      <c r="E1973" s="6" t="n">
        <v>4</v>
      </c>
      <c r="F1973" s="30" t="n">
        <v>2</v>
      </c>
      <c r="G1973" s="6" t="inlineStr">
        <is>
          <t>Non</t>
        </is>
      </c>
      <c r="H1973" s="6" t="inlineStr">
        <is>
          <t>OFF</t>
        </is>
      </c>
      <c r="I1973" s="31" t="n">
        <v>604.2334594602274</v>
      </c>
      <c r="J1973" s="31" t="n">
        <v>4012.68388558375</v>
      </c>
      <c r="K1973" s="31" t="n">
        <v>3342.592592592593</v>
      </c>
      <c r="L1973" s="31" t="n">
        <v>150</v>
      </c>
      <c r="M1973" s="31">
        <f>I1973+J1973+K1973+L1973</f>
        <v/>
      </c>
      <c r="N1973" s="31">
        <f>M1973*'Dashboard &amp; Optimisation'!$B$18/('Dashboard &amp; Optimisation'!$B$16/3.6)</f>
        <v/>
      </c>
      <c r="O1973" s="31" t="n">
        <v>620.191876941233</v>
      </c>
      <c r="P1973" s="32" t="n">
        <v>0.3025397037772387</v>
      </c>
      <c r="Q1973" s="33" t="n">
        <v>8.891981958725379</v>
      </c>
      <c r="R1973" s="31" t="n">
        <v>727.9734564989129</v>
      </c>
      <c r="S1973" s="31">
        <f>R1973*IF(A1973=4, 2.0, 3.0)</f>
        <v/>
      </c>
      <c r="T1973" s="30">
        <f>'Dashboard &amp; Optimisation'!$B$18*U1973</f>
        <v/>
      </c>
      <c r="U1973" s="34">
        <f>MIN(1, S1973/M1973)</f>
        <v/>
      </c>
      <c r="V1973" s="34">
        <f>N1973/(N1973+O1973)</f>
        <v/>
      </c>
      <c r="W1973" s="34">
        <f>U1973*V1973</f>
        <v/>
      </c>
      <c r="X1973" s="32">
        <f>T1973/N1973</f>
        <v/>
      </c>
      <c r="Y1973" s="35">
        <f>IF(W1973=MAXIFS(W$2:W$3601, A$2:A$3601, A1973, B$2:B$3601, B1973), "OPTIMAL", "")</f>
        <v/>
      </c>
    </row>
    <row r="1974" ht="20" customHeight="1">
      <c r="A1974" s="21" t="n">
        <v>-18</v>
      </c>
      <c r="B1974" s="21" t="n">
        <v>25</v>
      </c>
      <c r="C1974" s="22" t="n">
        <v>100</v>
      </c>
      <c r="D1974" s="22" t="n">
        <v>2</v>
      </c>
      <c r="E1974" s="23" t="n">
        <v>8</v>
      </c>
      <c r="F1974" s="22" t="n">
        <v>1.5</v>
      </c>
      <c r="G1974" s="23" t="inlineStr">
        <is>
          <t>Oui</t>
        </is>
      </c>
      <c r="H1974" s="23" t="inlineStr">
        <is>
          <t>ON</t>
        </is>
      </c>
      <c r="I1974" s="24" t="n">
        <v>604.2334594602274</v>
      </c>
      <c r="J1974" s="24" t="n">
        <v>4012.68388558375</v>
      </c>
      <c r="K1974" s="24" t="n">
        <v>3342.592592592593</v>
      </c>
      <c r="L1974" s="24" t="n">
        <v>150</v>
      </c>
      <c r="M1974" s="24">
        <f>I1974+J1974+K1974+L1974</f>
        <v/>
      </c>
      <c r="N1974" s="24">
        <f>M1974*'Dashboard &amp; Optimisation'!$B$18/('Dashboard &amp; Optimisation'!$B$16/3.6)</f>
        <v/>
      </c>
      <c r="O1974" s="24" t="n">
        <v>764.1435392063127</v>
      </c>
      <c r="P1974" s="25" t="n">
        <v>0.05573050288457804</v>
      </c>
      <c r="Q1974" s="26" t="n">
        <v>13.23797293808807</v>
      </c>
      <c r="R1974" s="24" t="n">
        <v>4041.454542965038</v>
      </c>
      <c r="S1974" s="24">
        <f>R1974*IF(A1974=4, 2.0, 3.0)</f>
        <v/>
      </c>
      <c r="T1974" s="22">
        <f>'Dashboard &amp; Optimisation'!$B$18*U1974</f>
        <v/>
      </c>
      <c r="U1974" s="27">
        <f>MIN(1, S1974/M1974)</f>
        <v/>
      </c>
      <c r="V1974" s="27">
        <f>N1974/(N1974+O1974)</f>
        <v/>
      </c>
      <c r="W1974" s="27">
        <f>U1974*V1974</f>
        <v/>
      </c>
      <c r="X1974" s="25">
        <f>T1974/N1974</f>
        <v/>
      </c>
      <c r="Y1974" s="28">
        <f>IF(W1974=MAXIFS(W$2:W$3601, A$2:A$3601, A1974, B$2:B$3601, B1974), "OPTIMAL", "")</f>
        <v/>
      </c>
    </row>
    <row r="1975" ht="20" customHeight="1">
      <c r="A1975" s="29" t="n">
        <v>-18</v>
      </c>
      <c r="B1975" s="29" t="n">
        <v>25</v>
      </c>
      <c r="C1975" s="30" t="n">
        <v>100</v>
      </c>
      <c r="D1975" s="30" t="n">
        <v>2</v>
      </c>
      <c r="E1975" s="6" t="n">
        <v>8</v>
      </c>
      <c r="F1975" s="30" t="n">
        <v>1.5</v>
      </c>
      <c r="G1975" s="6" t="inlineStr">
        <is>
          <t>Oui</t>
        </is>
      </c>
      <c r="H1975" s="6" t="inlineStr">
        <is>
          <t>OFF</t>
        </is>
      </c>
      <c r="I1975" s="31" t="n">
        <v>604.2334594602274</v>
      </c>
      <c r="J1975" s="31" t="n">
        <v>4012.68388558375</v>
      </c>
      <c r="K1975" s="31" t="n">
        <v>3342.592592592593</v>
      </c>
      <c r="L1975" s="31" t="n">
        <v>150</v>
      </c>
      <c r="M1975" s="31">
        <f>I1975+J1975+K1975+L1975</f>
        <v/>
      </c>
      <c r="N1975" s="31">
        <f>M1975*'Dashboard &amp; Optimisation'!$B$18/('Dashboard &amp; Optimisation'!$B$16/3.6)</f>
        <v/>
      </c>
      <c r="O1975" s="31" t="n">
        <v>764.1435392063127</v>
      </c>
      <c r="P1975" s="32" t="n">
        <v>0.2401827722650424</v>
      </c>
      <c r="Q1975" s="33" t="n">
        <v>13.23797293808807</v>
      </c>
      <c r="R1975" s="31" t="n">
        <v>937.7537445360969</v>
      </c>
      <c r="S1975" s="31">
        <f>R1975*IF(A1975=4, 2.0, 3.0)</f>
        <v/>
      </c>
      <c r="T1975" s="30">
        <f>'Dashboard &amp; Optimisation'!$B$18*U1975</f>
        <v/>
      </c>
      <c r="U1975" s="34">
        <f>MIN(1, S1975/M1975)</f>
        <v/>
      </c>
      <c r="V1975" s="34">
        <f>N1975/(N1975+O1975)</f>
        <v/>
      </c>
      <c r="W1975" s="34">
        <f>U1975*V1975</f>
        <v/>
      </c>
      <c r="X1975" s="32">
        <f>T1975/N1975</f>
        <v/>
      </c>
      <c r="Y1975" s="35">
        <f>IF(W1975=MAXIFS(W$2:W$3601, A$2:A$3601, A1975, B$2:B$3601, B1975), "OPTIMAL", "")</f>
        <v/>
      </c>
    </row>
    <row r="1976" ht="20" customHeight="1">
      <c r="A1976" s="21" t="n">
        <v>-18</v>
      </c>
      <c r="B1976" s="21" t="n">
        <v>25</v>
      </c>
      <c r="C1976" s="22" t="n">
        <v>100</v>
      </c>
      <c r="D1976" s="22" t="n">
        <v>2</v>
      </c>
      <c r="E1976" s="23" t="n">
        <v>8</v>
      </c>
      <c r="F1976" s="22" t="n">
        <v>1.5</v>
      </c>
      <c r="G1976" s="23" t="inlineStr">
        <is>
          <t>Non</t>
        </is>
      </c>
      <c r="H1976" s="23" t="inlineStr">
        <is>
          <t>ON</t>
        </is>
      </c>
      <c r="I1976" s="24" t="n">
        <v>604.2334594602274</v>
      </c>
      <c r="J1976" s="24" t="n">
        <v>4012.68388558375</v>
      </c>
      <c r="K1976" s="24" t="n">
        <v>3342.592592592593</v>
      </c>
      <c r="L1976" s="24" t="n">
        <v>150</v>
      </c>
      <c r="M1976" s="24">
        <f>I1976+J1976+K1976+L1976</f>
        <v/>
      </c>
      <c r="N1976" s="24">
        <f>M1976*'Dashboard &amp; Optimisation'!$B$18/('Dashboard &amp; Optimisation'!$B$16/3.6)</f>
        <v/>
      </c>
      <c r="O1976" s="24" t="n">
        <v>764.1435392063127</v>
      </c>
      <c r="P1976" s="25" t="n">
        <v>0.05254740402274013</v>
      </c>
      <c r="Q1976" s="26" t="n">
        <v>13.23797293808807</v>
      </c>
      <c r="R1976" s="24" t="n">
        <v>4286.268717806379</v>
      </c>
      <c r="S1976" s="24">
        <f>R1976*IF(A1976=4, 2.0, 3.0)</f>
        <v/>
      </c>
      <c r="T1976" s="22">
        <f>'Dashboard &amp; Optimisation'!$B$18*U1976</f>
        <v/>
      </c>
      <c r="U1976" s="27">
        <f>MIN(1, S1976/M1976)</f>
        <v/>
      </c>
      <c r="V1976" s="27">
        <f>N1976/(N1976+O1976)</f>
        <v/>
      </c>
      <c r="W1976" s="27">
        <f>U1976*V1976</f>
        <v/>
      </c>
      <c r="X1976" s="25">
        <f>T1976/N1976</f>
        <v/>
      </c>
      <c r="Y1976" s="28">
        <f>IF(W1976=MAXIFS(W$2:W$3601, A$2:A$3601, A1976, B$2:B$3601, B1976), "OPTIMAL", "")</f>
        <v/>
      </c>
    </row>
    <row r="1977" ht="20" customHeight="1">
      <c r="A1977" s="29" t="n">
        <v>-18</v>
      </c>
      <c r="B1977" s="29" t="n">
        <v>25</v>
      </c>
      <c r="C1977" s="30" t="n">
        <v>100</v>
      </c>
      <c r="D1977" s="30" t="n">
        <v>2</v>
      </c>
      <c r="E1977" s="6" t="n">
        <v>8</v>
      </c>
      <c r="F1977" s="30" t="n">
        <v>1.5</v>
      </c>
      <c r="G1977" s="6" t="inlineStr">
        <is>
          <t>Non</t>
        </is>
      </c>
      <c r="H1977" s="6" t="inlineStr">
        <is>
          <t>OFF</t>
        </is>
      </c>
      <c r="I1977" s="31" t="n">
        <v>604.2334594602274</v>
      </c>
      <c r="J1977" s="31" t="n">
        <v>4012.68388558375</v>
      </c>
      <c r="K1977" s="31" t="n">
        <v>3342.592592592593</v>
      </c>
      <c r="L1977" s="31" t="n">
        <v>150</v>
      </c>
      <c r="M1977" s="31">
        <f>I1977+J1977+K1977+L1977</f>
        <v/>
      </c>
      <c r="N1977" s="31">
        <f>M1977*'Dashboard &amp; Optimisation'!$B$18/('Dashboard &amp; Optimisation'!$B$16/3.6)</f>
        <v/>
      </c>
      <c r="O1977" s="31" t="n">
        <v>764.1435392063127</v>
      </c>
      <c r="P1977" s="32" t="n">
        <v>0.2369996734032044</v>
      </c>
      <c r="Q1977" s="33" t="n">
        <v>13.23797293808807</v>
      </c>
      <c r="R1977" s="31" t="n">
        <v>950.3485419636817</v>
      </c>
      <c r="S1977" s="31">
        <f>R1977*IF(A1977=4, 2.0, 3.0)</f>
        <v/>
      </c>
      <c r="T1977" s="30">
        <f>'Dashboard &amp; Optimisation'!$B$18*U1977</f>
        <v/>
      </c>
      <c r="U1977" s="34">
        <f>MIN(1, S1977/M1977)</f>
        <v/>
      </c>
      <c r="V1977" s="34">
        <f>N1977/(N1977+O1977)</f>
        <v/>
      </c>
      <c r="W1977" s="34">
        <f>U1977*V1977</f>
        <v/>
      </c>
      <c r="X1977" s="32">
        <f>T1977/N1977</f>
        <v/>
      </c>
      <c r="Y1977" s="35">
        <f>IF(W1977=MAXIFS(W$2:W$3601, A$2:A$3601, A1977, B$2:B$3601, B1977), "OPTIMAL", "")</f>
        <v/>
      </c>
    </row>
    <row r="1978" ht="20" customHeight="1">
      <c r="A1978" s="21" t="n">
        <v>-18</v>
      </c>
      <c r="B1978" s="21" t="n">
        <v>25</v>
      </c>
      <c r="C1978" s="22" t="n">
        <v>100</v>
      </c>
      <c r="D1978" s="22" t="n">
        <v>2</v>
      </c>
      <c r="E1978" s="23" t="n">
        <v>8</v>
      </c>
      <c r="F1978" s="22" t="n">
        <v>2</v>
      </c>
      <c r="G1978" s="23" t="inlineStr">
        <is>
          <t>Oui</t>
        </is>
      </c>
      <c r="H1978" s="23" t="inlineStr">
        <is>
          <t>ON</t>
        </is>
      </c>
      <c r="I1978" s="24" t="n">
        <v>604.2334594602274</v>
      </c>
      <c r="J1978" s="24" t="n">
        <v>4012.68388558375</v>
      </c>
      <c r="K1978" s="24" t="n">
        <v>3342.592592592593</v>
      </c>
      <c r="L1978" s="24" t="n">
        <v>150</v>
      </c>
      <c r="M1978" s="24">
        <f>I1978+J1978+K1978+L1978</f>
        <v/>
      </c>
      <c r="N1978" s="24">
        <f>M1978*'Dashboard &amp; Optimisation'!$B$18/('Dashboard &amp; Optimisation'!$B$16/3.6)</f>
        <v/>
      </c>
      <c r="O1978" s="24" t="n">
        <v>914.7713924606495</v>
      </c>
      <c r="P1978" s="25" t="n">
        <v>0.05449488140602117</v>
      </c>
      <c r="Q1978" s="26" t="n">
        <v>17.58396391745076</v>
      </c>
      <c r="R1978" s="24" t="n">
        <v>4228.933074244659</v>
      </c>
      <c r="S1978" s="24">
        <f>R1978*IF(A1978=4, 2.0, 3.0)</f>
        <v/>
      </c>
      <c r="T1978" s="22">
        <f>'Dashboard &amp; Optimisation'!$B$18*U1978</f>
        <v/>
      </c>
      <c r="U1978" s="27">
        <f>MIN(1, S1978/M1978)</f>
        <v/>
      </c>
      <c r="V1978" s="27">
        <f>N1978/(N1978+O1978)</f>
        <v/>
      </c>
      <c r="W1978" s="27">
        <f>U1978*V1978</f>
        <v/>
      </c>
      <c r="X1978" s="25">
        <f>T1978/N1978</f>
        <v/>
      </c>
      <c r="Y1978" s="28">
        <f>IF(W1978=MAXIFS(W$2:W$3601, A$2:A$3601, A1978, B$2:B$3601, B1978), "OPTIMAL", "")</f>
        <v/>
      </c>
    </row>
    <row r="1979" ht="20" customHeight="1">
      <c r="A1979" s="29" t="n">
        <v>-18</v>
      </c>
      <c r="B1979" s="29" t="n">
        <v>25</v>
      </c>
      <c r="C1979" s="30" t="n">
        <v>100</v>
      </c>
      <c r="D1979" s="30" t="n">
        <v>2</v>
      </c>
      <c r="E1979" s="6" t="n">
        <v>8</v>
      </c>
      <c r="F1979" s="30" t="n">
        <v>2</v>
      </c>
      <c r="G1979" s="6" t="inlineStr">
        <is>
          <t>Oui</t>
        </is>
      </c>
      <c r="H1979" s="6" t="inlineStr">
        <is>
          <t>OFF</t>
        </is>
      </c>
      <c r="I1979" s="31" t="n">
        <v>604.2334594602274</v>
      </c>
      <c r="J1979" s="31" t="n">
        <v>4012.68388558375</v>
      </c>
      <c r="K1979" s="31" t="n">
        <v>3342.592592592593</v>
      </c>
      <c r="L1979" s="31" t="n">
        <v>150</v>
      </c>
      <c r="M1979" s="31">
        <f>I1979+J1979+K1979+L1979</f>
        <v/>
      </c>
      <c r="N1979" s="31">
        <f>M1979*'Dashboard &amp; Optimisation'!$B$18/('Dashboard &amp; Optimisation'!$B$16/3.6)</f>
        <v/>
      </c>
      <c r="O1979" s="31" t="n">
        <v>914.7713924606495</v>
      </c>
      <c r="P1979" s="32" t="n">
        <v>0.2403161193409352</v>
      </c>
      <c r="Q1979" s="33" t="n">
        <v>17.58396391745076</v>
      </c>
      <c r="R1979" s="31" t="n">
        <v>958.9669098643258</v>
      </c>
      <c r="S1979" s="31">
        <f>R1979*IF(A1979=4, 2.0, 3.0)</f>
        <v/>
      </c>
      <c r="T1979" s="30">
        <f>'Dashboard &amp; Optimisation'!$B$18*U1979</f>
        <v/>
      </c>
      <c r="U1979" s="34">
        <f>MIN(1, S1979/M1979)</f>
        <v/>
      </c>
      <c r="V1979" s="34">
        <f>N1979/(N1979+O1979)</f>
        <v/>
      </c>
      <c r="W1979" s="34">
        <f>U1979*V1979</f>
        <v/>
      </c>
      <c r="X1979" s="32">
        <f>T1979/N1979</f>
        <v/>
      </c>
      <c r="Y1979" s="35">
        <f>IF(W1979=MAXIFS(W$2:W$3601, A$2:A$3601, A1979, B$2:B$3601, B1979), "OPTIMAL", "")</f>
        <v/>
      </c>
    </row>
    <row r="1980" ht="20" customHeight="1">
      <c r="A1980" s="21" t="n">
        <v>-18</v>
      </c>
      <c r="B1980" s="21" t="n">
        <v>25</v>
      </c>
      <c r="C1980" s="22" t="n">
        <v>100</v>
      </c>
      <c r="D1980" s="22" t="n">
        <v>2</v>
      </c>
      <c r="E1980" s="23" t="n">
        <v>8</v>
      </c>
      <c r="F1980" s="22" t="n">
        <v>2</v>
      </c>
      <c r="G1980" s="23" t="inlineStr">
        <is>
          <t>Non</t>
        </is>
      </c>
      <c r="H1980" s="23" t="inlineStr">
        <is>
          <t>ON</t>
        </is>
      </c>
      <c r="I1980" s="24" t="n">
        <v>604.2334594602274</v>
      </c>
      <c r="J1980" s="24" t="n">
        <v>4012.68388558375</v>
      </c>
      <c r="K1980" s="24" t="n">
        <v>3342.592592592593</v>
      </c>
      <c r="L1980" s="24" t="n">
        <v>150</v>
      </c>
      <c r="M1980" s="24">
        <f>I1980+J1980+K1980+L1980</f>
        <v/>
      </c>
      <c r="N1980" s="24">
        <f>M1980*'Dashboard &amp; Optimisation'!$B$18/('Dashboard &amp; Optimisation'!$B$16/3.6)</f>
        <v/>
      </c>
      <c r="O1980" s="24" t="n">
        <v>914.7713924606495</v>
      </c>
      <c r="P1980" s="25" t="n">
        <v>0.05131178254418326</v>
      </c>
      <c r="Q1980" s="26" t="n">
        <v>17.58396391745076</v>
      </c>
      <c r="R1980" s="24" t="n">
        <v>4491.272665425804</v>
      </c>
      <c r="S1980" s="24">
        <f>R1980*IF(A1980=4, 2.0, 3.0)</f>
        <v/>
      </c>
      <c r="T1980" s="22">
        <f>'Dashboard &amp; Optimisation'!$B$18*U1980</f>
        <v/>
      </c>
      <c r="U1980" s="27">
        <f>MIN(1, S1980/M1980)</f>
        <v/>
      </c>
      <c r="V1980" s="27">
        <f>N1980/(N1980+O1980)</f>
        <v/>
      </c>
      <c r="W1980" s="27">
        <f>U1980*V1980</f>
        <v/>
      </c>
      <c r="X1980" s="25">
        <f>T1980/N1980</f>
        <v/>
      </c>
      <c r="Y1980" s="28">
        <f>IF(W1980=MAXIFS(W$2:W$3601, A$2:A$3601, A1980, B$2:B$3601, B1980), "OPTIMAL", "")</f>
        <v/>
      </c>
    </row>
    <row r="1981" ht="20" customHeight="1">
      <c r="A1981" s="29" t="n">
        <v>-18</v>
      </c>
      <c r="B1981" s="29" t="n">
        <v>25</v>
      </c>
      <c r="C1981" s="30" t="n">
        <v>100</v>
      </c>
      <c r="D1981" s="30" t="n">
        <v>2</v>
      </c>
      <c r="E1981" s="6" t="n">
        <v>8</v>
      </c>
      <c r="F1981" s="30" t="n">
        <v>2</v>
      </c>
      <c r="G1981" s="6" t="inlineStr">
        <is>
          <t>Non</t>
        </is>
      </c>
      <c r="H1981" s="6" t="inlineStr">
        <is>
          <t>OFF</t>
        </is>
      </c>
      <c r="I1981" s="31" t="n">
        <v>604.2334594602274</v>
      </c>
      <c r="J1981" s="31" t="n">
        <v>4012.68388558375</v>
      </c>
      <c r="K1981" s="31" t="n">
        <v>3342.592592592593</v>
      </c>
      <c r="L1981" s="31" t="n">
        <v>150</v>
      </c>
      <c r="M1981" s="31">
        <f>I1981+J1981+K1981+L1981</f>
        <v/>
      </c>
      <c r="N1981" s="31">
        <f>M1981*'Dashboard &amp; Optimisation'!$B$18/('Dashboard &amp; Optimisation'!$B$16/3.6)</f>
        <v/>
      </c>
      <c r="O1981" s="31" t="n">
        <v>914.7713924606495</v>
      </c>
      <c r="P1981" s="32" t="n">
        <v>0.2371330204790973</v>
      </c>
      <c r="Q1981" s="33" t="n">
        <v>17.58396391745076</v>
      </c>
      <c r="R1981" s="31" t="n">
        <v>971.8393747499084</v>
      </c>
      <c r="S1981" s="31">
        <f>R1981*IF(A1981=4, 2.0, 3.0)</f>
        <v/>
      </c>
      <c r="T1981" s="30">
        <f>'Dashboard &amp; Optimisation'!$B$18*U1981</f>
        <v/>
      </c>
      <c r="U1981" s="34">
        <f>MIN(1, S1981/M1981)</f>
        <v/>
      </c>
      <c r="V1981" s="34">
        <f>N1981/(N1981+O1981)</f>
        <v/>
      </c>
      <c r="W1981" s="34">
        <f>U1981*V1981</f>
        <v/>
      </c>
      <c r="X1981" s="32">
        <f>T1981/N1981</f>
        <v/>
      </c>
      <c r="Y1981" s="35">
        <f>IF(W1981=MAXIFS(W$2:W$3601, A$2:A$3601, A1981, B$2:B$3601, B1981), "OPTIMAL", "")</f>
        <v/>
      </c>
    </row>
    <row r="1982" ht="20" customHeight="1">
      <c r="A1982" s="21" t="n">
        <v>-18</v>
      </c>
      <c r="B1982" s="21" t="n">
        <v>25</v>
      </c>
      <c r="C1982" s="22" t="n">
        <v>100</v>
      </c>
      <c r="D1982" s="22" t="n">
        <v>3</v>
      </c>
      <c r="E1982" s="23" t="n">
        <v>0</v>
      </c>
      <c r="F1982" s="22" t="n">
        <v>0</v>
      </c>
      <c r="G1982" s="23" t="inlineStr">
        <is>
          <t>Oui</t>
        </is>
      </c>
      <c r="H1982" s="23" t="inlineStr">
        <is>
          <t>ON</t>
        </is>
      </c>
      <c r="I1982" s="24" t="n">
        <v>604.2334594602274</v>
      </c>
      <c r="J1982" s="24" t="n">
        <v>4012.68388558375</v>
      </c>
      <c r="K1982" s="24" t="n">
        <v>3342.592592592593</v>
      </c>
      <c r="L1982" s="24" t="n">
        <v>150</v>
      </c>
      <c r="M1982" s="24">
        <f>I1982+J1982+K1982+L1982</f>
        <v/>
      </c>
      <c r="N1982" s="24">
        <f>M1982*'Dashboard &amp; Optimisation'!$B$18/('Dashboard &amp; Optimisation'!$B$16/3.6)</f>
        <v/>
      </c>
      <c r="O1982" s="24" t="n">
        <v>542.946083285048</v>
      </c>
      <c r="P1982" s="25" t="n">
        <v>0.4806959660709754</v>
      </c>
      <c r="Q1982" s="26" t="n">
        <v>0.2</v>
      </c>
      <c r="R1982" s="24" t="n">
        <v>457.5932411392146</v>
      </c>
      <c r="S1982" s="24">
        <f>R1982*IF(A1982=4, 2.0, 3.0)</f>
        <v/>
      </c>
      <c r="T1982" s="22">
        <f>'Dashboard &amp; Optimisation'!$B$18*U1982</f>
        <v/>
      </c>
      <c r="U1982" s="27">
        <f>MIN(1, S1982/M1982)</f>
        <v/>
      </c>
      <c r="V1982" s="27">
        <f>N1982/(N1982+O1982)</f>
        <v/>
      </c>
      <c r="W1982" s="27">
        <f>U1982*V1982</f>
        <v/>
      </c>
      <c r="X1982" s="25">
        <f>T1982/N1982</f>
        <v/>
      </c>
      <c r="Y1982" s="28">
        <f>IF(W1982=MAXIFS(W$2:W$3601, A$2:A$3601, A1982, B$2:B$3601, B1982), "OPTIMAL", "")</f>
        <v/>
      </c>
    </row>
    <row r="1983" ht="20" customHeight="1">
      <c r="A1983" s="29" t="n">
        <v>-18</v>
      </c>
      <c r="B1983" s="29" t="n">
        <v>25</v>
      </c>
      <c r="C1983" s="30" t="n">
        <v>100</v>
      </c>
      <c r="D1983" s="30" t="n">
        <v>3</v>
      </c>
      <c r="E1983" s="6" t="n">
        <v>0</v>
      </c>
      <c r="F1983" s="30" t="n">
        <v>0</v>
      </c>
      <c r="G1983" s="6" t="inlineStr">
        <is>
          <t>Oui</t>
        </is>
      </c>
      <c r="H1983" s="6" t="inlineStr">
        <is>
          <t>OFF</t>
        </is>
      </c>
      <c r="I1983" s="31" t="n">
        <v>604.2334594602274</v>
      </c>
      <c r="J1983" s="31" t="n">
        <v>4012.68388558375</v>
      </c>
      <c r="K1983" s="31" t="n">
        <v>3342.592592592593</v>
      </c>
      <c r="L1983" s="31" t="n">
        <v>150</v>
      </c>
      <c r="M1983" s="31">
        <f>I1983+J1983+K1983+L1983</f>
        <v/>
      </c>
      <c r="N1983" s="31">
        <f>M1983*'Dashboard &amp; Optimisation'!$B$18/('Dashboard &amp; Optimisation'!$B$16/3.6)</f>
        <v/>
      </c>
      <c r="O1983" s="31" t="n">
        <v>542.946083285048</v>
      </c>
      <c r="P1983" s="32" t="n">
        <v>0.7990058522547661</v>
      </c>
      <c r="Q1983" s="33" t="n">
        <v>0.2</v>
      </c>
      <c r="R1983" s="31" t="n">
        <v>275.2961376893988</v>
      </c>
      <c r="S1983" s="31">
        <f>R1983*IF(A1983=4, 2.0, 3.0)</f>
        <v/>
      </c>
      <c r="T1983" s="30">
        <f>'Dashboard &amp; Optimisation'!$B$18*U1983</f>
        <v/>
      </c>
      <c r="U1983" s="34">
        <f>MIN(1, S1983/M1983)</f>
        <v/>
      </c>
      <c r="V1983" s="34">
        <f>N1983/(N1983+O1983)</f>
        <v/>
      </c>
      <c r="W1983" s="34">
        <f>U1983*V1983</f>
        <v/>
      </c>
      <c r="X1983" s="32">
        <f>T1983/N1983</f>
        <v/>
      </c>
      <c r="Y1983" s="35">
        <f>IF(W1983=MAXIFS(W$2:W$3601, A$2:A$3601, A1983, B$2:B$3601, B1983), "OPTIMAL", "")</f>
        <v/>
      </c>
    </row>
    <row r="1984" ht="20" customHeight="1">
      <c r="A1984" s="21" t="n">
        <v>-18</v>
      </c>
      <c r="B1984" s="21" t="n">
        <v>25</v>
      </c>
      <c r="C1984" s="22" t="n">
        <v>100</v>
      </c>
      <c r="D1984" s="22" t="n">
        <v>3</v>
      </c>
      <c r="E1984" s="23" t="n">
        <v>0</v>
      </c>
      <c r="F1984" s="22" t="n">
        <v>0</v>
      </c>
      <c r="G1984" s="23" t="inlineStr">
        <is>
          <t>Non</t>
        </is>
      </c>
      <c r="H1984" s="23" t="inlineStr">
        <is>
          <t>ON</t>
        </is>
      </c>
      <c r="I1984" s="24" t="n">
        <v>604.2334594602274</v>
      </c>
      <c r="J1984" s="24" t="n">
        <v>4012.68388558375</v>
      </c>
      <c r="K1984" s="24" t="n">
        <v>3342.592592592593</v>
      </c>
      <c r="L1984" s="24" t="n">
        <v>150</v>
      </c>
      <c r="M1984" s="24">
        <f>I1984+J1984+K1984+L1984</f>
        <v/>
      </c>
      <c r="N1984" s="24">
        <f>M1984*'Dashboard &amp; Optimisation'!$B$18/('Dashboard &amp; Optimisation'!$B$16/3.6)</f>
        <v/>
      </c>
      <c r="O1984" s="24" t="n">
        <v>542.946083285048</v>
      </c>
      <c r="P1984" s="25" t="n">
        <v>0.4775128672091374</v>
      </c>
      <c r="Q1984" s="26" t="n">
        <v>0.2</v>
      </c>
      <c r="R1984" s="24" t="n">
        <v>460.6435558533876</v>
      </c>
      <c r="S1984" s="24">
        <f>R1984*IF(A1984=4, 2.0, 3.0)</f>
        <v/>
      </c>
      <c r="T1984" s="22">
        <f>'Dashboard &amp; Optimisation'!$B$18*U1984</f>
        <v/>
      </c>
      <c r="U1984" s="27">
        <f>MIN(1, S1984/M1984)</f>
        <v/>
      </c>
      <c r="V1984" s="27">
        <f>N1984/(N1984+O1984)</f>
        <v/>
      </c>
      <c r="W1984" s="27">
        <f>U1984*V1984</f>
        <v/>
      </c>
      <c r="X1984" s="25">
        <f>T1984/N1984</f>
        <v/>
      </c>
      <c r="Y1984" s="28">
        <f>IF(W1984=MAXIFS(W$2:W$3601, A$2:A$3601, A1984, B$2:B$3601, B1984), "OPTIMAL", "")</f>
        <v/>
      </c>
    </row>
    <row r="1985" ht="20" customHeight="1">
      <c r="A1985" s="29" t="n">
        <v>-18</v>
      </c>
      <c r="B1985" s="29" t="n">
        <v>25</v>
      </c>
      <c r="C1985" s="30" t="n">
        <v>100</v>
      </c>
      <c r="D1985" s="30" t="n">
        <v>3</v>
      </c>
      <c r="E1985" s="6" t="n">
        <v>0</v>
      </c>
      <c r="F1985" s="30" t="n">
        <v>0</v>
      </c>
      <c r="G1985" s="6" t="inlineStr">
        <is>
          <t>Non</t>
        </is>
      </c>
      <c r="H1985" s="6" t="inlineStr">
        <is>
          <t>OFF</t>
        </is>
      </c>
      <c r="I1985" s="31" t="n">
        <v>604.2334594602274</v>
      </c>
      <c r="J1985" s="31" t="n">
        <v>4012.68388558375</v>
      </c>
      <c r="K1985" s="31" t="n">
        <v>3342.592592592593</v>
      </c>
      <c r="L1985" s="31" t="n">
        <v>150</v>
      </c>
      <c r="M1985" s="31">
        <f>I1985+J1985+K1985+L1985</f>
        <v/>
      </c>
      <c r="N1985" s="31">
        <f>M1985*'Dashboard &amp; Optimisation'!$B$18/('Dashboard &amp; Optimisation'!$B$16/3.6)</f>
        <v/>
      </c>
      <c r="O1985" s="31" t="n">
        <v>542.946083285048</v>
      </c>
      <c r="P1985" s="32" t="n">
        <v>0.7958227533929282</v>
      </c>
      <c r="Q1985" s="33" t="n">
        <v>0.2</v>
      </c>
      <c r="R1985" s="31" t="n">
        <v>276.3972557697899</v>
      </c>
      <c r="S1985" s="31">
        <f>R1985*IF(A1985=4, 2.0, 3.0)</f>
        <v/>
      </c>
      <c r="T1985" s="30">
        <f>'Dashboard &amp; Optimisation'!$B$18*U1985</f>
        <v/>
      </c>
      <c r="U1985" s="34">
        <f>MIN(1, S1985/M1985)</f>
        <v/>
      </c>
      <c r="V1985" s="34">
        <f>N1985/(N1985+O1985)</f>
        <v/>
      </c>
      <c r="W1985" s="34">
        <f>U1985*V1985</f>
        <v/>
      </c>
      <c r="X1985" s="32">
        <f>T1985/N1985</f>
        <v/>
      </c>
      <c r="Y1985" s="35">
        <f>IF(W1985=MAXIFS(W$2:W$3601, A$2:A$3601, A1985, B$2:B$3601, B1985), "OPTIMAL", "")</f>
        <v/>
      </c>
    </row>
    <row r="1986" ht="20" customHeight="1">
      <c r="A1986" s="21" t="n">
        <v>-18</v>
      </c>
      <c r="B1986" s="21" t="n">
        <v>25</v>
      </c>
      <c r="C1986" s="22" t="n">
        <v>100</v>
      </c>
      <c r="D1986" s="22" t="n">
        <v>3</v>
      </c>
      <c r="E1986" s="23" t="n">
        <v>4</v>
      </c>
      <c r="F1986" s="22" t="n">
        <v>1.5</v>
      </c>
      <c r="G1986" s="23" t="inlineStr">
        <is>
          <t>Oui</t>
        </is>
      </c>
      <c r="H1986" s="23" t="inlineStr">
        <is>
          <t>ON</t>
        </is>
      </c>
      <c r="I1986" s="24" t="n">
        <v>604.2334594602274</v>
      </c>
      <c r="J1986" s="24" t="n">
        <v>4012.68388558375</v>
      </c>
      <c r="K1986" s="24" t="n">
        <v>3342.592592592593</v>
      </c>
      <c r="L1986" s="24" t="n">
        <v>150</v>
      </c>
      <c r="M1986" s="24">
        <f>I1986+J1986+K1986+L1986</f>
        <v/>
      </c>
      <c r="N1986" s="24">
        <f>M1986*'Dashboard &amp; Optimisation'!$B$18/('Dashboard &amp; Optimisation'!$B$16/3.6)</f>
        <v/>
      </c>
      <c r="O1986" s="24" t="n">
        <v>754.9223462755169</v>
      </c>
      <c r="P1986" s="25" t="n">
        <v>0.0735384347268611</v>
      </c>
      <c r="Q1986" s="26" t="n">
        <v>6.857688308810928</v>
      </c>
      <c r="R1986" s="24" t="n">
        <v>3091.636485123449</v>
      </c>
      <c r="S1986" s="24">
        <f>R1986*IF(A1986=4, 2.0, 3.0)</f>
        <v/>
      </c>
      <c r="T1986" s="22">
        <f>'Dashboard &amp; Optimisation'!$B$18*U1986</f>
        <v/>
      </c>
      <c r="U1986" s="27">
        <f>MIN(1, S1986/M1986)</f>
        <v/>
      </c>
      <c r="V1986" s="27">
        <f>N1986/(N1986+O1986)</f>
        <v/>
      </c>
      <c r="W1986" s="27">
        <f>U1986*V1986</f>
        <v/>
      </c>
      <c r="X1986" s="25">
        <f>T1986/N1986</f>
        <v/>
      </c>
      <c r="Y1986" s="28">
        <f>IF(W1986=MAXIFS(W$2:W$3601, A$2:A$3601, A1986, B$2:B$3601, B1986), "OPTIMAL", "")</f>
        <v/>
      </c>
    </row>
    <row r="1987" ht="20" customHeight="1">
      <c r="A1987" s="29" t="n">
        <v>-18</v>
      </c>
      <c r="B1987" s="29" t="n">
        <v>25</v>
      </c>
      <c r="C1987" s="30" t="n">
        <v>100</v>
      </c>
      <c r="D1987" s="30" t="n">
        <v>3</v>
      </c>
      <c r="E1987" s="6" t="n">
        <v>4</v>
      </c>
      <c r="F1987" s="30" t="n">
        <v>1.5</v>
      </c>
      <c r="G1987" s="6" t="inlineStr">
        <is>
          <t>Oui</t>
        </is>
      </c>
      <c r="H1987" s="6" t="inlineStr">
        <is>
          <t>OFF</t>
        </is>
      </c>
      <c r="I1987" s="31" t="n">
        <v>604.2334594602274</v>
      </c>
      <c r="J1987" s="31" t="n">
        <v>4012.68388558375</v>
      </c>
      <c r="K1987" s="31" t="n">
        <v>3342.592592592593</v>
      </c>
      <c r="L1987" s="31" t="n">
        <v>150</v>
      </c>
      <c r="M1987" s="31">
        <f>I1987+J1987+K1987+L1987</f>
        <v/>
      </c>
      <c r="N1987" s="31">
        <f>M1987*'Dashboard &amp; Optimisation'!$B$18/('Dashboard &amp; Optimisation'!$B$16/3.6)</f>
        <v/>
      </c>
      <c r="O1987" s="31" t="n">
        <v>754.9223462755169</v>
      </c>
      <c r="P1987" s="32" t="n">
        <v>0.307100869502758</v>
      </c>
      <c r="Q1987" s="33" t="n">
        <v>6.857688308810928</v>
      </c>
      <c r="R1987" s="31" t="n">
        <v>740.3238819497749</v>
      </c>
      <c r="S1987" s="31">
        <f>R1987*IF(A1987=4, 2.0, 3.0)</f>
        <v/>
      </c>
      <c r="T1987" s="30">
        <f>'Dashboard &amp; Optimisation'!$B$18*U1987</f>
        <v/>
      </c>
      <c r="U1987" s="34">
        <f>MIN(1, S1987/M1987)</f>
        <v/>
      </c>
      <c r="V1987" s="34">
        <f>N1987/(N1987+O1987)</f>
        <v/>
      </c>
      <c r="W1987" s="34">
        <f>U1987*V1987</f>
        <v/>
      </c>
      <c r="X1987" s="32">
        <f>T1987/N1987</f>
        <v/>
      </c>
      <c r="Y1987" s="35">
        <f>IF(W1987=MAXIFS(W$2:W$3601, A$2:A$3601, A1987, B$2:B$3601, B1987), "OPTIMAL", "")</f>
        <v/>
      </c>
    </row>
    <row r="1988" ht="20" customHeight="1">
      <c r="A1988" s="21" t="n">
        <v>-18</v>
      </c>
      <c r="B1988" s="21" t="n">
        <v>25</v>
      </c>
      <c r="C1988" s="22" t="n">
        <v>100</v>
      </c>
      <c r="D1988" s="22" t="n">
        <v>3</v>
      </c>
      <c r="E1988" s="23" t="n">
        <v>4</v>
      </c>
      <c r="F1988" s="22" t="n">
        <v>1.5</v>
      </c>
      <c r="G1988" s="23" t="inlineStr">
        <is>
          <t>Non</t>
        </is>
      </c>
      <c r="H1988" s="23" t="inlineStr">
        <is>
          <t>ON</t>
        </is>
      </c>
      <c r="I1988" s="24" t="n">
        <v>604.2334594602274</v>
      </c>
      <c r="J1988" s="24" t="n">
        <v>4012.68388558375</v>
      </c>
      <c r="K1988" s="24" t="n">
        <v>3342.592592592593</v>
      </c>
      <c r="L1988" s="24" t="n">
        <v>150</v>
      </c>
      <c r="M1988" s="24">
        <f>I1988+J1988+K1988+L1988</f>
        <v/>
      </c>
      <c r="N1988" s="24">
        <f>M1988*'Dashboard &amp; Optimisation'!$B$18/('Dashboard &amp; Optimisation'!$B$16/3.6)</f>
        <v/>
      </c>
      <c r="O1988" s="24" t="n">
        <v>754.9223462755169</v>
      </c>
      <c r="P1988" s="25" t="n">
        <v>0.07035533586502318</v>
      </c>
      <c r="Q1988" s="26" t="n">
        <v>6.857688308810928</v>
      </c>
      <c r="R1988" s="24" t="n">
        <v>3231.511939572177</v>
      </c>
      <c r="S1988" s="24">
        <f>R1988*IF(A1988=4, 2.0, 3.0)</f>
        <v/>
      </c>
      <c r="T1988" s="22">
        <f>'Dashboard &amp; Optimisation'!$B$18*U1988</f>
        <v/>
      </c>
      <c r="U1988" s="27">
        <f>MIN(1, S1988/M1988)</f>
        <v/>
      </c>
      <c r="V1988" s="27">
        <f>N1988/(N1988+O1988)</f>
        <v/>
      </c>
      <c r="W1988" s="27">
        <f>U1988*V1988</f>
        <v/>
      </c>
      <c r="X1988" s="25">
        <f>T1988/N1988</f>
        <v/>
      </c>
      <c r="Y1988" s="28">
        <f>IF(W1988=MAXIFS(W$2:W$3601, A$2:A$3601, A1988, B$2:B$3601, B1988), "OPTIMAL", "")</f>
        <v/>
      </c>
    </row>
    <row r="1989" ht="20" customHeight="1">
      <c r="A1989" s="29" t="n">
        <v>-18</v>
      </c>
      <c r="B1989" s="29" t="n">
        <v>25</v>
      </c>
      <c r="C1989" s="30" t="n">
        <v>100</v>
      </c>
      <c r="D1989" s="30" t="n">
        <v>3</v>
      </c>
      <c r="E1989" s="6" t="n">
        <v>4</v>
      </c>
      <c r="F1989" s="30" t="n">
        <v>1.5</v>
      </c>
      <c r="G1989" s="6" t="inlineStr">
        <is>
          <t>Non</t>
        </is>
      </c>
      <c r="H1989" s="6" t="inlineStr">
        <is>
          <t>OFF</t>
        </is>
      </c>
      <c r="I1989" s="31" t="n">
        <v>604.2334594602274</v>
      </c>
      <c r="J1989" s="31" t="n">
        <v>4012.68388558375</v>
      </c>
      <c r="K1989" s="31" t="n">
        <v>3342.592592592593</v>
      </c>
      <c r="L1989" s="31" t="n">
        <v>150</v>
      </c>
      <c r="M1989" s="31">
        <f>I1989+J1989+K1989+L1989</f>
        <v/>
      </c>
      <c r="N1989" s="31">
        <f>M1989*'Dashboard &amp; Optimisation'!$B$18/('Dashboard &amp; Optimisation'!$B$16/3.6)</f>
        <v/>
      </c>
      <c r="O1989" s="31" t="n">
        <v>754.9223462755169</v>
      </c>
      <c r="P1989" s="32" t="n">
        <v>0.3039177706409201</v>
      </c>
      <c r="Q1989" s="33" t="n">
        <v>6.857688308810928</v>
      </c>
      <c r="R1989" s="31" t="n">
        <v>748.0777033240769</v>
      </c>
      <c r="S1989" s="31">
        <f>R1989*IF(A1989=4, 2.0, 3.0)</f>
        <v/>
      </c>
      <c r="T1989" s="30">
        <f>'Dashboard &amp; Optimisation'!$B$18*U1989</f>
        <v/>
      </c>
      <c r="U1989" s="34">
        <f>MIN(1, S1989/M1989)</f>
        <v/>
      </c>
      <c r="V1989" s="34">
        <f>N1989/(N1989+O1989)</f>
        <v/>
      </c>
      <c r="W1989" s="34">
        <f>U1989*V1989</f>
        <v/>
      </c>
      <c r="X1989" s="32">
        <f>T1989/N1989</f>
        <v/>
      </c>
      <c r="Y1989" s="35">
        <f>IF(W1989=MAXIFS(W$2:W$3601, A$2:A$3601, A1989, B$2:B$3601, B1989), "OPTIMAL", "")</f>
        <v/>
      </c>
    </row>
    <row r="1990" ht="20" customHeight="1">
      <c r="A1990" s="21" t="n">
        <v>-18</v>
      </c>
      <c r="B1990" s="21" t="n">
        <v>25</v>
      </c>
      <c r="C1990" s="22" t="n">
        <v>100</v>
      </c>
      <c r="D1990" s="22" t="n">
        <v>3</v>
      </c>
      <c r="E1990" s="23" t="n">
        <v>4</v>
      </c>
      <c r="F1990" s="22" t="n">
        <v>2</v>
      </c>
      <c r="G1990" s="23" t="inlineStr">
        <is>
          <t>Oui</t>
        </is>
      </c>
      <c r="H1990" s="23" t="inlineStr">
        <is>
          <t>ON</t>
        </is>
      </c>
      <c r="I1990" s="24" t="n">
        <v>604.2334594602274</v>
      </c>
      <c r="J1990" s="24" t="n">
        <v>4012.68388558375</v>
      </c>
      <c r="K1990" s="24" t="n">
        <v>3342.592592592593</v>
      </c>
      <c r="L1990" s="24" t="n">
        <v>150</v>
      </c>
      <c r="M1990" s="24">
        <f>I1990+J1990+K1990+L1990</f>
        <v/>
      </c>
      <c r="N1990" s="24">
        <f>M1990*'Dashboard &amp; Optimisation'!$B$18/('Dashboard &amp; Optimisation'!$B$16/3.6)</f>
        <v/>
      </c>
      <c r="O1990" s="24" t="n">
        <v>828.7825199736197</v>
      </c>
      <c r="P1990" s="25" t="n">
        <v>0.07090019831070833</v>
      </c>
      <c r="Q1990" s="26" t="n">
        <v>9.076917745081236</v>
      </c>
      <c r="R1990" s="24" t="n">
        <v>3243.000208676063</v>
      </c>
      <c r="S1990" s="24">
        <f>R1990*IF(A1990=4, 2.0, 3.0)</f>
        <v/>
      </c>
      <c r="T1990" s="22">
        <f>'Dashboard &amp; Optimisation'!$B$18*U1990</f>
        <v/>
      </c>
      <c r="U1990" s="27">
        <f>MIN(1, S1990/M1990)</f>
        <v/>
      </c>
      <c r="V1990" s="27">
        <f>N1990/(N1990+O1990)</f>
        <v/>
      </c>
      <c r="W1990" s="27">
        <f>U1990*V1990</f>
        <v/>
      </c>
      <c r="X1990" s="25">
        <f>T1990/N1990</f>
        <v/>
      </c>
      <c r="Y1990" s="28">
        <f>IF(W1990=MAXIFS(W$2:W$3601, A$2:A$3601, A1990, B$2:B$3601, B1990), "OPTIMAL", "")</f>
        <v/>
      </c>
    </row>
    <row r="1991" ht="20" customHeight="1">
      <c r="A1991" s="29" t="n">
        <v>-18</v>
      </c>
      <c r="B1991" s="29" t="n">
        <v>25</v>
      </c>
      <c r="C1991" s="30" t="n">
        <v>100</v>
      </c>
      <c r="D1991" s="30" t="n">
        <v>3</v>
      </c>
      <c r="E1991" s="6" t="n">
        <v>4</v>
      </c>
      <c r="F1991" s="30" t="n">
        <v>2</v>
      </c>
      <c r="G1991" s="6" t="inlineStr">
        <is>
          <t>Oui</t>
        </is>
      </c>
      <c r="H1991" s="6" t="inlineStr">
        <is>
          <t>OFF</t>
        </is>
      </c>
      <c r="I1991" s="31" t="n">
        <v>604.2334594602274</v>
      </c>
      <c r="J1991" s="31" t="n">
        <v>4012.68388558375</v>
      </c>
      <c r="K1991" s="31" t="n">
        <v>3342.592592592593</v>
      </c>
      <c r="L1991" s="31" t="n">
        <v>150</v>
      </c>
      <c r="M1991" s="31">
        <f>I1991+J1991+K1991+L1991</f>
        <v/>
      </c>
      <c r="N1991" s="31">
        <f>M1991*'Dashboard &amp; Optimisation'!$B$18/('Dashboard &amp; Optimisation'!$B$16/3.6)</f>
        <v/>
      </c>
      <c r="O1991" s="31" t="n">
        <v>828.7825199736197</v>
      </c>
      <c r="P1991" s="32" t="n">
        <v>0.305556811068225</v>
      </c>
      <c r="Q1991" s="33" t="n">
        <v>9.076917745081236</v>
      </c>
      <c r="R1991" s="31" t="n">
        <v>752.4929884985041</v>
      </c>
      <c r="S1991" s="31">
        <f>R1991*IF(A1991=4, 2.0, 3.0)</f>
        <v/>
      </c>
      <c r="T1991" s="30">
        <f>'Dashboard &amp; Optimisation'!$B$18*U1991</f>
        <v/>
      </c>
      <c r="U1991" s="34">
        <f>MIN(1, S1991/M1991)</f>
        <v/>
      </c>
      <c r="V1991" s="34">
        <f>N1991/(N1991+O1991)</f>
        <v/>
      </c>
      <c r="W1991" s="34">
        <f>U1991*V1991</f>
        <v/>
      </c>
      <c r="X1991" s="32">
        <f>T1991/N1991</f>
        <v/>
      </c>
      <c r="Y1991" s="35">
        <f>IF(W1991=MAXIFS(W$2:W$3601, A$2:A$3601, A1991, B$2:B$3601, B1991), "OPTIMAL", "")</f>
        <v/>
      </c>
    </row>
    <row r="1992" ht="20" customHeight="1">
      <c r="A1992" s="21" t="n">
        <v>-18</v>
      </c>
      <c r="B1992" s="21" t="n">
        <v>25</v>
      </c>
      <c r="C1992" s="22" t="n">
        <v>100</v>
      </c>
      <c r="D1992" s="22" t="n">
        <v>3</v>
      </c>
      <c r="E1992" s="23" t="n">
        <v>4</v>
      </c>
      <c r="F1992" s="22" t="n">
        <v>2</v>
      </c>
      <c r="G1992" s="23" t="inlineStr">
        <is>
          <t>Non</t>
        </is>
      </c>
      <c r="H1992" s="23" t="inlineStr">
        <is>
          <t>ON</t>
        </is>
      </c>
      <c r="I1992" s="24" t="n">
        <v>604.2334594602274</v>
      </c>
      <c r="J1992" s="24" t="n">
        <v>4012.68388558375</v>
      </c>
      <c r="K1992" s="24" t="n">
        <v>3342.592592592593</v>
      </c>
      <c r="L1992" s="24" t="n">
        <v>150</v>
      </c>
      <c r="M1992" s="24">
        <f>I1992+J1992+K1992+L1992</f>
        <v/>
      </c>
      <c r="N1992" s="24">
        <f>M1992*'Dashboard &amp; Optimisation'!$B$18/('Dashboard &amp; Optimisation'!$B$16/3.6)</f>
        <v/>
      </c>
      <c r="O1992" s="24" t="n">
        <v>828.7825199736197</v>
      </c>
      <c r="P1992" s="25" t="n">
        <v>0.06771709944887042</v>
      </c>
      <c r="Q1992" s="26" t="n">
        <v>9.076917745081236</v>
      </c>
      <c r="R1992" s="24" t="n">
        <v>3395.440144190004</v>
      </c>
      <c r="S1992" s="24">
        <f>R1992*IF(A1992=4, 2.0, 3.0)</f>
        <v/>
      </c>
      <c r="T1992" s="22">
        <f>'Dashboard &amp; Optimisation'!$B$18*U1992</f>
        <v/>
      </c>
      <c r="U1992" s="27">
        <f>MIN(1, S1992/M1992)</f>
        <v/>
      </c>
      <c r="V1992" s="27">
        <f>N1992/(N1992+O1992)</f>
        <v/>
      </c>
      <c r="W1992" s="27">
        <f>U1992*V1992</f>
        <v/>
      </c>
      <c r="X1992" s="25">
        <f>T1992/N1992</f>
        <v/>
      </c>
      <c r="Y1992" s="28">
        <f>IF(W1992=MAXIFS(W$2:W$3601, A$2:A$3601, A1992, B$2:B$3601, B1992), "OPTIMAL", "")</f>
        <v/>
      </c>
    </row>
    <row r="1993" ht="20" customHeight="1">
      <c r="A1993" s="29" t="n">
        <v>-18</v>
      </c>
      <c r="B1993" s="29" t="n">
        <v>25</v>
      </c>
      <c r="C1993" s="30" t="n">
        <v>100</v>
      </c>
      <c r="D1993" s="30" t="n">
        <v>3</v>
      </c>
      <c r="E1993" s="6" t="n">
        <v>4</v>
      </c>
      <c r="F1993" s="30" t="n">
        <v>2</v>
      </c>
      <c r="G1993" s="6" t="inlineStr">
        <is>
          <t>Non</t>
        </is>
      </c>
      <c r="H1993" s="6" t="inlineStr">
        <is>
          <t>OFF</t>
        </is>
      </c>
      <c r="I1993" s="31" t="n">
        <v>604.2334594602274</v>
      </c>
      <c r="J1993" s="31" t="n">
        <v>4012.68388558375</v>
      </c>
      <c r="K1993" s="31" t="n">
        <v>3342.592592592593</v>
      </c>
      <c r="L1993" s="31" t="n">
        <v>150</v>
      </c>
      <c r="M1993" s="31">
        <f>I1993+J1993+K1993+L1993</f>
        <v/>
      </c>
      <c r="N1993" s="31">
        <f>M1993*'Dashboard &amp; Optimisation'!$B$18/('Dashboard &amp; Optimisation'!$B$16/3.6)</f>
        <v/>
      </c>
      <c r="O1993" s="31" t="n">
        <v>828.7825199736197</v>
      </c>
      <c r="P1993" s="32" t="n">
        <v>0.302373712206387</v>
      </c>
      <c r="Q1993" s="33" t="n">
        <v>9.076917745081236</v>
      </c>
      <c r="R1993" s="31" t="n">
        <v>760.4145090491918</v>
      </c>
      <c r="S1993" s="31">
        <f>R1993*IF(A1993=4, 2.0, 3.0)</f>
        <v/>
      </c>
      <c r="T1993" s="30">
        <f>'Dashboard &amp; Optimisation'!$B$18*U1993</f>
        <v/>
      </c>
      <c r="U1993" s="34">
        <f>MIN(1, S1993/M1993)</f>
        <v/>
      </c>
      <c r="V1993" s="34">
        <f>N1993/(N1993+O1993)</f>
        <v/>
      </c>
      <c r="W1993" s="34">
        <f>U1993*V1993</f>
        <v/>
      </c>
      <c r="X1993" s="32">
        <f>T1993/N1993</f>
        <v/>
      </c>
      <c r="Y1993" s="35">
        <f>IF(W1993=MAXIFS(W$2:W$3601, A$2:A$3601, A1993, B$2:B$3601, B1993), "OPTIMAL", "")</f>
        <v/>
      </c>
    </row>
    <row r="1994" ht="20" customHeight="1">
      <c r="A1994" s="21" t="n">
        <v>-18</v>
      </c>
      <c r="B1994" s="21" t="n">
        <v>25</v>
      </c>
      <c r="C1994" s="22" t="n">
        <v>100</v>
      </c>
      <c r="D1994" s="22" t="n">
        <v>3</v>
      </c>
      <c r="E1994" s="23" t="n">
        <v>8</v>
      </c>
      <c r="F1994" s="22" t="n">
        <v>1.5</v>
      </c>
      <c r="G1994" s="23" t="inlineStr">
        <is>
          <t>Oui</t>
        </is>
      </c>
      <c r="H1994" s="23" t="inlineStr">
        <is>
          <t>ON</t>
        </is>
      </c>
      <c r="I1994" s="24" t="n">
        <v>604.2334594602274</v>
      </c>
      <c r="J1994" s="24" t="n">
        <v>4012.68388558375</v>
      </c>
      <c r="K1994" s="24" t="n">
        <v>3342.592592592593</v>
      </c>
      <c r="L1994" s="24" t="n">
        <v>150</v>
      </c>
      <c r="M1994" s="24">
        <f>I1994+J1994+K1994+L1994</f>
        <v/>
      </c>
      <c r="N1994" s="24">
        <f>M1994*'Dashboard &amp; Optimisation'!$B$18/('Dashboard &amp; Optimisation'!$B$16/3.6)</f>
        <v/>
      </c>
      <c r="O1994" s="24" t="n">
        <v>981.638924837319</v>
      </c>
      <c r="P1994" s="25" t="n">
        <v>0.05562346576923688</v>
      </c>
      <c r="Q1994" s="26" t="n">
        <v>13.51537661762185</v>
      </c>
      <c r="R1994" s="24" t="n">
        <v>4229.490762998382</v>
      </c>
      <c r="S1994" s="24">
        <f>R1994*IF(A1994=4, 2.0, 3.0)</f>
        <v/>
      </c>
      <c r="T1994" s="22">
        <f>'Dashboard &amp; Optimisation'!$B$18*U1994</f>
        <v/>
      </c>
      <c r="U1994" s="27">
        <f>MIN(1, S1994/M1994)</f>
        <v/>
      </c>
      <c r="V1994" s="27">
        <f>N1994/(N1994+O1994)</f>
        <v/>
      </c>
      <c r="W1994" s="27">
        <f>U1994*V1994</f>
        <v/>
      </c>
      <c r="X1994" s="25">
        <f>T1994/N1994</f>
        <v/>
      </c>
      <c r="Y1994" s="28">
        <f>IF(W1994=MAXIFS(W$2:W$3601, A$2:A$3601, A1994, B$2:B$3601, B1994), "OPTIMAL", "")</f>
        <v/>
      </c>
    </row>
    <row r="1995" ht="20" customHeight="1">
      <c r="A1995" s="29" t="n">
        <v>-18</v>
      </c>
      <c r="B1995" s="29" t="n">
        <v>25</v>
      </c>
      <c r="C1995" s="30" t="n">
        <v>100</v>
      </c>
      <c r="D1995" s="30" t="n">
        <v>3</v>
      </c>
      <c r="E1995" s="6" t="n">
        <v>8</v>
      </c>
      <c r="F1995" s="30" t="n">
        <v>1.5</v>
      </c>
      <c r="G1995" s="6" t="inlineStr">
        <is>
          <t>Oui</t>
        </is>
      </c>
      <c r="H1995" s="6" t="inlineStr">
        <is>
          <t>OFF</t>
        </is>
      </c>
      <c r="I1995" s="31" t="n">
        <v>604.2334594602274</v>
      </c>
      <c r="J1995" s="31" t="n">
        <v>4012.68388558375</v>
      </c>
      <c r="K1995" s="31" t="n">
        <v>3342.592592592593</v>
      </c>
      <c r="L1995" s="31" t="n">
        <v>150</v>
      </c>
      <c r="M1995" s="31">
        <f>I1995+J1995+K1995+L1995</f>
        <v/>
      </c>
      <c r="N1995" s="31">
        <f>M1995*'Dashboard &amp; Optimisation'!$B$18/('Dashboard &amp; Optimisation'!$B$16/3.6)</f>
        <v/>
      </c>
      <c r="O1995" s="31" t="n">
        <v>981.638924837319</v>
      </c>
      <c r="P1995" s="32" t="n">
        <v>0.2400757351497012</v>
      </c>
      <c r="Q1995" s="33" t="n">
        <v>13.51537661762185</v>
      </c>
      <c r="R1995" s="31" t="n">
        <v>979.936329384752</v>
      </c>
      <c r="S1995" s="31">
        <f>R1995*IF(A1995=4, 2.0, 3.0)</f>
        <v/>
      </c>
      <c r="T1995" s="30">
        <f>'Dashboard &amp; Optimisation'!$B$18*U1995</f>
        <v/>
      </c>
      <c r="U1995" s="34">
        <f>MIN(1, S1995/M1995)</f>
        <v/>
      </c>
      <c r="V1995" s="34">
        <f>N1995/(N1995+O1995)</f>
        <v/>
      </c>
      <c r="W1995" s="34">
        <f>U1995*V1995</f>
        <v/>
      </c>
      <c r="X1995" s="32">
        <f>T1995/N1995</f>
        <v/>
      </c>
      <c r="Y1995" s="35">
        <f>IF(W1995=MAXIFS(W$2:W$3601, A$2:A$3601, A1995, B$2:B$3601, B1995), "OPTIMAL", "")</f>
        <v/>
      </c>
    </row>
    <row r="1996" ht="20" customHeight="1">
      <c r="A1996" s="21" t="n">
        <v>-18</v>
      </c>
      <c r="B1996" s="21" t="n">
        <v>25</v>
      </c>
      <c r="C1996" s="22" t="n">
        <v>100</v>
      </c>
      <c r="D1996" s="22" t="n">
        <v>3</v>
      </c>
      <c r="E1996" s="23" t="n">
        <v>8</v>
      </c>
      <c r="F1996" s="22" t="n">
        <v>1.5</v>
      </c>
      <c r="G1996" s="23" t="inlineStr">
        <is>
          <t>Non</t>
        </is>
      </c>
      <c r="H1996" s="23" t="inlineStr">
        <is>
          <t>ON</t>
        </is>
      </c>
      <c r="I1996" s="24" t="n">
        <v>604.2334594602274</v>
      </c>
      <c r="J1996" s="24" t="n">
        <v>4012.68388558375</v>
      </c>
      <c r="K1996" s="24" t="n">
        <v>3342.592592592593</v>
      </c>
      <c r="L1996" s="24" t="n">
        <v>150</v>
      </c>
      <c r="M1996" s="24">
        <f>I1996+J1996+K1996+L1996</f>
        <v/>
      </c>
      <c r="N1996" s="24">
        <f>M1996*'Dashboard &amp; Optimisation'!$B$18/('Dashboard &amp; Optimisation'!$B$16/3.6)</f>
        <v/>
      </c>
      <c r="O1996" s="24" t="n">
        <v>981.638924837319</v>
      </c>
      <c r="P1996" s="25" t="n">
        <v>0.05244036690739898</v>
      </c>
      <c r="Q1996" s="26" t="n">
        <v>13.51537661762185</v>
      </c>
      <c r="R1996" s="24" t="n">
        <v>4486.218319036029</v>
      </c>
      <c r="S1996" s="24">
        <f>R1996*IF(A1996=4, 2.0, 3.0)</f>
        <v/>
      </c>
      <c r="T1996" s="22">
        <f>'Dashboard &amp; Optimisation'!$B$18*U1996</f>
        <v/>
      </c>
      <c r="U1996" s="27">
        <f>MIN(1, S1996/M1996)</f>
        <v/>
      </c>
      <c r="V1996" s="27">
        <f>N1996/(N1996+O1996)</f>
        <v/>
      </c>
      <c r="W1996" s="27">
        <f>U1996*V1996</f>
        <v/>
      </c>
      <c r="X1996" s="25">
        <f>T1996/N1996</f>
        <v/>
      </c>
      <c r="Y1996" s="28">
        <f>IF(W1996=MAXIFS(W$2:W$3601, A$2:A$3601, A1996, B$2:B$3601, B1996), "OPTIMAL", "")</f>
        <v/>
      </c>
    </row>
    <row r="1997" ht="20" customHeight="1">
      <c r="A1997" s="29" t="n">
        <v>-18</v>
      </c>
      <c r="B1997" s="29" t="n">
        <v>25</v>
      </c>
      <c r="C1997" s="30" t="n">
        <v>100</v>
      </c>
      <c r="D1997" s="30" t="n">
        <v>3</v>
      </c>
      <c r="E1997" s="6" t="n">
        <v>8</v>
      </c>
      <c r="F1997" s="30" t="n">
        <v>1.5</v>
      </c>
      <c r="G1997" s="6" t="inlineStr">
        <is>
          <t>Non</t>
        </is>
      </c>
      <c r="H1997" s="6" t="inlineStr">
        <is>
          <t>OFF</t>
        </is>
      </c>
      <c r="I1997" s="31" t="n">
        <v>604.2334594602274</v>
      </c>
      <c r="J1997" s="31" t="n">
        <v>4012.68388558375</v>
      </c>
      <c r="K1997" s="31" t="n">
        <v>3342.592592592593</v>
      </c>
      <c r="L1997" s="31" t="n">
        <v>150</v>
      </c>
      <c r="M1997" s="31">
        <f>I1997+J1997+K1997+L1997</f>
        <v/>
      </c>
      <c r="N1997" s="31">
        <f>M1997*'Dashboard &amp; Optimisation'!$B$18/('Dashboard &amp; Optimisation'!$B$16/3.6)</f>
        <v/>
      </c>
      <c r="O1997" s="31" t="n">
        <v>981.638924837319</v>
      </c>
      <c r="P1997" s="32" t="n">
        <v>0.2368926362878633</v>
      </c>
      <c r="Q1997" s="33" t="n">
        <v>13.51537661762185</v>
      </c>
      <c r="R1997" s="31" t="n">
        <v>993.103620118719</v>
      </c>
      <c r="S1997" s="31">
        <f>R1997*IF(A1997=4, 2.0, 3.0)</f>
        <v/>
      </c>
      <c r="T1997" s="30">
        <f>'Dashboard &amp; Optimisation'!$B$18*U1997</f>
        <v/>
      </c>
      <c r="U1997" s="34">
        <f>MIN(1, S1997/M1997)</f>
        <v/>
      </c>
      <c r="V1997" s="34">
        <f>N1997/(N1997+O1997)</f>
        <v/>
      </c>
      <c r="W1997" s="34">
        <f>U1997*V1997</f>
        <v/>
      </c>
      <c r="X1997" s="32">
        <f>T1997/N1997</f>
        <v/>
      </c>
      <c r="Y1997" s="35">
        <f>IF(W1997=MAXIFS(W$2:W$3601, A$2:A$3601, A1997, B$2:B$3601, B1997), "OPTIMAL", "")</f>
        <v/>
      </c>
    </row>
    <row r="1998" ht="20" customHeight="1">
      <c r="A1998" s="21" t="n">
        <v>-18</v>
      </c>
      <c r="B1998" s="21" t="n">
        <v>25</v>
      </c>
      <c r="C1998" s="22" t="n">
        <v>100</v>
      </c>
      <c r="D1998" s="22" t="n">
        <v>3</v>
      </c>
      <c r="E1998" s="23" t="n">
        <v>8</v>
      </c>
      <c r="F1998" s="22" t="n">
        <v>2</v>
      </c>
      <c r="G1998" s="23" t="inlineStr">
        <is>
          <t>Oui</t>
        </is>
      </c>
      <c r="H1998" s="23" t="inlineStr">
        <is>
          <t>ON</t>
        </is>
      </c>
      <c r="I1998" s="24" t="n">
        <v>604.2334594602274</v>
      </c>
      <c r="J1998" s="24" t="n">
        <v>4012.68388558375</v>
      </c>
      <c r="K1998" s="24" t="n">
        <v>3342.592592592593</v>
      </c>
      <c r="L1998" s="24" t="n">
        <v>150</v>
      </c>
      <c r="M1998" s="24">
        <f>I1998+J1998+K1998+L1998</f>
        <v/>
      </c>
      <c r="N1998" s="24">
        <f>M1998*'Dashboard &amp; Optimisation'!$B$18/('Dashboard &amp; Optimisation'!$B$16/3.6)</f>
        <v/>
      </c>
      <c r="O1998" s="24" t="n">
        <v>1141.749655050804</v>
      </c>
      <c r="P1998" s="25" t="n">
        <v>0.05441799410512958</v>
      </c>
      <c r="Q1998" s="26" t="n">
        <v>17.95383549016247</v>
      </c>
      <c r="R1998" s="24" t="n">
        <v>4425.768511973141</v>
      </c>
      <c r="S1998" s="24">
        <f>R1998*IF(A1998=4, 2.0, 3.0)</f>
        <v/>
      </c>
      <c r="T1998" s="22">
        <f>'Dashboard &amp; Optimisation'!$B$18*U1998</f>
        <v/>
      </c>
      <c r="U1998" s="27">
        <f>MIN(1, S1998/M1998)</f>
        <v/>
      </c>
      <c r="V1998" s="27">
        <f>N1998/(N1998+O1998)</f>
        <v/>
      </c>
      <c r="W1998" s="27">
        <f>U1998*V1998</f>
        <v/>
      </c>
      <c r="X1998" s="25">
        <f>T1998/N1998</f>
        <v/>
      </c>
      <c r="Y1998" s="28">
        <f>IF(W1998=MAXIFS(W$2:W$3601, A$2:A$3601, A1998, B$2:B$3601, B1998), "OPTIMAL", "")</f>
        <v/>
      </c>
    </row>
    <row r="1999" ht="20" customHeight="1">
      <c r="A1999" s="29" t="n">
        <v>-18</v>
      </c>
      <c r="B1999" s="29" t="n">
        <v>25</v>
      </c>
      <c r="C1999" s="30" t="n">
        <v>100</v>
      </c>
      <c r="D1999" s="30" t="n">
        <v>3</v>
      </c>
      <c r="E1999" s="6" t="n">
        <v>8</v>
      </c>
      <c r="F1999" s="30" t="n">
        <v>2</v>
      </c>
      <c r="G1999" s="6" t="inlineStr">
        <is>
          <t>Oui</t>
        </is>
      </c>
      <c r="H1999" s="6" t="inlineStr">
        <is>
          <t>OFF</t>
        </is>
      </c>
      <c r="I1999" s="31" t="n">
        <v>604.2334594602274</v>
      </c>
      <c r="J1999" s="31" t="n">
        <v>4012.68388558375</v>
      </c>
      <c r="K1999" s="31" t="n">
        <v>3342.592592592593</v>
      </c>
      <c r="L1999" s="31" t="n">
        <v>150</v>
      </c>
      <c r="M1999" s="31">
        <f>I1999+J1999+K1999+L1999</f>
        <v/>
      </c>
      <c r="N1999" s="31">
        <f>M1999*'Dashboard &amp; Optimisation'!$B$18/('Dashboard &amp; Optimisation'!$B$16/3.6)</f>
        <v/>
      </c>
      <c r="O1999" s="31" t="n">
        <v>1141.749655050804</v>
      </c>
      <c r="P1999" s="32" t="n">
        <v>0.2402392320400437</v>
      </c>
      <c r="Q1999" s="33" t="n">
        <v>17.95383549016247</v>
      </c>
      <c r="R1999" s="31" t="n">
        <v>1002.506721113221</v>
      </c>
      <c r="S1999" s="31">
        <f>R1999*IF(A1999=4, 2.0, 3.0)</f>
        <v/>
      </c>
      <c r="T1999" s="30">
        <f>'Dashboard &amp; Optimisation'!$B$18*U1999</f>
        <v/>
      </c>
      <c r="U1999" s="34">
        <f>MIN(1, S1999/M1999)</f>
        <v/>
      </c>
      <c r="V1999" s="34">
        <f>N1999/(N1999+O1999)</f>
        <v/>
      </c>
      <c r="W1999" s="34">
        <f>U1999*V1999</f>
        <v/>
      </c>
      <c r="X1999" s="32">
        <f>T1999/N1999</f>
        <v/>
      </c>
      <c r="Y1999" s="35">
        <f>IF(W1999=MAXIFS(W$2:W$3601, A$2:A$3601, A1999, B$2:B$3601, B1999), "OPTIMAL", "")</f>
        <v/>
      </c>
    </row>
    <row r="2000" ht="20" customHeight="1">
      <c r="A2000" s="21" t="n">
        <v>-18</v>
      </c>
      <c r="B2000" s="21" t="n">
        <v>25</v>
      </c>
      <c r="C2000" s="22" t="n">
        <v>100</v>
      </c>
      <c r="D2000" s="22" t="n">
        <v>3</v>
      </c>
      <c r="E2000" s="23" t="n">
        <v>8</v>
      </c>
      <c r="F2000" s="22" t="n">
        <v>2</v>
      </c>
      <c r="G2000" s="23" t="inlineStr">
        <is>
          <t>Non</t>
        </is>
      </c>
      <c r="H2000" s="23" t="inlineStr">
        <is>
          <t>ON</t>
        </is>
      </c>
      <c r="I2000" s="24" t="n">
        <v>604.2334594602274</v>
      </c>
      <c r="J2000" s="24" t="n">
        <v>4012.68388558375</v>
      </c>
      <c r="K2000" s="24" t="n">
        <v>3342.592592592593</v>
      </c>
      <c r="L2000" s="24" t="n">
        <v>150</v>
      </c>
      <c r="M2000" s="24">
        <f>I2000+J2000+K2000+L2000</f>
        <v/>
      </c>
      <c r="N2000" s="24">
        <f>M2000*'Dashboard &amp; Optimisation'!$B$18/('Dashboard &amp; Optimisation'!$B$16/3.6)</f>
        <v/>
      </c>
      <c r="O2000" s="24" t="n">
        <v>1141.749655050804</v>
      </c>
      <c r="P2000" s="25" t="n">
        <v>0.05123489524329167</v>
      </c>
      <c r="Q2000" s="26" t="n">
        <v>17.95383549016247</v>
      </c>
      <c r="R2000" s="24" t="n">
        <v>4700.730696365707</v>
      </c>
      <c r="S2000" s="24">
        <f>R2000*IF(A2000=4, 2.0, 3.0)</f>
        <v/>
      </c>
      <c r="T2000" s="22">
        <f>'Dashboard &amp; Optimisation'!$B$18*U2000</f>
        <v/>
      </c>
      <c r="U2000" s="27">
        <f>MIN(1, S2000/M2000)</f>
        <v/>
      </c>
      <c r="V2000" s="27">
        <f>N2000/(N2000+O2000)</f>
        <v/>
      </c>
      <c r="W2000" s="27">
        <f>U2000*V2000</f>
        <v/>
      </c>
      <c r="X2000" s="25">
        <f>T2000/N2000</f>
        <v/>
      </c>
      <c r="Y2000" s="28">
        <f>IF(W2000=MAXIFS(W$2:W$3601, A$2:A$3601, A2000, B$2:B$3601, B2000), "OPTIMAL", "")</f>
        <v/>
      </c>
    </row>
    <row r="2001" ht="20" customHeight="1">
      <c r="A2001" s="29" t="n">
        <v>-18</v>
      </c>
      <c r="B2001" s="29" t="n">
        <v>25</v>
      </c>
      <c r="C2001" s="30" t="n">
        <v>100</v>
      </c>
      <c r="D2001" s="30" t="n">
        <v>3</v>
      </c>
      <c r="E2001" s="6" t="n">
        <v>8</v>
      </c>
      <c r="F2001" s="30" t="n">
        <v>2</v>
      </c>
      <c r="G2001" s="6" t="inlineStr">
        <is>
          <t>Non</t>
        </is>
      </c>
      <c r="H2001" s="6" t="inlineStr">
        <is>
          <t>OFF</t>
        </is>
      </c>
      <c r="I2001" s="31" t="n">
        <v>604.2334594602274</v>
      </c>
      <c r="J2001" s="31" t="n">
        <v>4012.68388558375</v>
      </c>
      <c r="K2001" s="31" t="n">
        <v>3342.592592592593</v>
      </c>
      <c r="L2001" s="31" t="n">
        <v>150</v>
      </c>
      <c r="M2001" s="31">
        <f>I2001+J2001+K2001+L2001</f>
        <v/>
      </c>
      <c r="N2001" s="31">
        <f>M2001*'Dashboard &amp; Optimisation'!$B$18/('Dashboard &amp; Optimisation'!$B$16/3.6)</f>
        <v/>
      </c>
      <c r="O2001" s="31" t="n">
        <v>1141.749655050804</v>
      </c>
      <c r="P2001" s="32" t="n">
        <v>0.2370561331782058</v>
      </c>
      <c r="Q2001" s="33" t="n">
        <v>17.95383549016247</v>
      </c>
      <c r="R2001" s="31" t="n">
        <v>1015.967996972983</v>
      </c>
      <c r="S2001" s="31">
        <f>R2001*IF(A2001=4, 2.0, 3.0)</f>
        <v/>
      </c>
      <c r="T2001" s="30">
        <f>'Dashboard &amp; Optimisation'!$B$18*U2001</f>
        <v/>
      </c>
      <c r="U2001" s="34">
        <f>MIN(1, S2001/M2001)</f>
        <v/>
      </c>
      <c r="V2001" s="34">
        <f>N2001/(N2001+O2001)</f>
        <v/>
      </c>
      <c r="W2001" s="34">
        <f>U2001*V2001</f>
        <v/>
      </c>
      <c r="X2001" s="32">
        <f>T2001/N2001</f>
        <v/>
      </c>
      <c r="Y2001" s="35">
        <f>IF(W2001=MAXIFS(W$2:W$3601, A$2:A$3601, A2001, B$2:B$3601, B2001), "OPTIMAL", "")</f>
        <v/>
      </c>
    </row>
    <row r="2002" ht="20" customHeight="1">
      <c r="A2002" s="21" t="n">
        <v>-18</v>
      </c>
      <c r="B2002" s="21" t="n">
        <v>25</v>
      </c>
      <c r="C2002" s="22" t="n">
        <v>105</v>
      </c>
      <c r="D2002" s="22" t="n">
        <v>2</v>
      </c>
      <c r="E2002" s="23" t="n">
        <v>0</v>
      </c>
      <c r="F2002" s="22" t="n">
        <v>0</v>
      </c>
      <c r="G2002" s="23" t="inlineStr">
        <is>
          <t>Oui</t>
        </is>
      </c>
      <c r="H2002" s="23" t="inlineStr">
        <is>
          <t>ON</t>
        </is>
      </c>
      <c r="I2002" s="24" t="n">
        <v>604.2334594602274</v>
      </c>
      <c r="J2002" s="24" t="n">
        <v>4012.68388558375</v>
      </c>
      <c r="K2002" s="24" t="n">
        <v>3342.592592592593</v>
      </c>
      <c r="L2002" s="24" t="n">
        <v>150</v>
      </c>
      <c r="M2002" s="24">
        <f>I2002+J2002+K2002+L2002</f>
        <v/>
      </c>
      <c r="N2002" s="24">
        <f>M2002*'Dashboard &amp; Optimisation'!$B$18/('Dashboard &amp; Optimisation'!$B$16/3.6)</f>
        <v/>
      </c>
      <c r="O2002" s="24" t="n">
        <v>332.9230736871951</v>
      </c>
      <c r="P2002" s="25" t="n">
        <v>0.4767371025038626</v>
      </c>
      <c r="Q2002" s="26" t="n">
        <v>0.2</v>
      </c>
      <c r="R2002" s="24" t="n">
        <v>399.6539279506449</v>
      </c>
      <c r="S2002" s="24">
        <f>R2002*IF(A2002=4, 2.0, 3.0)</f>
        <v/>
      </c>
      <c r="T2002" s="22">
        <f>'Dashboard &amp; Optimisation'!$B$18*U2002</f>
        <v/>
      </c>
      <c r="U2002" s="27">
        <f>MIN(1, S2002/M2002)</f>
        <v/>
      </c>
      <c r="V2002" s="27">
        <f>N2002/(N2002+O2002)</f>
        <v/>
      </c>
      <c r="W2002" s="27">
        <f>U2002*V2002</f>
        <v/>
      </c>
      <c r="X2002" s="25">
        <f>T2002/N2002</f>
        <v/>
      </c>
      <c r="Y2002" s="28">
        <f>IF(W2002=MAXIFS(W$2:W$3601, A$2:A$3601, A2002, B$2:B$3601, B2002), "OPTIMAL", "")</f>
        <v/>
      </c>
    </row>
    <row r="2003" ht="20" customHeight="1">
      <c r="A2003" s="29" t="n">
        <v>-18</v>
      </c>
      <c r="B2003" s="29" t="n">
        <v>25</v>
      </c>
      <c r="C2003" s="30" t="n">
        <v>105</v>
      </c>
      <c r="D2003" s="30" t="n">
        <v>2</v>
      </c>
      <c r="E2003" s="6" t="n">
        <v>0</v>
      </c>
      <c r="F2003" s="30" t="n">
        <v>0</v>
      </c>
      <c r="G2003" s="6" t="inlineStr">
        <is>
          <t>Oui</t>
        </is>
      </c>
      <c r="H2003" s="6" t="inlineStr">
        <is>
          <t>OFF</t>
        </is>
      </c>
      <c r="I2003" s="31" t="n">
        <v>604.2334594602274</v>
      </c>
      <c r="J2003" s="31" t="n">
        <v>4012.68388558375</v>
      </c>
      <c r="K2003" s="31" t="n">
        <v>3342.592592592593</v>
      </c>
      <c r="L2003" s="31" t="n">
        <v>150</v>
      </c>
      <c r="M2003" s="31">
        <f>I2003+J2003+K2003+L2003</f>
        <v/>
      </c>
      <c r="N2003" s="31">
        <f>M2003*'Dashboard &amp; Optimisation'!$B$18/('Dashboard &amp; Optimisation'!$B$16/3.6)</f>
        <v/>
      </c>
      <c r="O2003" s="31" t="n">
        <v>332.9230736871951</v>
      </c>
      <c r="P2003" s="32" t="n">
        <v>0.7798893750598538</v>
      </c>
      <c r="Q2003" s="33" t="n">
        <v>0.2</v>
      </c>
      <c r="R2003" s="31" t="n">
        <v>244.3036944834072</v>
      </c>
      <c r="S2003" s="31">
        <f>R2003*IF(A2003=4, 2.0, 3.0)</f>
        <v/>
      </c>
      <c r="T2003" s="30">
        <f>'Dashboard &amp; Optimisation'!$B$18*U2003</f>
        <v/>
      </c>
      <c r="U2003" s="34">
        <f>MIN(1, S2003/M2003)</f>
        <v/>
      </c>
      <c r="V2003" s="34">
        <f>N2003/(N2003+O2003)</f>
        <v/>
      </c>
      <c r="W2003" s="34">
        <f>U2003*V2003</f>
        <v/>
      </c>
      <c r="X2003" s="32">
        <f>T2003/N2003</f>
        <v/>
      </c>
      <c r="Y2003" s="35">
        <f>IF(W2003=MAXIFS(W$2:W$3601, A$2:A$3601, A2003, B$2:B$3601, B2003), "OPTIMAL", "")</f>
        <v/>
      </c>
    </row>
    <row r="2004" ht="20" customHeight="1">
      <c r="A2004" s="21" t="n">
        <v>-18</v>
      </c>
      <c r="B2004" s="21" t="n">
        <v>25</v>
      </c>
      <c r="C2004" s="22" t="n">
        <v>105</v>
      </c>
      <c r="D2004" s="22" t="n">
        <v>2</v>
      </c>
      <c r="E2004" s="23" t="n">
        <v>0</v>
      </c>
      <c r="F2004" s="22" t="n">
        <v>0</v>
      </c>
      <c r="G2004" s="23" t="inlineStr">
        <is>
          <t>Non</t>
        </is>
      </c>
      <c r="H2004" s="23" t="inlineStr">
        <is>
          <t>ON</t>
        </is>
      </c>
      <c r="I2004" s="24" t="n">
        <v>604.2334594602274</v>
      </c>
      <c r="J2004" s="24" t="n">
        <v>4012.68388558375</v>
      </c>
      <c r="K2004" s="24" t="n">
        <v>3342.592592592593</v>
      </c>
      <c r="L2004" s="24" t="n">
        <v>150</v>
      </c>
      <c r="M2004" s="24">
        <f>I2004+J2004+K2004+L2004</f>
        <v/>
      </c>
      <c r="N2004" s="24">
        <f>M2004*'Dashboard &amp; Optimisation'!$B$18/('Dashboard &amp; Optimisation'!$B$16/3.6)</f>
        <v/>
      </c>
      <c r="O2004" s="24" t="n">
        <v>332.9230736871951</v>
      </c>
      <c r="P2004" s="25" t="n">
        <v>0.4737055797783027</v>
      </c>
      <c r="Q2004" s="26" t="n">
        <v>0.2</v>
      </c>
      <c r="R2004" s="24" t="n">
        <v>402.2115502727393</v>
      </c>
      <c r="S2004" s="24">
        <f>R2004*IF(A2004=4, 2.0, 3.0)</f>
        <v/>
      </c>
      <c r="T2004" s="22">
        <f>'Dashboard &amp; Optimisation'!$B$18*U2004</f>
        <v/>
      </c>
      <c r="U2004" s="27">
        <f>MIN(1, S2004/M2004)</f>
        <v/>
      </c>
      <c r="V2004" s="27">
        <f>N2004/(N2004+O2004)</f>
        <v/>
      </c>
      <c r="W2004" s="27">
        <f>U2004*V2004</f>
        <v/>
      </c>
      <c r="X2004" s="25">
        <f>T2004/N2004</f>
        <v/>
      </c>
      <c r="Y2004" s="28">
        <f>IF(W2004=MAXIFS(W$2:W$3601, A$2:A$3601, A2004, B$2:B$3601, B2004), "OPTIMAL", "")</f>
        <v/>
      </c>
    </row>
    <row r="2005" ht="20" customHeight="1">
      <c r="A2005" s="29" t="n">
        <v>-18</v>
      </c>
      <c r="B2005" s="29" t="n">
        <v>25</v>
      </c>
      <c r="C2005" s="30" t="n">
        <v>105</v>
      </c>
      <c r="D2005" s="30" t="n">
        <v>2</v>
      </c>
      <c r="E2005" s="6" t="n">
        <v>0</v>
      </c>
      <c r="F2005" s="30" t="n">
        <v>0</v>
      </c>
      <c r="G2005" s="6" t="inlineStr">
        <is>
          <t>Non</t>
        </is>
      </c>
      <c r="H2005" s="6" t="inlineStr">
        <is>
          <t>OFF</t>
        </is>
      </c>
      <c r="I2005" s="31" t="n">
        <v>604.2334594602274</v>
      </c>
      <c r="J2005" s="31" t="n">
        <v>4012.68388558375</v>
      </c>
      <c r="K2005" s="31" t="n">
        <v>3342.592592592593</v>
      </c>
      <c r="L2005" s="31" t="n">
        <v>150</v>
      </c>
      <c r="M2005" s="31">
        <f>I2005+J2005+K2005+L2005</f>
        <v/>
      </c>
      <c r="N2005" s="31">
        <f>M2005*'Dashboard &amp; Optimisation'!$B$18/('Dashboard &amp; Optimisation'!$B$16/3.6)</f>
        <v/>
      </c>
      <c r="O2005" s="31" t="n">
        <v>332.9230736871951</v>
      </c>
      <c r="P2005" s="32" t="n">
        <v>0.7768578523342939</v>
      </c>
      <c r="Q2005" s="33" t="n">
        <v>0.2</v>
      </c>
      <c r="R2005" s="31" t="n">
        <v>245.2570377488956</v>
      </c>
      <c r="S2005" s="31">
        <f>R2005*IF(A2005=4, 2.0, 3.0)</f>
        <v/>
      </c>
      <c r="T2005" s="30">
        <f>'Dashboard &amp; Optimisation'!$B$18*U2005</f>
        <v/>
      </c>
      <c r="U2005" s="34">
        <f>MIN(1, S2005/M2005)</f>
        <v/>
      </c>
      <c r="V2005" s="34">
        <f>N2005/(N2005+O2005)</f>
        <v/>
      </c>
      <c r="W2005" s="34">
        <f>U2005*V2005</f>
        <v/>
      </c>
      <c r="X2005" s="32">
        <f>T2005/N2005</f>
        <v/>
      </c>
      <c r="Y2005" s="35">
        <f>IF(W2005=MAXIFS(W$2:W$3601, A$2:A$3601, A2005, B$2:B$3601, B2005), "OPTIMAL", "")</f>
        <v/>
      </c>
    </row>
    <row r="2006" ht="20" customHeight="1">
      <c r="A2006" s="36" t="n">
        <v>-18</v>
      </c>
      <c r="B2006" s="36" t="n">
        <v>25</v>
      </c>
      <c r="C2006" s="37" t="n">
        <v>105</v>
      </c>
      <c r="D2006" s="37" t="n">
        <v>2</v>
      </c>
      <c r="E2006" s="38" t="n">
        <v>4</v>
      </c>
      <c r="F2006" s="37" t="n">
        <v>1.5</v>
      </c>
      <c r="G2006" s="38" t="inlineStr">
        <is>
          <t>Oui</t>
        </is>
      </c>
      <c r="H2006" s="38" t="inlineStr">
        <is>
          <t>ON</t>
        </is>
      </c>
      <c r="I2006" s="39" t="n">
        <v>604.2334594602274</v>
      </c>
      <c r="J2006" s="39" t="n">
        <v>4012.68388558375</v>
      </c>
      <c r="K2006" s="39" t="n">
        <v>3342.592592592593</v>
      </c>
      <c r="L2006" s="39" t="n">
        <v>150</v>
      </c>
      <c r="M2006" s="39">
        <f>I2006+J2006+K2006+L2006</f>
        <v/>
      </c>
      <c r="N2006" s="39">
        <f>M2006*'Dashboard &amp; Optimisation'!$B$18/('Dashboard &amp; Optimisation'!$B$16/3.6)</f>
        <v/>
      </c>
      <c r="O2006" s="39" t="n">
        <v>519.641669642749</v>
      </c>
      <c r="P2006" s="40" t="n">
        <v>0.07211788842163316</v>
      </c>
      <c r="Q2006" s="41" t="n">
        <v>6.39626436661611</v>
      </c>
      <c r="R2006" s="39" t="n">
        <v>2724.347956178907</v>
      </c>
      <c r="S2006" s="39">
        <f>R2006*IF(A2006=4, 2.0, 3.0)</f>
        <v/>
      </c>
      <c r="T2006" s="37">
        <f>'Dashboard &amp; Optimisation'!$B$18*U2006</f>
        <v/>
      </c>
      <c r="U2006" s="42">
        <f>MIN(1, S2006/M2006)</f>
        <v/>
      </c>
      <c r="V2006" s="42">
        <f>N2006/(N2006+O2006)</f>
        <v/>
      </c>
      <c r="W2006" s="42">
        <f>U2006*V2006</f>
        <v/>
      </c>
      <c r="X2006" s="40">
        <f>T2006/N2006</f>
        <v/>
      </c>
      <c r="Y2006" s="15">
        <f>IF(W2006=MAXIFS(W$2:W$3601, A$2:A$3601, A2006, B$2:B$3601, B2006), "OPTIMAL", "")</f>
        <v/>
      </c>
    </row>
    <row r="2007" ht="20" customHeight="1">
      <c r="A2007" s="29" t="n">
        <v>-18</v>
      </c>
      <c r="B2007" s="29" t="n">
        <v>25</v>
      </c>
      <c r="C2007" s="30" t="n">
        <v>105</v>
      </c>
      <c r="D2007" s="30" t="n">
        <v>2</v>
      </c>
      <c r="E2007" s="6" t="n">
        <v>4</v>
      </c>
      <c r="F2007" s="30" t="n">
        <v>1.5</v>
      </c>
      <c r="G2007" s="6" t="inlineStr">
        <is>
          <t>Oui</t>
        </is>
      </c>
      <c r="H2007" s="6" t="inlineStr">
        <is>
          <t>OFF</t>
        </is>
      </c>
      <c r="I2007" s="31" t="n">
        <v>604.2334594602274</v>
      </c>
      <c r="J2007" s="31" t="n">
        <v>4012.68388558375</v>
      </c>
      <c r="K2007" s="31" t="n">
        <v>3342.592592592593</v>
      </c>
      <c r="L2007" s="31" t="n">
        <v>150</v>
      </c>
      <c r="M2007" s="31">
        <f>I2007+J2007+K2007+L2007</f>
        <v/>
      </c>
      <c r="N2007" s="31">
        <f>M2007*'Dashboard &amp; Optimisation'!$B$18/('Dashboard &amp; Optimisation'!$B$16/3.6)</f>
        <v/>
      </c>
      <c r="O2007" s="31" t="n">
        <v>519.641669642749</v>
      </c>
      <c r="P2007" s="32" t="n">
        <v>0.297414701598841</v>
      </c>
      <c r="Q2007" s="33" t="n">
        <v>6.39626436661611</v>
      </c>
      <c r="R2007" s="31" t="n">
        <v>660.6069601442339</v>
      </c>
      <c r="S2007" s="31">
        <f>R2007*IF(A2007=4, 2.0, 3.0)</f>
        <v/>
      </c>
      <c r="T2007" s="30">
        <f>'Dashboard &amp; Optimisation'!$B$18*U2007</f>
        <v/>
      </c>
      <c r="U2007" s="34">
        <f>MIN(1, S2007/M2007)</f>
        <v/>
      </c>
      <c r="V2007" s="34">
        <f>N2007/(N2007+O2007)</f>
        <v/>
      </c>
      <c r="W2007" s="34">
        <f>U2007*V2007</f>
        <v/>
      </c>
      <c r="X2007" s="32">
        <f>T2007/N2007</f>
        <v/>
      </c>
      <c r="Y2007" s="35">
        <f>IF(W2007=MAXIFS(W$2:W$3601, A$2:A$3601, A2007, B$2:B$3601, B2007), "OPTIMAL", "")</f>
        <v/>
      </c>
    </row>
    <row r="2008" ht="20" customHeight="1">
      <c r="A2008" s="36" t="n">
        <v>-18</v>
      </c>
      <c r="B2008" s="36" t="n">
        <v>25</v>
      </c>
      <c r="C2008" s="37" t="n">
        <v>105</v>
      </c>
      <c r="D2008" s="37" t="n">
        <v>2</v>
      </c>
      <c r="E2008" s="38" t="n">
        <v>4</v>
      </c>
      <c r="F2008" s="37" t="n">
        <v>1.5</v>
      </c>
      <c r="G2008" s="38" t="inlineStr">
        <is>
          <t>Non</t>
        </is>
      </c>
      <c r="H2008" s="38" t="inlineStr">
        <is>
          <t>ON</t>
        </is>
      </c>
      <c r="I2008" s="39" t="n">
        <v>604.2334594602274</v>
      </c>
      <c r="J2008" s="39" t="n">
        <v>4012.68388558375</v>
      </c>
      <c r="K2008" s="39" t="n">
        <v>3342.592592592593</v>
      </c>
      <c r="L2008" s="39" t="n">
        <v>150</v>
      </c>
      <c r="M2008" s="39">
        <f>I2008+J2008+K2008+L2008</f>
        <v/>
      </c>
      <c r="N2008" s="39">
        <f>M2008*'Dashboard &amp; Optimisation'!$B$18/('Dashboard &amp; Optimisation'!$B$16/3.6)</f>
        <v/>
      </c>
      <c r="O2008" s="39" t="n">
        <v>519.641669642749</v>
      </c>
      <c r="P2008" s="40" t="n">
        <v>0.06908636569607325</v>
      </c>
      <c r="Q2008" s="41" t="n">
        <v>6.39626436661611</v>
      </c>
      <c r="R2008" s="39" t="n">
        <v>2843.892857090644</v>
      </c>
      <c r="S2008" s="39">
        <f>R2008*IF(A2008=4, 2.0, 3.0)</f>
        <v/>
      </c>
      <c r="T2008" s="37">
        <f>'Dashboard &amp; Optimisation'!$B$18*U2008</f>
        <v/>
      </c>
      <c r="U2008" s="42">
        <f>MIN(1, S2008/M2008)</f>
        <v/>
      </c>
      <c r="V2008" s="42">
        <f>N2008/(N2008+O2008)</f>
        <v/>
      </c>
      <c r="W2008" s="42">
        <f>U2008*V2008</f>
        <v/>
      </c>
      <c r="X2008" s="40">
        <f>T2008/N2008</f>
        <v/>
      </c>
      <c r="Y2008" s="15">
        <f>IF(W2008=MAXIFS(W$2:W$3601, A$2:A$3601, A2008, B$2:B$3601, B2008), "OPTIMAL", "")</f>
        <v/>
      </c>
    </row>
    <row r="2009" ht="20" customHeight="1">
      <c r="A2009" s="29" t="n">
        <v>-18</v>
      </c>
      <c r="B2009" s="29" t="n">
        <v>25</v>
      </c>
      <c r="C2009" s="30" t="n">
        <v>105</v>
      </c>
      <c r="D2009" s="30" t="n">
        <v>2</v>
      </c>
      <c r="E2009" s="6" t="n">
        <v>4</v>
      </c>
      <c r="F2009" s="30" t="n">
        <v>1.5</v>
      </c>
      <c r="G2009" s="6" t="inlineStr">
        <is>
          <t>Non</t>
        </is>
      </c>
      <c r="H2009" s="6" t="inlineStr">
        <is>
          <t>OFF</t>
        </is>
      </c>
      <c r="I2009" s="31" t="n">
        <v>604.2334594602274</v>
      </c>
      <c r="J2009" s="31" t="n">
        <v>4012.68388558375</v>
      </c>
      <c r="K2009" s="31" t="n">
        <v>3342.592592592593</v>
      </c>
      <c r="L2009" s="31" t="n">
        <v>150</v>
      </c>
      <c r="M2009" s="31">
        <f>I2009+J2009+K2009+L2009</f>
        <v/>
      </c>
      <c r="N2009" s="31">
        <f>M2009*'Dashboard &amp; Optimisation'!$B$18/('Dashboard &amp; Optimisation'!$B$16/3.6)</f>
        <v/>
      </c>
      <c r="O2009" s="31" t="n">
        <v>519.641669642749</v>
      </c>
      <c r="P2009" s="32" t="n">
        <v>0.2943831788732811</v>
      </c>
      <c r="Q2009" s="33" t="n">
        <v>6.39626436661611</v>
      </c>
      <c r="R2009" s="31" t="n">
        <v>667.4098115163985</v>
      </c>
      <c r="S2009" s="31">
        <f>R2009*IF(A2009=4, 2.0, 3.0)</f>
        <v/>
      </c>
      <c r="T2009" s="30">
        <f>'Dashboard &amp; Optimisation'!$B$18*U2009</f>
        <v/>
      </c>
      <c r="U2009" s="34">
        <f>MIN(1, S2009/M2009)</f>
        <v/>
      </c>
      <c r="V2009" s="34">
        <f>N2009/(N2009+O2009)</f>
        <v/>
      </c>
      <c r="W2009" s="34">
        <f>U2009*V2009</f>
        <v/>
      </c>
      <c r="X2009" s="32">
        <f>T2009/N2009</f>
        <v/>
      </c>
      <c r="Y2009" s="35">
        <f>IF(W2009=MAXIFS(W$2:W$3601, A$2:A$3601, A2009, B$2:B$3601, B2009), "OPTIMAL", "")</f>
        <v/>
      </c>
    </row>
    <row r="2010" ht="20" customHeight="1">
      <c r="A2010" s="21" t="n">
        <v>-18</v>
      </c>
      <c r="B2010" s="21" t="n">
        <v>25</v>
      </c>
      <c r="C2010" s="22" t="n">
        <v>105</v>
      </c>
      <c r="D2010" s="22" t="n">
        <v>2</v>
      </c>
      <c r="E2010" s="23" t="n">
        <v>4</v>
      </c>
      <c r="F2010" s="22" t="n">
        <v>2</v>
      </c>
      <c r="G2010" s="23" t="inlineStr">
        <is>
          <t>Oui</t>
        </is>
      </c>
      <c r="H2010" s="23" t="inlineStr">
        <is>
          <t>ON</t>
        </is>
      </c>
      <c r="I2010" s="24" t="n">
        <v>604.2334594602274</v>
      </c>
      <c r="J2010" s="24" t="n">
        <v>4012.68388558375</v>
      </c>
      <c r="K2010" s="24" t="n">
        <v>3342.592592592593</v>
      </c>
      <c r="L2010" s="24" t="n">
        <v>150</v>
      </c>
      <c r="M2010" s="24">
        <f>I2010+J2010+K2010+L2010</f>
        <v/>
      </c>
      <c r="N2010" s="24">
        <f>M2010*'Dashboard &amp; Optimisation'!$B$18/('Dashboard &amp; Optimisation'!$B$16/3.6)</f>
        <v/>
      </c>
      <c r="O2010" s="24" t="n">
        <v>584.4975029894802</v>
      </c>
      <c r="P2010" s="25" t="n">
        <v>0.06926604745833413</v>
      </c>
      <c r="Q2010" s="26" t="n">
        <v>8.461685822154816</v>
      </c>
      <c r="R2010" s="24" t="n">
        <v>2866.324514254966</v>
      </c>
      <c r="S2010" s="24">
        <f>R2010*IF(A2010=4, 2.0, 3.0)</f>
        <v/>
      </c>
      <c r="T2010" s="22">
        <f>'Dashboard &amp; Optimisation'!$B$18*U2010</f>
        <v/>
      </c>
      <c r="U2010" s="27">
        <f>MIN(1, S2010/M2010)</f>
        <v/>
      </c>
      <c r="V2010" s="27">
        <f>N2010/(N2010+O2010)</f>
        <v/>
      </c>
      <c r="W2010" s="27">
        <f>U2010*V2010</f>
        <v/>
      </c>
      <c r="X2010" s="25">
        <f>T2010/N2010</f>
        <v/>
      </c>
      <c r="Y2010" s="28">
        <f>IF(W2010=MAXIFS(W$2:W$3601, A$2:A$3601, A2010, B$2:B$3601, B2010), "OPTIMAL", "")</f>
        <v/>
      </c>
    </row>
    <row r="2011" ht="20" customHeight="1">
      <c r="A2011" s="29" t="n">
        <v>-18</v>
      </c>
      <c r="B2011" s="29" t="n">
        <v>25</v>
      </c>
      <c r="C2011" s="30" t="n">
        <v>105</v>
      </c>
      <c r="D2011" s="30" t="n">
        <v>2</v>
      </c>
      <c r="E2011" s="6" t="n">
        <v>4</v>
      </c>
      <c r="F2011" s="30" t="n">
        <v>2</v>
      </c>
      <c r="G2011" s="6" t="inlineStr">
        <is>
          <t>Oui</t>
        </is>
      </c>
      <c r="H2011" s="6" t="inlineStr">
        <is>
          <t>OFF</t>
        </is>
      </c>
      <c r="I2011" s="31" t="n">
        <v>604.2334594602274</v>
      </c>
      <c r="J2011" s="31" t="n">
        <v>4012.68388558375</v>
      </c>
      <c r="K2011" s="31" t="n">
        <v>3342.592592592593</v>
      </c>
      <c r="L2011" s="31" t="n">
        <v>150</v>
      </c>
      <c r="M2011" s="31">
        <f>I2011+J2011+K2011+L2011</f>
        <v/>
      </c>
      <c r="N2011" s="31">
        <f>M2011*'Dashboard &amp; Optimisation'!$B$18/('Dashboard &amp; Optimisation'!$B$16/3.6)</f>
        <v/>
      </c>
      <c r="O2011" s="31" t="n">
        <v>584.4975029894802</v>
      </c>
      <c r="P2011" s="32" t="n">
        <v>0.2955807767744409</v>
      </c>
      <c r="Q2011" s="33" t="n">
        <v>8.461685822154816</v>
      </c>
      <c r="R2011" s="31" t="n">
        <v>671.6910754547379</v>
      </c>
      <c r="S2011" s="31">
        <f>R2011*IF(A2011=4, 2.0, 3.0)</f>
        <v/>
      </c>
      <c r="T2011" s="30">
        <f>'Dashboard &amp; Optimisation'!$B$18*U2011</f>
        <v/>
      </c>
      <c r="U2011" s="34">
        <f>MIN(1, S2011/M2011)</f>
        <v/>
      </c>
      <c r="V2011" s="34">
        <f>N2011/(N2011+O2011)</f>
        <v/>
      </c>
      <c r="W2011" s="34">
        <f>U2011*V2011</f>
        <v/>
      </c>
      <c r="X2011" s="32">
        <f>T2011/N2011</f>
        <v/>
      </c>
      <c r="Y2011" s="35">
        <f>IF(W2011=MAXIFS(W$2:W$3601, A$2:A$3601, A2011, B$2:B$3601, B2011), "OPTIMAL", "")</f>
        <v/>
      </c>
    </row>
    <row r="2012" ht="20" customHeight="1">
      <c r="A2012" s="21" t="n">
        <v>-18</v>
      </c>
      <c r="B2012" s="21" t="n">
        <v>25</v>
      </c>
      <c r="C2012" s="22" t="n">
        <v>105</v>
      </c>
      <c r="D2012" s="22" t="n">
        <v>2</v>
      </c>
      <c r="E2012" s="23" t="n">
        <v>4</v>
      </c>
      <c r="F2012" s="22" t="n">
        <v>2</v>
      </c>
      <c r="G2012" s="23" t="inlineStr">
        <is>
          <t>Non</t>
        </is>
      </c>
      <c r="H2012" s="23" t="inlineStr">
        <is>
          <t>ON</t>
        </is>
      </c>
      <c r="I2012" s="24" t="n">
        <v>604.2334594602274</v>
      </c>
      <c r="J2012" s="24" t="n">
        <v>4012.68388558375</v>
      </c>
      <c r="K2012" s="24" t="n">
        <v>3342.592592592593</v>
      </c>
      <c r="L2012" s="24" t="n">
        <v>150</v>
      </c>
      <c r="M2012" s="24">
        <f>I2012+J2012+K2012+L2012</f>
        <v/>
      </c>
      <c r="N2012" s="24">
        <f>M2012*'Dashboard &amp; Optimisation'!$B$18/('Dashboard &amp; Optimisation'!$B$16/3.6)</f>
        <v/>
      </c>
      <c r="O2012" s="24" t="n">
        <v>584.4975029894802</v>
      </c>
      <c r="P2012" s="25" t="n">
        <v>0.06623452473277422</v>
      </c>
      <c r="Q2012" s="26" t="n">
        <v>8.461685822154816</v>
      </c>
      <c r="R2012" s="24" t="n">
        <v>2997.514825332925</v>
      </c>
      <c r="S2012" s="24">
        <f>R2012*IF(A2012=4, 2.0, 3.0)</f>
        <v/>
      </c>
      <c r="T2012" s="22">
        <f>'Dashboard &amp; Optimisation'!$B$18*U2012</f>
        <v/>
      </c>
      <c r="U2012" s="27">
        <f>MIN(1, S2012/M2012)</f>
        <v/>
      </c>
      <c r="V2012" s="27">
        <f>N2012/(N2012+O2012)</f>
        <v/>
      </c>
      <c r="W2012" s="27">
        <f>U2012*V2012</f>
        <v/>
      </c>
      <c r="X2012" s="25">
        <f>T2012/N2012</f>
        <v/>
      </c>
      <c r="Y2012" s="28">
        <f>IF(W2012=MAXIFS(W$2:W$3601, A$2:A$3601, A2012, B$2:B$3601, B2012), "OPTIMAL", "")</f>
        <v/>
      </c>
    </row>
    <row r="2013" ht="20" customHeight="1">
      <c r="A2013" s="29" t="n">
        <v>-18</v>
      </c>
      <c r="B2013" s="29" t="n">
        <v>25</v>
      </c>
      <c r="C2013" s="30" t="n">
        <v>105</v>
      </c>
      <c r="D2013" s="30" t="n">
        <v>2</v>
      </c>
      <c r="E2013" s="6" t="n">
        <v>4</v>
      </c>
      <c r="F2013" s="30" t="n">
        <v>2</v>
      </c>
      <c r="G2013" s="6" t="inlineStr">
        <is>
          <t>Non</t>
        </is>
      </c>
      <c r="H2013" s="6" t="inlineStr">
        <is>
          <t>OFF</t>
        </is>
      </c>
      <c r="I2013" s="31" t="n">
        <v>604.2334594602274</v>
      </c>
      <c r="J2013" s="31" t="n">
        <v>4012.68388558375</v>
      </c>
      <c r="K2013" s="31" t="n">
        <v>3342.592592592593</v>
      </c>
      <c r="L2013" s="31" t="n">
        <v>150</v>
      </c>
      <c r="M2013" s="31">
        <f>I2013+J2013+K2013+L2013</f>
        <v/>
      </c>
      <c r="N2013" s="31">
        <f>M2013*'Dashboard &amp; Optimisation'!$B$18/('Dashboard &amp; Optimisation'!$B$16/3.6)</f>
        <v/>
      </c>
      <c r="O2013" s="31" t="n">
        <v>584.4975029894802</v>
      </c>
      <c r="P2013" s="32" t="n">
        <v>0.292549254048881</v>
      </c>
      <c r="Q2013" s="33" t="n">
        <v>8.461685822154816</v>
      </c>
      <c r="R2013" s="31" t="n">
        <v>678.651430785046</v>
      </c>
      <c r="S2013" s="31">
        <f>R2013*IF(A2013=4, 2.0, 3.0)</f>
        <v/>
      </c>
      <c r="T2013" s="30">
        <f>'Dashboard &amp; Optimisation'!$B$18*U2013</f>
        <v/>
      </c>
      <c r="U2013" s="34">
        <f>MIN(1, S2013/M2013)</f>
        <v/>
      </c>
      <c r="V2013" s="34">
        <f>N2013/(N2013+O2013)</f>
        <v/>
      </c>
      <c r="W2013" s="34">
        <f>U2013*V2013</f>
        <v/>
      </c>
      <c r="X2013" s="32">
        <f>T2013/N2013</f>
        <v/>
      </c>
      <c r="Y2013" s="35">
        <f>IF(W2013=MAXIFS(W$2:W$3601, A$2:A$3601, A2013, B$2:B$3601, B2013), "OPTIMAL", "")</f>
        <v/>
      </c>
    </row>
    <row r="2014" ht="20" customHeight="1">
      <c r="A2014" s="21" t="n">
        <v>-18</v>
      </c>
      <c r="B2014" s="21" t="n">
        <v>25</v>
      </c>
      <c r="C2014" s="22" t="n">
        <v>105</v>
      </c>
      <c r="D2014" s="22" t="n">
        <v>2</v>
      </c>
      <c r="E2014" s="23" t="n">
        <v>8</v>
      </c>
      <c r="F2014" s="22" t="n">
        <v>1.5</v>
      </c>
      <c r="G2014" s="23" t="inlineStr">
        <is>
          <t>Oui</t>
        </is>
      </c>
      <c r="H2014" s="23" t="inlineStr">
        <is>
          <t>ON</t>
        </is>
      </c>
      <c r="I2014" s="24" t="n">
        <v>604.2334594602274</v>
      </c>
      <c r="J2014" s="24" t="n">
        <v>4012.68388558375</v>
      </c>
      <c r="K2014" s="24" t="n">
        <v>3342.592592592593</v>
      </c>
      <c r="L2014" s="24" t="n">
        <v>150</v>
      </c>
      <c r="M2014" s="24">
        <f>I2014+J2014+K2014+L2014</f>
        <v/>
      </c>
      <c r="N2014" s="24">
        <f>M2014*'Dashboard &amp; Optimisation'!$B$18/('Dashboard &amp; Optimisation'!$B$16/3.6)</f>
        <v/>
      </c>
      <c r="O2014" s="24" t="n">
        <v>718.3863867783883</v>
      </c>
      <c r="P2014" s="25" t="n">
        <v>0.0545652421498049</v>
      </c>
      <c r="Q2014" s="26" t="n">
        <v>12.59252873323222</v>
      </c>
      <c r="R2014" s="24" t="n">
        <v>3716.678299114821</v>
      </c>
      <c r="S2014" s="24">
        <f>R2014*IF(A2014=4, 2.0, 3.0)</f>
        <v/>
      </c>
      <c r="T2014" s="22">
        <f>'Dashboard &amp; Optimisation'!$B$18*U2014</f>
        <v/>
      </c>
      <c r="U2014" s="27">
        <f>MIN(1, S2014/M2014)</f>
        <v/>
      </c>
      <c r="V2014" s="27">
        <f>N2014/(N2014+O2014)</f>
        <v/>
      </c>
      <c r="W2014" s="27">
        <f>U2014*V2014</f>
        <v/>
      </c>
      <c r="X2014" s="25">
        <f>T2014/N2014</f>
        <v/>
      </c>
      <c r="Y2014" s="28">
        <f>IF(W2014=MAXIFS(W$2:W$3601, A$2:A$3601, A2014, B$2:B$3601, B2014), "OPTIMAL", "")</f>
        <v/>
      </c>
    </row>
    <row r="2015" ht="20" customHeight="1">
      <c r="A2015" s="29" t="n">
        <v>-18</v>
      </c>
      <c r="B2015" s="29" t="n">
        <v>25</v>
      </c>
      <c r="C2015" s="30" t="n">
        <v>105</v>
      </c>
      <c r="D2015" s="30" t="n">
        <v>2</v>
      </c>
      <c r="E2015" s="6" t="n">
        <v>8</v>
      </c>
      <c r="F2015" s="30" t="n">
        <v>1.5</v>
      </c>
      <c r="G2015" s="6" t="inlineStr">
        <is>
          <t>Oui</t>
        </is>
      </c>
      <c r="H2015" s="6" t="inlineStr">
        <is>
          <t>OFF</t>
        </is>
      </c>
      <c r="I2015" s="31" t="n">
        <v>604.2334594602274</v>
      </c>
      <c r="J2015" s="31" t="n">
        <v>4012.68388558375</v>
      </c>
      <c r="K2015" s="31" t="n">
        <v>3342.592592592593</v>
      </c>
      <c r="L2015" s="31" t="n">
        <v>150</v>
      </c>
      <c r="M2015" s="31">
        <f>I2015+J2015+K2015+L2015</f>
        <v/>
      </c>
      <c r="N2015" s="31">
        <f>M2015*'Dashboard &amp; Optimisation'!$B$18/('Dashboard &amp; Optimisation'!$B$16/3.6)</f>
        <v/>
      </c>
      <c r="O2015" s="31" t="n">
        <v>718.3863867783883</v>
      </c>
      <c r="P2015" s="32" t="n">
        <v>0.233823801442431</v>
      </c>
      <c r="Q2015" s="33" t="n">
        <v>12.59252873323222</v>
      </c>
      <c r="R2015" s="31" t="n">
        <v>867.325952845978</v>
      </c>
      <c r="S2015" s="31">
        <f>R2015*IF(A2015=4, 2.0, 3.0)</f>
        <v/>
      </c>
      <c r="T2015" s="30">
        <f>'Dashboard &amp; Optimisation'!$B$18*U2015</f>
        <v/>
      </c>
      <c r="U2015" s="34">
        <f>MIN(1, S2015/M2015)</f>
        <v/>
      </c>
      <c r="V2015" s="34">
        <f>N2015/(N2015+O2015)</f>
        <v/>
      </c>
      <c r="W2015" s="34">
        <f>U2015*V2015</f>
        <v/>
      </c>
      <c r="X2015" s="32">
        <f>T2015/N2015</f>
        <v/>
      </c>
      <c r="Y2015" s="35">
        <f>IF(W2015=MAXIFS(W$2:W$3601, A$2:A$3601, A2015, B$2:B$3601, B2015), "OPTIMAL", "")</f>
        <v/>
      </c>
    </row>
    <row r="2016" ht="20" customHeight="1">
      <c r="A2016" s="21" t="n">
        <v>-18</v>
      </c>
      <c r="B2016" s="21" t="n">
        <v>25</v>
      </c>
      <c r="C2016" s="22" t="n">
        <v>105</v>
      </c>
      <c r="D2016" s="22" t="n">
        <v>2</v>
      </c>
      <c r="E2016" s="23" t="n">
        <v>8</v>
      </c>
      <c r="F2016" s="22" t="n">
        <v>1.5</v>
      </c>
      <c r="G2016" s="23" t="inlineStr">
        <is>
          <t>Non</t>
        </is>
      </c>
      <c r="H2016" s="23" t="inlineStr">
        <is>
          <t>ON</t>
        </is>
      </c>
      <c r="I2016" s="24" t="n">
        <v>604.2334594602274</v>
      </c>
      <c r="J2016" s="24" t="n">
        <v>4012.68388558375</v>
      </c>
      <c r="K2016" s="24" t="n">
        <v>3342.592592592593</v>
      </c>
      <c r="L2016" s="24" t="n">
        <v>150</v>
      </c>
      <c r="M2016" s="24">
        <f>I2016+J2016+K2016+L2016</f>
        <v/>
      </c>
      <c r="N2016" s="24">
        <f>M2016*'Dashboard &amp; Optimisation'!$B$18/('Dashboard &amp; Optimisation'!$B$16/3.6)</f>
        <v/>
      </c>
      <c r="O2016" s="24" t="n">
        <v>718.3863867783883</v>
      </c>
      <c r="P2016" s="25" t="n">
        <v>0.05153371942424499</v>
      </c>
      <c r="Q2016" s="26" t="n">
        <v>12.59252873323222</v>
      </c>
      <c r="R2016" s="24" t="n">
        <v>3935.315627319411</v>
      </c>
      <c r="S2016" s="24">
        <f>R2016*IF(A2016=4, 2.0, 3.0)</f>
        <v/>
      </c>
      <c r="T2016" s="22">
        <f>'Dashboard &amp; Optimisation'!$B$18*U2016</f>
        <v/>
      </c>
      <c r="U2016" s="27">
        <f>MIN(1, S2016/M2016)</f>
        <v/>
      </c>
      <c r="V2016" s="27">
        <f>N2016/(N2016+O2016)</f>
        <v/>
      </c>
      <c r="W2016" s="27">
        <f>U2016*V2016</f>
        <v/>
      </c>
      <c r="X2016" s="25">
        <f>T2016/N2016</f>
        <v/>
      </c>
      <c r="Y2016" s="28">
        <f>IF(W2016=MAXIFS(W$2:W$3601, A$2:A$3601, A2016, B$2:B$3601, B2016), "OPTIMAL", "")</f>
        <v/>
      </c>
    </row>
    <row r="2017" ht="20" customHeight="1">
      <c r="A2017" s="29" t="n">
        <v>-18</v>
      </c>
      <c r="B2017" s="29" t="n">
        <v>25</v>
      </c>
      <c r="C2017" s="30" t="n">
        <v>105</v>
      </c>
      <c r="D2017" s="30" t="n">
        <v>2</v>
      </c>
      <c r="E2017" s="6" t="n">
        <v>8</v>
      </c>
      <c r="F2017" s="30" t="n">
        <v>1.5</v>
      </c>
      <c r="G2017" s="6" t="inlineStr">
        <is>
          <t>Non</t>
        </is>
      </c>
      <c r="H2017" s="6" t="inlineStr">
        <is>
          <t>OFF</t>
        </is>
      </c>
      <c r="I2017" s="31" t="n">
        <v>604.2334594602274</v>
      </c>
      <c r="J2017" s="31" t="n">
        <v>4012.68388558375</v>
      </c>
      <c r="K2017" s="31" t="n">
        <v>3342.592592592593</v>
      </c>
      <c r="L2017" s="31" t="n">
        <v>150</v>
      </c>
      <c r="M2017" s="31">
        <f>I2017+J2017+K2017+L2017</f>
        <v/>
      </c>
      <c r="N2017" s="31">
        <f>M2017*'Dashboard &amp; Optimisation'!$B$18/('Dashboard &amp; Optimisation'!$B$16/3.6)</f>
        <v/>
      </c>
      <c r="O2017" s="31" t="n">
        <v>718.3863867783883</v>
      </c>
      <c r="P2017" s="32" t="n">
        <v>0.2307922787168711</v>
      </c>
      <c r="Q2017" s="33" t="n">
        <v>12.59252873323222</v>
      </c>
      <c r="R2017" s="31" t="n">
        <v>878.7185278105245</v>
      </c>
      <c r="S2017" s="31">
        <f>R2017*IF(A2017=4, 2.0, 3.0)</f>
        <v/>
      </c>
      <c r="T2017" s="30">
        <f>'Dashboard &amp; Optimisation'!$B$18*U2017</f>
        <v/>
      </c>
      <c r="U2017" s="34">
        <f>MIN(1, S2017/M2017)</f>
        <v/>
      </c>
      <c r="V2017" s="34">
        <f>N2017/(N2017+O2017)</f>
        <v/>
      </c>
      <c r="W2017" s="34">
        <f>U2017*V2017</f>
        <v/>
      </c>
      <c r="X2017" s="32">
        <f>T2017/N2017</f>
        <v/>
      </c>
      <c r="Y2017" s="35">
        <f>IF(W2017=MAXIFS(W$2:W$3601, A$2:A$3601, A2017, B$2:B$3601, B2017), "OPTIMAL", "")</f>
        <v/>
      </c>
    </row>
    <row r="2018" ht="20" customHeight="1">
      <c r="A2018" s="21" t="n">
        <v>-18</v>
      </c>
      <c r="B2018" s="21" t="n">
        <v>25</v>
      </c>
      <c r="C2018" s="22" t="n">
        <v>105</v>
      </c>
      <c r="D2018" s="22" t="n">
        <v>2</v>
      </c>
      <c r="E2018" s="23" t="n">
        <v>8</v>
      </c>
      <c r="F2018" s="22" t="n">
        <v>2</v>
      </c>
      <c r="G2018" s="23" t="inlineStr">
        <is>
          <t>Oui</t>
        </is>
      </c>
      <c r="H2018" s="23" t="inlineStr">
        <is>
          <t>ON</t>
        </is>
      </c>
      <c r="I2018" s="24" t="n">
        <v>604.2334594602274</v>
      </c>
      <c r="J2018" s="24" t="n">
        <v>4012.68388558375</v>
      </c>
      <c r="K2018" s="24" t="n">
        <v>3342.592592592593</v>
      </c>
      <c r="L2018" s="24" t="n">
        <v>150</v>
      </c>
      <c r="M2018" s="24">
        <f>I2018+J2018+K2018+L2018</f>
        <v/>
      </c>
      <c r="N2018" s="24">
        <f>M2018*'Dashboard &amp; Optimisation'!$B$18/('Dashboard &amp; Optimisation'!$B$16/3.6)</f>
        <v/>
      </c>
      <c r="O2018" s="24" t="n">
        <v>858.1503911417592</v>
      </c>
      <c r="P2018" s="25" t="n">
        <v>0.05324035668794291</v>
      </c>
      <c r="Q2018" s="26" t="n">
        <v>16.72337164430963</v>
      </c>
      <c r="R2018" s="24" t="n">
        <v>3892.742009013828</v>
      </c>
      <c r="S2018" s="24">
        <f>R2018*IF(A2018=4, 2.0, 3.0)</f>
        <v/>
      </c>
      <c r="T2018" s="22">
        <f>'Dashboard &amp; Optimisation'!$B$18*U2018</f>
        <v/>
      </c>
      <c r="U2018" s="27">
        <f>MIN(1, S2018/M2018)</f>
        <v/>
      </c>
      <c r="V2018" s="27">
        <f>N2018/(N2018+O2018)</f>
        <v/>
      </c>
      <c r="W2018" s="27">
        <f>U2018*V2018</f>
        <v/>
      </c>
      <c r="X2018" s="25">
        <f>T2018/N2018</f>
        <v/>
      </c>
      <c r="Y2018" s="28">
        <f>IF(W2018=MAXIFS(W$2:W$3601, A$2:A$3601, A2018, B$2:B$3601, B2018), "OPTIMAL", "")</f>
        <v/>
      </c>
    </row>
    <row r="2019" ht="20" customHeight="1">
      <c r="A2019" s="29" t="n">
        <v>-18</v>
      </c>
      <c r="B2019" s="29" t="n">
        <v>25</v>
      </c>
      <c r="C2019" s="30" t="n">
        <v>105</v>
      </c>
      <c r="D2019" s="30" t="n">
        <v>2</v>
      </c>
      <c r="E2019" s="6" t="n">
        <v>8</v>
      </c>
      <c r="F2019" s="30" t="n">
        <v>2</v>
      </c>
      <c r="G2019" s="6" t="inlineStr">
        <is>
          <t>Oui</t>
        </is>
      </c>
      <c r="H2019" s="6" t="inlineStr">
        <is>
          <t>OFF</t>
        </is>
      </c>
      <c r="I2019" s="31" t="n">
        <v>604.2334594602274</v>
      </c>
      <c r="J2019" s="31" t="n">
        <v>4012.68388558375</v>
      </c>
      <c r="K2019" s="31" t="n">
        <v>3342.592592592593</v>
      </c>
      <c r="L2019" s="31" t="n">
        <v>150</v>
      </c>
      <c r="M2019" s="31">
        <f>I2019+J2019+K2019+L2019</f>
        <v/>
      </c>
      <c r="N2019" s="31">
        <f>M2019*'Dashboard &amp; Optimisation'!$B$18/('Dashboard &amp; Optimisation'!$B$16/3.6)</f>
        <v/>
      </c>
      <c r="O2019" s="31" t="n">
        <v>858.1503911417592</v>
      </c>
      <c r="P2019" s="32" t="n">
        <v>0.2337915759821405</v>
      </c>
      <c r="Q2019" s="33" t="n">
        <v>16.72337164430963</v>
      </c>
      <c r="R2019" s="31" t="n">
        <v>886.4775053737084</v>
      </c>
      <c r="S2019" s="31">
        <f>R2019*IF(A2019=4, 2.0, 3.0)</f>
        <v/>
      </c>
      <c r="T2019" s="30">
        <f>'Dashboard &amp; Optimisation'!$B$18*U2019</f>
        <v/>
      </c>
      <c r="U2019" s="34">
        <f>MIN(1, S2019/M2019)</f>
        <v/>
      </c>
      <c r="V2019" s="34">
        <f>N2019/(N2019+O2019)</f>
        <v/>
      </c>
      <c r="W2019" s="34">
        <f>U2019*V2019</f>
        <v/>
      </c>
      <c r="X2019" s="32">
        <f>T2019/N2019</f>
        <v/>
      </c>
      <c r="Y2019" s="35">
        <f>IF(W2019=MAXIFS(W$2:W$3601, A$2:A$3601, A2019, B$2:B$3601, B2019), "OPTIMAL", "")</f>
        <v/>
      </c>
    </row>
    <row r="2020" ht="20" customHeight="1">
      <c r="A2020" s="21" t="n">
        <v>-18</v>
      </c>
      <c r="B2020" s="21" t="n">
        <v>25</v>
      </c>
      <c r="C2020" s="22" t="n">
        <v>105</v>
      </c>
      <c r="D2020" s="22" t="n">
        <v>2</v>
      </c>
      <c r="E2020" s="23" t="n">
        <v>8</v>
      </c>
      <c r="F2020" s="22" t="n">
        <v>2</v>
      </c>
      <c r="G2020" s="23" t="inlineStr">
        <is>
          <t>Non</t>
        </is>
      </c>
      <c r="H2020" s="23" t="inlineStr">
        <is>
          <t>ON</t>
        </is>
      </c>
      <c r="I2020" s="24" t="n">
        <v>604.2334594602274</v>
      </c>
      <c r="J2020" s="24" t="n">
        <v>4012.68388558375</v>
      </c>
      <c r="K2020" s="24" t="n">
        <v>3342.592592592593</v>
      </c>
      <c r="L2020" s="24" t="n">
        <v>150</v>
      </c>
      <c r="M2020" s="24">
        <f>I2020+J2020+K2020+L2020</f>
        <v/>
      </c>
      <c r="N2020" s="24">
        <f>M2020*'Dashboard &amp; Optimisation'!$B$18/('Dashboard &amp; Optimisation'!$B$16/3.6)</f>
        <v/>
      </c>
      <c r="O2020" s="24" t="n">
        <v>858.1503911417592</v>
      </c>
      <c r="P2020" s="25" t="n">
        <v>0.05020883396238299</v>
      </c>
      <c r="Q2020" s="26" t="n">
        <v>16.72337164430963</v>
      </c>
      <c r="R2020" s="24" t="n">
        <v>4127.779051975403</v>
      </c>
      <c r="S2020" s="24">
        <f>R2020*IF(A2020=4, 2.0, 3.0)</f>
        <v/>
      </c>
      <c r="T2020" s="22">
        <f>'Dashboard &amp; Optimisation'!$B$18*U2020</f>
        <v/>
      </c>
      <c r="U2020" s="27">
        <f>MIN(1, S2020/M2020)</f>
        <v/>
      </c>
      <c r="V2020" s="27">
        <f>N2020/(N2020+O2020)</f>
        <v/>
      </c>
      <c r="W2020" s="27">
        <f>U2020*V2020</f>
        <v/>
      </c>
      <c r="X2020" s="25">
        <f>T2020/N2020</f>
        <v/>
      </c>
      <c r="Y2020" s="28">
        <f>IF(W2020=MAXIFS(W$2:W$3601, A$2:A$3601, A2020, B$2:B$3601, B2020), "OPTIMAL", "")</f>
        <v/>
      </c>
    </row>
    <row r="2021" ht="20" customHeight="1">
      <c r="A2021" s="29" t="n">
        <v>-18</v>
      </c>
      <c r="B2021" s="29" t="n">
        <v>25</v>
      </c>
      <c r="C2021" s="30" t="n">
        <v>105</v>
      </c>
      <c r="D2021" s="30" t="n">
        <v>2</v>
      </c>
      <c r="E2021" s="6" t="n">
        <v>8</v>
      </c>
      <c r="F2021" s="30" t="n">
        <v>2</v>
      </c>
      <c r="G2021" s="6" t="inlineStr">
        <is>
          <t>Non</t>
        </is>
      </c>
      <c r="H2021" s="6" t="inlineStr">
        <is>
          <t>OFF</t>
        </is>
      </c>
      <c r="I2021" s="31" t="n">
        <v>604.2334594602274</v>
      </c>
      <c r="J2021" s="31" t="n">
        <v>4012.68388558375</v>
      </c>
      <c r="K2021" s="31" t="n">
        <v>3342.592592592593</v>
      </c>
      <c r="L2021" s="31" t="n">
        <v>150</v>
      </c>
      <c r="M2021" s="31">
        <f>I2021+J2021+K2021+L2021</f>
        <v/>
      </c>
      <c r="N2021" s="31">
        <f>M2021*'Dashboard &amp; Optimisation'!$B$18/('Dashboard &amp; Optimisation'!$B$16/3.6)</f>
        <v/>
      </c>
      <c r="O2021" s="31" t="n">
        <v>858.1503911417592</v>
      </c>
      <c r="P2021" s="32" t="n">
        <v>0.2307600532565806</v>
      </c>
      <c r="Q2021" s="33" t="n">
        <v>16.72337164430963</v>
      </c>
      <c r="R2021" s="31" t="n">
        <v>898.1232675639691</v>
      </c>
      <c r="S2021" s="31">
        <f>R2021*IF(A2021=4, 2.0, 3.0)</f>
        <v/>
      </c>
      <c r="T2021" s="30">
        <f>'Dashboard &amp; Optimisation'!$B$18*U2021</f>
        <v/>
      </c>
      <c r="U2021" s="34">
        <f>MIN(1, S2021/M2021)</f>
        <v/>
      </c>
      <c r="V2021" s="34">
        <f>N2021/(N2021+O2021)</f>
        <v/>
      </c>
      <c r="W2021" s="34">
        <f>U2021*V2021</f>
        <v/>
      </c>
      <c r="X2021" s="32">
        <f>T2021/N2021</f>
        <v/>
      </c>
      <c r="Y2021" s="35">
        <f>IF(W2021=MAXIFS(W$2:W$3601, A$2:A$3601, A2021, B$2:B$3601, B2021), "OPTIMAL", "")</f>
        <v/>
      </c>
    </row>
    <row r="2022" ht="20" customHeight="1">
      <c r="A2022" s="21" t="n">
        <v>-18</v>
      </c>
      <c r="B2022" s="21" t="n">
        <v>25</v>
      </c>
      <c r="C2022" s="22" t="n">
        <v>105</v>
      </c>
      <c r="D2022" s="22" t="n">
        <v>3</v>
      </c>
      <c r="E2022" s="23" t="n">
        <v>0</v>
      </c>
      <c r="F2022" s="22" t="n">
        <v>0</v>
      </c>
      <c r="G2022" s="23" t="inlineStr">
        <is>
          <t>Oui</t>
        </is>
      </c>
      <c r="H2022" s="23" t="inlineStr">
        <is>
          <t>ON</t>
        </is>
      </c>
      <c r="I2022" s="24" t="n">
        <v>604.2334594602274</v>
      </c>
      <c r="J2022" s="24" t="n">
        <v>4012.68388558375</v>
      </c>
      <c r="K2022" s="24" t="n">
        <v>3342.592592592593</v>
      </c>
      <c r="L2022" s="24" t="n">
        <v>150</v>
      </c>
      <c r="M2022" s="24">
        <f>I2022+J2022+K2022+L2022</f>
        <v/>
      </c>
      <c r="N2022" s="24">
        <f>M2022*'Dashboard &amp; Optimisation'!$B$18/('Dashboard &amp; Optimisation'!$B$16/3.6)</f>
        <v/>
      </c>
      <c r="O2022" s="24" t="n">
        <v>514.7193084384201</v>
      </c>
      <c r="P2022" s="25" t="n">
        <v>0.4767526303329919</v>
      </c>
      <c r="Q2022" s="26" t="n">
        <v>0.2</v>
      </c>
      <c r="R2022" s="24" t="n">
        <v>415.95112084607</v>
      </c>
      <c r="S2022" s="24">
        <f>R2022*IF(A2022=4, 2.0, 3.0)</f>
        <v/>
      </c>
      <c r="T2022" s="22">
        <f>'Dashboard &amp; Optimisation'!$B$18*U2022</f>
        <v/>
      </c>
      <c r="U2022" s="27">
        <f>MIN(1, S2022/M2022)</f>
        <v/>
      </c>
      <c r="V2022" s="27">
        <f>N2022/(N2022+O2022)</f>
        <v/>
      </c>
      <c r="W2022" s="27">
        <f>U2022*V2022</f>
        <v/>
      </c>
      <c r="X2022" s="25">
        <f>T2022/N2022</f>
        <v/>
      </c>
      <c r="Y2022" s="28">
        <f>IF(W2022=MAXIFS(W$2:W$3601, A$2:A$3601, A2022, B$2:B$3601, B2022), "OPTIMAL", "")</f>
        <v/>
      </c>
    </row>
    <row r="2023" ht="20" customHeight="1">
      <c r="A2023" s="29" t="n">
        <v>-18</v>
      </c>
      <c r="B2023" s="29" t="n">
        <v>25</v>
      </c>
      <c r="C2023" s="30" t="n">
        <v>105</v>
      </c>
      <c r="D2023" s="30" t="n">
        <v>3</v>
      </c>
      <c r="E2023" s="6" t="n">
        <v>0</v>
      </c>
      <c r="F2023" s="30" t="n">
        <v>0</v>
      </c>
      <c r="G2023" s="6" t="inlineStr">
        <is>
          <t>Oui</t>
        </is>
      </c>
      <c r="H2023" s="6" t="inlineStr">
        <is>
          <t>OFF</t>
        </is>
      </c>
      <c r="I2023" s="31" t="n">
        <v>604.2334594602274</v>
      </c>
      <c r="J2023" s="31" t="n">
        <v>4012.68388558375</v>
      </c>
      <c r="K2023" s="31" t="n">
        <v>3342.592592592593</v>
      </c>
      <c r="L2023" s="31" t="n">
        <v>150</v>
      </c>
      <c r="M2023" s="31">
        <f>I2023+J2023+K2023+L2023</f>
        <v/>
      </c>
      <c r="N2023" s="31">
        <f>M2023*'Dashboard &amp; Optimisation'!$B$18/('Dashboard &amp; Optimisation'!$B$16/3.6)</f>
        <v/>
      </c>
      <c r="O2023" s="31" t="n">
        <v>514.7193084384201</v>
      </c>
      <c r="P2023" s="32" t="n">
        <v>0.7799049028889831</v>
      </c>
      <c r="Q2023" s="33" t="n">
        <v>0.2</v>
      </c>
      <c r="R2023" s="31" t="n">
        <v>254.2691938706125</v>
      </c>
      <c r="S2023" s="31">
        <f>R2023*IF(A2023=4, 2.0, 3.0)</f>
        <v/>
      </c>
      <c r="T2023" s="30">
        <f>'Dashboard &amp; Optimisation'!$B$18*U2023</f>
        <v/>
      </c>
      <c r="U2023" s="34">
        <f>MIN(1, S2023/M2023)</f>
        <v/>
      </c>
      <c r="V2023" s="34">
        <f>N2023/(N2023+O2023)</f>
        <v/>
      </c>
      <c r="W2023" s="34">
        <f>U2023*V2023</f>
        <v/>
      </c>
      <c r="X2023" s="32">
        <f>T2023/N2023</f>
        <v/>
      </c>
      <c r="Y2023" s="35">
        <f>IF(W2023=MAXIFS(W$2:W$3601, A$2:A$3601, A2023, B$2:B$3601, B2023), "OPTIMAL", "")</f>
        <v/>
      </c>
    </row>
    <row r="2024" ht="20" customHeight="1">
      <c r="A2024" s="21" t="n">
        <v>-18</v>
      </c>
      <c r="B2024" s="21" t="n">
        <v>25</v>
      </c>
      <c r="C2024" s="22" t="n">
        <v>105</v>
      </c>
      <c r="D2024" s="22" t="n">
        <v>3</v>
      </c>
      <c r="E2024" s="23" t="n">
        <v>0</v>
      </c>
      <c r="F2024" s="22" t="n">
        <v>0</v>
      </c>
      <c r="G2024" s="23" t="inlineStr">
        <is>
          <t>Non</t>
        </is>
      </c>
      <c r="H2024" s="23" t="inlineStr">
        <is>
          <t>ON</t>
        </is>
      </c>
      <c r="I2024" s="24" t="n">
        <v>604.2334594602274</v>
      </c>
      <c r="J2024" s="24" t="n">
        <v>4012.68388558375</v>
      </c>
      <c r="K2024" s="24" t="n">
        <v>3342.592592592593</v>
      </c>
      <c r="L2024" s="24" t="n">
        <v>150</v>
      </c>
      <c r="M2024" s="24">
        <f>I2024+J2024+K2024+L2024</f>
        <v/>
      </c>
      <c r="N2024" s="24">
        <f>M2024*'Dashboard &amp; Optimisation'!$B$18/('Dashboard &amp; Optimisation'!$B$16/3.6)</f>
        <v/>
      </c>
      <c r="O2024" s="24" t="n">
        <v>514.7193084384201</v>
      </c>
      <c r="P2024" s="25" t="n">
        <v>0.473721107607432</v>
      </c>
      <c r="Q2024" s="26" t="n">
        <v>0.2</v>
      </c>
      <c r="R2024" s="24" t="n">
        <v>418.6129513098541</v>
      </c>
      <c r="S2024" s="24">
        <f>R2024*IF(A2024=4, 2.0, 3.0)</f>
        <v/>
      </c>
      <c r="T2024" s="22">
        <f>'Dashboard &amp; Optimisation'!$B$18*U2024</f>
        <v/>
      </c>
      <c r="U2024" s="27">
        <f>MIN(1, S2024/M2024)</f>
        <v/>
      </c>
      <c r="V2024" s="27">
        <f>N2024/(N2024+O2024)</f>
        <v/>
      </c>
      <c r="W2024" s="27">
        <f>U2024*V2024</f>
        <v/>
      </c>
      <c r="X2024" s="25">
        <f>T2024/N2024</f>
        <v/>
      </c>
      <c r="Y2024" s="28">
        <f>IF(W2024=MAXIFS(W$2:W$3601, A$2:A$3601, A2024, B$2:B$3601, B2024), "OPTIMAL", "")</f>
        <v/>
      </c>
    </row>
    <row r="2025" ht="20" customHeight="1">
      <c r="A2025" s="29" t="n">
        <v>-18</v>
      </c>
      <c r="B2025" s="29" t="n">
        <v>25</v>
      </c>
      <c r="C2025" s="30" t="n">
        <v>105</v>
      </c>
      <c r="D2025" s="30" t="n">
        <v>3</v>
      </c>
      <c r="E2025" s="6" t="n">
        <v>0</v>
      </c>
      <c r="F2025" s="30" t="n">
        <v>0</v>
      </c>
      <c r="G2025" s="6" t="inlineStr">
        <is>
          <t>Non</t>
        </is>
      </c>
      <c r="H2025" s="6" t="inlineStr">
        <is>
          <t>OFF</t>
        </is>
      </c>
      <c r="I2025" s="31" t="n">
        <v>604.2334594602274</v>
      </c>
      <c r="J2025" s="31" t="n">
        <v>4012.68388558375</v>
      </c>
      <c r="K2025" s="31" t="n">
        <v>3342.592592592593</v>
      </c>
      <c r="L2025" s="31" t="n">
        <v>150</v>
      </c>
      <c r="M2025" s="31">
        <f>I2025+J2025+K2025+L2025</f>
        <v/>
      </c>
      <c r="N2025" s="31">
        <f>M2025*'Dashboard &amp; Optimisation'!$B$18/('Dashboard &amp; Optimisation'!$B$16/3.6)</f>
        <v/>
      </c>
      <c r="O2025" s="31" t="n">
        <v>514.7193084384201</v>
      </c>
      <c r="P2025" s="32" t="n">
        <v>0.7768733801634231</v>
      </c>
      <c r="Q2025" s="33" t="n">
        <v>0.2</v>
      </c>
      <c r="R2025" s="31" t="n">
        <v>255.2614055479729</v>
      </c>
      <c r="S2025" s="31">
        <f>R2025*IF(A2025=4, 2.0, 3.0)</f>
        <v/>
      </c>
      <c r="T2025" s="30">
        <f>'Dashboard &amp; Optimisation'!$B$18*U2025</f>
        <v/>
      </c>
      <c r="U2025" s="34">
        <f>MIN(1, S2025/M2025)</f>
        <v/>
      </c>
      <c r="V2025" s="34">
        <f>N2025/(N2025+O2025)</f>
        <v/>
      </c>
      <c r="W2025" s="34">
        <f>U2025*V2025</f>
        <v/>
      </c>
      <c r="X2025" s="32">
        <f>T2025/N2025</f>
        <v/>
      </c>
      <c r="Y2025" s="35">
        <f>IF(W2025=MAXIFS(W$2:W$3601, A$2:A$3601, A2025, B$2:B$3601, B2025), "OPTIMAL", "")</f>
        <v/>
      </c>
    </row>
    <row r="2026" ht="20" customHeight="1">
      <c r="A2026" s="21" t="n">
        <v>-18</v>
      </c>
      <c r="B2026" s="21" t="n">
        <v>25</v>
      </c>
      <c r="C2026" s="22" t="n">
        <v>105</v>
      </c>
      <c r="D2026" s="22" t="n">
        <v>3</v>
      </c>
      <c r="E2026" s="23" t="n">
        <v>4</v>
      </c>
      <c r="F2026" s="22" t="n">
        <v>1.5</v>
      </c>
      <c r="G2026" s="23" t="inlineStr">
        <is>
          <t>Oui</t>
        </is>
      </c>
      <c r="H2026" s="23" t="inlineStr">
        <is>
          <t>ON</t>
        </is>
      </c>
      <c r="I2026" s="24" t="n">
        <v>604.2334594602274</v>
      </c>
      <c r="J2026" s="24" t="n">
        <v>4012.68388558375</v>
      </c>
      <c r="K2026" s="24" t="n">
        <v>3342.592592592593</v>
      </c>
      <c r="L2026" s="24" t="n">
        <v>150</v>
      </c>
      <c r="M2026" s="24">
        <f>I2026+J2026+K2026+L2026</f>
        <v/>
      </c>
      <c r="N2026" s="24">
        <f>M2026*'Dashboard &amp; Optimisation'!$B$18/('Dashboard &amp; Optimisation'!$B$16/3.6)</f>
        <v/>
      </c>
      <c r="O2026" s="24" t="n">
        <v>712.1048698097918</v>
      </c>
      <c r="P2026" s="25" t="n">
        <v>0.07189461044958809</v>
      </c>
      <c r="Q2026" s="26" t="n">
        <v>6.521441424527548</v>
      </c>
      <c r="R2026" s="24" t="n">
        <v>2846.134481251373</v>
      </c>
      <c r="S2026" s="24">
        <f>R2026*IF(A2026=4, 2.0, 3.0)</f>
        <v/>
      </c>
      <c r="T2026" s="22">
        <f>'Dashboard &amp; Optimisation'!$B$18*U2026</f>
        <v/>
      </c>
      <c r="U2026" s="27">
        <f>MIN(1, S2026/M2026)</f>
        <v/>
      </c>
      <c r="V2026" s="27">
        <f>N2026/(N2026+O2026)</f>
        <v/>
      </c>
      <c r="W2026" s="27">
        <f>U2026*V2026</f>
        <v/>
      </c>
      <c r="X2026" s="25">
        <f>T2026/N2026</f>
        <v/>
      </c>
      <c r="Y2026" s="28">
        <f>IF(W2026=MAXIFS(W$2:W$3601, A$2:A$3601, A2026, B$2:B$3601, B2026), "OPTIMAL", "")</f>
        <v/>
      </c>
    </row>
    <row r="2027" ht="20" customHeight="1">
      <c r="A2027" s="29" t="n">
        <v>-18</v>
      </c>
      <c r="B2027" s="29" t="n">
        <v>25</v>
      </c>
      <c r="C2027" s="30" t="n">
        <v>105</v>
      </c>
      <c r="D2027" s="30" t="n">
        <v>3</v>
      </c>
      <c r="E2027" s="6" t="n">
        <v>4</v>
      </c>
      <c r="F2027" s="30" t="n">
        <v>1.5</v>
      </c>
      <c r="G2027" s="6" t="inlineStr">
        <is>
          <t>Oui</t>
        </is>
      </c>
      <c r="H2027" s="6" t="inlineStr">
        <is>
          <t>OFF</t>
        </is>
      </c>
      <c r="I2027" s="31" t="n">
        <v>604.2334594602274</v>
      </c>
      <c r="J2027" s="31" t="n">
        <v>4012.68388558375</v>
      </c>
      <c r="K2027" s="31" t="n">
        <v>3342.592592592593</v>
      </c>
      <c r="L2027" s="31" t="n">
        <v>150</v>
      </c>
      <c r="M2027" s="31">
        <f>I2027+J2027+K2027+L2027</f>
        <v/>
      </c>
      <c r="N2027" s="31">
        <f>M2027*'Dashboard &amp; Optimisation'!$B$18/('Dashboard &amp; Optimisation'!$B$16/3.6)</f>
        <v/>
      </c>
      <c r="O2027" s="31" t="n">
        <v>712.1048698097918</v>
      </c>
      <c r="P2027" s="32" t="n">
        <v>0.297191423626796</v>
      </c>
      <c r="Q2027" s="33" t="n">
        <v>6.521441424527548</v>
      </c>
      <c r="R2027" s="31" t="n">
        <v>688.5182866974844</v>
      </c>
      <c r="S2027" s="31">
        <f>R2027*IF(A2027=4, 2.0, 3.0)</f>
        <v/>
      </c>
      <c r="T2027" s="30">
        <f>'Dashboard &amp; Optimisation'!$B$18*U2027</f>
        <v/>
      </c>
      <c r="U2027" s="34">
        <f>MIN(1, S2027/M2027)</f>
        <v/>
      </c>
      <c r="V2027" s="34">
        <f>N2027/(N2027+O2027)</f>
        <v/>
      </c>
      <c r="W2027" s="34">
        <f>U2027*V2027</f>
        <v/>
      </c>
      <c r="X2027" s="32">
        <f>T2027/N2027</f>
        <v/>
      </c>
      <c r="Y2027" s="35">
        <f>IF(W2027=MAXIFS(W$2:W$3601, A$2:A$3601, A2027, B$2:B$3601, B2027), "OPTIMAL", "")</f>
        <v/>
      </c>
    </row>
    <row r="2028" ht="20" customHeight="1">
      <c r="A2028" s="21" t="n">
        <v>-18</v>
      </c>
      <c r="B2028" s="21" t="n">
        <v>25</v>
      </c>
      <c r="C2028" s="22" t="n">
        <v>105</v>
      </c>
      <c r="D2028" s="22" t="n">
        <v>3</v>
      </c>
      <c r="E2028" s="23" t="n">
        <v>4</v>
      </c>
      <c r="F2028" s="22" t="n">
        <v>1.5</v>
      </c>
      <c r="G2028" s="23" t="inlineStr">
        <is>
          <t>Non</t>
        </is>
      </c>
      <c r="H2028" s="23" t="inlineStr">
        <is>
          <t>ON</t>
        </is>
      </c>
      <c r="I2028" s="24" t="n">
        <v>604.2334594602274</v>
      </c>
      <c r="J2028" s="24" t="n">
        <v>4012.68388558375</v>
      </c>
      <c r="K2028" s="24" t="n">
        <v>3342.592592592593</v>
      </c>
      <c r="L2028" s="24" t="n">
        <v>150</v>
      </c>
      <c r="M2028" s="24">
        <f>I2028+J2028+K2028+L2028</f>
        <v/>
      </c>
      <c r="N2028" s="24">
        <f>M2028*'Dashboard &amp; Optimisation'!$B$18/('Dashboard &amp; Optimisation'!$B$16/3.6)</f>
        <v/>
      </c>
      <c r="O2028" s="24" t="n">
        <v>712.1048698097918</v>
      </c>
      <c r="P2028" s="25" t="n">
        <v>0.06886308772402817</v>
      </c>
      <c r="Q2028" s="26" t="n">
        <v>6.521441424527548</v>
      </c>
      <c r="R2028" s="24" t="n">
        <v>2971.428330904046</v>
      </c>
      <c r="S2028" s="24">
        <f>R2028*IF(A2028=4, 2.0, 3.0)</f>
        <v/>
      </c>
      <c r="T2028" s="22">
        <f>'Dashboard &amp; Optimisation'!$B$18*U2028</f>
        <v/>
      </c>
      <c r="U2028" s="27">
        <f>MIN(1, S2028/M2028)</f>
        <v/>
      </c>
      <c r="V2028" s="27">
        <f>N2028/(N2028+O2028)</f>
        <v/>
      </c>
      <c r="W2028" s="27">
        <f>U2028*V2028</f>
        <v/>
      </c>
      <c r="X2028" s="25">
        <f>T2028/N2028</f>
        <v/>
      </c>
      <c r="Y2028" s="28">
        <f>IF(W2028=MAXIFS(W$2:W$3601, A$2:A$3601, A2028, B$2:B$3601, B2028), "OPTIMAL", "")</f>
        <v/>
      </c>
    </row>
    <row r="2029" ht="20" customHeight="1">
      <c r="A2029" s="29" t="n">
        <v>-18</v>
      </c>
      <c r="B2029" s="29" t="n">
        <v>25</v>
      </c>
      <c r="C2029" s="30" t="n">
        <v>105</v>
      </c>
      <c r="D2029" s="30" t="n">
        <v>3</v>
      </c>
      <c r="E2029" s="6" t="n">
        <v>4</v>
      </c>
      <c r="F2029" s="30" t="n">
        <v>1.5</v>
      </c>
      <c r="G2029" s="6" t="inlineStr">
        <is>
          <t>Non</t>
        </is>
      </c>
      <c r="H2029" s="6" t="inlineStr">
        <is>
          <t>OFF</t>
        </is>
      </c>
      <c r="I2029" s="31" t="n">
        <v>604.2334594602274</v>
      </c>
      <c r="J2029" s="31" t="n">
        <v>4012.68388558375</v>
      </c>
      <c r="K2029" s="31" t="n">
        <v>3342.592592592593</v>
      </c>
      <c r="L2029" s="31" t="n">
        <v>150</v>
      </c>
      <c r="M2029" s="31">
        <f>I2029+J2029+K2029+L2029</f>
        <v/>
      </c>
      <c r="N2029" s="31">
        <f>M2029*'Dashboard &amp; Optimisation'!$B$18/('Dashboard &amp; Optimisation'!$B$16/3.6)</f>
        <v/>
      </c>
      <c r="O2029" s="31" t="n">
        <v>712.1048698097918</v>
      </c>
      <c r="P2029" s="32" t="n">
        <v>0.2941599009012361</v>
      </c>
      <c r="Q2029" s="33" t="n">
        <v>6.521441424527548</v>
      </c>
      <c r="R2029" s="31" t="n">
        <v>695.613947345629</v>
      </c>
      <c r="S2029" s="31">
        <f>R2029*IF(A2029=4, 2.0, 3.0)</f>
        <v/>
      </c>
      <c r="T2029" s="30">
        <f>'Dashboard &amp; Optimisation'!$B$18*U2029</f>
        <v/>
      </c>
      <c r="U2029" s="34">
        <f>MIN(1, S2029/M2029)</f>
        <v/>
      </c>
      <c r="V2029" s="34">
        <f>N2029/(N2029+O2029)</f>
        <v/>
      </c>
      <c r="W2029" s="34">
        <f>U2029*V2029</f>
        <v/>
      </c>
      <c r="X2029" s="32">
        <f>T2029/N2029</f>
        <v/>
      </c>
      <c r="Y2029" s="35">
        <f>IF(W2029=MAXIFS(W$2:W$3601, A$2:A$3601, A2029, B$2:B$3601, B2029), "OPTIMAL", "")</f>
        <v/>
      </c>
    </row>
    <row r="2030" ht="20" customHeight="1">
      <c r="A2030" s="21" t="n">
        <v>-18</v>
      </c>
      <c r="B2030" s="21" t="n">
        <v>25</v>
      </c>
      <c r="C2030" s="22" t="n">
        <v>105</v>
      </c>
      <c r="D2030" s="22" t="n">
        <v>3</v>
      </c>
      <c r="E2030" s="23" t="n">
        <v>4</v>
      </c>
      <c r="F2030" s="22" t="n">
        <v>2</v>
      </c>
      <c r="G2030" s="23" t="inlineStr">
        <is>
          <t>Oui</t>
        </is>
      </c>
      <c r="H2030" s="23" t="inlineStr">
        <is>
          <t>ON</t>
        </is>
      </c>
      <c r="I2030" s="24" t="n">
        <v>604.2334594602274</v>
      </c>
      <c r="J2030" s="24" t="n">
        <v>4012.68388558375</v>
      </c>
      <c r="K2030" s="24" t="n">
        <v>3342.592592592593</v>
      </c>
      <c r="L2030" s="24" t="n">
        <v>150</v>
      </c>
      <c r="M2030" s="24">
        <f>I2030+J2030+K2030+L2030</f>
        <v/>
      </c>
      <c r="N2030" s="24">
        <f>M2030*'Dashboard &amp; Optimisation'!$B$18/('Dashboard &amp; Optimisation'!$B$16/3.6)</f>
        <v/>
      </c>
      <c r="O2030" s="24" t="n">
        <v>780.7240961246349</v>
      </c>
      <c r="P2030" s="25" t="n">
        <v>0.06909966512774487</v>
      </c>
      <c r="Q2030" s="26" t="n">
        <v>8.628588566036731</v>
      </c>
      <c r="R2030" s="24" t="n">
        <v>2993.030515168491</v>
      </c>
      <c r="S2030" s="24">
        <f>R2030*IF(A2030=4, 2.0, 3.0)</f>
        <v/>
      </c>
      <c r="T2030" s="22">
        <f>'Dashboard &amp; Optimisation'!$B$18*U2030</f>
        <v/>
      </c>
      <c r="U2030" s="27">
        <f>MIN(1, S2030/M2030)</f>
        <v/>
      </c>
      <c r="V2030" s="27">
        <f>N2030/(N2030+O2030)</f>
        <v/>
      </c>
      <c r="W2030" s="27">
        <f>U2030*V2030</f>
        <v/>
      </c>
      <c r="X2030" s="25">
        <f>T2030/N2030</f>
        <v/>
      </c>
      <c r="Y2030" s="28">
        <f>IF(W2030=MAXIFS(W$2:W$3601, A$2:A$3601, A2030, B$2:B$3601, B2030), "OPTIMAL", "")</f>
        <v/>
      </c>
    </row>
    <row r="2031" ht="20" customHeight="1">
      <c r="A2031" s="29" t="n">
        <v>-18</v>
      </c>
      <c r="B2031" s="29" t="n">
        <v>25</v>
      </c>
      <c r="C2031" s="30" t="n">
        <v>105</v>
      </c>
      <c r="D2031" s="30" t="n">
        <v>3</v>
      </c>
      <c r="E2031" s="6" t="n">
        <v>4</v>
      </c>
      <c r="F2031" s="30" t="n">
        <v>2</v>
      </c>
      <c r="G2031" s="6" t="inlineStr">
        <is>
          <t>Oui</t>
        </is>
      </c>
      <c r="H2031" s="6" t="inlineStr">
        <is>
          <t>OFF</t>
        </is>
      </c>
      <c r="I2031" s="31" t="n">
        <v>604.2334594602274</v>
      </c>
      <c r="J2031" s="31" t="n">
        <v>4012.68388558375</v>
      </c>
      <c r="K2031" s="31" t="n">
        <v>3342.592592592593</v>
      </c>
      <c r="L2031" s="31" t="n">
        <v>150</v>
      </c>
      <c r="M2031" s="31">
        <f>I2031+J2031+K2031+L2031</f>
        <v/>
      </c>
      <c r="N2031" s="31">
        <f>M2031*'Dashboard &amp; Optimisation'!$B$18/('Dashboard &amp; Optimisation'!$B$16/3.6)</f>
        <v/>
      </c>
      <c r="O2031" s="31" t="n">
        <v>780.7240961246349</v>
      </c>
      <c r="P2031" s="32" t="n">
        <v>0.2954143944438517</v>
      </c>
      <c r="Q2031" s="33" t="n">
        <v>8.628588566036731</v>
      </c>
      <c r="R2031" s="31" t="n">
        <v>700.092514803213</v>
      </c>
      <c r="S2031" s="31">
        <f>R2031*IF(A2031=4, 2.0, 3.0)</f>
        <v/>
      </c>
      <c r="T2031" s="30">
        <f>'Dashboard &amp; Optimisation'!$B$18*U2031</f>
        <v/>
      </c>
      <c r="U2031" s="34">
        <f>MIN(1, S2031/M2031)</f>
        <v/>
      </c>
      <c r="V2031" s="34">
        <f>N2031/(N2031+O2031)</f>
        <v/>
      </c>
      <c r="W2031" s="34">
        <f>U2031*V2031</f>
        <v/>
      </c>
      <c r="X2031" s="32">
        <f>T2031/N2031</f>
        <v/>
      </c>
      <c r="Y2031" s="35">
        <f>IF(W2031=MAXIFS(W$2:W$3601, A$2:A$3601, A2031, B$2:B$3601, B2031), "OPTIMAL", "")</f>
        <v/>
      </c>
    </row>
    <row r="2032" ht="20" customHeight="1">
      <c r="A2032" s="21" t="n">
        <v>-18</v>
      </c>
      <c r="B2032" s="21" t="n">
        <v>25</v>
      </c>
      <c r="C2032" s="22" t="n">
        <v>105</v>
      </c>
      <c r="D2032" s="22" t="n">
        <v>3</v>
      </c>
      <c r="E2032" s="23" t="n">
        <v>4</v>
      </c>
      <c r="F2032" s="22" t="n">
        <v>2</v>
      </c>
      <c r="G2032" s="23" t="inlineStr">
        <is>
          <t>Non</t>
        </is>
      </c>
      <c r="H2032" s="23" t="inlineStr">
        <is>
          <t>ON</t>
        </is>
      </c>
      <c r="I2032" s="24" t="n">
        <v>604.2334594602274</v>
      </c>
      <c r="J2032" s="24" t="n">
        <v>4012.68388558375</v>
      </c>
      <c r="K2032" s="24" t="n">
        <v>3342.592592592593</v>
      </c>
      <c r="L2032" s="24" t="n">
        <v>150</v>
      </c>
      <c r="M2032" s="24">
        <f>I2032+J2032+K2032+L2032</f>
        <v/>
      </c>
      <c r="N2032" s="24">
        <f>M2032*'Dashboard &amp; Optimisation'!$B$18/('Dashboard &amp; Optimisation'!$B$16/3.6)</f>
        <v/>
      </c>
      <c r="O2032" s="24" t="n">
        <v>780.7240961246349</v>
      </c>
      <c r="P2032" s="25" t="n">
        <v>0.06606814240218496</v>
      </c>
      <c r="Q2032" s="26" t="n">
        <v>8.628588566036731</v>
      </c>
      <c r="R2032" s="24" t="n">
        <v>3130.365086644615</v>
      </c>
      <c r="S2032" s="24">
        <f>R2032*IF(A2032=4, 2.0, 3.0)</f>
        <v/>
      </c>
      <c r="T2032" s="22">
        <f>'Dashboard &amp; Optimisation'!$B$18*U2032</f>
        <v/>
      </c>
      <c r="U2032" s="27">
        <f>MIN(1, S2032/M2032)</f>
        <v/>
      </c>
      <c r="V2032" s="27">
        <f>N2032/(N2032+O2032)</f>
        <v/>
      </c>
      <c r="W2032" s="27">
        <f>U2032*V2032</f>
        <v/>
      </c>
      <c r="X2032" s="25">
        <f>T2032/N2032</f>
        <v/>
      </c>
      <c r="Y2032" s="28">
        <f>IF(W2032=MAXIFS(W$2:W$3601, A$2:A$3601, A2032, B$2:B$3601, B2032), "OPTIMAL", "")</f>
        <v/>
      </c>
    </row>
    <row r="2033" ht="20" customHeight="1">
      <c r="A2033" s="29" t="n">
        <v>-18</v>
      </c>
      <c r="B2033" s="29" t="n">
        <v>25</v>
      </c>
      <c r="C2033" s="30" t="n">
        <v>105</v>
      </c>
      <c r="D2033" s="30" t="n">
        <v>3</v>
      </c>
      <c r="E2033" s="6" t="n">
        <v>4</v>
      </c>
      <c r="F2033" s="30" t="n">
        <v>2</v>
      </c>
      <c r="G2033" s="6" t="inlineStr">
        <is>
          <t>Non</t>
        </is>
      </c>
      <c r="H2033" s="6" t="inlineStr">
        <is>
          <t>OFF</t>
        </is>
      </c>
      <c r="I2033" s="31" t="n">
        <v>604.2334594602274</v>
      </c>
      <c r="J2033" s="31" t="n">
        <v>4012.68388558375</v>
      </c>
      <c r="K2033" s="31" t="n">
        <v>3342.592592592593</v>
      </c>
      <c r="L2033" s="31" t="n">
        <v>150</v>
      </c>
      <c r="M2033" s="31">
        <f>I2033+J2033+K2033+L2033</f>
        <v/>
      </c>
      <c r="N2033" s="31">
        <f>M2033*'Dashboard &amp; Optimisation'!$B$18/('Dashboard &amp; Optimisation'!$B$16/3.6)</f>
        <v/>
      </c>
      <c r="O2033" s="31" t="n">
        <v>780.7240961246349</v>
      </c>
      <c r="P2033" s="32" t="n">
        <v>0.2923828717182918</v>
      </c>
      <c r="Q2033" s="33" t="n">
        <v>8.628588566036731</v>
      </c>
      <c r="R2033" s="31" t="n">
        <v>707.3513065243135</v>
      </c>
      <c r="S2033" s="31">
        <f>R2033*IF(A2033=4, 2.0, 3.0)</f>
        <v/>
      </c>
      <c r="T2033" s="30">
        <f>'Dashboard &amp; Optimisation'!$B$18*U2033</f>
        <v/>
      </c>
      <c r="U2033" s="34">
        <f>MIN(1, S2033/M2033)</f>
        <v/>
      </c>
      <c r="V2033" s="34">
        <f>N2033/(N2033+O2033)</f>
        <v/>
      </c>
      <c r="W2033" s="34">
        <f>U2033*V2033</f>
        <v/>
      </c>
      <c r="X2033" s="32">
        <f>T2033/N2033</f>
        <v/>
      </c>
      <c r="Y2033" s="35">
        <f>IF(W2033=MAXIFS(W$2:W$3601, A$2:A$3601, A2033, B$2:B$3601, B2033), "OPTIMAL", "")</f>
        <v/>
      </c>
    </row>
    <row r="2034" ht="20" customHeight="1">
      <c r="A2034" s="21" t="n">
        <v>-18</v>
      </c>
      <c r="B2034" s="21" t="n">
        <v>25</v>
      </c>
      <c r="C2034" s="22" t="n">
        <v>105</v>
      </c>
      <c r="D2034" s="22" t="n">
        <v>3</v>
      </c>
      <c r="E2034" s="23" t="n">
        <v>8</v>
      </c>
      <c r="F2034" s="22" t="n">
        <v>1.5</v>
      </c>
      <c r="G2034" s="23" t="inlineStr">
        <is>
          <t>Oui</t>
        </is>
      </c>
      <c r="H2034" s="23" t="inlineStr">
        <is>
          <t>ON</t>
        </is>
      </c>
      <c r="I2034" s="24" t="n">
        <v>604.2334594602274</v>
      </c>
      <c r="J2034" s="24" t="n">
        <v>4012.68388558375</v>
      </c>
      <c r="K2034" s="24" t="n">
        <v>3342.592592592593</v>
      </c>
      <c r="L2034" s="24" t="n">
        <v>150</v>
      </c>
      <c r="M2034" s="24">
        <f>I2034+J2034+K2034+L2034</f>
        <v/>
      </c>
      <c r="N2034" s="24">
        <f>M2034*'Dashboard &amp; Optimisation'!$B$18/('Dashboard &amp; Optimisation'!$B$16/3.6)</f>
        <v/>
      </c>
      <c r="O2034" s="24" t="n">
        <v>922.4773169416992</v>
      </c>
      <c r="P2034" s="25" t="n">
        <v>0.05445758169649494</v>
      </c>
      <c r="Q2034" s="26" t="n">
        <v>12.84288284905509</v>
      </c>
      <c r="R2034" s="24" t="n">
        <v>3881.061482746959</v>
      </c>
      <c r="S2034" s="24">
        <f>R2034*IF(A2034=4, 2.0, 3.0)</f>
        <v/>
      </c>
      <c r="T2034" s="22">
        <f>'Dashboard &amp; Optimisation'!$B$18*U2034</f>
        <v/>
      </c>
      <c r="U2034" s="27">
        <f>MIN(1, S2034/M2034)</f>
        <v/>
      </c>
      <c r="V2034" s="27">
        <f>N2034/(N2034+O2034)</f>
        <v/>
      </c>
      <c r="W2034" s="27">
        <f>U2034*V2034</f>
        <v/>
      </c>
      <c r="X2034" s="25">
        <f>T2034/N2034</f>
        <v/>
      </c>
      <c r="Y2034" s="28">
        <f>IF(W2034=MAXIFS(W$2:W$3601, A$2:A$3601, A2034, B$2:B$3601, B2034), "OPTIMAL", "")</f>
        <v/>
      </c>
    </row>
    <row r="2035" ht="20" customHeight="1">
      <c r="A2035" s="29" t="n">
        <v>-18</v>
      </c>
      <c r="B2035" s="29" t="n">
        <v>25</v>
      </c>
      <c r="C2035" s="30" t="n">
        <v>105</v>
      </c>
      <c r="D2035" s="30" t="n">
        <v>3</v>
      </c>
      <c r="E2035" s="6" t="n">
        <v>8</v>
      </c>
      <c r="F2035" s="30" t="n">
        <v>1.5</v>
      </c>
      <c r="G2035" s="6" t="inlineStr">
        <is>
          <t>Oui</t>
        </is>
      </c>
      <c r="H2035" s="6" t="inlineStr">
        <is>
          <t>OFF</t>
        </is>
      </c>
      <c r="I2035" s="31" t="n">
        <v>604.2334594602274</v>
      </c>
      <c r="J2035" s="31" t="n">
        <v>4012.68388558375</v>
      </c>
      <c r="K2035" s="31" t="n">
        <v>3342.592592592593</v>
      </c>
      <c r="L2035" s="31" t="n">
        <v>150</v>
      </c>
      <c r="M2035" s="31">
        <f>I2035+J2035+K2035+L2035</f>
        <v/>
      </c>
      <c r="N2035" s="31">
        <f>M2035*'Dashboard &amp; Optimisation'!$B$18/('Dashboard &amp; Optimisation'!$B$16/3.6)</f>
        <v/>
      </c>
      <c r="O2035" s="31" t="n">
        <v>922.4773169416992</v>
      </c>
      <c r="P2035" s="32" t="n">
        <v>0.233716140989121</v>
      </c>
      <c r="Q2035" s="33" t="n">
        <v>12.84288284905509</v>
      </c>
      <c r="R2035" s="31" t="n">
        <v>904.3159016374926</v>
      </c>
      <c r="S2035" s="31">
        <f>R2035*IF(A2035=4, 2.0, 3.0)</f>
        <v/>
      </c>
      <c r="T2035" s="30">
        <f>'Dashboard &amp; Optimisation'!$B$18*U2035</f>
        <v/>
      </c>
      <c r="U2035" s="34">
        <f>MIN(1, S2035/M2035)</f>
        <v/>
      </c>
      <c r="V2035" s="34">
        <f>N2035/(N2035+O2035)</f>
        <v/>
      </c>
      <c r="W2035" s="34">
        <f>U2035*V2035</f>
        <v/>
      </c>
      <c r="X2035" s="32">
        <f>T2035/N2035</f>
        <v/>
      </c>
      <c r="Y2035" s="35">
        <f>IF(W2035=MAXIFS(W$2:W$3601, A$2:A$3601, A2035, B$2:B$3601, B2035), "OPTIMAL", "")</f>
        <v/>
      </c>
    </row>
    <row r="2036" ht="20" customHeight="1">
      <c r="A2036" s="21" t="n">
        <v>-18</v>
      </c>
      <c r="B2036" s="21" t="n">
        <v>25</v>
      </c>
      <c r="C2036" s="22" t="n">
        <v>105</v>
      </c>
      <c r="D2036" s="22" t="n">
        <v>3</v>
      </c>
      <c r="E2036" s="23" t="n">
        <v>8</v>
      </c>
      <c r="F2036" s="22" t="n">
        <v>1.5</v>
      </c>
      <c r="G2036" s="23" t="inlineStr">
        <is>
          <t>Non</t>
        </is>
      </c>
      <c r="H2036" s="23" t="inlineStr">
        <is>
          <t>ON</t>
        </is>
      </c>
      <c r="I2036" s="24" t="n">
        <v>604.2334594602274</v>
      </c>
      <c r="J2036" s="24" t="n">
        <v>4012.68388558375</v>
      </c>
      <c r="K2036" s="24" t="n">
        <v>3342.592592592593</v>
      </c>
      <c r="L2036" s="24" t="n">
        <v>150</v>
      </c>
      <c r="M2036" s="24">
        <f>I2036+J2036+K2036+L2036</f>
        <v/>
      </c>
      <c r="N2036" s="24">
        <f>M2036*'Dashboard &amp; Optimisation'!$B$18/('Dashboard &amp; Optimisation'!$B$16/3.6)</f>
        <v/>
      </c>
      <c r="O2036" s="24" t="n">
        <v>922.4773169416992</v>
      </c>
      <c r="P2036" s="25" t="n">
        <v>0.05142605897093502</v>
      </c>
      <c r="Q2036" s="26" t="n">
        <v>12.84288284905509</v>
      </c>
      <c r="R2036" s="24" t="n">
        <v>4109.846777978163</v>
      </c>
      <c r="S2036" s="24">
        <f>R2036*IF(A2036=4, 2.0, 3.0)</f>
        <v/>
      </c>
      <c r="T2036" s="22">
        <f>'Dashboard &amp; Optimisation'!$B$18*U2036</f>
        <v/>
      </c>
      <c r="U2036" s="27">
        <f>MIN(1, S2036/M2036)</f>
        <v/>
      </c>
      <c r="V2036" s="27">
        <f>N2036/(N2036+O2036)</f>
        <v/>
      </c>
      <c r="W2036" s="27">
        <f>U2036*V2036</f>
        <v/>
      </c>
      <c r="X2036" s="25">
        <f>T2036/N2036</f>
        <v/>
      </c>
      <c r="Y2036" s="28">
        <f>IF(W2036=MAXIFS(W$2:W$3601, A$2:A$3601, A2036, B$2:B$3601, B2036), "OPTIMAL", "")</f>
        <v/>
      </c>
    </row>
    <row r="2037" ht="20" customHeight="1">
      <c r="A2037" s="29" t="n">
        <v>-18</v>
      </c>
      <c r="B2037" s="29" t="n">
        <v>25</v>
      </c>
      <c r="C2037" s="30" t="n">
        <v>105</v>
      </c>
      <c r="D2037" s="30" t="n">
        <v>3</v>
      </c>
      <c r="E2037" s="6" t="n">
        <v>8</v>
      </c>
      <c r="F2037" s="30" t="n">
        <v>1.5</v>
      </c>
      <c r="G2037" s="6" t="inlineStr">
        <is>
          <t>Non</t>
        </is>
      </c>
      <c r="H2037" s="6" t="inlineStr">
        <is>
          <t>OFF</t>
        </is>
      </c>
      <c r="I2037" s="31" t="n">
        <v>604.2334594602274</v>
      </c>
      <c r="J2037" s="31" t="n">
        <v>4012.68388558375</v>
      </c>
      <c r="K2037" s="31" t="n">
        <v>3342.592592592593</v>
      </c>
      <c r="L2037" s="31" t="n">
        <v>150</v>
      </c>
      <c r="M2037" s="31">
        <f>I2037+J2037+K2037+L2037</f>
        <v/>
      </c>
      <c r="N2037" s="31">
        <f>M2037*'Dashboard &amp; Optimisation'!$B$18/('Dashboard &amp; Optimisation'!$B$16/3.6)</f>
        <v/>
      </c>
      <c r="O2037" s="31" t="n">
        <v>922.4773169416992</v>
      </c>
      <c r="P2037" s="32" t="n">
        <v>0.2306846182635611</v>
      </c>
      <c r="Q2037" s="33" t="n">
        <v>12.84288284905509</v>
      </c>
      <c r="R2037" s="31" t="n">
        <v>916.1998938496092</v>
      </c>
      <c r="S2037" s="31">
        <f>R2037*IF(A2037=4, 2.0, 3.0)</f>
        <v/>
      </c>
      <c r="T2037" s="30">
        <f>'Dashboard &amp; Optimisation'!$B$18*U2037</f>
        <v/>
      </c>
      <c r="U2037" s="34">
        <f>MIN(1, S2037/M2037)</f>
        <v/>
      </c>
      <c r="V2037" s="34">
        <f>N2037/(N2037+O2037)</f>
        <v/>
      </c>
      <c r="W2037" s="34">
        <f>U2037*V2037</f>
        <v/>
      </c>
      <c r="X2037" s="32">
        <f>T2037/N2037</f>
        <v/>
      </c>
      <c r="Y2037" s="35">
        <f>IF(W2037=MAXIFS(W$2:W$3601, A$2:A$3601, A2037, B$2:B$3601, B2037), "OPTIMAL", "")</f>
        <v/>
      </c>
    </row>
    <row r="2038" ht="20" customHeight="1">
      <c r="A2038" s="21" t="n">
        <v>-18</v>
      </c>
      <c r="B2038" s="21" t="n">
        <v>25</v>
      </c>
      <c r="C2038" s="22" t="n">
        <v>105</v>
      </c>
      <c r="D2038" s="22" t="n">
        <v>3</v>
      </c>
      <c r="E2038" s="23" t="n">
        <v>8</v>
      </c>
      <c r="F2038" s="22" t="n">
        <v>2</v>
      </c>
      <c r="G2038" s="23" t="inlineStr">
        <is>
          <t>Oui</t>
        </is>
      </c>
      <c r="H2038" s="23" t="inlineStr">
        <is>
          <t>ON</t>
        </is>
      </c>
      <c r="I2038" s="24" t="n">
        <v>604.2334594602274</v>
      </c>
      <c r="J2038" s="24" t="n">
        <v>4012.68388558375</v>
      </c>
      <c r="K2038" s="24" t="n">
        <v>3342.592592592593</v>
      </c>
      <c r="L2038" s="24" t="n">
        <v>150</v>
      </c>
      <c r="M2038" s="24">
        <f>I2038+J2038+K2038+L2038</f>
        <v/>
      </c>
      <c r="N2038" s="24">
        <f>M2038*'Dashboard &amp; Optimisation'!$B$18/('Dashboard &amp; Optimisation'!$B$16/3.6)</f>
        <v/>
      </c>
      <c r="O2038" s="24" t="n">
        <v>1070.587681691933</v>
      </c>
      <c r="P2038" s="25" t="n">
        <v>0.05316276245002891</v>
      </c>
      <c r="Q2038" s="26" t="n">
        <v>17.05717713207346</v>
      </c>
      <c r="R2038" s="24" t="n">
        <v>4064.733377457913</v>
      </c>
      <c r="S2038" s="24">
        <f>R2038*IF(A2038=4, 2.0, 3.0)</f>
        <v/>
      </c>
      <c r="T2038" s="22">
        <f>'Dashboard &amp; Optimisation'!$B$18*U2038</f>
        <v/>
      </c>
      <c r="U2038" s="27">
        <f>MIN(1, S2038/M2038)</f>
        <v/>
      </c>
      <c r="V2038" s="27">
        <f>N2038/(N2038+O2038)</f>
        <v/>
      </c>
      <c r="W2038" s="27">
        <f>U2038*V2038</f>
        <v/>
      </c>
      <c r="X2038" s="25">
        <f>T2038/N2038</f>
        <v/>
      </c>
      <c r="Y2038" s="28">
        <f>IF(W2038=MAXIFS(W$2:W$3601, A$2:A$3601, A2038, B$2:B$3601, B2038), "OPTIMAL", "")</f>
        <v/>
      </c>
    </row>
    <row r="2039" ht="20" customHeight="1">
      <c r="A2039" s="29" t="n">
        <v>-18</v>
      </c>
      <c r="B2039" s="29" t="n">
        <v>25</v>
      </c>
      <c r="C2039" s="30" t="n">
        <v>105</v>
      </c>
      <c r="D2039" s="30" t="n">
        <v>3</v>
      </c>
      <c r="E2039" s="6" t="n">
        <v>8</v>
      </c>
      <c r="F2039" s="30" t="n">
        <v>2</v>
      </c>
      <c r="G2039" s="6" t="inlineStr">
        <is>
          <t>Oui</t>
        </is>
      </c>
      <c r="H2039" s="6" t="inlineStr">
        <is>
          <t>OFF</t>
        </is>
      </c>
      <c r="I2039" s="31" t="n">
        <v>604.2334594602274</v>
      </c>
      <c r="J2039" s="31" t="n">
        <v>4012.68388558375</v>
      </c>
      <c r="K2039" s="31" t="n">
        <v>3342.592592592593</v>
      </c>
      <c r="L2039" s="31" t="n">
        <v>150</v>
      </c>
      <c r="M2039" s="31">
        <f>I2039+J2039+K2039+L2039</f>
        <v/>
      </c>
      <c r="N2039" s="31">
        <f>M2039*'Dashboard &amp; Optimisation'!$B$18/('Dashboard &amp; Optimisation'!$B$16/3.6)</f>
        <v/>
      </c>
      <c r="O2039" s="31" t="n">
        <v>1070.587681691933</v>
      </c>
      <c r="P2039" s="32" t="n">
        <v>0.2337139817442265</v>
      </c>
      <c r="Q2039" s="33" t="n">
        <v>17.05717713207346</v>
      </c>
      <c r="R2039" s="31" t="n">
        <v>924.602171234186</v>
      </c>
      <c r="S2039" s="31">
        <f>R2039*IF(A2039=4, 2.0, 3.0)</f>
        <v/>
      </c>
      <c r="T2039" s="30">
        <f>'Dashboard &amp; Optimisation'!$B$18*U2039</f>
        <v/>
      </c>
      <c r="U2039" s="34">
        <f>MIN(1, S2039/M2039)</f>
        <v/>
      </c>
      <c r="V2039" s="34">
        <f>N2039/(N2039+O2039)</f>
        <v/>
      </c>
      <c r="W2039" s="34">
        <f>U2039*V2039</f>
        <v/>
      </c>
      <c r="X2039" s="32">
        <f>T2039/N2039</f>
        <v/>
      </c>
      <c r="Y2039" s="35">
        <f>IF(W2039=MAXIFS(W$2:W$3601, A$2:A$3601, A2039, B$2:B$3601, B2039), "OPTIMAL", "")</f>
        <v/>
      </c>
    </row>
    <row r="2040" ht="20" customHeight="1">
      <c r="A2040" s="21" t="n">
        <v>-18</v>
      </c>
      <c r="B2040" s="21" t="n">
        <v>25</v>
      </c>
      <c r="C2040" s="22" t="n">
        <v>105</v>
      </c>
      <c r="D2040" s="22" t="n">
        <v>3</v>
      </c>
      <c r="E2040" s="23" t="n">
        <v>8</v>
      </c>
      <c r="F2040" s="22" t="n">
        <v>2</v>
      </c>
      <c r="G2040" s="23" t="inlineStr">
        <is>
          <t>Non</t>
        </is>
      </c>
      <c r="H2040" s="23" t="inlineStr">
        <is>
          <t>ON</t>
        </is>
      </c>
      <c r="I2040" s="24" t="n">
        <v>604.2334594602274</v>
      </c>
      <c r="J2040" s="24" t="n">
        <v>4012.68388558375</v>
      </c>
      <c r="K2040" s="24" t="n">
        <v>3342.592592592593</v>
      </c>
      <c r="L2040" s="24" t="n">
        <v>150</v>
      </c>
      <c r="M2040" s="24">
        <f>I2040+J2040+K2040+L2040</f>
        <v/>
      </c>
      <c r="N2040" s="24">
        <f>M2040*'Dashboard &amp; Optimisation'!$B$18/('Dashboard &amp; Optimisation'!$B$16/3.6)</f>
        <v/>
      </c>
      <c r="O2040" s="24" t="n">
        <v>1070.587681691933</v>
      </c>
      <c r="P2040" s="25" t="n">
        <v>0.050131239724469</v>
      </c>
      <c r="Q2040" s="26" t="n">
        <v>17.05717713207346</v>
      </c>
      <c r="R2040" s="24" t="n">
        <v>4310.534831298502</v>
      </c>
      <c r="S2040" s="24">
        <f>R2040*IF(A2040=4, 2.0, 3.0)</f>
        <v/>
      </c>
      <c r="T2040" s="22">
        <f>'Dashboard &amp; Optimisation'!$B$18*U2040</f>
        <v/>
      </c>
      <c r="U2040" s="27">
        <f>MIN(1, S2040/M2040)</f>
        <v/>
      </c>
      <c r="V2040" s="27">
        <f>N2040/(N2040+O2040)</f>
        <v/>
      </c>
      <c r="W2040" s="27">
        <f>U2040*V2040</f>
        <v/>
      </c>
      <c r="X2040" s="25">
        <f>T2040/N2040</f>
        <v/>
      </c>
      <c r="Y2040" s="28">
        <f>IF(W2040=MAXIFS(W$2:W$3601, A$2:A$3601, A2040, B$2:B$3601, B2040), "OPTIMAL", "")</f>
        <v/>
      </c>
    </row>
    <row r="2041" ht="20" customHeight="1">
      <c r="A2041" s="29" t="n">
        <v>-18</v>
      </c>
      <c r="B2041" s="29" t="n">
        <v>25</v>
      </c>
      <c r="C2041" s="30" t="n">
        <v>105</v>
      </c>
      <c r="D2041" s="30" t="n">
        <v>3</v>
      </c>
      <c r="E2041" s="6" t="n">
        <v>8</v>
      </c>
      <c r="F2041" s="30" t="n">
        <v>2</v>
      </c>
      <c r="G2041" s="6" t="inlineStr">
        <is>
          <t>Non</t>
        </is>
      </c>
      <c r="H2041" s="6" t="inlineStr">
        <is>
          <t>OFF</t>
        </is>
      </c>
      <c r="I2041" s="31" t="n">
        <v>604.2334594602274</v>
      </c>
      <c r="J2041" s="31" t="n">
        <v>4012.68388558375</v>
      </c>
      <c r="K2041" s="31" t="n">
        <v>3342.592592592593</v>
      </c>
      <c r="L2041" s="31" t="n">
        <v>150</v>
      </c>
      <c r="M2041" s="31">
        <f>I2041+J2041+K2041+L2041</f>
        <v/>
      </c>
      <c r="N2041" s="31">
        <f>M2041*'Dashboard &amp; Optimisation'!$B$18/('Dashboard &amp; Optimisation'!$B$16/3.6)</f>
        <v/>
      </c>
      <c r="O2041" s="31" t="n">
        <v>1070.587681691933</v>
      </c>
      <c r="P2041" s="32" t="n">
        <v>0.2306824590186666</v>
      </c>
      <c r="Q2041" s="33" t="n">
        <v>17.05717713207346</v>
      </c>
      <c r="R2041" s="31" t="n">
        <v>936.7528675035181</v>
      </c>
      <c r="S2041" s="31">
        <f>R2041*IF(A2041=4, 2.0, 3.0)</f>
        <v/>
      </c>
      <c r="T2041" s="30">
        <f>'Dashboard &amp; Optimisation'!$B$18*U2041</f>
        <v/>
      </c>
      <c r="U2041" s="34">
        <f>MIN(1, S2041/M2041)</f>
        <v/>
      </c>
      <c r="V2041" s="34">
        <f>N2041/(N2041+O2041)</f>
        <v/>
      </c>
      <c r="W2041" s="34">
        <f>U2041*V2041</f>
        <v/>
      </c>
      <c r="X2041" s="32">
        <f>T2041/N2041</f>
        <v/>
      </c>
      <c r="Y2041" s="35">
        <f>IF(W2041=MAXIFS(W$2:W$3601, A$2:A$3601, A2041, B$2:B$3601, B2041), "OPTIMAL", "")</f>
        <v/>
      </c>
    </row>
    <row r="2042" ht="20" customHeight="1">
      <c r="A2042" s="21" t="n">
        <v>-18</v>
      </c>
      <c r="B2042" s="21" t="n">
        <v>25</v>
      </c>
      <c r="C2042" s="22" t="n">
        <v>110</v>
      </c>
      <c r="D2042" s="22" t="n">
        <v>2</v>
      </c>
      <c r="E2042" s="23" t="n">
        <v>0</v>
      </c>
      <c r="F2042" s="22" t="n">
        <v>0</v>
      </c>
      <c r="G2042" s="23" t="inlineStr">
        <is>
          <t>Oui</t>
        </is>
      </c>
      <c r="H2042" s="23" t="inlineStr">
        <is>
          <t>ON</t>
        </is>
      </c>
      <c r="I2042" s="24" t="n">
        <v>604.2334594602274</v>
      </c>
      <c r="J2042" s="24" t="n">
        <v>4012.68388558375</v>
      </c>
      <c r="K2042" s="24" t="n">
        <v>3342.592592592593</v>
      </c>
      <c r="L2042" s="24" t="n">
        <v>150</v>
      </c>
      <c r="M2042" s="24">
        <f>I2042+J2042+K2042+L2042</f>
        <v/>
      </c>
      <c r="N2042" s="24">
        <f>M2042*'Dashboard &amp; Optimisation'!$B$18/('Dashboard &amp; Optimisation'!$B$16/3.6)</f>
        <v/>
      </c>
      <c r="O2042" s="24" t="n">
        <v>316.928608171526</v>
      </c>
      <c r="P2042" s="25" t="n">
        <v>0.4731529974868604</v>
      </c>
      <c r="Q2042" s="26" t="n">
        <v>0.2</v>
      </c>
      <c r="R2042" s="24" t="n">
        <v>365.5884440901416</v>
      </c>
      <c r="S2042" s="24">
        <f>R2042*IF(A2042=4, 2.0, 3.0)</f>
        <v/>
      </c>
      <c r="T2042" s="22">
        <f>'Dashboard &amp; Optimisation'!$B$18*U2042</f>
        <v/>
      </c>
      <c r="U2042" s="27">
        <f>MIN(1, S2042/M2042)</f>
        <v/>
      </c>
      <c r="V2042" s="27">
        <f>N2042/(N2042+O2042)</f>
        <v/>
      </c>
      <c r="W2042" s="27">
        <f>U2042*V2042</f>
        <v/>
      </c>
      <c r="X2042" s="25">
        <f>T2042/N2042</f>
        <v/>
      </c>
      <c r="Y2042" s="28">
        <f>IF(W2042=MAXIFS(W$2:W$3601, A$2:A$3601, A2042, B$2:B$3601, B2042), "OPTIMAL", "")</f>
        <v/>
      </c>
    </row>
    <row r="2043" ht="20" customHeight="1">
      <c r="A2043" s="29" t="n">
        <v>-18</v>
      </c>
      <c r="B2043" s="29" t="n">
        <v>25</v>
      </c>
      <c r="C2043" s="30" t="n">
        <v>110</v>
      </c>
      <c r="D2043" s="30" t="n">
        <v>2</v>
      </c>
      <c r="E2043" s="6" t="n">
        <v>0</v>
      </c>
      <c r="F2043" s="30" t="n">
        <v>0</v>
      </c>
      <c r="G2043" s="6" t="inlineStr">
        <is>
          <t>Oui</t>
        </is>
      </c>
      <c r="H2043" s="6" t="inlineStr">
        <is>
          <t>OFF</t>
        </is>
      </c>
      <c r="I2043" s="31" t="n">
        <v>604.2334594602274</v>
      </c>
      <c r="J2043" s="31" t="n">
        <v>4012.68388558375</v>
      </c>
      <c r="K2043" s="31" t="n">
        <v>3342.592592592593</v>
      </c>
      <c r="L2043" s="31" t="n">
        <v>150</v>
      </c>
      <c r="M2043" s="31">
        <f>I2043+J2043+K2043+L2043</f>
        <v/>
      </c>
      <c r="N2043" s="31">
        <f>M2043*'Dashboard &amp; Optimisation'!$B$18/('Dashboard &amp; Optimisation'!$B$16/3.6)</f>
        <v/>
      </c>
      <c r="O2043" s="31" t="n">
        <v>316.928608171526</v>
      </c>
      <c r="P2043" s="32" t="n">
        <v>0.7625256212903064</v>
      </c>
      <c r="Q2043" s="33" t="n">
        <v>0.2</v>
      </c>
      <c r="R2043" s="31" t="n">
        <v>226.8504340550569</v>
      </c>
      <c r="S2043" s="31">
        <f>R2043*IF(A2043=4, 2.0, 3.0)</f>
        <v/>
      </c>
      <c r="T2043" s="30">
        <f>'Dashboard &amp; Optimisation'!$B$18*U2043</f>
        <v/>
      </c>
      <c r="U2043" s="34">
        <f>MIN(1, S2043/M2043)</f>
        <v/>
      </c>
      <c r="V2043" s="34">
        <f>N2043/(N2043+O2043)</f>
        <v/>
      </c>
      <c r="W2043" s="34">
        <f>U2043*V2043</f>
        <v/>
      </c>
      <c r="X2043" s="32">
        <f>T2043/N2043</f>
        <v/>
      </c>
      <c r="Y2043" s="35">
        <f>IF(W2043=MAXIFS(W$2:W$3601, A$2:A$3601, A2043, B$2:B$3601, B2043), "OPTIMAL", "")</f>
        <v/>
      </c>
    </row>
    <row r="2044" ht="20" customHeight="1">
      <c r="A2044" s="21" t="n">
        <v>-18</v>
      </c>
      <c r="B2044" s="21" t="n">
        <v>25</v>
      </c>
      <c r="C2044" s="22" t="n">
        <v>110</v>
      </c>
      <c r="D2044" s="22" t="n">
        <v>2</v>
      </c>
      <c r="E2044" s="23" t="n">
        <v>0</v>
      </c>
      <c r="F2044" s="22" t="n">
        <v>0</v>
      </c>
      <c r="G2044" s="23" t="inlineStr">
        <is>
          <t>Non</t>
        </is>
      </c>
      <c r="H2044" s="23" t="inlineStr">
        <is>
          <t>ON</t>
        </is>
      </c>
      <c r="I2044" s="24" t="n">
        <v>604.2334594602274</v>
      </c>
      <c r="J2044" s="24" t="n">
        <v>4012.68388558375</v>
      </c>
      <c r="K2044" s="24" t="n">
        <v>3342.592592592593</v>
      </c>
      <c r="L2044" s="24" t="n">
        <v>150</v>
      </c>
      <c r="M2044" s="24">
        <f>I2044+J2044+K2044+L2044</f>
        <v/>
      </c>
      <c r="N2044" s="24">
        <f>M2044*'Dashboard &amp; Optimisation'!$B$18/('Dashboard &amp; Optimisation'!$B$16/3.6)</f>
        <v/>
      </c>
      <c r="O2044" s="24" t="n">
        <v>316.928608171526</v>
      </c>
      <c r="P2044" s="25" t="n">
        <v>0.4702592712488259</v>
      </c>
      <c r="Q2044" s="26" t="n">
        <v>0.2</v>
      </c>
      <c r="R2044" s="24" t="n">
        <v>367.8380815511456</v>
      </c>
      <c r="S2044" s="24">
        <f>R2044*IF(A2044=4, 2.0, 3.0)</f>
        <v/>
      </c>
      <c r="T2044" s="22">
        <f>'Dashboard &amp; Optimisation'!$B$18*U2044</f>
        <v/>
      </c>
      <c r="U2044" s="27">
        <f>MIN(1, S2044/M2044)</f>
        <v/>
      </c>
      <c r="V2044" s="27">
        <f>N2044/(N2044+O2044)</f>
        <v/>
      </c>
      <c r="W2044" s="27">
        <f>U2044*V2044</f>
        <v/>
      </c>
      <c r="X2044" s="25">
        <f>T2044/N2044</f>
        <v/>
      </c>
      <c r="Y2044" s="28">
        <f>IF(W2044=MAXIFS(W$2:W$3601, A$2:A$3601, A2044, B$2:B$3601, B2044), "OPTIMAL", "")</f>
        <v/>
      </c>
    </row>
    <row r="2045" ht="20" customHeight="1">
      <c r="A2045" s="29" t="n">
        <v>-18</v>
      </c>
      <c r="B2045" s="29" t="n">
        <v>25</v>
      </c>
      <c r="C2045" s="30" t="n">
        <v>110</v>
      </c>
      <c r="D2045" s="30" t="n">
        <v>2</v>
      </c>
      <c r="E2045" s="6" t="n">
        <v>0</v>
      </c>
      <c r="F2045" s="30" t="n">
        <v>0</v>
      </c>
      <c r="G2045" s="6" t="inlineStr">
        <is>
          <t>Non</t>
        </is>
      </c>
      <c r="H2045" s="6" t="inlineStr">
        <is>
          <t>OFF</t>
        </is>
      </c>
      <c r="I2045" s="31" t="n">
        <v>604.2334594602274</v>
      </c>
      <c r="J2045" s="31" t="n">
        <v>4012.68388558375</v>
      </c>
      <c r="K2045" s="31" t="n">
        <v>3342.592592592593</v>
      </c>
      <c r="L2045" s="31" t="n">
        <v>150</v>
      </c>
      <c r="M2045" s="31">
        <f>I2045+J2045+K2045+L2045</f>
        <v/>
      </c>
      <c r="N2045" s="31">
        <f>M2045*'Dashboard &amp; Optimisation'!$B$18/('Dashboard &amp; Optimisation'!$B$16/3.6)</f>
        <v/>
      </c>
      <c r="O2045" s="31" t="n">
        <v>316.928608171526</v>
      </c>
      <c r="P2045" s="32" t="n">
        <v>0.759631895052272</v>
      </c>
      <c r="Q2045" s="33" t="n">
        <v>0.2</v>
      </c>
      <c r="R2045" s="31" t="n">
        <v>227.7145934688602</v>
      </c>
      <c r="S2045" s="31">
        <f>R2045*IF(A2045=4, 2.0, 3.0)</f>
        <v/>
      </c>
      <c r="T2045" s="30">
        <f>'Dashboard &amp; Optimisation'!$B$18*U2045</f>
        <v/>
      </c>
      <c r="U2045" s="34">
        <f>MIN(1, S2045/M2045)</f>
        <v/>
      </c>
      <c r="V2045" s="34">
        <f>N2045/(N2045+O2045)</f>
        <v/>
      </c>
      <c r="W2045" s="34">
        <f>U2045*V2045</f>
        <v/>
      </c>
      <c r="X2045" s="32">
        <f>T2045/N2045</f>
        <v/>
      </c>
      <c r="Y2045" s="35">
        <f>IF(W2045=MAXIFS(W$2:W$3601, A$2:A$3601, A2045, B$2:B$3601, B2045), "OPTIMAL", "")</f>
        <v/>
      </c>
    </row>
    <row r="2046" ht="20" customHeight="1">
      <c r="A2046" s="21" t="n">
        <v>-18</v>
      </c>
      <c r="B2046" s="21" t="n">
        <v>25</v>
      </c>
      <c r="C2046" s="22" t="n">
        <v>110</v>
      </c>
      <c r="D2046" s="22" t="n">
        <v>2</v>
      </c>
      <c r="E2046" s="23" t="n">
        <v>4</v>
      </c>
      <c r="F2046" s="22" t="n">
        <v>1.5</v>
      </c>
      <c r="G2046" s="23" t="inlineStr">
        <is>
          <t>Oui</t>
        </is>
      </c>
      <c r="H2046" s="23" t="inlineStr">
        <is>
          <t>ON</t>
        </is>
      </c>
      <c r="I2046" s="24" t="n">
        <v>604.2334594602274</v>
      </c>
      <c r="J2046" s="24" t="n">
        <v>4012.68388558375</v>
      </c>
      <c r="K2046" s="24" t="n">
        <v>3342.592592592593</v>
      </c>
      <c r="L2046" s="24" t="n">
        <v>150</v>
      </c>
      <c r="M2046" s="24">
        <f>I2046+J2046+K2046+L2046</f>
        <v/>
      </c>
      <c r="N2046" s="24">
        <f>M2046*'Dashboard &amp; Optimisation'!$B$18/('Dashboard &amp; Optimisation'!$B$16/3.6)</f>
        <v/>
      </c>
      <c r="O2046" s="24" t="n">
        <v>491.9608494823295</v>
      </c>
      <c r="P2046" s="25" t="n">
        <v>0.07062967612279852</v>
      </c>
      <c r="Q2046" s="26" t="n">
        <v>6.103987745549313</v>
      </c>
      <c r="R2046" s="24" t="n">
        <v>2521.800445148184</v>
      </c>
      <c r="S2046" s="24">
        <f>R2046*IF(A2046=4, 2.0, 3.0)</f>
        <v/>
      </c>
      <c r="T2046" s="22">
        <f>'Dashboard &amp; Optimisation'!$B$18*U2046</f>
        <v/>
      </c>
      <c r="U2046" s="27">
        <f>MIN(1, S2046/M2046)</f>
        <v/>
      </c>
      <c r="V2046" s="27">
        <f>N2046/(N2046+O2046)</f>
        <v/>
      </c>
      <c r="W2046" s="27">
        <f>U2046*V2046</f>
        <v/>
      </c>
      <c r="X2046" s="25">
        <f>T2046/N2046</f>
        <v/>
      </c>
      <c r="Y2046" s="28">
        <f>IF(W2046=MAXIFS(W$2:W$3601, A$2:A$3601, A2046, B$2:B$3601, B2046), "OPTIMAL", "")</f>
        <v/>
      </c>
    </row>
    <row r="2047" ht="20" customHeight="1">
      <c r="A2047" s="29" t="n">
        <v>-18</v>
      </c>
      <c r="B2047" s="29" t="n">
        <v>25</v>
      </c>
      <c r="C2047" s="30" t="n">
        <v>110</v>
      </c>
      <c r="D2047" s="30" t="n">
        <v>2</v>
      </c>
      <c r="E2047" s="6" t="n">
        <v>4</v>
      </c>
      <c r="F2047" s="30" t="n">
        <v>1.5</v>
      </c>
      <c r="G2047" s="6" t="inlineStr">
        <is>
          <t>Oui</t>
        </is>
      </c>
      <c r="H2047" s="6" t="inlineStr">
        <is>
          <t>OFF</t>
        </is>
      </c>
      <c r="I2047" s="31" t="n">
        <v>604.2334594602274</v>
      </c>
      <c r="J2047" s="31" t="n">
        <v>4012.68388558375</v>
      </c>
      <c r="K2047" s="31" t="n">
        <v>3342.592592592593</v>
      </c>
      <c r="L2047" s="31" t="n">
        <v>150</v>
      </c>
      <c r="M2047" s="31">
        <f>I2047+J2047+K2047+L2047</f>
        <v/>
      </c>
      <c r="N2047" s="31">
        <f>M2047*'Dashboard &amp; Optimisation'!$B$18/('Dashboard &amp; Optimisation'!$B$16/3.6)</f>
        <v/>
      </c>
      <c r="O2047" s="31" t="n">
        <v>491.9608494823295</v>
      </c>
      <c r="P2047" s="32" t="n">
        <v>0.2882258985719243</v>
      </c>
      <c r="Q2047" s="33" t="n">
        <v>6.103987745549313</v>
      </c>
      <c r="R2047" s="31" t="n">
        <v>617.9664963129557</v>
      </c>
      <c r="S2047" s="31">
        <f>R2047*IF(A2047=4, 2.0, 3.0)</f>
        <v/>
      </c>
      <c r="T2047" s="30">
        <f>'Dashboard &amp; Optimisation'!$B$18*U2047</f>
        <v/>
      </c>
      <c r="U2047" s="34">
        <f>MIN(1, S2047/M2047)</f>
        <v/>
      </c>
      <c r="V2047" s="34">
        <f>N2047/(N2047+O2047)</f>
        <v/>
      </c>
      <c r="W2047" s="34">
        <f>U2047*V2047</f>
        <v/>
      </c>
      <c r="X2047" s="32">
        <f>T2047/N2047</f>
        <v/>
      </c>
      <c r="Y2047" s="35">
        <f>IF(W2047=MAXIFS(W$2:W$3601, A$2:A$3601, A2047, B$2:B$3601, B2047), "OPTIMAL", "")</f>
        <v/>
      </c>
    </row>
    <row r="2048" ht="20" customHeight="1">
      <c r="A2048" s="21" t="n">
        <v>-18</v>
      </c>
      <c r="B2048" s="21" t="n">
        <v>25</v>
      </c>
      <c r="C2048" s="22" t="n">
        <v>110</v>
      </c>
      <c r="D2048" s="22" t="n">
        <v>2</v>
      </c>
      <c r="E2048" s="23" t="n">
        <v>4</v>
      </c>
      <c r="F2048" s="22" t="n">
        <v>1.5</v>
      </c>
      <c r="G2048" s="23" t="inlineStr">
        <is>
          <t>Non</t>
        </is>
      </c>
      <c r="H2048" s="23" t="inlineStr">
        <is>
          <t>ON</t>
        </is>
      </c>
      <c r="I2048" s="24" t="n">
        <v>604.2334594602274</v>
      </c>
      <c r="J2048" s="24" t="n">
        <v>4012.68388558375</v>
      </c>
      <c r="K2048" s="24" t="n">
        <v>3342.592592592593</v>
      </c>
      <c r="L2048" s="24" t="n">
        <v>150</v>
      </c>
      <c r="M2048" s="24">
        <f>I2048+J2048+K2048+L2048</f>
        <v/>
      </c>
      <c r="N2048" s="24">
        <f>M2048*'Dashboard &amp; Optimisation'!$B$18/('Dashboard &amp; Optimisation'!$B$16/3.6)</f>
        <v/>
      </c>
      <c r="O2048" s="24" t="n">
        <v>491.9608494823295</v>
      </c>
      <c r="P2048" s="25" t="n">
        <v>0.06773594988476406</v>
      </c>
      <c r="Q2048" s="26" t="n">
        <v>6.103987745549313</v>
      </c>
      <c r="R2048" s="24" t="n">
        <v>2629.533489825745</v>
      </c>
      <c r="S2048" s="24">
        <f>R2048*IF(A2048=4, 2.0, 3.0)</f>
        <v/>
      </c>
      <c r="T2048" s="22">
        <f>'Dashboard &amp; Optimisation'!$B$18*U2048</f>
        <v/>
      </c>
      <c r="U2048" s="27">
        <f>MIN(1, S2048/M2048)</f>
        <v/>
      </c>
      <c r="V2048" s="27">
        <f>N2048/(N2048+O2048)</f>
        <v/>
      </c>
      <c r="W2048" s="27">
        <f>U2048*V2048</f>
        <v/>
      </c>
      <c r="X2048" s="25">
        <f>T2048/N2048</f>
        <v/>
      </c>
      <c r="Y2048" s="28">
        <f>IF(W2048=MAXIFS(W$2:W$3601, A$2:A$3601, A2048, B$2:B$3601, B2048), "OPTIMAL", "")</f>
        <v/>
      </c>
    </row>
    <row r="2049" ht="20" customHeight="1">
      <c r="A2049" s="29" t="n">
        <v>-18</v>
      </c>
      <c r="B2049" s="29" t="n">
        <v>25</v>
      </c>
      <c r="C2049" s="30" t="n">
        <v>110</v>
      </c>
      <c r="D2049" s="30" t="n">
        <v>2</v>
      </c>
      <c r="E2049" s="6" t="n">
        <v>4</v>
      </c>
      <c r="F2049" s="30" t="n">
        <v>1.5</v>
      </c>
      <c r="G2049" s="6" t="inlineStr">
        <is>
          <t>Non</t>
        </is>
      </c>
      <c r="H2049" s="6" t="inlineStr">
        <is>
          <t>OFF</t>
        </is>
      </c>
      <c r="I2049" s="31" t="n">
        <v>604.2334594602274</v>
      </c>
      <c r="J2049" s="31" t="n">
        <v>4012.68388558375</v>
      </c>
      <c r="K2049" s="31" t="n">
        <v>3342.592592592593</v>
      </c>
      <c r="L2049" s="31" t="n">
        <v>150</v>
      </c>
      <c r="M2049" s="31">
        <f>I2049+J2049+K2049+L2049</f>
        <v/>
      </c>
      <c r="N2049" s="31">
        <f>M2049*'Dashboard &amp; Optimisation'!$B$18/('Dashboard &amp; Optimisation'!$B$16/3.6)</f>
        <v/>
      </c>
      <c r="O2049" s="31" t="n">
        <v>491.9608494823295</v>
      </c>
      <c r="P2049" s="32" t="n">
        <v>0.2853321723338898</v>
      </c>
      <c r="Q2049" s="33" t="n">
        <v>6.103987745549313</v>
      </c>
      <c r="R2049" s="31" t="n">
        <v>624.2336685353523</v>
      </c>
      <c r="S2049" s="31">
        <f>R2049*IF(A2049=4, 2.0, 3.0)</f>
        <v/>
      </c>
      <c r="T2049" s="30">
        <f>'Dashboard &amp; Optimisation'!$B$18*U2049</f>
        <v/>
      </c>
      <c r="U2049" s="34">
        <f>MIN(1, S2049/M2049)</f>
        <v/>
      </c>
      <c r="V2049" s="34">
        <f>N2049/(N2049+O2049)</f>
        <v/>
      </c>
      <c r="W2049" s="34">
        <f>U2049*V2049</f>
        <v/>
      </c>
      <c r="X2049" s="32">
        <f>T2049/N2049</f>
        <v/>
      </c>
      <c r="Y2049" s="35">
        <f>IF(W2049=MAXIFS(W$2:W$3601, A$2:A$3601, A2049, B$2:B$3601, B2049), "OPTIMAL", "")</f>
        <v/>
      </c>
    </row>
    <row r="2050" ht="20" customHeight="1">
      <c r="A2050" s="21" t="n">
        <v>-18</v>
      </c>
      <c r="B2050" s="21" t="n">
        <v>25</v>
      </c>
      <c r="C2050" s="22" t="n">
        <v>110</v>
      </c>
      <c r="D2050" s="22" t="n">
        <v>2</v>
      </c>
      <c r="E2050" s="23" t="n">
        <v>4</v>
      </c>
      <c r="F2050" s="22" t="n">
        <v>2</v>
      </c>
      <c r="G2050" s="23" t="inlineStr">
        <is>
          <t>Oui</t>
        </is>
      </c>
      <c r="H2050" s="23" t="inlineStr">
        <is>
          <t>ON</t>
        </is>
      </c>
      <c r="I2050" s="24" t="n">
        <v>604.2334594602274</v>
      </c>
      <c r="J2050" s="24" t="n">
        <v>4012.68388558375</v>
      </c>
      <c r="K2050" s="24" t="n">
        <v>3342.592592592593</v>
      </c>
      <c r="L2050" s="24" t="n">
        <v>150</v>
      </c>
      <c r="M2050" s="24">
        <f>I2050+J2050+K2050+L2050</f>
        <v/>
      </c>
      <c r="N2050" s="24">
        <f>M2050*'Dashboard &amp; Optimisation'!$B$18/('Dashboard &amp; Optimisation'!$B$16/3.6)</f>
        <v/>
      </c>
      <c r="O2050" s="24" t="n">
        <v>552.6371711942118</v>
      </c>
      <c r="P2050" s="25" t="n">
        <v>0.06762363614121064</v>
      </c>
      <c r="Q2050" s="26" t="n">
        <v>8.071983660732418</v>
      </c>
      <c r="R2050" s="24" t="n">
        <v>2660.222621634726</v>
      </c>
      <c r="S2050" s="24">
        <f>R2050*IF(A2050=4, 2.0, 3.0)</f>
        <v/>
      </c>
      <c r="T2050" s="22">
        <f>'Dashboard &amp; Optimisation'!$B$18*U2050</f>
        <v/>
      </c>
      <c r="U2050" s="27">
        <f>MIN(1, S2050/M2050)</f>
        <v/>
      </c>
      <c r="V2050" s="27">
        <f>N2050/(N2050+O2050)</f>
        <v/>
      </c>
      <c r="W2050" s="27">
        <f>U2050*V2050</f>
        <v/>
      </c>
      <c r="X2050" s="25">
        <f>T2050/N2050</f>
        <v/>
      </c>
      <c r="Y2050" s="28">
        <f>IF(W2050=MAXIFS(W$2:W$3601, A$2:A$3601, A2050, B$2:B$3601, B2050), "OPTIMAL", "")</f>
        <v/>
      </c>
    </row>
    <row r="2051" ht="20" customHeight="1">
      <c r="A2051" s="29" t="n">
        <v>-18</v>
      </c>
      <c r="B2051" s="29" t="n">
        <v>25</v>
      </c>
      <c r="C2051" s="30" t="n">
        <v>110</v>
      </c>
      <c r="D2051" s="30" t="n">
        <v>2</v>
      </c>
      <c r="E2051" s="6" t="n">
        <v>4</v>
      </c>
      <c r="F2051" s="30" t="n">
        <v>2</v>
      </c>
      <c r="G2051" s="6" t="inlineStr">
        <is>
          <t>Oui</t>
        </is>
      </c>
      <c r="H2051" s="6" t="inlineStr">
        <is>
          <t>OFF</t>
        </is>
      </c>
      <c r="I2051" s="31" t="n">
        <v>604.2334594602274</v>
      </c>
      <c r="J2051" s="31" t="n">
        <v>4012.68388558375</v>
      </c>
      <c r="K2051" s="31" t="n">
        <v>3342.592592592593</v>
      </c>
      <c r="L2051" s="31" t="n">
        <v>150</v>
      </c>
      <c r="M2051" s="31">
        <f>I2051+J2051+K2051+L2051</f>
        <v/>
      </c>
      <c r="N2051" s="31">
        <f>M2051*'Dashboard &amp; Optimisation'!$B$18/('Dashboard &amp; Optimisation'!$B$16/3.6)</f>
        <v/>
      </c>
      <c r="O2051" s="31" t="n">
        <v>552.6371711942118</v>
      </c>
      <c r="P2051" s="32" t="n">
        <v>0.2861692165887991</v>
      </c>
      <c r="Q2051" s="33" t="n">
        <v>8.071983660732418</v>
      </c>
      <c r="R2051" s="31" t="n">
        <v>628.6278054796386</v>
      </c>
      <c r="S2051" s="31">
        <f>R2051*IF(A2051=4, 2.0, 3.0)</f>
        <v/>
      </c>
      <c r="T2051" s="30">
        <f>'Dashboard &amp; Optimisation'!$B$18*U2051</f>
        <v/>
      </c>
      <c r="U2051" s="34">
        <f>MIN(1, S2051/M2051)</f>
        <v/>
      </c>
      <c r="V2051" s="34">
        <f>N2051/(N2051+O2051)</f>
        <v/>
      </c>
      <c r="W2051" s="34">
        <f>U2051*V2051</f>
        <v/>
      </c>
      <c r="X2051" s="32">
        <f>T2051/N2051</f>
        <v/>
      </c>
      <c r="Y2051" s="35">
        <f>IF(W2051=MAXIFS(W$2:W$3601, A$2:A$3601, A2051, B$2:B$3601, B2051), "OPTIMAL", "")</f>
        <v/>
      </c>
    </row>
    <row r="2052" ht="20" customHeight="1">
      <c r="A2052" s="21" t="n">
        <v>-18</v>
      </c>
      <c r="B2052" s="21" t="n">
        <v>25</v>
      </c>
      <c r="C2052" s="22" t="n">
        <v>110</v>
      </c>
      <c r="D2052" s="22" t="n">
        <v>2</v>
      </c>
      <c r="E2052" s="23" t="n">
        <v>4</v>
      </c>
      <c r="F2052" s="22" t="n">
        <v>2</v>
      </c>
      <c r="G2052" s="23" t="inlineStr">
        <is>
          <t>Non</t>
        </is>
      </c>
      <c r="H2052" s="23" t="inlineStr">
        <is>
          <t>ON</t>
        </is>
      </c>
      <c r="I2052" s="24" t="n">
        <v>604.2334594602274</v>
      </c>
      <c r="J2052" s="24" t="n">
        <v>4012.68388558375</v>
      </c>
      <c r="K2052" s="24" t="n">
        <v>3342.592592592593</v>
      </c>
      <c r="L2052" s="24" t="n">
        <v>150</v>
      </c>
      <c r="M2052" s="24">
        <f>I2052+J2052+K2052+L2052</f>
        <v/>
      </c>
      <c r="N2052" s="24">
        <f>M2052*'Dashboard &amp; Optimisation'!$B$18/('Dashboard &amp; Optimisation'!$B$16/3.6)</f>
        <v/>
      </c>
      <c r="O2052" s="24" t="n">
        <v>552.6371711942118</v>
      </c>
      <c r="P2052" s="25" t="n">
        <v>0.06472990990317617</v>
      </c>
      <c r="Q2052" s="26" t="n">
        <v>8.071983660732418</v>
      </c>
      <c r="R2052" s="24" t="n">
        <v>2779.146871811375</v>
      </c>
      <c r="S2052" s="24">
        <f>R2052*IF(A2052=4, 2.0, 3.0)</f>
        <v/>
      </c>
      <c r="T2052" s="22">
        <f>'Dashboard &amp; Optimisation'!$B$18*U2052</f>
        <v/>
      </c>
      <c r="U2052" s="27">
        <f>MIN(1, S2052/M2052)</f>
        <v/>
      </c>
      <c r="V2052" s="27">
        <f>N2052/(N2052+O2052)</f>
        <v/>
      </c>
      <c r="W2052" s="27">
        <f>U2052*V2052</f>
        <v/>
      </c>
      <c r="X2052" s="25">
        <f>T2052/N2052</f>
        <v/>
      </c>
      <c r="Y2052" s="28">
        <f>IF(W2052=MAXIFS(W$2:W$3601, A$2:A$3601, A2052, B$2:B$3601, B2052), "OPTIMAL", "")</f>
        <v/>
      </c>
    </row>
    <row r="2053" ht="20" customHeight="1">
      <c r="A2053" s="29" t="n">
        <v>-18</v>
      </c>
      <c r="B2053" s="29" t="n">
        <v>25</v>
      </c>
      <c r="C2053" s="30" t="n">
        <v>110</v>
      </c>
      <c r="D2053" s="30" t="n">
        <v>2</v>
      </c>
      <c r="E2053" s="6" t="n">
        <v>4</v>
      </c>
      <c r="F2053" s="30" t="n">
        <v>2</v>
      </c>
      <c r="G2053" s="6" t="inlineStr">
        <is>
          <t>Non</t>
        </is>
      </c>
      <c r="H2053" s="6" t="inlineStr">
        <is>
          <t>OFF</t>
        </is>
      </c>
      <c r="I2053" s="31" t="n">
        <v>604.2334594602274</v>
      </c>
      <c r="J2053" s="31" t="n">
        <v>4012.68388558375</v>
      </c>
      <c r="K2053" s="31" t="n">
        <v>3342.592592592593</v>
      </c>
      <c r="L2053" s="31" t="n">
        <v>150</v>
      </c>
      <c r="M2053" s="31">
        <f>I2053+J2053+K2053+L2053</f>
        <v/>
      </c>
      <c r="N2053" s="31">
        <f>M2053*'Dashboard &amp; Optimisation'!$B$18/('Dashboard &amp; Optimisation'!$B$16/3.6)</f>
        <v/>
      </c>
      <c r="O2053" s="31" t="n">
        <v>552.6371711942118</v>
      </c>
      <c r="P2053" s="32" t="n">
        <v>0.2832754903507647</v>
      </c>
      <c r="Q2053" s="33" t="n">
        <v>8.071983660732418</v>
      </c>
      <c r="R2053" s="31" t="n">
        <v>635.0493874259694</v>
      </c>
      <c r="S2053" s="31">
        <f>R2053*IF(A2053=4, 2.0, 3.0)</f>
        <v/>
      </c>
      <c r="T2053" s="30">
        <f>'Dashboard &amp; Optimisation'!$B$18*U2053</f>
        <v/>
      </c>
      <c r="U2053" s="34">
        <f>MIN(1, S2053/M2053)</f>
        <v/>
      </c>
      <c r="V2053" s="34">
        <f>N2053/(N2053+O2053)</f>
        <v/>
      </c>
      <c r="W2053" s="34">
        <f>U2053*V2053</f>
        <v/>
      </c>
      <c r="X2053" s="32">
        <f>T2053/N2053</f>
        <v/>
      </c>
      <c r="Y2053" s="35">
        <f>IF(W2053=MAXIFS(W$2:W$3601, A$2:A$3601, A2053, B$2:B$3601, B2053), "OPTIMAL", "")</f>
        <v/>
      </c>
    </row>
    <row r="2054" ht="20" customHeight="1">
      <c r="A2054" s="21" t="n">
        <v>-18</v>
      </c>
      <c r="B2054" s="21" t="n">
        <v>25</v>
      </c>
      <c r="C2054" s="22" t="n">
        <v>110</v>
      </c>
      <c r="D2054" s="22" t="n">
        <v>2</v>
      </c>
      <c r="E2054" s="23" t="n">
        <v>8</v>
      </c>
      <c r="F2054" s="22" t="n">
        <v>1.5</v>
      </c>
      <c r="G2054" s="23" t="inlineStr">
        <is>
          <t>Oui</t>
        </is>
      </c>
      <c r="H2054" s="23" t="inlineStr">
        <is>
          <t>ON</t>
        </is>
      </c>
      <c r="I2054" s="24" t="n">
        <v>604.2334594602274</v>
      </c>
      <c r="J2054" s="24" t="n">
        <v>4012.68388558375</v>
      </c>
      <c r="K2054" s="24" t="n">
        <v>3342.592592592593</v>
      </c>
      <c r="L2054" s="24" t="n">
        <v>150</v>
      </c>
      <c r="M2054" s="24">
        <f>I2054+J2054+K2054+L2054</f>
        <v/>
      </c>
      <c r="N2054" s="24">
        <f>M2054*'Dashboard &amp; Optimisation'!$B$18/('Dashboard &amp; Optimisation'!$B$16/3.6)</f>
        <v/>
      </c>
      <c r="O2054" s="24" t="n">
        <v>677.702219425828</v>
      </c>
      <c r="P2054" s="25" t="n">
        <v>0.05348631453507773</v>
      </c>
      <c r="Q2054" s="26" t="n">
        <v>12.00797549109863</v>
      </c>
      <c r="R2054" s="24" t="n">
        <v>3431.958058872204</v>
      </c>
      <c r="S2054" s="24">
        <f>R2054*IF(A2054=4, 2.0, 3.0)</f>
        <v/>
      </c>
      <c r="T2054" s="22">
        <f>'Dashboard &amp; Optimisation'!$B$18*U2054</f>
        <v/>
      </c>
      <c r="U2054" s="27">
        <f>MIN(1, S2054/M2054)</f>
        <v/>
      </c>
      <c r="V2054" s="27">
        <f>N2054/(N2054+O2054)</f>
        <v/>
      </c>
      <c r="W2054" s="27">
        <f>U2054*V2054</f>
        <v/>
      </c>
      <c r="X2054" s="25">
        <f>T2054/N2054</f>
        <v/>
      </c>
      <c r="Y2054" s="28">
        <f>IF(W2054=MAXIFS(W$2:W$3601, A$2:A$3601, A2054, B$2:B$3601, B2054), "OPTIMAL", "")</f>
        <v/>
      </c>
    </row>
    <row r="2055" ht="20" customHeight="1">
      <c r="A2055" s="29" t="n">
        <v>-18</v>
      </c>
      <c r="B2055" s="29" t="n">
        <v>25</v>
      </c>
      <c r="C2055" s="30" t="n">
        <v>110</v>
      </c>
      <c r="D2055" s="30" t="n">
        <v>2</v>
      </c>
      <c r="E2055" s="6" t="n">
        <v>8</v>
      </c>
      <c r="F2055" s="30" t="n">
        <v>1.5</v>
      </c>
      <c r="G2055" s="6" t="inlineStr">
        <is>
          <t>Oui</t>
        </is>
      </c>
      <c r="H2055" s="6" t="inlineStr">
        <is>
          <t>OFF</t>
        </is>
      </c>
      <c r="I2055" s="31" t="n">
        <v>604.2334594602274</v>
      </c>
      <c r="J2055" s="31" t="n">
        <v>4012.68388558375</v>
      </c>
      <c r="K2055" s="31" t="n">
        <v>3342.592592592593</v>
      </c>
      <c r="L2055" s="31" t="n">
        <v>150</v>
      </c>
      <c r="M2055" s="31">
        <f>I2055+J2055+K2055+L2055</f>
        <v/>
      </c>
      <c r="N2055" s="31">
        <f>M2055*'Dashboard &amp; Optimisation'!$B$18/('Dashboard &amp; Optimisation'!$B$16/3.6)</f>
        <v/>
      </c>
      <c r="O2055" s="31" t="n">
        <v>677.702219425828</v>
      </c>
      <c r="P2055" s="32" t="n">
        <v>0.2278356335097701</v>
      </c>
      <c r="Q2055" s="33" t="n">
        <v>12.00797549109863</v>
      </c>
      <c r="R2055" s="31" t="n">
        <v>805.6807681058456</v>
      </c>
      <c r="S2055" s="31">
        <f>R2055*IF(A2055=4, 2.0, 3.0)</f>
        <v/>
      </c>
      <c r="T2055" s="30">
        <f>'Dashboard &amp; Optimisation'!$B$18*U2055</f>
        <v/>
      </c>
      <c r="U2055" s="34">
        <f>MIN(1, S2055/M2055)</f>
        <v/>
      </c>
      <c r="V2055" s="34">
        <f>N2055/(N2055+O2055)</f>
        <v/>
      </c>
      <c r="W2055" s="34">
        <f>U2055*V2055</f>
        <v/>
      </c>
      <c r="X2055" s="32">
        <f>T2055/N2055</f>
        <v/>
      </c>
      <c r="Y2055" s="35">
        <f>IF(W2055=MAXIFS(W$2:W$3601, A$2:A$3601, A2055, B$2:B$3601, B2055), "OPTIMAL", "")</f>
        <v/>
      </c>
    </row>
    <row r="2056" ht="20" customHeight="1">
      <c r="A2056" s="21" t="n">
        <v>-18</v>
      </c>
      <c r="B2056" s="21" t="n">
        <v>25</v>
      </c>
      <c r="C2056" s="22" t="n">
        <v>110</v>
      </c>
      <c r="D2056" s="22" t="n">
        <v>2</v>
      </c>
      <c r="E2056" s="23" t="n">
        <v>8</v>
      </c>
      <c r="F2056" s="22" t="n">
        <v>1.5</v>
      </c>
      <c r="G2056" s="23" t="inlineStr">
        <is>
          <t>Non</t>
        </is>
      </c>
      <c r="H2056" s="23" t="inlineStr">
        <is>
          <t>ON</t>
        </is>
      </c>
      <c r="I2056" s="24" t="n">
        <v>604.2334594602274</v>
      </c>
      <c r="J2056" s="24" t="n">
        <v>4012.68388558375</v>
      </c>
      <c r="K2056" s="24" t="n">
        <v>3342.592592592593</v>
      </c>
      <c r="L2056" s="24" t="n">
        <v>150</v>
      </c>
      <c r="M2056" s="24">
        <f>I2056+J2056+K2056+L2056</f>
        <v/>
      </c>
      <c r="N2056" s="24">
        <f>M2056*'Dashboard &amp; Optimisation'!$B$18/('Dashboard &amp; Optimisation'!$B$16/3.6)</f>
        <v/>
      </c>
      <c r="O2056" s="24" t="n">
        <v>677.702219425828</v>
      </c>
      <c r="P2056" s="25" t="n">
        <v>0.05059258829704327</v>
      </c>
      <c r="Q2056" s="26" t="n">
        <v>12.00797549109863</v>
      </c>
      <c r="R2056" s="24" t="n">
        <v>3628.254540571929</v>
      </c>
      <c r="S2056" s="24">
        <f>R2056*IF(A2056=4, 2.0, 3.0)</f>
        <v/>
      </c>
      <c r="T2056" s="22">
        <f>'Dashboard &amp; Optimisation'!$B$18*U2056</f>
        <v/>
      </c>
      <c r="U2056" s="27">
        <f>MIN(1, S2056/M2056)</f>
        <v/>
      </c>
      <c r="V2056" s="27">
        <f>N2056/(N2056+O2056)</f>
        <v/>
      </c>
      <c r="W2056" s="27">
        <f>U2056*V2056</f>
        <v/>
      </c>
      <c r="X2056" s="25">
        <f>T2056/N2056</f>
        <v/>
      </c>
      <c r="Y2056" s="28">
        <f>IF(W2056=MAXIFS(W$2:W$3601, A$2:A$3601, A2056, B$2:B$3601, B2056), "OPTIMAL", "")</f>
        <v/>
      </c>
    </row>
    <row r="2057" ht="20" customHeight="1">
      <c r="A2057" s="29" t="n">
        <v>-18</v>
      </c>
      <c r="B2057" s="29" t="n">
        <v>25</v>
      </c>
      <c r="C2057" s="30" t="n">
        <v>110</v>
      </c>
      <c r="D2057" s="30" t="n">
        <v>2</v>
      </c>
      <c r="E2057" s="6" t="n">
        <v>8</v>
      </c>
      <c r="F2057" s="30" t="n">
        <v>1.5</v>
      </c>
      <c r="G2057" s="6" t="inlineStr">
        <is>
          <t>Non</t>
        </is>
      </c>
      <c r="H2057" s="6" t="inlineStr">
        <is>
          <t>OFF</t>
        </is>
      </c>
      <c r="I2057" s="31" t="n">
        <v>604.2334594602274</v>
      </c>
      <c r="J2057" s="31" t="n">
        <v>4012.68388558375</v>
      </c>
      <c r="K2057" s="31" t="n">
        <v>3342.592592592593</v>
      </c>
      <c r="L2057" s="31" t="n">
        <v>150</v>
      </c>
      <c r="M2057" s="31">
        <f>I2057+J2057+K2057+L2057</f>
        <v/>
      </c>
      <c r="N2057" s="31">
        <f>M2057*'Dashboard &amp; Optimisation'!$B$18/('Dashboard &amp; Optimisation'!$B$16/3.6)</f>
        <v/>
      </c>
      <c r="O2057" s="31" t="n">
        <v>677.702219425828</v>
      </c>
      <c r="P2057" s="32" t="n">
        <v>0.2249419072717356</v>
      </c>
      <c r="Q2057" s="33" t="n">
        <v>12.00797549109863</v>
      </c>
      <c r="R2057" s="31" t="n">
        <v>816.0453089174038</v>
      </c>
      <c r="S2057" s="31">
        <f>R2057*IF(A2057=4, 2.0, 3.0)</f>
        <v/>
      </c>
      <c r="T2057" s="30">
        <f>'Dashboard &amp; Optimisation'!$B$18*U2057</f>
        <v/>
      </c>
      <c r="U2057" s="34">
        <f>MIN(1, S2057/M2057)</f>
        <v/>
      </c>
      <c r="V2057" s="34">
        <f>N2057/(N2057+O2057)</f>
        <v/>
      </c>
      <c r="W2057" s="34">
        <f>U2057*V2057</f>
        <v/>
      </c>
      <c r="X2057" s="32">
        <f>T2057/N2057</f>
        <v/>
      </c>
      <c r="Y2057" s="35">
        <f>IF(W2057=MAXIFS(W$2:W$3601, A$2:A$3601, A2057, B$2:B$3601, B2057), "OPTIMAL", "")</f>
        <v/>
      </c>
    </row>
    <row r="2058" ht="20" customHeight="1">
      <c r="A2058" s="21" t="n">
        <v>-18</v>
      </c>
      <c r="B2058" s="21" t="n">
        <v>25</v>
      </c>
      <c r="C2058" s="22" t="n">
        <v>110</v>
      </c>
      <c r="D2058" s="22" t="n">
        <v>2</v>
      </c>
      <c r="E2058" s="23" t="n">
        <v>8</v>
      </c>
      <c r="F2058" s="22" t="n">
        <v>2</v>
      </c>
      <c r="G2058" s="23" t="inlineStr">
        <is>
          <t>Oui</t>
        </is>
      </c>
      <c r="H2058" s="23" t="inlineStr">
        <is>
          <t>ON</t>
        </is>
      </c>
      <c r="I2058" s="24" t="n">
        <v>604.2334594602274</v>
      </c>
      <c r="J2058" s="24" t="n">
        <v>4012.68388558375</v>
      </c>
      <c r="K2058" s="24" t="n">
        <v>3342.592592592593</v>
      </c>
      <c r="L2058" s="24" t="n">
        <v>150</v>
      </c>
      <c r="M2058" s="24">
        <f>I2058+J2058+K2058+L2058</f>
        <v/>
      </c>
      <c r="N2058" s="24">
        <f>M2058*'Dashboard &amp; Optimisation'!$B$18/('Dashboard &amp; Optimisation'!$B$16/3.6)</f>
        <v/>
      </c>
      <c r="O2058" s="24" t="n">
        <v>807.9747714977584</v>
      </c>
      <c r="P2058" s="25" t="n">
        <v>0.05207352280953786</v>
      </c>
      <c r="Q2058" s="26" t="n">
        <v>15.94396732146484</v>
      </c>
      <c r="R2058" s="24" t="n">
        <v>3598.458584623085</v>
      </c>
      <c r="S2058" s="24">
        <f>R2058*IF(A2058=4, 2.0, 3.0)</f>
        <v/>
      </c>
      <c r="T2058" s="22">
        <f>'Dashboard &amp; Optimisation'!$B$18*U2058</f>
        <v/>
      </c>
      <c r="U2058" s="27">
        <f>MIN(1, S2058/M2058)</f>
        <v/>
      </c>
      <c r="V2058" s="27">
        <f>N2058/(N2058+O2058)</f>
        <v/>
      </c>
      <c r="W2058" s="27">
        <f>U2058*V2058</f>
        <v/>
      </c>
      <c r="X2058" s="25">
        <f>T2058/N2058</f>
        <v/>
      </c>
      <c r="Y2058" s="28">
        <f>IF(W2058=MAXIFS(W$2:W$3601, A$2:A$3601, A2058, B$2:B$3601, B2058), "OPTIMAL", "")</f>
        <v/>
      </c>
    </row>
    <row r="2059" ht="20" customHeight="1">
      <c r="A2059" s="29" t="n">
        <v>-18</v>
      </c>
      <c r="B2059" s="29" t="n">
        <v>25</v>
      </c>
      <c r="C2059" s="30" t="n">
        <v>110</v>
      </c>
      <c r="D2059" s="30" t="n">
        <v>2</v>
      </c>
      <c r="E2059" s="6" t="n">
        <v>8</v>
      </c>
      <c r="F2059" s="30" t="n">
        <v>2</v>
      </c>
      <c r="G2059" s="6" t="inlineStr">
        <is>
          <t>Oui</t>
        </is>
      </c>
      <c r="H2059" s="6" t="inlineStr">
        <is>
          <t>OFF</t>
        </is>
      </c>
      <c r="I2059" s="31" t="n">
        <v>604.2334594602274</v>
      </c>
      <c r="J2059" s="31" t="n">
        <v>4012.68388558375</v>
      </c>
      <c r="K2059" s="31" t="n">
        <v>3342.592592592593</v>
      </c>
      <c r="L2059" s="31" t="n">
        <v>150</v>
      </c>
      <c r="M2059" s="31">
        <f>I2059+J2059+K2059+L2059</f>
        <v/>
      </c>
      <c r="N2059" s="31">
        <f>M2059*'Dashboard &amp; Optimisation'!$B$18/('Dashboard &amp; Optimisation'!$B$16/3.6)</f>
        <v/>
      </c>
      <c r="O2059" s="31" t="n">
        <v>807.9747714977584</v>
      </c>
      <c r="P2059" s="32" t="n">
        <v>0.2276454001773911</v>
      </c>
      <c r="Q2059" s="33" t="n">
        <v>15.94396732146484</v>
      </c>
      <c r="R2059" s="31" t="n">
        <v>823.1416713868566</v>
      </c>
      <c r="S2059" s="31">
        <f>R2059*IF(A2059=4, 2.0, 3.0)</f>
        <v/>
      </c>
      <c r="T2059" s="30">
        <f>'Dashboard &amp; Optimisation'!$B$18*U2059</f>
        <v/>
      </c>
      <c r="U2059" s="34">
        <f>MIN(1, S2059/M2059)</f>
        <v/>
      </c>
      <c r="V2059" s="34">
        <f>N2059/(N2059+O2059)</f>
        <v/>
      </c>
      <c r="W2059" s="34">
        <f>U2059*V2059</f>
        <v/>
      </c>
      <c r="X2059" s="32">
        <f>T2059/N2059</f>
        <v/>
      </c>
      <c r="Y2059" s="35">
        <f>IF(W2059=MAXIFS(W$2:W$3601, A$2:A$3601, A2059, B$2:B$3601, B2059), "OPTIMAL", "")</f>
        <v/>
      </c>
    </row>
    <row r="2060" ht="20" customHeight="1">
      <c r="A2060" s="21" t="n">
        <v>-18</v>
      </c>
      <c r="B2060" s="21" t="n">
        <v>25</v>
      </c>
      <c r="C2060" s="22" t="n">
        <v>110</v>
      </c>
      <c r="D2060" s="22" t="n">
        <v>2</v>
      </c>
      <c r="E2060" s="23" t="n">
        <v>8</v>
      </c>
      <c r="F2060" s="22" t="n">
        <v>2</v>
      </c>
      <c r="G2060" s="23" t="inlineStr">
        <is>
          <t>Non</t>
        </is>
      </c>
      <c r="H2060" s="23" t="inlineStr">
        <is>
          <t>ON</t>
        </is>
      </c>
      <c r="I2060" s="24" t="n">
        <v>604.2334594602274</v>
      </c>
      <c r="J2060" s="24" t="n">
        <v>4012.68388558375</v>
      </c>
      <c r="K2060" s="24" t="n">
        <v>3342.592592592593</v>
      </c>
      <c r="L2060" s="24" t="n">
        <v>150</v>
      </c>
      <c r="M2060" s="24">
        <f>I2060+J2060+K2060+L2060</f>
        <v/>
      </c>
      <c r="N2060" s="24">
        <f>M2060*'Dashboard &amp; Optimisation'!$B$18/('Dashboard &amp; Optimisation'!$B$16/3.6)</f>
        <v/>
      </c>
      <c r="O2060" s="24" t="n">
        <v>807.9747714977584</v>
      </c>
      <c r="P2060" s="25" t="n">
        <v>0.0491797965715034</v>
      </c>
      <c r="Q2060" s="26" t="n">
        <v>15.94396732146484</v>
      </c>
      <c r="R2060" s="24" t="n">
        <v>3810.1909371078</v>
      </c>
      <c r="S2060" s="24">
        <f>R2060*IF(A2060=4, 2.0, 3.0)</f>
        <v/>
      </c>
      <c r="T2060" s="22">
        <f>'Dashboard &amp; Optimisation'!$B$18*U2060</f>
        <v/>
      </c>
      <c r="U2060" s="27">
        <f>MIN(1, S2060/M2060)</f>
        <v/>
      </c>
      <c r="V2060" s="27">
        <f>N2060/(N2060+O2060)</f>
        <v/>
      </c>
      <c r="W2060" s="27">
        <f>U2060*V2060</f>
        <v/>
      </c>
      <c r="X2060" s="25">
        <f>T2060/N2060</f>
        <v/>
      </c>
      <c r="Y2060" s="28">
        <f>IF(W2060=MAXIFS(W$2:W$3601, A$2:A$3601, A2060, B$2:B$3601, B2060), "OPTIMAL", "")</f>
        <v/>
      </c>
    </row>
    <row r="2061" ht="20" customHeight="1">
      <c r="A2061" s="29" t="n">
        <v>-18</v>
      </c>
      <c r="B2061" s="29" t="n">
        <v>25</v>
      </c>
      <c r="C2061" s="30" t="n">
        <v>110</v>
      </c>
      <c r="D2061" s="30" t="n">
        <v>2</v>
      </c>
      <c r="E2061" s="6" t="n">
        <v>8</v>
      </c>
      <c r="F2061" s="30" t="n">
        <v>2</v>
      </c>
      <c r="G2061" s="6" t="inlineStr">
        <is>
          <t>Non</t>
        </is>
      </c>
      <c r="H2061" s="6" t="inlineStr">
        <is>
          <t>OFF</t>
        </is>
      </c>
      <c r="I2061" s="31" t="n">
        <v>604.2334594602274</v>
      </c>
      <c r="J2061" s="31" t="n">
        <v>4012.68388558375</v>
      </c>
      <c r="K2061" s="31" t="n">
        <v>3342.592592592593</v>
      </c>
      <c r="L2061" s="31" t="n">
        <v>150</v>
      </c>
      <c r="M2061" s="31">
        <f>I2061+J2061+K2061+L2061</f>
        <v/>
      </c>
      <c r="N2061" s="31">
        <f>M2061*'Dashboard &amp; Optimisation'!$B$18/('Dashboard &amp; Optimisation'!$B$16/3.6)</f>
        <v/>
      </c>
      <c r="O2061" s="31" t="n">
        <v>807.9747714977584</v>
      </c>
      <c r="P2061" s="32" t="n">
        <v>0.2247516739393566</v>
      </c>
      <c r="Q2061" s="33" t="n">
        <v>15.94396732146484</v>
      </c>
      <c r="R2061" s="31" t="n">
        <v>833.7397978006087</v>
      </c>
      <c r="S2061" s="31">
        <f>R2061*IF(A2061=4, 2.0, 3.0)</f>
        <v/>
      </c>
      <c r="T2061" s="30">
        <f>'Dashboard &amp; Optimisation'!$B$18*U2061</f>
        <v/>
      </c>
      <c r="U2061" s="34">
        <f>MIN(1, S2061/M2061)</f>
        <v/>
      </c>
      <c r="V2061" s="34">
        <f>N2061/(N2061+O2061)</f>
        <v/>
      </c>
      <c r="W2061" s="34">
        <f>U2061*V2061</f>
        <v/>
      </c>
      <c r="X2061" s="32">
        <f>T2061/N2061</f>
        <v/>
      </c>
      <c r="Y2061" s="35">
        <f>IF(W2061=MAXIFS(W$2:W$3601, A$2:A$3601, A2061, B$2:B$3601, B2061), "OPTIMAL", "")</f>
        <v/>
      </c>
    </row>
    <row r="2062" ht="20" customHeight="1">
      <c r="A2062" s="21" t="n">
        <v>-18</v>
      </c>
      <c r="B2062" s="21" t="n">
        <v>25</v>
      </c>
      <c r="C2062" s="22" t="n">
        <v>110</v>
      </c>
      <c r="D2062" s="22" t="n">
        <v>3</v>
      </c>
      <c r="E2062" s="23" t="n">
        <v>0</v>
      </c>
      <c r="F2062" s="22" t="n">
        <v>0</v>
      </c>
      <c r="G2062" s="23" t="inlineStr">
        <is>
          <t>Oui</t>
        </is>
      </c>
      <c r="H2062" s="23" t="inlineStr">
        <is>
          <t>ON</t>
        </is>
      </c>
      <c r="I2062" s="24" t="n">
        <v>604.2334594602274</v>
      </c>
      <c r="J2062" s="24" t="n">
        <v>4012.68388558375</v>
      </c>
      <c r="K2062" s="24" t="n">
        <v>3342.592592592593</v>
      </c>
      <c r="L2062" s="24" t="n">
        <v>150</v>
      </c>
      <c r="M2062" s="24">
        <f>I2062+J2062+K2062+L2062</f>
        <v/>
      </c>
      <c r="N2062" s="24">
        <f>M2062*'Dashboard &amp; Optimisation'!$B$18/('Dashboard &amp; Optimisation'!$B$16/3.6)</f>
        <v/>
      </c>
      <c r="O2062" s="24" t="n">
        <v>489.2803524503738</v>
      </c>
      <c r="P2062" s="25" t="n">
        <v>0.4731677858497217</v>
      </c>
      <c r="Q2062" s="26" t="n">
        <v>0.2</v>
      </c>
      <c r="R2062" s="24" t="n">
        <v>379.7728711468274</v>
      </c>
      <c r="S2062" s="24">
        <f>R2062*IF(A2062=4, 2.0, 3.0)</f>
        <v/>
      </c>
      <c r="T2062" s="22">
        <f>'Dashboard &amp; Optimisation'!$B$18*U2062</f>
        <v/>
      </c>
      <c r="U2062" s="27">
        <f>MIN(1, S2062/M2062)</f>
        <v/>
      </c>
      <c r="V2062" s="27">
        <f>N2062/(N2062+O2062)</f>
        <v/>
      </c>
      <c r="W2062" s="27">
        <f>U2062*V2062</f>
        <v/>
      </c>
      <c r="X2062" s="25">
        <f>T2062/N2062</f>
        <v/>
      </c>
      <c r="Y2062" s="28">
        <f>IF(W2062=MAXIFS(W$2:W$3601, A$2:A$3601, A2062, B$2:B$3601, B2062), "OPTIMAL", "")</f>
        <v/>
      </c>
    </row>
    <row r="2063" ht="20" customHeight="1">
      <c r="A2063" s="29" t="n">
        <v>-18</v>
      </c>
      <c r="B2063" s="29" t="n">
        <v>25</v>
      </c>
      <c r="C2063" s="30" t="n">
        <v>110</v>
      </c>
      <c r="D2063" s="30" t="n">
        <v>3</v>
      </c>
      <c r="E2063" s="6" t="n">
        <v>0</v>
      </c>
      <c r="F2063" s="30" t="n">
        <v>0</v>
      </c>
      <c r="G2063" s="6" t="inlineStr">
        <is>
          <t>Oui</t>
        </is>
      </c>
      <c r="H2063" s="6" t="inlineStr">
        <is>
          <t>OFF</t>
        </is>
      </c>
      <c r="I2063" s="31" t="n">
        <v>604.2334594602274</v>
      </c>
      <c r="J2063" s="31" t="n">
        <v>4012.68388558375</v>
      </c>
      <c r="K2063" s="31" t="n">
        <v>3342.592592592593</v>
      </c>
      <c r="L2063" s="31" t="n">
        <v>150</v>
      </c>
      <c r="M2063" s="31">
        <f>I2063+J2063+K2063+L2063</f>
        <v/>
      </c>
      <c r="N2063" s="31">
        <f>M2063*'Dashboard &amp; Optimisation'!$B$18/('Dashboard &amp; Optimisation'!$B$16/3.6)</f>
        <v/>
      </c>
      <c r="O2063" s="31" t="n">
        <v>489.2803524503738</v>
      </c>
      <c r="P2063" s="32" t="n">
        <v>0.7625404096531678</v>
      </c>
      <c r="Q2063" s="33" t="n">
        <v>0.2</v>
      </c>
      <c r="R2063" s="31" t="n">
        <v>235.6547748703163</v>
      </c>
      <c r="S2063" s="31">
        <f>R2063*IF(A2063=4, 2.0, 3.0)</f>
        <v/>
      </c>
      <c r="T2063" s="30">
        <f>'Dashboard &amp; Optimisation'!$B$18*U2063</f>
        <v/>
      </c>
      <c r="U2063" s="34">
        <f>MIN(1, S2063/M2063)</f>
        <v/>
      </c>
      <c r="V2063" s="34">
        <f>N2063/(N2063+O2063)</f>
        <v/>
      </c>
      <c r="W2063" s="34">
        <f>U2063*V2063</f>
        <v/>
      </c>
      <c r="X2063" s="32">
        <f>T2063/N2063</f>
        <v/>
      </c>
      <c r="Y2063" s="35">
        <f>IF(W2063=MAXIFS(W$2:W$3601, A$2:A$3601, A2063, B$2:B$3601, B2063), "OPTIMAL", "")</f>
        <v/>
      </c>
    </row>
    <row r="2064" ht="20" customHeight="1">
      <c r="A2064" s="21" t="n">
        <v>-18</v>
      </c>
      <c r="B2064" s="21" t="n">
        <v>25</v>
      </c>
      <c r="C2064" s="22" t="n">
        <v>110</v>
      </c>
      <c r="D2064" s="22" t="n">
        <v>3</v>
      </c>
      <c r="E2064" s="23" t="n">
        <v>0</v>
      </c>
      <c r="F2064" s="22" t="n">
        <v>0</v>
      </c>
      <c r="G2064" s="23" t="inlineStr">
        <is>
          <t>Non</t>
        </is>
      </c>
      <c r="H2064" s="23" t="inlineStr">
        <is>
          <t>ON</t>
        </is>
      </c>
      <c r="I2064" s="24" t="n">
        <v>604.2334594602274</v>
      </c>
      <c r="J2064" s="24" t="n">
        <v>4012.68388558375</v>
      </c>
      <c r="K2064" s="24" t="n">
        <v>3342.592592592593</v>
      </c>
      <c r="L2064" s="24" t="n">
        <v>150</v>
      </c>
      <c r="M2064" s="24">
        <f>I2064+J2064+K2064+L2064</f>
        <v/>
      </c>
      <c r="N2064" s="24">
        <f>M2064*'Dashboard &amp; Optimisation'!$B$18/('Dashboard &amp; Optimisation'!$B$16/3.6)</f>
        <v/>
      </c>
      <c r="O2064" s="24" t="n">
        <v>489.2803524503738</v>
      </c>
      <c r="P2064" s="25" t="n">
        <v>0.4702740596116872</v>
      </c>
      <c r="Q2064" s="26" t="n">
        <v>0.2</v>
      </c>
      <c r="R2064" s="24" t="n">
        <v>382.1097185643496</v>
      </c>
      <c r="S2064" s="24">
        <f>R2064*IF(A2064=4, 2.0, 3.0)</f>
        <v/>
      </c>
      <c r="T2064" s="22">
        <f>'Dashboard &amp; Optimisation'!$B$18*U2064</f>
        <v/>
      </c>
      <c r="U2064" s="27">
        <f>MIN(1, S2064/M2064)</f>
        <v/>
      </c>
      <c r="V2064" s="27">
        <f>N2064/(N2064+O2064)</f>
        <v/>
      </c>
      <c r="W2064" s="27">
        <f>U2064*V2064</f>
        <v/>
      </c>
      <c r="X2064" s="25">
        <f>T2064/N2064</f>
        <v/>
      </c>
      <c r="Y2064" s="28">
        <f>IF(W2064=MAXIFS(W$2:W$3601, A$2:A$3601, A2064, B$2:B$3601, B2064), "OPTIMAL", "")</f>
        <v/>
      </c>
    </row>
    <row r="2065" ht="20" customHeight="1">
      <c r="A2065" s="29" t="n">
        <v>-18</v>
      </c>
      <c r="B2065" s="29" t="n">
        <v>25</v>
      </c>
      <c r="C2065" s="30" t="n">
        <v>110</v>
      </c>
      <c r="D2065" s="30" t="n">
        <v>3</v>
      </c>
      <c r="E2065" s="6" t="n">
        <v>0</v>
      </c>
      <c r="F2065" s="30" t="n">
        <v>0</v>
      </c>
      <c r="G2065" s="6" t="inlineStr">
        <is>
          <t>Non</t>
        </is>
      </c>
      <c r="H2065" s="6" t="inlineStr">
        <is>
          <t>OFF</t>
        </is>
      </c>
      <c r="I2065" s="31" t="n">
        <v>604.2334594602274</v>
      </c>
      <c r="J2065" s="31" t="n">
        <v>4012.68388558375</v>
      </c>
      <c r="K2065" s="31" t="n">
        <v>3342.592592592593</v>
      </c>
      <c r="L2065" s="31" t="n">
        <v>150</v>
      </c>
      <c r="M2065" s="31">
        <f>I2065+J2065+K2065+L2065</f>
        <v/>
      </c>
      <c r="N2065" s="31">
        <f>M2065*'Dashboard &amp; Optimisation'!$B$18/('Dashboard &amp; Optimisation'!$B$16/3.6)</f>
        <v/>
      </c>
      <c r="O2065" s="31" t="n">
        <v>489.2803524503738</v>
      </c>
      <c r="P2065" s="32" t="n">
        <v>0.7596466834151334</v>
      </c>
      <c r="Q2065" s="33" t="n">
        <v>0.2</v>
      </c>
      <c r="R2065" s="31" t="n">
        <v>236.5524558844617</v>
      </c>
      <c r="S2065" s="31">
        <f>R2065*IF(A2065=4, 2.0, 3.0)</f>
        <v/>
      </c>
      <c r="T2065" s="30">
        <f>'Dashboard &amp; Optimisation'!$B$18*U2065</f>
        <v/>
      </c>
      <c r="U2065" s="34">
        <f>MIN(1, S2065/M2065)</f>
        <v/>
      </c>
      <c r="V2065" s="34">
        <f>N2065/(N2065+O2065)</f>
        <v/>
      </c>
      <c r="W2065" s="34">
        <f>U2065*V2065</f>
        <v/>
      </c>
      <c r="X2065" s="32">
        <f>T2065/N2065</f>
        <v/>
      </c>
      <c r="Y2065" s="35">
        <f>IF(W2065=MAXIFS(W$2:W$3601, A$2:A$3601, A2065, B$2:B$3601, B2065), "OPTIMAL", "")</f>
        <v/>
      </c>
    </row>
    <row r="2066" ht="20" customHeight="1">
      <c r="A2066" s="21" t="n">
        <v>-18</v>
      </c>
      <c r="B2066" s="21" t="n">
        <v>25</v>
      </c>
      <c r="C2066" s="22" t="n">
        <v>110</v>
      </c>
      <c r="D2066" s="22" t="n">
        <v>3</v>
      </c>
      <c r="E2066" s="23" t="n">
        <v>4</v>
      </c>
      <c r="F2066" s="22" t="n">
        <v>1.5</v>
      </c>
      <c r="G2066" s="23" t="inlineStr">
        <is>
          <t>Oui</t>
        </is>
      </c>
      <c r="H2066" s="23" t="inlineStr">
        <is>
          <t>ON</t>
        </is>
      </c>
      <c r="I2066" s="24" t="n">
        <v>604.2334594602274</v>
      </c>
      <c r="J2066" s="24" t="n">
        <v>4012.68388558375</v>
      </c>
      <c r="K2066" s="24" t="n">
        <v>3342.592592592593</v>
      </c>
      <c r="L2066" s="24" t="n">
        <v>150</v>
      </c>
      <c r="M2066" s="24">
        <f>I2066+J2066+K2066+L2066</f>
        <v/>
      </c>
      <c r="N2066" s="24">
        <f>M2066*'Dashboard &amp; Optimisation'!$B$18/('Dashboard &amp; Optimisation'!$B$16/3.6)</f>
        <v/>
      </c>
      <c r="O2066" s="24" t="n">
        <v>673.8467422706957</v>
      </c>
      <c r="P2066" s="25" t="n">
        <v>0.07040639651024357</v>
      </c>
      <c r="Q2066" s="26" t="n">
        <v>6.217525971425261</v>
      </c>
      <c r="R2066" s="24" t="n">
        <v>2629.534365456177</v>
      </c>
      <c r="S2066" s="24">
        <f>R2066*IF(A2066=4, 2.0, 3.0)</f>
        <v/>
      </c>
      <c r="T2066" s="22">
        <f>'Dashboard &amp; Optimisation'!$B$18*U2066</f>
        <v/>
      </c>
      <c r="U2066" s="27">
        <f>MIN(1, S2066/M2066)</f>
        <v/>
      </c>
      <c r="V2066" s="27">
        <f>N2066/(N2066+O2066)</f>
        <v/>
      </c>
      <c r="W2066" s="27">
        <f>U2066*V2066</f>
        <v/>
      </c>
      <c r="X2066" s="25">
        <f>T2066/N2066</f>
        <v/>
      </c>
      <c r="Y2066" s="28">
        <f>IF(W2066=MAXIFS(W$2:W$3601, A$2:A$3601, A2066, B$2:B$3601, B2066), "OPTIMAL", "")</f>
        <v/>
      </c>
    </row>
    <row r="2067" ht="20" customHeight="1">
      <c r="A2067" s="29" t="n">
        <v>-18</v>
      </c>
      <c r="B2067" s="29" t="n">
        <v>25</v>
      </c>
      <c r="C2067" s="30" t="n">
        <v>110</v>
      </c>
      <c r="D2067" s="30" t="n">
        <v>3</v>
      </c>
      <c r="E2067" s="6" t="n">
        <v>4</v>
      </c>
      <c r="F2067" s="30" t="n">
        <v>1.5</v>
      </c>
      <c r="G2067" s="6" t="inlineStr">
        <is>
          <t>Oui</t>
        </is>
      </c>
      <c r="H2067" s="6" t="inlineStr">
        <is>
          <t>OFF</t>
        </is>
      </c>
      <c r="I2067" s="31" t="n">
        <v>604.2334594602274</v>
      </c>
      <c r="J2067" s="31" t="n">
        <v>4012.68388558375</v>
      </c>
      <c r="K2067" s="31" t="n">
        <v>3342.592592592593</v>
      </c>
      <c r="L2067" s="31" t="n">
        <v>150</v>
      </c>
      <c r="M2067" s="31">
        <f>I2067+J2067+K2067+L2067</f>
        <v/>
      </c>
      <c r="N2067" s="31">
        <f>M2067*'Dashboard &amp; Optimisation'!$B$18/('Dashboard &amp; Optimisation'!$B$16/3.6)</f>
        <v/>
      </c>
      <c r="O2067" s="31" t="n">
        <v>673.8467422706957</v>
      </c>
      <c r="P2067" s="32" t="n">
        <v>0.2880026189593694</v>
      </c>
      <c r="Q2067" s="33" t="n">
        <v>6.217525971425261</v>
      </c>
      <c r="R2067" s="31" t="n">
        <v>642.8276237228863</v>
      </c>
      <c r="S2067" s="31">
        <f>R2067*IF(A2067=4, 2.0, 3.0)</f>
        <v/>
      </c>
      <c r="T2067" s="30">
        <f>'Dashboard &amp; Optimisation'!$B$18*U2067</f>
        <v/>
      </c>
      <c r="U2067" s="34">
        <f>MIN(1, S2067/M2067)</f>
        <v/>
      </c>
      <c r="V2067" s="34">
        <f>N2067/(N2067+O2067)</f>
        <v/>
      </c>
      <c r="W2067" s="34">
        <f>U2067*V2067</f>
        <v/>
      </c>
      <c r="X2067" s="32">
        <f>T2067/N2067</f>
        <v/>
      </c>
      <c r="Y2067" s="35">
        <f>IF(W2067=MAXIFS(W$2:W$3601, A$2:A$3601, A2067, B$2:B$3601, B2067), "OPTIMAL", "")</f>
        <v/>
      </c>
    </row>
    <row r="2068" ht="20" customHeight="1">
      <c r="A2068" s="21" t="n">
        <v>-18</v>
      </c>
      <c r="B2068" s="21" t="n">
        <v>25</v>
      </c>
      <c r="C2068" s="22" t="n">
        <v>110</v>
      </c>
      <c r="D2068" s="22" t="n">
        <v>3</v>
      </c>
      <c r="E2068" s="23" t="n">
        <v>4</v>
      </c>
      <c r="F2068" s="22" t="n">
        <v>1.5</v>
      </c>
      <c r="G2068" s="23" t="inlineStr">
        <is>
          <t>Non</t>
        </is>
      </c>
      <c r="H2068" s="23" t="inlineStr">
        <is>
          <t>ON</t>
        </is>
      </c>
      <c r="I2068" s="24" t="n">
        <v>604.2334594602274</v>
      </c>
      <c r="J2068" s="24" t="n">
        <v>4012.68388558375</v>
      </c>
      <c r="K2068" s="24" t="n">
        <v>3342.592592592593</v>
      </c>
      <c r="L2068" s="24" t="n">
        <v>150</v>
      </c>
      <c r="M2068" s="24">
        <f>I2068+J2068+K2068+L2068</f>
        <v/>
      </c>
      <c r="N2068" s="24">
        <f>M2068*'Dashboard &amp; Optimisation'!$B$18/('Dashboard &amp; Optimisation'!$B$16/3.6)</f>
        <v/>
      </c>
      <c r="O2068" s="24" t="n">
        <v>673.8467422706957</v>
      </c>
      <c r="P2068" s="25" t="n">
        <v>0.06751267027220911</v>
      </c>
      <c r="Q2068" s="26" t="n">
        <v>6.217525971425261</v>
      </c>
      <c r="R2068" s="24" t="n">
        <v>2742.241395950659</v>
      </c>
      <c r="S2068" s="24">
        <f>R2068*IF(A2068=4, 2.0, 3.0)</f>
        <v/>
      </c>
      <c r="T2068" s="22">
        <f>'Dashboard &amp; Optimisation'!$B$18*U2068</f>
        <v/>
      </c>
      <c r="U2068" s="27">
        <f>MIN(1, S2068/M2068)</f>
        <v/>
      </c>
      <c r="V2068" s="27">
        <f>N2068/(N2068+O2068)</f>
        <v/>
      </c>
      <c r="W2068" s="27">
        <f>U2068*V2068</f>
        <v/>
      </c>
      <c r="X2068" s="25">
        <f>T2068/N2068</f>
        <v/>
      </c>
      <c r="Y2068" s="28">
        <f>IF(W2068=MAXIFS(W$2:W$3601, A$2:A$3601, A2068, B$2:B$3601, B2068), "OPTIMAL", "")</f>
        <v/>
      </c>
    </row>
    <row r="2069" ht="20" customHeight="1">
      <c r="A2069" s="29" t="n">
        <v>-18</v>
      </c>
      <c r="B2069" s="29" t="n">
        <v>25</v>
      </c>
      <c r="C2069" s="30" t="n">
        <v>110</v>
      </c>
      <c r="D2069" s="30" t="n">
        <v>3</v>
      </c>
      <c r="E2069" s="6" t="n">
        <v>4</v>
      </c>
      <c r="F2069" s="30" t="n">
        <v>1.5</v>
      </c>
      <c r="G2069" s="6" t="inlineStr">
        <is>
          <t>Non</t>
        </is>
      </c>
      <c r="H2069" s="6" t="inlineStr">
        <is>
          <t>OFF</t>
        </is>
      </c>
      <c r="I2069" s="31" t="n">
        <v>604.2334594602274</v>
      </c>
      <c r="J2069" s="31" t="n">
        <v>4012.68388558375</v>
      </c>
      <c r="K2069" s="31" t="n">
        <v>3342.592592592593</v>
      </c>
      <c r="L2069" s="31" t="n">
        <v>150</v>
      </c>
      <c r="M2069" s="31">
        <f>I2069+J2069+K2069+L2069</f>
        <v/>
      </c>
      <c r="N2069" s="31">
        <f>M2069*'Dashboard &amp; Optimisation'!$B$18/('Dashboard &amp; Optimisation'!$B$16/3.6)</f>
        <v/>
      </c>
      <c r="O2069" s="31" t="n">
        <v>673.8467422706957</v>
      </c>
      <c r="P2069" s="32" t="n">
        <v>0.2851088927213349</v>
      </c>
      <c r="Q2069" s="33" t="n">
        <v>6.217525971425261</v>
      </c>
      <c r="R2069" s="31" t="n">
        <v>649.3520331986664</v>
      </c>
      <c r="S2069" s="31">
        <f>R2069*IF(A2069=4, 2.0, 3.0)</f>
        <v/>
      </c>
      <c r="T2069" s="30">
        <f>'Dashboard &amp; Optimisation'!$B$18*U2069</f>
        <v/>
      </c>
      <c r="U2069" s="34">
        <f>MIN(1, S2069/M2069)</f>
        <v/>
      </c>
      <c r="V2069" s="34">
        <f>N2069/(N2069+O2069)</f>
        <v/>
      </c>
      <c r="W2069" s="34">
        <f>U2069*V2069</f>
        <v/>
      </c>
      <c r="X2069" s="32">
        <f>T2069/N2069</f>
        <v/>
      </c>
      <c r="Y2069" s="35">
        <f>IF(W2069=MAXIFS(W$2:W$3601, A$2:A$3601, A2069, B$2:B$3601, B2069), "OPTIMAL", "")</f>
        <v/>
      </c>
    </row>
    <row r="2070" ht="20" customHeight="1">
      <c r="A2070" s="21" t="n">
        <v>-18</v>
      </c>
      <c r="B2070" s="21" t="n">
        <v>25</v>
      </c>
      <c r="C2070" s="22" t="n">
        <v>110</v>
      </c>
      <c r="D2070" s="22" t="n">
        <v>3</v>
      </c>
      <c r="E2070" s="23" t="n">
        <v>4</v>
      </c>
      <c r="F2070" s="22" t="n">
        <v>2</v>
      </c>
      <c r="G2070" s="23" t="inlineStr">
        <is>
          <t>Oui</t>
        </is>
      </c>
      <c r="H2070" s="23" t="inlineStr">
        <is>
          <t>ON</t>
        </is>
      </c>
      <c r="I2070" s="24" t="n">
        <v>604.2334594602274</v>
      </c>
      <c r="J2070" s="24" t="n">
        <v>4012.68388558375</v>
      </c>
      <c r="K2070" s="24" t="n">
        <v>3342.592592592593</v>
      </c>
      <c r="L2070" s="24" t="n">
        <v>150</v>
      </c>
      <c r="M2070" s="24">
        <f>I2070+J2070+K2070+L2070</f>
        <v/>
      </c>
      <c r="N2070" s="24">
        <f>M2070*'Dashboard &amp; Optimisation'!$B$18/('Dashboard &amp; Optimisation'!$B$16/3.6)</f>
        <v/>
      </c>
      <c r="O2070" s="24" t="n">
        <v>737.8773747763604</v>
      </c>
      <c r="P2070" s="25" t="n">
        <v>0.06745693940259542</v>
      </c>
      <c r="Q2070" s="26" t="n">
        <v>8.223367961900347</v>
      </c>
      <c r="R2070" s="24" t="n">
        <v>2772.483075440173</v>
      </c>
      <c r="S2070" s="24">
        <f>R2070*IF(A2070=4, 2.0, 3.0)</f>
        <v/>
      </c>
      <c r="T2070" s="22">
        <f>'Dashboard &amp; Optimisation'!$B$18*U2070</f>
        <v/>
      </c>
      <c r="U2070" s="27">
        <f>MIN(1, S2070/M2070)</f>
        <v/>
      </c>
      <c r="V2070" s="27">
        <f>N2070/(N2070+O2070)</f>
        <v/>
      </c>
      <c r="W2070" s="27">
        <f>U2070*V2070</f>
        <v/>
      </c>
      <c r="X2070" s="25">
        <f>T2070/N2070</f>
        <v/>
      </c>
      <c r="Y2070" s="28">
        <f>IF(W2070=MAXIFS(W$2:W$3601, A$2:A$3601, A2070, B$2:B$3601, B2070), "OPTIMAL", "")</f>
        <v/>
      </c>
    </row>
    <row r="2071" ht="20" customHeight="1">
      <c r="A2071" s="29" t="n">
        <v>-18</v>
      </c>
      <c r="B2071" s="29" t="n">
        <v>25</v>
      </c>
      <c r="C2071" s="30" t="n">
        <v>110</v>
      </c>
      <c r="D2071" s="30" t="n">
        <v>3</v>
      </c>
      <c r="E2071" s="6" t="n">
        <v>4</v>
      </c>
      <c r="F2071" s="30" t="n">
        <v>2</v>
      </c>
      <c r="G2071" s="6" t="inlineStr">
        <is>
          <t>Oui</t>
        </is>
      </c>
      <c r="H2071" s="6" t="inlineStr">
        <is>
          <t>OFF</t>
        </is>
      </c>
      <c r="I2071" s="31" t="n">
        <v>604.2334594602274</v>
      </c>
      <c r="J2071" s="31" t="n">
        <v>4012.68388558375</v>
      </c>
      <c r="K2071" s="31" t="n">
        <v>3342.592592592593</v>
      </c>
      <c r="L2071" s="31" t="n">
        <v>150</v>
      </c>
      <c r="M2071" s="31">
        <f>I2071+J2071+K2071+L2071</f>
        <v/>
      </c>
      <c r="N2071" s="31">
        <f>M2071*'Dashboard &amp; Optimisation'!$B$18/('Dashboard &amp; Optimisation'!$B$16/3.6)</f>
        <v/>
      </c>
      <c r="O2071" s="31" t="n">
        <v>737.8773747763604</v>
      </c>
      <c r="P2071" s="32" t="n">
        <v>0.286002519850184</v>
      </c>
      <c r="Q2071" s="33" t="n">
        <v>8.223367961900347</v>
      </c>
      <c r="R2071" s="31" t="n">
        <v>653.9215910148521</v>
      </c>
      <c r="S2071" s="31">
        <f>R2071*IF(A2071=4, 2.0, 3.0)</f>
        <v/>
      </c>
      <c r="T2071" s="30">
        <f>'Dashboard &amp; Optimisation'!$B$18*U2071</f>
        <v/>
      </c>
      <c r="U2071" s="34">
        <f>MIN(1, S2071/M2071)</f>
        <v/>
      </c>
      <c r="V2071" s="34">
        <f>N2071/(N2071+O2071)</f>
        <v/>
      </c>
      <c r="W2071" s="34">
        <f>U2071*V2071</f>
        <v/>
      </c>
      <c r="X2071" s="32">
        <f>T2071/N2071</f>
        <v/>
      </c>
      <c r="Y2071" s="35">
        <f>IF(W2071=MAXIFS(W$2:W$3601, A$2:A$3601, A2071, B$2:B$3601, B2071), "OPTIMAL", "")</f>
        <v/>
      </c>
    </row>
    <row r="2072" ht="20" customHeight="1">
      <c r="A2072" s="21" t="n">
        <v>-18</v>
      </c>
      <c r="B2072" s="21" t="n">
        <v>25</v>
      </c>
      <c r="C2072" s="22" t="n">
        <v>110</v>
      </c>
      <c r="D2072" s="22" t="n">
        <v>3</v>
      </c>
      <c r="E2072" s="23" t="n">
        <v>4</v>
      </c>
      <c r="F2072" s="22" t="n">
        <v>2</v>
      </c>
      <c r="G2072" s="23" t="inlineStr">
        <is>
          <t>Non</t>
        </is>
      </c>
      <c r="H2072" s="23" t="inlineStr">
        <is>
          <t>ON</t>
        </is>
      </c>
      <c r="I2072" s="24" t="n">
        <v>604.2334594602274</v>
      </c>
      <c r="J2072" s="24" t="n">
        <v>4012.68388558375</v>
      </c>
      <c r="K2072" s="24" t="n">
        <v>3342.592592592593</v>
      </c>
      <c r="L2072" s="24" t="n">
        <v>150</v>
      </c>
      <c r="M2072" s="24">
        <f>I2072+J2072+K2072+L2072</f>
        <v/>
      </c>
      <c r="N2072" s="24">
        <f>M2072*'Dashboard &amp; Optimisation'!$B$18/('Dashboard &amp; Optimisation'!$B$16/3.6)</f>
        <v/>
      </c>
      <c r="O2072" s="24" t="n">
        <v>737.8773747763604</v>
      </c>
      <c r="P2072" s="25" t="n">
        <v>0.06456321316456097</v>
      </c>
      <c r="Q2072" s="26" t="n">
        <v>8.223367961900347</v>
      </c>
      <c r="R2072" s="24" t="n">
        <v>2896.745896738407</v>
      </c>
      <c r="S2072" s="24">
        <f>R2072*IF(A2072=4, 2.0, 3.0)</f>
        <v/>
      </c>
      <c r="T2072" s="22">
        <f>'Dashboard &amp; Optimisation'!$B$18*U2072</f>
        <v/>
      </c>
      <c r="U2072" s="27">
        <f>MIN(1, S2072/M2072)</f>
        <v/>
      </c>
      <c r="V2072" s="27">
        <f>N2072/(N2072+O2072)</f>
        <v/>
      </c>
      <c r="W2072" s="27">
        <f>U2072*V2072</f>
        <v/>
      </c>
      <c r="X2072" s="25">
        <f>T2072/N2072</f>
        <v/>
      </c>
      <c r="Y2072" s="28">
        <f>IF(W2072=MAXIFS(W$2:W$3601, A$2:A$3601, A2072, B$2:B$3601, B2072), "OPTIMAL", "")</f>
        <v/>
      </c>
    </row>
    <row r="2073" ht="20" customHeight="1">
      <c r="A2073" s="29" t="n">
        <v>-18</v>
      </c>
      <c r="B2073" s="29" t="n">
        <v>25</v>
      </c>
      <c r="C2073" s="30" t="n">
        <v>110</v>
      </c>
      <c r="D2073" s="30" t="n">
        <v>3</v>
      </c>
      <c r="E2073" s="6" t="n">
        <v>4</v>
      </c>
      <c r="F2073" s="30" t="n">
        <v>2</v>
      </c>
      <c r="G2073" s="6" t="inlineStr">
        <is>
          <t>Non</t>
        </is>
      </c>
      <c r="H2073" s="6" t="inlineStr">
        <is>
          <t>OFF</t>
        </is>
      </c>
      <c r="I2073" s="31" t="n">
        <v>604.2334594602274</v>
      </c>
      <c r="J2073" s="31" t="n">
        <v>4012.68388558375</v>
      </c>
      <c r="K2073" s="31" t="n">
        <v>3342.592592592593</v>
      </c>
      <c r="L2073" s="31" t="n">
        <v>150</v>
      </c>
      <c r="M2073" s="31">
        <f>I2073+J2073+K2073+L2073</f>
        <v/>
      </c>
      <c r="N2073" s="31">
        <f>M2073*'Dashboard &amp; Optimisation'!$B$18/('Dashboard &amp; Optimisation'!$B$16/3.6)</f>
        <v/>
      </c>
      <c r="O2073" s="31" t="n">
        <v>737.8773747763604</v>
      </c>
      <c r="P2073" s="32" t="n">
        <v>0.2831087936121495</v>
      </c>
      <c r="Q2073" s="33" t="n">
        <v>8.223367961900347</v>
      </c>
      <c r="R2073" s="31" t="n">
        <v>660.6054881887748</v>
      </c>
      <c r="S2073" s="31">
        <f>R2073*IF(A2073=4, 2.0, 3.0)</f>
        <v/>
      </c>
      <c r="T2073" s="30">
        <f>'Dashboard &amp; Optimisation'!$B$18*U2073</f>
        <v/>
      </c>
      <c r="U2073" s="34">
        <f>MIN(1, S2073/M2073)</f>
        <v/>
      </c>
      <c r="V2073" s="34">
        <f>N2073/(N2073+O2073)</f>
        <v/>
      </c>
      <c r="W2073" s="34">
        <f>U2073*V2073</f>
        <v/>
      </c>
      <c r="X2073" s="32">
        <f>T2073/N2073</f>
        <v/>
      </c>
      <c r="Y2073" s="35">
        <f>IF(W2073=MAXIFS(W$2:W$3601, A$2:A$3601, A2073, B$2:B$3601, B2073), "OPTIMAL", "")</f>
        <v/>
      </c>
    </row>
    <row r="2074" ht="20" customHeight="1">
      <c r="A2074" s="21" t="n">
        <v>-18</v>
      </c>
      <c r="B2074" s="21" t="n">
        <v>25</v>
      </c>
      <c r="C2074" s="22" t="n">
        <v>110</v>
      </c>
      <c r="D2074" s="22" t="n">
        <v>3</v>
      </c>
      <c r="E2074" s="23" t="n">
        <v>8</v>
      </c>
      <c r="F2074" s="22" t="n">
        <v>1.5</v>
      </c>
      <c r="G2074" s="23" t="inlineStr">
        <is>
          <t>Oui</t>
        </is>
      </c>
      <c r="H2074" s="23" t="inlineStr">
        <is>
          <t>ON</t>
        </is>
      </c>
      <c r="I2074" s="24" t="n">
        <v>604.2334594602274</v>
      </c>
      <c r="J2074" s="24" t="n">
        <v>4012.68388558375</v>
      </c>
      <c r="K2074" s="24" t="n">
        <v>3342.592592592593</v>
      </c>
      <c r="L2074" s="24" t="n">
        <v>150</v>
      </c>
      <c r="M2074" s="24">
        <f>I2074+J2074+K2074+L2074</f>
        <v/>
      </c>
      <c r="N2074" s="24">
        <f>M2074*'Dashboard &amp; Optimisation'!$B$18/('Dashboard &amp; Optimisation'!$B$16/3.6)</f>
        <v/>
      </c>
      <c r="O2074" s="24" t="n">
        <v>869.9363167300291</v>
      </c>
      <c r="P2074" s="25" t="n">
        <v>0.05337810813348487</v>
      </c>
      <c r="Q2074" s="26" t="n">
        <v>12.23505194285052</v>
      </c>
      <c r="R2074" s="24" t="n">
        <v>3576.661310401616</v>
      </c>
      <c r="S2074" s="24">
        <f>R2074*IF(A2074=4, 2.0, 3.0)</f>
        <v/>
      </c>
      <c r="T2074" s="22">
        <f>'Dashboard &amp; Optimisation'!$B$18*U2074</f>
        <v/>
      </c>
      <c r="U2074" s="27">
        <f>MIN(1, S2074/M2074)</f>
        <v/>
      </c>
      <c r="V2074" s="27">
        <f>N2074/(N2074+O2074)</f>
        <v/>
      </c>
      <c r="W2074" s="27">
        <f>U2074*V2074</f>
        <v/>
      </c>
      <c r="X2074" s="25">
        <f>T2074/N2074</f>
        <v/>
      </c>
      <c r="Y2074" s="28">
        <f>IF(W2074=MAXIFS(W$2:W$3601, A$2:A$3601, A2074, B$2:B$3601, B2074), "OPTIMAL", "")</f>
        <v/>
      </c>
    </row>
    <row r="2075" ht="20" customHeight="1">
      <c r="A2075" s="29" t="n">
        <v>-18</v>
      </c>
      <c r="B2075" s="29" t="n">
        <v>25</v>
      </c>
      <c r="C2075" s="30" t="n">
        <v>110</v>
      </c>
      <c r="D2075" s="30" t="n">
        <v>3</v>
      </c>
      <c r="E2075" s="6" t="n">
        <v>8</v>
      </c>
      <c r="F2075" s="30" t="n">
        <v>1.5</v>
      </c>
      <c r="G2075" s="6" t="inlineStr">
        <is>
          <t>Oui</t>
        </is>
      </c>
      <c r="H2075" s="6" t="inlineStr">
        <is>
          <t>OFF</t>
        </is>
      </c>
      <c r="I2075" s="31" t="n">
        <v>604.2334594602274</v>
      </c>
      <c r="J2075" s="31" t="n">
        <v>4012.68388558375</v>
      </c>
      <c r="K2075" s="31" t="n">
        <v>3342.592592592593</v>
      </c>
      <c r="L2075" s="31" t="n">
        <v>150</v>
      </c>
      <c r="M2075" s="31">
        <f>I2075+J2075+K2075+L2075</f>
        <v/>
      </c>
      <c r="N2075" s="31">
        <f>M2075*'Dashboard &amp; Optimisation'!$B$18/('Dashboard &amp; Optimisation'!$B$16/3.6)</f>
        <v/>
      </c>
      <c r="O2075" s="31" t="n">
        <v>869.9363167300291</v>
      </c>
      <c r="P2075" s="32" t="n">
        <v>0.2277274271081772</v>
      </c>
      <c r="Q2075" s="33" t="n">
        <v>12.23505194285052</v>
      </c>
      <c r="R2075" s="31" t="n">
        <v>838.3505518322073</v>
      </c>
      <c r="S2075" s="31">
        <f>R2075*IF(A2075=4, 2.0, 3.0)</f>
        <v/>
      </c>
      <c r="T2075" s="30">
        <f>'Dashboard &amp; Optimisation'!$B$18*U2075</f>
        <v/>
      </c>
      <c r="U2075" s="34">
        <f>MIN(1, S2075/M2075)</f>
        <v/>
      </c>
      <c r="V2075" s="34">
        <f>N2075/(N2075+O2075)</f>
        <v/>
      </c>
      <c r="W2075" s="34">
        <f>U2075*V2075</f>
        <v/>
      </c>
      <c r="X2075" s="32">
        <f>T2075/N2075</f>
        <v/>
      </c>
      <c r="Y2075" s="35">
        <f>IF(W2075=MAXIFS(W$2:W$3601, A$2:A$3601, A2075, B$2:B$3601, B2075), "OPTIMAL", "")</f>
        <v/>
      </c>
    </row>
    <row r="2076" ht="20" customHeight="1">
      <c r="A2076" s="21" t="n">
        <v>-18</v>
      </c>
      <c r="B2076" s="21" t="n">
        <v>25</v>
      </c>
      <c r="C2076" s="22" t="n">
        <v>110</v>
      </c>
      <c r="D2076" s="22" t="n">
        <v>3</v>
      </c>
      <c r="E2076" s="23" t="n">
        <v>8</v>
      </c>
      <c r="F2076" s="22" t="n">
        <v>1.5</v>
      </c>
      <c r="G2076" s="23" t="inlineStr">
        <is>
          <t>Non</t>
        </is>
      </c>
      <c r="H2076" s="23" t="inlineStr">
        <is>
          <t>ON</t>
        </is>
      </c>
      <c r="I2076" s="24" t="n">
        <v>604.2334594602274</v>
      </c>
      <c r="J2076" s="24" t="n">
        <v>4012.68388558375</v>
      </c>
      <c r="K2076" s="24" t="n">
        <v>3342.592592592593</v>
      </c>
      <c r="L2076" s="24" t="n">
        <v>150</v>
      </c>
      <c r="M2076" s="24">
        <f>I2076+J2076+K2076+L2076</f>
        <v/>
      </c>
      <c r="N2076" s="24">
        <f>M2076*'Dashboard &amp; Optimisation'!$B$18/('Dashboard &amp; Optimisation'!$B$16/3.6)</f>
        <v/>
      </c>
      <c r="O2076" s="24" t="n">
        <v>869.9363167300291</v>
      </c>
      <c r="P2076" s="25" t="n">
        <v>0.05048438189545042</v>
      </c>
      <c r="Q2076" s="26" t="n">
        <v>12.23505194285052</v>
      </c>
      <c r="R2076" s="24" t="n">
        <v>3781.672806826505</v>
      </c>
      <c r="S2076" s="24">
        <f>R2076*IF(A2076=4, 2.0, 3.0)</f>
        <v/>
      </c>
      <c r="T2076" s="22">
        <f>'Dashboard &amp; Optimisation'!$B$18*U2076</f>
        <v/>
      </c>
      <c r="U2076" s="27">
        <f>MIN(1, S2076/M2076)</f>
        <v/>
      </c>
      <c r="V2076" s="27">
        <f>N2076/(N2076+O2076)</f>
        <v/>
      </c>
      <c r="W2076" s="27">
        <f>U2076*V2076</f>
        <v/>
      </c>
      <c r="X2076" s="25">
        <f>T2076/N2076</f>
        <v/>
      </c>
      <c r="Y2076" s="28">
        <f>IF(W2076=MAXIFS(W$2:W$3601, A$2:A$3601, A2076, B$2:B$3601, B2076), "OPTIMAL", "")</f>
        <v/>
      </c>
    </row>
    <row r="2077" ht="20" customHeight="1">
      <c r="A2077" s="29" t="n">
        <v>-18</v>
      </c>
      <c r="B2077" s="29" t="n">
        <v>25</v>
      </c>
      <c r="C2077" s="30" t="n">
        <v>110</v>
      </c>
      <c r="D2077" s="30" t="n">
        <v>3</v>
      </c>
      <c r="E2077" s="6" t="n">
        <v>8</v>
      </c>
      <c r="F2077" s="30" t="n">
        <v>1.5</v>
      </c>
      <c r="G2077" s="6" t="inlineStr">
        <is>
          <t>Non</t>
        </is>
      </c>
      <c r="H2077" s="6" t="inlineStr">
        <is>
          <t>OFF</t>
        </is>
      </c>
      <c r="I2077" s="31" t="n">
        <v>604.2334594602274</v>
      </c>
      <c r="J2077" s="31" t="n">
        <v>4012.68388558375</v>
      </c>
      <c r="K2077" s="31" t="n">
        <v>3342.592592592593</v>
      </c>
      <c r="L2077" s="31" t="n">
        <v>150</v>
      </c>
      <c r="M2077" s="31">
        <f>I2077+J2077+K2077+L2077</f>
        <v/>
      </c>
      <c r="N2077" s="31">
        <f>M2077*'Dashboard &amp; Optimisation'!$B$18/('Dashboard &amp; Optimisation'!$B$16/3.6)</f>
        <v/>
      </c>
      <c r="O2077" s="31" t="n">
        <v>869.9363167300291</v>
      </c>
      <c r="P2077" s="32" t="n">
        <v>0.2248337008701428</v>
      </c>
      <c r="Q2077" s="33" t="n">
        <v>12.23505194285052</v>
      </c>
      <c r="R2077" s="31" t="n">
        <v>849.1405578638596</v>
      </c>
      <c r="S2077" s="31">
        <f>R2077*IF(A2077=4, 2.0, 3.0)</f>
        <v/>
      </c>
      <c r="T2077" s="30">
        <f>'Dashboard &amp; Optimisation'!$B$18*U2077</f>
        <v/>
      </c>
      <c r="U2077" s="34">
        <f>MIN(1, S2077/M2077)</f>
        <v/>
      </c>
      <c r="V2077" s="34">
        <f>N2077/(N2077+O2077)</f>
        <v/>
      </c>
      <c r="W2077" s="34">
        <f>U2077*V2077</f>
        <v/>
      </c>
      <c r="X2077" s="32">
        <f>T2077/N2077</f>
        <v/>
      </c>
      <c r="Y2077" s="35">
        <f>IF(W2077=MAXIFS(W$2:W$3601, A$2:A$3601, A2077, B$2:B$3601, B2077), "OPTIMAL", "")</f>
        <v/>
      </c>
    </row>
    <row r="2078" ht="20" customHeight="1">
      <c r="A2078" s="21" t="n">
        <v>-18</v>
      </c>
      <c r="B2078" s="21" t="n">
        <v>25</v>
      </c>
      <c r="C2078" s="22" t="n">
        <v>110</v>
      </c>
      <c r="D2078" s="22" t="n">
        <v>3</v>
      </c>
      <c r="E2078" s="23" t="n">
        <v>8</v>
      </c>
      <c r="F2078" s="22" t="n">
        <v>2</v>
      </c>
      <c r="G2078" s="23" t="inlineStr">
        <is>
          <t>Oui</t>
        </is>
      </c>
      <c r="H2078" s="23" t="inlineStr">
        <is>
          <t>ON</t>
        </is>
      </c>
      <c r="I2078" s="24" t="n">
        <v>604.2334594602274</v>
      </c>
      <c r="J2078" s="24" t="n">
        <v>4012.68388558375</v>
      </c>
      <c r="K2078" s="24" t="n">
        <v>3342.592592592593</v>
      </c>
      <c r="L2078" s="24" t="n">
        <v>150</v>
      </c>
      <c r="M2078" s="24">
        <f>I2078+J2078+K2078+L2078</f>
        <v/>
      </c>
      <c r="N2078" s="24">
        <f>M2078*'Dashboard &amp; Optimisation'!$B$18/('Dashboard &amp; Optimisation'!$B$16/3.6)</f>
        <v/>
      </c>
      <c r="O2078" s="24" t="n">
        <v>1007.608711193456</v>
      </c>
      <c r="P2078" s="25" t="n">
        <v>0.05199529928547215</v>
      </c>
      <c r="Q2078" s="26" t="n">
        <v>16.2467359238007</v>
      </c>
      <c r="R2078" s="24" t="n">
        <v>3749.820739372321</v>
      </c>
      <c r="S2078" s="24">
        <f>R2078*IF(A2078=4, 2.0, 3.0)</f>
        <v/>
      </c>
      <c r="T2078" s="22">
        <f>'Dashboard &amp; Optimisation'!$B$18*U2078</f>
        <v/>
      </c>
      <c r="U2078" s="27">
        <f>MIN(1, S2078/M2078)</f>
        <v/>
      </c>
      <c r="V2078" s="27">
        <f>N2078/(N2078+O2078)</f>
        <v/>
      </c>
      <c r="W2078" s="27">
        <f>U2078*V2078</f>
        <v/>
      </c>
      <c r="X2078" s="25">
        <f>T2078/N2078</f>
        <v/>
      </c>
      <c r="Y2078" s="28">
        <f>IF(W2078=MAXIFS(W$2:W$3601, A$2:A$3601, A2078, B$2:B$3601, B2078), "OPTIMAL", "")</f>
        <v/>
      </c>
    </row>
    <row r="2079" ht="20" customHeight="1">
      <c r="A2079" s="29" t="n">
        <v>-18</v>
      </c>
      <c r="B2079" s="29" t="n">
        <v>25</v>
      </c>
      <c r="C2079" s="30" t="n">
        <v>110</v>
      </c>
      <c r="D2079" s="30" t="n">
        <v>3</v>
      </c>
      <c r="E2079" s="6" t="n">
        <v>8</v>
      </c>
      <c r="F2079" s="30" t="n">
        <v>2</v>
      </c>
      <c r="G2079" s="6" t="inlineStr">
        <is>
          <t>Oui</t>
        </is>
      </c>
      <c r="H2079" s="6" t="inlineStr">
        <is>
          <t>OFF</t>
        </is>
      </c>
      <c r="I2079" s="31" t="n">
        <v>604.2334594602274</v>
      </c>
      <c r="J2079" s="31" t="n">
        <v>4012.68388558375</v>
      </c>
      <c r="K2079" s="31" t="n">
        <v>3342.592592592593</v>
      </c>
      <c r="L2079" s="31" t="n">
        <v>150</v>
      </c>
      <c r="M2079" s="31">
        <f>I2079+J2079+K2079+L2079</f>
        <v/>
      </c>
      <c r="N2079" s="31">
        <f>M2079*'Dashboard &amp; Optimisation'!$B$18/('Dashboard &amp; Optimisation'!$B$16/3.6)</f>
        <v/>
      </c>
      <c r="O2079" s="31" t="n">
        <v>1007.608711193456</v>
      </c>
      <c r="P2079" s="32" t="n">
        <v>0.2275671766533254</v>
      </c>
      <c r="Q2079" s="33" t="n">
        <v>16.2467359238007</v>
      </c>
      <c r="R2079" s="31" t="n">
        <v>856.7714135134487</v>
      </c>
      <c r="S2079" s="31">
        <f>R2079*IF(A2079=4, 2.0, 3.0)</f>
        <v/>
      </c>
      <c r="T2079" s="30">
        <f>'Dashboard &amp; Optimisation'!$B$18*U2079</f>
        <v/>
      </c>
      <c r="U2079" s="34">
        <f>MIN(1, S2079/M2079)</f>
        <v/>
      </c>
      <c r="V2079" s="34">
        <f>N2079/(N2079+O2079)</f>
        <v/>
      </c>
      <c r="W2079" s="34">
        <f>U2079*V2079</f>
        <v/>
      </c>
      <c r="X2079" s="32">
        <f>T2079/N2079</f>
        <v/>
      </c>
      <c r="Y2079" s="35">
        <f>IF(W2079=MAXIFS(W$2:W$3601, A$2:A$3601, A2079, B$2:B$3601, B2079), "OPTIMAL", "")</f>
        <v/>
      </c>
    </row>
    <row r="2080" ht="20" customHeight="1">
      <c r="A2080" s="21" t="n">
        <v>-18</v>
      </c>
      <c r="B2080" s="21" t="n">
        <v>25</v>
      </c>
      <c r="C2080" s="22" t="n">
        <v>110</v>
      </c>
      <c r="D2080" s="22" t="n">
        <v>3</v>
      </c>
      <c r="E2080" s="23" t="n">
        <v>8</v>
      </c>
      <c r="F2080" s="22" t="n">
        <v>2</v>
      </c>
      <c r="G2080" s="23" t="inlineStr">
        <is>
          <t>Non</t>
        </is>
      </c>
      <c r="H2080" s="23" t="inlineStr">
        <is>
          <t>ON</t>
        </is>
      </c>
      <c r="I2080" s="24" t="n">
        <v>604.2334594602274</v>
      </c>
      <c r="J2080" s="24" t="n">
        <v>4012.68388558375</v>
      </c>
      <c r="K2080" s="24" t="n">
        <v>3342.592592592593</v>
      </c>
      <c r="L2080" s="24" t="n">
        <v>150</v>
      </c>
      <c r="M2080" s="24">
        <f>I2080+J2080+K2080+L2080</f>
        <v/>
      </c>
      <c r="N2080" s="24">
        <f>M2080*'Dashboard &amp; Optimisation'!$B$18/('Dashboard &amp; Optimisation'!$B$16/3.6)</f>
        <v/>
      </c>
      <c r="O2080" s="24" t="n">
        <v>1007.608711193456</v>
      </c>
      <c r="P2080" s="25" t="n">
        <v>0.04910157304743769</v>
      </c>
      <c r="Q2080" s="26" t="n">
        <v>16.2467359238007</v>
      </c>
      <c r="R2080" s="24" t="n">
        <v>3970.810699326642</v>
      </c>
      <c r="S2080" s="24">
        <f>R2080*IF(A2080=4, 2.0, 3.0)</f>
        <v/>
      </c>
      <c r="T2080" s="22">
        <f>'Dashboard &amp; Optimisation'!$B$18*U2080</f>
        <v/>
      </c>
      <c r="U2080" s="27">
        <f>MIN(1, S2080/M2080)</f>
        <v/>
      </c>
      <c r="V2080" s="27">
        <f>N2080/(N2080+O2080)</f>
        <v/>
      </c>
      <c r="W2080" s="27">
        <f>U2080*V2080</f>
        <v/>
      </c>
      <c r="X2080" s="25">
        <f>T2080/N2080</f>
        <v/>
      </c>
      <c r="Y2080" s="28">
        <f>IF(W2080=MAXIFS(W$2:W$3601, A$2:A$3601, A2080, B$2:B$3601, B2080), "OPTIMAL", "")</f>
        <v/>
      </c>
    </row>
    <row r="2081" ht="20" customHeight="1">
      <c r="A2081" s="29" t="n">
        <v>-18</v>
      </c>
      <c r="B2081" s="29" t="n">
        <v>25</v>
      </c>
      <c r="C2081" s="30" t="n">
        <v>110</v>
      </c>
      <c r="D2081" s="30" t="n">
        <v>3</v>
      </c>
      <c r="E2081" s="6" t="n">
        <v>8</v>
      </c>
      <c r="F2081" s="30" t="n">
        <v>2</v>
      </c>
      <c r="G2081" s="6" t="inlineStr">
        <is>
          <t>Non</t>
        </is>
      </c>
      <c r="H2081" s="6" t="inlineStr">
        <is>
          <t>OFF</t>
        </is>
      </c>
      <c r="I2081" s="31" t="n">
        <v>604.2334594602274</v>
      </c>
      <c r="J2081" s="31" t="n">
        <v>4012.68388558375</v>
      </c>
      <c r="K2081" s="31" t="n">
        <v>3342.592592592593</v>
      </c>
      <c r="L2081" s="31" t="n">
        <v>150</v>
      </c>
      <c r="M2081" s="31">
        <f>I2081+J2081+K2081+L2081</f>
        <v/>
      </c>
      <c r="N2081" s="31">
        <f>M2081*'Dashboard &amp; Optimisation'!$B$18/('Dashboard &amp; Optimisation'!$B$16/3.6)</f>
        <v/>
      </c>
      <c r="O2081" s="31" t="n">
        <v>1007.608711193456</v>
      </c>
      <c r="P2081" s="32" t="n">
        <v>0.2246734504152909</v>
      </c>
      <c r="Q2081" s="33" t="n">
        <v>16.2467359238007</v>
      </c>
      <c r="R2081" s="31" t="n">
        <v>867.8063707578362</v>
      </c>
      <c r="S2081" s="31">
        <f>R2081*IF(A2081=4, 2.0, 3.0)</f>
        <v/>
      </c>
      <c r="T2081" s="30">
        <f>'Dashboard &amp; Optimisation'!$B$18*U2081</f>
        <v/>
      </c>
      <c r="U2081" s="34">
        <f>MIN(1, S2081/M2081)</f>
        <v/>
      </c>
      <c r="V2081" s="34">
        <f>N2081/(N2081+O2081)</f>
        <v/>
      </c>
      <c r="W2081" s="34">
        <f>U2081*V2081</f>
        <v/>
      </c>
      <c r="X2081" s="32">
        <f>T2081/N2081</f>
        <v/>
      </c>
      <c r="Y2081" s="35">
        <f>IF(W2081=MAXIFS(W$2:W$3601, A$2:A$3601, A2081, B$2:B$3601, B2081), "OPTIMAL", "")</f>
        <v/>
      </c>
    </row>
    <row r="2082" ht="20" customHeight="1">
      <c r="A2082" s="21" t="n">
        <v>-18</v>
      </c>
      <c r="B2082" s="21" t="n">
        <v>25</v>
      </c>
      <c r="C2082" s="22" t="n">
        <v>115</v>
      </c>
      <c r="D2082" s="22" t="n">
        <v>2</v>
      </c>
      <c r="E2082" s="23" t="n">
        <v>0</v>
      </c>
      <c r="F2082" s="22" t="n">
        <v>0</v>
      </c>
      <c r="G2082" s="23" t="inlineStr">
        <is>
          <t>Oui</t>
        </is>
      </c>
      <c r="H2082" s="23" t="inlineStr">
        <is>
          <t>ON</t>
        </is>
      </c>
      <c r="I2082" s="24" t="n">
        <v>604.2334594602274</v>
      </c>
      <c r="J2082" s="24" t="n">
        <v>4012.68388558375</v>
      </c>
      <c r="K2082" s="24" t="n">
        <v>3342.592592592593</v>
      </c>
      <c r="L2082" s="24" t="n">
        <v>150</v>
      </c>
      <c r="M2082" s="24">
        <f>I2082+J2082+K2082+L2082</f>
        <v/>
      </c>
      <c r="N2082" s="24">
        <f>M2082*'Dashboard &amp; Optimisation'!$B$18/('Dashboard &amp; Optimisation'!$B$16/3.6)</f>
        <v/>
      </c>
      <c r="O2082" s="24" t="n">
        <v>302.400081823509</v>
      </c>
      <c r="P2082" s="25" t="n">
        <v>0.4698805559653013</v>
      </c>
      <c r="Q2082" s="26" t="n">
        <v>0.2</v>
      </c>
      <c r="R2082" s="24" t="n">
        <v>335.7162430931256</v>
      </c>
      <c r="S2082" s="24">
        <f>R2082*IF(A2082=4, 2.0, 3.0)</f>
        <v/>
      </c>
      <c r="T2082" s="22">
        <f>'Dashboard &amp; Optimisation'!$B$18*U2082</f>
        <v/>
      </c>
      <c r="U2082" s="27">
        <f>MIN(1, S2082/M2082)</f>
        <v/>
      </c>
      <c r="V2082" s="27">
        <f>N2082/(N2082+O2082)</f>
        <v/>
      </c>
      <c r="W2082" s="27">
        <f>U2082*V2082</f>
        <v/>
      </c>
      <c r="X2082" s="25">
        <f>T2082/N2082</f>
        <v/>
      </c>
      <c r="Y2082" s="28">
        <f>IF(W2082=MAXIFS(W$2:W$3601, A$2:A$3601, A2082, B$2:B$3601, B2082), "OPTIMAL", "")</f>
        <v/>
      </c>
    </row>
    <row r="2083" ht="20" customHeight="1">
      <c r="A2083" s="29" t="n">
        <v>-18</v>
      </c>
      <c r="B2083" s="29" t="n">
        <v>25</v>
      </c>
      <c r="C2083" s="30" t="n">
        <v>115</v>
      </c>
      <c r="D2083" s="30" t="n">
        <v>2</v>
      </c>
      <c r="E2083" s="6" t="n">
        <v>0</v>
      </c>
      <c r="F2083" s="30" t="n">
        <v>0</v>
      </c>
      <c r="G2083" s="6" t="inlineStr">
        <is>
          <t>Oui</t>
        </is>
      </c>
      <c r="H2083" s="6" t="inlineStr">
        <is>
          <t>OFF</t>
        </is>
      </c>
      <c r="I2083" s="31" t="n">
        <v>604.2334594602274</v>
      </c>
      <c r="J2083" s="31" t="n">
        <v>4012.68388558375</v>
      </c>
      <c r="K2083" s="31" t="n">
        <v>3342.592592592593</v>
      </c>
      <c r="L2083" s="31" t="n">
        <v>150</v>
      </c>
      <c r="M2083" s="31">
        <f>I2083+J2083+K2083+L2083</f>
        <v/>
      </c>
      <c r="N2083" s="31">
        <f>M2083*'Dashboard &amp; Optimisation'!$B$18/('Dashboard &amp; Optimisation'!$B$16/3.6)</f>
        <v/>
      </c>
      <c r="O2083" s="31" t="n">
        <v>302.400081823509</v>
      </c>
      <c r="P2083" s="32" t="n">
        <v>0.7466717613425105</v>
      </c>
      <c r="Q2083" s="33" t="n">
        <v>0.2</v>
      </c>
      <c r="R2083" s="31" t="n">
        <v>211.2662392207695</v>
      </c>
      <c r="S2083" s="31">
        <f>R2083*IF(A2083=4, 2.0, 3.0)</f>
        <v/>
      </c>
      <c r="T2083" s="30">
        <f>'Dashboard &amp; Optimisation'!$B$18*U2083</f>
        <v/>
      </c>
      <c r="U2083" s="34">
        <f>MIN(1, S2083/M2083)</f>
        <v/>
      </c>
      <c r="V2083" s="34">
        <f>N2083/(N2083+O2083)</f>
        <v/>
      </c>
      <c r="W2083" s="34">
        <f>U2083*V2083</f>
        <v/>
      </c>
      <c r="X2083" s="32">
        <f>T2083/N2083</f>
        <v/>
      </c>
      <c r="Y2083" s="35">
        <f>IF(W2083=MAXIFS(W$2:W$3601, A$2:A$3601, A2083, B$2:B$3601, B2083), "OPTIMAL", "")</f>
        <v/>
      </c>
    </row>
    <row r="2084" ht="20" customHeight="1">
      <c r="A2084" s="21" t="n">
        <v>-18</v>
      </c>
      <c r="B2084" s="21" t="n">
        <v>25</v>
      </c>
      <c r="C2084" s="22" t="n">
        <v>115</v>
      </c>
      <c r="D2084" s="22" t="n">
        <v>2</v>
      </c>
      <c r="E2084" s="23" t="n">
        <v>0</v>
      </c>
      <c r="F2084" s="22" t="n">
        <v>0</v>
      </c>
      <c r="G2084" s="23" t="inlineStr">
        <is>
          <t>Non</t>
        </is>
      </c>
      <c r="H2084" s="23" t="inlineStr">
        <is>
          <t>ON</t>
        </is>
      </c>
      <c r="I2084" s="24" t="n">
        <v>604.2334594602274</v>
      </c>
      <c r="J2084" s="24" t="n">
        <v>4012.68388558375</v>
      </c>
      <c r="K2084" s="24" t="n">
        <v>3342.592592592593</v>
      </c>
      <c r="L2084" s="24" t="n">
        <v>150</v>
      </c>
      <c r="M2084" s="24">
        <f>I2084+J2084+K2084+L2084</f>
        <v/>
      </c>
      <c r="N2084" s="24">
        <f>M2084*'Dashboard &amp; Optimisation'!$B$18/('Dashboard &amp; Optimisation'!$B$16/3.6)</f>
        <v/>
      </c>
      <c r="O2084" s="24" t="n">
        <v>302.400081823509</v>
      </c>
      <c r="P2084" s="25" t="n">
        <v>0.4671126439115292</v>
      </c>
      <c r="Q2084" s="26" t="n">
        <v>0.2</v>
      </c>
      <c r="R2084" s="24" t="n">
        <v>337.7055556240888</v>
      </c>
      <c r="S2084" s="24">
        <f>R2084*IF(A2084=4, 2.0, 3.0)</f>
        <v/>
      </c>
      <c r="T2084" s="22">
        <f>'Dashboard &amp; Optimisation'!$B$18*U2084</f>
        <v/>
      </c>
      <c r="U2084" s="27">
        <f>MIN(1, S2084/M2084)</f>
        <v/>
      </c>
      <c r="V2084" s="27">
        <f>N2084/(N2084+O2084)</f>
        <v/>
      </c>
      <c r="W2084" s="27">
        <f>U2084*V2084</f>
        <v/>
      </c>
      <c r="X2084" s="25">
        <f>T2084/N2084</f>
        <v/>
      </c>
      <c r="Y2084" s="28">
        <f>IF(W2084=MAXIFS(W$2:W$3601, A$2:A$3601, A2084, B$2:B$3601, B2084), "OPTIMAL", "")</f>
        <v/>
      </c>
    </row>
    <row r="2085" ht="20" customHeight="1">
      <c r="A2085" s="29" t="n">
        <v>-18</v>
      </c>
      <c r="B2085" s="29" t="n">
        <v>25</v>
      </c>
      <c r="C2085" s="30" t="n">
        <v>115</v>
      </c>
      <c r="D2085" s="30" t="n">
        <v>2</v>
      </c>
      <c r="E2085" s="6" t="n">
        <v>0</v>
      </c>
      <c r="F2085" s="30" t="n">
        <v>0</v>
      </c>
      <c r="G2085" s="6" t="inlineStr">
        <is>
          <t>Non</t>
        </is>
      </c>
      <c r="H2085" s="6" t="inlineStr">
        <is>
          <t>OFF</t>
        </is>
      </c>
      <c r="I2085" s="31" t="n">
        <v>604.2334594602274</v>
      </c>
      <c r="J2085" s="31" t="n">
        <v>4012.68388558375</v>
      </c>
      <c r="K2085" s="31" t="n">
        <v>3342.592592592593</v>
      </c>
      <c r="L2085" s="31" t="n">
        <v>150</v>
      </c>
      <c r="M2085" s="31">
        <f>I2085+J2085+K2085+L2085</f>
        <v/>
      </c>
      <c r="N2085" s="31">
        <f>M2085*'Dashboard &amp; Optimisation'!$B$18/('Dashboard &amp; Optimisation'!$B$16/3.6)</f>
        <v/>
      </c>
      <c r="O2085" s="31" t="n">
        <v>302.400081823509</v>
      </c>
      <c r="P2085" s="32" t="n">
        <v>0.7439038492887384</v>
      </c>
      <c r="Q2085" s="33" t="n">
        <v>0.2</v>
      </c>
      <c r="R2085" s="31" t="n">
        <v>212.0523171133</v>
      </c>
      <c r="S2085" s="31">
        <f>R2085*IF(A2085=4, 2.0, 3.0)</f>
        <v/>
      </c>
      <c r="T2085" s="30">
        <f>'Dashboard &amp; Optimisation'!$B$18*U2085</f>
        <v/>
      </c>
      <c r="U2085" s="34">
        <f>MIN(1, S2085/M2085)</f>
        <v/>
      </c>
      <c r="V2085" s="34">
        <f>N2085/(N2085+O2085)</f>
        <v/>
      </c>
      <c r="W2085" s="34">
        <f>U2085*V2085</f>
        <v/>
      </c>
      <c r="X2085" s="32">
        <f>T2085/N2085</f>
        <v/>
      </c>
      <c r="Y2085" s="35">
        <f>IF(W2085=MAXIFS(W$2:W$3601, A$2:A$3601, A2085, B$2:B$3601, B2085), "OPTIMAL", "")</f>
        <v/>
      </c>
    </row>
    <row r="2086" ht="20" customHeight="1">
      <c r="A2086" s="21" t="n">
        <v>-18</v>
      </c>
      <c r="B2086" s="21" t="n">
        <v>25</v>
      </c>
      <c r="C2086" s="22" t="n">
        <v>115</v>
      </c>
      <c r="D2086" s="22" t="n">
        <v>2</v>
      </c>
      <c r="E2086" s="23" t="n">
        <v>4</v>
      </c>
      <c r="F2086" s="22" t="n">
        <v>1.5</v>
      </c>
      <c r="G2086" s="23" t="inlineStr">
        <is>
          <t>Oui</t>
        </is>
      </c>
      <c r="H2086" s="23" t="inlineStr">
        <is>
          <t>ON</t>
        </is>
      </c>
      <c r="I2086" s="24" t="n">
        <v>604.2334594602274</v>
      </c>
      <c r="J2086" s="24" t="n">
        <v>4012.68388558375</v>
      </c>
      <c r="K2086" s="24" t="n">
        <v>3342.592592592593</v>
      </c>
      <c r="L2086" s="24" t="n">
        <v>150</v>
      </c>
      <c r="M2086" s="24">
        <f>I2086+J2086+K2086+L2086</f>
        <v/>
      </c>
      <c r="N2086" s="24">
        <f>M2086*'Dashboard &amp; Optimisation'!$B$18/('Dashboard &amp; Optimisation'!$B$16/3.6)</f>
        <v/>
      </c>
      <c r="O2086" s="24" t="n">
        <v>467.0541874436252</v>
      </c>
      <c r="P2086" s="25" t="n">
        <v>0.06928089920961758</v>
      </c>
      <c r="Q2086" s="26" t="n">
        <v>5.838042351605651</v>
      </c>
      <c r="R2086" s="24" t="n">
        <v>2341.369077480988</v>
      </c>
      <c r="S2086" s="24">
        <f>R2086*IF(A2086=4, 2.0, 3.0)</f>
        <v/>
      </c>
      <c r="T2086" s="22">
        <f>'Dashboard &amp; Optimisation'!$B$18*U2086</f>
        <v/>
      </c>
      <c r="U2086" s="27">
        <f>MIN(1, S2086/M2086)</f>
        <v/>
      </c>
      <c r="V2086" s="27">
        <f>N2086/(N2086+O2086)</f>
        <v/>
      </c>
      <c r="W2086" s="27">
        <f>U2086*V2086</f>
        <v/>
      </c>
      <c r="X2086" s="25">
        <f>T2086/N2086</f>
        <v/>
      </c>
      <c r="Y2086" s="28">
        <f>IF(W2086=MAXIFS(W$2:W$3601, A$2:A$3601, A2086, B$2:B$3601, B2086), "OPTIMAL", "")</f>
        <v/>
      </c>
    </row>
    <row r="2087" ht="20" customHeight="1">
      <c r="A2087" s="29" t="n">
        <v>-18</v>
      </c>
      <c r="B2087" s="29" t="n">
        <v>25</v>
      </c>
      <c r="C2087" s="30" t="n">
        <v>115</v>
      </c>
      <c r="D2087" s="30" t="n">
        <v>2</v>
      </c>
      <c r="E2087" s="6" t="n">
        <v>4</v>
      </c>
      <c r="F2087" s="30" t="n">
        <v>1.5</v>
      </c>
      <c r="G2087" s="6" t="inlineStr">
        <is>
          <t>Oui</t>
        </is>
      </c>
      <c r="H2087" s="6" t="inlineStr">
        <is>
          <t>OFF</t>
        </is>
      </c>
      <c r="I2087" s="31" t="n">
        <v>604.2334594602274</v>
      </c>
      <c r="J2087" s="31" t="n">
        <v>4012.68388558375</v>
      </c>
      <c r="K2087" s="31" t="n">
        <v>3342.592592592593</v>
      </c>
      <c r="L2087" s="31" t="n">
        <v>150</v>
      </c>
      <c r="M2087" s="31">
        <f>I2087+J2087+K2087+L2087</f>
        <v/>
      </c>
      <c r="N2087" s="31">
        <f>M2087*'Dashboard &amp; Optimisation'!$B$18/('Dashboard &amp; Optimisation'!$B$16/3.6)</f>
        <v/>
      </c>
      <c r="O2087" s="31" t="n">
        <v>467.0541874436252</v>
      </c>
      <c r="P2087" s="32" t="n">
        <v>0.2796855393519176</v>
      </c>
      <c r="Q2087" s="33" t="n">
        <v>5.838042351605651</v>
      </c>
      <c r="R2087" s="31" t="n">
        <v>579.9804861036105</v>
      </c>
      <c r="S2087" s="31">
        <f>R2087*IF(A2087=4, 2.0, 3.0)</f>
        <v/>
      </c>
      <c r="T2087" s="30">
        <f>'Dashboard &amp; Optimisation'!$B$18*U2087</f>
        <v/>
      </c>
      <c r="U2087" s="34">
        <f>MIN(1, S2087/M2087)</f>
        <v/>
      </c>
      <c r="V2087" s="34">
        <f>N2087/(N2087+O2087)</f>
        <v/>
      </c>
      <c r="W2087" s="34">
        <f>U2087*V2087</f>
        <v/>
      </c>
      <c r="X2087" s="32">
        <f>T2087/N2087</f>
        <v/>
      </c>
      <c r="Y2087" s="35">
        <f>IF(W2087=MAXIFS(W$2:W$3601, A$2:A$3601, A2087, B$2:B$3601, B2087), "OPTIMAL", "")</f>
        <v/>
      </c>
    </row>
    <row r="2088" ht="20" customHeight="1">
      <c r="A2088" s="21" t="n">
        <v>-18</v>
      </c>
      <c r="B2088" s="21" t="n">
        <v>25</v>
      </c>
      <c r="C2088" s="22" t="n">
        <v>115</v>
      </c>
      <c r="D2088" s="22" t="n">
        <v>2</v>
      </c>
      <c r="E2088" s="23" t="n">
        <v>4</v>
      </c>
      <c r="F2088" s="22" t="n">
        <v>1.5</v>
      </c>
      <c r="G2088" s="23" t="inlineStr">
        <is>
          <t>Non</t>
        </is>
      </c>
      <c r="H2088" s="23" t="inlineStr">
        <is>
          <t>ON</t>
        </is>
      </c>
      <c r="I2088" s="24" t="n">
        <v>604.2334594602274</v>
      </c>
      <c r="J2088" s="24" t="n">
        <v>4012.68388558375</v>
      </c>
      <c r="K2088" s="24" t="n">
        <v>3342.592592592593</v>
      </c>
      <c r="L2088" s="24" t="n">
        <v>150</v>
      </c>
      <c r="M2088" s="24">
        <f>I2088+J2088+K2088+L2088</f>
        <v/>
      </c>
      <c r="N2088" s="24">
        <f>M2088*'Dashboard &amp; Optimisation'!$B$18/('Dashboard &amp; Optimisation'!$B$16/3.6)</f>
        <v/>
      </c>
      <c r="O2088" s="24" t="n">
        <v>467.0541874436252</v>
      </c>
      <c r="P2088" s="25" t="n">
        <v>0.06651298715584548</v>
      </c>
      <c r="Q2088" s="26" t="n">
        <v>5.838042351605651</v>
      </c>
      <c r="R2088" s="24" t="n">
        <v>2438.804239680275</v>
      </c>
      <c r="S2088" s="24">
        <f>R2088*IF(A2088=4, 2.0, 3.0)</f>
        <v/>
      </c>
      <c r="T2088" s="22">
        <f>'Dashboard &amp; Optimisation'!$B$18*U2088</f>
        <v/>
      </c>
      <c r="U2088" s="27">
        <f>MIN(1, S2088/M2088)</f>
        <v/>
      </c>
      <c r="V2088" s="27">
        <f>N2088/(N2088+O2088)</f>
        <v/>
      </c>
      <c r="W2088" s="27">
        <f>U2088*V2088</f>
        <v/>
      </c>
      <c r="X2088" s="25">
        <f>T2088/N2088</f>
        <v/>
      </c>
      <c r="Y2088" s="28">
        <f>IF(W2088=MAXIFS(W$2:W$3601, A$2:A$3601, A2088, B$2:B$3601, B2088), "OPTIMAL", "")</f>
        <v/>
      </c>
    </row>
    <row r="2089" ht="20" customHeight="1">
      <c r="A2089" s="29" t="n">
        <v>-18</v>
      </c>
      <c r="B2089" s="29" t="n">
        <v>25</v>
      </c>
      <c r="C2089" s="30" t="n">
        <v>115</v>
      </c>
      <c r="D2089" s="30" t="n">
        <v>2</v>
      </c>
      <c r="E2089" s="6" t="n">
        <v>4</v>
      </c>
      <c r="F2089" s="30" t="n">
        <v>1.5</v>
      </c>
      <c r="G2089" s="6" t="inlineStr">
        <is>
          <t>Non</t>
        </is>
      </c>
      <c r="H2089" s="6" t="inlineStr">
        <is>
          <t>OFF</t>
        </is>
      </c>
      <c r="I2089" s="31" t="n">
        <v>604.2334594602274</v>
      </c>
      <c r="J2089" s="31" t="n">
        <v>4012.68388558375</v>
      </c>
      <c r="K2089" s="31" t="n">
        <v>3342.592592592593</v>
      </c>
      <c r="L2089" s="31" t="n">
        <v>150</v>
      </c>
      <c r="M2089" s="31">
        <f>I2089+J2089+K2089+L2089</f>
        <v/>
      </c>
      <c r="N2089" s="31">
        <f>M2089*'Dashboard &amp; Optimisation'!$B$18/('Dashboard &amp; Optimisation'!$B$16/3.6)</f>
        <v/>
      </c>
      <c r="O2089" s="31" t="n">
        <v>467.0541874436252</v>
      </c>
      <c r="P2089" s="32" t="n">
        <v>0.2769176272981455</v>
      </c>
      <c r="Q2089" s="33" t="n">
        <v>5.838042351605651</v>
      </c>
      <c r="R2089" s="31" t="n">
        <v>585.7776431647259</v>
      </c>
      <c r="S2089" s="31">
        <f>R2089*IF(A2089=4, 2.0, 3.0)</f>
        <v/>
      </c>
      <c r="T2089" s="30">
        <f>'Dashboard &amp; Optimisation'!$B$18*U2089</f>
        <v/>
      </c>
      <c r="U2089" s="34">
        <f>MIN(1, S2089/M2089)</f>
        <v/>
      </c>
      <c r="V2089" s="34">
        <f>N2089/(N2089+O2089)</f>
        <v/>
      </c>
      <c r="W2089" s="34">
        <f>U2089*V2089</f>
        <v/>
      </c>
      <c r="X2089" s="32">
        <f>T2089/N2089</f>
        <v/>
      </c>
      <c r="Y2089" s="35">
        <f>IF(W2089=MAXIFS(W$2:W$3601, A$2:A$3601, A2089, B$2:B$3601, B2089), "OPTIMAL", "")</f>
        <v/>
      </c>
    </row>
    <row r="2090" ht="20" customHeight="1">
      <c r="A2090" s="21" t="n">
        <v>-18</v>
      </c>
      <c r="B2090" s="21" t="n">
        <v>25</v>
      </c>
      <c r="C2090" s="22" t="n">
        <v>115</v>
      </c>
      <c r="D2090" s="22" t="n">
        <v>2</v>
      </c>
      <c r="E2090" s="23" t="n">
        <v>4</v>
      </c>
      <c r="F2090" s="22" t="n">
        <v>2</v>
      </c>
      <c r="G2090" s="23" t="inlineStr">
        <is>
          <t>Oui</t>
        </is>
      </c>
      <c r="H2090" s="23" t="inlineStr">
        <is>
          <t>ON</t>
        </is>
      </c>
      <c r="I2090" s="24" t="n">
        <v>604.2334594602274</v>
      </c>
      <c r="J2090" s="24" t="n">
        <v>4012.68388558375</v>
      </c>
      <c r="K2090" s="24" t="n">
        <v>3342.592592592593</v>
      </c>
      <c r="L2090" s="24" t="n">
        <v>150</v>
      </c>
      <c r="M2090" s="24">
        <f>I2090+J2090+K2090+L2090</f>
        <v/>
      </c>
      <c r="N2090" s="24">
        <f>M2090*'Dashboard &amp; Optimisation'!$B$18/('Dashboard &amp; Optimisation'!$B$16/3.6)</f>
        <v/>
      </c>
      <c r="O2090" s="24" t="n">
        <v>524.0302530603227</v>
      </c>
      <c r="P2090" s="25" t="n">
        <v>0.06612266589584477</v>
      </c>
      <c r="Q2090" s="26" t="n">
        <v>7.717389802140867</v>
      </c>
      <c r="R2090" s="24" t="n">
        <v>2476.5700720796</v>
      </c>
      <c r="S2090" s="24">
        <f>R2090*IF(A2090=4, 2.0, 3.0)</f>
        <v/>
      </c>
      <c r="T2090" s="22">
        <f>'Dashboard &amp; Optimisation'!$B$18*U2090</f>
        <v/>
      </c>
      <c r="U2090" s="27">
        <f>MIN(1, S2090/M2090)</f>
        <v/>
      </c>
      <c r="V2090" s="27">
        <f>N2090/(N2090+O2090)</f>
        <v/>
      </c>
      <c r="W2090" s="27">
        <f>U2090*V2090</f>
        <v/>
      </c>
      <c r="X2090" s="25">
        <f>T2090/N2090</f>
        <v/>
      </c>
      <c r="Y2090" s="28">
        <f>IF(W2090=MAXIFS(W$2:W$3601, A$2:A$3601, A2090, B$2:B$3601, B2090), "OPTIMAL", "")</f>
        <v/>
      </c>
    </row>
    <row r="2091" ht="20" customHeight="1">
      <c r="A2091" s="29" t="n">
        <v>-18</v>
      </c>
      <c r="B2091" s="29" t="n">
        <v>25</v>
      </c>
      <c r="C2091" s="30" t="n">
        <v>115</v>
      </c>
      <c r="D2091" s="30" t="n">
        <v>2</v>
      </c>
      <c r="E2091" s="6" t="n">
        <v>4</v>
      </c>
      <c r="F2091" s="30" t="n">
        <v>2</v>
      </c>
      <c r="G2091" s="6" t="inlineStr">
        <is>
          <t>Oui</t>
        </is>
      </c>
      <c r="H2091" s="6" t="inlineStr">
        <is>
          <t>OFF</t>
        </is>
      </c>
      <c r="I2091" s="31" t="n">
        <v>604.2334594602274</v>
      </c>
      <c r="J2091" s="31" t="n">
        <v>4012.68388558375</v>
      </c>
      <c r="K2091" s="31" t="n">
        <v>3342.592592592593</v>
      </c>
      <c r="L2091" s="31" t="n">
        <v>150</v>
      </c>
      <c r="M2091" s="31">
        <f>I2091+J2091+K2091+L2091</f>
        <v/>
      </c>
      <c r="N2091" s="31">
        <f>M2091*'Dashboard &amp; Optimisation'!$B$18/('Dashboard &amp; Optimisation'!$B$16/3.6)</f>
        <v/>
      </c>
      <c r="O2091" s="31" t="n">
        <v>524.0302530603227</v>
      </c>
      <c r="P2091" s="32" t="n">
        <v>0.2774148058870663</v>
      </c>
      <c r="Q2091" s="33" t="n">
        <v>7.717389802140867</v>
      </c>
      <c r="R2091" s="31" t="n">
        <v>590.2980373384692</v>
      </c>
      <c r="S2091" s="31">
        <f>R2091*IF(A2091=4, 2.0, 3.0)</f>
        <v/>
      </c>
      <c r="T2091" s="30">
        <f>'Dashboard &amp; Optimisation'!$B$18*U2091</f>
        <v/>
      </c>
      <c r="U2091" s="34">
        <f>MIN(1, S2091/M2091)</f>
        <v/>
      </c>
      <c r="V2091" s="34">
        <f>N2091/(N2091+O2091)</f>
        <v/>
      </c>
      <c r="W2091" s="34">
        <f>U2091*V2091</f>
        <v/>
      </c>
      <c r="X2091" s="32">
        <f>T2091/N2091</f>
        <v/>
      </c>
      <c r="Y2091" s="35">
        <f>IF(W2091=MAXIFS(W$2:W$3601, A$2:A$3601, A2091, B$2:B$3601, B2091), "OPTIMAL", "")</f>
        <v/>
      </c>
    </row>
    <row r="2092" ht="20" customHeight="1">
      <c r="A2092" s="21" t="n">
        <v>-18</v>
      </c>
      <c r="B2092" s="21" t="n">
        <v>25</v>
      </c>
      <c r="C2092" s="22" t="n">
        <v>115</v>
      </c>
      <c r="D2092" s="22" t="n">
        <v>2</v>
      </c>
      <c r="E2092" s="23" t="n">
        <v>4</v>
      </c>
      <c r="F2092" s="22" t="n">
        <v>2</v>
      </c>
      <c r="G2092" s="23" t="inlineStr">
        <is>
          <t>Non</t>
        </is>
      </c>
      <c r="H2092" s="23" t="inlineStr">
        <is>
          <t>ON</t>
        </is>
      </c>
      <c r="I2092" s="24" t="n">
        <v>604.2334594602274</v>
      </c>
      <c r="J2092" s="24" t="n">
        <v>4012.68388558375</v>
      </c>
      <c r="K2092" s="24" t="n">
        <v>3342.592592592593</v>
      </c>
      <c r="L2092" s="24" t="n">
        <v>150</v>
      </c>
      <c r="M2092" s="24">
        <f>I2092+J2092+K2092+L2092</f>
        <v/>
      </c>
      <c r="N2092" s="24">
        <f>M2092*'Dashboard &amp; Optimisation'!$B$18/('Dashboard &amp; Optimisation'!$B$16/3.6)</f>
        <v/>
      </c>
      <c r="O2092" s="24" t="n">
        <v>524.0302530603227</v>
      </c>
      <c r="P2092" s="25" t="n">
        <v>0.06335475384207268</v>
      </c>
      <c r="Q2092" s="26" t="n">
        <v>7.717389802140867</v>
      </c>
      <c r="R2092" s="24" t="n">
        <v>2584.769184834548</v>
      </c>
      <c r="S2092" s="24">
        <f>R2092*IF(A2092=4, 2.0, 3.0)</f>
        <v/>
      </c>
      <c r="T2092" s="22">
        <f>'Dashboard &amp; Optimisation'!$B$18*U2092</f>
        <v/>
      </c>
      <c r="U2092" s="27">
        <f>MIN(1, S2092/M2092)</f>
        <v/>
      </c>
      <c r="V2092" s="27">
        <f>N2092/(N2092+O2092)</f>
        <v/>
      </c>
      <c r="W2092" s="27">
        <f>U2092*V2092</f>
        <v/>
      </c>
      <c r="X2092" s="25">
        <f>T2092/N2092</f>
        <v/>
      </c>
      <c r="Y2092" s="28">
        <f>IF(W2092=MAXIFS(W$2:W$3601, A$2:A$3601, A2092, B$2:B$3601, B2092), "OPTIMAL", "")</f>
        <v/>
      </c>
    </row>
    <row r="2093" ht="20" customHeight="1">
      <c r="A2093" s="29" t="n">
        <v>-18</v>
      </c>
      <c r="B2093" s="29" t="n">
        <v>25</v>
      </c>
      <c r="C2093" s="30" t="n">
        <v>115</v>
      </c>
      <c r="D2093" s="30" t="n">
        <v>2</v>
      </c>
      <c r="E2093" s="6" t="n">
        <v>4</v>
      </c>
      <c r="F2093" s="30" t="n">
        <v>2</v>
      </c>
      <c r="G2093" s="6" t="inlineStr">
        <is>
          <t>Non</t>
        </is>
      </c>
      <c r="H2093" s="6" t="inlineStr">
        <is>
          <t>OFF</t>
        </is>
      </c>
      <c r="I2093" s="31" t="n">
        <v>604.2334594602274</v>
      </c>
      <c r="J2093" s="31" t="n">
        <v>4012.68388558375</v>
      </c>
      <c r="K2093" s="31" t="n">
        <v>3342.592592592593</v>
      </c>
      <c r="L2093" s="31" t="n">
        <v>150</v>
      </c>
      <c r="M2093" s="31">
        <f>I2093+J2093+K2093+L2093</f>
        <v/>
      </c>
      <c r="N2093" s="31">
        <f>M2093*'Dashboard &amp; Optimisation'!$B$18/('Dashboard &amp; Optimisation'!$B$16/3.6)</f>
        <v/>
      </c>
      <c r="O2093" s="31" t="n">
        <v>524.0302530603227</v>
      </c>
      <c r="P2093" s="32" t="n">
        <v>0.2746468938332942</v>
      </c>
      <c r="Q2093" s="33" t="n">
        <v>7.717389802140867</v>
      </c>
      <c r="R2093" s="31" t="n">
        <v>596.2471053583641</v>
      </c>
      <c r="S2093" s="31">
        <f>R2093*IF(A2093=4, 2.0, 3.0)</f>
        <v/>
      </c>
      <c r="T2093" s="30">
        <f>'Dashboard &amp; Optimisation'!$B$18*U2093</f>
        <v/>
      </c>
      <c r="U2093" s="34">
        <f>MIN(1, S2093/M2093)</f>
        <v/>
      </c>
      <c r="V2093" s="34">
        <f>N2093/(N2093+O2093)</f>
        <v/>
      </c>
      <c r="W2093" s="34">
        <f>U2093*V2093</f>
        <v/>
      </c>
      <c r="X2093" s="32">
        <f>T2093/N2093</f>
        <v/>
      </c>
      <c r="Y2093" s="35">
        <f>IF(W2093=MAXIFS(W$2:W$3601, A$2:A$3601, A2093, B$2:B$3601, B2093), "OPTIMAL", "")</f>
        <v/>
      </c>
    </row>
    <row r="2094" ht="20" customHeight="1">
      <c r="A2094" s="21" t="n">
        <v>-18</v>
      </c>
      <c r="B2094" s="21" t="n">
        <v>25</v>
      </c>
      <c r="C2094" s="22" t="n">
        <v>115</v>
      </c>
      <c r="D2094" s="22" t="n">
        <v>2</v>
      </c>
      <c r="E2094" s="23" t="n">
        <v>8</v>
      </c>
      <c r="F2094" s="22" t="n">
        <v>1.5</v>
      </c>
      <c r="G2094" s="23" t="inlineStr">
        <is>
          <t>Oui</t>
        </is>
      </c>
      <c r="H2094" s="23" t="inlineStr">
        <is>
          <t>ON</t>
        </is>
      </c>
      <c r="I2094" s="24" t="n">
        <v>604.2334594602274</v>
      </c>
      <c r="J2094" s="24" t="n">
        <v>4012.68388558375</v>
      </c>
      <c r="K2094" s="24" t="n">
        <v>3342.592592592593</v>
      </c>
      <c r="L2094" s="24" t="n">
        <v>150</v>
      </c>
      <c r="M2094" s="24">
        <f>I2094+J2094+K2094+L2094</f>
        <v/>
      </c>
      <c r="N2094" s="24">
        <f>M2094*'Dashboard &amp; Optimisation'!$B$18/('Dashboard &amp; Optimisation'!$B$16/3.6)</f>
        <v/>
      </c>
      <c r="O2094" s="24" t="n">
        <v>641.302216578861</v>
      </c>
      <c r="P2094" s="25" t="n">
        <v>0.05248603000184628</v>
      </c>
      <c r="Q2094" s="26" t="n">
        <v>11.4760847032113</v>
      </c>
      <c r="R2094" s="24" t="n">
        <v>3180.617282087218</v>
      </c>
      <c r="S2094" s="24">
        <f>R2094*IF(A2094=4, 2.0, 3.0)</f>
        <v/>
      </c>
      <c r="T2094" s="22">
        <f>'Dashboard &amp; Optimisation'!$B$18*U2094</f>
        <v/>
      </c>
      <c r="U2094" s="27">
        <f>MIN(1, S2094/M2094)</f>
        <v/>
      </c>
      <c r="V2094" s="27">
        <f>N2094/(N2094+O2094)</f>
        <v/>
      </c>
      <c r="W2094" s="27">
        <f>U2094*V2094</f>
        <v/>
      </c>
      <c r="X2094" s="25">
        <f>T2094/N2094</f>
        <v/>
      </c>
      <c r="Y2094" s="28">
        <f>IF(W2094=MAXIFS(W$2:W$3601, A$2:A$3601, A2094, B$2:B$3601, B2094), "OPTIMAL", "")</f>
        <v/>
      </c>
    </row>
    <row r="2095" ht="20" customHeight="1">
      <c r="A2095" s="29" t="n">
        <v>-18</v>
      </c>
      <c r="B2095" s="29" t="n">
        <v>25</v>
      </c>
      <c r="C2095" s="30" t="n">
        <v>115</v>
      </c>
      <c r="D2095" s="30" t="n">
        <v>2</v>
      </c>
      <c r="E2095" s="6" t="n">
        <v>8</v>
      </c>
      <c r="F2095" s="30" t="n">
        <v>1.5</v>
      </c>
      <c r="G2095" s="6" t="inlineStr">
        <is>
          <t>Oui</t>
        </is>
      </c>
      <c r="H2095" s="6" t="inlineStr">
        <is>
          <t>OFF</t>
        </is>
      </c>
      <c r="I2095" s="31" t="n">
        <v>604.2334594602274</v>
      </c>
      <c r="J2095" s="31" t="n">
        <v>4012.68388558375</v>
      </c>
      <c r="K2095" s="31" t="n">
        <v>3342.592592592593</v>
      </c>
      <c r="L2095" s="31" t="n">
        <v>150</v>
      </c>
      <c r="M2095" s="31">
        <f>I2095+J2095+K2095+L2095</f>
        <v/>
      </c>
      <c r="N2095" s="31">
        <f>M2095*'Dashboard &amp; Optimisation'!$B$18/('Dashboard &amp; Optimisation'!$B$16/3.6)</f>
        <v/>
      </c>
      <c r="O2095" s="31" t="n">
        <v>641.302216578861</v>
      </c>
      <c r="P2095" s="32" t="n">
        <v>0.2221878302428261</v>
      </c>
      <c r="Q2095" s="33" t="n">
        <v>11.4760847032113</v>
      </c>
      <c r="R2095" s="31" t="n">
        <v>751.3371632891696</v>
      </c>
      <c r="S2095" s="31">
        <f>R2095*IF(A2095=4, 2.0, 3.0)</f>
        <v/>
      </c>
      <c r="T2095" s="30">
        <f>'Dashboard &amp; Optimisation'!$B$18*U2095</f>
        <v/>
      </c>
      <c r="U2095" s="34">
        <f>MIN(1, S2095/M2095)</f>
        <v/>
      </c>
      <c r="V2095" s="34">
        <f>N2095/(N2095+O2095)</f>
        <v/>
      </c>
      <c r="W2095" s="34">
        <f>U2095*V2095</f>
        <v/>
      </c>
      <c r="X2095" s="32">
        <f>T2095/N2095</f>
        <v/>
      </c>
      <c r="Y2095" s="35">
        <f>IF(W2095=MAXIFS(W$2:W$3601, A$2:A$3601, A2095, B$2:B$3601, B2095), "OPTIMAL", "")</f>
        <v/>
      </c>
    </row>
    <row r="2096" ht="20" customHeight="1">
      <c r="A2096" s="21" t="n">
        <v>-18</v>
      </c>
      <c r="B2096" s="21" t="n">
        <v>25</v>
      </c>
      <c r="C2096" s="22" t="n">
        <v>115</v>
      </c>
      <c r="D2096" s="22" t="n">
        <v>2</v>
      </c>
      <c r="E2096" s="23" t="n">
        <v>8</v>
      </c>
      <c r="F2096" s="22" t="n">
        <v>1.5</v>
      </c>
      <c r="G2096" s="23" t="inlineStr">
        <is>
          <t>Non</t>
        </is>
      </c>
      <c r="H2096" s="23" t="inlineStr">
        <is>
          <t>ON</t>
        </is>
      </c>
      <c r="I2096" s="24" t="n">
        <v>604.2334594602274</v>
      </c>
      <c r="J2096" s="24" t="n">
        <v>4012.68388558375</v>
      </c>
      <c r="K2096" s="24" t="n">
        <v>3342.592592592593</v>
      </c>
      <c r="L2096" s="24" t="n">
        <v>150</v>
      </c>
      <c r="M2096" s="24">
        <f>I2096+J2096+K2096+L2096</f>
        <v/>
      </c>
      <c r="N2096" s="24">
        <f>M2096*'Dashboard &amp; Optimisation'!$B$18/('Dashboard &amp; Optimisation'!$B$16/3.6)</f>
        <v/>
      </c>
      <c r="O2096" s="24" t="n">
        <v>641.302216578861</v>
      </c>
      <c r="P2096" s="25" t="n">
        <v>0.04971811794807418</v>
      </c>
      <c r="Q2096" s="26" t="n">
        <v>11.4760847032113</v>
      </c>
      <c r="R2096" s="24" t="n">
        <v>3357.688926728306</v>
      </c>
      <c r="S2096" s="24">
        <f>R2096*IF(A2096=4, 2.0, 3.0)</f>
        <v/>
      </c>
      <c r="T2096" s="22">
        <f>'Dashboard &amp; Optimisation'!$B$18*U2096</f>
        <v/>
      </c>
      <c r="U2096" s="27">
        <f>MIN(1, S2096/M2096)</f>
        <v/>
      </c>
      <c r="V2096" s="27">
        <f>N2096/(N2096+O2096)</f>
        <v/>
      </c>
      <c r="W2096" s="27">
        <f>U2096*V2096</f>
        <v/>
      </c>
      <c r="X2096" s="25">
        <f>T2096/N2096</f>
        <v/>
      </c>
      <c r="Y2096" s="28">
        <f>IF(W2096=MAXIFS(W$2:W$3601, A$2:A$3601, A2096, B$2:B$3601, B2096), "OPTIMAL", "")</f>
        <v/>
      </c>
    </row>
    <row r="2097" ht="20" customHeight="1">
      <c r="A2097" s="29" t="n">
        <v>-18</v>
      </c>
      <c r="B2097" s="29" t="n">
        <v>25</v>
      </c>
      <c r="C2097" s="30" t="n">
        <v>115</v>
      </c>
      <c r="D2097" s="30" t="n">
        <v>2</v>
      </c>
      <c r="E2097" s="6" t="n">
        <v>8</v>
      </c>
      <c r="F2097" s="30" t="n">
        <v>1.5</v>
      </c>
      <c r="G2097" s="6" t="inlineStr">
        <is>
          <t>Non</t>
        </is>
      </c>
      <c r="H2097" s="6" t="inlineStr">
        <is>
          <t>OFF</t>
        </is>
      </c>
      <c r="I2097" s="31" t="n">
        <v>604.2334594602274</v>
      </c>
      <c r="J2097" s="31" t="n">
        <v>4012.68388558375</v>
      </c>
      <c r="K2097" s="31" t="n">
        <v>3342.592592592593</v>
      </c>
      <c r="L2097" s="31" t="n">
        <v>150</v>
      </c>
      <c r="M2097" s="31">
        <f>I2097+J2097+K2097+L2097</f>
        <v/>
      </c>
      <c r="N2097" s="31">
        <f>M2097*'Dashboard &amp; Optimisation'!$B$18/('Dashboard &amp; Optimisation'!$B$16/3.6)</f>
        <v/>
      </c>
      <c r="O2097" s="31" t="n">
        <v>641.302216578861</v>
      </c>
      <c r="P2097" s="32" t="n">
        <v>0.219419918189054</v>
      </c>
      <c r="Q2097" s="33" t="n">
        <v>11.4760847032113</v>
      </c>
      <c r="R2097" s="31" t="n">
        <v>760.8150411768241</v>
      </c>
      <c r="S2097" s="31">
        <f>R2097*IF(A2097=4, 2.0, 3.0)</f>
        <v/>
      </c>
      <c r="T2097" s="30">
        <f>'Dashboard &amp; Optimisation'!$B$18*U2097</f>
        <v/>
      </c>
      <c r="U2097" s="34">
        <f>MIN(1, S2097/M2097)</f>
        <v/>
      </c>
      <c r="V2097" s="34">
        <f>N2097/(N2097+O2097)</f>
        <v/>
      </c>
      <c r="W2097" s="34">
        <f>U2097*V2097</f>
        <v/>
      </c>
      <c r="X2097" s="32">
        <f>T2097/N2097</f>
        <v/>
      </c>
      <c r="Y2097" s="35">
        <f>IF(W2097=MAXIFS(W$2:W$3601, A$2:A$3601, A2097, B$2:B$3601, B2097), "OPTIMAL", "")</f>
        <v/>
      </c>
    </row>
    <row r="2098" ht="20" customHeight="1">
      <c r="A2098" s="21" t="n">
        <v>-18</v>
      </c>
      <c r="B2098" s="21" t="n">
        <v>25</v>
      </c>
      <c r="C2098" s="22" t="n">
        <v>115</v>
      </c>
      <c r="D2098" s="22" t="n">
        <v>2</v>
      </c>
      <c r="E2098" s="23" t="n">
        <v>8</v>
      </c>
      <c r="F2098" s="22" t="n">
        <v>2</v>
      </c>
      <c r="G2098" s="23" t="inlineStr">
        <is>
          <t>Oui</t>
        </is>
      </c>
      <c r="H2098" s="23" t="inlineStr">
        <is>
          <t>ON</t>
        </is>
      </c>
      <c r="I2098" s="24" t="n">
        <v>604.2334594602274</v>
      </c>
      <c r="J2098" s="24" t="n">
        <v>4012.68388558375</v>
      </c>
      <c r="K2098" s="24" t="n">
        <v>3342.592592592593</v>
      </c>
      <c r="L2098" s="24" t="n">
        <v>150</v>
      </c>
      <c r="M2098" s="24">
        <f>I2098+J2098+K2098+L2098</f>
        <v/>
      </c>
      <c r="N2098" s="24">
        <f>M2098*'Dashboard &amp; Optimisation'!$B$18/('Dashboard &amp; Optimisation'!$B$16/3.6)</f>
        <v/>
      </c>
      <c r="O2098" s="24" t="n">
        <v>763.2198104230879</v>
      </c>
      <c r="P2098" s="25" t="n">
        <v>0.05098656696881766</v>
      </c>
      <c r="Q2098" s="26" t="n">
        <v>15.23477960428174</v>
      </c>
      <c r="R2098" s="24" t="n">
        <v>3339.007468448604</v>
      </c>
      <c r="S2098" s="24">
        <f>R2098*IF(A2098=4, 2.0, 3.0)</f>
        <v/>
      </c>
      <c r="T2098" s="22">
        <f>'Dashboard &amp; Optimisation'!$B$18*U2098</f>
        <v/>
      </c>
      <c r="U2098" s="27">
        <f>MIN(1, S2098/M2098)</f>
        <v/>
      </c>
      <c r="V2098" s="27">
        <f>N2098/(N2098+O2098)</f>
        <v/>
      </c>
      <c r="W2098" s="27">
        <f>U2098*V2098</f>
        <v/>
      </c>
      <c r="X2098" s="25">
        <f>T2098/N2098</f>
        <v/>
      </c>
      <c r="Y2098" s="28">
        <f>IF(W2098=MAXIFS(W$2:W$3601, A$2:A$3601, A2098, B$2:B$3601, B2098), "OPTIMAL", "")</f>
        <v/>
      </c>
    </row>
    <row r="2099" ht="20" customHeight="1">
      <c r="A2099" s="29" t="n">
        <v>-18</v>
      </c>
      <c r="B2099" s="29" t="n">
        <v>25</v>
      </c>
      <c r="C2099" s="30" t="n">
        <v>115</v>
      </c>
      <c r="D2099" s="30" t="n">
        <v>2</v>
      </c>
      <c r="E2099" s="6" t="n">
        <v>8</v>
      </c>
      <c r="F2099" s="30" t="n">
        <v>2</v>
      </c>
      <c r="G2099" s="6" t="inlineStr">
        <is>
          <t>Oui</t>
        </is>
      </c>
      <c r="H2099" s="6" t="inlineStr">
        <is>
          <t>OFF</t>
        </is>
      </c>
      <c r="I2099" s="31" t="n">
        <v>604.2334594602274</v>
      </c>
      <c r="J2099" s="31" t="n">
        <v>4012.68388558375</v>
      </c>
      <c r="K2099" s="31" t="n">
        <v>3342.592592592593</v>
      </c>
      <c r="L2099" s="31" t="n">
        <v>150</v>
      </c>
      <c r="M2099" s="31">
        <f>I2099+J2099+K2099+L2099</f>
        <v/>
      </c>
      <c r="N2099" s="31">
        <f>M2099*'Dashboard &amp; Optimisation'!$B$18/('Dashboard &amp; Optimisation'!$B$16/3.6)</f>
        <v/>
      </c>
      <c r="O2099" s="31" t="n">
        <v>763.2198104230879</v>
      </c>
      <c r="P2099" s="32" t="n">
        <v>0.2218463755842228</v>
      </c>
      <c r="Q2099" s="33" t="n">
        <v>15.23477960428174</v>
      </c>
      <c r="R2099" s="31" t="n">
        <v>767.3982838399118</v>
      </c>
      <c r="S2099" s="31">
        <f>R2099*IF(A2099=4, 2.0, 3.0)</f>
        <v/>
      </c>
      <c r="T2099" s="30">
        <f>'Dashboard &amp; Optimisation'!$B$18*U2099</f>
        <v/>
      </c>
      <c r="U2099" s="34">
        <f>MIN(1, S2099/M2099)</f>
        <v/>
      </c>
      <c r="V2099" s="34">
        <f>N2099/(N2099+O2099)</f>
        <v/>
      </c>
      <c r="W2099" s="34">
        <f>U2099*V2099</f>
        <v/>
      </c>
      <c r="X2099" s="32">
        <f>T2099/N2099</f>
        <v/>
      </c>
      <c r="Y2099" s="35">
        <f>IF(W2099=MAXIFS(W$2:W$3601, A$2:A$3601, A2099, B$2:B$3601, B2099), "OPTIMAL", "")</f>
        <v/>
      </c>
    </row>
    <row r="2100" ht="20" customHeight="1">
      <c r="A2100" s="21" t="n">
        <v>-18</v>
      </c>
      <c r="B2100" s="21" t="n">
        <v>25</v>
      </c>
      <c r="C2100" s="22" t="n">
        <v>115</v>
      </c>
      <c r="D2100" s="22" t="n">
        <v>2</v>
      </c>
      <c r="E2100" s="23" t="n">
        <v>8</v>
      </c>
      <c r="F2100" s="22" t="n">
        <v>2</v>
      </c>
      <c r="G2100" s="23" t="inlineStr">
        <is>
          <t>Non</t>
        </is>
      </c>
      <c r="H2100" s="23" t="inlineStr">
        <is>
          <t>ON</t>
        </is>
      </c>
      <c r="I2100" s="24" t="n">
        <v>604.2334594602274</v>
      </c>
      <c r="J2100" s="24" t="n">
        <v>4012.68388558375</v>
      </c>
      <c r="K2100" s="24" t="n">
        <v>3342.592592592593</v>
      </c>
      <c r="L2100" s="24" t="n">
        <v>150</v>
      </c>
      <c r="M2100" s="24">
        <f>I2100+J2100+K2100+L2100</f>
        <v/>
      </c>
      <c r="N2100" s="24">
        <f>M2100*'Dashboard &amp; Optimisation'!$B$18/('Dashboard &amp; Optimisation'!$B$16/3.6)</f>
        <v/>
      </c>
      <c r="O2100" s="24" t="n">
        <v>763.2198104230879</v>
      </c>
      <c r="P2100" s="25" t="n">
        <v>0.04821865491504557</v>
      </c>
      <c r="Q2100" s="26" t="n">
        <v>15.23477960428174</v>
      </c>
      <c r="R2100" s="24" t="n">
        <v>3530.677664057278</v>
      </c>
      <c r="S2100" s="24">
        <f>R2100*IF(A2100=4, 2.0, 3.0)</f>
        <v/>
      </c>
      <c r="T2100" s="22">
        <f>'Dashboard &amp; Optimisation'!$B$18*U2100</f>
        <v/>
      </c>
      <c r="U2100" s="27">
        <f>MIN(1, S2100/M2100)</f>
        <v/>
      </c>
      <c r="V2100" s="27">
        <f>N2100/(N2100+O2100)</f>
        <v/>
      </c>
      <c r="W2100" s="27">
        <f>U2100*V2100</f>
        <v/>
      </c>
      <c r="X2100" s="25">
        <f>T2100/N2100</f>
        <v/>
      </c>
      <c r="Y2100" s="28">
        <f>IF(W2100=MAXIFS(W$2:W$3601, A$2:A$3601, A2100, B$2:B$3601, B2100), "OPTIMAL", "")</f>
        <v/>
      </c>
    </row>
    <row r="2101" ht="20" customHeight="1">
      <c r="A2101" s="29" t="n">
        <v>-18</v>
      </c>
      <c r="B2101" s="29" t="n">
        <v>25</v>
      </c>
      <c r="C2101" s="30" t="n">
        <v>115</v>
      </c>
      <c r="D2101" s="30" t="n">
        <v>2</v>
      </c>
      <c r="E2101" s="6" t="n">
        <v>8</v>
      </c>
      <c r="F2101" s="30" t="n">
        <v>2</v>
      </c>
      <c r="G2101" s="6" t="inlineStr">
        <is>
          <t>Non</t>
        </is>
      </c>
      <c r="H2101" s="6" t="inlineStr">
        <is>
          <t>OFF</t>
        </is>
      </c>
      <c r="I2101" s="31" t="n">
        <v>604.2334594602274</v>
      </c>
      <c r="J2101" s="31" t="n">
        <v>4012.68388558375</v>
      </c>
      <c r="K2101" s="31" t="n">
        <v>3342.592592592593</v>
      </c>
      <c r="L2101" s="31" t="n">
        <v>150</v>
      </c>
      <c r="M2101" s="31">
        <f>I2101+J2101+K2101+L2101</f>
        <v/>
      </c>
      <c r="N2101" s="31">
        <f>M2101*'Dashboard &amp; Optimisation'!$B$18/('Dashboard &amp; Optimisation'!$B$16/3.6)</f>
        <v/>
      </c>
      <c r="O2101" s="31" t="n">
        <v>763.2198104230879</v>
      </c>
      <c r="P2101" s="32" t="n">
        <v>0.2190784635304507</v>
      </c>
      <c r="Q2101" s="33" t="n">
        <v>15.23477960428174</v>
      </c>
      <c r="R2101" s="31" t="n">
        <v>777.0938555800763</v>
      </c>
      <c r="S2101" s="31">
        <f>R2101*IF(A2101=4, 2.0, 3.0)</f>
        <v/>
      </c>
      <c r="T2101" s="30">
        <f>'Dashboard &amp; Optimisation'!$B$18*U2101</f>
        <v/>
      </c>
      <c r="U2101" s="34">
        <f>MIN(1, S2101/M2101)</f>
        <v/>
      </c>
      <c r="V2101" s="34">
        <f>N2101/(N2101+O2101)</f>
        <v/>
      </c>
      <c r="W2101" s="34">
        <f>U2101*V2101</f>
        <v/>
      </c>
      <c r="X2101" s="32">
        <f>T2101/N2101</f>
        <v/>
      </c>
      <c r="Y2101" s="35">
        <f>IF(W2101=MAXIFS(W$2:W$3601, A$2:A$3601, A2101, B$2:B$3601, B2101), "OPTIMAL", "")</f>
        <v/>
      </c>
    </row>
    <row r="2102" ht="20" customHeight="1">
      <c r="A2102" s="21" t="n">
        <v>-18</v>
      </c>
      <c r="B2102" s="21" t="n">
        <v>25</v>
      </c>
      <c r="C2102" s="22" t="n">
        <v>115</v>
      </c>
      <c r="D2102" s="22" t="n">
        <v>3</v>
      </c>
      <c r="E2102" s="23" t="n">
        <v>0</v>
      </c>
      <c r="F2102" s="22" t="n">
        <v>0</v>
      </c>
      <c r="G2102" s="23" t="inlineStr">
        <is>
          <t>Oui</t>
        </is>
      </c>
      <c r="H2102" s="23" t="inlineStr">
        <is>
          <t>ON</t>
        </is>
      </c>
      <c r="I2102" s="24" t="n">
        <v>604.2334594602274</v>
      </c>
      <c r="J2102" s="24" t="n">
        <v>4012.68388558375</v>
      </c>
      <c r="K2102" s="24" t="n">
        <v>3342.592592592593</v>
      </c>
      <c r="L2102" s="24" t="n">
        <v>150</v>
      </c>
      <c r="M2102" s="24">
        <f>I2102+J2102+K2102+L2102</f>
        <v/>
      </c>
      <c r="N2102" s="24">
        <f>M2102*'Dashboard &amp; Optimisation'!$B$18/('Dashboard &amp; Optimisation'!$B$16/3.6)</f>
        <v/>
      </c>
      <c r="O2102" s="24" t="n">
        <v>466.2358927869311</v>
      </c>
      <c r="P2102" s="25" t="n">
        <v>0.4698946720919304</v>
      </c>
      <c r="Q2102" s="26" t="n">
        <v>0.2</v>
      </c>
      <c r="R2102" s="24" t="n">
        <v>348.1386727196154</v>
      </c>
      <c r="S2102" s="24">
        <f>R2102*IF(A2102=4, 2.0, 3.0)</f>
        <v/>
      </c>
      <c r="T2102" s="22">
        <f>'Dashboard &amp; Optimisation'!$B$18*U2102</f>
        <v/>
      </c>
      <c r="U2102" s="27">
        <f>MIN(1, S2102/M2102)</f>
        <v/>
      </c>
      <c r="V2102" s="27">
        <f>N2102/(N2102+O2102)</f>
        <v/>
      </c>
      <c r="W2102" s="27">
        <f>U2102*V2102</f>
        <v/>
      </c>
      <c r="X2102" s="25">
        <f>T2102/N2102</f>
        <v/>
      </c>
      <c r="Y2102" s="28">
        <f>IF(W2102=MAXIFS(W$2:W$3601, A$2:A$3601, A2102, B$2:B$3601, B2102), "OPTIMAL", "")</f>
        <v/>
      </c>
    </row>
    <row r="2103" ht="20" customHeight="1">
      <c r="A2103" s="29" t="n">
        <v>-18</v>
      </c>
      <c r="B2103" s="29" t="n">
        <v>25</v>
      </c>
      <c r="C2103" s="30" t="n">
        <v>115</v>
      </c>
      <c r="D2103" s="30" t="n">
        <v>3</v>
      </c>
      <c r="E2103" s="6" t="n">
        <v>0</v>
      </c>
      <c r="F2103" s="30" t="n">
        <v>0</v>
      </c>
      <c r="G2103" s="6" t="inlineStr">
        <is>
          <t>Oui</t>
        </is>
      </c>
      <c r="H2103" s="6" t="inlineStr">
        <is>
          <t>OFF</t>
        </is>
      </c>
      <c r="I2103" s="31" t="n">
        <v>604.2334594602274</v>
      </c>
      <c r="J2103" s="31" t="n">
        <v>4012.68388558375</v>
      </c>
      <c r="K2103" s="31" t="n">
        <v>3342.592592592593</v>
      </c>
      <c r="L2103" s="31" t="n">
        <v>150</v>
      </c>
      <c r="M2103" s="31">
        <f>I2103+J2103+K2103+L2103</f>
        <v/>
      </c>
      <c r="N2103" s="31">
        <f>M2103*'Dashboard &amp; Optimisation'!$B$18/('Dashboard &amp; Optimisation'!$B$16/3.6)</f>
        <v/>
      </c>
      <c r="O2103" s="31" t="n">
        <v>466.2358927869311</v>
      </c>
      <c r="P2103" s="32" t="n">
        <v>0.7466858774691396</v>
      </c>
      <c r="Q2103" s="33" t="n">
        <v>0.2</v>
      </c>
      <c r="R2103" s="31" t="n">
        <v>219.086114250051</v>
      </c>
      <c r="S2103" s="31">
        <f>R2103*IF(A2103=4, 2.0, 3.0)</f>
        <v/>
      </c>
      <c r="T2103" s="30">
        <f>'Dashboard &amp; Optimisation'!$B$18*U2103</f>
        <v/>
      </c>
      <c r="U2103" s="34">
        <f>MIN(1, S2103/M2103)</f>
        <v/>
      </c>
      <c r="V2103" s="34">
        <f>N2103/(N2103+O2103)</f>
        <v/>
      </c>
      <c r="W2103" s="34">
        <f>U2103*V2103</f>
        <v/>
      </c>
      <c r="X2103" s="32">
        <f>T2103/N2103</f>
        <v/>
      </c>
      <c r="Y2103" s="35">
        <f>IF(W2103=MAXIFS(W$2:W$3601, A$2:A$3601, A2103, B$2:B$3601, B2103), "OPTIMAL", "")</f>
        <v/>
      </c>
    </row>
    <row r="2104" ht="20" customHeight="1">
      <c r="A2104" s="21" t="n">
        <v>-18</v>
      </c>
      <c r="B2104" s="21" t="n">
        <v>25</v>
      </c>
      <c r="C2104" s="22" t="n">
        <v>115</v>
      </c>
      <c r="D2104" s="22" t="n">
        <v>3</v>
      </c>
      <c r="E2104" s="23" t="n">
        <v>0</v>
      </c>
      <c r="F2104" s="22" t="n">
        <v>0</v>
      </c>
      <c r="G2104" s="23" t="inlineStr">
        <is>
          <t>Non</t>
        </is>
      </c>
      <c r="H2104" s="23" t="inlineStr">
        <is>
          <t>ON</t>
        </is>
      </c>
      <c r="I2104" s="24" t="n">
        <v>604.2334594602274</v>
      </c>
      <c r="J2104" s="24" t="n">
        <v>4012.68388558375</v>
      </c>
      <c r="K2104" s="24" t="n">
        <v>3342.592592592593</v>
      </c>
      <c r="L2104" s="24" t="n">
        <v>150</v>
      </c>
      <c r="M2104" s="24">
        <f>I2104+J2104+K2104+L2104</f>
        <v/>
      </c>
      <c r="N2104" s="24">
        <f>M2104*'Dashboard &amp; Optimisation'!$B$18/('Dashboard &amp; Optimisation'!$B$16/3.6)</f>
        <v/>
      </c>
      <c r="O2104" s="24" t="n">
        <v>466.2358927869311</v>
      </c>
      <c r="P2104" s="25" t="n">
        <v>0.4671267600381582</v>
      </c>
      <c r="Q2104" s="26" t="n">
        <v>0.2</v>
      </c>
      <c r="R2104" s="24" t="n">
        <v>350.2015329773453</v>
      </c>
      <c r="S2104" s="24">
        <f>R2104*IF(A2104=4, 2.0, 3.0)</f>
        <v/>
      </c>
      <c r="T2104" s="22">
        <f>'Dashboard &amp; Optimisation'!$B$18*U2104</f>
        <v/>
      </c>
      <c r="U2104" s="27">
        <f>MIN(1, S2104/M2104)</f>
        <v/>
      </c>
      <c r="V2104" s="27">
        <f>N2104/(N2104+O2104)</f>
        <v/>
      </c>
      <c r="W2104" s="27">
        <f>U2104*V2104</f>
        <v/>
      </c>
      <c r="X2104" s="25">
        <f>T2104/N2104</f>
        <v/>
      </c>
      <c r="Y2104" s="28">
        <f>IF(W2104=MAXIFS(W$2:W$3601, A$2:A$3601, A2104, B$2:B$3601, B2104), "OPTIMAL", "")</f>
        <v/>
      </c>
    </row>
    <row r="2105" ht="20" customHeight="1">
      <c r="A2105" s="29" t="n">
        <v>-18</v>
      </c>
      <c r="B2105" s="29" t="n">
        <v>25</v>
      </c>
      <c r="C2105" s="30" t="n">
        <v>115</v>
      </c>
      <c r="D2105" s="30" t="n">
        <v>3</v>
      </c>
      <c r="E2105" s="6" t="n">
        <v>0</v>
      </c>
      <c r="F2105" s="30" t="n">
        <v>0</v>
      </c>
      <c r="G2105" s="6" t="inlineStr">
        <is>
          <t>Non</t>
        </is>
      </c>
      <c r="H2105" s="6" t="inlineStr">
        <is>
          <t>OFF</t>
        </is>
      </c>
      <c r="I2105" s="31" t="n">
        <v>604.2334594602274</v>
      </c>
      <c r="J2105" s="31" t="n">
        <v>4012.68388558375</v>
      </c>
      <c r="K2105" s="31" t="n">
        <v>3342.592592592593</v>
      </c>
      <c r="L2105" s="31" t="n">
        <v>150</v>
      </c>
      <c r="M2105" s="31">
        <f>I2105+J2105+K2105+L2105</f>
        <v/>
      </c>
      <c r="N2105" s="31">
        <f>M2105*'Dashboard &amp; Optimisation'!$B$18/('Dashboard &amp; Optimisation'!$B$16/3.6)</f>
        <v/>
      </c>
      <c r="O2105" s="31" t="n">
        <v>466.2358927869311</v>
      </c>
      <c r="P2105" s="32" t="n">
        <v>0.7439179654153676</v>
      </c>
      <c r="Q2105" s="33" t="n">
        <v>0.2</v>
      </c>
      <c r="R2105" s="31" t="n">
        <v>219.9012728087077</v>
      </c>
      <c r="S2105" s="31">
        <f>R2105*IF(A2105=4, 2.0, 3.0)</f>
        <v/>
      </c>
      <c r="T2105" s="30">
        <f>'Dashboard &amp; Optimisation'!$B$18*U2105</f>
        <v/>
      </c>
      <c r="U2105" s="34">
        <f>MIN(1, S2105/M2105)</f>
        <v/>
      </c>
      <c r="V2105" s="34">
        <f>N2105/(N2105+O2105)</f>
        <v/>
      </c>
      <c r="W2105" s="34">
        <f>U2105*V2105</f>
        <v/>
      </c>
      <c r="X2105" s="32">
        <f>T2105/N2105</f>
        <v/>
      </c>
      <c r="Y2105" s="35">
        <f>IF(W2105=MAXIFS(W$2:W$3601, A$2:A$3601, A2105, B$2:B$3601, B2105), "OPTIMAL", "")</f>
        <v/>
      </c>
    </row>
    <row r="2106" ht="20" customHeight="1">
      <c r="A2106" s="21" t="n">
        <v>-18</v>
      </c>
      <c r="B2106" s="21" t="n">
        <v>25</v>
      </c>
      <c r="C2106" s="22" t="n">
        <v>115</v>
      </c>
      <c r="D2106" s="22" t="n">
        <v>3</v>
      </c>
      <c r="E2106" s="23" t="n">
        <v>4</v>
      </c>
      <c r="F2106" s="22" t="n">
        <v>1.5</v>
      </c>
      <c r="G2106" s="23" t="inlineStr">
        <is>
          <t>Oui</t>
        </is>
      </c>
      <c r="H2106" s="23" t="inlineStr">
        <is>
          <t>ON</t>
        </is>
      </c>
      <c r="I2106" s="24" t="n">
        <v>604.2334594602274</v>
      </c>
      <c r="J2106" s="24" t="n">
        <v>4012.68388558375</v>
      </c>
      <c r="K2106" s="24" t="n">
        <v>3342.592592592593</v>
      </c>
      <c r="L2106" s="24" t="n">
        <v>150</v>
      </c>
      <c r="M2106" s="24">
        <f>I2106+J2106+K2106+L2106</f>
        <v/>
      </c>
      <c r="N2106" s="24">
        <f>M2106*'Dashboard &amp; Optimisation'!$B$18/('Dashboard &amp; Optimisation'!$B$16/3.6)</f>
        <v/>
      </c>
      <c r="O2106" s="24" t="n">
        <v>639.4607825189098</v>
      </c>
      <c r="P2106" s="25" t="n">
        <v>0.06905768177243103</v>
      </c>
      <c r="Q2106" s="26" t="n">
        <v>5.941492669983736</v>
      </c>
      <c r="R2106" s="24" t="n">
        <v>2437.193459518571</v>
      </c>
      <c r="S2106" s="24">
        <f>R2106*IF(A2106=4, 2.0, 3.0)</f>
        <v/>
      </c>
      <c r="T2106" s="22">
        <f>'Dashboard &amp; Optimisation'!$B$18*U2106</f>
        <v/>
      </c>
      <c r="U2106" s="27">
        <f>MIN(1, S2106/M2106)</f>
        <v/>
      </c>
      <c r="V2106" s="27">
        <f>N2106/(N2106+O2106)</f>
        <v/>
      </c>
      <c r="W2106" s="27">
        <f>U2106*V2106</f>
        <v/>
      </c>
      <c r="X2106" s="25">
        <f>T2106/N2106</f>
        <v/>
      </c>
      <c r="Y2106" s="28">
        <f>IF(W2106=MAXIFS(W$2:W$3601, A$2:A$3601, A2106, B$2:B$3601, B2106), "OPTIMAL", "")</f>
        <v/>
      </c>
    </row>
    <row r="2107" ht="20" customHeight="1">
      <c r="A2107" s="29" t="n">
        <v>-18</v>
      </c>
      <c r="B2107" s="29" t="n">
        <v>25</v>
      </c>
      <c r="C2107" s="30" t="n">
        <v>115</v>
      </c>
      <c r="D2107" s="30" t="n">
        <v>3</v>
      </c>
      <c r="E2107" s="6" t="n">
        <v>4</v>
      </c>
      <c r="F2107" s="30" t="n">
        <v>1.5</v>
      </c>
      <c r="G2107" s="6" t="inlineStr">
        <is>
          <t>Oui</t>
        </is>
      </c>
      <c r="H2107" s="6" t="inlineStr">
        <is>
          <t>OFF</t>
        </is>
      </c>
      <c r="I2107" s="31" t="n">
        <v>604.2334594602274</v>
      </c>
      <c r="J2107" s="31" t="n">
        <v>4012.68388558375</v>
      </c>
      <c r="K2107" s="31" t="n">
        <v>3342.592592592593</v>
      </c>
      <c r="L2107" s="31" t="n">
        <v>150</v>
      </c>
      <c r="M2107" s="31">
        <f>I2107+J2107+K2107+L2107</f>
        <v/>
      </c>
      <c r="N2107" s="31">
        <f>M2107*'Dashboard &amp; Optimisation'!$B$18/('Dashboard &amp; Optimisation'!$B$16/3.6)</f>
        <v/>
      </c>
      <c r="O2107" s="31" t="n">
        <v>639.4607825189098</v>
      </c>
      <c r="P2107" s="32" t="n">
        <v>0.2794623219147311</v>
      </c>
      <c r="Q2107" s="33" t="n">
        <v>5.941492669983736</v>
      </c>
      <c r="R2107" s="31" t="n">
        <v>602.2526728903269</v>
      </c>
      <c r="S2107" s="31">
        <f>R2107*IF(A2107=4, 2.0, 3.0)</f>
        <v/>
      </c>
      <c r="T2107" s="30">
        <f>'Dashboard &amp; Optimisation'!$B$18*U2107</f>
        <v/>
      </c>
      <c r="U2107" s="34">
        <f>MIN(1, S2107/M2107)</f>
        <v/>
      </c>
      <c r="V2107" s="34">
        <f>N2107/(N2107+O2107)</f>
        <v/>
      </c>
      <c r="W2107" s="34">
        <f>U2107*V2107</f>
        <v/>
      </c>
      <c r="X2107" s="32">
        <f>T2107/N2107</f>
        <v/>
      </c>
      <c r="Y2107" s="35">
        <f>IF(W2107=MAXIFS(W$2:W$3601, A$2:A$3601, A2107, B$2:B$3601, B2107), "OPTIMAL", "")</f>
        <v/>
      </c>
    </row>
    <row r="2108" ht="20" customHeight="1">
      <c r="A2108" s="21" t="n">
        <v>-18</v>
      </c>
      <c r="B2108" s="21" t="n">
        <v>25</v>
      </c>
      <c r="C2108" s="22" t="n">
        <v>115</v>
      </c>
      <c r="D2108" s="22" t="n">
        <v>3</v>
      </c>
      <c r="E2108" s="23" t="n">
        <v>4</v>
      </c>
      <c r="F2108" s="22" t="n">
        <v>1.5</v>
      </c>
      <c r="G2108" s="23" t="inlineStr">
        <is>
          <t>Non</t>
        </is>
      </c>
      <c r="H2108" s="23" t="inlineStr">
        <is>
          <t>ON</t>
        </is>
      </c>
      <c r="I2108" s="24" t="n">
        <v>604.2334594602274</v>
      </c>
      <c r="J2108" s="24" t="n">
        <v>4012.68388558375</v>
      </c>
      <c r="K2108" s="24" t="n">
        <v>3342.592592592593</v>
      </c>
      <c r="L2108" s="24" t="n">
        <v>150</v>
      </c>
      <c r="M2108" s="24">
        <f>I2108+J2108+K2108+L2108</f>
        <v/>
      </c>
      <c r="N2108" s="24">
        <f>M2108*'Dashboard &amp; Optimisation'!$B$18/('Dashboard &amp; Optimisation'!$B$16/3.6)</f>
        <v/>
      </c>
      <c r="O2108" s="24" t="n">
        <v>639.4607825189098</v>
      </c>
      <c r="P2108" s="25" t="n">
        <v>0.06628976971865894</v>
      </c>
      <c r="Q2108" s="26" t="n">
        <v>5.941492669983736</v>
      </c>
      <c r="R2108" s="24" t="n">
        <v>2538.957837077982</v>
      </c>
      <c r="S2108" s="24">
        <f>R2108*IF(A2108=4, 2.0, 3.0)</f>
        <v/>
      </c>
      <c r="T2108" s="22">
        <f>'Dashboard &amp; Optimisation'!$B$18*U2108</f>
        <v/>
      </c>
      <c r="U2108" s="27">
        <f>MIN(1, S2108/M2108)</f>
        <v/>
      </c>
      <c r="V2108" s="27">
        <f>N2108/(N2108+O2108)</f>
        <v/>
      </c>
      <c r="W2108" s="27">
        <f>U2108*V2108</f>
        <v/>
      </c>
      <c r="X2108" s="25">
        <f>T2108/N2108</f>
        <v/>
      </c>
      <c r="Y2108" s="28">
        <f>IF(W2108=MAXIFS(W$2:W$3601, A$2:A$3601, A2108, B$2:B$3601, B2108), "OPTIMAL", "")</f>
        <v/>
      </c>
    </row>
    <row r="2109" ht="20" customHeight="1">
      <c r="A2109" s="29" t="n">
        <v>-18</v>
      </c>
      <c r="B2109" s="29" t="n">
        <v>25</v>
      </c>
      <c r="C2109" s="30" t="n">
        <v>115</v>
      </c>
      <c r="D2109" s="30" t="n">
        <v>3</v>
      </c>
      <c r="E2109" s="6" t="n">
        <v>4</v>
      </c>
      <c r="F2109" s="30" t="n">
        <v>1.5</v>
      </c>
      <c r="G2109" s="6" t="inlineStr">
        <is>
          <t>Non</t>
        </is>
      </c>
      <c r="H2109" s="6" t="inlineStr">
        <is>
          <t>OFF</t>
        </is>
      </c>
      <c r="I2109" s="31" t="n">
        <v>604.2334594602274</v>
      </c>
      <c r="J2109" s="31" t="n">
        <v>4012.68388558375</v>
      </c>
      <c r="K2109" s="31" t="n">
        <v>3342.592592592593</v>
      </c>
      <c r="L2109" s="31" t="n">
        <v>150</v>
      </c>
      <c r="M2109" s="31">
        <f>I2109+J2109+K2109+L2109</f>
        <v/>
      </c>
      <c r="N2109" s="31">
        <f>M2109*'Dashboard &amp; Optimisation'!$B$18/('Dashboard &amp; Optimisation'!$B$16/3.6)</f>
        <v/>
      </c>
      <c r="O2109" s="31" t="n">
        <v>639.4607825189098</v>
      </c>
      <c r="P2109" s="32" t="n">
        <v>0.276694409860959</v>
      </c>
      <c r="Q2109" s="33" t="n">
        <v>5.941492669983736</v>
      </c>
      <c r="R2109" s="31" t="n">
        <v>608.2773064691089</v>
      </c>
      <c r="S2109" s="31">
        <f>R2109*IF(A2109=4, 2.0, 3.0)</f>
        <v/>
      </c>
      <c r="T2109" s="30">
        <f>'Dashboard &amp; Optimisation'!$B$18*U2109</f>
        <v/>
      </c>
      <c r="U2109" s="34">
        <f>MIN(1, S2109/M2109)</f>
        <v/>
      </c>
      <c r="V2109" s="34">
        <f>N2109/(N2109+O2109)</f>
        <v/>
      </c>
      <c r="W2109" s="34">
        <f>U2109*V2109</f>
        <v/>
      </c>
      <c r="X2109" s="32">
        <f>T2109/N2109</f>
        <v/>
      </c>
      <c r="Y2109" s="35">
        <f>IF(W2109=MAXIFS(W$2:W$3601, A$2:A$3601, A2109, B$2:B$3601, B2109), "OPTIMAL", "")</f>
        <v/>
      </c>
    </row>
    <row r="2110" ht="20" customHeight="1">
      <c r="A2110" s="21" t="n">
        <v>-18</v>
      </c>
      <c r="B2110" s="21" t="n">
        <v>25</v>
      </c>
      <c r="C2110" s="22" t="n">
        <v>115</v>
      </c>
      <c r="D2110" s="22" t="n">
        <v>3</v>
      </c>
      <c r="E2110" s="23" t="n">
        <v>4</v>
      </c>
      <c r="F2110" s="22" t="n">
        <v>2</v>
      </c>
      <c r="G2110" s="23" t="inlineStr">
        <is>
          <t>Oui</t>
        </is>
      </c>
      <c r="H2110" s="23" t="inlineStr">
        <is>
          <t>ON</t>
        </is>
      </c>
      <c r="I2110" s="24" t="n">
        <v>604.2334594602274</v>
      </c>
      <c r="J2110" s="24" t="n">
        <v>4012.68388558375</v>
      </c>
      <c r="K2110" s="24" t="n">
        <v>3342.592592592593</v>
      </c>
      <c r="L2110" s="24" t="n">
        <v>150</v>
      </c>
      <c r="M2110" s="24">
        <f>I2110+J2110+K2110+L2110</f>
        <v/>
      </c>
      <c r="N2110" s="24">
        <f>M2110*'Dashboard &amp; Optimisation'!$B$18/('Dashboard &amp; Optimisation'!$B$16/3.6)</f>
        <v/>
      </c>
      <c r="O2110" s="24" t="n">
        <v>699.4445772591181</v>
      </c>
      <c r="P2110" s="25" t="n">
        <v>0.06595572049116703</v>
      </c>
      <c r="Q2110" s="26" t="n">
        <v>7.855323559978315</v>
      </c>
      <c r="R2110" s="24" t="n">
        <v>2576.589420754149</v>
      </c>
      <c r="S2110" s="24">
        <f>R2110*IF(A2110=4, 2.0, 3.0)</f>
        <v/>
      </c>
      <c r="T2110" s="22">
        <f>'Dashboard &amp; Optimisation'!$B$18*U2110</f>
        <v/>
      </c>
      <c r="U2110" s="27">
        <f>MIN(1, S2110/M2110)</f>
        <v/>
      </c>
      <c r="V2110" s="27">
        <f>N2110/(N2110+O2110)</f>
        <v/>
      </c>
      <c r="W2110" s="27">
        <f>U2110*V2110</f>
        <v/>
      </c>
      <c r="X2110" s="25">
        <f>T2110/N2110</f>
        <v/>
      </c>
      <c r="Y2110" s="28">
        <f>IF(W2110=MAXIFS(W$2:W$3601, A$2:A$3601, A2110, B$2:B$3601, B2110), "OPTIMAL", "")</f>
        <v/>
      </c>
    </row>
    <row r="2111" ht="20" customHeight="1">
      <c r="A2111" s="29" t="n">
        <v>-18</v>
      </c>
      <c r="B2111" s="29" t="n">
        <v>25</v>
      </c>
      <c r="C2111" s="30" t="n">
        <v>115</v>
      </c>
      <c r="D2111" s="30" t="n">
        <v>3</v>
      </c>
      <c r="E2111" s="6" t="n">
        <v>4</v>
      </c>
      <c r="F2111" s="30" t="n">
        <v>2</v>
      </c>
      <c r="G2111" s="6" t="inlineStr">
        <is>
          <t>Oui</t>
        </is>
      </c>
      <c r="H2111" s="6" t="inlineStr">
        <is>
          <t>OFF</t>
        </is>
      </c>
      <c r="I2111" s="31" t="n">
        <v>604.2334594602274</v>
      </c>
      <c r="J2111" s="31" t="n">
        <v>4012.68388558375</v>
      </c>
      <c r="K2111" s="31" t="n">
        <v>3342.592592592593</v>
      </c>
      <c r="L2111" s="31" t="n">
        <v>150</v>
      </c>
      <c r="M2111" s="31">
        <f>I2111+J2111+K2111+L2111</f>
        <v/>
      </c>
      <c r="N2111" s="31">
        <f>M2111*'Dashboard &amp; Optimisation'!$B$18/('Dashboard &amp; Optimisation'!$B$16/3.6)</f>
        <v/>
      </c>
      <c r="O2111" s="31" t="n">
        <v>699.4445772591181</v>
      </c>
      <c r="P2111" s="32" t="n">
        <v>0.2772478604823886</v>
      </c>
      <c r="Q2111" s="33" t="n">
        <v>7.855323559978315</v>
      </c>
      <c r="R2111" s="31" t="n">
        <v>612.9562600053091</v>
      </c>
      <c r="S2111" s="31">
        <f>R2111*IF(A2111=4, 2.0, 3.0)</f>
        <v/>
      </c>
      <c r="T2111" s="30">
        <f>'Dashboard &amp; Optimisation'!$B$18*U2111</f>
        <v/>
      </c>
      <c r="U2111" s="34">
        <f>MIN(1, S2111/M2111)</f>
        <v/>
      </c>
      <c r="V2111" s="34">
        <f>N2111/(N2111+O2111)</f>
        <v/>
      </c>
      <c r="W2111" s="34">
        <f>U2111*V2111</f>
        <v/>
      </c>
      <c r="X2111" s="32">
        <f>T2111/N2111</f>
        <v/>
      </c>
      <c r="Y2111" s="35">
        <f>IF(W2111=MAXIFS(W$2:W$3601, A$2:A$3601, A2111, B$2:B$3601, B2111), "OPTIMAL", "")</f>
        <v/>
      </c>
    </row>
    <row r="2112" ht="20" customHeight="1">
      <c r="A2112" s="21" t="n">
        <v>-18</v>
      </c>
      <c r="B2112" s="21" t="n">
        <v>25</v>
      </c>
      <c r="C2112" s="22" t="n">
        <v>115</v>
      </c>
      <c r="D2112" s="22" t="n">
        <v>3</v>
      </c>
      <c r="E2112" s="23" t="n">
        <v>4</v>
      </c>
      <c r="F2112" s="22" t="n">
        <v>2</v>
      </c>
      <c r="G2112" s="23" t="inlineStr">
        <is>
          <t>Non</t>
        </is>
      </c>
      <c r="H2112" s="23" t="inlineStr">
        <is>
          <t>ON</t>
        </is>
      </c>
      <c r="I2112" s="24" t="n">
        <v>604.2334594602274</v>
      </c>
      <c r="J2112" s="24" t="n">
        <v>4012.68388558375</v>
      </c>
      <c r="K2112" s="24" t="n">
        <v>3342.592592592593</v>
      </c>
      <c r="L2112" s="24" t="n">
        <v>150</v>
      </c>
      <c r="M2112" s="24">
        <f>I2112+J2112+K2112+L2112</f>
        <v/>
      </c>
      <c r="N2112" s="24">
        <f>M2112*'Dashboard &amp; Optimisation'!$B$18/('Dashboard &amp; Optimisation'!$B$16/3.6)</f>
        <v/>
      </c>
      <c r="O2112" s="24" t="n">
        <v>699.4445772591181</v>
      </c>
      <c r="P2112" s="25" t="n">
        <v>0.06318780843739494</v>
      </c>
      <c r="Q2112" s="26" t="n">
        <v>7.855323559978315</v>
      </c>
      <c r="R2112" s="24" t="n">
        <v>2689.455701318272</v>
      </c>
      <c r="S2112" s="24">
        <f>R2112*IF(A2112=4, 2.0, 3.0)</f>
        <v/>
      </c>
      <c r="T2112" s="22">
        <f>'Dashboard &amp; Optimisation'!$B$18*U2112</f>
        <v/>
      </c>
      <c r="U2112" s="27">
        <f>MIN(1, S2112/M2112)</f>
        <v/>
      </c>
      <c r="V2112" s="27">
        <f>N2112/(N2112+O2112)</f>
        <v/>
      </c>
      <c r="W2112" s="27">
        <f>U2112*V2112</f>
        <v/>
      </c>
      <c r="X2112" s="25">
        <f>T2112/N2112</f>
        <v/>
      </c>
      <c r="Y2112" s="28">
        <f>IF(W2112=MAXIFS(W$2:W$3601, A$2:A$3601, A2112, B$2:B$3601, B2112), "OPTIMAL", "")</f>
        <v/>
      </c>
    </row>
    <row r="2113" ht="20" customHeight="1">
      <c r="A2113" s="29" t="n">
        <v>-18</v>
      </c>
      <c r="B2113" s="29" t="n">
        <v>25</v>
      </c>
      <c r="C2113" s="30" t="n">
        <v>115</v>
      </c>
      <c r="D2113" s="30" t="n">
        <v>3</v>
      </c>
      <c r="E2113" s="6" t="n">
        <v>4</v>
      </c>
      <c r="F2113" s="30" t="n">
        <v>2</v>
      </c>
      <c r="G2113" s="6" t="inlineStr">
        <is>
          <t>Non</t>
        </is>
      </c>
      <c r="H2113" s="6" t="inlineStr">
        <is>
          <t>OFF</t>
        </is>
      </c>
      <c r="I2113" s="31" t="n">
        <v>604.2334594602274</v>
      </c>
      <c r="J2113" s="31" t="n">
        <v>4012.68388558375</v>
      </c>
      <c r="K2113" s="31" t="n">
        <v>3342.592592592593</v>
      </c>
      <c r="L2113" s="31" t="n">
        <v>150</v>
      </c>
      <c r="M2113" s="31">
        <f>I2113+J2113+K2113+L2113</f>
        <v/>
      </c>
      <c r="N2113" s="31">
        <f>M2113*'Dashboard &amp; Optimisation'!$B$18/('Dashboard &amp; Optimisation'!$B$16/3.6)</f>
        <v/>
      </c>
      <c r="O2113" s="31" t="n">
        <v>699.4445772591181</v>
      </c>
      <c r="P2113" s="32" t="n">
        <v>0.2744799484286165</v>
      </c>
      <c r="Q2113" s="33" t="n">
        <v>7.855323559978315</v>
      </c>
      <c r="R2113" s="31" t="n">
        <v>619.1374365546955</v>
      </c>
      <c r="S2113" s="31">
        <f>R2113*IF(A2113=4, 2.0, 3.0)</f>
        <v/>
      </c>
      <c r="T2113" s="30">
        <f>'Dashboard &amp; Optimisation'!$B$18*U2113</f>
        <v/>
      </c>
      <c r="U2113" s="34">
        <f>MIN(1, S2113/M2113)</f>
        <v/>
      </c>
      <c r="V2113" s="34">
        <f>N2113/(N2113+O2113)</f>
        <v/>
      </c>
      <c r="W2113" s="34">
        <f>U2113*V2113</f>
        <v/>
      </c>
      <c r="X2113" s="32">
        <f>T2113/N2113</f>
        <v/>
      </c>
      <c r="Y2113" s="35">
        <f>IF(W2113=MAXIFS(W$2:W$3601, A$2:A$3601, A2113, B$2:B$3601, B2113), "OPTIMAL", "")</f>
        <v/>
      </c>
    </row>
    <row r="2114" ht="20" customHeight="1">
      <c r="A2114" s="21" t="n">
        <v>-18</v>
      </c>
      <c r="B2114" s="21" t="n">
        <v>25</v>
      </c>
      <c r="C2114" s="22" t="n">
        <v>115</v>
      </c>
      <c r="D2114" s="22" t="n">
        <v>3</v>
      </c>
      <c r="E2114" s="23" t="n">
        <v>8</v>
      </c>
      <c r="F2114" s="22" t="n">
        <v>1.5</v>
      </c>
      <c r="G2114" s="23" t="inlineStr">
        <is>
          <t>Oui</t>
        </is>
      </c>
      <c r="H2114" s="23" t="inlineStr">
        <is>
          <t>ON</t>
        </is>
      </c>
      <c r="I2114" s="24" t="n">
        <v>604.2334594602274</v>
      </c>
      <c r="J2114" s="24" t="n">
        <v>4012.68388558375</v>
      </c>
      <c r="K2114" s="24" t="n">
        <v>3342.592592592593</v>
      </c>
      <c r="L2114" s="24" t="n">
        <v>150</v>
      </c>
      <c r="M2114" s="24">
        <f>I2114+J2114+K2114+L2114</f>
        <v/>
      </c>
      <c r="N2114" s="24">
        <f>M2114*'Dashboard &amp; Optimisation'!$B$18/('Dashboard &amp; Optimisation'!$B$16/3.6)</f>
        <v/>
      </c>
      <c r="O2114" s="24" t="n">
        <v>822.9751900815246</v>
      </c>
      <c r="P2114" s="25" t="n">
        <v>0.05237734442636455</v>
      </c>
      <c r="Q2114" s="26" t="n">
        <v>11.68298533996747</v>
      </c>
      <c r="R2114" s="24" t="n">
        <v>3308.789865951806</v>
      </c>
      <c r="S2114" s="24">
        <f>R2114*IF(A2114=4, 2.0, 3.0)</f>
        <v/>
      </c>
      <c r="T2114" s="22">
        <f>'Dashboard &amp; Optimisation'!$B$18*U2114</f>
        <v/>
      </c>
      <c r="U2114" s="27">
        <f>MIN(1, S2114/M2114)</f>
        <v/>
      </c>
      <c r="V2114" s="27">
        <f>N2114/(N2114+O2114)</f>
        <v/>
      </c>
      <c r="W2114" s="27">
        <f>U2114*V2114</f>
        <v/>
      </c>
      <c r="X2114" s="25">
        <f>T2114/N2114</f>
        <v/>
      </c>
      <c r="Y2114" s="28">
        <f>IF(W2114=MAXIFS(W$2:W$3601, A$2:A$3601, A2114, B$2:B$3601, B2114), "OPTIMAL", "")</f>
        <v/>
      </c>
    </row>
    <row r="2115" ht="20" customHeight="1">
      <c r="A2115" s="29" t="n">
        <v>-18</v>
      </c>
      <c r="B2115" s="29" t="n">
        <v>25</v>
      </c>
      <c r="C2115" s="30" t="n">
        <v>115</v>
      </c>
      <c r="D2115" s="30" t="n">
        <v>3</v>
      </c>
      <c r="E2115" s="6" t="n">
        <v>8</v>
      </c>
      <c r="F2115" s="30" t="n">
        <v>1.5</v>
      </c>
      <c r="G2115" s="6" t="inlineStr">
        <is>
          <t>Oui</t>
        </is>
      </c>
      <c r="H2115" s="6" t="inlineStr">
        <is>
          <t>OFF</t>
        </is>
      </c>
      <c r="I2115" s="31" t="n">
        <v>604.2334594602274</v>
      </c>
      <c r="J2115" s="31" t="n">
        <v>4012.68388558375</v>
      </c>
      <c r="K2115" s="31" t="n">
        <v>3342.592592592593</v>
      </c>
      <c r="L2115" s="31" t="n">
        <v>150</v>
      </c>
      <c r="M2115" s="31">
        <f>I2115+J2115+K2115+L2115</f>
        <v/>
      </c>
      <c r="N2115" s="31">
        <f>M2115*'Dashboard &amp; Optimisation'!$B$18/('Dashboard &amp; Optimisation'!$B$16/3.6)</f>
        <v/>
      </c>
      <c r="O2115" s="31" t="n">
        <v>822.9751900815246</v>
      </c>
      <c r="P2115" s="32" t="n">
        <v>0.2220791446673444</v>
      </c>
      <c r="Q2115" s="33" t="n">
        <v>11.68298533996747</v>
      </c>
      <c r="R2115" s="31" t="n">
        <v>780.3777644362754</v>
      </c>
      <c r="S2115" s="31">
        <f>R2115*IF(A2115=4, 2.0, 3.0)</f>
        <v/>
      </c>
      <c r="T2115" s="30">
        <f>'Dashboard &amp; Optimisation'!$B$18*U2115</f>
        <v/>
      </c>
      <c r="U2115" s="34">
        <f>MIN(1, S2115/M2115)</f>
        <v/>
      </c>
      <c r="V2115" s="34">
        <f>N2115/(N2115+O2115)</f>
        <v/>
      </c>
      <c r="W2115" s="34">
        <f>U2115*V2115</f>
        <v/>
      </c>
      <c r="X2115" s="32">
        <f>T2115/N2115</f>
        <v/>
      </c>
      <c r="Y2115" s="35">
        <f>IF(W2115=MAXIFS(W$2:W$3601, A$2:A$3601, A2115, B$2:B$3601, B2115), "OPTIMAL", "")</f>
        <v/>
      </c>
    </row>
    <row r="2116" ht="20" customHeight="1">
      <c r="A2116" s="21" t="n">
        <v>-18</v>
      </c>
      <c r="B2116" s="21" t="n">
        <v>25</v>
      </c>
      <c r="C2116" s="22" t="n">
        <v>115</v>
      </c>
      <c r="D2116" s="22" t="n">
        <v>3</v>
      </c>
      <c r="E2116" s="23" t="n">
        <v>8</v>
      </c>
      <c r="F2116" s="22" t="n">
        <v>1.5</v>
      </c>
      <c r="G2116" s="23" t="inlineStr">
        <is>
          <t>Non</t>
        </is>
      </c>
      <c r="H2116" s="23" t="inlineStr">
        <is>
          <t>ON</t>
        </is>
      </c>
      <c r="I2116" s="24" t="n">
        <v>604.2334594602274</v>
      </c>
      <c r="J2116" s="24" t="n">
        <v>4012.68388558375</v>
      </c>
      <c r="K2116" s="24" t="n">
        <v>3342.592592592593</v>
      </c>
      <c r="L2116" s="24" t="n">
        <v>150</v>
      </c>
      <c r="M2116" s="24">
        <f>I2116+J2116+K2116+L2116</f>
        <v/>
      </c>
      <c r="N2116" s="24">
        <f>M2116*'Dashboard &amp; Optimisation'!$B$18/('Dashboard &amp; Optimisation'!$B$16/3.6)</f>
        <v/>
      </c>
      <c r="O2116" s="24" t="n">
        <v>822.9751900815246</v>
      </c>
      <c r="P2116" s="25" t="n">
        <v>0.04960943237259246</v>
      </c>
      <c r="Q2116" s="26" t="n">
        <v>11.68298533996747</v>
      </c>
      <c r="R2116" s="24" t="n">
        <v>3493.400713433035</v>
      </c>
      <c r="S2116" s="24">
        <f>R2116*IF(A2116=4, 2.0, 3.0)</f>
        <v/>
      </c>
      <c r="T2116" s="22">
        <f>'Dashboard &amp; Optimisation'!$B$18*U2116</f>
        <v/>
      </c>
      <c r="U2116" s="27">
        <f>MIN(1, S2116/M2116)</f>
        <v/>
      </c>
      <c r="V2116" s="27">
        <f>N2116/(N2116+O2116)</f>
        <v/>
      </c>
      <c r="W2116" s="27">
        <f>U2116*V2116</f>
        <v/>
      </c>
      <c r="X2116" s="25">
        <f>T2116/N2116</f>
        <v/>
      </c>
      <c r="Y2116" s="28">
        <f>IF(W2116=MAXIFS(W$2:W$3601, A$2:A$3601, A2116, B$2:B$3601, B2116), "OPTIMAL", "")</f>
        <v/>
      </c>
    </row>
    <row r="2117" ht="20" customHeight="1">
      <c r="A2117" s="29" t="n">
        <v>-18</v>
      </c>
      <c r="B2117" s="29" t="n">
        <v>25</v>
      </c>
      <c r="C2117" s="30" t="n">
        <v>115</v>
      </c>
      <c r="D2117" s="30" t="n">
        <v>3</v>
      </c>
      <c r="E2117" s="6" t="n">
        <v>8</v>
      </c>
      <c r="F2117" s="30" t="n">
        <v>1.5</v>
      </c>
      <c r="G2117" s="6" t="inlineStr">
        <is>
          <t>Non</t>
        </is>
      </c>
      <c r="H2117" s="6" t="inlineStr">
        <is>
          <t>OFF</t>
        </is>
      </c>
      <c r="I2117" s="31" t="n">
        <v>604.2334594602274</v>
      </c>
      <c r="J2117" s="31" t="n">
        <v>4012.68388558375</v>
      </c>
      <c r="K2117" s="31" t="n">
        <v>3342.592592592593</v>
      </c>
      <c r="L2117" s="31" t="n">
        <v>150</v>
      </c>
      <c r="M2117" s="31">
        <f>I2117+J2117+K2117+L2117</f>
        <v/>
      </c>
      <c r="N2117" s="31">
        <f>M2117*'Dashboard &amp; Optimisation'!$B$18/('Dashboard &amp; Optimisation'!$B$16/3.6)</f>
        <v/>
      </c>
      <c r="O2117" s="31" t="n">
        <v>822.9751900815246</v>
      </c>
      <c r="P2117" s="32" t="n">
        <v>0.2193112326135723</v>
      </c>
      <c r="Q2117" s="33" t="n">
        <v>11.68298533996747</v>
      </c>
      <c r="R2117" s="31" t="n">
        <v>790.2268587801334</v>
      </c>
      <c r="S2117" s="31">
        <f>R2117*IF(A2117=4, 2.0, 3.0)</f>
        <v/>
      </c>
      <c r="T2117" s="30">
        <f>'Dashboard &amp; Optimisation'!$B$18*U2117</f>
        <v/>
      </c>
      <c r="U2117" s="34">
        <f>MIN(1, S2117/M2117)</f>
        <v/>
      </c>
      <c r="V2117" s="34">
        <f>N2117/(N2117+O2117)</f>
        <v/>
      </c>
      <c r="W2117" s="34">
        <f>U2117*V2117</f>
        <v/>
      </c>
      <c r="X2117" s="32">
        <f>T2117/N2117</f>
        <v/>
      </c>
      <c r="Y2117" s="35">
        <f>IF(W2117=MAXIFS(W$2:W$3601, A$2:A$3601, A2117, B$2:B$3601, B2117), "OPTIMAL", "")</f>
        <v/>
      </c>
    </row>
    <row r="2118" ht="20" customHeight="1">
      <c r="A2118" s="21" t="n">
        <v>-18</v>
      </c>
      <c r="B2118" s="21" t="n">
        <v>25</v>
      </c>
      <c r="C2118" s="22" t="n">
        <v>115</v>
      </c>
      <c r="D2118" s="22" t="n">
        <v>3</v>
      </c>
      <c r="E2118" s="23" t="n">
        <v>8</v>
      </c>
      <c r="F2118" s="22" t="n">
        <v>2</v>
      </c>
      <c r="G2118" s="23" t="inlineStr">
        <is>
          <t>Oui</t>
        </is>
      </c>
      <c r="H2118" s="23" t="inlineStr">
        <is>
          <t>ON</t>
        </is>
      </c>
      <c r="I2118" s="24" t="n">
        <v>604.2334594602274</v>
      </c>
      <c r="J2118" s="24" t="n">
        <v>4012.68388558375</v>
      </c>
      <c r="K2118" s="24" t="n">
        <v>3342.592592592593</v>
      </c>
      <c r="L2118" s="24" t="n">
        <v>150</v>
      </c>
      <c r="M2118" s="24">
        <f>I2118+J2118+K2118+L2118</f>
        <v/>
      </c>
      <c r="N2118" s="24">
        <f>M2118*'Dashboard &amp; Optimisation'!$B$18/('Dashboard &amp; Optimisation'!$B$16/3.6)</f>
        <v/>
      </c>
      <c r="O2118" s="24" t="n">
        <v>951.4964094807375</v>
      </c>
      <c r="P2118" s="25" t="n">
        <v>0.05090778119320737</v>
      </c>
      <c r="Q2118" s="26" t="n">
        <v>15.51064711995663</v>
      </c>
      <c r="R2118" s="24" t="n">
        <v>3473.07179339416</v>
      </c>
      <c r="S2118" s="24">
        <f>R2118*IF(A2118=4, 2.0, 3.0)</f>
        <v/>
      </c>
      <c r="T2118" s="22">
        <f>'Dashboard &amp; Optimisation'!$B$18*U2118</f>
        <v/>
      </c>
      <c r="U2118" s="27">
        <f>MIN(1, S2118/M2118)</f>
        <v/>
      </c>
      <c r="V2118" s="27">
        <f>N2118/(N2118+O2118)</f>
        <v/>
      </c>
      <c r="W2118" s="27">
        <f>U2118*V2118</f>
        <v/>
      </c>
      <c r="X2118" s="25">
        <f>T2118/N2118</f>
        <v/>
      </c>
      <c r="Y2118" s="28">
        <f>IF(W2118=MAXIFS(W$2:W$3601, A$2:A$3601, A2118, B$2:B$3601, B2118), "OPTIMAL", "")</f>
        <v/>
      </c>
    </row>
    <row r="2119" ht="20" customHeight="1">
      <c r="A2119" s="29" t="n">
        <v>-18</v>
      </c>
      <c r="B2119" s="29" t="n">
        <v>25</v>
      </c>
      <c r="C2119" s="30" t="n">
        <v>115</v>
      </c>
      <c r="D2119" s="30" t="n">
        <v>3</v>
      </c>
      <c r="E2119" s="6" t="n">
        <v>8</v>
      </c>
      <c r="F2119" s="30" t="n">
        <v>2</v>
      </c>
      <c r="G2119" s="6" t="inlineStr">
        <is>
          <t>Oui</t>
        </is>
      </c>
      <c r="H2119" s="6" t="inlineStr">
        <is>
          <t>OFF</t>
        </is>
      </c>
      <c r="I2119" s="31" t="n">
        <v>604.2334594602274</v>
      </c>
      <c r="J2119" s="31" t="n">
        <v>4012.68388558375</v>
      </c>
      <c r="K2119" s="31" t="n">
        <v>3342.592592592593</v>
      </c>
      <c r="L2119" s="31" t="n">
        <v>150</v>
      </c>
      <c r="M2119" s="31">
        <f>I2119+J2119+K2119+L2119</f>
        <v/>
      </c>
      <c r="N2119" s="31">
        <f>M2119*'Dashboard &amp; Optimisation'!$B$18/('Dashboard &amp; Optimisation'!$B$16/3.6)</f>
        <v/>
      </c>
      <c r="O2119" s="31" t="n">
        <v>951.4964094807375</v>
      </c>
      <c r="P2119" s="32" t="n">
        <v>0.2217675898086125</v>
      </c>
      <c r="Q2119" s="33" t="n">
        <v>15.51064711995663</v>
      </c>
      <c r="R2119" s="31" t="n">
        <v>797.2597757814644</v>
      </c>
      <c r="S2119" s="31">
        <f>R2119*IF(A2119=4, 2.0, 3.0)</f>
        <v/>
      </c>
      <c r="T2119" s="30">
        <f>'Dashboard &amp; Optimisation'!$B$18*U2119</f>
        <v/>
      </c>
      <c r="U2119" s="34">
        <f>MIN(1, S2119/M2119)</f>
        <v/>
      </c>
      <c r="V2119" s="34">
        <f>N2119/(N2119+O2119)</f>
        <v/>
      </c>
      <c r="W2119" s="34">
        <f>U2119*V2119</f>
        <v/>
      </c>
      <c r="X2119" s="32">
        <f>T2119/N2119</f>
        <v/>
      </c>
      <c r="Y2119" s="35">
        <f>IF(W2119=MAXIFS(W$2:W$3601, A$2:A$3601, A2119, B$2:B$3601, B2119), "OPTIMAL", "")</f>
        <v/>
      </c>
    </row>
    <row r="2120" ht="20" customHeight="1">
      <c r="A2120" s="21" t="n">
        <v>-18</v>
      </c>
      <c r="B2120" s="21" t="n">
        <v>25</v>
      </c>
      <c r="C2120" s="22" t="n">
        <v>115</v>
      </c>
      <c r="D2120" s="22" t="n">
        <v>3</v>
      </c>
      <c r="E2120" s="23" t="n">
        <v>8</v>
      </c>
      <c r="F2120" s="22" t="n">
        <v>2</v>
      </c>
      <c r="G2120" s="23" t="inlineStr">
        <is>
          <t>Non</t>
        </is>
      </c>
      <c r="H2120" s="23" t="inlineStr">
        <is>
          <t>ON</t>
        </is>
      </c>
      <c r="I2120" s="24" t="n">
        <v>604.2334594602274</v>
      </c>
      <c r="J2120" s="24" t="n">
        <v>4012.68388558375</v>
      </c>
      <c r="K2120" s="24" t="n">
        <v>3342.592592592593</v>
      </c>
      <c r="L2120" s="24" t="n">
        <v>150</v>
      </c>
      <c r="M2120" s="24">
        <f>I2120+J2120+K2120+L2120</f>
        <v/>
      </c>
      <c r="N2120" s="24">
        <f>M2120*'Dashboard &amp; Optimisation'!$B$18/('Dashboard &amp; Optimisation'!$B$16/3.6)</f>
        <v/>
      </c>
      <c r="O2120" s="24" t="n">
        <v>951.4964094807375</v>
      </c>
      <c r="P2120" s="25" t="n">
        <v>0.04813986913943527</v>
      </c>
      <c r="Q2120" s="26" t="n">
        <v>15.51064711995663</v>
      </c>
      <c r="R2120" s="24" t="n">
        <v>3672.764012180784</v>
      </c>
      <c r="S2120" s="24">
        <f>R2120*IF(A2120=4, 2.0, 3.0)</f>
        <v/>
      </c>
      <c r="T2120" s="22">
        <f>'Dashboard &amp; Optimisation'!$B$18*U2120</f>
        <v/>
      </c>
      <c r="U2120" s="27">
        <f>MIN(1, S2120/M2120)</f>
        <v/>
      </c>
      <c r="V2120" s="27">
        <f>N2120/(N2120+O2120)</f>
        <v/>
      </c>
      <c r="W2120" s="27">
        <f>U2120*V2120</f>
        <v/>
      </c>
      <c r="X2120" s="25">
        <f>T2120/N2120</f>
        <v/>
      </c>
      <c r="Y2120" s="28">
        <f>IF(W2120=MAXIFS(W$2:W$3601, A$2:A$3601, A2120, B$2:B$3601, B2120), "OPTIMAL", "")</f>
        <v/>
      </c>
    </row>
    <row r="2121" ht="20" customHeight="1">
      <c r="A2121" s="29" t="n">
        <v>-18</v>
      </c>
      <c r="B2121" s="29" t="n">
        <v>25</v>
      </c>
      <c r="C2121" s="30" t="n">
        <v>115</v>
      </c>
      <c r="D2121" s="30" t="n">
        <v>3</v>
      </c>
      <c r="E2121" s="6" t="n">
        <v>8</v>
      </c>
      <c r="F2121" s="30" t="n">
        <v>2</v>
      </c>
      <c r="G2121" s="6" t="inlineStr">
        <is>
          <t>Non</t>
        </is>
      </c>
      <c r="H2121" s="6" t="inlineStr">
        <is>
          <t>OFF</t>
        </is>
      </c>
      <c r="I2121" s="31" t="n">
        <v>604.2334594602274</v>
      </c>
      <c r="J2121" s="31" t="n">
        <v>4012.68388558375</v>
      </c>
      <c r="K2121" s="31" t="n">
        <v>3342.592592592593</v>
      </c>
      <c r="L2121" s="31" t="n">
        <v>150</v>
      </c>
      <c r="M2121" s="31">
        <f>I2121+J2121+K2121+L2121</f>
        <v/>
      </c>
      <c r="N2121" s="31">
        <f>M2121*'Dashboard &amp; Optimisation'!$B$18/('Dashboard &amp; Optimisation'!$B$16/3.6)</f>
        <v/>
      </c>
      <c r="O2121" s="31" t="n">
        <v>951.4964094807375</v>
      </c>
      <c r="P2121" s="32" t="n">
        <v>0.2189996777548404</v>
      </c>
      <c r="Q2121" s="33" t="n">
        <v>15.51064711995663</v>
      </c>
      <c r="R2121" s="31" t="n">
        <v>807.3362515370292</v>
      </c>
      <c r="S2121" s="31">
        <f>R2121*IF(A2121=4, 2.0, 3.0)</f>
        <v/>
      </c>
      <c r="T2121" s="30">
        <f>'Dashboard &amp; Optimisation'!$B$18*U2121</f>
        <v/>
      </c>
      <c r="U2121" s="34">
        <f>MIN(1, S2121/M2121)</f>
        <v/>
      </c>
      <c r="V2121" s="34">
        <f>N2121/(N2121+O2121)</f>
        <v/>
      </c>
      <c r="W2121" s="34">
        <f>U2121*V2121</f>
        <v/>
      </c>
      <c r="X2121" s="32">
        <f>T2121/N2121</f>
        <v/>
      </c>
      <c r="Y2121" s="35">
        <f>IF(W2121=MAXIFS(W$2:W$3601, A$2:A$3601, A2121, B$2:B$3601, B2121), "OPTIMAL", "")</f>
        <v/>
      </c>
    </row>
    <row r="2122" ht="20" customHeight="1">
      <c r="A2122" s="21" t="n">
        <v>-18</v>
      </c>
      <c r="B2122" s="21" t="n">
        <v>25</v>
      </c>
      <c r="C2122" s="22" t="n">
        <v>120</v>
      </c>
      <c r="D2122" s="22" t="n">
        <v>2</v>
      </c>
      <c r="E2122" s="23" t="n">
        <v>0</v>
      </c>
      <c r="F2122" s="22" t="n">
        <v>0</v>
      </c>
      <c r="G2122" s="23" t="inlineStr">
        <is>
          <t>Oui</t>
        </is>
      </c>
      <c r="H2122" s="23" t="inlineStr">
        <is>
          <t>ON</t>
        </is>
      </c>
      <c r="I2122" s="24" t="n">
        <v>604.2334594602274</v>
      </c>
      <c r="J2122" s="24" t="n">
        <v>4012.68388558375</v>
      </c>
      <c r="K2122" s="24" t="n">
        <v>3342.592592592593</v>
      </c>
      <c r="L2122" s="24" t="n">
        <v>150</v>
      </c>
      <c r="M2122" s="24">
        <f>I2122+J2122+K2122+L2122</f>
        <v/>
      </c>
      <c r="N2122" s="24">
        <f>M2122*'Dashboard &amp; Optimisation'!$B$18/('Dashboard &amp; Optimisation'!$B$16/3.6)</f>
        <v/>
      </c>
      <c r="O2122" s="24" t="n">
        <v>289.1448405826137</v>
      </c>
      <c r="P2122" s="25" t="n">
        <v>0.4668808197339223</v>
      </c>
      <c r="Q2122" s="26" t="n">
        <v>0.2</v>
      </c>
      <c r="R2122" s="24" t="n">
        <v>309.3739730945305</v>
      </c>
      <c r="S2122" s="24">
        <f>R2122*IF(A2122=4, 2.0, 3.0)</f>
        <v/>
      </c>
      <c r="T2122" s="22">
        <f>'Dashboard &amp; Optimisation'!$B$18*U2122</f>
        <v/>
      </c>
      <c r="U2122" s="27">
        <f>MIN(1, S2122/M2122)</f>
        <v/>
      </c>
      <c r="V2122" s="27">
        <f>N2122/(N2122+O2122)</f>
        <v/>
      </c>
      <c r="W2122" s="27">
        <f>U2122*V2122</f>
        <v/>
      </c>
      <c r="X2122" s="25">
        <f>T2122/N2122</f>
        <v/>
      </c>
      <c r="Y2122" s="28">
        <f>IF(W2122=MAXIFS(W$2:W$3601, A$2:A$3601, A2122, B$2:B$3601, B2122), "OPTIMAL", "")</f>
        <v/>
      </c>
    </row>
    <row r="2123" ht="20" customHeight="1">
      <c r="A2123" s="29" t="n">
        <v>-18</v>
      </c>
      <c r="B2123" s="29" t="n">
        <v>25</v>
      </c>
      <c r="C2123" s="30" t="n">
        <v>120</v>
      </c>
      <c r="D2123" s="30" t="n">
        <v>2</v>
      </c>
      <c r="E2123" s="6" t="n">
        <v>0</v>
      </c>
      <c r="F2123" s="30" t="n">
        <v>0</v>
      </c>
      <c r="G2123" s="6" t="inlineStr">
        <is>
          <t>Oui</t>
        </is>
      </c>
      <c r="H2123" s="6" t="inlineStr">
        <is>
          <t>OFF</t>
        </is>
      </c>
      <c r="I2123" s="31" t="n">
        <v>604.2334594602274</v>
      </c>
      <c r="J2123" s="31" t="n">
        <v>4012.68388558375</v>
      </c>
      <c r="K2123" s="31" t="n">
        <v>3342.592592592593</v>
      </c>
      <c r="L2123" s="31" t="n">
        <v>150</v>
      </c>
      <c r="M2123" s="31">
        <f>I2123+J2123+K2123+L2123</f>
        <v/>
      </c>
      <c r="N2123" s="31">
        <f>M2123*'Dashboard &amp; Optimisation'!$B$18/('Dashboard &amp; Optimisation'!$B$16/3.6)</f>
        <v/>
      </c>
      <c r="O2123" s="31" t="n">
        <v>289.1448405826137</v>
      </c>
      <c r="P2123" s="32" t="n">
        <v>0.7321390582204146</v>
      </c>
      <c r="Q2123" s="33" t="n">
        <v>0.2</v>
      </c>
      <c r="R2123" s="31" t="n">
        <v>197.2859835040109</v>
      </c>
      <c r="S2123" s="31">
        <f>R2123*IF(A2123=4, 2.0, 3.0)</f>
        <v/>
      </c>
      <c r="T2123" s="30">
        <f>'Dashboard &amp; Optimisation'!$B$18*U2123</f>
        <v/>
      </c>
      <c r="U2123" s="34">
        <f>MIN(1, S2123/M2123)</f>
        <v/>
      </c>
      <c r="V2123" s="34">
        <f>N2123/(N2123+O2123)</f>
        <v/>
      </c>
      <c r="W2123" s="34">
        <f>U2123*V2123</f>
        <v/>
      </c>
      <c r="X2123" s="32">
        <f>T2123/N2123</f>
        <v/>
      </c>
      <c r="Y2123" s="35">
        <f>IF(W2123=MAXIFS(W$2:W$3601, A$2:A$3601, A2123, B$2:B$3601, B2123), "OPTIMAL", "")</f>
        <v/>
      </c>
    </row>
    <row r="2124" ht="20" customHeight="1">
      <c r="A2124" s="21" t="n">
        <v>-18</v>
      </c>
      <c r="B2124" s="21" t="n">
        <v>25</v>
      </c>
      <c r="C2124" s="22" t="n">
        <v>120</v>
      </c>
      <c r="D2124" s="22" t="n">
        <v>2</v>
      </c>
      <c r="E2124" s="23" t="n">
        <v>0</v>
      </c>
      <c r="F2124" s="22" t="n">
        <v>0</v>
      </c>
      <c r="G2124" s="23" t="inlineStr">
        <is>
          <t>Non</t>
        </is>
      </c>
      <c r="H2124" s="23" t="inlineStr">
        <is>
          <t>ON</t>
        </is>
      </c>
      <c r="I2124" s="24" t="n">
        <v>604.2334594602274</v>
      </c>
      <c r="J2124" s="24" t="n">
        <v>4012.68388558375</v>
      </c>
      <c r="K2124" s="24" t="n">
        <v>3342.592592592593</v>
      </c>
      <c r="L2124" s="24" t="n">
        <v>150</v>
      </c>
      <c r="M2124" s="24">
        <f>I2124+J2124+K2124+L2124</f>
        <v/>
      </c>
      <c r="N2124" s="24">
        <f>M2124*'Dashboard &amp; Optimisation'!$B$18/('Dashboard &amp; Optimisation'!$B$16/3.6)</f>
        <v/>
      </c>
      <c r="O2124" s="24" t="n">
        <v>289.1448405826137</v>
      </c>
      <c r="P2124" s="25" t="n">
        <v>0.4642282373490574</v>
      </c>
      <c r="Q2124" s="26" t="n">
        <v>0.2</v>
      </c>
      <c r="R2124" s="24" t="n">
        <v>311.1417241388281</v>
      </c>
      <c r="S2124" s="24">
        <f>R2124*IF(A2124=4, 2.0, 3.0)</f>
        <v/>
      </c>
      <c r="T2124" s="22">
        <f>'Dashboard &amp; Optimisation'!$B$18*U2124</f>
        <v/>
      </c>
      <c r="U2124" s="27">
        <f>MIN(1, S2124/M2124)</f>
        <v/>
      </c>
      <c r="V2124" s="27">
        <f>N2124/(N2124+O2124)</f>
        <v/>
      </c>
      <c r="W2124" s="27">
        <f>U2124*V2124</f>
        <v/>
      </c>
      <c r="X2124" s="25">
        <f>T2124/N2124</f>
        <v/>
      </c>
      <c r="Y2124" s="28">
        <f>IF(W2124=MAXIFS(W$2:W$3601, A$2:A$3601, A2124, B$2:B$3601, B2124), "OPTIMAL", "")</f>
        <v/>
      </c>
    </row>
    <row r="2125" ht="20" customHeight="1">
      <c r="A2125" s="29" t="n">
        <v>-18</v>
      </c>
      <c r="B2125" s="29" t="n">
        <v>25</v>
      </c>
      <c r="C2125" s="30" t="n">
        <v>120</v>
      </c>
      <c r="D2125" s="30" t="n">
        <v>2</v>
      </c>
      <c r="E2125" s="6" t="n">
        <v>0</v>
      </c>
      <c r="F2125" s="30" t="n">
        <v>0</v>
      </c>
      <c r="G2125" s="6" t="inlineStr">
        <is>
          <t>Non</t>
        </is>
      </c>
      <c r="H2125" s="6" t="inlineStr">
        <is>
          <t>OFF</t>
        </is>
      </c>
      <c r="I2125" s="31" t="n">
        <v>604.2334594602274</v>
      </c>
      <c r="J2125" s="31" t="n">
        <v>4012.68388558375</v>
      </c>
      <c r="K2125" s="31" t="n">
        <v>3342.592592592593</v>
      </c>
      <c r="L2125" s="31" t="n">
        <v>150</v>
      </c>
      <c r="M2125" s="31">
        <f>I2125+J2125+K2125+L2125</f>
        <v/>
      </c>
      <c r="N2125" s="31">
        <f>M2125*'Dashboard &amp; Optimisation'!$B$18/('Dashboard &amp; Optimisation'!$B$16/3.6)</f>
        <v/>
      </c>
      <c r="O2125" s="31" t="n">
        <v>289.1448405826137</v>
      </c>
      <c r="P2125" s="32" t="n">
        <v>0.7294864758355497</v>
      </c>
      <c r="Q2125" s="33" t="n">
        <v>0.2</v>
      </c>
      <c r="R2125" s="31" t="n">
        <v>198.0033611963445</v>
      </c>
      <c r="S2125" s="31">
        <f>R2125*IF(A2125=4, 2.0, 3.0)</f>
        <v/>
      </c>
      <c r="T2125" s="30">
        <f>'Dashboard &amp; Optimisation'!$B$18*U2125</f>
        <v/>
      </c>
      <c r="U2125" s="34">
        <f>MIN(1, S2125/M2125)</f>
        <v/>
      </c>
      <c r="V2125" s="34">
        <f>N2125/(N2125+O2125)</f>
        <v/>
      </c>
      <c r="W2125" s="34">
        <f>U2125*V2125</f>
        <v/>
      </c>
      <c r="X2125" s="32">
        <f>T2125/N2125</f>
        <v/>
      </c>
      <c r="Y2125" s="35">
        <f>IF(W2125=MAXIFS(W$2:W$3601, A$2:A$3601, A2125, B$2:B$3601, B2125), "OPTIMAL", "")</f>
        <v/>
      </c>
    </row>
    <row r="2126" ht="20" customHeight="1">
      <c r="A2126" s="21" t="n">
        <v>-18</v>
      </c>
      <c r="B2126" s="21" t="n">
        <v>25</v>
      </c>
      <c r="C2126" s="22" t="n">
        <v>120</v>
      </c>
      <c r="D2126" s="22" t="n">
        <v>2</v>
      </c>
      <c r="E2126" s="23" t="n">
        <v>4</v>
      </c>
      <c r="F2126" s="22" t="n">
        <v>1.5</v>
      </c>
      <c r="G2126" s="23" t="inlineStr">
        <is>
          <t>Oui</t>
        </is>
      </c>
      <c r="H2126" s="23" t="inlineStr">
        <is>
          <t>ON</t>
        </is>
      </c>
      <c r="I2126" s="24" t="n">
        <v>604.2334594602274</v>
      </c>
      <c r="J2126" s="24" t="n">
        <v>4012.68388558375</v>
      </c>
      <c r="K2126" s="24" t="n">
        <v>3342.592592592593</v>
      </c>
      <c r="L2126" s="24" t="n">
        <v>150</v>
      </c>
      <c r="M2126" s="24">
        <f>I2126+J2126+K2126+L2126</f>
        <v/>
      </c>
      <c r="N2126" s="24">
        <f>M2126*'Dashboard &amp; Optimisation'!$B$18/('Dashboard &amp; Optimisation'!$B$16/3.6)</f>
        <v/>
      </c>
      <c r="O2126" s="24" t="n">
        <v>444.5273229218028</v>
      </c>
      <c r="P2126" s="25" t="n">
        <v>0.06805759746267123</v>
      </c>
      <c r="Q2126" s="26" t="n">
        <v>5.595023284726097</v>
      </c>
      <c r="R2126" s="24" t="n">
        <v>2179.752341387786</v>
      </c>
      <c r="S2126" s="24">
        <f>R2126*IF(A2126=4, 2.0, 3.0)</f>
        <v/>
      </c>
      <c r="T2126" s="22">
        <f>'Dashboard &amp; Optimisation'!$B$18*U2126</f>
        <v/>
      </c>
      <c r="U2126" s="27">
        <f>MIN(1, S2126/M2126)</f>
        <v/>
      </c>
      <c r="V2126" s="27">
        <f>N2126/(N2126+O2126)</f>
        <v/>
      </c>
      <c r="W2126" s="27">
        <f>U2126*V2126</f>
        <v/>
      </c>
      <c r="X2126" s="25">
        <f>T2126/N2126</f>
        <v/>
      </c>
      <c r="Y2126" s="28">
        <f>IF(W2126=MAXIFS(W$2:W$3601, A$2:A$3601, A2126, B$2:B$3601, B2126), "OPTIMAL", "")</f>
        <v/>
      </c>
    </row>
    <row r="2127" ht="20" customHeight="1">
      <c r="A2127" s="29" t="n">
        <v>-18</v>
      </c>
      <c r="B2127" s="29" t="n">
        <v>25</v>
      </c>
      <c r="C2127" s="30" t="n">
        <v>120</v>
      </c>
      <c r="D2127" s="30" t="n">
        <v>2</v>
      </c>
      <c r="E2127" s="6" t="n">
        <v>4</v>
      </c>
      <c r="F2127" s="30" t="n">
        <v>1.5</v>
      </c>
      <c r="G2127" s="6" t="inlineStr">
        <is>
          <t>Oui</t>
        </is>
      </c>
      <c r="H2127" s="6" t="inlineStr">
        <is>
          <t>OFF</t>
        </is>
      </c>
      <c r="I2127" s="31" t="n">
        <v>604.2334594602274</v>
      </c>
      <c r="J2127" s="31" t="n">
        <v>4012.68388558375</v>
      </c>
      <c r="K2127" s="31" t="n">
        <v>3342.592592592593</v>
      </c>
      <c r="L2127" s="31" t="n">
        <v>150</v>
      </c>
      <c r="M2127" s="31">
        <f>I2127+J2127+K2127+L2127</f>
        <v/>
      </c>
      <c r="N2127" s="31">
        <f>M2127*'Dashboard &amp; Optimisation'!$B$18/('Dashboard &amp; Optimisation'!$B$16/3.6)</f>
        <v/>
      </c>
      <c r="O2127" s="31" t="n">
        <v>444.5273229218028</v>
      </c>
      <c r="P2127" s="32" t="n">
        <v>0.2717308104184109</v>
      </c>
      <c r="Q2127" s="33" t="n">
        <v>5.595023284726097</v>
      </c>
      <c r="R2127" s="31" t="n">
        <v>545.9399587041964</v>
      </c>
      <c r="S2127" s="31">
        <f>R2127*IF(A2127=4, 2.0, 3.0)</f>
        <v/>
      </c>
      <c r="T2127" s="30">
        <f>'Dashboard &amp; Optimisation'!$B$18*U2127</f>
        <v/>
      </c>
      <c r="U2127" s="34">
        <f>MIN(1, S2127/M2127)</f>
        <v/>
      </c>
      <c r="V2127" s="34">
        <f>N2127/(N2127+O2127)</f>
        <v/>
      </c>
      <c r="W2127" s="34">
        <f>U2127*V2127</f>
        <v/>
      </c>
      <c r="X2127" s="32">
        <f>T2127/N2127</f>
        <v/>
      </c>
      <c r="Y2127" s="35">
        <f>IF(W2127=MAXIFS(W$2:W$3601, A$2:A$3601, A2127, B$2:B$3601, B2127), "OPTIMAL", "")</f>
        <v/>
      </c>
    </row>
    <row r="2128" ht="20" customHeight="1">
      <c r="A2128" s="21" t="n">
        <v>-18</v>
      </c>
      <c r="B2128" s="21" t="n">
        <v>25</v>
      </c>
      <c r="C2128" s="22" t="n">
        <v>120</v>
      </c>
      <c r="D2128" s="22" t="n">
        <v>2</v>
      </c>
      <c r="E2128" s="23" t="n">
        <v>4</v>
      </c>
      <c r="F2128" s="22" t="n">
        <v>1.5</v>
      </c>
      <c r="G2128" s="23" t="inlineStr">
        <is>
          <t>Non</t>
        </is>
      </c>
      <c r="H2128" s="23" t="inlineStr">
        <is>
          <t>ON</t>
        </is>
      </c>
      <c r="I2128" s="24" t="n">
        <v>604.2334594602274</v>
      </c>
      <c r="J2128" s="24" t="n">
        <v>4012.68388558375</v>
      </c>
      <c r="K2128" s="24" t="n">
        <v>3342.592592592593</v>
      </c>
      <c r="L2128" s="24" t="n">
        <v>150</v>
      </c>
      <c r="M2128" s="24">
        <f>I2128+J2128+K2128+L2128</f>
        <v/>
      </c>
      <c r="N2128" s="24">
        <f>M2128*'Dashboard &amp; Optimisation'!$B$18/('Dashboard &amp; Optimisation'!$B$16/3.6)</f>
        <v/>
      </c>
      <c r="O2128" s="24" t="n">
        <v>444.5273229218028</v>
      </c>
      <c r="P2128" s="25" t="n">
        <v>0.0654050150778063</v>
      </c>
      <c r="Q2128" s="26" t="n">
        <v>5.595023284726097</v>
      </c>
      <c r="R2128" s="24" t="n">
        <v>2268.15493035218</v>
      </c>
      <c r="S2128" s="24">
        <f>R2128*IF(A2128=4, 2.0, 3.0)</f>
        <v/>
      </c>
      <c r="T2128" s="22">
        <f>'Dashboard &amp; Optimisation'!$B$18*U2128</f>
        <v/>
      </c>
      <c r="U2128" s="27">
        <f>MIN(1, S2128/M2128)</f>
        <v/>
      </c>
      <c r="V2128" s="27">
        <f>N2128/(N2128+O2128)</f>
        <v/>
      </c>
      <c r="W2128" s="27">
        <f>U2128*V2128</f>
        <v/>
      </c>
      <c r="X2128" s="25">
        <f>T2128/N2128</f>
        <v/>
      </c>
      <c r="Y2128" s="28">
        <f>IF(W2128=MAXIFS(W$2:W$3601, A$2:A$3601, A2128, B$2:B$3601, B2128), "OPTIMAL", "")</f>
        <v/>
      </c>
    </row>
    <row r="2129" ht="20" customHeight="1">
      <c r="A2129" s="29" t="n">
        <v>-18</v>
      </c>
      <c r="B2129" s="29" t="n">
        <v>25</v>
      </c>
      <c r="C2129" s="30" t="n">
        <v>120</v>
      </c>
      <c r="D2129" s="30" t="n">
        <v>2</v>
      </c>
      <c r="E2129" s="6" t="n">
        <v>4</v>
      </c>
      <c r="F2129" s="30" t="n">
        <v>1.5</v>
      </c>
      <c r="G2129" s="6" t="inlineStr">
        <is>
          <t>Non</t>
        </is>
      </c>
      <c r="H2129" s="6" t="inlineStr">
        <is>
          <t>OFF</t>
        </is>
      </c>
      <c r="I2129" s="31" t="n">
        <v>604.2334594602274</v>
      </c>
      <c r="J2129" s="31" t="n">
        <v>4012.68388558375</v>
      </c>
      <c r="K2129" s="31" t="n">
        <v>3342.592592592593</v>
      </c>
      <c r="L2129" s="31" t="n">
        <v>150</v>
      </c>
      <c r="M2129" s="31">
        <f>I2129+J2129+K2129+L2129</f>
        <v/>
      </c>
      <c r="N2129" s="31">
        <f>M2129*'Dashboard &amp; Optimisation'!$B$18/('Dashboard &amp; Optimisation'!$B$16/3.6)</f>
        <v/>
      </c>
      <c r="O2129" s="31" t="n">
        <v>444.5273229218028</v>
      </c>
      <c r="P2129" s="32" t="n">
        <v>0.2690782280335459</v>
      </c>
      <c r="Q2129" s="33" t="n">
        <v>5.595023284726097</v>
      </c>
      <c r="R2129" s="31" t="n">
        <v>551.3218535094205</v>
      </c>
      <c r="S2129" s="31">
        <f>R2129*IF(A2129=4, 2.0, 3.0)</f>
        <v/>
      </c>
      <c r="T2129" s="30">
        <f>'Dashboard &amp; Optimisation'!$B$18*U2129</f>
        <v/>
      </c>
      <c r="U2129" s="34">
        <f>MIN(1, S2129/M2129)</f>
        <v/>
      </c>
      <c r="V2129" s="34">
        <f>N2129/(N2129+O2129)</f>
        <v/>
      </c>
      <c r="W2129" s="34">
        <f>U2129*V2129</f>
        <v/>
      </c>
      <c r="X2129" s="32">
        <f>T2129/N2129</f>
        <v/>
      </c>
      <c r="Y2129" s="35">
        <f>IF(W2129=MAXIFS(W$2:W$3601, A$2:A$3601, A2129, B$2:B$3601, B2129), "OPTIMAL", "")</f>
        <v/>
      </c>
    </row>
    <row r="2130" ht="20" customHeight="1">
      <c r="A2130" s="21" t="n">
        <v>-18</v>
      </c>
      <c r="B2130" s="21" t="n">
        <v>25</v>
      </c>
      <c r="C2130" s="22" t="n">
        <v>120</v>
      </c>
      <c r="D2130" s="22" t="n">
        <v>2</v>
      </c>
      <c r="E2130" s="23" t="n">
        <v>4</v>
      </c>
      <c r="F2130" s="22" t="n">
        <v>2</v>
      </c>
      <c r="G2130" s="23" t="inlineStr">
        <is>
          <t>Oui</t>
        </is>
      </c>
      <c r="H2130" s="23" t="inlineStr">
        <is>
          <t>ON</t>
        </is>
      </c>
      <c r="I2130" s="24" t="n">
        <v>604.2334594602274</v>
      </c>
      <c r="J2130" s="24" t="n">
        <v>4012.68388558375</v>
      </c>
      <c r="K2130" s="24" t="n">
        <v>3342.592592592593</v>
      </c>
      <c r="L2130" s="24" t="n">
        <v>150</v>
      </c>
      <c r="M2130" s="24">
        <f>I2130+J2130+K2130+L2130</f>
        <v/>
      </c>
      <c r="N2130" s="24">
        <f>M2130*'Dashboard &amp; Optimisation'!$B$18/('Dashboard &amp; Optimisation'!$B$16/3.6)</f>
        <v/>
      </c>
      <c r="O2130" s="24" t="n">
        <v>498.2069177106503</v>
      </c>
      <c r="P2130" s="25" t="n">
        <v>0.06474901627983365</v>
      </c>
      <c r="Q2130" s="26" t="n">
        <v>7.393364379634797</v>
      </c>
      <c r="R2130" s="24" t="n">
        <v>2311.985260592909</v>
      </c>
      <c r="S2130" s="24">
        <f>R2130*IF(A2130=4, 2.0, 3.0)</f>
        <v/>
      </c>
      <c r="T2130" s="22">
        <f>'Dashboard &amp; Optimisation'!$B$18*U2130</f>
        <v/>
      </c>
      <c r="U2130" s="27">
        <f>MIN(1, S2130/M2130)</f>
        <v/>
      </c>
      <c r="V2130" s="27">
        <f>N2130/(N2130+O2130)</f>
        <v/>
      </c>
      <c r="W2130" s="27">
        <f>U2130*V2130</f>
        <v/>
      </c>
      <c r="X2130" s="25">
        <f>T2130/N2130</f>
        <v/>
      </c>
      <c r="Y2130" s="28">
        <f>IF(W2130=MAXIFS(W$2:W$3601, A$2:A$3601, A2130, B$2:B$3601, B2130), "OPTIMAL", "")</f>
        <v/>
      </c>
    </row>
    <row r="2131" ht="20" customHeight="1">
      <c r="A2131" s="29" t="n">
        <v>-18</v>
      </c>
      <c r="B2131" s="29" t="n">
        <v>25</v>
      </c>
      <c r="C2131" s="30" t="n">
        <v>120</v>
      </c>
      <c r="D2131" s="30" t="n">
        <v>2</v>
      </c>
      <c r="E2131" s="6" t="n">
        <v>4</v>
      </c>
      <c r="F2131" s="30" t="n">
        <v>2</v>
      </c>
      <c r="G2131" s="6" t="inlineStr">
        <is>
          <t>Oui</t>
        </is>
      </c>
      <c r="H2131" s="6" t="inlineStr">
        <is>
          <t>OFF</t>
        </is>
      </c>
      <c r="I2131" s="31" t="n">
        <v>604.2334594602274</v>
      </c>
      <c r="J2131" s="31" t="n">
        <v>4012.68388558375</v>
      </c>
      <c r="K2131" s="31" t="n">
        <v>3342.592592592593</v>
      </c>
      <c r="L2131" s="31" t="n">
        <v>150</v>
      </c>
      <c r="M2131" s="31">
        <f>I2131+J2131+K2131+L2131</f>
        <v/>
      </c>
      <c r="N2131" s="31">
        <f>M2131*'Dashboard &amp; Optimisation'!$B$18/('Dashboard &amp; Optimisation'!$B$16/3.6)</f>
        <v/>
      </c>
      <c r="O2131" s="31" t="n">
        <v>498.2069177106503</v>
      </c>
      <c r="P2131" s="32" t="n">
        <v>0.269253725510994</v>
      </c>
      <c r="Q2131" s="33" t="n">
        <v>7.393364379634797</v>
      </c>
      <c r="R2131" s="31" t="n">
        <v>555.9766015967466</v>
      </c>
      <c r="S2131" s="31">
        <f>R2131*IF(A2131=4, 2.0, 3.0)</f>
        <v/>
      </c>
      <c r="T2131" s="30">
        <f>'Dashboard &amp; Optimisation'!$B$18*U2131</f>
        <v/>
      </c>
      <c r="U2131" s="34">
        <f>MIN(1, S2131/M2131)</f>
        <v/>
      </c>
      <c r="V2131" s="34">
        <f>N2131/(N2131+O2131)</f>
        <v/>
      </c>
      <c r="W2131" s="34">
        <f>U2131*V2131</f>
        <v/>
      </c>
      <c r="X2131" s="32">
        <f>T2131/N2131</f>
        <v/>
      </c>
      <c r="Y2131" s="35">
        <f>IF(W2131=MAXIFS(W$2:W$3601, A$2:A$3601, A2131, B$2:B$3601, B2131), "OPTIMAL", "")</f>
        <v/>
      </c>
    </row>
    <row r="2132" ht="20" customHeight="1">
      <c r="A2132" s="21" t="n">
        <v>-18</v>
      </c>
      <c r="B2132" s="21" t="n">
        <v>25</v>
      </c>
      <c r="C2132" s="22" t="n">
        <v>120</v>
      </c>
      <c r="D2132" s="22" t="n">
        <v>2</v>
      </c>
      <c r="E2132" s="23" t="n">
        <v>4</v>
      </c>
      <c r="F2132" s="22" t="n">
        <v>2</v>
      </c>
      <c r="G2132" s="23" t="inlineStr">
        <is>
          <t>Non</t>
        </is>
      </c>
      <c r="H2132" s="23" t="inlineStr">
        <is>
          <t>ON</t>
        </is>
      </c>
      <c r="I2132" s="24" t="n">
        <v>604.2334594602274</v>
      </c>
      <c r="J2132" s="24" t="n">
        <v>4012.68388558375</v>
      </c>
      <c r="K2132" s="24" t="n">
        <v>3342.592592592593</v>
      </c>
      <c r="L2132" s="24" t="n">
        <v>150</v>
      </c>
      <c r="M2132" s="24">
        <f>I2132+J2132+K2132+L2132</f>
        <v/>
      </c>
      <c r="N2132" s="24">
        <f>M2132*'Dashboard &amp; Optimisation'!$B$18/('Dashboard &amp; Optimisation'!$B$16/3.6)</f>
        <v/>
      </c>
      <c r="O2132" s="24" t="n">
        <v>498.2069177106503</v>
      </c>
      <c r="P2132" s="25" t="n">
        <v>0.06209643389496873</v>
      </c>
      <c r="Q2132" s="26" t="n">
        <v>7.393364379634797</v>
      </c>
      <c r="R2132" s="24" t="n">
        <v>2410.746670735867</v>
      </c>
      <c r="S2132" s="24">
        <f>R2132*IF(A2132=4, 2.0, 3.0)</f>
        <v/>
      </c>
      <c r="T2132" s="22">
        <f>'Dashboard &amp; Optimisation'!$B$18*U2132</f>
        <v/>
      </c>
      <c r="U2132" s="27">
        <f>MIN(1, S2132/M2132)</f>
        <v/>
      </c>
      <c r="V2132" s="27">
        <f>N2132/(N2132+O2132)</f>
        <v/>
      </c>
      <c r="W2132" s="27">
        <f>U2132*V2132</f>
        <v/>
      </c>
      <c r="X2132" s="25">
        <f>T2132/N2132</f>
        <v/>
      </c>
      <c r="Y2132" s="28">
        <f>IF(W2132=MAXIFS(W$2:W$3601, A$2:A$3601, A2132, B$2:B$3601, B2132), "OPTIMAL", "")</f>
        <v/>
      </c>
    </row>
    <row r="2133" ht="20" customHeight="1">
      <c r="A2133" s="29" t="n">
        <v>-18</v>
      </c>
      <c r="B2133" s="29" t="n">
        <v>25</v>
      </c>
      <c r="C2133" s="30" t="n">
        <v>120</v>
      </c>
      <c r="D2133" s="30" t="n">
        <v>2</v>
      </c>
      <c r="E2133" s="6" t="n">
        <v>4</v>
      </c>
      <c r="F2133" s="30" t="n">
        <v>2</v>
      </c>
      <c r="G2133" s="6" t="inlineStr">
        <is>
          <t>Non</t>
        </is>
      </c>
      <c r="H2133" s="6" t="inlineStr">
        <is>
          <t>OFF</t>
        </is>
      </c>
      <c r="I2133" s="31" t="n">
        <v>604.2334594602274</v>
      </c>
      <c r="J2133" s="31" t="n">
        <v>4012.68388558375</v>
      </c>
      <c r="K2133" s="31" t="n">
        <v>3342.592592592593</v>
      </c>
      <c r="L2133" s="31" t="n">
        <v>150</v>
      </c>
      <c r="M2133" s="31">
        <f>I2133+J2133+K2133+L2133</f>
        <v/>
      </c>
      <c r="N2133" s="31">
        <f>M2133*'Dashboard &amp; Optimisation'!$B$18/('Dashboard &amp; Optimisation'!$B$16/3.6)</f>
        <v/>
      </c>
      <c r="O2133" s="31" t="n">
        <v>498.2069177106503</v>
      </c>
      <c r="P2133" s="32" t="n">
        <v>0.2666011431261291</v>
      </c>
      <c r="Q2133" s="33" t="n">
        <v>7.393364379634797</v>
      </c>
      <c r="R2133" s="31" t="n">
        <v>561.5083623480307</v>
      </c>
      <c r="S2133" s="31">
        <f>R2133*IF(A2133=4, 2.0, 3.0)</f>
        <v/>
      </c>
      <c r="T2133" s="30">
        <f>'Dashboard &amp; Optimisation'!$B$18*U2133</f>
        <v/>
      </c>
      <c r="U2133" s="34">
        <f>MIN(1, S2133/M2133)</f>
        <v/>
      </c>
      <c r="V2133" s="34">
        <f>N2133/(N2133+O2133)</f>
        <v/>
      </c>
      <c r="W2133" s="34">
        <f>U2133*V2133</f>
        <v/>
      </c>
      <c r="X2133" s="32">
        <f>T2133/N2133</f>
        <v/>
      </c>
      <c r="Y2133" s="35">
        <f>IF(W2133=MAXIFS(W$2:W$3601, A$2:A$3601, A2133, B$2:B$3601, B2133), "OPTIMAL", "")</f>
        <v/>
      </c>
    </row>
    <row r="2134" ht="20" customHeight="1">
      <c r="A2134" s="21" t="n">
        <v>-18</v>
      </c>
      <c r="B2134" s="21" t="n">
        <v>25</v>
      </c>
      <c r="C2134" s="22" t="n">
        <v>120</v>
      </c>
      <c r="D2134" s="22" t="n">
        <v>2</v>
      </c>
      <c r="E2134" s="23" t="n">
        <v>8</v>
      </c>
      <c r="F2134" s="22" t="n">
        <v>1.5</v>
      </c>
      <c r="G2134" s="23" t="inlineStr">
        <is>
          <t>Oui</t>
        </is>
      </c>
      <c r="H2134" s="23" t="inlineStr">
        <is>
          <t>ON</t>
        </is>
      </c>
      <c r="I2134" s="24" t="n">
        <v>604.2334594602274</v>
      </c>
      <c r="J2134" s="24" t="n">
        <v>4012.68388558375</v>
      </c>
      <c r="K2134" s="24" t="n">
        <v>3342.592592592593</v>
      </c>
      <c r="L2134" s="24" t="n">
        <v>150</v>
      </c>
      <c r="M2134" s="24">
        <f>I2134+J2134+K2134+L2134</f>
        <v/>
      </c>
      <c r="N2134" s="24">
        <f>M2134*'Dashboard &amp; Optimisation'!$B$18/('Dashboard &amp; Optimisation'!$B$16/3.6)</f>
        <v/>
      </c>
      <c r="O2134" s="24" t="n">
        <v>608.5515485884399</v>
      </c>
      <c r="P2134" s="25" t="n">
        <v>0.05155761606859751</v>
      </c>
      <c r="Q2134" s="26" t="n">
        <v>10.9900465694522</v>
      </c>
      <c r="R2134" s="24" t="n">
        <v>2957.351322562274</v>
      </c>
      <c r="S2134" s="24">
        <f>R2134*IF(A2134=4, 2.0, 3.0)</f>
        <v/>
      </c>
      <c r="T2134" s="22">
        <f>'Dashboard &amp; Optimisation'!$B$18*U2134</f>
        <v/>
      </c>
      <c r="U2134" s="27">
        <f>MIN(1, S2134/M2134)</f>
        <v/>
      </c>
      <c r="V2134" s="27">
        <f>N2134/(N2134+O2134)</f>
        <v/>
      </c>
      <c r="W2134" s="27">
        <f>U2134*V2134</f>
        <v/>
      </c>
      <c r="X2134" s="25">
        <f>T2134/N2134</f>
        <v/>
      </c>
      <c r="Y2134" s="28">
        <f>IF(W2134=MAXIFS(W$2:W$3601, A$2:A$3601, A2134, B$2:B$3601, B2134), "OPTIMAL", "")</f>
        <v/>
      </c>
    </row>
    <row r="2135" ht="20" customHeight="1">
      <c r="A2135" s="29" t="n">
        <v>-18</v>
      </c>
      <c r="B2135" s="29" t="n">
        <v>25</v>
      </c>
      <c r="C2135" s="30" t="n">
        <v>120</v>
      </c>
      <c r="D2135" s="30" t="n">
        <v>2</v>
      </c>
      <c r="E2135" s="6" t="n">
        <v>8</v>
      </c>
      <c r="F2135" s="30" t="n">
        <v>1.5</v>
      </c>
      <c r="G2135" s="6" t="inlineStr">
        <is>
          <t>Oui</t>
        </is>
      </c>
      <c r="H2135" s="6" t="inlineStr">
        <is>
          <t>OFF</t>
        </is>
      </c>
      <c r="I2135" s="31" t="n">
        <v>604.2334594602274</v>
      </c>
      <c r="J2135" s="31" t="n">
        <v>4012.68388558375</v>
      </c>
      <c r="K2135" s="31" t="n">
        <v>3342.592592592593</v>
      </c>
      <c r="L2135" s="31" t="n">
        <v>150</v>
      </c>
      <c r="M2135" s="31">
        <f>I2135+J2135+K2135+L2135</f>
        <v/>
      </c>
      <c r="N2135" s="31">
        <f>M2135*'Dashboard &amp; Optimisation'!$B$18/('Dashboard &amp; Optimisation'!$B$16/3.6)</f>
        <v/>
      </c>
      <c r="O2135" s="31" t="n">
        <v>608.5515485884399</v>
      </c>
      <c r="P2135" s="32" t="n">
        <v>0.216853233443705</v>
      </c>
      <c r="Q2135" s="33" t="n">
        <v>10.9900465694522</v>
      </c>
      <c r="R2135" s="31" t="n">
        <v>703.1206390021709</v>
      </c>
      <c r="S2135" s="31">
        <f>R2135*IF(A2135=4, 2.0, 3.0)</f>
        <v/>
      </c>
      <c r="T2135" s="30">
        <f>'Dashboard &amp; Optimisation'!$B$18*U2135</f>
        <v/>
      </c>
      <c r="U2135" s="34">
        <f>MIN(1, S2135/M2135)</f>
        <v/>
      </c>
      <c r="V2135" s="34">
        <f>N2135/(N2135+O2135)</f>
        <v/>
      </c>
      <c r="W2135" s="34">
        <f>U2135*V2135</f>
        <v/>
      </c>
      <c r="X2135" s="32">
        <f>T2135/N2135</f>
        <v/>
      </c>
      <c r="Y2135" s="35">
        <f>IF(W2135=MAXIFS(W$2:W$3601, A$2:A$3601, A2135, B$2:B$3601, B2135), "OPTIMAL", "")</f>
        <v/>
      </c>
    </row>
    <row r="2136" ht="20" customHeight="1">
      <c r="A2136" s="21" t="n">
        <v>-18</v>
      </c>
      <c r="B2136" s="21" t="n">
        <v>25</v>
      </c>
      <c r="C2136" s="22" t="n">
        <v>120</v>
      </c>
      <c r="D2136" s="22" t="n">
        <v>2</v>
      </c>
      <c r="E2136" s="23" t="n">
        <v>8</v>
      </c>
      <c r="F2136" s="22" t="n">
        <v>1.5</v>
      </c>
      <c r="G2136" s="23" t="inlineStr">
        <is>
          <t>Non</t>
        </is>
      </c>
      <c r="H2136" s="23" t="inlineStr">
        <is>
          <t>ON</t>
        </is>
      </c>
      <c r="I2136" s="24" t="n">
        <v>604.2334594602274</v>
      </c>
      <c r="J2136" s="24" t="n">
        <v>4012.68388558375</v>
      </c>
      <c r="K2136" s="24" t="n">
        <v>3342.592592592593</v>
      </c>
      <c r="L2136" s="24" t="n">
        <v>150</v>
      </c>
      <c r="M2136" s="24">
        <f>I2136+J2136+K2136+L2136</f>
        <v/>
      </c>
      <c r="N2136" s="24">
        <f>M2136*'Dashboard &amp; Optimisation'!$B$18/('Dashboard &amp; Optimisation'!$B$16/3.6)</f>
        <v/>
      </c>
      <c r="O2136" s="24" t="n">
        <v>608.5515485884399</v>
      </c>
      <c r="P2136" s="25" t="n">
        <v>0.04890503368373258</v>
      </c>
      <c r="Q2136" s="26" t="n">
        <v>10.9900465694522</v>
      </c>
      <c r="R2136" s="24" t="n">
        <v>3117.756447212972</v>
      </c>
      <c r="S2136" s="24">
        <f>R2136*IF(A2136=4, 2.0, 3.0)</f>
        <v/>
      </c>
      <c r="T2136" s="22">
        <f>'Dashboard &amp; Optimisation'!$B$18*U2136</f>
        <v/>
      </c>
      <c r="U2136" s="27">
        <f>MIN(1, S2136/M2136)</f>
        <v/>
      </c>
      <c r="V2136" s="27">
        <f>N2136/(N2136+O2136)</f>
        <v/>
      </c>
      <c r="W2136" s="27">
        <f>U2136*V2136</f>
        <v/>
      </c>
      <c r="X2136" s="25">
        <f>T2136/N2136</f>
        <v/>
      </c>
      <c r="Y2136" s="28">
        <f>IF(W2136=MAXIFS(W$2:W$3601, A$2:A$3601, A2136, B$2:B$3601, B2136), "OPTIMAL", "")</f>
        <v/>
      </c>
    </row>
    <row r="2137" ht="20" customHeight="1">
      <c r="A2137" s="29" t="n">
        <v>-18</v>
      </c>
      <c r="B2137" s="29" t="n">
        <v>25</v>
      </c>
      <c r="C2137" s="30" t="n">
        <v>120</v>
      </c>
      <c r="D2137" s="30" t="n">
        <v>2</v>
      </c>
      <c r="E2137" s="6" t="n">
        <v>8</v>
      </c>
      <c r="F2137" s="30" t="n">
        <v>1.5</v>
      </c>
      <c r="G2137" s="6" t="inlineStr">
        <is>
          <t>Non</t>
        </is>
      </c>
      <c r="H2137" s="6" t="inlineStr">
        <is>
          <t>OFF</t>
        </is>
      </c>
      <c r="I2137" s="31" t="n">
        <v>604.2334594602274</v>
      </c>
      <c r="J2137" s="31" t="n">
        <v>4012.68388558375</v>
      </c>
      <c r="K2137" s="31" t="n">
        <v>3342.592592592593</v>
      </c>
      <c r="L2137" s="31" t="n">
        <v>150</v>
      </c>
      <c r="M2137" s="31">
        <f>I2137+J2137+K2137+L2137</f>
        <v/>
      </c>
      <c r="N2137" s="31">
        <f>M2137*'Dashboard &amp; Optimisation'!$B$18/('Dashboard &amp; Optimisation'!$B$16/3.6)</f>
        <v/>
      </c>
      <c r="O2137" s="31" t="n">
        <v>608.5515485884399</v>
      </c>
      <c r="P2137" s="32" t="n">
        <v>0.2142006510588401</v>
      </c>
      <c r="Q2137" s="33" t="n">
        <v>10.9900465694522</v>
      </c>
      <c r="R2137" s="31" t="n">
        <v>711.8278273894732</v>
      </c>
      <c r="S2137" s="31">
        <f>R2137*IF(A2137=4, 2.0, 3.0)</f>
        <v/>
      </c>
      <c r="T2137" s="30">
        <f>'Dashboard &amp; Optimisation'!$B$18*U2137</f>
        <v/>
      </c>
      <c r="U2137" s="34">
        <f>MIN(1, S2137/M2137)</f>
        <v/>
      </c>
      <c r="V2137" s="34">
        <f>N2137/(N2137+O2137)</f>
        <v/>
      </c>
      <c r="W2137" s="34">
        <f>U2137*V2137</f>
        <v/>
      </c>
      <c r="X2137" s="32">
        <f>T2137/N2137</f>
        <v/>
      </c>
      <c r="Y2137" s="35">
        <f>IF(W2137=MAXIFS(W$2:W$3601, A$2:A$3601, A2137, B$2:B$3601, B2137), "OPTIMAL", "")</f>
        <v/>
      </c>
    </row>
    <row r="2138" ht="20" customHeight="1">
      <c r="A2138" s="21" t="n">
        <v>-18</v>
      </c>
      <c r="B2138" s="21" t="n">
        <v>25</v>
      </c>
      <c r="C2138" s="22" t="n">
        <v>120</v>
      </c>
      <c r="D2138" s="22" t="n">
        <v>2</v>
      </c>
      <c r="E2138" s="23" t="n">
        <v>8</v>
      </c>
      <c r="F2138" s="22" t="n">
        <v>2</v>
      </c>
      <c r="G2138" s="23" t="inlineStr">
        <is>
          <t>Oui</t>
        </is>
      </c>
      <c r="H2138" s="23" t="inlineStr">
        <is>
          <t>ON</t>
        </is>
      </c>
      <c r="I2138" s="24" t="n">
        <v>604.2334594602274</v>
      </c>
      <c r="J2138" s="24" t="n">
        <v>4012.68388558375</v>
      </c>
      <c r="K2138" s="24" t="n">
        <v>3342.592592592593</v>
      </c>
      <c r="L2138" s="24" t="n">
        <v>150</v>
      </c>
      <c r="M2138" s="24">
        <f>I2138+J2138+K2138+L2138</f>
        <v/>
      </c>
      <c r="N2138" s="24">
        <f>M2138*'Dashboard &amp; Optimisation'!$B$18/('Dashboard &amp; Optimisation'!$B$16/3.6)</f>
        <v/>
      </c>
      <c r="O2138" s="24" t="n">
        <v>723.0647394204187</v>
      </c>
      <c r="P2138" s="25" t="n">
        <v>0.04997260972227939</v>
      </c>
      <c r="Q2138" s="26" t="n">
        <v>14.58672875926959</v>
      </c>
      <c r="R2138" s="24" t="n">
        <v>3108.783766124757</v>
      </c>
      <c r="S2138" s="24">
        <f>R2138*IF(A2138=4, 2.0, 3.0)</f>
        <v/>
      </c>
      <c r="T2138" s="22">
        <f>'Dashboard &amp; Optimisation'!$B$18*U2138</f>
        <v/>
      </c>
      <c r="U2138" s="27">
        <f>MIN(1, S2138/M2138)</f>
        <v/>
      </c>
      <c r="V2138" s="27">
        <f>N2138/(N2138+O2138)</f>
        <v/>
      </c>
      <c r="W2138" s="27">
        <f>U2138*V2138</f>
        <v/>
      </c>
      <c r="X2138" s="25">
        <f>T2138/N2138</f>
        <v/>
      </c>
      <c r="Y2138" s="28">
        <f>IF(W2138=MAXIFS(W$2:W$3601, A$2:A$3601, A2138, B$2:B$3601, B2138), "OPTIMAL", "")</f>
        <v/>
      </c>
    </row>
    <row r="2139" ht="20" customHeight="1">
      <c r="A2139" s="29" t="n">
        <v>-18</v>
      </c>
      <c r="B2139" s="29" t="n">
        <v>25</v>
      </c>
      <c r="C2139" s="30" t="n">
        <v>120</v>
      </c>
      <c r="D2139" s="30" t="n">
        <v>2</v>
      </c>
      <c r="E2139" s="6" t="n">
        <v>8</v>
      </c>
      <c r="F2139" s="30" t="n">
        <v>2</v>
      </c>
      <c r="G2139" s="6" t="inlineStr">
        <is>
          <t>Oui</t>
        </is>
      </c>
      <c r="H2139" s="6" t="inlineStr">
        <is>
          <t>OFF</t>
        </is>
      </c>
      <c r="I2139" s="31" t="n">
        <v>604.2334594602274</v>
      </c>
      <c r="J2139" s="31" t="n">
        <v>4012.68388558375</v>
      </c>
      <c r="K2139" s="31" t="n">
        <v>3342.592592592593</v>
      </c>
      <c r="L2139" s="31" t="n">
        <v>150</v>
      </c>
      <c r="M2139" s="31">
        <f>I2139+J2139+K2139+L2139</f>
        <v/>
      </c>
      <c r="N2139" s="31">
        <f>M2139*'Dashboard &amp; Optimisation'!$B$18/('Dashboard &amp; Optimisation'!$B$16/3.6)</f>
        <v/>
      </c>
      <c r="O2139" s="31" t="n">
        <v>723.0647394204187</v>
      </c>
      <c r="P2139" s="32" t="n">
        <v>0.2163666659525478</v>
      </c>
      <c r="Q2139" s="33" t="n">
        <v>14.58672875926959</v>
      </c>
      <c r="R2139" s="31" t="n">
        <v>718.0128102060861</v>
      </c>
      <c r="S2139" s="31">
        <f>R2139*IF(A2139=4, 2.0, 3.0)</f>
        <v/>
      </c>
      <c r="T2139" s="30">
        <f>'Dashboard &amp; Optimisation'!$B$18*U2139</f>
        <v/>
      </c>
      <c r="U2139" s="34">
        <f>MIN(1, S2139/M2139)</f>
        <v/>
      </c>
      <c r="V2139" s="34">
        <f>N2139/(N2139+O2139)</f>
        <v/>
      </c>
      <c r="W2139" s="34">
        <f>U2139*V2139</f>
        <v/>
      </c>
      <c r="X2139" s="32">
        <f>T2139/N2139</f>
        <v/>
      </c>
      <c r="Y2139" s="35">
        <f>IF(W2139=MAXIFS(W$2:W$3601, A$2:A$3601, A2139, B$2:B$3601, B2139), "OPTIMAL", "")</f>
        <v/>
      </c>
    </row>
    <row r="2140" ht="20" customHeight="1">
      <c r="A2140" s="21" t="n">
        <v>-18</v>
      </c>
      <c r="B2140" s="21" t="n">
        <v>25</v>
      </c>
      <c r="C2140" s="22" t="n">
        <v>120</v>
      </c>
      <c r="D2140" s="22" t="n">
        <v>2</v>
      </c>
      <c r="E2140" s="23" t="n">
        <v>8</v>
      </c>
      <c r="F2140" s="22" t="n">
        <v>2</v>
      </c>
      <c r="G2140" s="23" t="inlineStr">
        <is>
          <t>Non</t>
        </is>
      </c>
      <c r="H2140" s="23" t="inlineStr">
        <is>
          <t>ON</t>
        </is>
      </c>
      <c r="I2140" s="24" t="n">
        <v>604.2334594602274</v>
      </c>
      <c r="J2140" s="24" t="n">
        <v>4012.68388558375</v>
      </c>
      <c r="K2140" s="24" t="n">
        <v>3342.592592592593</v>
      </c>
      <c r="L2140" s="24" t="n">
        <v>150</v>
      </c>
      <c r="M2140" s="24">
        <f>I2140+J2140+K2140+L2140</f>
        <v/>
      </c>
      <c r="N2140" s="24">
        <f>M2140*'Dashboard &amp; Optimisation'!$B$18/('Dashboard &amp; Optimisation'!$B$16/3.6)</f>
        <v/>
      </c>
      <c r="O2140" s="24" t="n">
        <v>723.0647394204187</v>
      </c>
      <c r="P2140" s="25" t="n">
        <v>0.04732002733741447</v>
      </c>
      <c r="Q2140" s="26" t="n">
        <v>14.58672875926959</v>
      </c>
      <c r="R2140" s="24" t="n">
        <v>3283.050467147064</v>
      </c>
      <c r="S2140" s="24">
        <f>R2140*IF(A2140=4, 2.0, 3.0)</f>
        <v/>
      </c>
      <c r="T2140" s="22">
        <f>'Dashboard &amp; Optimisation'!$B$18*U2140</f>
        <v/>
      </c>
      <c r="U2140" s="27">
        <f>MIN(1, S2140/M2140)</f>
        <v/>
      </c>
      <c r="V2140" s="27">
        <f>N2140/(N2140+O2140)</f>
        <v/>
      </c>
      <c r="W2140" s="27">
        <f>U2140*V2140</f>
        <v/>
      </c>
      <c r="X2140" s="25">
        <f>T2140/N2140</f>
        <v/>
      </c>
      <c r="Y2140" s="28">
        <f>IF(W2140=MAXIFS(W$2:W$3601, A$2:A$3601, A2140, B$2:B$3601, B2140), "OPTIMAL", "")</f>
        <v/>
      </c>
    </row>
    <row r="2141" ht="20" customHeight="1">
      <c r="A2141" s="29" t="n">
        <v>-18</v>
      </c>
      <c r="B2141" s="29" t="n">
        <v>25</v>
      </c>
      <c r="C2141" s="30" t="n">
        <v>120</v>
      </c>
      <c r="D2141" s="30" t="n">
        <v>2</v>
      </c>
      <c r="E2141" s="6" t="n">
        <v>8</v>
      </c>
      <c r="F2141" s="30" t="n">
        <v>2</v>
      </c>
      <c r="G2141" s="6" t="inlineStr">
        <is>
          <t>Non</t>
        </is>
      </c>
      <c r="H2141" s="6" t="inlineStr">
        <is>
          <t>OFF</t>
        </is>
      </c>
      <c r="I2141" s="31" t="n">
        <v>604.2334594602274</v>
      </c>
      <c r="J2141" s="31" t="n">
        <v>4012.68388558375</v>
      </c>
      <c r="K2141" s="31" t="n">
        <v>3342.592592592593</v>
      </c>
      <c r="L2141" s="31" t="n">
        <v>150</v>
      </c>
      <c r="M2141" s="31">
        <f>I2141+J2141+K2141+L2141</f>
        <v/>
      </c>
      <c r="N2141" s="31">
        <f>M2141*'Dashboard &amp; Optimisation'!$B$18/('Dashboard &amp; Optimisation'!$B$16/3.6)</f>
        <v/>
      </c>
      <c r="O2141" s="31" t="n">
        <v>723.0647394204187</v>
      </c>
      <c r="P2141" s="32" t="n">
        <v>0.2137140835676829</v>
      </c>
      <c r="Q2141" s="33" t="n">
        <v>14.58672875926959</v>
      </c>
      <c r="R2141" s="31" t="n">
        <v>726.9246615013559</v>
      </c>
      <c r="S2141" s="31">
        <f>R2141*IF(A2141=4, 2.0, 3.0)</f>
        <v/>
      </c>
      <c r="T2141" s="30">
        <f>'Dashboard &amp; Optimisation'!$B$18*U2141</f>
        <v/>
      </c>
      <c r="U2141" s="34">
        <f>MIN(1, S2141/M2141)</f>
        <v/>
      </c>
      <c r="V2141" s="34">
        <f>N2141/(N2141+O2141)</f>
        <v/>
      </c>
      <c r="W2141" s="34">
        <f>U2141*V2141</f>
        <v/>
      </c>
      <c r="X2141" s="32">
        <f>T2141/N2141</f>
        <v/>
      </c>
      <c r="Y2141" s="35">
        <f>IF(W2141=MAXIFS(W$2:W$3601, A$2:A$3601, A2141, B$2:B$3601, B2141), "OPTIMAL", "")</f>
        <v/>
      </c>
    </row>
    <row r="2142" ht="20" customHeight="1">
      <c r="A2142" s="21" t="n">
        <v>-18</v>
      </c>
      <c r="B2142" s="21" t="n">
        <v>25</v>
      </c>
      <c r="C2142" s="22" t="n">
        <v>120</v>
      </c>
      <c r="D2142" s="22" t="n">
        <v>3</v>
      </c>
      <c r="E2142" s="23" t="n">
        <v>0</v>
      </c>
      <c r="F2142" s="22" t="n">
        <v>0</v>
      </c>
      <c r="G2142" s="23" t="inlineStr">
        <is>
          <t>Oui</t>
        </is>
      </c>
      <c r="H2142" s="23" t="inlineStr">
        <is>
          <t>ON</t>
        </is>
      </c>
      <c r="I2142" s="24" t="n">
        <v>604.2334594602274</v>
      </c>
      <c r="J2142" s="24" t="n">
        <v>4012.68388558375</v>
      </c>
      <c r="K2142" s="24" t="n">
        <v>3342.592592592593</v>
      </c>
      <c r="L2142" s="24" t="n">
        <v>150</v>
      </c>
      <c r="M2142" s="24">
        <f>I2142+J2142+K2142+L2142</f>
        <v/>
      </c>
      <c r="N2142" s="24">
        <f>M2142*'Dashboard &amp; Optimisation'!$B$18/('Dashboard &amp; Optimisation'!$B$16/3.6)</f>
        <v/>
      </c>
      <c r="O2142" s="24" t="n">
        <v>445.2632342489854</v>
      </c>
      <c r="P2142" s="25" t="n">
        <v>0.4668943220842715</v>
      </c>
      <c r="Q2142" s="26" t="n">
        <v>0.2</v>
      </c>
      <c r="R2142" s="24" t="n">
        <v>320.3151578891253</v>
      </c>
      <c r="S2142" s="24">
        <f>R2142*IF(A2142=4, 2.0, 3.0)</f>
        <v/>
      </c>
      <c r="T2142" s="22">
        <f>'Dashboard &amp; Optimisation'!$B$18*U2142</f>
        <v/>
      </c>
      <c r="U2142" s="27">
        <f>MIN(1, S2142/M2142)</f>
        <v/>
      </c>
      <c r="V2142" s="27">
        <f>N2142/(N2142+O2142)</f>
        <v/>
      </c>
      <c r="W2142" s="27">
        <f>U2142*V2142</f>
        <v/>
      </c>
      <c r="X2142" s="25">
        <f>T2142/N2142</f>
        <v/>
      </c>
      <c r="Y2142" s="28">
        <f>IF(W2142=MAXIFS(W$2:W$3601, A$2:A$3601, A2142, B$2:B$3601, B2142), "OPTIMAL", "")</f>
        <v/>
      </c>
    </row>
    <row r="2143" ht="20" customHeight="1">
      <c r="A2143" s="29" t="n">
        <v>-18</v>
      </c>
      <c r="B2143" s="29" t="n">
        <v>25</v>
      </c>
      <c r="C2143" s="30" t="n">
        <v>120</v>
      </c>
      <c r="D2143" s="30" t="n">
        <v>3</v>
      </c>
      <c r="E2143" s="6" t="n">
        <v>0</v>
      </c>
      <c r="F2143" s="30" t="n">
        <v>0</v>
      </c>
      <c r="G2143" s="6" t="inlineStr">
        <is>
          <t>Oui</t>
        </is>
      </c>
      <c r="H2143" s="6" t="inlineStr">
        <is>
          <t>OFF</t>
        </is>
      </c>
      <c r="I2143" s="31" t="n">
        <v>604.2334594602274</v>
      </c>
      <c r="J2143" s="31" t="n">
        <v>4012.68388558375</v>
      </c>
      <c r="K2143" s="31" t="n">
        <v>3342.592592592593</v>
      </c>
      <c r="L2143" s="31" t="n">
        <v>150</v>
      </c>
      <c r="M2143" s="31">
        <f>I2143+J2143+K2143+L2143</f>
        <v/>
      </c>
      <c r="N2143" s="31">
        <f>M2143*'Dashboard &amp; Optimisation'!$B$18/('Dashboard &amp; Optimisation'!$B$16/3.6)</f>
        <v/>
      </c>
      <c r="O2143" s="31" t="n">
        <v>445.2632342489854</v>
      </c>
      <c r="P2143" s="32" t="n">
        <v>0.7321525605707637</v>
      </c>
      <c r="Q2143" s="33" t="n">
        <v>0.2</v>
      </c>
      <c r="R2143" s="31" t="n">
        <v>204.2652536506494</v>
      </c>
      <c r="S2143" s="31">
        <f>R2143*IF(A2143=4, 2.0, 3.0)</f>
        <v/>
      </c>
      <c r="T2143" s="30">
        <f>'Dashboard &amp; Optimisation'!$B$18*U2143</f>
        <v/>
      </c>
      <c r="U2143" s="34">
        <f>MIN(1, S2143/M2143)</f>
        <v/>
      </c>
      <c r="V2143" s="34">
        <f>N2143/(N2143+O2143)</f>
        <v/>
      </c>
      <c r="W2143" s="34">
        <f>U2143*V2143</f>
        <v/>
      </c>
      <c r="X2143" s="32">
        <f>T2143/N2143</f>
        <v/>
      </c>
      <c r="Y2143" s="35">
        <f>IF(W2143=MAXIFS(W$2:W$3601, A$2:A$3601, A2143, B$2:B$3601, B2143), "OPTIMAL", "")</f>
        <v/>
      </c>
    </row>
    <row r="2144" ht="20" customHeight="1">
      <c r="A2144" s="21" t="n">
        <v>-18</v>
      </c>
      <c r="B2144" s="21" t="n">
        <v>25</v>
      </c>
      <c r="C2144" s="22" t="n">
        <v>120</v>
      </c>
      <c r="D2144" s="22" t="n">
        <v>3</v>
      </c>
      <c r="E2144" s="23" t="n">
        <v>0</v>
      </c>
      <c r="F2144" s="22" t="n">
        <v>0</v>
      </c>
      <c r="G2144" s="23" t="inlineStr">
        <is>
          <t>Non</t>
        </is>
      </c>
      <c r="H2144" s="23" t="inlineStr">
        <is>
          <t>ON</t>
        </is>
      </c>
      <c r="I2144" s="24" t="n">
        <v>604.2334594602274</v>
      </c>
      <c r="J2144" s="24" t="n">
        <v>4012.68388558375</v>
      </c>
      <c r="K2144" s="24" t="n">
        <v>3342.592592592593</v>
      </c>
      <c r="L2144" s="24" t="n">
        <v>150</v>
      </c>
      <c r="M2144" s="24">
        <f>I2144+J2144+K2144+L2144</f>
        <v/>
      </c>
      <c r="N2144" s="24">
        <f>M2144*'Dashboard &amp; Optimisation'!$B$18/('Dashboard &amp; Optimisation'!$B$16/3.6)</f>
        <v/>
      </c>
      <c r="O2144" s="24" t="n">
        <v>445.2632342489854</v>
      </c>
      <c r="P2144" s="25" t="n">
        <v>0.4642417396994065</v>
      </c>
      <c r="Q2144" s="26" t="n">
        <v>0.2</v>
      </c>
      <c r="R2144" s="24" t="n">
        <v>322.1453732117977</v>
      </c>
      <c r="S2144" s="24">
        <f>R2144*IF(A2144=4, 2.0, 3.0)</f>
        <v/>
      </c>
      <c r="T2144" s="22">
        <f>'Dashboard &amp; Optimisation'!$B$18*U2144</f>
        <v/>
      </c>
      <c r="U2144" s="27">
        <f>MIN(1, S2144/M2144)</f>
        <v/>
      </c>
      <c r="V2144" s="27">
        <f>N2144/(N2144+O2144)</f>
        <v/>
      </c>
      <c r="W2144" s="27">
        <f>U2144*V2144</f>
        <v/>
      </c>
      <c r="X2144" s="25">
        <f>T2144/N2144</f>
        <v/>
      </c>
      <c r="Y2144" s="28">
        <f>IF(W2144=MAXIFS(W$2:W$3601, A$2:A$3601, A2144, B$2:B$3601, B2144), "OPTIMAL", "")</f>
        <v/>
      </c>
    </row>
    <row r="2145" ht="20" customHeight="1">
      <c r="A2145" s="29" t="n">
        <v>-18</v>
      </c>
      <c r="B2145" s="29" t="n">
        <v>25</v>
      </c>
      <c r="C2145" s="30" t="n">
        <v>120</v>
      </c>
      <c r="D2145" s="30" t="n">
        <v>3</v>
      </c>
      <c r="E2145" s="6" t="n">
        <v>0</v>
      </c>
      <c r="F2145" s="30" t="n">
        <v>0</v>
      </c>
      <c r="G2145" s="6" t="inlineStr">
        <is>
          <t>Non</t>
        </is>
      </c>
      <c r="H2145" s="6" t="inlineStr">
        <is>
          <t>OFF</t>
        </is>
      </c>
      <c r="I2145" s="31" t="n">
        <v>604.2334594602274</v>
      </c>
      <c r="J2145" s="31" t="n">
        <v>4012.68388558375</v>
      </c>
      <c r="K2145" s="31" t="n">
        <v>3342.592592592593</v>
      </c>
      <c r="L2145" s="31" t="n">
        <v>150</v>
      </c>
      <c r="M2145" s="31">
        <f>I2145+J2145+K2145+L2145</f>
        <v/>
      </c>
      <c r="N2145" s="31">
        <f>M2145*'Dashboard &amp; Optimisation'!$B$18/('Dashboard &amp; Optimisation'!$B$16/3.6)</f>
        <v/>
      </c>
      <c r="O2145" s="31" t="n">
        <v>445.2632342489854</v>
      </c>
      <c r="P2145" s="32" t="n">
        <v>0.7294999781858988</v>
      </c>
      <c r="Q2145" s="33" t="n">
        <v>0.2</v>
      </c>
      <c r="R2145" s="31" t="n">
        <v>205.0079958437624</v>
      </c>
      <c r="S2145" s="31">
        <f>R2145*IF(A2145=4, 2.0, 3.0)</f>
        <v/>
      </c>
      <c r="T2145" s="30">
        <f>'Dashboard &amp; Optimisation'!$B$18*U2145</f>
        <v/>
      </c>
      <c r="U2145" s="34">
        <f>MIN(1, S2145/M2145)</f>
        <v/>
      </c>
      <c r="V2145" s="34">
        <f>N2145/(N2145+O2145)</f>
        <v/>
      </c>
      <c r="W2145" s="34">
        <f>U2145*V2145</f>
        <v/>
      </c>
      <c r="X2145" s="32">
        <f>T2145/N2145</f>
        <v/>
      </c>
      <c r="Y2145" s="35">
        <f>IF(W2145=MAXIFS(W$2:W$3601, A$2:A$3601, A2145, B$2:B$3601, B2145), "OPTIMAL", "")</f>
        <v/>
      </c>
    </row>
    <row r="2146" ht="20" customHeight="1">
      <c r="A2146" s="21" t="n">
        <v>-18</v>
      </c>
      <c r="B2146" s="21" t="n">
        <v>25</v>
      </c>
      <c r="C2146" s="22" t="n">
        <v>120</v>
      </c>
      <c r="D2146" s="22" t="n">
        <v>3</v>
      </c>
      <c r="E2146" s="23" t="n">
        <v>4</v>
      </c>
      <c r="F2146" s="22" t="n">
        <v>1.5</v>
      </c>
      <c r="G2146" s="23" t="inlineStr">
        <is>
          <t>Oui</t>
        </is>
      </c>
      <c r="H2146" s="23" t="inlineStr">
        <is>
          <t>ON</t>
        </is>
      </c>
      <c r="I2146" s="24" t="n">
        <v>604.2334594602274</v>
      </c>
      <c r="J2146" s="24" t="n">
        <v>4012.68388558375</v>
      </c>
      <c r="K2146" s="24" t="n">
        <v>3342.592592592593</v>
      </c>
      <c r="L2146" s="24" t="n">
        <v>150</v>
      </c>
      <c r="M2146" s="24">
        <f>I2146+J2146+K2146+L2146</f>
        <v/>
      </c>
      <c r="N2146" s="24">
        <f>M2146*'Dashboard &amp; Optimisation'!$B$18/('Dashboard &amp; Optimisation'!$B$16/3.6)</f>
        <v/>
      </c>
      <c r="O2146" s="24" t="n">
        <v>608.3906658886103</v>
      </c>
      <c r="P2146" s="25" t="n">
        <v>0.06783449726767998</v>
      </c>
      <c r="Q2146" s="26" t="n">
        <v>5.689672816037082</v>
      </c>
      <c r="R2146" s="24" t="n">
        <v>2265.40378999754</v>
      </c>
      <c r="S2146" s="24">
        <f>R2146*IF(A2146=4, 2.0, 3.0)</f>
        <v/>
      </c>
      <c r="T2146" s="22">
        <f>'Dashboard &amp; Optimisation'!$B$18*U2146</f>
        <v/>
      </c>
      <c r="U2146" s="27">
        <f>MIN(1, S2146/M2146)</f>
        <v/>
      </c>
      <c r="V2146" s="27">
        <f>N2146/(N2146+O2146)</f>
        <v/>
      </c>
      <c r="W2146" s="27">
        <f>U2146*V2146</f>
        <v/>
      </c>
      <c r="X2146" s="25">
        <f>T2146/N2146</f>
        <v/>
      </c>
      <c r="Y2146" s="28">
        <f>IF(W2146=MAXIFS(W$2:W$3601, A$2:A$3601, A2146, B$2:B$3601, B2146), "OPTIMAL", "")</f>
        <v/>
      </c>
    </row>
    <row r="2147" ht="20" customHeight="1">
      <c r="A2147" s="29" t="n">
        <v>-18</v>
      </c>
      <c r="B2147" s="29" t="n">
        <v>25</v>
      </c>
      <c r="C2147" s="30" t="n">
        <v>120</v>
      </c>
      <c r="D2147" s="30" t="n">
        <v>3</v>
      </c>
      <c r="E2147" s="6" t="n">
        <v>4</v>
      </c>
      <c r="F2147" s="30" t="n">
        <v>1.5</v>
      </c>
      <c r="G2147" s="6" t="inlineStr">
        <is>
          <t>Oui</t>
        </is>
      </c>
      <c r="H2147" s="6" t="inlineStr">
        <is>
          <t>OFF</t>
        </is>
      </c>
      <c r="I2147" s="31" t="n">
        <v>604.2334594602274</v>
      </c>
      <c r="J2147" s="31" t="n">
        <v>4012.68388558375</v>
      </c>
      <c r="K2147" s="31" t="n">
        <v>3342.592592592593</v>
      </c>
      <c r="L2147" s="31" t="n">
        <v>150</v>
      </c>
      <c r="M2147" s="31">
        <f>I2147+J2147+K2147+L2147</f>
        <v/>
      </c>
      <c r="N2147" s="31">
        <f>M2147*'Dashboard &amp; Optimisation'!$B$18/('Dashboard &amp; Optimisation'!$B$16/3.6)</f>
        <v/>
      </c>
      <c r="O2147" s="31" t="n">
        <v>608.3906658886103</v>
      </c>
      <c r="P2147" s="32" t="n">
        <v>0.2715077102234196</v>
      </c>
      <c r="Q2147" s="33" t="n">
        <v>5.689672816037082</v>
      </c>
      <c r="R2147" s="31" t="n">
        <v>565.9969180113713</v>
      </c>
      <c r="S2147" s="31">
        <f>R2147*IF(A2147=4, 2.0, 3.0)</f>
        <v/>
      </c>
      <c r="T2147" s="30">
        <f>'Dashboard &amp; Optimisation'!$B$18*U2147</f>
        <v/>
      </c>
      <c r="U2147" s="34">
        <f>MIN(1, S2147/M2147)</f>
        <v/>
      </c>
      <c r="V2147" s="34">
        <f>N2147/(N2147+O2147)</f>
        <v/>
      </c>
      <c r="W2147" s="34">
        <f>U2147*V2147</f>
        <v/>
      </c>
      <c r="X2147" s="32">
        <f>T2147/N2147</f>
        <v/>
      </c>
      <c r="Y2147" s="35">
        <f>IF(W2147=MAXIFS(W$2:W$3601, A$2:A$3601, A2147, B$2:B$3601, B2147), "OPTIMAL", "")</f>
        <v/>
      </c>
    </row>
    <row r="2148" ht="20" customHeight="1">
      <c r="A2148" s="21" t="n">
        <v>-18</v>
      </c>
      <c r="B2148" s="21" t="n">
        <v>25</v>
      </c>
      <c r="C2148" s="22" t="n">
        <v>120</v>
      </c>
      <c r="D2148" s="22" t="n">
        <v>3</v>
      </c>
      <c r="E2148" s="23" t="n">
        <v>4</v>
      </c>
      <c r="F2148" s="22" t="n">
        <v>1.5</v>
      </c>
      <c r="G2148" s="23" t="inlineStr">
        <is>
          <t>Non</t>
        </is>
      </c>
      <c r="H2148" s="23" t="inlineStr">
        <is>
          <t>ON</t>
        </is>
      </c>
      <c r="I2148" s="24" t="n">
        <v>604.2334594602274</v>
      </c>
      <c r="J2148" s="24" t="n">
        <v>4012.68388558375</v>
      </c>
      <c r="K2148" s="24" t="n">
        <v>3342.592592592593</v>
      </c>
      <c r="L2148" s="24" t="n">
        <v>150</v>
      </c>
      <c r="M2148" s="24">
        <f>I2148+J2148+K2148+L2148</f>
        <v/>
      </c>
      <c r="N2148" s="24">
        <f>M2148*'Dashboard &amp; Optimisation'!$B$18/('Dashboard &amp; Optimisation'!$B$16/3.6)</f>
        <v/>
      </c>
      <c r="O2148" s="24" t="n">
        <v>608.3906658886103</v>
      </c>
      <c r="P2148" s="25" t="n">
        <v>0.06518191488281506</v>
      </c>
      <c r="Q2148" s="26" t="n">
        <v>5.689672816037082</v>
      </c>
      <c r="R2148" s="24" t="n">
        <v>2357.594548718836</v>
      </c>
      <c r="S2148" s="24">
        <f>R2148*IF(A2148=4, 2.0, 3.0)</f>
        <v/>
      </c>
      <c r="T2148" s="22">
        <f>'Dashboard &amp; Optimisation'!$B$18*U2148</f>
        <v/>
      </c>
      <c r="U2148" s="27">
        <f>MIN(1, S2148/M2148)</f>
        <v/>
      </c>
      <c r="V2148" s="27">
        <f>N2148/(N2148+O2148)</f>
        <v/>
      </c>
      <c r="W2148" s="27">
        <f>U2148*V2148</f>
        <v/>
      </c>
      <c r="X2148" s="25">
        <f>T2148/N2148</f>
        <v/>
      </c>
      <c r="Y2148" s="28">
        <f>IF(W2148=MAXIFS(W$2:W$3601, A$2:A$3601, A2148, B$2:B$3601, B2148), "OPTIMAL", "")</f>
        <v/>
      </c>
    </row>
    <row r="2149" ht="20" customHeight="1">
      <c r="A2149" s="29" t="n">
        <v>-18</v>
      </c>
      <c r="B2149" s="29" t="n">
        <v>25</v>
      </c>
      <c r="C2149" s="30" t="n">
        <v>120</v>
      </c>
      <c r="D2149" s="30" t="n">
        <v>3</v>
      </c>
      <c r="E2149" s="6" t="n">
        <v>4</v>
      </c>
      <c r="F2149" s="30" t="n">
        <v>1.5</v>
      </c>
      <c r="G2149" s="6" t="inlineStr">
        <is>
          <t>Non</t>
        </is>
      </c>
      <c r="H2149" s="6" t="inlineStr">
        <is>
          <t>OFF</t>
        </is>
      </c>
      <c r="I2149" s="31" t="n">
        <v>604.2334594602274</v>
      </c>
      <c r="J2149" s="31" t="n">
        <v>4012.68388558375</v>
      </c>
      <c r="K2149" s="31" t="n">
        <v>3342.592592592593</v>
      </c>
      <c r="L2149" s="31" t="n">
        <v>150</v>
      </c>
      <c r="M2149" s="31">
        <f>I2149+J2149+K2149+L2149</f>
        <v/>
      </c>
      <c r="N2149" s="31">
        <f>M2149*'Dashboard &amp; Optimisation'!$B$18/('Dashboard &amp; Optimisation'!$B$16/3.6)</f>
        <v/>
      </c>
      <c r="O2149" s="31" t="n">
        <v>608.3906658886103</v>
      </c>
      <c r="P2149" s="32" t="n">
        <v>0.2688551278385546</v>
      </c>
      <c r="Q2149" s="33" t="n">
        <v>5.689672816037082</v>
      </c>
      <c r="R2149" s="31" t="n">
        <v>571.5811650617246</v>
      </c>
      <c r="S2149" s="31">
        <f>R2149*IF(A2149=4, 2.0, 3.0)</f>
        <v/>
      </c>
      <c r="T2149" s="30">
        <f>'Dashboard &amp; Optimisation'!$B$18*U2149</f>
        <v/>
      </c>
      <c r="U2149" s="34">
        <f>MIN(1, S2149/M2149)</f>
        <v/>
      </c>
      <c r="V2149" s="34">
        <f>N2149/(N2149+O2149)</f>
        <v/>
      </c>
      <c r="W2149" s="34">
        <f>U2149*V2149</f>
        <v/>
      </c>
      <c r="X2149" s="32">
        <f>T2149/N2149</f>
        <v/>
      </c>
      <c r="Y2149" s="35">
        <f>IF(W2149=MAXIFS(W$2:W$3601, A$2:A$3601, A2149, B$2:B$3601, B2149), "OPTIMAL", "")</f>
        <v/>
      </c>
    </row>
    <row r="2150" ht="20" customHeight="1">
      <c r="A2150" s="21" t="n">
        <v>-18</v>
      </c>
      <c r="B2150" s="21" t="n">
        <v>25</v>
      </c>
      <c r="C2150" s="22" t="n">
        <v>120</v>
      </c>
      <c r="D2150" s="22" t="n">
        <v>3</v>
      </c>
      <c r="E2150" s="23" t="n">
        <v>4</v>
      </c>
      <c r="F2150" s="22" t="n">
        <v>2</v>
      </c>
      <c r="G2150" s="23" t="inlineStr">
        <is>
          <t>Oui</t>
        </is>
      </c>
      <c r="H2150" s="23" t="inlineStr">
        <is>
          <t>ON</t>
        </is>
      </c>
      <c r="I2150" s="24" t="n">
        <v>604.2334594602274</v>
      </c>
      <c r="J2150" s="24" t="n">
        <v>4012.68388558375</v>
      </c>
      <c r="K2150" s="24" t="n">
        <v>3342.592592592593</v>
      </c>
      <c r="L2150" s="24" t="n">
        <v>150</v>
      </c>
      <c r="M2150" s="24">
        <f>I2150+J2150+K2150+L2150</f>
        <v/>
      </c>
      <c r="N2150" s="24">
        <f>M2150*'Dashboard &amp; Optimisation'!$B$18/('Dashboard &amp; Optimisation'!$B$16/3.6)</f>
        <v/>
      </c>
      <c r="O2150" s="24" t="n">
        <v>664.7819024671028</v>
      </c>
      <c r="P2150" s="25" t="n">
        <v>0.06458187918791126</v>
      </c>
      <c r="Q2150" s="26" t="n">
        <v>7.519563754716109</v>
      </c>
      <c r="R2150" s="24" t="n">
        <v>2401.548046459243</v>
      </c>
      <c r="S2150" s="24">
        <f>R2150*IF(A2150=4, 2.0, 3.0)</f>
        <v/>
      </c>
      <c r="T2150" s="22">
        <f>'Dashboard &amp; Optimisation'!$B$18*U2150</f>
        <v/>
      </c>
      <c r="U2150" s="27">
        <f>MIN(1, S2150/M2150)</f>
        <v/>
      </c>
      <c r="V2150" s="27">
        <f>N2150/(N2150+O2150)</f>
        <v/>
      </c>
      <c r="W2150" s="27">
        <f>U2150*V2150</f>
        <v/>
      </c>
      <c r="X2150" s="25">
        <f>T2150/N2150</f>
        <v/>
      </c>
      <c r="Y2150" s="28">
        <f>IF(W2150=MAXIFS(W$2:W$3601, A$2:A$3601, A2150, B$2:B$3601, B2150), "OPTIMAL", "")</f>
        <v/>
      </c>
    </row>
    <row r="2151" ht="20" customHeight="1">
      <c r="A2151" s="29" t="n">
        <v>-18</v>
      </c>
      <c r="B2151" s="29" t="n">
        <v>25</v>
      </c>
      <c r="C2151" s="30" t="n">
        <v>120</v>
      </c>
      <c r="D2151" s="30" t="n">
        <v>3</v>
      </c>
      <c r="E2151" s="6" t="n">
        <v>4</v>
      </c>
      <c r="F2151" s="30" t="n">
        <v>2</v>
      </c>
      <c r="G2151" s="6" t="inlineStr">
        <is>
          <t>Oui</t>
        </is>
      </c>
      <c r="H2151" s="6" t="inlineStr">
        <is>
          <t>OFF</t>
        </is>
      </c>
      <c r="I2151" s="31" t="n">
        <v>604.2334594602274</v>
      </c>
      <c r="J2151" s="31" t="n">
        <v>4012.68388558375</v>
      </c>
      <c r="K2151" s="31" t="n">
        <v>3342.592592592593</v>
      </c>
      <c r="L2151" s="31" t="n">
        <v>150</v>
      </c>
      <c r="M2151" s="31">
        <f>I2151+J2151+K2151+L2151</f>
        <v/>
      </c>
      <c r="N2151" s="31">
        <f>M2151*'Dashboard &amp; Optimisation'!$B$18/('Dashboard &amp; Optimisation'!$B$16/3.6)</f>
        <v/>
      </c>
      <c r="O2151" s="31" t="n">
        <v>664.7819024671028</v>
      </c>
      <c r="P2151" s="32" t="n">
        <v>0.2690865884190716</v>
      </c>
      <c r="Q2151" s="33" t="n">
        <v>7.519563754716109</v>
      </c>
      <c r="R2151" s="31" t="n">
        <v>576.3813303056564</v>
      </c>
      <c r="S2151" s="31">
        <f>R2151*IF(A2151=4, 2.0, 3.0)</f>
        <v/>
      </c>
      <c r="T2151" s="30">
        <f>'Dashboard &amp; Optimisation'!$B$18*U2151</f>
        <v/>
      </c>
      <c r="U2151" s="34">
        <f>MIN(1, S2151/M2151)</f>
        <v/>
      </c>
      <c r="V2151" s="34">
        <f>N2151/(N2151+O2151)</f>
        <v/>
      </c>
      <c r="W2151" s="34">
        <f>U2151*V2151</f>
        <v/>
      </c>
      <c r="X2151" s="32">
        <f>T2151/N2151</f>
        <v/>
      </c>
      <c r="Y2151" s="35">
        <f>IF(W2151=MAXIFS(W$2:W$3601, A$2:A$3601, A2151, B$2:B$3601, B2151), "OPTIMAL", "")</f>
        <v/>
      </c>
    </row>
    <row r="2152" ht="20" customHeight="1">
      <c r="A2152" s="21" t="n">
        <v>-18</v>
      </c>
      <c r="B2152" s="21" t="n">
        <v>25</v>
      </c>
      <c r="C2152" s="22" t="n">
        <v>120</v>
      </c>
      <c r="D2152" s="22" t="n">
        <v>3</v>
      </c>
      <c r="E2152" s="23" t="n">
        <v>4</v>
      </c>
      <c r="F2152" s="22" t="n">
        <v>2</v>
      </c>
      <c r="G2152" s="23" t="inlineStr">
        <is>
          <t>Non</t>
        </is>
      </c>
      <c r="H2152" s="23" t="inlineStr">
        <is>
          <t>ON</t>
        </is>
      </c>
      <c r="I2152" s="24" t="n">
        <v>604.2334594602274</v>
      </c>
      <c r="J2152" s="24" t="n">
        <v>4012.68388558375</v>
      </c>
      <c r="K2152" s="24" t="n">
        <v>3342.592592592593</v>
      </c>
      <c r="L2152" s="24" t="n">
        <v>150</v>
      </c>
      <c r="M2152" s="24">
        <f>I2152+J2152+K2152+L2152</f>
        <v/>
      </c>
      <c r="N2152" s="24">
        <f>M2152*'Dashboard &amp; Optimisation'!$B$18/('Dashboard &amp; Optimisation'!$B$16/3.6)</f>
        <v/>
      </c>
      <c r="O2152" s="24" t="n">
        <v>664.7819024671028</v>
      </c>
      <c r="P2152" s="25" t="n">
        <v>0.06192929680304634</v>
      </c>
      <c r="Q2152" s="26" t="n">
        <v>7.519563754716109</v>
      </c>
      <c r="R2152" s="24" t="n">
        <v>2504.412189494873</v>
      </c>
      <c r="S2152" s="24">
        <f>R2152*IF(A2152=4, 2.0, 3.0)</f>
        <v/>
      </c>
      <c r="T2152" s="22">
        <f>'Dashboard &amp; Optimisation'!$B$18*U2152</f>
        <v/>
      </c>
      <c r="U2152" s="27">
        <f>MIN(1, S2152/M2152)</f>
        <v/>
      </c>
      <c r="V2152" s="27">
        <f>N2152/(N2152+O2152)</f>
        <v/>
      </c>
      <c r="W2152" s="27">
        <f>U2152*V2152</f>
        <v/>
      </c>
      <c r="X2152" s="25">
        <f>T2152/N2152</f>
        <v/>
      </c>
      <c r="Y2152" s="28">
        <f>IF(W2152=MAXIFS(W$2:W$3601, A$2:A$3601, A2152, B$2:B$3601, B2152), "OPTIMAL", "")</f>
        <v/>
      </c>
    </row>
    <row r="2153" ht="20" customHeight="1">
      <c r="A2153" s="29" t="n">
        <v>-18</v>
      </c>
      <c r="B2153" s="29" t="n">
        <v>25</v>
      </c>
      <c r="C2153" s="30" t="n">
        <v>120</v>
      </c>
      <c r="D2153" s="30" t="n">
        <v>3</v>
      </c>
      <c r="E2153" s="6" t="n">
        <v>4</v>
      </c>
      <c r="F2153" s="30" t="n">
        <v>2</v>
      </c>
      <c r="G2153" s="6" t="inlineStr">
        <is>
          <t>Non</t>
        </is>
      </c>
      <c r="H2153" s="6" t="inlineStr">
        <is>
          <t>OFF</t>
        </is>
      </c>
      <c r="I2153" s="31" t="n">
        <v>604.2334594602274</v>
      </c>
      <c r="J2153" s="31" t="n">
        <v>4012.68388558375</v>
      </c>
      <c r="K2153" s="31" t="n">
        <v>3342.592592592593</v>
      </c>
      <c r="L2153" s="31" t="n">
        <v>150</v>
      </c>
      <c r="M2153" s="31">
        <f>I2153+J2153+K2153+L2153</f>
        <v/>
      </c>
      <c r="N2153" s="31">
        <f>M2153*'Dashboard &amp; Optimisation'!$B$18/('Dashboard &amp; Optimisation'!$B$16/3.6)</f>
        <v/>
      </c>
      <c r="O2153" s="31" t="n">
        <v>664.7819024671028</v>
      </c>
      <c r="P2153" s="32" t="n">
        <v>0.2664340060342067</v>
      </c>
      <c r="Q2153" s="33" t="n">
        <v>7.519563754716109</v>
      </c>
      <c r="R2153" s="31" t="n">
        <v>582.1197080243682</v>
      </c>
      <c r="S2153" s="31">
        <f>R2153*IF(A2153=4, 2.0, 3.0)</f>
        <v/>
      </c>
      <c r="T2153" s="30">
        <f>'Dashboard &amp; Optimisation'!$B$18*U2153</f>
        <v/>
      </c>
      <c r="U2153" s="34">
        <f>MIN(1, S2153/M2153)</f>
        <v/>
      </c>
      <c r="V2153" s="34">
        <f>N2153/(N2153+O2153)</f>
        <v/>
      </c>
      <c r="W2153" s="34">
        <f>U2153*V2153</f>
        <v/>
      </c>
      <c r="X2153" s="32">
        <f>T2153/N2153</f>
        <v/>
      </c>
      <c r="Y2153" s="35">
        <f>IF(W2153=MAXIFS(W$2:W$3601, A$2:A$3601, A2153, B$2:B$3601, B2153), "OPTIMAL", "")</f>
        <v/>
      </c>
    </row>
    <row r="2154" ht="20" customHeight="1">
      <c r="A2154" s="21" t="n">
        <v>-18</v>
      </c>
      <c r="B2154" s="21" t="n">
        <v>25</v>
      </c>
      <c r="C2154" s="22" t="n">
        <v>120</v>
      </c>
      <c r="D2154" s="22" t="n">
        <v>3</v>
      </c>
      <c r="E2154" s="23" t="n">
        <v>8</v>
      </c>
      <c r="F2154" s="22" t="n">
        <v>1.5</v>
      </c>
      <c r="G2154" s="23" t="inlineStr">
        <is>
          <t>Oui</t>
        </is>
      </c>
      <c r="H2154" s="23" t="inlineStr">
        <is>
          <t>ON</t>
        </is>
      </c>
      <c r="I2154" s="24" t="n">
        <v>604.2334594602274</v>
      </c>
      <c r="J2154" s="24" t="n">
        <v>4012.68388558375</v>
      </c>
      <c r="K2154" s="24" t="n">
        <v>3342.592592592593</v>
      </c>
      <c r="L2154" s="24" t="n">
        <v>150</v>
      </c>
      <c r="M2154" s="24">
        <f>I2154+J2154+K2154+L2154</f>
        <v/>
      </c>
      <c r="N2154" s="24">
        <f>M2154*'Dashboard &amp; Optimisation'!$B$18/('Dashboard &amp; Optimisation'!$B$16/3.6)</f>
        <v/>
      </c>
      <c r="O2154" s="24" t="n">
        <v>780.758766227269</v>
      </c>
      <c r="P2154" s="25" t="n">
        <v>0.05144850932496671</v>
      </c>
      <c r="Q2154" s="26" t="n">
        <v>11.17934563207417</v>
      </c>
      <c r="R2154" s="24" t="n">
        <v>3071.518843915032</v>
      </c>
      <c r="S2154" s="24">
        <f>R2154*IF(A2154=4, 2.0, 3.0)</f>
        <v/>
      </c>
      <c r="T2154" s="22">
        <f>'Dashboard &amp; Optimisation'!$B$18*U2154</f>
        <v/>
      </c>
      <c r="U2154" s="27">
        <f>MIN(1, S2154/M2154)</f>
        <v/>
      </c>
      <c r="V2154" s="27">
        <f>N2154/(N2154+O2154)</f>
        <v/>
      </c>
      <c r="W2154" s="27">
        <f>U2154*V2154</f>
        <v/>
      </c>
      <c r="X2154" s="25">
        <f>T2154/N2154</f>
        <v/>
      </c>
      <c r="Y2154" s="28">
        <f>IF(W2154=MAXIFS(W$2:W$3601, A$2:A$3601, A2154, B$2:B$3601, B2154), "OPTIMAL", "")</f>
        <v/>
      </c>
    </row>
    <row r="2155" ht="20" customHeight="1">
      <c r="A2155" s="29" t="n">
        <v>-18</v>
      </c>
      <c r="B2155" s="29" t="n">
        <v>25</v>
      </c>
      <c r="C2155" s="30" t="n">
        <v>120</v>
      </c>
      <c r="D2155" s="30" t="n">
        <v>3</v>
      </c>
      <c r="E2155" s="6" t="n">
        <v>8</v>
      </c>
      <c r="F2155" s="30" t="n">
        <v>1.5</v>
      </c>
      <c r="G2155" s="6" t="inlineStr">
        <is>
          <t>Oui</t>
        </is>
      </c>
      <c r="H2155" s="6" t="inlineStr">
        <is>
          <t>OFF</t>
        </is>
      </c>
      <c r="I2155" s="31" t="n">
        <v>604.2334594602274</v>
      </c>
      <c r="J2155" s="31" t="n">
        <v>4012.68388558375</v>
      </c>
      <c r="K2155" s="31" t="n">
        <v>3342.592592592593</v>
      </c>
      <c r="L2155" s="31" t="n">
        <v>150</v>
      </c>
      <c r="M2155" s="31">
        <f>I2155+J2155+K2155+L2155</f>
        <v/>
      </c>
      <c r="N2155" s="31">
        <f>M2155*'Dashboard &amp; Optimisation'!$B$18/('Dashboard &amp; Optimisation'!$B$16/3.6)</f>
        <v/>
      </c>
      <c r="O2155" s="31" t="n">
        <v>780.758766227269</v>
      </c>
      <c r="P2155" s="32" t="n">
        <v>0.2167441267000743</v>
      </c>
      <c r="Q2155" s="33" t="n">
        <v>11.17934563207417</v>
      </c>
      <c r="R2155" s="31" t="n">
        <v>729.0858040257077</v>
      </c>
      <c r="S2155" s="31">
        <f>R2155*IF(A2155=4, 2.0, 3.0)</f>
        <v/>
      </c>
      <c r="T2155" s="30">
        <f>'Dashboard &amp; Optimisation'!$B$18*U2155</f>
        <v/>
      </c>
      <c r="U2155" s="34">
        <f>MIN(1, S2155/M2155)</f>
        <v/>
      </c>
      <c r="V2155" s="34">
        <f>N2155/(N2155+O2155)</f>
        <v/>
      </c>
      <c r="W2155" s="34">
        <f>U2155*V2155</f>
        <v/>
      </c>
      <c r="X2155" s="32">
        <f>T2155/N2155</f>
        <v/>
      </c>
      <c r="Y2155" s="35">
        <f>IF(W2155=MAXIFS(W$2:W$3601, A$2:A$3601, A2155, B$2:B$3601, B2155), "OPTIMAL", "")</f>
        <v/>
      </c>
    </row>
    <row r="2156" ht="20" customHeight="1">
      <c r="A2156" s="21" t="n">
        <v>-18</v>
      </c>
      <c r="B2156" s="21" t="n">
        <v>25</v>
      </c>
      <c r="C2156" s="22" t="n">
        <v>120</v>
      </c>
      <c r="D2156" s="22" t="n">
        <v>3</v>
      </c>
      <c r="E2156" s="23" t="n">
        <v>8</v>
      </c>
      <c r="F2156" s="22" t="n">
        <v>1.5</v>
      </c>
      <c r="G2156" s="23" t="inlineStr">
        <is>
          <t>Non</t>
        </is>
      </c>
      <c r="H2156" s="23" t="inlineStr">
        <is>
          <t>ON</t>
        </is>
      </c>
      <c r="I2156" s="24" t="n">
        <v>604.2334594602274</v>
      </c>
      <c r="J2156" s="24" t="n">
        <v>4012.68388558375</v>
      </c>
      <c r="K2156" s="24" t="n">
        <v>3342.592592592593</v>
      </c>
      <c r="L2156" s="24" t="n">
        <v>150</v>
      </c>
      <c r="M2156" s="24">
        <f>I2156+J2156+K2156+L2156</f>
        <v/>
      </c>
      <c r="N2156" s="24">
        <f>M2156*'Dashboard &amp; Optimisation'!$B$18/('Dashboard &amp; Optimisation'!$B$16/3.6)</f>
        <v/>
      </c>
      <c r="O2156" s="24" t="n">
        <v>780.758766227269</v>
      </c>
      <c r="P2156" s="25" t="n">
        <v>0.04879592694010178</v>
      </c>
      <c r="Q2156" s="26" t="n">
        <v>11.17934563207417</v>
      </c>
      <c r="R2156" s="24" t="n">
        <v>3238.488861518159</v>
      </c>
      <c r="S2156" s="24">
        <f>R2156*IF(A2156=4, 2.0, 3.0)</f>
        <v/>
      </c>
      <c r="T2156" s="22">
        <f>'Dashboard &amp; Optimisation'!$B$18*U2156</f>
        <v/>
      </c>
      <c r="U2156" s="27">
        <f>MIN(1, S2156/M2156)</f>
        <v/>
      </c>
      <c r="V2156" s="27">
        <f>N2156/(N2156+O2156)</f>
        <v/>
      </c>
      <c r="W2156" s="27">
        <f>U2156*V2156</f>
        <v/>
      </c>
      <c r="X2156" s="25">
        <f>T2156/N2156</f>
        <v/>
      </c>
      <c r="Y2156" s="28">
        <f>IF(W2156=MAXIFS(W$2:W$3601, A$2:A$3601, A2156, B$2:B$3601, B2156), "OPTIMAL", "")</f>
        <v/>
      </c>
    </row>
    <row r="2157" ht="20" customHeight="1">
      <c r="A2157" s="29" t="n">
        <v>-18</v>
      </c>
      <c r="B2157" s="29" t="n">
        <v>25</v>
      </c>
      <c r="C2157" s="30" t="n">
        <v>120</v>
      </c>
      <c r="D2157" s="30" t="n">
        <v>3</v>
      </c>
      <c r="E2157" s="6" t="n">
        <v>8</v>
      </c>
      <c r="F2157" s="30" t="n">
        <v>1.5</v>
      </c>
      <c r="G2157" s="6" t="inlineStr">
        <is>
          <t>Non</t>
        </is>
      </c>
      <c r="H2157" s="6" t="inlineStr">
        <is>
          <t>OFF</t>
        </is>
      </c>
      <c r="I2157" s="31" t="n">
        <v>604.2334594602274</v>
      </c>
      <c r="J2157" s="31" t="n">
        <v>4012.68388558375</v>
      </c>
      <c r="K2157" s="31" t="n">
        <v>3342.592592592593</v>
      </c>
      <c r="L2157" s="31" t="n">
        <v>150</v>
      </c>
      <c r="M2157" s="31">
        <f>I2157+J2157+K2157+L2157</f>
        <v/>
      </c>
      <c r="N2157" s="31">
        <f>M2157*'Dashboard &amp; Optimisation'!$B$18/('Dashboard &amp; Optimisation'!$B$16/3.6)</f>
        <v/>
      </c>
      <c r="O2157" s="31" t="n">
        <v>780.758766227269</v>
      </c>
      <c r="P2157" s="32" t="n">
        <v>0.2140915443152093</v>
      </c>
      <c r="Q2157" s="33" t="n">
        <v>11.17934563207417</v>
      </c>
      <c r="R2157" s="31" t="n">
        <v>738.1191367852972</v>
      </c>
      <c r="S2157" s="31">
        <f>R2157*IF(A2157=4, 2.0, 3.0)</f>
        <v/>
      </c>
      <c r="T2157" s="30">
        <f>'Dashboard &amp; Optimisation'!$B$18*U2157</f>
        <v/>
      </c>
      <c r="U2157" s="34">
        <f>MIN(1, S2157/M2157)</f>
        <v/>
      </c>
      <c r="V2157" s="34">
        <f>N2157/(N2157+O2157)</f>
        <v/>
      </c>
      <c r="W2157" s="34">
        <f>U2157*V2157</f>
        <v/>
      </c>
      <c r="X2157" s="32">
        <f>T2157/N2157</f>
        <v/>
      </c>
      <c r="Y2157" s="35">
        <f>IF(W2157=MAXIFS(W$2:W$3601, A$2:A$3601, A2157, B$2:B$3601, B2157), "OPTIMAL", "")</f>
        <v/>
      </c>
    </row>
    <row r="2158" ht="20" customHeight="1">
      <c r="A2158" s="21" t="n">
        <v>-18</v>
      </c>
      <c r="B2158" s="21" t="n">
        <v>25</v>
      </c>
      <c r="C2158" s="22" t="n">
        <v>120</v>
      </c>
      <c r="D2158" s="22" t="n">
        <v>3</v>
      </c>
      <c r="E2158" s="23" t="n">
        <v>8</v>
      </c>
      <c r="F2158" s="22" t="n">
        <v>2</v>
      </c>
      <c r="G2158" s="23" t="inlineStr">
        <is>
          <t>Oui</t>
        </is>
      </c>
      <c r="H2158" s="23" t="inlineStr">
        <is>
          <t>ON</t>
        </is>
      </c>
      <c r="I2158" s="24" t="n">
        <v>604.2334594602274</v>
      </c>
      <c r="J2158" s="24" t="n">
        <v>4012.68388558375</v>
      </c>
      <c r="K2158" s="24" t="n">
        <v>3342.592592592593</v>
      </c>
      <c r="L2158" s="24" t="n">
        <v>150</v>
      </c>
      <c r="M2158" s="24">
        <f>I2158+J2158+K2158+L2158</f>
        <v/>
      </c>
      <c r="N2158" s="24">
        <f>M2158*'Dashboard &amp; Optimisation'!$B$18/('Dashboard &amp; Optimisation'!$B$16/3.6)</f>
        <v/>
      </c>
      <c r="O2158" s="24" t="n">
        <v>901.1997452244257</v>
      </c>
      <c r="P2158" s="25" t="n">
        <v>0.04989331996011</v>
      </c>
      <c r="Q2158" s="26" t="n">
        <v>14.83912750943222</v>
      </c>
      <c r="R2158" s="24" t="n">
        <v>3228.215146379271</v>
      </c>
      <c r="S2158" s="24">
        <f>R2158*IF(A2158=4, 2.0, 3.0)</f>
        <v/>
      </c>
      <c r="T2158" s="22">
        <f>'Dashboard &amp; Optimisation'!$B$18*U2158</f>
        <v/>
      </c>
      <c r="U2158" s="27">
        <f>MIN(1, S2158/M2158)</f>
        <v/>
      </c>
      <c r="V2158" s="27">
        <f>N2158/(N2158+O2158)</f>
        <v/>
      </c>
      <c r="W2158" s="27">
        <f>U2158*V2158</f>
        <v/>
      </c>
      <c r="X2158" s="25">
        <f>T2158/N2158</f>
        <v/>
      </c>
      <c r="Y2158" s="28">
        <f>IF(W2158=MAXIFS(W$2:W$3601, A$2:A$3601, A2158, B$2:B$3601, B2158), "OPTIMAL", "")</f>
        <v/>
      </c>
    </row>
    <row r="2159" ht="20" customHeight="1">
      <c r="A2159" s="29" t="n">
        <v>-18</v>
      </c>
      <c r="B2159" s="29" t="n">
        <v>25</v>
      </c>
      <c r="C2159" s="30" t="n">
        <v>120</v>
      </c>
      <c r="D2159" s="30" t="n">
        <v>3</v>
      </c>
      <c r="E2159" s="6" t="n">
        <v>8</v>
      </c>
      <c r="F2159" s="30" t="n">
        <v>2</v>
      </c>
      <c r="G2159" s="6" t="inlineStr">
        <is>
          <t>Oui</t>
        </is>
      </c>
      <c r="H2159" s="6" t="inlineStr">
        <is>
          <t>OFF</t>
        </is>
      </c>
      <c r="I2159" s="31" t="n">
        <v>604.2334594602274</v>
      </c>
      <c r="J2159" s="31" t="n">
        <v>4012.68388558375</v>
      </c>
      <c r="K2159" s="31" t="n">
        <v>3342.592592592593</v>
      </c>
      <c r="L2159" s="31" t="n">
        <v>150</v>
      </c>
      <c r="M2159" s="31">
        <f>I2159+J2159+K2159+L2159</f>
        <v/>
      </c>
      <c r="N2159" s="31">
        <f>M2159*'Dashboard &amp; Optimisation'!$B$18/('Dashboard &amp; Optimisation'!$B$16/3.6)</f>
        <v/>
      </c>
      <c r="O2159" s="31" t="n">
        <v>901.1997452244257</v>
      </c>
      <c r="P2159" s="32" t="n">
        <v>0.2162873761903785</v>
      </c>
      <c r="Q2159" s="33" t="n">
        <v>14.83912750943222</v>
      </c>
      <c r="R2159" s="31" t="n">
        <v>744.6868792592035</v>
      </c>
      <c r="S2159" s="31">
        <f>R2159*IF(A2159=4, 2.0, 3.0)</f>
        <v/>
      </c>
      <c r="T2159" s="30">
        <f>'Dashboard &amp; Optimisation'!$B$18*U2159</f>
        <v/>
      </c>
      <c r="U2159" s="34">
        <f>MIN(1, S2159/M2159)</f>
        <v/>
      </c>
      <c r="V2159" s="34">
        <f>N2159/(N2159+O2159)</f>
        <v/>
      </c>
      <c r="W2159" s="34">
        <f>U2159*V2159</f>
        <v/>
      </c>
      <c r="X2159" s="32">
        <f>T2159/N2159</f>
        <v/>
      </c>
      <c r="Y2159" s="35">
        <f>IF(W2159=MAXIFS(W$2:W$3601, A$2:A$3601, A2159, B$2:B$3601, B2159), "OPTIMAL", "")</f>
        <v/>
      </c>
    </row>
    <row r="2160" ht="20" customHeight="1">
      <c r="A2160" s="21" t="n">
        <v>-18</v>
      </c>
      <c r="B2160" s="21" t="n">
        <v>25</v>
      </c>
      <c r="C2160" s="22" t="n">
        <v>120</v>
      </c>
      <c r="D2160" s="22" t="n">
        <v>3</v>
      </c>
      <c r="E2160" s="23" t="n">
        <v>8</v>
      </c>
      <c r="F2160" s="22" t="n">
        <v>2</v>
      </c>
      <c r="G2160" s="23" t="inlineStr">
        <is>
          <t>Non</t>
        </is>
      </c>
      <c r="H2160" s="23" t="inlineStr">
        <is>
          <t>ON</t>
        </is>
      </c>
      <c r="I2160" s="24" t="n">
        <v>604.2334594602274</v>
      </c>
      <c r="J2160" s="24" t="n">
        <v>4012.68388558375</v>
      </c>
      <c r="K2160" s="24" t="n">
        <v>3342.592592592593</v>
      </c>
      <c r="L2160" s="24" t="n">
        <v>150</v>
      </c>
      <c r="M2160" s="24">
        <f>I2160+J2160+K2160+L2160</f>
        <v/>
      </c>
      <c r="N2160" s="24">
        <f>M2160*'Dashboard &amp; Optimisation'!$B$18/('Dashboard &amp; Optimisation'!$B$16/3.6)</f>
        <v/>
      </c>
      <c r="O2160" s="24" t="n">
        <v>901.1997452244257</v>
      </c>
      <c r="P2160" s="25" t="n">
        <v>0.04724073757524508</v>
      </c>
      <c r="Q2160" s="26" t="n">
        <v>14.83912750943222</v>
      </c>
      <c r="R2160" s="24" t="n">
        <v>3409.480449830566</v>
      </c>
      <c r="S2160" s="24">
        <f>R2160*IF(A2160=4, 2.0, 3.0)</f>
        <v/>
      </c>
      <c r="T2160" s="22">
        <f>'Dashboard &amp; Optimisation'!$B$18*U2160</f>
        <v/>
      </c>
      <c r="U2160" s="27">
        <f>MIN(1, S2160/M2160)</f>
        <v/>
      </c>
      <c r="V2160" s="27">
        <f>N2160/(N2160+O2160)</f>
        <v/>
      </c>
      <c r="W2160" s="27">
        <f>U2160*V2160</f>
        <v/>
      </c>
      <c r="X2160" s="25">
        <f>T2160/N2160</f>
        <v/>
      </c>
      <c r="Y2160" s="28">
        <f>IF(W2160=MAXIFS(W$2:W$3601, A$2:A$3601, A2160, B$2:B$3601, B2160), "OPTIMAL", "")</f>
        <v/>
      </c>
    </row>
    <row r="2161" ht="20" customHeight="1">
      <c r="A2161" s="29" t="n">
        <v>-18</v>
      </c>
      <c r="B2161" s="29" t="n">
        <v>25</v>
      </c>
      <c r="C2161" s="30" t="n">
        <v>120</v>
      </c>
      <c r="D2161" s="30" t="n">
        <v>3</v>
      </c>
      <c r="E2161" s="6" t="n">
        <v>8</v>
      </c>
      <c r="F2161" s="30" t="n">
        <v>2</v>
      </c>
      <c r="G2161" s="6" t="inlineStr">
        <is>
          <t>Non</t>
        </is>
      </c>
      <c r="H2161" s="6" t="inlineStr">
        <is>
          <t>OFF</t>
        </is>
      </c>
      <c r="I2161" s="31" t="n">
        <v>604.2334594602274</v>
      </c>
      <c r="J2161" s="31" t="n">
        <v>4012.68388558375</v>
      </c>
      <c r="K2161" s="31" t="n">
        <v>3342.592592592593</v>
      </c>
      <c r="L2161" s="31" t="n">
        <v>150</v>
      </c>
      <c r="M2161" s="31">
        <f>I2161+J2161+K2161+L2161</f>
        <v/>
      </c>
      <c r="N2161" s="31">
        <f>M2161*'Dashboard &amp; Optimisation'!$B$18/('Dashboard &amp; Optimisation'!$B$16/3.6)</f>
        <v/>
      </c>
      <c r="O2161" s="31" t="n">
        <v>901.1997452244257</v>
      </c>
      <c r="P2161" s="32" t="n">
        <v>0.2136347938055135</v>
      </c>
      <c r="Q2161" s="33" t="n">
        <v>14.83912750943222</v>
      </c>
      <c r="R2161" s="31" t="n">
        <v>753.9332349813959</v>
      </c>
      <c r="S2161" s="31">
        <f>R2161*IF(A2161=4, 2.0, 3.0)</f>
        <v/>
      </c>
      <c r="T2161" s="30">
        <f>'Dashboard &amp; Optimisation'!$B$18*U2161</f>
        <v/>
      </c>
      <c r="U2161" s="34">
        <f>MIN(1, S2161/M2161)</f>
        <v/>
      </c>
      <c r="V2161" s="34">
        <f>N2161/(N2161+O2161)</f>
        <v/>
      </c>
      <c r="W2161" s="34">
        <f>U2161*V2161</f>
        <v/>
      </c>
      <c r="X2161" s="32">
        <f>T2161/N2161</f>
        <v/>
      </c>
      <c r="Y2161" s="35">
        <f>IF(W2161=MAXIFS(W$2:W$3601, A$2:A$3601, A2161, B$2:B$3601, B2161), "OPTIMAL", "")</f>
        <v/>
      </c>
    </row>
    <row r="2162" ht="20" customHeight="1">
      <c r="A2162" s="21" t="n">
        <v>-18</v>
      </c>
      <c r="B2162" s="21" t="n">
        <v>30</v>
      </c>
      <c r="C2162" s="22" t="n">
        <v>80</v>
      </c>
      <c r="D2162" s="22" t="n">
        <v>2</v>
      </c>
      <c r="E2162" s="23" t="n">
        <v>0</v>
      </c>
      <c r="F2162" s="22" t="n">
        <v>0</v>
      </c>
      <c r="G2162" s="23" t="inlineStr">
        <is>
          <t>Oui</t>
        </is>
      </c>
      <c r="H2162" s="23" t="inlineStr">
        <is>
          <t>ON</t>
        </is>
      </c>
      <c r="I2162" s="24" t="n">
        <v>674.4931640486259</v>
      </c>
      <c r="J2162" s="24" t="n">
        <v>5144.556481985902</v>
      </c>
      <c r="K2162" s="24" t="n">
        <v>3782.407407407407</v>
      </c>
      <c r="L2162" s="24" t="n">
        <v>150</v>
      </c>
      <c r="M2162" s="24">
        <f>I2162+J2162+K2162+L2162</f>
        <v/>
      </c>
      <c r="N2162" s="24">
        <f>M2162*'Dashboard &amp; Optimisation'!$B$18/('Dashboard &amp; Optimisation'!$B$16/3.6)</f>
        <v/>
      </c>
      <c r="O2162" s="24" t="n">
        <v>535.4164850460807</v>
      </c>
      <c r="P2162" s="25" t="n">
        <v>0.5013778930875155</v>
      </c>
      <c r="Q2162" s="26" t="n">
        <v>0.2</v>
      </c>
      <c r="R2162" s="24" t="n">
        <v>807.0274787909216</v>
      </c>
      <c r="S2162" s="24">
        <f>R2162*IF(A2162=4, 2.0, 3.0)</f>
        <v/>
      </c>
      <c r="T2162" s="22">
        <f>'Dashboard &amp; Optimisation'!$B$18*U2162</f>
        <v/>
      </c>
      <c r="U2162" s="27">
        <f>MIN(1, S2162/M2162)</f>
        <v/>
      </c>
      <c r="V2162" s="27">
        <f>N2162/(N2162+O2162)</f>
        <v/>
      </c>
      <c r="W2162" s="27">
        <f>U2162*V2162</f>
        <v/>
      </c>
      <c r="X2162" s="25">
        <f>T2162/N2162</f>
        <v/>
      </c>
      <c r="Y2162" s="28">
        <f>IF(W2162=MAXIFS(W$2:W$3601, A$2:A$3601, A2162, B$2:B$3601, B2162), "OPTIMAL", "")</f>
        <v/>
      </c>
    </row>
    <row r="2163" ht="20" customHeight="1">
      <c r="A2163" s="29" t="n">
        <v>-18</v>
      </c>
      <c r="B2163" s="29" t="n">
        <v>30</v>
      </c>
      <c r="C2163" s="30" t="n">
        <v>80</v>
      </c>
      <c r="D2163" s="30" t="n">
        <v>2</v>
      </c>
      <c r="E2163" s="6" t="n">
        <v>0</v>
      </c>
      <c r="F2163" s="30" t="n">
        <v>0</v>
      </c>
      <c r="G2163" s="6" t="inlineStr">
        <is>
          <t>Oui</t>
        </is>
      </c>
      <c r="H2163" s="6" t="inlineStr">
        <is>
          <t>OFF</t>
        </is>
      </c>
      <c r="I2163" s="31" t="n">
        <v>674.4931640486259</v>
      </c>
      <c r="J2163" s="31" t="n">
        <v>5144.556481985902</v>
      </c>
      <c r="K2163" s="31" t="n">
        <v>3782.407407407407</v>
      </c>
      <c r="L2163" s="31" t="n">
        <v>150</v>
      </c>
      <c r="M2163" s="31">
        <f>I2163+J2163+K2163+L2163</f>
        <v/>
      </c>
      <c r="N2163" s="31">
        <f>M2163*'Dashboard &amp; Optimisation'!$B$18/('Dashboard &amp; Optimisation'!$B$16/3.6)</f>
        <v/>
      </c>
      <c r="O2163" s="31" t="n">
        <v>535.4164850460807</v>
      </c>
      <c r="P2163" s="32" t="n">
        <v>0.8992652508172538</v>
      </c>
      <c r="Q2163" s="33" t="n">
        <v>0.2</v>
      </c>
      <c r="R2163" s="31" t="n">
        <v>449.951487186008</v>
      </c>
      <c r="S2163" s="31">
        <f>R2163*IF(A2163=4, 2.0, 3.0)</f>
        <v/>
      </c>
      <c r="T2163" s="30">
        <f>'Dashboard &amp; Optimisation'!$B$18*U2163</f>
        <v/>
      </c>
      <c r="U2163" s="34">
        <f>MIN(1, S2163/M2163)</f>
        <v/>
      </c>
      <c r="V2163" s="34">
        <f>N2163/(N2163+O2163)</f>
        <v/>
      </c>
      <c r="W2163" s="34">
        <f>U2163*V2163</f>
        <v/>
      </c>
      <c r="X2163" s="32">
        <f>T2163/N2163</f>
        <v/>
      </c>
      <c r="Y2163" s="35">
        <f>IF(W2163=MAXIFS(W$2:W$3601, A$2:A$3601, A2163, B$2:B$3601, B2163), "OPTIMAL", "")</f>
        <v/>
      </c>
    </row>
    <row r="2164" ht="20" customHeight="1">
      <c r="A2164" s="21" t="n">
        <v>-18</v>
      </c>
      <c r="B2164" s="21" t="n">
        <v>30</v>
      </c>
      <c r="C2164" s="22" t="n">
        <v>80</v>
      </c>
      <c r="D2164" s="22" t="n">
        <v>2</v>
      </c>
      <c r="E2164" s="23" t="n">
        <v>0</v>
      </c>
      <c r="F2164" s="22" t="n">
        <v>0</v>
      </c>
      <c r="G2164" s="23" t="inlineStr">
        <is>
          <t>Non</t>
        </is>
      </c>
      <c r="H2164" s="23" t="inlineStr">
        <is>
          <t>ON</t>
        </is>
      </c>
      <c r="I2164" s="24" t="n">
        <v>674.4931640486259</v>
      </c>
      <c r="J2164" s="24" t="n">
        <v>5144.556481985902</v>
      </c>
      <c r="K2164" s="24" t="n">
        <v>3782.407407407407</v>
      </c>
      <c r="L2164" s="24" t="n">
        <v>150</v>
      </c>
      <c r="M2164" s="24">
        <f>I2164+J2164+K2164+L2164</f>
        <v/>
      </c>
      <c r="N2164" s="24">
        <f>M2164*'Dashboard &amp; Optimisation'!$B$18/('Dashboard &amp; Optimisation'!$B$16/3.6)</f>
        <v/>
      </c>
      <c r="O2164" s="24" t="n">
        <v>535.4164850460807</v>
      </c>
      <c r="P2164" s="25" t="n">
        <v>0.4973990195102181</v>
      </c>
      <c r="Q2164" s="26" t="n">
        <v>0.2</v>
      </c>
      <c r="R2164" s="24" t="n">
        <v>813.4831817287279</v>
      </c>
      <c r="S2164" s="24">
        <f>R2164*IF(A2164=4, 2.0, 3.0)</f>
        <v/>
      </c>
      <c r="T2164" s="22">
        <f>'Dashboard &amp; Optimisation'!$B$18*U2164</f>
        <v/>
      </c>
      <c r="U2164" s="27">
        <f>MIN(1, S2164/M2164)</f>
        <v/>
      </c>
      <c r="V2164" s="27">
        <f>N2164/(N2164+O2164)</f>
        <v/>
      </c>
      <c r="W2164" s="27">
        <f>U2164*V2164</f>
        <v/>
      </c>
      <c r="X2164" s="25">
        <f>T2164/N2164</f>
        <v/>
      </c>
      <c r="Y2164" s="28">
        <f>IF(W2164=MAXIFS(W$2:W$3601, A$2:A$3601, A2164, B$2:B$3601, B2164), "OPTIMAL", "")</f>
        <v/>
      </c>
    </row>
    <row r="2165" ht="20" customHeight="1">
      <c r="A2165" s="29" t="n">
        <v>-18</v>
      </c>
      <c r="B2165" s="29" t="n">
        <v>30</v>
      </c>
      <c r="C2165" s="30" t="n">
        <v>80</v>
      </c>
      <c r="D2165" s="30" t="n">
        <v>2</v>
      </c>
      <c r="E2165" s="6" t="n">
        <v>0</v>
      </c>
      <c r="F2165" s="30" t="n">
        <v>0</v>
      </c>
      <c r="G2165" s="6" t="inlineStr">
        <is>
          <t>Non</t>
        </is>
      </c>
      <c r="H2165" s="6" t="inlineStr">
        <is>
          <t>OFF</t>
        </is>
      </c>
      <c r="I2165" s="31" t="n">
        <v>674.4931640486259</v>
      </c>
      <c r="J2165" s="31" t="n">
        <v>5144.556481985902</v>
      </c>
      <c r="K2165" s="31" t="n">
        <v>3782.407407407407</v>
      </c>
      <c r="L2165" s="31" t="n">
        <v>150</v>
      </c>
      <c r="M2165" s="31">
        <f>I2165+J2165+K2165+L2165</f>
        <v/>
      </c>
      <c r="N2165" s="31">
        <f>M2165*'Dashboard &amp; Optimisation'!$B$18/('Dashboard &amp; Optimisation'!$B$16/3.6)</f>
        <v/>
      </c>
      <c r="O2165" s="31" t="n">
        <v>535.4164850460807</v>
      </c>
      <c r="P2165" s="32" t="n">
        <v>0.8952863772399564</v>
      </c>
      <c r="Q2165" s="33" t="n">
        <v>0.2</v>
      </c>
      <c r="R2165" s="31" t="n">
        <v>451.9511826230695</v>
      </c>
      <c r="S2165" s="31">
        <f>R2165*IF(A2165=4, 2.0, 3.0)</f>
        <v/>
      </c>
      <c r="T2165" s="30">
        <f>'Dashboard &amp; Optimisation'!$B$18*U2165</f>
        <v/>
      </c>
      <c r="U2165" s="34">
        <f>MIN(1, S2165/M2165)</f>
        <v/>
      </c>
      <c r="V2165" s="34">
        <f>N2165/(N2165+O2165)</f>
        <v/>
      </c>
      <c r="W2165" s="34">
        <f>U2165*V2165</f>
        <v/>
      </c>
      <c r="X2165" s="32">
        <f>T2165/N2165</f>
        <v/>
      </c>
      <c r="Y2165" s="35">
        <f>IF(W2165=MAXIFS(W$2:W$3601, A$2:A$3601, A2165, B$2:B$3601, B2165), "OPTIMAL", "")</f>
        <v/>
      </c>
    </row>
    <row r="2166" ht="20" customHeight="1">
      <c r="A2166" s="21" t="n">
        <v>-18</v>
      </c>
      <c r="B2166" s="21" t="n">
        <v>30</v>
      </c>
      <c r="C2166" s="22" t="n">
        <v>80</v>
      </c>
      <c r="D2166" s="22" t="n">
        <v>2</v>
      </c>
      <c r="E2166" s="23" t="n">
        <v>4</v>
      </c>
      <c r="F2166" s="22" t="n">
        <v>1.5</v>
      </c>
      <c r="G2166" s="23" t="inlineStr">
        <is>
          <t>Oui</t>
        </is>
      </c>
      <c r="H2166" s="23" t="inlineStr">
        <is>
          <t>ON</t>
        </is>
      </c>
      <c r="I2166" s="24" t="n">
        <v>674.4931640486259</v>
      </c>
      <c r="J2166" s="24" t="n">
        <v>5144.556481985902</v>
      </c>
      <c r="K2166" s="24" t="n">
        <v>3782.407407407407</v>
      </c>
      <c r="L2166" s="24" t="n">
        <v>150</v>
      </c>
      <c r="M2166" s="24">
        <f>I2166+J2166+K2166+L2166</f>
        <v/>
      </c>
      <c r="N2166" s="24">
        <f>M2166*'Dashboard &amp; Optimisation'!$B$18/('Dashboard &amp; Optimisation'!$B$16/3.6)</f>
        <v/>
      </c>
      <c r="O2166" s="24" t="n">
        <v>867.9070508691606</v>
      </c>
      <c r="P2166" s="25" t="n">
        <v>0.08231647342522849</v>
      </c>
      <c r="Q2166" s="26" t="n">
        <v>8.434509224055622</v>
      </c>
      <c r="R2166" s="24" t="n">
        <v>5121.408576682677</v>
      </c>
      <c r="S2166" s="24">
        <f>R2166*IF(A2166=4, 2.0, 3.0)</f>
        <v/>
      </c>
      <c r="T2166" s="22">
        <f>'Dashboard &amp; Optimisation'!$B$18*U2166</f>
        <v/>
      </c>
      <c r="U2166" s="27">
        <f>MIN(1, S2166/M2166)</f>
        <v/>
      </c>
      <c r="V2166" s="27">
        <f>N2166/(N2166+O2166)</f>
        <v/>
      </c>
      <c r="W2166" s="27">
        <f>U2166*V2166</f>
        <v/>
      </c>
      <c r="X2166" s="25">
        <f>T2166/N2166</f>
        <v/>
      </c>
      <c r="Y2166" s="28">
        <f>IF(W2166=MAXIFS(W$2:W$3601, A$2:A$3601, A2166, B$2:B$3601, B2166), "OPTIMAL", "")</f>
        <v/>
      </c>
    </row>
    <row r="2167" ht="20" customHeight="1">
      <c r="A2167" s="29" t="n">
        <v>-18</v>
      </c>
      <c r="B2167" s="29" t="n">
        <v>30</v>
      </c>
      <c r="C2167" s="30" t="n">
        <v>80</v>
      </c>
      <c r="D2167" s="30" t="n">
        <v>2</v>
      </c>
      <c r="E2167" s="6" t="n">
        <v>4</v>
      </c>
      <c r="F2167" s="30" t="n">
        <v>1.5</v>
      </c>
      <c r="G2167" s="6" t="inlineStr">
        <is>
          <t>Oui</t>
        </is>
      </c>
      <c r="H2167" s="6" t="inlineStr">
        <is>
          <t>OFF</t>
        </is>
      </c>
      <c r="I2167" s="31" t="n">
        <v>674.4931640486259</v>
      </c>
      <c r="J2167" s="31" t="n">
        <v>5144.556481985902</v>
      </c>
      <c r="K2167" s="31" t="n">
        <v>3782.407407407407</v>
      </c>
      <c r="L2167" s="31" t="n">
        <v>150</v>
      </c>
      <c r="M2167" s="31">
        <f>I2167+J2167+K2167+L2167</f>
        <v/>
      </c>
      <c r="N2167" s="31">
        <f>M2167*'Dashboard &amp; Optimisation'!$B$18/('Dashboard &amp; Optimisation'!$B$16/3.6)</f>
        <v/>
      </c>
      <c r="O2167" s="31" t="n">
        <v>867.9070508691606</v>
      </c>
      <c r="P2167" s="32" t="n">
        <v>0.3560493820000729</v>
      </c>
      <c r="Q2167" s="33" t="n">
        <v>8.434509224055622</v>
      </c>
      <c r="R2167" s="31" t="n">
        <v>1184.038828080737</v>
      </c>
      <c r="S2167" s="31">
        <f>R2167*IF(A2167=4, 2.0, 3.0)</f>
        <v/>
      </c>
      <c r="T2167" s="30">
        <f>'Dashboard &amp; Optimisation'!$B$18*U2167</f>
        <v/>
      </c>
      <c r="U2167" s="34">
        <f>MIN(1, S2167/M2167)</f>
        <v/>
      </c>
      <c r="V2167" s="34">
        <f>N2167/(N2167+O2167)</f>
        <v/>
      </c>
      <c r="W2167" s="34">
        <f>U2167*V2167</f>
        <v/>
      </c>
      <c r="X2167" s="32">
        <f>T2167/N2167</f>
        <v/>
      </c>
      <c r="Y2167" s="35">
        <f>IF(W2167=MAXIFS(W$2:W$3601, A$2:A$3601, A2167, B$2:B$3601, B2167), "OPTIMAL", "")</f>
        <v/>
      </c>
    </row>
    <row r="2168" ht="20" customHeight="1">
      <c r="A2168" s="21" t="n">
        <v>-18</v>
      </c>
      <c r="B2168" s="21" t="n">
        <v>30</v>
      </c>
      <c r="C2168" s="22" t="n">
        <v>80</v>
      </c>
      <c r="D2168" s="22" t="n">
        <v>2</v>
      </c>
      <c r="E2168" s="23" t="n">
        <v>4</v>
      </c>
      <c r="F2168" s="22" t="n">
        <v>1.5</v>
      </c>
      <c r="G2168" s="23" t="inlineStr">
        <is>
          <t>Non</t>
        </is>
      </c>
      <c r="H2168" s="23" t="inlineStr">
        <is>
          <t>ON</t>
        </is>
      </c>
      <c r="I2168" s="24" t="n">
        <v>674.4931640486259</v>
      </c>
      <c r="J2168" s="24" t="n">
        <v>5144.556481985902</v>
      </c>
      <c r="K2168" s="24" t="n">
        <v>3782.407407407407</v>
      </c>
      <c r="L2168" s="24" t="n">
        <v>150</v>
      </c>
      <c r="M2168" s="24">
        <f>I2168+J2168+K2168+L2168</f>
        <v/>
      </c>
      <c r="N2168" s="24">
        <f>M2168*'Dashboard &amp; Optimisation'!$B$18/('Dashboard &amp; Optimisation'!$B$16/3.6)</f>
        <v/>
      </c>
      <c r="O2168" s="24" t="n">
        <v>867.9070508691606</v>
      </c>
      <c r="P2168" s="25" t="n">
        <v>0.07833759984793112</v>
      </c>
      <c r="Q2168" s="26" t="n">
        <v>8.434509224055622</v>
      </c>
      <c r="R2168" s="24" t="n">
        <v>5381.53190575918</v>
      </c>
      <c r="S2168" s="24">
        <f>R2168*IF(A2168=4, 2.0, 3.0)</f>
        <v/>
      </c>
      <c r="T2168" s="22">
        <f>'Dashboard &amp; Optimisation'!$B$18*U2168</f>
        <v/>
      </c>
      <c r="U2168" s="27">
        <f>MIN(1, S2168/M2168)</f>
        <v/>
      </c>
      <c r="V2168" s="27">
        <f>N2168/(N2168+O2168)</f>
        <v/>
      </c>
      <c r="W2168" s="27">
        <f>U2168*V2168</f>
        <v/>
      </c>
      <c r="X2168" s="25">
        <f>T2168/N2168</f>
        <v/>
      </c>
      <c r="Y2168" s="28">
        <f>IF(W2168=MAXIFS(W$2:W$3601, A$2:A$3601, A2168, B$2:B$3601, B2168), "OPTIMAL", "")</f>
        <v/>
      </c>
    </row>
    <row r="2169" ht="20" customHeight="1">
      <c r="A2169" s="29" t="n">
        <v>-18</v>
      </c>
      <c r="B2169" s="29" t="n">
        <v>30</v>
      </c>
      <c r="C2169" s="30" t="n">
        <v>80</v>
      </c>
      <c r="D2169" s="30" t="n">
        <v>2</v>
      </c>
      <c r="E2169" s="6" t="n">
        <v>4</v>
      </c>
      <c r="F2169" s="30" t="n">
        <v>1.5</v>
      </c>
      <c r="G2169" s="6" t="inlineStr">
        <is>
          <t>Non</t>
        </is>
      </c>
      <c r="H2169" s="6" t="inlineStr">
        <is>
          <t>OFF</t>
        </is>
      </c>
      <c r="I2169" s="31" t="n">
        <v>674.4931640486259</v>
      </c>
      <c r="J2169" s="31" t="n">
        <v>5144.556481985902</v>
      </c>
      <c r="K2169" s="31" t="n">
        <v>3782.407407407407</v>
      </c>
      <c r="L2169" s="31" t="n">
        <v>150</v>
      </c>
      <c r="M2169" s="31">
        <f>I2169+J2169+K2169+L2169</f>
        <v/>
      </c>
      <c r="N2169" s="31">
        <f>M2169*'Dashboard &amp; Optimisation'!$B$18/('Dashboard &amp; Optimisation'!$B$16/3.6)</f>
        <v/>
      </c>
      <c r="O2169" s="31" t="n">
        <v>867.9070508691606</v>
      </c>
      <c r="P2169" s="32" t="n">
        <v>0.3520705084227755</v>
      </c>
      <c r="Q2169" s="33" t="n">
        <v>8.434509224055622</v>
      </c>
      <c r="R2169" s="31" t="n">
        <v>1197.420070459287</v>
      </c>
      <c r="S2169" s="31">
        <f>R2169*IF(A2169=4, 2.0, 3.0)</f>
        <v/>
      </c>
      <c r="T2169" s="30">
        <f>'Dashboard &amp; Optimisation'!$B$18*U2169</f>
        <v/>
      </c>
      <c r="U2169" s="34">
        <f>MIN(1, S2169/M2169)</f>
        <v/>
      </c>
      <c r="V2169" s="34">
        <f>N2169/(N2169+O2169)</f>
        <v/>
      </c>
      <c r="W2169" s="34">
        <f>U2169*V2169</f>
        <v/>
      </c>
      <c r="X2169" s="32">
        <f>T2169/N2169</f>
        <v/>
      </c>
      <c r="Y2169" s="35">
        <f>IF(W2169=MAXIFS(W$2:W$3601, A$2:A$3601, A2169, B$2:B$3601, B2169), "OPTIMAL", "")</f>
        <v/>
      </c>
    </row>
    <row r="2170" ht="20" customHeight="1">
      <c r="A2170" s="21" t="n">
        <v>-18</v>
      </c>
      <c r="B2170" s="21" t="n">
        <v>30</v>
      </c>
      <c r="C2170" s="22" t="n">
        <v>80</v>
      </c>
      <c r="D2170" s="22" t="n">
        <v>2</v>
      </c>
      <c r="E2170" s="23" t="n">
        <v>4</v>
      </c>
      <c r="F2170" s="22" t="n">
        <v>2</v>
      </c>
      <c r="G2170" s="23" t="inlineStr">
        <is>
          <t>Oui</t>
        </is>
      </c>
      <c r="H2170" s="23" t="inlineStr">
        <is>
          <t>ON</t>
        </is>
      </c>
      <c r="I2170" s="24" t="n">
        <v>674.4931640486259</v>
      </c>
      <c r="J2170" s="24" t="n">
        <v>5144.556481985902</v>
      </c>
      <c r="K2170" s="24" t="n">
        <v>3782.407407407407</v>
      </c>
      <c r="L2170" s="24" t="n">
        <v>150</v>
      </c>
      <c r="M2170" s="24">
        <f>I2170+J2170+K2170+L2170</f>
        <v/>
      </c>
      <c r="N2170" s="24">
        <f>M2170*'Dashboard &amp; Optimisation'!$B$18/('Dashboard &amp; Optimisation'!$B$16/3.6)</f>
        <v/>
      </c>
      <c r="O2170" s="24" t="n">
        <v>985.0154297510539</v>
      </c>
      <c r="P2170" s="25" t="n">
        <v>0.08027381372050572</v>
      </c>
      <c r="Q2170" s="26" t="n">
        <v>11.17934563207416</v>
      </c>
      <c r="R2170" s="24" t="n">
        <v>5326.102301584345</v>
      </c>
      <c r="S2170" s="24">
        <f>R2170*IF(A2170=4, 2.0, 3.0)</f>
        <v/>
      </c>
      <c r="T2170" s="22">
        <f>'Dashboard &amp; Optimisation'!$B$18*U2170</f>
        <v/>
      </c>
      <c r="U2170" s="27">
        <f>MIN(1, S2170/M2170)</f>
        <v/>
      </c>
      <c r="V2170" s="27">
        <f>N2170/(N2170+O2170)</f>
        <v/>
      </c>
      <c r="W2170" s="27">
        <f>U2170*V2170</f>
        <v/>
      </c>
      <c r="X2170" s="25">
        <f>T2170/N2170</f>
        <v/>
      </c>
      <c r="Y2170" s="28">
        <f>IF(W2170=MAXIFS(W$2:W$3601, A$2:A$3601, A2170, B$2:B$3601, B2170), "OPTIMAL", "")</f>
        <v/>
      </c>
    </row>
    <row r="2171" ht="20" customHeight="1">
      <c r="A2171" s="29" t="n">
        <v>-18</v>
      </c>
      <c r="B2171" s="29" t="n">
        <v>30</v>
      </c>
      <c r="C2171" s="30" t="n">
        <v>80</v>
      </c>
      <c r="D2171" s="30" t="n">
        <v>2</v>
      </c>
      <c r="E2171" s="6" t="n">
        <v>4</v>
      </c>
      <c r="F2171" s="30" t="n">
        <v>2</v>
      </c>
      <c r="G2171" s="6" t="inlineStr">
        <is>
          <t>Oui</t>
        </is>
      </c>
      <c r="H2171" s="6" t="inlineStr">
        <is>
          <t>OFF</t>
        </is>
      </c>
      <c r="I2171" s="31" t="n">
        <v>674.4931640486259</v>
      </c>
      <c r="J2171" s="31" t="n">
        <v>5144.556481985902</v>
      </c>
      <c r="K2171" s="31" t="n">
        <v>3782.407407407407</v>
      </c>
      <c r="L2171" s="31" t="n">
        <v>150</v>
      </c>
      <c r="M2171" s="31">
        <f>I2171+J2171+K2171+L2171</f>
        <v/>
      </c>
      <c r="N2171" s="31">
        <f>M2171*'Dashboard &amp; Optimisation'!$B$18/('Dashboard &amp; Optimisation'!$B$16/3.6)</f>
        <v/>
      </c>
      <c r="O2171" s="31" t="n">
        <v>985.0154297510539</v>
      </c>
      <c r="P2171" s="32" t="n">
        <v>0.355510990994127</v>
      </c>
      <c r="Q2171" s="33" t="n">
        <v>11.17934563207416</v>
      </c>
      <c r="R2171" s="31" t="n">
        <v>1202.62538949408</v>
      </c>
      <c r="S2171" s="31">
        <f>R2171*IF(A2171=4, 2.0, 3.0)</f>
        <v/>
      </c>
      <c r="T2171" s="30">
        <f>'Dashboard &amp; Optimisation'!$B$18*U2171</f>
        <v/>
      </c>
      <c r="U2171" s="34">
        <f>MIN(1, S2171/M2171)</f>
        <v/>
      </c>
      <c r="V2171" s="34">
        <f>N2171/(N2171+O2171)</f>
        <v/>
      </c>
      <c r="W2171" s="34">
        <f>U2171*V2171</f>
        <v/>
      </c>
      <c r="X2171" s="32">
        <f>T2171/N2171</f>
        <v/>
      </c>
      <c r="Y2171" s="35">
        <f>IF(W2171=MAXIFS(W$2:W$3601, A$2:A$3601, A2171, B$2:B$3601, B2171), "OPTIMAL", "")</f>
        <v/>
      </c>
    </row>
    <row r="2172" ht="20" customHeight="1">
      <c r="A2172" s="21" t="n">
        <v>-18</v>
      </c>
      <c r="B2172" s="21" t="n">
        <v>30</v>
      </c>
      <c r="C2172" s="22" t="n">
        <v>80</v>
      </c>
      <c r="D2172" s="22" t="n">
        <v>2</v>
      </c>
      <c r="E2172" s="23" t="n">
        <v>4</v>
      </c>
      <c r="F2172" s="22" t="n">
        <v>2</v>
      </c>
      <c r="G2172" s="23" t="inlineStr">
        <is>
          <t>Non</t>
        </is>
      </c>
      <c r="H2172" s="23" t="inlineStr">
        <is>
          <t>ON</t>
        </is>
      </c>
      <c r="I2172" s="24" t="n">
        <v>674.4931640486259</v>
      </c>
      <c r="J2172" s="24" t="n">
        <v>5144.556481985902</v>
      </c>
      <c r="K2172" s="24" t="n">
        <v>3782.407407407407</v>
      </c>
      <c r="L2172" s="24" t="n">
        <v>150</v>
      </c>
      <c r="M2172" s="24">
        <f>I2172+J2172+K2172+L2172</f>
        <v/>
      </c>
      <c r="N2172" s="24">
        <f>M2172*'Dashboard &amp; Optimisation'!$B$18/('Dashboard &amp; Optimisation'!$B$16/3.6)</f>
        <v/>
      </c>
      <c r="O2172" s="24" t="n">
        <v>985.0154297510539</v>
      </c>
      <c r="P2172" s="25" t="n">
        <v>0.07629494014320834</v>
      </c>
      <c r="Q2172" s="26" t="n">
        <v>11.17934563207416</v>
      </c>
      <c r="R2172" s="24" t="n">
        <v>5603.864990407204</v>
      </c>
      <c r="S2172" s="24">
        <f>R2172*IF(A2172=4, 2.0, 3.0)</f>
        <v/>
      </c>
      <c r="T2172" s="22">
        <f>'Dashboard &amp; Optimisation'!$B$18*U2172</f>
        <v/>
      </c>
      <c r="U2172" s="27">
        <f>MIN(1, S2172/M2172)</f>
        <v/>
      </c>
      <c r="V2172" s="27">
        <f>N2172/(N2172+O2172)</f>
        <v/>
      </c>
      <c r="W2172" s="27">
        <f>U2172*V2172</f>
        <v/>
      </c>
      <c r="X2172" s="25">
        <f>T2172/N2172</f>
        <v/>
      </c>
      <c r="Y2172" s="28">
        <f>IF(W2172=MAXIFS(W$2:W$3601, A$2:A$3601, A2172, B$2:B$3601, B2172), "OPTIMAL", "")</f>
        <v/>
      </c>
    </row>
    <row r="2173" ht="20" customHeight="1">
      <c r="A2173" s="29" t="n">
        <v>-18</v>
      </c>
      <c r="B2173" s="29" t="n">
        <v>30</v>
      </c>
      <c r="C2173" s="30" t="n">
        <v>80</v>
      </c>
      <c r="D2173" s="30" t="n">
        <v>2</v>
      </c>
      <c r="E2173" s="6" t="n">
        <v>4</v>
      </c>
      <c r="F2173" s="30" t="n">
        <v>2</v>
      </c>
      <c r="G2173" s="6" t="inlineStr">
        <is>
          <t>Non</t>
        </is>
      </c>
      <c r="H2173" s="6" t="inlineStr">
        <is>
          <t>OFF</t>
        </is>
      </c>
      <c r="I2173" s="31" t="n">
        <v>674.4931640486259</v>
      </c>
      <c r="J2173" s="31" t="n">
        <v>5144.556481985902</v>
      </c>
      <c r="K2173" s="31" t="n">
        <v>3782.407407407407</v>
      </c>
      <c r="L2173" s="31" t="n">
        <v>150</v>
      </c>
      <c r="M2173" s="31">
        <f>I2173+J2173+K2173+L2173</f>
        <v/>
      </c>
      <c r="N2173" s="31">
        <f>M2173*'Dashboard &amp; Optimisation'!$B$18/('Dashboard &amp; Optimisation'!$B$16/3.6)</f>
        <v/>
      </c>
      <c r="O2173" s="31" t="n">
        <v>985.0154297510539</v>
      </c>
      <c r="P2173" s="32" t="n">
        <v>0.3515321174168297</v>
      </c>
      <c r="Q2173" s="33" t="n">
        <v>11.17934563207416</v>
      </c>
      <c r="R2173" s="31" t="n">
        <v>1216.237501015518</v>
      </c>
      <c r="S2173" s="31">
        <f>R2173*IF(A2173=4, 2.0, 3.0)</f>
        <v/>
      </c>
      <c r="T2173" s="30">
        <f>'Dashboard &amp; Optimisation'!$B$18*U2173</f>
        <v/>
      </c>
      <c r="U2173" s="34">
        <f>MIN(1, S2173/M2173)</f>
        <v/>
      </c>
      <c r="V2173" s="34">
        <f>N2173/(N2173+O2173)</f>
        <v/>
      </c>
      <c r="W2173" s="34">
        <f>U2173*V2173</f>
        <v/>
      </c>
      <c r="X2173" s="32">
        <f>T2173/N2173</f>
        <v/>
      </c>
      <c r="Y2173" s="35">
        <f>IF(W2173=MAXIFS(W$2:W$3601, A$2:A$3601, A2173, B$2:B$3601, B2173), "OPTIMAL", "")</f>
        <v/>
      </c>
    </row>
    <row r="2174" ht="20" customHeight="1">
      <c r="A2174" s="21" t="n">
        <v>-18</v>
      </c>
      <c r="B2174" s="21" t="n">
        <v>30</v>
      </c>
      <c r="C2174" s="22" t="n">
        <v>80</v>
      </c>
      <c r="D2174" s="22" t="n">
        <v>2</v>
      </c>
      <c r="E2174" s="23" t="n">
        <v>8</v>
      </c>
      <c r="F2174" s="22" t="n">
        <v>1.5</v>
      </c>
      <c r="G2174" s="23" t="inlineStr">
        <is>
          <t>Oui</t>
        </is>
      </c>
      <c r="H2174" s="23" t="inlineStr">
        <is>
          <t>ON</t>
        </is>
      </c>
      <c r="I2174" s="24" t="n">
        <v>674.4931640486259</v>
      </c>
      <c r="J2174" s="24" t="n">
        <v>5144.556481985902</v>
      </c>
      <c r="K2174" s="24" t="n">
        <v>3782.407407407407</v>
      </c>
      <c r="L2174" s="24" t="n">
        <v>150</v>
      </c>
      <c r="M2174" s="24">
        <f>I2174+J2174+K2174+L2174</f>
        <v/>
      </c>
      <c r="N2174" s="24">
        <f>M2174*'Dashboard &amp; Optimisation'!$B$18/('Dashboard &amp; Optimisation'!$B$16/3.6)</f>
        <v/>
      </c>
      <c r="O2174" s="24" t="n">
        <v>1229.472988238874</v>
      </c>
      <c r="P2174" s="25" t="n">
        <v>0.06145178783543291</v>
      </c>
      <c r="Q2174" s="26" t="n">
        <v>16.66901844811125</v>
      </c>
      <c r="R2174" s="24" t="n">
        <v>7160.233140733417</v>
      </c>
      <c r="S2174" s="24">
        <f>R2174*IF(A2174=4, 2.0, 3.0)</f>
        <v/>
      </c>
      <c r="T2174" s="22">
        <f>'Dashboard &amp; Optimisation'!$B$18*U2174</f>
        <v/>
      </c>
      <c r="U2174" s="27">
        <f>MIN(1, S2174/M2174)</f>
        <v/>
      </c>
      <c r="V2174" s="27">
        <f>N2174/(N2174+O2174)</f>
        <v/>
      </c>
      <c r="W2174" s="27">
        <f>U2174*V2174</f>
        <v/>
      </c>
      <c r="X2174" s="25">
        <f>T2174/N2174</f>
        <v/>
      </c>
      <c r="Y2174" s="28">
        <f>IF(W2174=MAXIFS(W$2:W$3601, A$2:A$3601, A2174, B$2:B$3601, B2174), "OPTIMAL", "")</f>
        <v/>
      </c>
    </row>
    <row r="2175" ht="20" customHeight="1">
      <c r="A2175" s="29" t="n">
        <v>-18</v>
      </c>
      <c r="B2175" s="29" t="n">
        <v>30</v>
      </c>
      <c r="C2175" s="30" t="n">
        <v>80</v>
      </c>
      <c r="D2175" s="30" t="n">
        <v>2</v>
      </c>
      <c r="E2175" s="6" t="n">
        <v>8</v>
      </c>
      <c r="F2175" s="30" t="n">
        <v>1.5</v>
      </c>
      <c r="G2175" s="6" t="inlineStr">
        <is>
          <t>Oui</t>
        </is>
      </c>
      <c r="H2175" s="6" t="inlineStr">
        <is>
          <t>OFF</t>
        </is>
      </c>
      <c r="I2175" s="31" t="n">
        <v>674.4931640486259</v>
      </c>
      <c r="J2175" s="31" t="n">
        <v>5144.556481985902</v>
      </c>
      <c r="K2175" s="31" t="n">
        <v>3782.407407407407</v>
      </c>
      <c r="L2175" s="31" t="n">
        <v>150</v>
      </c>
      <c r="M2175" s="31">
        <f>I2175+J2175+K2175+L2175</f>
        <v/>
      </c>
      <c r="N2175" s="31">
        <f>M2175*'Dashboard &amp; Optimisation'!$B$18/('Dashboard &amp; Optimisation'!$B$16/3.6)</f>
        <v/>
      </c>
      <c r="O2175" s="31" t="n">
        <v>1229.472988238874</v>
      </c>
      <c r="P2175" s="32" t="n">
        <v>0.2700829218988253</v>
      </c>
      <c r="Q2175" s="33" t="n">
        <v>16.66901844811125</v>
      </c>
      <c r="R2175" s="31" t="n">
        <v>1629.16309081333</v>
      </c>
      <c r="S2175" s="31">
        <f>R2175*IF(A2175=4, 2.0, 3.0)</f>
        <v/>
      </c>
      <c r="T2175" s="30">
        <f>'Dashboard &amp; Optimisation'!$B$18*U2175</f>
        <v/>
      </c>
      <c r="U2175" s="34">
        <f>MIN(1, S2175/M2175)</f>
        <v/>
      </c>
      <c r="V2175" s="34">
        <f>N2175/(N2175+O2175)</f>
        <v/>
      </c>
      <c r="W2175" s="34">
        <f>U2175*V2175</f>
        <v/>
      </c>
      <c r="X2175" s="32">
        <f>T2175/N2175</f>
        <v/>
      </c>
      <c r="Y2175" s="35">
        <f>IF(W2175=MAXIFS(W$2:W$3601, A$2:A$3601, A2175, B$2:B$3601, B2175), "OPTIMAL", "")</f>
        <v/>
      </c>
    </row>
    <row r="2176" ht="20" customHeight="1">
      <c r="A2176" s="21" t="n">
        <v>-18</v>
      </c>
      <c r="B2176" s="21" t="n">
        <v>30</v>
      </c>
      <c r="C2176" s="22" t="n">
        <v>80</v>
      </c>
      <c r="D2176" s="22" t="n">
        <v>2</v>
      </c>
      <c r="E2176" s="23" t="n">
        <v>8</v>
      </c>
      <c r="F2176" s="22" t="n">
        <v>1.5</v>
      </c>
      <c r="G2176" s="23" t="inlineStr">
        <is>
          <t>Non</t>
        </is>
      </c>
      <c r="H2176" s="23" t="inlineStr">
        <is>
          <t>ON</t>
        </is>
      </c>
      <c r="I2176" s="24" t="n">
        <v>674.4931640486259</v>
      </c>
      <c r="J2176" s="24" t="n">
        <v>5144.556481985902</v>
      </c>
      <c r="K2176" s="24" t="n">
        <v>3782.407407407407</v>
      </c>
      <c r="L2176" s="24" t="n">
        <v>150</v>
      </c>
      <c r="M2176" s="24">
        <f>I2176+J2176+K2176+L2176</f>
        <v/>
      </c>
      <c r="N2176" s="24">
        <f>M2176*'Dashboard &amp; Optimisation'!$B$18/('Dashboard &amp; Optimisation'!$B$16/3.6)</f>
        <v/>
      </c>
      <c r="O2176" s="24" t="n">
        <v>1229.472988238874</v>
      </c>
      <c r="P2176" s="25" t="n">
        <v>0.05747291425813553</v>
      </c>
      <c r="Q2176" s="26" t="n">
        <v>16.66901844811125</v>
      </c>
      <c r="R2176" s="24" t="n">
        <v>7655.939036609759</v>
      </c>
      <c r="S2176" s="24">
        <f>R2176*IF(A2176=4, 2.0, 3.0)</f>
        <v/>
      </c>
      <c r="T2176" s="22">
        <f>'Dashboard &amp; Optimisation'!$B$18*U2176</f>
        <v/>
      </c>
      <c r="U2176" s="27">
        <f>MIN(1, S2176/M2176)</f>
        <v/>
      </c>
      <c r="V2176" s="27">
        <f>N2176/(N2176+O2176)</f>
        <v/>
      </c>
      <c r="W2176" s="27">
        <f>U2176*V2176</f>
        <v/>
      </c>
      <c r="X2176" s="25">
        <f>T2176/N2176</f>
        <v/>
      </c>
      <c r="Y2176" s="28">
        <f>IF(W2176=MAXIFS(W$2:W$3601, A$2:A$3601, A2176, B$2:B$3601, B2176), "OPTIMAL", "")</f>
        <v/>
      </c>
    </row>
    <row r="2177" ht="20" customHeight="1">
      <c r="A2177" s="29" t="n">
        <v>-18</v>
      </c>
      <c r="B2177" s="29" t="n">
        <v>30</v>
      </c>
      <c r="C2177" s="30" t="n">
        <v>80</v>
      </c>
      <c r="D2177" s="30" t="n">
        <v>2</v>
      </c>
      <c r="E2177" s="6" t="n">
        <v>8</v>
      </c>
      <c r="F2177" s="30" t="n">
        <v>1.5</v>
      </c>
      <c r="G2177" s="6" t="inlineStr">
        <is>
          <t>Non</t>
        </is>
      </c>
      <c r="H2177" s="6" t="inlineStr">
        <is>
          <t>OFF</t>
        </is>
      </c>
      <c r="I2177" s="31" t="n">
        <v>674.4931640486259</v>
      </c>
      <c r="J2177" s="31" t="n">
        <v>5144.556481985902</v>
      </c>
      <c r="K2177" s="31" t="n">
        <v>3782.407407407407</v>
      </c>
      <c r="L2177" s="31" t="n">
        <v>150</v>
      </c>
      <c r="M2177" s="31">
        <f>I2177+J2177+K2177+L2177</f>
        <v/>
      </c>
      <c r="N2177" s="31">
        <f>M2177*'Dashboard &amp; Optimisation'!$B$18/('Dashboard &amp; Optimisation'!$B$16/3.6)</f>
        <v/>
      </c>
      <c r="O2177" s="31" t="n">
        <v>1229.472988238874</v>
      </c>
      <c r="P2177" s="32" t="n">
        <v>0.2661040483215279</v>
      </c>
      <c r="Q2177" s="33" t="n">
        <v>16.66901844811125</v>
      </c>
      <c r="R2177" s="31" t="n">
        <v>1653.52286292515</v>
      </c>
      <c r="S2177" s="31">
        <f>R2177*IF(A2177=4, 2.0, 3.0)</f>
        <v/>
      </c>
      <c r="T2177" s="30">
        <f>'Dashboard &amp; Optimisation'!$B$18*U2177</f>
        <v/>
      </c>
      <c r="U2177" s="34">
        <f>MIN(1, S2177/M2177)</f>
        <v/>
      </c>
      <c r="V2177" s="34">
        <f>N2177/(N2177+O2177)</f>
        <v/>
      </c>
      <c r="W2177" s="34">
        <f>U2177*V2177</f>
        <v/>
      </c>
      <c r="X2177" s="32">
        <f>T2177/N2177</f>
        <v/>
      </c>
      <c r="Y2177" s="35">
        <f>IF(W2177=MAXIFS(W$2:W$3601, A$2:A$3601, A2177, B$2:B$3601, B2177), "OPTIMAL", "")</f>
        <v/>
      </c>
    </row>
    <row r="2178" ht="20" customHeight="1">
      <c r="A2178" s="21" t="n">
        <v>-18</v>
      </c>
      <c r="B2178" s="21" t="n">
        <v>30</v>
      </c>
      <c r="C2178" s="22" t="n">
        <v>80</v>
      </c>
      <c r="D2178" s="22" t="n">
        <v>2</v>
      </c>
      <c r="E2178" s="23" t="n">
        <v>8</v>
      </c>
      <c r="F2178" s="22" t="n">
        <v>2</v>
      </c>
      <c r="G2178" s="23" t="inlineStr">
        <is>
          <t>Oui</t>
        </is>
      </c>
      <c r="H2178" s="23" t="inlineStr">
        <is>
          <t>ON</t>
        </is>
      </c>
      <c r="I2178" s="24" t="n">
        <v>674.4931640486259</v>
      </c>
      <c r="J2178" s="24" t="n">
        <v>5144.556481985902</v>
      </c>
      <c r="K2178" s="24" t="n">
        <v>3782.407407407407</v>
      </c>
      <c r="L2178" s="24" t="n">
        <v>150</v>
      </c>
      <c r="M2178" s="24">
        <f>I2178+J2178+K2178+L2178</f>
        <v/>
      </c>
      <c r="N2178" s="24">
        <f>M2178*'Dashboard &amp; Optimisation'!$B$18/('Dashboard &amp; Optimisation'!$B$16/3.6)</f>
        <v/>
      </c>
      <c r="O2178" s="24" t="n">
        <v>1488.609855497602</v>
      </c>
      <c r="P2178" s="25" t="n">
        <v>0.06058998977604487</v>
      </c>
      <c r="Q2178" s="26" t="n">
        <v>22.15869126414833</v>
      </c>
      <c r="R2178" s="24" t="n">
        <v>7480.114664331819</v>
      </c>
      <c r="S2178" s="24">
        <f>R2178*IF(A2178=4, 2.0, 3.0)</f>
        <v/>
      </c>
      <c r="T2178" s="22">
        <f>'Dashboard &amp; Optimisation'!$B$18*U2178</f>
        <v/>
      </c>
      <c r="U2178" s="27">
        <f>MIN(1, S2178/M2178)</f>
        <v/>
      </c>
      <c r="V2178" s="27">
        <f>N2178/(N2178+O2178)</f>
        <v/>
      </c>
      <c r="W2178" s="27">
        <f>U2178*V2178</f>
        <v/>
      </c>
      <c r="X2178" s="25">
        <f>T2178/N2178</f>
        <v/>
      </c>
      <c r="Y2178" s="28">
        <f>IF(W2178=MAXIFS(W$2:W$3601, A$2:A$3601, A2178, B$2:B$3601, B2178), "OPTIMAL", "")</f>
        <v/>
      </c>
    </row>
    <row r="2179" ht="20" customHeight="1">
      <c r="A2179" s="29" t="n">
        <v>-18</v>
      </c>
      <c r="B2179" s="29" t="n">
        <v>30</v>
      </c>
      <c r="C2179" s="30" t="n">
        <v>80</v>
      </c>
      <c r="D2179" s="30" t="n">
        <v>2</v>
      </c>
      <c r="E2179" s="6" t="n">
        <v>8</v>
      </c>
      <c r="F2179" s="30" t="n">
        <v>2</v>
      </c>
      <c r="G2179" s="6" t="inlineStr">
        <is>
          <t>Oui</t>
        </is>
      </c>
      <c r="H2179" s="6" t="inlineStr">
        <is>
          <t>OFF</t>
        </is>
      </c>
      <c r="I2179" s="31" t="n">
        <v>674.4931640486259</v>
      </c>
      <c r="J2179" s="31" t="n">
        <v>5144.556481985902</v>
      </c>
      <c r="K2179" s="31" t="n">
        <v>3782.407407407407</v>
      </c>
      <c r="L2179" s="31" t="n">
        <v>150</v>
      </c>
      <c r="M2179" s="31">
        <f>I2179+J2179+K2179+L2179</f>
        <v/>
      </c>
      <c r="N2179" s="31">
        <f>M2179*'Dashboard &amp; Optimisation'!$B$18/('Dashboard &amp; Optimisation'!$B$16/3.6)</f>
        <v/>
      </c>
      <c r="O2179" s="31" t="n">
        <v>1488.609855497602</v>
      </c>
      <c r="P2179" s="32" t="n">
        <v>0.2709744149858122</v>
      </c>
      <c r="Q2179" s="33" t="n">
        <v>22.15869126414833</v>
      </c>
      <c r="R2179" s="31" t="n">
        <v>1672.556691594807</v>
      </c>
      <c r="S2179" s="31">
        <f>R2179*IF(A2179=4, 2.0, 3.0)</f>
        <v/>
      </c>
      <c r="T2179" s="30">
        <f>'Dashboard &amp; Optimisation'!$B$18*U2179</f>
        <v/>
      </c>
      <c r="U2179" s="34">
        <f>MIN(1, S2179/M2179)</f>
        <v/>
      </c>
      <c r="V2179" s="34">
        <f>N2179/(N2179+O2179)</f>
        <v/>
      </c>
      <c r="W2179" s="34">
        <f>U2179*V2179</f>
        <v/>
      </c>
      <c r="X2179" s="32">
        <f>T2179/N2179</f>
        <v/>
      </c>
      <c r="Y2179" s="35">
        <f>IF(W2179=MAXIFS(W$2:W$3601, A$2:A$3601, A2179, B$2:B$3601, B2179), "OPTIMAL", "")</f>
        <v/>
      </c>
    </row>
    <row r="2180" ht="20" customHeight="1">
      <c r="A2180" s="21" t="n">
        <v>-18</v>
      </c>
      <c r="B2180" s="21" t="n">
        <v>30</v>
      </c>
      <c r="C2180" s="22" t="n">
        <v>80</v>
      </c>
      <c r="D2180" s="22" t="n">
        <v>2</v>
      </c>
      <c r="E2180" s="23" t="n">
        <v>8</v>
      </c>
      <c r="F2180" s="22" t="n">
        <v>2</v>
      </c>
      <c r="G2180" s="23" t="inlineStr">
        <is>
          <t>Non</t>
        </is>
      </c>
      <c r="H2180" s="23" t="inlineStr">
        <is>
          <t>ON</t>
        </is>
      </c>
      <c r="I2180" s="24" t="n">
        <v>674.4931640486259</v>
      </c>
      <c r="J2180" s="24" t="n">
        <v>5144.556481985902</v>
      </c>
      <c r="K2180" s="24" t="n">
        <v>3782.407407407407</v>
      </c>
      <c r="L2180" s="24" t="n">
        <v>150</v>
      </c>
      <c r="M2180" s="24">
        <f>I2180+J2180+K2180+L2180</f>
        <v/>
      </c>
      <c r="N2180" s="24">
        <f>M2180*'Dashboard &amp; Optimisation'!$B$18/('Dashboard &amp; Optimisation'!$B$16/3.6)</f>
        <v/>
      </c>
      <c r="O2180" s="24" t="n">
        <v>1488.609855497602</v>
      </c>
      <c r="P2180" s="25" t="n">
        <v>0.05661111619874749</v>
      </c>
      <c r="Q2180" s="26" t="n">
        <v>22.15869126414833</v>
      </c>
      <c r="R2180" s="24" t="n">
        <v>8005.849406755482</v>
      </c>
      <c r="S2180" s="24">
        <f>R2180*IF(A2180=4, 2.0, 3.0)</f>
        <v/>
      </c>
      <c r="T2180" s="22">
        <f>'Dashboard &amp; Optimisation'!$B$18*U2180</f>
        <v/>
      </c>
      <c r="U2180" s="27">
        <f>MIN(1, S2180/M2180)</f>
        <v/>
      </c>
      <c r="V2180" s="27">
        <f>N2180/(N2180+O2180)</f>
        <v/>
      </c>
      <c r="W2180" s="27">
        <f>U2180*V2180</f>
        <v/>
      </c>
      <c r="X2180" s="25">
        <f>T2180/N2180</f>
        <v/>
      </c>
      <c r="Y2180" s="28">
        <f>IF(W2180=MAXIFS(W$2:W$3601, A$2:A$3601, A2180, B$2:B$3601, B2180), "OPTIMAL", "")</f>
        <v/>
      </c>
    </row>
    <row r="2181" ht="20" customHeight="1">
      <c r="A2181" s="29" t="n">
        <v>-18</v>
      </c>
      <c r="B2181" s="29" t="n">
        <v>30</v>
      </c>
      <c r="C2181" s="30" t="n">
        <v>80</v>
      </c>
      <c r="D2181" s="30" t="n">
        <v>2</v>
      </c>
      <c r="E2181" s="6" t="n">
        <v>8</v>
      </c>
      <c r="F2181" s="30" t="n">
        <v>2</v>
      </c>
      <c r="G2181" s="6" t="inlineStr">
        <is>
          <t>Non</t>
        </is>
      </c>
      <c r="H2181" s="6" t="inlineStr">
        <is>
          <t>OFF</t>
        </is>
      </c>
      <c r="I2181" s="31" t="n">
        <v>674.4931640486259</v>
      </c>
      <c r="J2181" s="31" t="n">
        <v>5144.556481985902</v>
      </c>
      <c r="K2181" s="31" t="n">
        <v>3782.407407407407</v>
      </c>
      <c r="L2181" s="31" t="n">
        <v>150</v>
      </c>
      <c r="M2181" s="31">
        <f>I2181+J2181+K2181+L2181</f>
        <v/>
      </c>
      <c r="N2181" s="31">
        <f>M2181*'Dashboard &amp; Optimisation'!$B$18/('Dashboard &amp; Optimisation'!$B$16/3.6)</f>
        <v/>
      </c>
      <c r="O2181" s="31" t="n">
        <v>1488.609855497602</v>
      </c>
      <c r="P2181" s="32" t="n">
        <v>0.2669955414085148</v>
      </c>
      <c r="Q2181" s="33" t="n">
        <v>22.15869126414833</v>
      </c>
      <c r="R2181" s="31" t="n">
        <v>1697.481795555761</v>
      </c>
      <c r="S2181" s="31">
        <f>R2181*IF(A2181=4, 2.0, 3.0)</f>
        <v/>
      </c>
      <c r="T2181" s="30">
        <f>'Dashboard &amp; Optimisation'!$B$18*U2181</f>
        <v/>
      </c>
      <c r="U2181" s="34">
        <f>MIN(1, S2181/M2181)</f>
        <v/>
      </c>
      <c r="V2181" s="34">
        <f>N2181/(N2181+O2181)</f>
        <v/>
      </c>
      <c r="W2181" s="34">
        <f>U2181*V2181</f>
        <v/>
      </c>
      <c r="X2181" s="32">
        <f>T2181/N2181</f>
        <v/>
      </c>
      <c r="Y2181" s="35">
        <f>IF(W2181=MAXIFS(W$2:W$3601, A$2:A$3601, A2181, B$2:B$3601, B2181), "OPTIMAL", "")</f>
        <v/>
      </c>
    </row>
    <row r="2182" ht="20" customHeight="1">
      <c r="A2182" s="21" t="n">
        <v>-18</v>
      </c>
      <c r="B2182" s="21" t="n">
        <v>30</v>
      </c>
      <c r="C2182" s="22" t="n">
        <v>80</v>
      </c>
      <c r="D2182" s="22" t="n">
        <v>3</v>
      </c>
      <c r="E2182" s="23" t="n">
        <v>0</v>
      </c>
      <c r="F2182" s="22" t="n">
        <v>0</v>
      </c>
      <c r="G2182" s="23" t="inlineStr">
        <is>
          <t>Oui</t>
        </is>
      </c>
      <c r="H2182" s="23" t="inlineStr">
        <is>
          <t>ON</t>
        </is>
      </c>
      <c r="I2182" s="24" t="n">
        <v>674.4931640486259</v>
      </c>
      <c r="J2182" s="24" t="n">
        <v>5144.556481985902</v>
      </c>
      <c r="K2182" s="24" t="n">
        <v>3782.407407407407</v>
      </c>
      <c r="L2182" s="24" t="n">
        <v>150</v>
      </c>
      <c r="M2182" s="24">
        <f>I2182+J2182+K2182+L2182</f>
        <v/>
      </c>
      <c r="N2182" s="24">
        <f>M2182*'Dashboard &amp; Optimisation'!$B$18/('Dashboard &amp; Optimisation'!$B$16/3.6)</f>
        <v/>
      </c>
      <c r="O2182" s="24" t="n">
        <v>836.2629676252128</v>
      </c>
      <c r="P2182" s="25" t="n">
        <v>0.5013985973965238</v>
      </c>
      <c r="Q2182" s="26" t="n">
        <v>0.2</v>
      </c>
      <c r="R2182" s="24" t="n">
        <v>851.2049368447947</v>
      </c>
      <c r="S2182" s="24">
        <f>R2182*IF(A2182=4, 2.0, 3.0)</f>
        <v/>
      </c>
      <c r="T2182" s="22">
        <f>'Dashboard &amp; Optimisation'!$B$18*U2182</f>
        <v/>
      </c>
      <c r="U2182" s="27">
        <f>MIN(1, S2182/M2182)</f>
        <v/>
      </c>
      <c r="V2182" s="27">
        <f>N2182/(N2182+O2182)</f>
        <v/>
      </c>
      <c r="W2182" s="27">
        <f>U2182*V2182</f>
        <v/>
      </c>
      <c r="X2182" s="25">
        <f>T2182/N2182</f>
        <v/>
      </c>
      <c r="Y2182" s="28">
        <f>IF(W2182=MAXIFS(W$2:W$3601, A$2:A$3601, A2182, B$2:B$3601, B2182), "OPTIMAL", "")</f>
        <v/>
      </c>
    </row>
    <row r="2183" ht="20" customHeight="1">
      <c r="A2183" s="29" t="n">
        <v>-18</v>
      </c>
      <c r="B2183" s="29" t="n">
        <v>30</v>
      </c>
      <c r="C2183" s="30" t="n">
        <v>80</v>
      </c>
      <c r="D2183" s="30" t="n">
        <v>3</v>
      </c>
      <c r="E2183" s="6" t="n">
        <v>0</v>
      </c>
      <c r="F2183" s="30" t="n">
        <v>0</v>
      </c>
      <c r="G2183" s="6" t="inlineStr">
        <is>
          <t>Oui</t>
        </is>
      </c>
      <c r="H2183" s="6" t="inlineStr">
        <is>
          <t>OFF</t>
        </is>
      </c>
      <c r="I2183" s="31" t="n">
        <v>674.4931640486259</v>
      </c>
      <c r="J2183" s="31" t="n">
        <v>5144.556481985902</v>
      </c>
      <c r="K2183" s="31" t="n">
        <v>3782.407407407407</v>
      </c>
      <c r="L2183" s="31" t="n">
        <v>150</v>
      </c>
      <c r="M2183" s="31">
        <f>I2183+J2183+K2183+L2183</f>
        <v/>
      </c>
      <c r="N2183" s="31">
        <f>M2183*'Dashboard &amp; Optimisation'!$B$18/('Dashboard &amp; Optimisation'!$B$16/3.6)</f>
        <v/>
      </c>
      <c r="O2183" s="31" t="n">
        <v>836.2629676252128</v>
      </c>
      <c r="P2183" s="32" t="n">
        <v>0.8992859551262622</v>
      </c>
      <c r="Q2183" s="33" t="n">
        <v>0.2</v>
      </c>
      <c r="R2183" s="31" t="n">
        <v>474.5909340606279</v>
      </c>
      <c r="S2183" s="31">
        <f>R2183*IF(A2183=4, 2.0, 3.0)</f>
        <v/>
      </c>
      <c r="T2183" s="30">
        <f>'Dashboard &amp; Optimisation'!$B$18*U2183</f>
        <v/>
      </c>
      <c r="U2183" s="34">
        <f>MIN(1, S2183/M2183)</f>
        <v/>
      </c>
      <c r="V2183" s="34">
        <f>N2183/(N2183+O2183)</f>
        <v/>
      </c>
      <c r="W2183" s="34">
        <f>U2183*V2183</f>
        <v/>
      </c>
      <c r="X2183" s="32">
        <f>T2183/N2183</f>
        <v/>
      </c>
      <c r="Y2183" s="35">
        <f>IF(W2183=MAXIFS(W$2:W$3601, A$2:A$3601, A2183, B$2:B$3601, B2183), "OPTIMAL", "")</f>
        <v/>
      </c>
    </row>
    <row r="2184" ht="20" customHeight="1">
      <c r="A2184" s="21" t="n">
        <v>-18</v>
      </c>
      <c r="B2184" s="21" t="n">
        <v>30</v>
      </c>
      <c r="C2184" s="22" t="n">
        <v>80</v>
      </c>
      <c r="D2184" s="22" t="n">
        <v>3</v>
      </c>
      <c r="E2184" s="23" t="n">
        <v>0</v>
      </c>
      <c r="F2184" s="22" t="n">
        <v>0</v>
      </c>
      <c r="G2184" s="23" t="inlineStr">
        <is>
          <t>Non</t>
        </is>
      </c>
      <c r="H2184" s="23" t="inlineStr">
        <is>
          <t>ON</t>
        </is>
      </c>
      <c r="I2184" s="24" t="n">
        <v>674.4931640486259</v>
      </c>
      <c r="J2184" s="24" t="n">
        <v>5144.556481985902</v>
      </c>
      <c r="K2184" s="24" t="n">
        <v>3782.407407407407</v>
      </c>
      <c r="L2184" s="24" t="n">
        <v>150</v>
      </c>
      <c r="M2184" s="24">
        <f>I2184+J2184+K2184+L2184</f>
        <v/>
      </c>
      <c r="N2184" s="24">
        <f>M2184*'Dashboard &amp; Optimisation'!$B$18/('Dashboard &amp; Optimisation'!$B$16/3.6)</f>
        <v/>
      </c>
      <c r="O2184" s="24" t="n">
        <v>836.2629676252128</v>
      </c>
      <c r="P2184" s="25" t="n">
        <v>0.4974197238192265</v>
      </c>
      <c r="Q2184" s="26" t="n">
        <v>0.2</v>
      </c>
      <c r="R2184" s="24" t="n">
        <v>858.0137477340621</v>
      </c>
      <c r="S2184" s="24">
        <f>R2184*IF(A2184=4, 2.0, 3.0)</f>
        <v/>
      </c>
      <c r="T2184" s="22">
        <f>'Dashboard &amp; Optimisation'!$B$18*U2184</f>
        <v/>
      </c>
      <c r="U2184" s="27">
        <f>MIN(1, S2184/M2184)</f>
        <v/>
      </c>
      <c r="V2184" s="27">
        <f>N2184/(N2184+O2184)</f>
        <v/>
      </c>
      <c r="W2184" s="27">
        <f>U2184*V2184</f>
        <v/>
      </c>
      <c r="X2184" s="25">
        <f>T2184/N2184</f>
        <v/>
      </c>
      <c r="Y2184" s="28">
        <f>IF(W2184=MAXIFS(W$2:W$3601, A$2:A$3601, A2184, B$2:B$3601, B2184), "OPTIMAL", "")</f>
        <v/>
      </c>
    </row>
    <row r="2185" ht="20" customHeight="1">
      <c r="A2185" s="29" t="n">
        <v>-18</v>
      </c>
      <c r="B2185" s="29" t="n">
        <v>30</v>
      </c>
      <c r="C2185" s="30" t="n">
        <v>80</v>
      </c>
      <c r="D2185" s="30" t="n">
        <v>3</v>
      </c>
      <c r="E2185" s="6" t="n">
        <v>0</v>
      </c>
      <c r="F2185" s="30" t="n">
        <v>0</v>
      </c>
      <c r="G2185" s="6" t="inlineStr">
        <is>
          <t>Non</t>
        </is>
      </c>
      <c r="H2185" s="6" t="inlineStr">
        <is>
          <t>OFF</t>
        </is>
      </c>
      <c r="I2185" s="31" t="n">
        <v>674.4931640486259</v>
      </c>
      <c r="J2185" s="31" t="n">
        <v>5144.556481985902</v>
      </c>
      <c r="K2185" s="31" t="n">
        <v>3782.407407407407</v>
      </c>
      <c r="L2185" s="31" t="n">
        <v>150</v>
      </c>
      <c r="M2185" s="31">
        <f>I2185+J2185+K2185+L2185</f>
        <v/>
      </c>
      <c r="N2185" s="31">
        <f>M2185*'Dashboard &amp; Optimisation'!$B$18/('Dashboard &amp; Optimisation'!$B$16/3.6)</f>
        <v/>
      </c>
      <c r="O2185" s="31" t="n">
        <v>836.2629676252128</v>
      </c>
      <c r="P2185" s="32" t="n">
        <v>0.8953070815489648</v>
      </c>
      <c r="Q2185" s="33" t="n">
        <v>0.2</v>
      </c>
      <c r="R2185" s="31" t="n">
        <v>476.7000845035036</v>
      </c>
      <c r="S2185" s="31">
        <f>R2185*IF(A2185=4, 2.0, 3.0)</f>
        <v/>
      </c>
      <c r="T2185" s="30">
        <f>'Dashboard &amp; Optimisation'!$B$18*U2185</f>
        <v/>
      </c>
      <c r="U2185" s="34">
        <f>MIN(1, S2185/M2185)</f>
        <v/>
      </c>
      <c r="V2185" s="34">
        <f>N2185/(N2185+O2185)</f>
        <v/>
      </c>
      <c r="W2185" s="34">
        <f>U2185*V2185</f>
        <v/>
      </c>
      <c r="X2185" s="32">
        <f>T2185/N2185</f>
        <v/>
      </c>
      <c r="Y2185" s="35">
        <f>IF(W2185=MAXIFS(W$2:W$3601, A$2:A$3601, A2185, B$2:B$3601, B2185), "OPTIMAL", "")</f>
        <v/>
      </c>
    </row>
    <row r="2186" ht="20" customHeight="1">
      <c r="A2186" s="21" t="n">
        <v>-18</v>
      </c>
      <c r="B2186" s="21" t="n">
        <v>30</v>
      </c>
      <c r="C2186" s="22" t="n">
        <v>80</v>
      </c>
      <c r="D2186" s="22" t="n">
        <v>3</v>
      </c>
      <c r="E2186" s="23" t="n">
        <v>4</v>
      </c>
      <c r="F2186" s="22" t="n">
        <v>1.5</v>
      </c>
      <c r="G2186" s="23" t="inlineStr">
        <is>
          <t>Oui</t>
        </is>
      </c>
      <c r="H2186" s="23" t="inlineStr">
        <is>
          <t>ON</t>
        </is>
      </c>
      <c r="I2186" s="24" t="n">
        <v>674.4931640486259</v>
      </c>
      <c r="J2186" s="24" t="n">
        <v>5144.556481985902</v>
      </c>
      <c r="K2186" s="24" t="n">
        <v>3782.407407407407</v>
      </c>
      <c r="L2186" s="24" t="n">
        <v>150</v>
      </c>
      <c r="M2186" s="24">
        <f>I2186+J2186+K2186+L2186</f>
        <v/>
      </c>
      <c r="N2186" s="24">
        <f>M2186*'Dashboard &amp; Optimisation'!$B$18/('Dashboard &amp; Optimisation'!$B$16/3.6)</f>
        <v/>
      </c>
      <c r="O2186" s="24" t="n">
        <v>1193.931949079086</v>
      </c>
      <c r="P2186" s="25" t="n">
        <v>0.08209463084427607</v>
      </c>
      <c r="Q2186" s="26" t="n">
        <v>8.657063527408475</v>
      </c>
      <c r="R2186" s="24" t="n">
        <v>5422.719802617027</v>
      </c>
      <c r="S2186" s="24">
        <f>R2186*IF(A2186=4, 2.0, 3.0)</f>
        <v/>
      </c>
      <c r="T2186" s="22">
        <f>'Dashboard &amp; Optimisation'!$B$18*U2186</f>
        <v/>
      </c>
      <c r="U2186" s="27">
        <f>MIN(1, S2186/M2186)</f>
        <v/>
      </c>
      <c r="V2186" s="27">
        <f>N2186/(N2186+O2186)</f>
        <v/>
      </c>
      <c r="W2186" s="27">
        <f>U2186*V2186</f>
        <v/>
      </c>
      <c r="X2186" s="25">
        <f>T2186/N2186</f>
        <v/>
      </c>
      <c r="Y2186" s="28">
        <f>IF(W2186=MAXIFS(W$2:W$3601, A$2:A$3601, A2186, B$2:B$3601, B2186), "OPTIMAL", "")</f>
        <v/>
      </c>
    </row>
    <row r="2187" ht="20" customHeight="1">
      <c r="A2187" s="29" t="n">
        <v>-18</v>
      </c>
      <c r="B2187" s="29" t="n">
        <v>30</v>
      </c>
      <c r="C2187" s="30" t="n">
        <v>80</v>
      </c>
      <c r="D2187" s="30" t="n">
        <v>3</v>
      </c>
      <c r="E2187" s="6" t="n">
        <v>4</v>
      </c>
      <c r="F2187" s="30" t="n">
        <v>1.5</v>
      </c>
      <c r="G2187" s="6" t="inlineStr">
        <is>
          <t>Oui</t>
        </is>
      </c>
      <c r="H2187" s="6" t="inlineStr">
        <is>
          <t>OFF</t>
        </is>
      </c>
      <c r="I2187" s="31" t="n">
        <v>674.4931640486259</v>
      </c>
      <c r="J2187" s="31" t="n">
        <v>5144.556481985902</v>
      </c>
      <c r="K2187" s="31" t="n">
        <v>3782.407407407407</v>
      </c>
      <c r="L2187" s="31" t="n">
        <v>150</v>
      </c>
      <c r="M2187" s="31">
        <f>I2187+J2187+K2187+L2187</f>
        <v/>
      </c>
      <c r="N2187" s="31">
        <f>M2187*'Dashboard &amp; Optimisation'!$B$18/('Dashboard &amp; Optimisation'!$B$16/3.6)</f>
        <v/>
      </c>
      <c r="O2187" s="31" t="n">
        <v>1193.931949079086</v>
      </c>
      <c r="P2187" s="32" t="n">
        <v>0.3558275394191204</v>
      </c>
      <c r="Q2187" s="33" t="n">
        <v>8.657063527408475</v>
      </c>
      <c r="R2187" s="31" t="n">
        <v>1251.100971820589</v>
      </c>
      <c r="S2187" s="31">
        <f>R2187*IF(A2187=4, 2.0, 3.0)</f>
        <v/>
      </c>
      <c r="T2187" s="30">
        <f>'Dashboard &amp; Optimisation'!$B$18*U2187</f>
        <v/>
      </c>
      <c r="U2187" s="34">
        <f>MIN(1, S2187/M2187)</f>
        <v/>
      </c>
      <c r="V2187" s="34">
        <f>N2187/(N2187+O2187)</f>
        <v/>
      </c>
      <c r="W2187" s="34">
        <f>U2187*V2187</f>
        <v/>
      </c>
      <c r="X2187" s="32">
        <f>T2187/N2187</f>
        <v/>
      </c>
      <c r="Y2187" s="35">
        <f>IF(W2187=MAXIFS(W$2:W$3601, A$2:A$3601, A2187, B$2:B$3601, B2187), "OPTIMAL", "")</f>
        <v/>
      </c>
    </row>
    <row r="2188" ht="20" customHeight="1">
      <c r="A2188" s="21" t="n">
        <v>-18</v>
      </c>
      <c r="B2188" s="21" t="n">
        <v>30</v>
      </c>
      <c r="C2188" s="22" t="n">
        <v>80</v>
      </c>
      <c r="D2188" s="22" t="n">
        <v>3</v>
      </c>
      <c r="E2188" s="23" t="n">
        <v>4</v>
      </c>
      <c r="F2188" s="22" t="n">
        <v>1.5</v>
      </c>
      <c r="G2188" s="23" t="inlineStr">
        <is>
          <t>Non</t>
        </is>
      </c>
      <c r="H2188" s="23" t="inlineStr">
        <is>
          <t>ON</t>
        </is>
      </c>
      <c r="I2188" s="24" t="n">
        <v>674.4931640486259</v>
      </c>
      <c r="J2188" s="24" t="n">
        <v>5144.556481985902</v>
      </c>
      <c r="K2188" s="24" t="n">
        <v>3782.407407407407</v>
      </c>
      <c r="L2188" s="24" t="n">
        <v>150</v>
      </c>
      <c r="M2188" s="24">
        <f>I2188+J2188+K2188+L2188</f>
        <v/>
      </c>
      <c r="N2188" s="24">
        <f>M2188*'Dashboard &amp; Optimisation'!$B$18/('Dashboard &amp; Optimisation'!$B$16/3.6)</f>
        <v/>
      </c>
      <c r="O2188" s="24" t="n">
        <v>1193.931949079086</v>
      </c>
      <c r="P2188" s="25" t="n">
        <v>0.07811575726697868</v>
      </c>
      <c r="Q2188" s="26" t="n">
        <v>8.657063527408475</v>
      </c>
      <c r="R2188" s="24" t="n">
        <v>5698.929331841434</v>
      </c>
      <c r="S2188" s="24">
        <f>R2188*IF(A2188=4, 2.0, 3.0)</f>
        <v/>
      </c>
      <c r="T2188" s="22">
        <f>'Dashboard &amp; Optimisation'!$B$18*U2188</f>
        <v/>
      </c>
      <c r="U2188" s="27">
        <f>MIN(1, S2188/M2188)</f>
        <v/>
      </c>
      <c r="V2188" s="27">
        <f>N2188/(N2188+O2188)</f>
        <v/>
      </c>
      <c r="W2188" s="27">
        <f>U2188*V2188</f>
        <v/>
      </c>
      <c r="X2188" s="25">
        <f>T2188/N2188</f>
        <v/>
      </c>
      <c r="Y2188" s="28">
        <f>IF(W2188=MAXIFS(W$2:W$3601, A$2:A$3601, A2188, B$2:B$3601, B2188), "OPTIMAL", "")</f>
        <v/>
      </c>
    </row>
    <row r="2189" ht="20" customHeight="1">
      <c r="A2189" s="29" t="n">
        <v>-18</v>
      </c>
      <c r="B2189" s="29" t="n">
        <v>30</v>
      </c>
      <c r="C2189" s="30" t="n">
        <v>80</v>
      </c>
      <c r="D2189" s="30" t="n">
        <v>3</v>
      </c>
      <c r="E2189" s="6" t="n">
        <v>4</v>
      </c>
      <c r="F2189" s="30" t="n">
        <v>1.5</v>
      </c>
      <c r="G2189" s="6" t="inlineStr">
        <is>
          <t>Non</t>
        </is>
      </c>
      <c r="H2189" s="6" t="inlineStr">
        <is>
          <t>OFF</t>
        </is>
      </c>
      <c r="I2189" s="31" t="n">
        <v>674.4931640486259</v>
      </c>
      <c r="J2189" s="31" t="n">
        <v>5144.556481985902</v>
      </c>
      <c r="K2189" s="31" t="n">
        <v>3782.407407407407</v>
      </c>
      <c r="L2189" s="31" t="n">
        <v>150</v>
      </c>
      <c r="M2189" s="31">
        <f>I2189+J2189+K2189+L2189</f>
        <v/>
      </c>
      <c r="N2189" s="31">
        <f>M2189*'Dashboard &amp; Optimisation'!$B$18/('Dashboard &amp; Optimisation'!$B$16/3.6)</f>
        <v/>
      </c>
      <c r="O2189" s="31" t="n">
        <v>1193.931949079086</v>
      </c>
      <c r="P2189" s="32" t="n">
        <v>0.3518486658418231</v>
      </c>
      <c r="Q2189" s="33" t="n">
        <v>8.657063527408475</v>
      </c>
      <c r="R2189" s="31" t="n">
        <v>1265.249022055191</v>
      </c>
      <c r="S2189" s="31">
        <f>R2189*IF(A2189=4, 2.0, 3.0)</f>
        <v/>
      </c>
      <c r="T2189" s="30">
        <f>'Dashboard &amp; Optimisation'!$B$18*U2189</f>
        <v/>
      </c>
      <c r="U2189" s="34">
        <f>MIN(1, S2189/M2189)</f>
        <v/>
      </c>
      <c r="V2189" s="34">
        <f>N2189/(N2189+O2189)</f>
        <v/>
      </c>
      <c r="W2189" s="34">
        <f>U2189*V2189</f>
        <v/>
      </c>
      <c r="X2189" s="32">
        <f>T2189/N2189</f>
        <v/>
      </c>
      <c r="Y2189" s="35">
        <f>IF(W2189=MAXIFS(W$2:W$3601, A$2:A$3601, A2189, B$2:B$3601, B2189), "OPTIMAL", "")</f>
        <v/>
      </c>
    </row>
    <row r="2190" ht="20" customHeight="1">
      <c r="A2190" s="21" t="n">
        <v>-18</v>
      </c>
      <c r="B2190" s="21" t="n">
        <v>30</v>
      </c>
      <c r="C2190" s="22" t="n">
        <v>80</v>
      </c>
      <c r="D2190" s="22" t="n">
        <v>3</v>
      </c>
      <c r="E2190" s="23" t="n">
        <v>4</v>
      </c>
      <c r="F2190" s="22" t="n">
        <v>2</v>
      </c>
      <c r="G2190" s="23" t="inlineStr">
        <is>
          <t>Oui</t>
        </is>
      </c>
      <c r="H2190" s="23" t="inlineStr">
        <is>
          <t>ON</t>
        </is>
      </c>
      <c r="I2190" s="24" t="n">
        <v>674.4931640486259</v>
      </c>
      <c r="J2190" s="24" t="n">
        <v>5144.556481985902</v>
      </c>
      <c r="K2190" s="24" t="n">
        <v>3782.407407407407</v>
      </c>
      <c r="L2190" s="24" t="n">
        <v>150</v>
      </c>
      <c r="M2190" s="24">
        <f>I2190+J2190+K2190+L2190</f>
        <v/>
      </c>
      <c r="N2190" s="24">
        <f>M2190*'Dashboard &amp; Optimisation'!$B$18/('Dashboard &amp; Optimisation'!$B$16/3.6)</f>
        <v/>
      </c>
      <c r="O2190" s="24" t="n">
        <v>1320.101725545586</v>
      </c>
      <c r="P2190" s="25" t="n">
        <v>0.08011046001180847</v>
      </c>
      <c r="Q2190" s="26" t="n">
        <v>11.4760847032113</v>
      </c>
      <c r="R2190" s="24" t="n">
        <v>5637.977435145767</v>
      </c>
      <c r="S2190" s="24">
        <f>R2190*IF(A2190=4, 2.0, 3.0)</f>
        <v/>
      </c>
      <c r="T2190" s="22">
        <f>'Dashboard &amp; Optimisation'!$B$18*U2190</f>
        <v/>
      </c>
      <c r="U2190" s="27">
        <f>MIN(1, S2190/M2190)</f>
        <v/>
      </c>
      <c r="V2190" s="27">
        <f>N2190/(N2190+O2190)</f>
        <v/>
      </c>
      <c r="W2190" s="27">
        <f>U2190*V2190</f>
        <v/>
      </c>
      <c r="X2190" s="25">
        <f>T2190/N2190</f>
        <v/>
      </c>
      <c r="Y2190" s="28">
        <f>IF(W2190=MAXIFS(W$2:W$3601, A$2:A$3601, A2190, B$2:B$3601, B2190), "OPTIMAL", "")</f>
        <v/>
      </c>
    </row>
    <row r="2191" ht="20" customHeight="1">
      <c r="A2191" s="29" t="n">
        <v>-18</v>
      </c>
      <c r="B2191" s="29" t="n">
        <v>30</v>
      </c>
      <c r="C2191" s="30" t="n">
        <v>80</v>
      </c>
      <c r="D2191" s="30" t="n">
        <v>3</v>
      </c>
      <c r="E2191" s="6" t="n">
        <v>4</v>
      </c>
      <c r="F2191" s="30" t="n">
        <v>2</v>
      </c>
      <c r="G2191" s="6" t="inlineStr">
        <is>
          <t>Oui</t>
        </is>
      </c>
      <c r="H2191" s="6" t="inlineStr">
        <is>
          <t>OFF</t>
        </is>
      </c>
      <c r="I2191" s="31" t="n">
        <v>674.4931640486259</v>
      </c>
      <c r="J2191" s="31" t="n">
        <v>5144.556481985902</v>
      </c>
      <c r="K2191" s="31" t="n">
        <v>3782.407407407407</v>
      </c>
      <c r="L2191" s="31" t="n">
        <v>150</v>
      </c>
      <c r="M2191" s="31">
        <f>I2191+J2191+K2191+L2191</f>
        <v/>
      </c>
      <c r="N2191" s="31">
        <f>M2191*'Dashboard &amp; Optimisation'!$B$18/('Dashboard &amp; Optimisation'!$B$16/3.6)</f>
        <v/>
      </c>
      <c r="O2191" s="31" t="n">
        <v>1320.101725545586</v>
      </c>
      <c r="P2191" s="32" t="n">
        <v>0.3553476372854298</v>
      </c>
      <c r="Q2191" s="33" t="n">
        <v>11.4760847032113</v>
      </c>
      <c r="R2191" s="31" t="n">
        <v>1271.039732573009</v>
      </c>
      <c r="S2191" s="31">
        <f>R2191*IF(A2191=4, 2.0, 3.0)</f>
        <v/>
      </c>
      <c r="T2191" s="30">
        <f>'Dashboard &amp; Optimisation'!$B$18*U2191</f>
        <v/>
      </c>
      <c r="U2191" s="34">
        <f>MIN(1, S2191/M2191)</f>
        <v/>
      </c>
      <c r="V2191" s="34">
        <f>N2191/(N2191+O2191)</f>
        <v/>
      </c>
      <c r="W2191" s="34">
        <f>U2191*V2191</f>
        <v/>
      </c>
      <c r="X2191" s="32">
        <f>T2191/N2191</f>
        <v/>
      </c>
      <c r="Y2191" s="35">
        <f>IF(W2191=MAXIFS(W$2:W$3601, A$2:A$3601, A2191, B$2:B$3601, B2191), "OPTIMAL", "")</f>
        <v/>
      </c>
    </row>
    <row r="2192" ht="20" customHeight="1">
      <c r="A2192" s="21" t="n">
        <v>-18</v>
      </c>
      <c r="B2192" s="21" t="n">
        <v>30</v>
      </c>
      <c r="C2192" s="22" t="n">
        <v>80</v>
      </c>
      <c r="D2192" s="22" t="n">
        <v>3</v>
      </c>
      <c r="E2192" s="23" t="n">
        <v>4</v>
      </c>
      <c r="F2192" s="22" t="n">
        <v>2</v>
      </c>
      <c r="G2192" s="23" t="inlineStr">
        <is>
          <t>Non</t>
        </is>
      </c>
      <c r="H2192" s="23" t="inlineStr">
        <is>
          <t>ON</t>
        </is>
      </c>
      <c r="I2192" s="24" t="n">
        <v>674.4931640486259</v>
      </c>
      <c r="J2192" s="24" t="n">
        <v>5144.556481985902</v>
      </c>
      <c r="K2192" s="24" t="n">
        <v>3782.407407407407</v>
      </c>
      <c r="L2192" s="24" t="n">
        <v>150</v>
      </c>
      <c r="M2192" s="24">
        <f>I2192+J2192+K2192+L2192</f>
        <v/>
      </c>
      <c r="N2192" s="24">
        <f>M2192*'Dashboard &amp; Optimisation'!$B$18/('Dashboard &amp; Optimisation'!$B$16/3.6)</f>
        <v/>
      </c>
      <c r="O2192" s="24" t="n">
        <v>1320.101725545586</v>
      </c>
      <c r="P2192" s="25" t="n">
        <v>0.07613158643451108</v>
      </c>
      <c r="Q2192" s="26" t="n">
        <v>11.4760847032113</v>
      </c>
      <c r="R2192" s="24" t="n">
        <v>5932.635677495638</v>
      </c>
      <c r="S2192" s="24">
        <f>R2192*IF(A2192=4, 2.0, 3.0)</f>
        <v/>
      </c>
      <c r="T2192" s="22">
        <f>'Dashboard &amp; Optimisation'!$B$18*U2192</f>
        <v/>
      </c>
      <c r="U2192" s="27">
        <f>MIN(1, S2192/M2192)</f>
        <v/>
      </c>
      <c r="V2192" s="27">
        <f>N2192/(N2192+O2192)</f>
        <v/>
      </c>
      <c r="W2192" s="27">
        <f>U2192*V2192</f>
        <v/>
      </c>
      <c r="X2192" s="25">
        <f>T2192/N2192</f>
        <v/>
      </c>
      <c r="Y2192" s="28">
        <f>IF(W2192=MAXIFS(W$2:W$3601, A$2:A$3601, A2192, B$2:B$3601, B2192), "OPTIMAL", "")</f>
        <v/>
      </c>
    </row>
    <row r="2193" ht="20" customHeight="1">
      <c r="A2193" s="29" t="n">
        <v>-18</v>
      </c>
      <c r="B2193" s="29" t="n">
        <v>30</v>
      </c>
      <c r="C2193" s="30" t="n">
        <v>80</v>
      </c>
      <c r="D2193" s="30" t="n">
        <v>3</v>
      </c>
      <c r="E2193" s="6" t="n">
        <v>4</v>
      </c>
      <c r="F2193" s="30" t="n">
        <v>2</v>
      </c>
      <c r="G2193" s="6" t="inlineStr">
        <is>
          <t>Non</t>
        </is>
      </c>
      <c r="H2193" s="6" t="inlineStr">
        <is>
          <t>OFF</t>
        </is>
      </c>
      <c r="I2193" s="31" t="n">
        <v>674.4931640486259</v>
      </c>
      <c r="J2193" s="31" t="n">
        <v>5144.556481985902</v>
      </c>
      <c r="K2193" s="31" t="n">
        <v>3782.407407407407</v>
      </c>
      <c r="L2193" s="31" t="n">
        <v>150</v>
      </c>
      <c r="M2193" s="31">
        <f>I2193+J2193+K2193+L2193</f>
        <v/>
      </c>
      <c r="N2193" s="31">
        <f>M2193*'Dashboard &amp; Optimisation'!$B$18/('Dashboard &amp; Optimisation'!$B$16/3.6)</f>
        <v/>
      </c>
      <c r="O2193" s="31" t="n">
        <v>1320.101725545586</v>
      </c>
      <c r="P2193" s="32" t="n">
        <v>0.3513687637081325</v>
      </c>
      <c r="Q2193" s="33" t="n">
        <v>11.4760847032113</v>
      </c>
      <c r="R2193" s="31" t="n">
        <v>1285.432891356557</v>
      </c>
      <c r="S2193" s="31">
        <f>R2193*IF(A2193=4, 2.0, 3.0)</f>
        <v/>
      </c>
      <c r="T2193" s="30">
        <f>'Dashboard &amp; Optimisation'!$B$18*U2193</f>
        <v/>
      </c>
      <c r="U2193" s="34">
        <f>MIN(1, S2193/M2193)</f>
        <v/>
      </c>
      <c r="V2193" s="34">
        <f>N2193/(N2193+O2193)</f>
        <v/>
      </c>
      <c r="W2193" s="34">
        <f>U2193*V2193</f>
        <v/>
      </c>
      <c r="X2193" s="32">
        <f>T2193/N2193</f>
        <v/>
      </c>
      <c r="Y2193" s="35">
        <f>IF(W2193=MAXIFS(W$2:W$3601, A$2:A$3601, A2193, B$2:B$3601, B2193), "OPTIMAL", "")</f>
        <v/>
      </c>
    </row>
    <row r="2194" ht="20" customHeight="1">
      <c r="A2194" s="21" t="n">
        <v>-18</v>
      </c>
      <c r="B2194" s="21" t="n">
        <v>30</v>
      </c>
      <c r="C2194" s="22" t="n">
        <v>80</v>
      </c>
      <c r="D2194" s="22" t="n">
        <v>3</v>
      </c>
      <c r="E2194" s="23" t="n">
        <v>8</v>
      </c>
      <c r="F2194" s="22" t="n">
        <v>1.5</v>
      </c>
      <c r="G2194" s="23" t="inlineStr">
        <is>
          <t>Oui</t>
        </is>
      </c>
      <c r="H2194" s="23" t="inlineStr">
        <is>
          <t>ON</t>
        </is>
      </c>
      <c r="I2194" s="24" t="n">
        <v>674.4931640486259</v>
      </c>
      <c r="J2194" s="24" t="n">
        <v>5144.556481985902</v>
      </c>
      <c r="K2194" s="24" t="n">
        <v>3782.407407407407</v>
      </c>
      <c r="L2194" s="24" t="n">
        <v>150</v>
      </c>
      <c r="M2194" s="24">
        <f>I2194+J2194+K2194+L2194</f>
        <v/>
      </c>
      <c r="N2194" s="24">
        <f>M2194*'Dashboard &amp; Optimisation'!$B$18/('Dashboard &amp; Optimisation'!$B$16/3.6)</f>
        <v/>
      </c>
      <c r="O2194" s="24" t="n">
        <v>1583.799512049744</v>
      </c>
      <c r="P2194" s="25" t="n">
        <v>0.06134832938702932</v>
      </c>
      <c r="Q2194" s="26" t="n">
        <v>17.11412705481695</v>
      </c>
      <c r="R2194" s="24" t="n">
        <v>7583.161986908192</v>
      </c>
      <c r="S2194" s="24">
        <f>R2194*IF(A2194=4, 2.0, 3.0)</f>
        <v/>
      </c>
      <c r="T2194" s="22">
        <f>'Dashboard &amp; Optimisation'!$B$18*U2194</f>
        <v/>
      </c>
      <c r="U2194" s="27">
        <f>MIN(1, S2194/M2194)</f>
        <v/>
      </c>
      <c r="V2194" s="27">
        <f>N2194/(N2194+O2194)</f>
        <v/>
      </c>
      <c r="W2194" s="27">
        <f>U2194*V2194</f>
        <v/>
      </c>
      <c r="X2194" s="25">
        <f>T2194/N2194</f>
        <v/>
      </c>
      <c r="Y2194" s="28">
        <f>IF(W2194=MAXIFS(W$2:W$3601, A$2:A$3601, A2194, B$2:B$3601, B2194), "OPTIMAL", "")</f>
        <v/>
      </c>
    </row>
    <row r="2195" ht="20" customHeight="1">
      <c r="A2195" s="29" t="n">
        <v>-18</v>
      </c>
      <c r="B2195" s="29" t="n">
        <v>30</v>
      </c>
      <c r="C2195" s="30" t="n">
        <v>80</v>
      </c>
      <c r="D2195" s="30" t="n">
        <v>3</v>
      </c>
      <c r="E2195" s="6" t="n">
        <v>8</v>
      </c>
      <c r="F2195" s="30" t="n">
        <v>1.5</v>
      </c>
      <c r="G2195" s="6" t="inlineStr">
        <is>
          <t>Oui</t>
        </is>
      </c>
      <c r="H2195" s="6" t="inlineStr">
        <is>
          <t>OFF</t>
        </is>
      </c>
      <c r="I2195" s="31" t="n">
        <v>674.4931640486259</v>
      </c>
      <c r="J2195" s="31" t="n">
        <v>5144.556481985902</v>
      </c>
      <c r="K2195" s="31" t="n">
        <v>3782.407407407407</v>
      </c>
      <c r="L2195" s="31" t="n">
        <v>150</v>
      </c>
      <c r="M2195" s="31">
        <f>I2195+J2195+K2195+L2195</f>
        <v/>
      </c>
      <c r="N2195" s="31">
        <f>M2195*'Dashboard &amp; Optimisation'!$B$18/('Dashboard &amp; Optimisation'!$B$16/3.6)</f>
        <v/>
      </c>
      <c r="O2195" s="31" t="n">
        <v>1583.799512049744</v>
      </c>
      <c r="P2195" s="32" t="n">
        <v>0.2699794634504217</v>
      </c>
      <c r="Q2195" s="33" t="n">
        <v>17.11412705481695</v>
      </c>
      <c r="R2195" s="31" t="n">
        <v>1723.147062456009</v>
      </c>
      <c r="S2195" s="31">
        <f>R2195*IF(A2195=4, 2.0, 3.0)</f>
        <v/>
      </c>
      <c r="T2195" s="30">
        <f>'Dashboard &amp; Optimisation'!$B$18*U2195</f>
        <v/>
      </c>
      <c r="U2195" s="34">
        <f>MIN(1, S2195/M2195)</f>
        <v/>
      </c>
      <c r="V2195" s="34">
        <f>N2195/(N2195+O2195)</f>
        <v/>
      </c>
      <c r="W2195" s="34">
        <f>U2195*V2195</f>
        <v/>
      </c>
      <c r="X2195" s="32">
        <f>T2195/N2195</f>
        <v/>
      </c>
      <c r="Y2195" s="35">
        <f>IF(W2195=MAXIFS(W$2:W$3601, A$2:A$3601, A2195, B$2:B$3601, B2195), "OPTIMAL", "")</f>
        <v/>
      </c>
    </row>
    <row r="2196" ht="20" customHeight="1">
      <c r="A2196" s="21" t="n">
        <v>-18</v>
      </c>
      <c r="B2196" s="21" t="n">
        <v>30</v>
      </c>
      <c r="C2196" s="22" t="n">
        <v>80</v>
      </c>
      <c r="D2196" s="22" t="n">
        <v>3</v>
      </c>
      <c r="E2196" s="23" t="n">
        <v>8</v>
      </c>
      <c r="F2196" s="22" t="n">
        <v>1.5</v>
      </c>
      <c r="G2196" s="23" t="inlineStr">
        <is>
          <t>Non</t>
        </is>
      </c>
      <c r="H2196" s="23" t="inlineStr">
        <is>
          <t>ON</t>
        </is>
      </c>
      <c r="I2196" s="24" t="n">
        <v>674.4931640486259</v>
      </c>
      <c r="J2196" s="24" t="n">
        <v>5144.556481985902</v>
      </c>
      <c r="K2196" s="24" t="n">
        <v>3782.407407407407</v>
      </c>
      <c r="L2196" s="24" t="n">
        <v>150</v>
      </c>
      <c r="M2196" s="24">
        <f>I2196+J2196+K2196+L2196</f>
        <v/>
      </c>
      <c r="N2196" s="24">
        <f>M2196*'Dashboard &amp; Optimisation'!$B$18/('Dashboard &amp; Optimisation'!$B$16/3.6)</f>
        <v/>
      </c>
      <c r="O2196" s="24" t="n">
        <v>1583.799512049744</v>
      </c>
      <c r="P2196" s="25" t="n">
        <v>0.05736945580973193</v>
      </c>
      <c r="Q2196" s="26" t="n">
        <v>17.11412705481695</v>
      </c>
      <c r="R2196" s="24" t="n">
        <v>8109.094165211279</v>
      </c>
      <c r="S2196" s="24">
        <f>R2196*IF(A2196=4, 2.0, 3.0)</f>
        <v/>
      </c>
      <c r="T2196" s="22">
        <f>'Dashboard &amp; Optimisation'!$B$18*U2196</f>
        <v/>
      </c>
      <c r="U2196" s="27">
        <f>MIN(1, S2196/M2196)</f>
        <v/>
      </c>
      <c r="V2196" s="27">
        <f>N2196/(N2196+O2196)</f>
        <v/>
      </c>
      <c r="W2196" s="27">
        <f>U2196*V2196</f>
        <v/>
      </c>
      <c r="X2196" s="25">
        <f>T2196/N2196</f>
        <v/>
      </c>
      <c r="Y2196" s="28">
        <f>IF(W2196=MAXIFS(W$2:W$3601, A$2:A$3601, A2196, B$2:B$3601, B2196), "OPTIMAL", "")</f>
        <v/>
      </c>
    </row>
    <row r="2197" ht="20" customHeight="1">
      <c r="A2197" s="29" t="n">
        <v>-18</v>
      </c>
      <c r="B2197" s="29" t="n">
        <v>30</v>
      </c>
      <c r="C2197" s="30" t="n">
        <v>80</v>
      </c>
      <c r="D2197" s="30" t="n">
        <v>3</v>
      </c>
      <c r="E2197" s="6" t="n">
        <v>8</v>
      </c>
      <c r="F2197" s="30" t="n">
        <v>1.5</v>
      </c>
      <c r="G2197" s="6" t="inlineStr">
        <is>
          <t>Non</t>
        </is>
      </c>
      <c r="H2197" s="6" t="inlineStr">
        <is>
          <t>OFF</t>
        </is>
      </c>
      <c r="I2197" s="31" t="n">
        <v>674.4931640486259</v>
      </c>
      <c r="J2197" s="31" t="n">
        <v>5144.556481985902</v>
      </c>
      <c r="K2197" s="31" t="n">
        <v>3782.407407407407</v>
      </c>
      <c r="L2197" s="31" t="n">
        <v>150</v>
      </c>
      <c r="M2197" s="31">
        <f>I2197+J2197+K2197+L2197</f>
        <v/>
      </c>
      <c r="N2197" s="31">
        <f>M2197*'Dashboard &amp; Optimisation'!$B$18/('Dashboard &amp; Optimisation'!$B$16/3.6)</f>
        <v/>
      </c>
      <c r="O2197" s="31" t="n">
        <v>1583.799512049744</v>
      </c>
      <c r="P2197" s="32" t="n">
        <v>0.2660005898731243</v>
      </c>
      <c r="Q2197" s="33" t="n">
        <v>17.11412705481695</v>
      </c>
      <c r="R2197" s="31" t="n">
        <v>1748.92213430782</v>
      </c>
      <c r="S2197" s="31">
        <f>R2197*IF(A2197=4, 2.0, 3.0)</f>
        <v/>
      </c>
      <c r="T2197" s="30">
        <f>'Dashboard &amp; Optimisation'!$B$18*U2197</f>
        <v/>
      </c>
      <c r="U2197" s="34">
        <f>MIN(1, S2197/M2197)</f>
        <v/>
      </c>
      <c r="V2197" s="34">
        <f>N2197/(N2197+O2197)</f>
        <v/>
      </c>
      <c r="W2197" s="34">
        <f>U2197*V2197</f>
        <v/>
      </c>
      <c r="X2197" s="32">
        <f>T2197/N2197</f>
        <v/>
      </c>
      <c r="Y2197" s="35">
        <f>IF(W2197=MAXIFS(W$2:W$3601, A$2:A$3601, A2197, B$2:B$3601, B2197), "OPTIMAL", "")</f>
        <v/>
      </c>
    </row>
    <row r="2198" ht="20" customHeight="1">
      <c r="A2198" s="21" t="n">
        <v>-18</v>
      </c>
      <c r="B2198" s="21" t="n">
        <v>30</v>
      </c>
      <c r="C2198" s="22" t="n">
        <v>80</v>
      </c>
      <c r="D2198" s="22" t="n">
        <v>3</v>
      </c>
      <c r="E2198" s="23" t="n">
        <v>8</v>
      </c>
      <c r="F2198" s="22" t="n">
        <v>2</v>
      </c>
      <c r="G2198" s="23" t="inlineStr">
        <is>
          <t>Oui</t>
        </is>
      </c>
      <c r="H2198" s="23" t="inlineStr">
        <is>
          <t>ON</t>
        </is>
      </c>
      <c r="I2198" s="24" t="n">
        <v>674.4931640486259</v>
      </c>
      <c r="J2198" s="24" t="n">
        <v>5144.556481985902</v>
      </c>
      <c r="K2198" s="24" t="n">
        <v>3782.407407407407</v>
      </c>
      <c r="L2198" s="24" t="n">
        <v>150</v>
      </c>
      <c r="M2198" s="24">
        <f>I2198+J2198+K2198+L2198</f>
        <v/>
      </c>
      <c r="N2198" s="24">
        <f>M2198*'Dashboard &amp; Optimisation'!$B$18/('Dashboard &amp; Optimisation'!$B$16/3.6)</f>
        <v/>
      </c>
      <c r="O2198" s="24" t="n">
        <v>1863.812875902536</v>
      </c>
      <c r="P2198" s="25" t="n">
        <v>0.060517018169736</v>
      </c>
      <c r="Q2198" s="26" t="n">
        <v>22.7521694064226</v>
      </c>
      <c r="R2198" s="24" t="n">
        <v>7925.14674307082</v>
      </c>
      <c r="S2198" s="24">
        <f>R2198*IF(A2198=4, 2.0, 3.0)</f>
        <v/>
      </c>
      <c r="T2198" s="22">
        <f>'Dashboard &amp; Optimisation'!$B$18*U2198</f>
        <v/>
      </c>
      <c r="U2198" s="27">
        <f>MIN(1, S2198/M2198)</f>
        <v/>
      </c>
      <c r="V2198" s="27">
        <f>N2198/(N2198+O2198)</f>
        <v/>
      </c>
      <c r="W2198" s="27">
        <f>U2198*V2198</f>
        <v/>
      </c>
      <c r="X2198" s="25">
        <f>T2198/N2198</f>
        <v/>
      </c>
      <c r="Y2198" s="28">
        <f>IF(W2198=MAXIFS(W$2:W$3601, A$2:A$3601, A2198, B$2:B$3601, B2198), "OPTIMAL", "")</f>
        <v/>
      </c>
    </row>
    <row r="2199" ht="20" customHeight="1">
      <c r="A2199" s="29" t="n">
        <v>-18</v>
      </c>
      <c r="B2199" s="29" t="n">
        <v>30</v>
      </c>
      <c r="C2199" s="30" t="n">
        <v>80</v>
      </c>
      <c r="D2199" s="30" t="n">
        <v>3</v>
      </c>
      <c r="E2199" s="6" t="n">
        <v>8</v>
      </c>
      <c r="F2199" s="30" t="n">
        <v>2</v>
      </c>
      <c r="G2199" s="6" t="inlineStr">
        <is>
          <t>Oui</t>
        </is>
      </c>
      <c r="H2199" s="6" t="inlineStr">
        <is>
          <t>OFF</t>
        </is>
      </c>
      <c r="I2199" s="31" t="n">
        <v>674.4931640486259</v>
      </c>
      <c r="J2199" s="31" t="n">
        <v>5144.556481985902</v>
      </c>
      <c r="K2199" s="31" t="n">
        <v>3782.407407407407</v>
      </c>
      <c r="L2199" s="31" t="n">
        <v>150</v>
      </c>
      <c r="M2199" s="31">
        <f>I2199+J2199+K2199+L2199</f>
        <v/>
      </c>
      <c r="N2199" s="31">
        <f>M2199*'Dashboard &amp; Optimisation'!$B$18/('Dashboard &amp; Optimisation'!$B$16/3.6)</f>
        <v/>
      </c>
      <c r="O2199" s="31" t="n">
        <v>1863.812875902536</v>
      </c>
      <c r="P2199" s="32" t="n">
        <v>0.2709014433795033</v>
      </c>
      <c r="Q2199" s="33" t="n">
        <v>22.7521694064226</v>
      </c>
      <c r="R2199" s="31" t="n">
        <v>1770.408616008609</v>
      </c>
      <c r="S2199" s="31">
        <f>R2199*IF(A2199=4, 2.0, 3.0)</f>
        <v/>
      </c>
      <c r="T2199" s="30">
        <f>'Dashboard &amp; Optimisation'!$B$18*U2199</f>
        <v/>
      </c>
      <c r="U2199" s="34">
        <f>MIN(1, S2199/M2199)</f>
        <v/>
      </c>
      <c r="V2199" s="34">
        <f>N2199/(N2199+O2199)</f>
        <v/>
      </c>
      <c r="W2199" s="34">
        <f>U2199*V2199</f>
        <v/>
      </c>
      <c r="X2199" s="32">
        <f>T2199/N2199</f>
        <v/>
      </c>
      <c r="Y2199" s="35">
        <f>IF(W2199=MAXIFS(W$2:W$3601, A$2:A$3601, A2199, B$2:B$3601, B2199), "OPTIMAL", "")</f>
        <v/>
      </c>
    </row>
    <row r="2200" ht="20" customHeight="1">
      <c r="A2200" s="21" t="n">
        <v>-18</v>
      </c>
      <c r="B2200" s="21" t="n">
        <v>30</v>
      </c>
      <c r="C2200" s="22" t="n">
        <v>80</v>
      </c>
      <c r="D2200" s="22" t="n">
        <v>3</v>
      </c>
      <c r="E2200" s="23" t="n">
        <v>8</v>
      </c>
      <c r="F2200" s="22" t="n">
        <v>2</v>
      </c>
      <c r="G2200" s="23" t="inlineStr">
        <is>
          <t>Non</t>
        </is>
      </c>
      <c r="H2200" s="23" t="inlineStr">
        <is>
          <t>ON</t>
        </is>
      </c>
      <c r="I2200" s="24" t="n">
        <v>674.4931640486259</v>
      </c>
      <c r="J2200" s="24" t="n">
        <v>5144.556481985902</v>
      </c>
      <c r="K2200" s="24" t="n">
        <v>3782.407407407407</v>
      </c>
      <c r="L2200" s="24" t="n">
        <v>150</v>
      </c>
      <c r="M2200" s="24">
        <f>I2200+J2200+K2200+L2200</f>
        <v/>
      </c>
      <c r="N2200" s="24">
        <f>M2200*'Dashboard &amp; Optimisation'!$B$18/('Dashboard &amp; Optimisation'!$B$16/3.6)</f>
        <v/>
      </c>
      <c r="O2200" s="24" t="n">
        <v>1863.812875902536</v>
      </c>
      <c r="P2200" s="25" t="n">
        <v>0.05653814459243862</v>
      </c>
      <c r="Q2200" s="26" t="n">
        <v>22.7521694064226</v>
      </c>
      <c r="R2200" s="24" t="n">
        <v>8482.879176625531</v>
      </c>
      <c r="S2200" s="24">
        <f>R2200*IF(A2200=4, 2.0, 3.0)</f>
        <v/>
      </c>
      <c r="T2200" s="22">
        <f>'Dashboard &amp; Optimisation'!$B$18*U2200</f>
        <v/>
      </c>
      <c r="U2200" s="27">
        <f>MIN(1, S2200/M2200)</f>
        <v/>
      </c>
      <c r="V2200" s="27">
        <f>N2200/(N2200+O2200)</f>
        <v/>
      </c>
      <c r="W2200" s="27">
        <f>U2200*V2200</f>
        <v/>
      </c>
      <c r="X2200" s="25">
        <f>T2200/N2200</f>
        <v/>
      </c>
      <c r="Y2200" s="28">
        <f>IF(W2200=MAXIFS(W$2:W$3601, A$2:A$3601, A2200, B$2:B$3601, B2200), "OPTIMAL", "")</f>
        <v/>
      </c>
    </row>
    <row r="2201" ht="20" customHeight="1">
      <c r="A2201" s="29" t="n">
        <v>-18</v>
      </c>
      <c r="B2201" s="29" t="n">
        <v>30</v>
      </c>
      <c r="C2201" s="30" t="n">
        <v>80</v>
      </c>
      <c r="D2201" s="30" t="n">
        <v>3</v>
      </c>
      <c r="E2201" s="6" t="n">
        <v>8</v>
      </c>
      <c r="F2201" s="30" t="n">
        <v>2</v>
      </c>
      <c r="G2201" s="6" t="inlineStr">
        <is>
          <t>Non</t>
        </is>
      </c>
      <c r="H2201" s="6" t="inlineStr">
        <is>
          <t>OFF</t>
        </is>
      </c>
      <c r="I2201" s="31" t="n">
        <v>674.4931640486259</v>
      </c>
      <c r="J2201" s="31" t="n">
        <v>5144.556481985902</v>
      </c>
      <c r="K2201" s="31" t="n">
        <v>3782.407407407407</v>
      </c>
      <c r="L2201" s="31" t="n">
        <v>150</v>
      </c>
      <c r="M2201" s="31">
        <f>I2201+J2201+K2201+L2201</f>
        <v/>
      </c>
      <c r="N2201" s="31">
        <f>M2201*'Dashboard &amp; Optimisation'!$B$18/('Dashboard &amp; Optimisation'!$B$16/3.6)</f>
        <v/>
      </c>
      <c r="O2201" s="31" t="n">
        <v>1863.812875902536</v>
      </c>
      <c r="P2201" s="32" t="n">
        <v>0.266922569802206</v>
      </c>
      <c r="Q2201" s="33" t="n">
        <v>22.7521694064226</v>
      </c>
      <c r="R2201" s="31" t="n">
        <v>1796.799160908862</v>
      </c>
      <c r="S2201" s="31">
        <f>R2201*IF(A2201=4, 2.0, 3.0)</f>
        <v/>
      </c>
      <c r="T2201" s="30">
        <f>'Dashboard &amp; Optimisation'!$B$18*U2201</f>
        <v/>
      </c>
      <c r="U2201" s="34">
        <f>MIN(1, S2201/M2201)</f>
        <v/>
      </c>
      <c r="V2201" s="34">
        <f>N2201/(N2201+O2201)</f>
        <v/>
      </c>
      <c r="W2201" s="34">
        <f>U2201*V2201</f>
        <v/>
      </c>
      <c r="X2201" s="32">
        <f>T2201/N2201</f>
        <v/>
      </c>
      <c r="Y2201" s="35">
        <f>IF(W2201=MAXIFS(W$2:W$3601, A$2:A$3601, A2201, B$2:B$3601, B2201), "OPTIMAL", "")</f>
        <v/>
      </c>
    </row>
    <row r="2202" ht="20" customHeight="1">
      <c r="A2202" s="21" t="n">
        <v>-18</v>
      </c>
      <c r="B2202" s="21" t="n">
        <v>30</v>
      </c>
      <c r="C2202" s="22" t="n">
        <v>85</v>
      </c>
      <c r="D2202" s="22" t="n">
        <v>2</v>
      </c>
      <c r="E2202" s="23" t="n">
        <v>0</v>
      </c>
      <c r="F2202" s="22" t="n">
        <v>0</v>
      </c>
      <c r="G2202" s="23" t="inlineStr">
        <is>
          <t>Oui</t>
        </is>
      </c>
      <c r="H2202" s="23" t="inlineStr">
        <is>
          <t>ON</t>
        </is>
      </c>
      <c r="I2202" s="24" t="n">
        <v>674.4931640486259</v>
      </c>
      <c r="J2202" s="24" t="n">
        <v>5144.556481985902</v>
      </c>
      <c r="K2202" s="24" t="n">
        <v>3782.407407407407</v>
      </c>
      <c r="L2202" s="24" t="n">
        <v>150</v>
      </c>
      <c r="M2202" s="24">
        <f>I2202+J2202+K2202+L2202</f>
        <v/>
      </c>
      <c r="N2202" s="24">
        <f>M2202*'Dashboard &amp; Optimisation'!$B$18/('Dashboard &amp; Optimisation'!$B$16/3.6)</f>
        <v/>
      </c>
      <c r="O2202" s="24" t="n">
        <v>501.5709500642329</v>
      </c>
      <c r="P2202" s="25" t="n">
        <v>0.4952901571326194</v>
      </c>
      <c r="Q2202" s="26" t="n">
        <v>0.2</v>
      </c>
      <c r="R2202" s="24" t="n">
        <v>719.2021100115587</v>
      </c>
      <c r="S2202" s="24">
        <f>R2202*IF(A2202=4, 2.0, 3.0)</f>
        <v/>
      </c>
      <c r="T2202" s="22">
        <f>'Dashboard &amp; Optimisation'!$B$18*U2202</f>
        <v/>
      </c>
      <c r="U2202" s="27">
        <f>MIN(1, S2202/M2202)</f>
        <v/>
      </c>
      <c r="V2202" s="27">
        <f>N2202/(N2202+O2202)</f>
        <v/>
      </c>
      <c r="W2202" s="27">
        <f>U2202*V2202</f>
        <v/>
      </c>
      <c r="X2202" s="25">
        <f>T2202/N2202</f>
        <v/>
      </c>
      <c r="Y2202" s="28">
        <f>IF(W2202=MAXIFS(W$2:W$3601, A$2:A$3601, A2202, B$2:B$3601, B2202), "OPTIMAL", "")</f>
        <v/>
      </c>
    </row>
    <row r="2203" ht="20" customHeight="1">
      <c r="A2203" s="29" t="n">
        <v>-18</v>
      </c>
      <c r="B2203" s="29" t="n">
        <v>30</v>
      </c>
      <c r="C2203" s="30" t="n">
        <v>85</v>
      </c>
      <c r="D2203" s="30" t="n">
        <v>2</v>
      </c>
      <c r="E2203" s="6" t="n">
        <v>0</v>
      </c>
      <c r="F2203" s="30" t="n">
        <v>0</v>
      </c>
      <c r="G2203" s="6" t="inlineStr">
        <is>
          <t>Oui</t>
        </is>
      </c>
      <c r="H2203" s="6" t="inlineStr">
        <is>
          <t>OFF</t>
        </is>
      </c>
      <c r="I2203" s="31" t="n">
        <v>674.4931640486259</v>
      </c>
      <c r="J2203" s="31" t="n">
        <v>5144.556481985902</v>
      </c>
      <c r="K2203" s="31" t="n">
        <v>3782.407407407407</v>
      </c>
      <c r="L2203" s="31" t="n">
        <v>150</v>
      </c>
      <c r="M2203" s="31">
        <f>I2203+J2203+K2203+L2203</f>
        <v/>
      </c>
      <c r="N2203" s="31">
        <f>M2203*'Dashboard &amp; Optimisation'!$B$18/('Dashboard &amp; Optimisation'!$B$16/3.6)</f>
        <v/>
      </c>
      <c r="O2203" s="31" t="n">
        <v>501.5709500642329</v>
      </c>
      <c r="P2203" s="32" t="n">
        <v>0.869772376172373</v>
      </c>
      <c r="Q2203" s="33" t="n">
        <v>0.2</v>
      </c>
      <c r="R2203" s="31" t="n">
        <v>409.5482172535005</v>
      </c>
      <c r="S2203" s="31">
        <f>R2203*IF(A2203=4, 2.0, 3.0)</f>
        <v/>
      </c>
      <c r="T2203" s="30">
        <f>'Dashboard &amp; Optimisation'!$B$18*U2203</f>
        <v/>
      </c>
      <c r="U2203" s="34">
        <f>MIN(1, S2203/M2203)</f>
        <v/>
      </c>
      <c r="V2203" s="34">
        <f>N2203/(N2203+O2203)</f>
        <v/>
      </c>
      <c r="W2203" s="34">
        <f>U2203*V2203</f>
        <v/>
      </c>
      <c r="X2203" s="32">
        <f>T2203/N2203</f>
        <v/>
      </c>
      <c r="Y2203" s="35">
        <f>IF(W2203=MAXIFS(W$2:W$3601, A$2:A$3601, A2203, B$2:B$3601, B2203), "OPTIMAL", "")</f>
        <v/>
      </c>
    </row>
    <row r="2204" ht="20" customHeight="1">
      <c r="A2204" s="21" t="n">
        <v>-18</v>
      </c>
      <c r="B2204" s="21" t="n">
        <v>30</v>
      </c>
      <c r="C2204" s="22" t="n">
        <v>85</v>
      </c>
      <c r="D2204" s="22" t="n">
        <v>2</v>
      </c>
      <c r="E2204" s="23" t="n">
        <v>0</v>
      </c>
      <c r="F2204" s="22" t="n">
        <v>0</v>
      </c>
      <c r="G2204" s="23" t="inlineStr">
        <is>
          <t>Non</t>
        </is>
      </c>
      <c r="H2204" s="23" t="inlineStr">
        <is>
          <t>ON</t>
        </is>
      </c>
      <c r="I2204" s="24" t="n">
        <v>674.4931640486259</v>
      </c>
      <c r="J2204" s="24" t="n">
        <v>5144.556481985902</v>
      </c>
      <c r="K2204" s="24" t="n">
        <v>3782.407407407407</v>
      </c>
      <c r="L2204" s="24" t="n">
        <v>150</v>
      </c>
      <c r="M2204" s="24">
        <f>I2204+J2204+K2204+L2204</f>
        <v/>
      </c>
      <c r="N2204" s="24">
        <f>M2204*'Dashboard &amp; Optimisation'!$B$18/('Dashboard &amp; Optimisation'!$B$16/3.6)</f>
        <v/>
      </c>
      <c r="O2204" s="24" t="n">
        <v>501.5709500642329</v>
      </c>
      <c r="P2204" s="25" t="n">
        <v>0.4915453349422219</v>
      </c>
      <c r="Q2204" s="26" t="n">
        <v>0.2</v>
      </c>
      <c r="R2204" s="24" t="n">
        <v>724.6813279585027</v>
      </c>
      <c r="S2204" s="24">
        <f>R2204*IF(A2204=4, 2.0, 3.0)</f>
        <v/>
      </c>
      <c r="T2204" s="22">
        <f>'Dashboard &amp; Optimisation'!$B$18*U2204</f>
        <v/>
      </c>
      <c r="U2204" s="27">
        <f>MIN(1, S2204/M2204)</f>
        <v/>
      </c>
      <c r="V2204" s="27">
        <f>N2204/(N2204+O2204)</f>
        <v/>
      </c>
      <c r="W2204" s="27">
        <f>U2204*V2204</f>
        <v/>
      </c>
      <c r="X2204" s="25">
        <f>T2204/N2204</f>
        <v/>
      </c>
      <c r="Y2204" s="28">
        <f>IF(W2204=MAXIFS(W$2:W$3601, A$2:A$3601, A2204, B$2:B$3601, B2204), "OPTIMAL", "")</f>
        <v/>
      </c>
    </row>
    <row r="2205" ht="20" customHeight="1">
      <c r="A2205" s="29" t="n">
        <v>-18</v>
      </c>
      <c r="B2205" s="29" t="n">
        <v>30</v>
      </c>
      <c r="C2205" s="30" t="n">
        <v>85</v>
      </c>
      <c r="D2205" s="30" t="n">
        <v>2</v>
      </c>
      <c r="E2205" s="6" t="n">
        <v>0</v>
      </c>
      <c r="F2205" s="30" t="n">
        <v>0</v>
      </c>
      <c r="G2205" s="6" t="inlineStr">
        <is>
          <t>Non</t>
        </is>
      </c>
      <c r="H2205" s="6" t="inlineStr">
        <is>
          <t>OFF</t>
        </is>
      </c>
      <c r="I2205" s="31" t="n">
        <v>674.4931640486259</v>
      </c>
      <c r="J2205" s="31" t="n">
        <v>5144.556481985902</v>
      </c>
      <c r="K2205" s="31" t="n">
        <v>3782.407407407407</v>
      </c>
      <c r="L2205" s="31" t="n">
        <v>150</v>
      </c>
      <c r="M2205" s="31">
        <f>I2205+J2205+K2205+L2205</f>
        <v/>
      </c>
      <c r="N2205" s="31">
        <f>M2205*'Dashboard &amp; Optimisation'!$B$18/('Dashboard &amp; Optimisation'!$B$16/3.6)</f>
        <v/>
      </c>
      <c r="O2205" s="31" t="n">
        <v>501.5709500642329</v>
      </c>
      <c r="P2205" s="32" t="n">
        <v>0.8660275539819755</v>
      </c>
      <c r="Q2205" s="33" t="n">
        <v>0.2</v>
      </c>
      <c r="R2205" s="31" t="n">
        <v>411.3191600427417</v>
      </c>
      <c r="S2205" s="31">
        <f>R2205*IF(A2205=4, 2.0, 3.0)</f>
        <v/>
      </c>
      <c r="T2205" s="30">
        <f>'Dashboard &amp; Optimisation'!$B$18*U2205</f>
        <v/>
      </c>
      <c r="U2205" s="34">
        <f>MIN(1, S2205/M2205)</f>
        <v/>
      </c>
      <c r="V2205" s="34">
        <f>N2205/(N2205+O2205)</f>
        <v/>
      </c>
      <c r="W2205" s="34">
        <f>U2205*V2205</f>
        <v/>
      </c>
      <c r="X2205" s="32">
        <f>T2205/N2205</f>
        <v/>
      </c>
      <c r="Y2205" s="35">
        <f>IF(W2205=MAXIFS(W$2:W$3601, A$2:A$3601, A2205, B$2:B$3601, B2205), "OPTIMAL", "")</f>
        <v/>
      </c>
    </row>
    <row r="2206" ht="20" customHeight="1">
      <c r="A2206" s="21" t="n">
        <v>-18</v>
      </c>
      <c r="B2206" s="21" t="n">
        <v>30</v>
      </c>
      <c r="C2206" s="22" t="n">
        <v>85</v>
      </c>
      <c r="D2206" s="22" t="n">
        <v>2</v>
      </c>
      <c r="E2206" s="23" t="n">
        <v>4</v>
      </c>
      <c r="F2206" s="22" t="n">
        <v>1.5</v>
      </c>
      <c r="G2206" s="23" t="inlineStr">
        <is>
          <t>Oui</t>
        </is>
      </c>
      <c r="H2206" s="23" t="inlineStr">
        <is>
          <t>ON</t>
        </is>
      </c>
      <c r="I2206" s="24" t="n">
        <v>674.4931640486259</v>
      </c>
      <c r="J2206" s="24" t="n">
        <v>5144.556481985902</v>
      </c>
      <c r="K2206" s="24" t="n">
        <v>3782.407407407407</v>
      </c>
      <c r="L2206" s="24" t="n">
        <v>150</v>
      </c>
      <c r="M2206" s="24">
        <f>I2206+J2206+K2206+L2206</f>
        <v/>
      </c>
      <c r="N2206" s="24">
        <f>M2206*'Dashboard &amp; Optimisation'!$B$18/('Dashboard &amp; Optimisation'!$B$16/3.6)</f>
        <v/>
      </c>
      <c r="O2206" s="24" t="n">
        <v>805.4878723216809</v>
      </c>
      <c r="P2206" s="25" t="n">
        <v>0.07982907988340278</v>
      </c>
      <c r="Q2206" s="26" t="n">
        <v>7.926206185533672</v>
      </c>
      <c r="R2206" s="24" t="n">
        <v>4637.144205936796</v>
      </c>
      <c r="S2206" s="24">
        <f>R2206*IF(A2206=4, 2.0, 3.0)</f>
        <v/>
      </c>
      <c r="T2206" s="22">
        <f>'Dashboard &amp; Optimisation'!$B$18*U2206</f>
        <v/>
      </c>
      <c r="U2206" s="27">
        <f>MIN(1, S2206/M2206)</f>
        <v/>
      </c>
      <c r="V2206" s="27">
        <f>N2206/(N2206+O2206)</f>
        <v/>
      </c>
      <c r="W2206" s="27">
        <f>U2206*V2206</f>
        <v/>
      </c>
      <c r="X2206" s="25">
        <f>T2206/N2206</f>
        <v/>
      </c>
      <c r="Y2206" s="28">
        <f>IF(W2206=MAXIFS(W$2:W$3601, A$2:A$3601, A2206, B$2:B$3601, B2206), "OPTIMAL", "")</f>
        <v/>
      </c>
    </row>
    <row r="2207" ht="20" customHeight="1">
      <c r="A2207" s="29" t="n">
        <v>-18</v>
      </c>
      <c r="B2207" s="29" t="n">
        <v>30</v>
      </c>
      <c r="C2207" s="30" t="n">
        <v>85</v>
      </c>
      <c r="D2207" s="30" t="n">
        <v>2</v>
      </c>
      <c r="E2207" s="6" t="n">
        <v>4</v>
      </c>
      <c r="F2207" s="30" t="n">
        <v>1.5</v>
      </c>
      <c r="G2207" s="6" t="inlineStr">
        <is>
          <t>Oui</t>
        </is>
      </c>
      <c r="H2207" s="6" t="inlineStr">
        <is>
          <t>OFF</t>
        </is>
      </c>
      <c r="I2207" s="31" t="n">
        <v>674.4931640486259</v>
      </c>
      <c r="J2207" s="31" t="n">
        <v>5144.556481985902</v>
      </c>
      <c r="K2207" s="31" t="n">
        <v>3782.407407407407</v>
      </c>
      <c r="L2207" s="31" t="n">
        <v>150</v>
      </c>
      <c r="M2207" s="31">
        <f>I2207+J2207+K2207+L2207</f>
        <v/>
      </c>
      <c r="N2207" s="31">
        <f>M2207*'Dashboard &amp; Optimisation'!$B$18/('Dashboard &amp; Optimisation'!$B$16/3.6)</f>
        <v/>
      </c>
      <c r="O2207" s="31" t="n">
        <v>805.4878723216809</v>
      </c>
      <c r="P2207" s="32" t="n">
        <v>0.3422773582181225</v>
      </c>
      <c r="Q2207" s="33" t="n">
        <v>7.926206185533672</v>
      </c>
      <c r="R2207" s="31" t="n">
        <v>1081.517507245348</v>
      </c>
      <c r="S2207" s="31">
        <f>R2207*IF(A2207=4, 2.0, 3.0)</f>
        <v/>
      </c>
      <c r="T2207" s="30">
        <f>'Dashboard &amp; Optimisation'!$B$18*U2207</f>
        <v/>
      </c>
      <c r="U2207" s="34">
        <f>MIN(1, S2207/M2207)</f>
        <v/>
      </c>
      <c r="V2207" s="34">
        <f>N2207/(N2207+O2207)</f>
        <v/>
      </c>
      <c r="W2207" s="34">
        <f>U2207*V2207</f>
        <v/>
      </c>
      <c r="X2207" s="32">
        <f>T2207/N2207</f>
        <v/>
      </c>
      <c r="Y2207" s="35">
        <f>IF(W2207=MAXIFS(W$2:W$3601, A$2:A$3601, A2207, B$2:B$3601, B2207), "OPTIMAL", "")</f>
        <v/>
      </c>
    </row>
    <row r="2208" ht="20" customHeight="1">
      <c r="A2208" s="21" t="n">
        <v>-18</v>
      </c>
      <c r="B2208" s="21" t="n">
        <v>30</v>
      </c>
      <c r="C2208" s="22" t="n">
        <v>85</v>
      </c>
      <c r="D2208" s="22" t="n">
        <v>2</v>
      </c>
      <c r="E2208" s="23" t="n">
        <v>4</v>
      </c>
      <c r="F2208" s="22" t="n">
        <v>1.5</v>
      </c>
      <c r="G2208" s="23" t="inlineStr">
        <is>
          <t>Non</t>
        </is>
      </c>
      <c r="H2208" s="23" t="inlineStr">
        <is>
          <t>ON</t>
        </is>
      </c>
      <c r="I2208" s="24" t="n">
        <v>674.4931640486259</v>
      </c>
      <c r="J2208" s="24" t="n">
        <v>5144.556481985902</v>
      </c>
      <c r="K2208" s="24" t="n">
        <v>3782.407407407407</v>
      </c>
      <c r="L2208" s="24" t="n">
        <v>150</v>
      </c>
      <c r="M2208" s="24">
        <f>I2208+J2208+K2208+L2208</f>
        <v/>
      </c>
      <c r="N2208" s="24">
        <f>M2208*'Dashboard &amp; Optimisation'!$B$18/('Dashboard &amp; Optimisation'!$B$16/3.6)</f>
        <v/>
      </c>
      <c r="O2208" s="24" t="n">
        <v>805.4878723216809</v>
      </c>
      <c r="P2208" s="25" t="n">
        <v>0.07608425769300524</v>
      </c>
      <c r="Q2208" s="26" t="n">
        <v>7.926206185533672</v>
      </c>
      <c r="R2208" s="24" t="n">
        <v>4865.381702746362</v>
      </c>
      <c r="S2208" s="24">
        <f>R2208*IF(A2208=4, 2.0, 3.0)</f>
        <v/>
      </c>
      <c r="T2208" s="22">
        <f>'Dashboard &amp; Optimisation'!$B$18*U2208</f>
        <v/>
      </c>
      <c r="U2208" s="27">
        <f>MIN(1, S2208/M2208)</f>
        <v/>
      </c>
      <c r="V2208" s="27">
        <f>N2208/(N2208+O2208)</f>
        <v/>
      </c>
      <c r="W2208" s="27">
        <f>U2208*V2208</f>
        <v/>
      </c>
      <c r="X2208" s="25">
        <f>T2208/N2208</f>
        <v/>
      </c>
      <c r="Y2208" s="28">
        <f>IF(W2208=MAXIFS(W$2:W$3601, A$2:A$3601, A2208, B$2:B$3601, B2208), "OPTIMAL", "")</f>
        <v/>
      </c>
    </row>
    <row r="2209" ht="20" customHeight="1">
      <c r="A2209" s="29" t="n">
        <v>-18</v>
      </c>
      <c r="B2209" s="29" t="n">
        <v>30</v>
      </c>
      <c r="C2209" s="30" t="n">
        <v>85</v>
      </c>
      <c r="D2209" s="30" t="n">
        <v>2</v>
      </c>
      <c r="E2209" s="6" t="n">
        <v>4</v>
      </c>
      <c r="F2209" s="30" t="n">
        <v>1.5</v>
      </c>
      <c r="G2209" s="6" t="inlineStr">
        <is>
          <t>Non</t>
        </is>
      </c>
      <c r="H2209" s="6" t="inlineStr">
        <is>
          <t>OFF</t>
        </is>
      </c>
      <c r="I2209" s="31" t="n">
        <v>674.4931640486259</v>
      </c>
      <c r="J2209" s="31" t="n">
        <v>5144.556481985902</v>
      </c>
      <c r="K2209" s="31" t="n">
        <v>3782.407407407407</v>
      </c>
      <c r="L2209" s="31" t="n">
        <v>150</v>
      </c>
      <c r="M2209" s="31">
        <f>I2209+J2209+K2209+L2209</f>
        <v/>
      </c>
      <c r="N2209" s="31">
        <f>M2209*'Dashboard &amp; Optimisation'!$B$18/('Dashboard &amp; Optimisation'!$B$16/3.6)</f>
        <v/>
      </c>
      <c r="O2209" s="31" t="n">
        <v>805.4878723216809</v>
      </c>
      <c r="P2209" s="32" t="n">
        <v>0.338532536027725</v>
      </c>
      <c r="Q2209" s="33" t="n">
        <v>7.926206185533672</v>
      </c>
      <c r="R2209" s="31" t="n">
        <v>1093.481174926921</v>
      </c>
      <c r="S2209" s="31">
        <f>R2209*IF(A2209=4, 2.0, 3.0)</f>
        <v/>
      </c>
      <c r="T2209" s="30">
        <f>'Dashboard &amp; Optimisation'!$B$18*U2209</f>
        <v/>
      </c>
      <c r="U2209" s="34">
        <f>MIN(1, S2209/M2209)</f>
        <v/>
      </c>
      <c r="V2209" s="34">
        <f>N2209/(N2209+O2209)</f>
        <v/>
      </c>
      <c r="W2209" s="34">
        <f>U2209*V2209</f>
        <v/>
      </c>
      <c r="X2209" s="32">
        <f>T2209/N2209</f>
        <v/>
      </c>
      <c r="Y2209" s="35">
        <f>IF(W2209=MAXIFS(W$2:W$3601, A$2:A$3601, A2209, B$2:B$3601, B2209), "OPTIMAL", "")</f>
        <v/>
      </c>
    </row>
    <row r="2210" ht="20" customHeight="1">
      <c r="A2210" s="21" t="n">
        <v>-18</v>
      </c>
      <c r="B2210" s="21" t="n">
        <v>30</v>
      </c>
      <c r="C2210" s="22" t="n">
        <v>85</v>
      </c>
      <c r="D2210" s="22" t="n">
        <v>2</v>
      </c>
      <c r="E2210" s="23" t="n">
        <v>4</v>
      </c>
      <c r="F2210" s="22" t="n">
        <v>2</v>
      </c>
      <c r="G2210" s="23" t="inlineStr">
        <is>
          <t>Oui</t>
        </is>
      </c>
      <c r="H2210" s="23" t="inlineStr">
        <is>
          <t>ON</t>
        </is>
      </c>
      <c r="I2210" s="24" t="n">
        <v>674.4931640486259</v>
      </c>
      <c r="J2210" s="24" t="n">
        <v>5144.556481985902</v>
      </c>
      <c r="K2210" s="24" t="n">
        <v>3782.407407407407</v>
      </c>
      <c r="L2210" s="24" t="n">
        <v>150</v>
      </c>
      <c r="M2210" s="24">
        <f>I2210+J2210+K2210+L2210</f>
        <v/>
      </c>
      <c r="N2210" s="24">
        <f>M2210*'Dashboard &amp; Optimisation'!$B$18/('Dashboard &amp; Optimisation'!$B$16/3.6)</f>
        <v/>
      </c>
      <c r="O2210" s="24" t="n">
        <v>912.1591668200774</v>
      </c>
      <c r="P2210" s="25" t="n">
        <v>0.07761847907948814</v>
      </c>
      <c r="Q2210" s="26" t="n">
        <v>10.50160824737823</v>
      </c>
      <c r="R2210" s="24" t="n">
        <v>4832.361986831506</v>
      </c>
      <c r="S2210" s="24">
        <f>R2210*IF(A2210=4, 2.0, 3.0)</f>
        <v/>
      </c>
      <c r="T2210" s="22">
        <f>'Dashboard &amp; Optimisation'!$B$18*U2210</f>
        <v/>
      </c>
      <c r="U2210" s="27">
        <f>MIN(1, S2210/M2210)</f>
        <v/>
      </c>
      <c r="V2210" s="27">
        <f>N2210/(N2210+O2210)</f>
        <v/>
      </c>
      <c r="W2210" s="27">
        <f>U2210*V2210</f>
        <v/>
      </c>
      <c r="X2210" s="25">
        <f>T2210/N2210</f>
        <v/>
      </c>
      <c r="Y2210" s="28">
        <f>IF(W2210=MAXIFS(W$2:W$3601, A$2:A$3601, A2210, B$2:B$3601, B2210), "OPTIMAL", "")</f>
        <v/>
      </c>
    </row>
    <row r="2211" ht="20" customHeight="1">
      <c r="A2211" s="29" t="n">
        <v>-18</v>
      </c>
      <c r="B2211" s="29" t="n">
        <v>30</v>
      </c>
      <c r="C2211" s="30" t="n">
        <v>85</v>
      </c>
      <c r="D2211" s="30" t="n">
        <v>2</v>
      </c>
      <c r="E2211" s="6" t="n">
        <v>4</v>
      </c>
      <c r="F2211" s="30" t="n">
        <v>2</v>
      </c>
      <c r="G2211" s="6" t="inlineStr">
        <is>
          <t>Oui</t>
        </is>
      </c>
      <c r="H2211" s="6" t="inlineStr">
        <is>
          <t>OFF</t>
        </is>
      </c>
      <c r="I2211" s="31" t="n">
        <v>674.4931640486259</v>
      </c>
      <c r="J2211" s="31" t="n">
        <v>5144.556481985902</v>
      </c>
      <c r="K2211" s="31" t="n">
        <v>3782.407407407407</v>
      </c>
      <c r="L2211" s="31" t="n">
        <v>150</v>
      </c>
      <c r="M2211" s="31">
        <f>I2211+J2211+K2211+L2211</f>
        <v/>
      </c>
      <c r="N2211" s="31">
        <f>M2211*'Dashboard &amp; Optimisation'!$B$18/('Dashboard &amp; Optimisation'!$B$16/3.6)</f>
        <v/>
      </c>
      <c r="O2211" s="31" t="n">
        <v>912.1591668200774</v>
      </c>
      <c r="P2211" s="32" t="n">
        <v>0.3414492073746781</v>
      </c>
      <c r="Q2211" s="33" t="n">
        <v>10.50160824737823</v>
      </c>
      <c r="R2211" s="31" t="n">
        <v>1098.495997877109</v>
      </c>
      <c r="S2211" s="31">
        <f>R2211*IF(A2211=4, 2.0, 3.0)</f>
        <v/>
      </c>
      <c r="T2211" s="30">
        <f>'Dashboard &amp; Optimisation'!$B$18*U2211</f>
        <v/>
      </c>
      <c r="U2211" s="34">
        <f>MIN(1, S2211/M2211)</f>
        <v/>
      </c>
      <c r="V2211" s="34">
        <f>N2211/(N2211+O2211)</f>
        <v/>
      </c>
      <c r="W2211" s="34">
        <f>U2211*V2211</f>
        <v/>
      </c>
      <c r="X2211" s="32">
        <f>T2211/N2211</f>
        <v/>
      </c>
      <c r="Y2211" s="35">
        <f>IF(W2211=MAXIFS(W$2:W$3601, A$2:A$3601, A2211, B$2:B$3601, B2211), "OPTIMAL", "")</f>
        <v/>
      </c>
    </row>
    <row r="2212" ht="20" customHeight="1">
      <c r="A2212" s="21" t="n">
        <v>-18</v>
      </c>
      <c r="B2212" s="21" t="n">
        <v>30</v>
      </c>
      <c r="C2212" s="22" t="n">
        <v>85</v>
      </c>
      <c r="D2212" s="22" t="n">
        <v>2</v>
      </c>
      <c r="E2212" s="23" t="n">
        <v>4</v>
      </c>
      <c r="F2212" s="22" t="n">
        <v>2</v>
      </c>
      <c r="G2212" s="23" t="inlineStr">
        <is>
          <t>Non</t>
        </is>
      </c>
      <c r="H2212" s="23" t="inlineStr">
        <is>
          <t>ON</t>
        </is>
      </c>
      <c r="I2212" s="24" t="n">
        <v>674.4931640486259</v>
      </c>
      <c r="J2212" s="24" t="n">
        <v>5144.556481985902</v>
      </c>
      <c r="K2212" s="24" t="n">
        <v>3782.407407407407</v>
      </c>
      <c r="L2212" s="24" t="n">
        <v>150</v>
      </c>
      <c r="M2212" s="24">
        <f>I2212+J2212+K2212+L2212</f>
        <v/>
      </c>
      <c r="N2212" s="24">
        <f>M2212*'Dashboard &amp; Optimisation'!$B$18/('Dashboard &amp; Optimisation'!$B$16/3.6)</f>
        <v/>
      </c>
      <c r="O2212" s="24" t="n">
        <v>912.1591668200774</v>
      </c>
      <c r="P2212" s="25" t="n">
        <v>0.0738736568890906</v>
      </c>
      <c r="Q2212" s="26" t="n">
        <v>10.50160824737823</v>
      </c>
      <c r="R2212" s="24" t="n">
        <v>5077.325308838009</v>
      </c>
      <c r="S2212" s="24">
        <f>R2212*IF(A2212=4, 2.0, 3.0)</f>
        <v/>
      </c>
      <c r="T2212" s="22">
        <f>'Dashboard &amp; Optimisation'!$B$18*U2212</f>
        <v/>
      </c>
      <c r="U2212" s="27">
        <f>MIN(1, S2212/M2212)</f>
        <v/>
      </c>
      <c r="V2212" s="27">
        <f>N2212/(N2212+O2212)</f>
        <v/>
      </c>
      <c r="W2212" s="27">
        <f>U2212*V2212</f>
        <v/>
      </c>
      <c r="X2212" s="25">
        <f>T2212/N2212</f>
        <v/>
      </c>
      <c r="Y2212" s="28">
        <f>IF(W2212=MAXIFS(W$2:W$3601, A$2:A$3601, A2212, B$2:B$3601, B2212), "OPTIMAL", "")</f>
        <v/>
      </c>
    </row>
    <row r="2213" ht="20" customHeight="1">
      <c r="A2213" s="29" t="n">
        <v>-18</v>
      </c>
      <c r="B2213" s="29" t="n">
        <v>30</v>
      </c>
      <c r="C2213" s="30" t="n">
        <v>85</v>
      </c>
      <c r="D2213" s="30" t="n">
        <v>2</v>
      </c>
      <c r="E2213" s="6" t="n">
        <v>4</v>
      </c>
      <c r="F2213" s="30" t="n">
        <v>2</v>
      </c>
      <c r="G2213" s="6" t="inlineStr">
        <is>
          <t>Non</t>
        </is>
      </c>
      <c r="H2213" s="6" t="inlineStr">
        <is>
          <t>OFF</t>
        </is>
      </c>
      <c r="I2213" s="31" t="n">
        <v>674.4931640486259</v>
      </c>
      <c r="J2213" s="31" t="n">
        <v>5144.556481985902</v>
      </c>
      <c r="K2213" s="31" t="n">
        <v>3782.407407407407</v>
      </c>
      <c r="L2213" s="31" t="n">
        <v>150</v>
      </c>
      <c r="M2213" s="31">
        <f>I2213+J2213+K2213+L2213</f>
        <v/>
      </c>
      <c r="N2213" s="31">
        <f>M2213*'Dashboard &amp; Optimisation'!$B$18/('Dashboard &amp; Optimisation'!$B$16/3.6)</f>
        <v/>
      </c>
      <c r="O2213" s="31" t="n">
        <v>912.1591668200774</v>
      </c>
      <c r="P2213" s="32" t="n">
        <v>0.3377043851842806</v>
      </c>
      <c r="Q2213" s="33" t="n">
        <v>10.50160824737823</v>
      </c>
      <c r="R2213" s="31" t="n">
        <v>1110.677279404349</v>
      </c>
      <c r="S2213" s="31">
        <f>R2213*IF(A2213=4, 2.0, 3.0)</f>
        <v/>
      </c>
      <c r="T2213" s="30">
        <f>'Dashboard &amp; Optimisation'!$B$18*U2213</f>
        <v/>
      </c>
      <c r="U2213" s="34">
        <f>MIN(1, S2213/M2213)</f>
        <v/>
      </c>
      <c r="V2213" s="34">
        <f>N2213/(N2213+O2213)</f>
        <v/>
      </c>
      <c r="W2213" s="34">
        <f>U2213*V2213</f>
        <v/>
      </c>
      <c r="X2213" s="32">
        <f>T2213/N2213</f>
        <v/>
      </c>
      <c r="Y2213" s="35">
        <f>IF(W2213=MAXIFS(W$2:W$3601, A$2:A$3601, A2213, B$2:B$3601, B2213), "OPTIMAL", "")</f>
        <v/>
      </c>
    </row>
    <row r="2214" ht="20" customHeight="1">
      <c r="A2214" s="21" t="n">
        <v>-18</v>
      </c>
      <c r="B2214" s="21" t="n">
        <v>30</v>
      </c>
      <c r="C2214" s="22" t="n">
        <v>85</v>
      </c>
      <c r="D2214" s="22" t="n">
        <v>2</v>
      </c>
      <c r="E2214" s="23" t="n">
        <v>8</v>
      </c>
      <c r="F2214" s="22" t="n">
        <v>1.5</v>
      </c>
      <c r="G2214" s="23" t="inlineStr">
        <is>
          <t>Oui</t>
        </is>
      </c>
      <c r="H2214" s="23" t="inlineStr">
        <is>
          <t>ON</t>
        </is>
      </c>
      <c r="I2214" s="24" t="n">
        <v>674.4931640486259</v>
      </c>
      <c r="J2214" s="24" t="n">
        <v>5144.556481985902</v>
      </c>
      <c r="K2214" s="24" t="n">
        <v>3782.407407407407</v>
      </c>
      <c r="L2214" s="24" t="n">
        <v>150</v>
      </c>
      <c r="M2214" s="24">
        <f>I2214+J2214+K2214+L2214</f>
        <v/>
      </c>
      <c r="N2214" s="24">
        <f>M2214*'Dashboard &amp; Optimisation'!$B$18/('Dashboard &amp; Optimisation'!$B$16/3.6)</f>
        <v/>
      </c>
      <c r="O2214" s="24" t="n">
        <v>1134.207062556638</v>
      </c>
      <c r="P2214" s="25" t="n">
        <v>0.05983888553171247</v>
      </c>
      <c r="Q2214" s="26" t="n">
        <v>15.65241237106734</v>
      </c>
      <c r="R2214" s="24" t="n">
        <v>6438.687240403238</v>
      </c>
      <c r="S2214" s="24">
        <f>R2214*IF(A2214=4, 2.0, 3.0)</f>
        <v/>
      </c>
      <c r="T2214" s="22">
        <f>'Dashboard &amp; Optimisation'!$B$18*U2214</f>
        <v/>
      </c>
      <c r="U2214" s="27">
        <f>MIN(1, S2214/M2214)</f>
        <v/>
      </c>
      <c r="V2214" s="27">
        <f>N2214/(N2214+O2214)</f>
        <v/>
      </c>
      <c r="W2214" s="27">
        <f>U2214*V2214</f>
        <v/>
      </c>
      <c r="X2214" s="25">
        <f>T2214/N2214</f>
        <v/>
      </c>
      <c r="Y2214" s="28">
        <f>IF(W2214=MAXIFS(W$2:W$3601, A$2:A$3601, A2214, B$2:B$3601, B2214), "OPTIMAL", "")</f>
        <v/>
      </c>
    </row>
    <row r="2215" ht="20" customHeight="1">
      <c r="A2215" s="29" t="n">
        <v>-18</v>
      </c>
      <c r="B2215" s="29" t="n">
        <v>30</v>
      </c>
      <c r="C2215" s="30" t="n">
        <v>85</v>
      </c>
      <c r="D2215" s="30" t="n">
        <v>2</v>
      </c>
      <c r="E2215" s="6" t="n">
        <v>8</v>
      </c>
      <c r="F2215" s="30" t="n">
        <v>1.5</v>
      </c>
      <c r="G2215" s="6" t="inlineStr">
        <is>
          <t>Oui</t>
        </is>
      </c>
      <c r="H2215" s="6" t="inlineStr">
        <is>
          <t>OFF</t>
        </is>
      </c>
      <c r="I2215" s="31" t="n">
        <v>674.4931640486259</v>
      </c>
      <c r="J2215" s="31" t="n">
        <v>5144.556481985902</v>
      </c>
      <c r="K2215" s="31" t="n">
        <v>3782.407407407407</v>
      </c>
      <c r="L2215" s="31" t="n">
        <v>150</v>
      </c>
      <c r="M2215" s="31">
        <f>I2215+J2215+K2215+L2215</f>
        <v/>
      </c>
      <c r="N2215" s="31">
        <f>M2215*'Dashboard &amp; Optimisation'!$B$18/('Dashboard &amp; Optimisation'!$B$16/3.6)</f>
        <v/>
      </c>
      <c r="O2215" s="31" t="n">
        <v>1134.207062556638</v>
      </c>
      <c r="P2215" s="32" t="n">
        <v>0.261849893463025</v>
      </c>
      <c r="Q2215" s="33" t="n">
        <v>15.65241237106734</v>
      </c>
      <c r="R2215" s="31" t="n">
        <v>1471.392115755785</v>
      </c>
      <c r="S2215" s="31">
        <f>R2215*IF(A2215=4, 2.0, 3.0)</f>
        <v/>
      </c>
      <c r="T2215" s="30">
        <f>'Dashboard &amp; Optimisation'!$B$18*U2215</f>
        <v/>
      </c>
      <c r="U2215" s="34">
        <f>MIN(1, S2215/M2215)</f>
        <v/>
      </c>
      <c r="V2215" s="34">
        <f>N2215/(N2215+O2215)</f>
        <v/>
      </c>
      <c r="W2215" s="34">
        <f>U2215*V2215</f>
        <v/>
      </c>
      <c r="X2215" s="32">
        <f>T2215/N2215</f>
        <v/>
      </c>
      <c r="Y2215" s="35">
        <f>IF(W2215=MAXIFS(W$2:W$3601, A$2:A$3601, A2215, B$2:B$3601, B2215), "OPTIMAL", "")</f>
        <v/>
      </c>
    </row>
    <row r="2216" ht="20" customHeight="1">
      <c r="A2216" s="21" t="n">
        <v>-18</v>
      </c>
      <c r="B2216" s="21" t="n">
        <v>30</v>
      </c>
      <c r="C2216" s="22" t="n">
        <v>85</v>
      </c>
      <c r="D2216" s="22" t="n">
        <v>2</v>
      </c>
      <c r="E2216" s="23" t="n">
        <v>8</v>
      </c>
      <c r="F2216" s="22" t="n">
        <v>1.5</v>
      </c>
      <c r="G2216" s="23" t="inlineStr">
        <is>
          <t>Non</t>
        </is>
      </c>
      <c r="H2216" s="23" t="inlineStr">
        <is>
          <t>ON</t>
        </is>
      </c>
      <c r="I2216" s="24" t="n">
        <v>674.4931640486259</v>
      </c>
      <c r="J2216" s="24" t="n">
        <v>5144.556481985902</v>
      </c>
      <c r="K2216" s="24" t="n">
        <v>3782.407407407407</v>
      </c>
      <c r="L2216" s="24" t="n">
        <v>150</v>
      </c>
      <c r="M2216" s="24">
        <f>I2216+J2216+K2216+L2216</f>
        <v/>
      </c>
      <c r="N2216" s="24">
        <f>M2216*'Dashboard &amp; Optimisation'!$B$18/('Dashboard &amp; Optimisation'!$B$16/3.6)</f>
        <v/>
      </c>
      <c r="O2216" s="24" t="n">
        <v>1134.207062556638</v>
      </c>
      <c r="P2216" s="25" t="n">
        <v>0.05609406334131493</v>
      </c>
      <c r="Q2216" s="26" t="n">
        <v>15.65241237106734</v>
      </c>
      <c r="R2216" s="24" t="n">
        <v>6868.531994351248</v>
      </c>
      <c r="S2216" s="24">
        <f>R2216*IF(A2216=4, 2.0, 3.0)</f>
        <v/>
      </c>
      <c r="T2216" s="22">
        <f>'Dashboard &amp; Optimisation'!$B$18*U2216</f>
        <v/>
      </c>
      <c r="U2216" s="27">
        <f>MIN(1, S2216/M2216)</f>
        <v/>
      </c>
      <c r="V2216" s="27">
        <f>N2216/(N2216+O2216)</f>
        <v/>
      </c>
      <c r="W2216" s="27">
        <f>U2216*V2216</f>
        <v/>
      </c>
      <c r="X2216" s="25">
        <f>T2216/N2216</f>
        <v/>
      </c>
      <c r="Y2216" s="28">
        <f>IF(W2216=MAXIFS(W$2:W$3601, A$2:A$3601, A2216, B$2:B$3601, B2216), "OPTIMAL", "")</f>
        <v/>
      </c>
    </row>
    <row r="2217" ht="20" customHeight="1">
      <c r="A2217" s="29" t="n">
        <v>-18</v>
      </c>
      <c r="B2217" s="29" t="n">
        <v>30</v>
      </c>
      <c r="C2217" s="30" t="n">
        <v>85</v>
      </c>
      <c r="D2217" s="30" t="n">
        <v>2</v>
      </c>
      <c r="E2217" s="6" t="n">
        <v>8</v>
      </c>
      <c r="F2217" s="30" t="n">
        <v>1.5</v>
      </c>
      <c r="G2217" s="6" t="inlineStr">
        <is>
          <t>Non</t>
        </is>
      </c>
      <c r="H2217" s="6" t="inlineStr">
        <is>
          <t>OFF</t>
        </is>
      </c>
      <c r="I2217" s="31" t="n">
        <v>674.4931640486259</v>
      </c>
      <c r="J2217" s="31" t="n">
        <v>5144.556481985902</v>
      </c>
      <c r="K2217" s="31" t="n">
        <v>3782.407407407407</v>
      </c>
      <c r="L2217" s="31" t="n">
        <v>150</v>
      </c>
      <c r="M2217" s="31">
        <f>I2217+J2217+K2217+L2217</f>
        <v/>
      </c>
      <c r="N2217" s="31">
        <f>M2217*'Dashboard &amp; Optimisation'!$B$18/('Dashboard &amp; Optimisation'!$B$16/3.6)</f>
        <v/>
      </c>
      <c r="O2217" s="31" t="n">
        <v>1134.207062556638</v>
      </c>
      <c r="P2217" s="32" t="n">
        <v>0.2581050712726274</v>
      </c>
      <c r="Q2217" s="33" t="n">
        <v>15.65241237106734</v>
      </c>
      <c r="R2217" s="31" t="n">
        <v>1492.74040549953</v>
      </c>
      <c r="S2217" s="31">
        <f>R2217*IF(A2217=4, 2.0, 3.0)</f>
        <v/>
      </c>
      <c r="T2217" s="30">
        <f>'Dashboard &amp; Optimisation'!$B$18*U2217</f>
        <v/>
      </c>
      <c r="U2217" s="34">
        <f>MIN(1, S2217/M2217)</f>
        <v/>
      </c>
      <c r="V2217" s="34">
        <f>N2217/(N2217+O2217)</f>
        <v/>
      </c>
      <c r="W2217" s="34">
        <f>U2217*V2217</f>
        <v/>
      </c>
      <c r="X2217" s="32">
        <f>T2217/N2217</f>
        <v/>
      </c>
      <c r="Y2217" s="35">
        <f>IF(W2217=MAXIFS(W$2:W$3601, A$2:A$3601, A2217, B$2:B$3601, B2217), "OPTIMAL", "")</f>
        <v/>
      </c>
    </row>
    <row r="2218" ht="20" customHeight="1">
      <c r="A2218" s="21" t="n">
        <v>-18</v>
      </c>
      <c r="B2218" s="21" t="n">
        <v>30</v>
      </c>
      <c r="C2218" s="22" t="n">
        <v>85</v>
      </c>
      <c r="D2218" s="22" t="n">
        <v>2</v>
      </c>
      <c r="E2218" s="23" t="n">
        <v>8</v>
      </c>
      <c r="F2218" s="22" t="n">
        <v>2</v>
      </c>
      <c r="G2218" s="23" t="inlineStr">
        <is>
          <t>Oui</t>
        </is>
      </c>
      <c r="H2218" s="23" t="inlineStr">
        <is>
          <t>ON</t>
        </is>
      </c>
      <c r="I2218" s="24" t="n">
        <v>674.4931640486259</v>
      </c>
      <c r="J2218" s="24" t="n">
        <v>5144.556481985902</v>
      </c>
      <c r="K2218" s="24" t="n">
        <v>3782.407407407407</v>
      </c>
      <c r="L2218" s="24" t="n">
        <v>150</v>
      </c>
      <c r="M2218" s="24">
        <f>I2218+J2218+K2218+L2218</f>
        <v/>
      </c>
      <c r="N2218" s="24">
        <f>M2218*'Dashboard &amp; Optimisation'!$B$18/('Dashboard &amp; Optimisation'!$B$16/3.6)</f>
        <v/>
      </c>
      <c r="O2218" s="24" t="n">
        <v>1368.673472832393</v>
      </c>
      <c r="P2218" s="25" t="n">
        <v>0.0588807326139491</v>
      </c>
      <c r="Q2218" s="26" t="n">
        <v>20.80321649475646</v>
      </c>
      <c r="R2218" s="24" t="n">
        <v>6726.441281607306</v>
      </c>
      <c r="S2218" s="24">
        <f>R2218*IF(A2218=4, 2.0, 3.0)</f>
        <v/>
      </c>
      <c r="T2218" s="22">
        <f>'Dashboard &amp; Optimisation'!$B$18*U2218</f>
        <v/>
      </c>
      <c r="U2218" s="27">
        <f>MIN(1, S2218/M2218)</f>
        <v/>
      </c>
      <c r="V2218" s="27">
        <f>N2218/(N2218+O2218)</f>
        <v/>
      </c>
      <c r="W2218" s="27">
        <f>U2218*V2218</f>
        <v/>
      </c>
      <c r="X2218" s="25">
        <f>T2218/N2218</f>
        <v/>
      </c>
      <c r="Y2218" s="28">
        <f>IF(W2218=MAXIFS(W$2:W$3601, A$2:A$3601, A2218, B$2:B$3601, B2218), "OPTIMAL", "")</f>
        <v/>
      </c>
    </row>
    <row r="2219" ht="20" customHeight="1">
      <c r="A2219" s="29" t="n">
        <v>-18</v>
      </c>
      <c r="B2219" s="29" t="n">
        <v>30</v>
      </c>
      <c r="C2219" s="30" t="n">
        <v>85</v>
      </c>
      <c r="D2219" s="30" t="n">
        <v>2</v>
      </c>
      <c r="E2219" s="6" t="n">
        <v>8</v>
      </c>
      <c r="F2219" s="30" t="n">
        <v>2</v>
      </c>
      <c r="G2219" s="6" t="inlineStr">
        <is>
          <t>Oui</t>
        </is>
      </c>
      <c r="H2219" s="6" t="inlineStr">
        <is>
          <t>OFF</t>
        </is>
      </c>
      <c r="I2219" s="31" t="n">
        <v>674.4931640486259</v>
      </c>
      <c r="J2219" s="31" t="n">
        <v>5144.556481985902</v>
      </c>
      <c r="K2219" s="31" t="n">
        <v>3782.407407407407</v>
      </c>
      <c r="L2219" s="31" t="n">
        <v>150</v>
      </c>
      <c r="M2219" s="31">
        <f>I2219+J2219+K2219+L2219</f>
        <v/>
      </c>
      <c r="N2219" s="31">
        <f>M2219*'Dashboard &amp; Optimisation'!$B$18/('Dashboard &amp; Optimisation'!$B$16/3.6)</f>
        <v/>
      </c>
      <c r="O2219" s="31" t="n">
        <v>1368.673472832393</v>
      </c>
      <c r="P2219" s="32" t="n">
        <v>0.2625350412538471</v>
      </c>
      <c r="Q2219" s="33" t="n">
        <v>20.80321649475646</v>
      </c>
      <c r="R2219" s="31" t="n">
        <v>1508.590200585063</v>
      </c>
      <c r="S2219" s="31">
        <f>R2219*IF(A2219=4, 2.0, 3.0)</f>
        <v/>
      </c>
      <c r="T2219" s="30">
        <f>'Dashboard &amp; Optimisation'!$B$18*U2219</f>
        <v/>
      </c>
      <c r="U2219" s="34">
        <f>MIN(1, S2219/M2219)</f>
        <v/>
      </c>
      <c r="V2219" s="34">
        <f>N2219/(N2219+O2219)</f>
        <v/>
      </c>
      <c r="W2219" s="34">
        <f>U2219*V2219</f>
        <v/>
      </c>
      <c r="X2219" s="32">
        <f>T2219/N2219</f>
        <v/>
      </c>
      <c r="Y2219" s="35">
        <f>IF(W2219=MAXIFS(W$2:W$3601, A$2:A$3601, A2219, B$2:B$3601, B2219), "OPTIMAL", "")</f>
        <v/>
      </c>
    </row>
    <row r="2220" ht="20" customHeight="1">
      <c r="A2220" s="21" t="n">
        <v>-18</v>
      </c>
      <c r="B2220" s="21" t="n">
        <v>30</v>
      </c>
      <c r="C2220" s="22" t="n">
        <v>85</v>
      </c>
      <c r="D2220" s="22" t="n">
        <v>2</v>
      </c>
      <c r="E2220" s="23" t="n">
        <v>8</v>
      </c>
      <c r="F2220" s="22" t="n">
        <v>2</v>
      </c>
      <c r="G2220" s="23" t="inlineStr">
        <is>
          <t>Non</t>
        </is>
      </c>
      <c r="H2220" s="23" t="inlineStr">
        <is>
          <t>ON</t>
        </is>
      </c>
      <c r="I2220" s="24" t="n">
        <v>674.4931640486259</v>
      </c>
      <c r="J2220" s="24" t="n">
        <v>5144.556481985902</v>
      </c>
      <c r="K2220" s="24" t="n">
        <v>3782.407407407407</v>
      </c>
      <c r="L2220" s="24" t="n">
        <v>150</v>
      </c>
      <c r="M2220" s="24">
        <f>I2220+J2220+K2220+L2220</f>
        <v/>
      </c>
      <c r="N2220" s="24">
        <f>M2220*'Dashboard &amp; Optimisation'!$B$18/('Dashboard &amp; Optimisation'!$B$16/3.6)</f>
        <v/>
      </c>
      <c r="O2220" s="24" t="n">
        <v>1368.673472832393</v>
      </c>
      <c r="P2220" s="25" t="n">
        <v>0.05513591042355157</v>
      </c>
      <c r="Q2220" s="26" t="n">
        <v>20.80321649475646</v>
      </c>
      <c r="R2220" s="24" t="n">
        <v>7183.300094316952</v>
      </c>
      <c r="S2220" s="24">
        <f>R2220*IF(A2220=4, 2.0, 3.0)</f>
        <v/>
      </c>
      <c r="T2220" s="22">
        <f>'Dashboard &amp; Optimisation'!$B$18*U2220</f>
        <v/>
      </c>
      <c r="U2220" s="27">
        <f>MIN(1, S2220/M2220)</f>
        <v/>
      </c>
      <c r="V2220" s="27">
        <f>N2220/(N2220+O2220)</f>
        <v/>
      </c>
      <c r="W2220" s="27">
        <f>U2220*V2220</f>
        <v/>
      </c>
      <c r="X2220" s="25">
        <f>T2220/N2220</f>
        <v/>
      </c>
      <c r="Y2220" s="28">
        <f>IF(W2220=MAXIFS(W$2:W$3601, A$2:A$3601, A2220, B$2:B$3601, B2220), "OPTIMAL", "")</f>
        <v/>
      </c>
    </row>
    <row r="2221" ht="20" customHeight="1">
      <c r="A2221" s="29" t="n">
        <v>-18</v>
      </c>
      <c r="B2221" s="29" t="n">
        <v>30</v>
      </c>
      <c r="C2221" s="30" t="n">
        <v>85</v>
      </c>
      <c r="D2221" s="30" t="n">
        <v>2</v>
      </c>
      <c r="E2221" s="6" t="n">
        <v>8</v>
      </c>
      <c r="F2221" s="30" t="n">
        <v>2</v>
      </c>
      <c r="G2221" s="6" t="inlineStr">
        <is>
          <t>Non</t>
        </is>
      </c>
      <c r="H2221" s="6" t="inlineStr">
        <is>
          <t>OFF</t>
        </is>
      </c>
      <c r="I2221" s="31" t="n">
        <v>674.4931640486259</v>
      </c>
      <c r="J2221" s="31" t="n">
        <v>5144.556481985902</v>
      </c>
      <c r="K2221" s="31" t="n">
        <v>3782.407407407407</v>
      </c>
      <c r="L2221" s="31" t="n">
        <v>150</v>
      </c>
      <c r="M2221" s="31">
        <f>I2221+J2221+K2221+L2221</f>
        <v/>
      </c>
      <c r="N2221" s="31">
        <f>M2221*'Dashboard &amp; Optimisation'!$B$18/('Dashboard &amp; Optimisation'!$B$16/3.6)</f>
        <v/>
      </c>
      <c r="O2221" s="31" t="n">
        <v>1368.673472832393</v>
      </c>
      <c r="P2221" s="32" t="n">
        <v>0.2587902190634496</v>
      </c>
      <c r="Q2221" s="33" t="n">
        <v>20.80321649475646</v>
      </c>
      <c r="R2221" s="31" t="n">
        <v>1530.420245320958</v>
      </c>
      <c r="S2221" s="31">
        <f>R2221*IF(A2221=4, 2.0, 3.0)</f>
        <v/>
      </c>
      <c r="T2221" s="30">
        <f>'Dashboard &amp; Optimisation'!$B$18*U2221</f>
        <v/>
      </c>
      <c r="U2221" s="34">
        <f>MIN(1, S2221/M2221)</f>
        <v/>
      </c>
      <c r="V2221" s="34">
        <f>N2221/(N2221+O2221)</f>
        <v/>
      </c>
      <c r="W2221" s="34">
        <f>U2221*V2221</f>
        <v/>
      </c>
      <c r="X2221" s="32">
        <f>T2221/N2221</f>
        <v/>
      </c>
      <c r="Y2221" s="35">
        <f>IF(W2221=MAXIFS(W$2:W$3601, A$2:A$3601, A2221, B$2:B$3601, B2221), "OPTIMAL", "")</f>
        <v/>
      </c>
    </row>
    <row r="2222" ht="20" customHeight="1">
      <c r="A2222" s="21" t="n">
        <v>-18</v>
      </c>
      <c r="B2222" s="21" t="n">
        <v>30</v>
      </c>
      <c r="C2222" s="22" t="n">
        <v>85</v>
      </c>
      <c r="D2222" s="22" t="n">
        <v>3</v>
      </c>
      <c r="E2222" s="23" t="n">
        <v>0</v>
      </c>
      <c r="F2222" s="22" t="n">
        <v>0</v>
      </c>
      <c r="G2222" s="23" t="inlineStr">
        <is>
          <t>Oui</t>
        </is>
      </c>
      <c r="H2222" s="23" t="inlineStr">
        <is>
          <t>ON</t>
        </is>
      </c>
      <c r="I2222" s="24" t="n">
        <v>674.4931640486259</v>
      </c>
      <c r="J2222" s="24" t="n">
        <v>5144.556481985902</v>
      </c>
      <c r="K2222" s="24" t="n">
        <v>3782.407407407407</v>
      </c>
      <c r="L2222" s="24" t="n">
        <v>150</v>
      </c>
      <c r="M2222" s="24">
        <f>I2222+J2222+K2222+L2222</f>
        <v/>
      </c>
      <c r="N2222" s="24">
        <f>M2222*'Dashboard &amp; Optimisation'!$B$18/('Dashboard &amp; Optimisation'!$B$16/3.6)</f>
        <v/>
      </c>
      <c r="O2222" s="24" t="n">
        <v>781.4033150670671</v>
      </c>
      <c r="P2222" s="25" t="n">
        <v>0.4953095672830083</v>
      </c>
      <c r="Q2222" s="26" t="n">
        <v>0.2</v>
      </c>
      <c r="R2222" s="24" t="n">
        <v>756.0487307076281</v>
      </c>
      <c r="S2222" s="24">
        <f>R2222*IF(A2222=4, 2.0, 3.0)</f>
        <v/>
      </c>
      <c r="T2222" s="22">
        <f>'Dashboard &amp; Optimisation'!$B$18*U2222</f>
        <v/>
      </c>
      <c r="U2222" s="27">
        <f>MIN(1, S2222/M2222)</f>
        <v/>
      </c>
      <c r="V2222" s="27">
        <f>N2222/(N2222+O2222)</f>
        <v/>
      </c>
      <c r="W2222" s="27">
        <f>U2222*V2222</f>
        <v/>
      </c>
      <c r="X2222" s="25">
        <f>T2222/N2222</f>
        <v/>
      </c>
      <c r="Y2222" s="28">
        <f>IF(W2222=MAXIFS(W$2:W$3601, A$2:A$3601, A2222, B$2:B$3601, B2222), "OPTIMAL", "")</f>
        <v/>
      </c>
    </row>
    <row r="2223" ht="20" customHeight="1">
      <c r="A2223" s="29" t="n">
        <v>-18</v>
      </c>
      <c r="B2223" s="29" t="n">
        <v>30</v>
      </c>
      <c r="C2223" s="30" t="n">
        <v>85</v>
      </c>
      <c r="D2223" s="30" t="n">
        <v>3</v>
      </c>
      <c r="E2223" s="6" t="n">
        <v>0</v>
      </c>
      <c r="F2223" s="30" t="n">
        <v>0</v>
      </c>
      <c r="G2223" s="6" t="inlineStr">
        <is>
          <t>Oui</t>
        </is>
      </c>
      <c r="H2223" s="6" t="inlineStr">
        <is>
          <t>OFF</t>
        </is>
      </c>
      <c r="I2223" s="31" t="n">
        <v>674.4931640486259</v>
      </c>
      <c r="J2223" s="31" t="n">
        <v>5144.556481985902</v>
      </c>
      <c r="K2223" s="31" t="n">
        <v>3782.407407407407</v>
      </c>
      <c r="L2223" s="31" t="n">
        <v>150</v>
      </c>
      <c r="M2223" s="31">
        <f>I2223+J2223+K2223+L2223</f>
        <v/>
      </c>
      <c r="N2223" s="31">
        <f>M2223*'Dashboard &amp; Optimisation'!$B$18/('Dashboard &amp; Optimisation'!$B$16/3.6)</f>
        <v/>
      </c>
      <c r="O2223" s="31" t="n">
        <v>781.4033150670671</v>
      </c>
      <c r="P2223" s="32" t="n">
        <v>0.869791786322762</v>
      </c>
      <c r="Q2223" s="33" t="n">
        <v>0.2</v>
      </c>
      <c r="R2223" s="31" t="n">
        <v>430.5377166584345</v>
      </c>
      <c r="S2223" s="31">
        <f>R2223*IF(A2223=4, 2.0, 3.0)</f>
        <v/>
      </c>
      <c r="T2223" s="30">
        <f>'Dashboard &amp; Optimisation'!$B$18*U2223</f>
        <v/>
      </c>
      <c r="U2223" s="34">
        <f>MIN(1, S2223/M2223)</f>
        <v/>
      </c>
      <c r="V2223" s="34">
        <f>N2223/(N2223+O2223)</f>
        <v/>
      </c>
      <c r="W2223" s="34">
        <f>U2223*V2223</f>
        <v/>
      </c>
      <c r="X2223" s="32">
        <f>T2223/N2223</f>
        <v/>
      </c>
      <c r="Y2223" s="35">
        <f>IF(W2223=MAXIFS(W$2:W$3601, A$2:A$3601, A2223, B$2:B$3601, B2223), "OPTIMAL", "")</f>
        <v/>
      </c>
    </row>
    <row r="2224" ht="20" customHeight="1">
      <c r="A2224" s="21" t="n">
        <v>-18</v>
      </c>
      <c r="B2224" s="21" t="n">
        <v>30</v>
      </c>
      <c r="C2224" s="22" t="n">
        <v>85</v>
      </c>
      <c r="D2224" s="22" t="n">
        <v>3</v>
      </c>
      <c r="E2224" s="23" t="n">
        <v>0</v>
      </c>
      <c r="F2224" s="22" t="n">
        <v>0</v>
      </c>
      <c r="G2224" s="23" t="inlineStr">
        <is>
          <t>Non</t>
        </is>
      </c>
      <c r="H2224" s="23" t="inlineStr">
        <is>
          <t>ON</t>
        </is>
      </c>
      <c r="I2224" s="24" t="n">
        <v>674.4931640486259</v>
      </c>
      <c r="J2224" s="24" t="n">
        <v>5144.556481985902</v>
      </c>
      <c r="K2224" s="24" t="n">
        <v>3782.407407407407</v>
      </c>
      <c r="L2224" s="24" t="n">
        <v>150</v>
      </c>
      <c r="M2224" s="24">
        <f>I2224+J2224+K2224+L2224</f>
        <v/>
      </c>
      <c r="N2224" s="24">
        <f>M2224*'Dashboard &amp; Optimisation'!$B$18/('Dashboard &amp; Optimisation'!$B$16/3.6)</f>
        <v/>
      </c>
      <c r="O2224" s="24" t="n">
        <v>781.4033150670671</v>
      </c>
      <c r="P2224" s="25" t="n">
        <v>0.4915647450926108</v>
      </c>
      <c r="Q2224" s="26" t="n">
        <v>0.2</v>
      </c>
      <c r="R2224" s="24" t="n">
        <v>761.8084359998422</v>
      </c>
      <c r="S2224" s="24">
        <f>R2224*IF(A2224=4, 2.0, 3.0)</f>
        <v/>
      </c>
      <c r="T2224" s="22">
        <f>'Dashboard &amp; Optimisation'!$B$18*U2224</f>
        <v/>
      </c>
      <c r="U2224" s="27">
        <f>MIN(1, S2224/M2224)</f>
        <v/>
      </c>
      <c r="V2224" s="27">
        <f>N2224/(N2224+O2224)</f>
        <v/>
      </c>
      <c r="W2224" s="27">
        <f>U2224*V2224</f>
        <v/>
      </c>
      <c r="X2224" s="25">
        <f>T2224/N2224</f>
        <v/>
      </c>
      <c r="Y2224" s="28">
        <f>IF(W2224=MAXIFS(W$2:W$3601, A$2:A$3601, A2224, B$2:B$3601, B2224), "OPTIMAL", "")</f>
        <v/>
      </c>
    </row>
    <row r="2225" ht="20" customHeight="1">
      <c r="A2225" s="29" t="n">
        <v>-18</v>
      </c>
      <c r="B2225" s="29" t="n">
        <v>30</v>
      </c>
      <c r="C2225" s="30" t="n">
        <v>85</v>
      </c>
      <c r="D2225" s="30" t="n">
        <v>3</v>
      </c>
      <c r="E2225" s="6" t="n">
        <v>0</v>
      </c>
      <c r="F2225" s="30" t="n">
        <v>0</v>
      </c>
      <c r="G2225" s="6" t="inlineStr">
        <is>
          <t>Non</t>
        </is>
      </c>
      <c r="H2225" s="6" t="inlineStr">
        <is>
          <t>OFF</t>
        </is>
      </c>
      <c r="I2225" s="31" t="n">
        <v>674.4931640486259</v>
      </c>
      <c r="J2225" s="31" t="n">
        <v>5144.556481985902</v>
      </c>
      <c r="K2225" s="31" t="n">
        <v>3782.407407407407</v>
      </c>
      <c r="L2225" s="31" t="n">
        <v>150</v>
      </c>
      <c r="M2225" s="31">
        <f>I2225+J2225+K2225+L2225</f>
        <v/>
      </c>
      <c r="N2225" s="31">
        <f>M2225*'Dashboard &amp; Optimisation'!$B$18/('Dashboard &amp; Optimisation'!$B$16/3.6)</f>
        <v/>
      </c>
      <c r="O2225" s="31" t="n">
        <v>781.4033150670671</v>
      </c>
      <c r="P2225" s="32" t="n">
        <v>0.8660469641323645</v>
      </c>
      <c r="Q2225" s="33" t="n">
        <v>0.2</v>
      </c>
      <c r="R2225" s="31" t="n">
        <v>432.3993792032144</v>
      </c>
      <c r="S2225" s="31">
        <f>R2225*IF(A2225=4, 2.0, 3.0)</f>
        <v/>
      </c>
      <c r="T2225" s="30">
        <f>'Dashboard &amp; Optimisation'!$B$18*U2225</f>
        <v/>
      </c>
      <c r="U2225" s="34">
        <f>MIN(1, S2225/M2225)</f>
        <v/>
      </c>
      <c r="V2225" s="34">
        <f>N2225/(N2225+O2225)</f>
        <v/>
      </c>
      <c r="W2225" s="34">
        <f>U2225*V2225</f>
        <v/>
      </c>
      <c r="X2225" s="32">
        <f>T2225/N2225</f>
        <v/>
      </c>
      <c r="Y2225" s="35">
        <f>IF(W2225=MAXIFS(W$2:W$3601, A$2:A$3601, A2225, B$2:B$3601, B2225), "OPTIMAL", "")</f>
        <v/>
      </c>
    </row>
    <row r="2226" ht="20" customHeight="1">
      <c r="A2226" s="21" t="n">
        <v>-18</v>
      </c>
      <c r="B2226" s="21" t="n">
        <v>30</v>
      </c>
      <c r="C2226" s="22" t="n">
        <v>85</v>
      </c>
      <c r="D2226" s="22" t="n">
        <v>3</v>
      </c>
      <c r="E2226" s="23" t="n">
        <v>4</v>
      </c>
      <c r="F2226" s="22" t="n">
        <v>1.5</v>
      </c>
      <c r="G2226" s="23" t="inlineStr">
        <is>
          <t>Oui</t>
        </is>
      </c>
      <c r="H2226" s="23" t="inlineStr">
        <is>
          <t>ON</t>
        </is>
      </c>
      <c r="I2226" s="24" t="n">
        <v>674.4931640486259</v>
      </c>
      <c r="J2226" s="24" t="n">
        <v>5144.556481985902</v>
      </c>
      <c r="K2226" s="24" t="n">
        <v>3782.407407407407</v>
      </c>
      <c r="L2226" s="24" t="n">
        <v>150</v>
      </c>
      <c r="M2226" s="24">
        <f>I2226+J2226+K2226+L2226</f>
        <v/>
      </c>
      <c r="N2226" s="24">
        <f>M2226*'Dashboard &amp; Optimisation'!$B$18/('Dashboard &amp; Optimisation'!$B$16/3.6)</f>
        <v/>
      </c>
      <c r="O2226" s="24" t="n">
        <v>1106.920842428759</v>
      </c>
      <c r="P2226" s="25" t="n">
        <v>0.07960669836162382</v>
      </c>
      <c r="Q2226" s="26" t="n">
        <v>8.12180634212946</v>
      </c>
      <c r="R2226" s="24" t="n">
        <v>4893.383231574691</v>
      </c>
      <c r="S2226" s="24">
        <f>R2226*IF(A2226=4, 2.0, 3.0)</f>
        <v/>
      </c>
      <c r="T2226" s="22">
        <f>'Dashboard &amp; Optimisation'!$B$18*U2226</f>
        <v/>
      </c>
      <c r="U2226" s="27">
        <f>MIN(1, S2226/M2226)</f>
        <v/>
      </c>
      <c r="V2226" s="27">
        <f>N2226/(N2226+O2226)</f>
        <v/>
      </c>
      <c r="W2226" s="27">
        <f>U2226*V2226</f>
        <v/>
      </c>
      <c r="X2226" s="25">
        <f>T2226/N2226</f>
        <v/>
      </c>
      <c r="Y2226" s="28">
        <f>IF(W2226=MAXIFS(W$2:W$3601, A$2:A$3601, A2226, B$2:B$3601, B2226), "OPTIMAL", "")</f>
        <v/>
      </c>
    </row>
    <row r="2227" ht="20" customHeight="1">
      <c r="A2227" s="29" t="n">
        <v>-18</v>
      </c>
      <c r="B2227" s="29" t="n">
        <v>30</v>
      </c>
      <c r="C2227" s="30" t="n">
        <v>85</v>
      </c>
      <c r="D2227" s="30" t="n">
        <v>3</v>
      </c>
      <c r="E2227" s="6" t="n">
        <v>4</v>
      </c>
      <c r="F2227" s="30" t="n">
        <v>1.5</v>
      </c>
      <c r="G2227" s="6" t="inlineStr">
        <is>
          <t>Oui</t>
        </is>
      </c>
      <c r="H2227" s="6" t="inlineStr">
        <is>
          <t>OFF</t>
        </is>
      </c>
      <c r="I2227" s="31" t="n">
        <v>674.4931640486259</v>
      </c>
      <c r="J2227" s="31" t="n">
        <v>5144.556481985902</v>
      </c>
      <c r="K2227" s="31" t="n">
        <v>3782.407407407407</v>
      </c>
      <c r="L2227" s="31" t="n">
        <v>150</v>
      </c>
      <c r="M2227" s="31">
        <f>I2227+J2227+K2227+L2227</f>
        <v/>
      </c>
      <c r="N2227" s="31">
        <f>M2227*'Dashboard &amp; Optimisation'!$B$18/('Dashboard &amp; Optimisation'!$B$16/3.6)</f>
        <v/>
      </c>
      <c r="O2227" s="31" t="n">
        <v>1106.920842428759</v>
      </c>
      <c r="P2227" s="32" t="n">
        <v>0.3420549766963435</v>
      </c>
      <c r="Q2227" s="33" t="n">
        <v>8.12180634212946</v>
      </c>
      <c r="R2227" s="31" t="n">
        <v>1138.840564888523</v>
      </c>
      <c r="S2227" s="31">
        <f>R2227*IF(A2227=4, 2.0, 3.0)</f>
        <v/>
      </c>
      <c r="T2227" s="30">
        <f>'Dashboard &amp; Optimisation'!$B$18*U2227</f>
        <v/>
      </c>
      <c r="U2227" s="34">
        <f>MIN(1, S2227/M2227)</f>
        <v/>
      </c>
      <c r="V2227" s="34">
        <f>N2227/(N2227+O2227)</f>
        <v/>
      </c>
      <c r="W2227" s="34">
        <f>U2227*V2227</f>
        <v/>
      </c>
      <c r="X2227" s="32">
        <f>T2227/N2227</f>
        <v/>
      </c>
      <c r="Y2227" s="35">
        <f>IF(W2227=MAXIFS(W$2:W$3601, A$2:A$3601, A2227, B$2:B$3601, B2227), "OPTIMAL", "")</f>
        <v/>
      </c>
    </row>
    <row r="2228" ht="20" customHeight="1">
      <c r="A2228" s="21" t="n">
        <v>-18</v>
      </c>
      <c r="B2228" s="21" t="n">
        <v>30</v>
      </c>
      <c r="C2228" s="22" t="n">
        <v>85</v>
      </c>
      <c r="D2228" s="22" t="n">
        <v>3</v>
      </c>
      <c r="E2228" s="23" t="n">
        <v>4</v>
      </c>
      <c r="F2228" s="22" t="n">
        <v>1.5</v>
      </c>
      <c r="G2228" s="23" t="inlineStr">
        <is>
          <t>Non</t>
        </is>
      </c>
      <c r="H2228" s="23" t="inlineStr">
        <is>
          <t>ON</t>
        </is>
      </c>
      <c r="I2228" s="24" t="n">
        <v>674.4931640486259</v>
      </c>
      <c r="J2228" s="24" t="n">
        <v>5144.556481985902</v>
      </c>
      <c r="K2228" s="24" t="n">
        <v>3782.407407407407</v>
      </c>
      <c r="L2228" s="24" t="n">
        <v>150</v>
      </c>
      <c r="M2228" s="24">
        <f>I2228+J2228+K2228+L2228</f>
        <v/>
      </c>
      <c r="N2228" s="24">
        <f>M2228*'Dashboard &amp; Optimisation'!$B$18/('Dashboard &amp; Optimisation'!$B$16/3.6)</f>
        <v/>
      </c>
      <c r="O2228" s="24" t="n">
        <v>1106.920842428759</v>
      </c>
      <c r="P2228" s="25" t="n">
        <v>0.07586187617122628</v>
      </c>
      <c r="Q2228" s="26" t="n">
        <v>8.12180634212946</v>
      </c>
      <c r="R2228" s="24" t="n">
        <v>5134.93868784049</v>
      </c>
      <c r="S2228" s="24">
        <f>R2228*IF(A2228=4, 2.0, 3.0)</f>
        <v/>
      </c>
      <c r="T2228" s="22">
        <f>'Dashboard &amp; Optimisation'!$B$18*U2228</f>
        <v/>
      </c>
      <c r="U2228" s="27">
        <f>MIN(1, S2228/M2228)</f>
        <v/>
      </c>
      <c r="V2228" s="27">
        <f>N2228/(N2228+O2228)</f>
        <v/>
      </c>
      <c r="W2228" s="27">
        <f>U2228*V2228</f>
        <v/>
      </c>
      <c r="X2228" s="25">
        <f>T2228/N2228</f>
        <v/>
      </c>
      <c r="Y2228" s="28">
        <f>IF(W2228=MAXIFS(W$2:W$3601, A$2:A$3601, A2228, B$2:B$3601, B2228), "OPTIMAL", "")</f>
        <v/>
      </c>
    </row>
    <row r="2229" ht="20" customHeight="1">
      <c r="A2229" s="29" t="n">
        <v>-18</v>
      </c>
      <c r="B2229" s="29" t="n">
        <v>30</v>
      </c>
      <c r="C2229" s="30" t="n">
        <v>85</v>
      </c>
      <c r="D2229" s="30" t="n">
        <v>3</v>
      </c>
      <c r="E2229" s="6" t="n">
        <v>4</v>
      </c>
      <c r="F2229" s="30" t="n">
        <v>1.5</v>
      </c>
      <c r="G2229" s="6" t="inlineStr">
        <is>
          <t>Non</t>
        </is>
      </c>
      <c r="H2229" s="6" t="inlineStr">
        <is>
          <t>OFF</t>
        </is>
      </c>
      <c r="I2229" s="31" t="n">
        <v>674.4931640486259</v>
      </c>
      <c r="J2229" s="31" t="n">
        <v>5144.556481985902</v>
      </c>
      <c r="K2229" s="31" t="n">
        <v>3782.407407407407</v>
      </c>
      <c r="L2229" s="31" t="n">
        <v>150</v>
      </c>
      <c r="M2229" s="31">
        <f>I2229+J2229+K2229+L2229</f>
        <v/>
      </c>
      <c r="N2229" s="31">
        <f>M2229*'Dashboard &amp; Optimisation'!$B$18/('Dashboard &amp; Optimisation'!$B$16/3.6)</f>
        <v/>
      </c>
      <c r="O2229" s="31" t="n">
        <v>1106.920842428759</v>
      </c>
      <c r="P2229" s="32" t="n">
        <v>0.338310154505946</v>
      </c>
      <c r="Q2229" s="33" t="n">
        <v>8.12180634212946</v>
      </c>
      <c r="R2229" s="31" t="n">
        <v>1151.446616944358</v>
      </c>
      <c r="S2229" s="31">
        <f>R2229*IF(A2229=4, 2.0, 3.0)</f>
        <v/>
      </c>
      <c r="T2229" s="30">
        <f>'Dashboard &amp; Optimisation'!$B$18*U2229</f>
        <v/>
      </c>
      <c r="U2229" s="34">
        <f>MIN(1, S2229/M2229)</f>
        <v/>
      </c>
      <c r="V2229" s="34">
        <f>N2229/(N2229+O2229)</f>
        <v/>
      </c>
      <c r="W2229" s="34">
        <f>U2229*V2229</f>
        <v/>
      </c>
      <c r="X2229" s="32">
        <f>T2229/N2229</f>
        <v/>
      </c>
      <c r="Y2229" s="35">
        <f>IF(W2229=MAXIFS(W$2:W$3601, A$2:A$3601, A2229, B$2:B$3601, B2229), "OPTIMAL", "")</f>
        <v/>
      </c>
    </row>
    <row r="2230" ht="20" customHeight="1">
      <c r="A2230" s="21" t="n">
        <v>-18</v>
      </c>
      <c r="B2230" s="21" t="n">
        <v>30</v>
      </c>
      <c r="C2230" s="22" t="n">
        <v>85</v>
      </c>
      <c r="D2230" s="22" t="n">
        <v>3</v>
      </c>
      <c r="E2230" s="23" t="n">
        <v>4</v>
      </c>
      <c r="F2230" s="22" t="n">
        <v>2</v>
      </c>
      <c r="G2230" s="23" t="inlineStr">
        <is>
          <t>Oui</t>
        </is>
      </c>
      <c r="H2230" s="23" t="inlineStr">
        <is>
          <t>ON</t>
        </is>
      </c>
      <c r="I2230" s="24" t="n">
        <v>674.4931640486259</v>
      </c>
      <c r="J2230" s="24" t="n">
        <v>5144.556481985902</v>
      </c>
      <c r="K2230" s="24" t="n">
        <v>3782.407407407407</v>
      </c>
      <c r="L2230" s="24" t="n">
        <v>150</v>
      </c>
      <c r="M2230" s="24">
        <f>I2230+J2230+K2230+L2230</f>
        <v/>
      </c>
      <c r="N2230" s="24">
        <f>M2230*'Dashboard &amp; Optimisation'!$B$18/('Dashboard &amp; Optimisation'!$B$16/3.6)</f>
        <v/>
      </c>
      <c r="O2230" s="24" t="n">
        <v>1221.327103121835</v>
      </c>
      <c r="P2230" s="25" t="n">
        <v>0.07745426381627818</v>
      </c>
      <c r="Q2230" s="26" t="n">
        <v>10.76240845617261</v>
      </c>
      <c r="R2230" s="24" t="n">
        <v>5097.741895936364</v>
      </c>
      <c r="S2230" s="24">
        <f>R2230*IF(A2230=4, 2.0, 3.0)</f>
        <v/>
      </c>
      <c r="T2230" s="22">
        <f>'Dashboard &amp; Optimisation'!$B$18*U2230</f>
        <v/>
      </c>
      <c r="U2230" s="27">
        <f>MIN(1, S2230/M2230)</f>
        <v/>
      </c>
      <c r="V2230" s="27">
        <f>N2230/(N2230+O2230)</f>
        <v/>
      </c>
      <c r="W2230" s="27">
        <f>U2230*V2230</f>
        <v/>
      </c>
      <c r="X2230" s="25">
        <f>T2230/N2230</f>
        <v/>
      </c>
      <c r="Y2230" s="28">
        <f>IF(W2230=MAXIFS(W$2:W$3601, A$2:A$3601, A2230, B$2:B$3601, B2230), "OPTIMAL", "")</f>
        <v/>
      </c>
    </row>
    <row r="2231" ht="20" customHeight="1">
      <c r="A2231" s="29" t="n">
        <v>-18</v>
      </c>
      <c r="B2231" s="29" t="n">
        <v>30</v>
      </c>
      <c r="C2231" s="30" t="n">
        <v>85</v>
      </c>
      <c r="D2231" s="30" t="n">
        <v>3</v>
      </c>
      <c r="E2231" s="6" t="n">
        <v>4</v>
      </c>
      <c r="F2231" s="30" t="n">
        <v>2</v>
      </c>
      <c r="G2231" s="6" t="inlineStr">
        <is>
          <t>Oui</t>
        </is>
      </c>
      <c r="H2231" s="6" t="inlineStr">
        <is>
          <t>OFF</t>
        </is>
      </c>
      <c r="I2231" s="31" t="n">
        <v>674.4931640486259</v>
      </c>
      <c r="J2231" s="31" t="n">
        <v>5144.556481985902</v>
      </c>
      <c r="K2231" s="31" t="n">
        <v>3782.407407407407</v>
      </c>
      <c r="L2231" s="31" t="n">
        <v>150</v>
      </c>
      <c r="M2231" s="31">
        <f>I2231+J2231+K2231+L2231</f>
        <v/>
      </c>
      <c r="N2231" s="31">
        <f>M2231*'Dashboard &amp; Optimisation'!$B$18/('Dashboard &amp; Optimisation'!$B$16/3.6)</f>
        <v/>
      </c>
      <c r="O2231" s="31" t="n">
        <v>1221.327103121835</v>
      </c>
      <c r="P2231" s="32" t="n">
        <v>0.3412849921114681</v>
      </c>
      <c r="Q2231" s="33" t="n">
        <v>10.76240845617261</v>
      </c>
      <c r="R2231" s="31" t="n">
        <v>1156.927069169771</v>
      </c>
      <c r="S2231" s="31">
        <f>R2231*IF(A2231=4, 2.0, 3.0)</f>
        <v/>
      </c>
      <c r="T2231" s="30">
        <f>'Dashboard &amp; Optimisation'!$B$18*U2231</f>
        <v/>
      </c>
      <c r="U2231" s="34">
        <f>MIN(1, S2231/M2231)</f>
        <v/>
      </c>
      <c r="V2231" s="34">
        <f>N2231/(N2231+O2231)</f>
        <v/>
      </c>
      <c r="W2231" s="34">
        <f>U2231*V2231</f>
        <v/>
      </c>
      <c r="X2231" s="32">
        <f>T2231/N2231</f>
        <v/>
      </c>
      <c r="Y2231" s="35">
        <f>IF(W2231=MAXIFS(W$2:W$3601, A$2:A$3601, A2231, B$2:B$3601, B2231), "OPTIMAL", "")</f>
        <v/>
      </c>
    </row>
    <row r="2232" ht="20" customHeight="1">
      <c r="A2232" s="21" t="n">
        <v>-18</v>
      </c>
      <c r="B2232" s="21" t="n">
        <v>30</v>
      </c>
      <c r="C2232" s="22" t="n">
        <v>85</v>
      </c>
      <c r="D2232" s="22" t="n">
        <v>3</v>
      </c>
      <c r="E2232" s="23" t="n">
        <v>4</v>
      </c>
      <c r="F2232" s="22" t="n">
        <v>2</v>
      </c>
      <c r="G2232" s="23" t="inlineStr">
        <is>
          <t>Non</t>
        </is>
      </c>
      <c r="H2232" s="23" t="inlineStr">
        <is>
          <t>ON</t>
        </is>
      </c>
      <c r="I2232" s="24" t="n">
        <v>674.4931640486259</v>
      </c>
      <c r="J2232" s="24" t="n">
        <v>5144.556481985902</v>
      </c>
      <c r="K2232" s="24" t="n">
        <v>3782.407407407407</v>
      </c>
      <c r="L2232" s="24" t="n">
        <v>150</v>
      </c>
      <c r="M2232" s="24">
        <f>I2232+J2232+K2232+L2232</f>
        <v/>
      </c>
      <c r="N2232" s="24">
        <f>M2232*'Dashboard &amp; Optimisation'!$B$18/('Dashboard &amp; Optimisation'!$B$16/3.6)</f>
        <v/>
      </c>
      <c r="O2232" s="24" t="n">
        <v>1221.327103121835</v>
      </c>
      <c r="P2232" s="25" t="n">
        <v>0.07370944162588064</v>
      </c>
      <c r="Q2232" s="26" t="n">
        <v>10.76240845617261</v>
      </c>
      <c r="R2232" s="24" t="n">
        <v>5356.733641793232</v>
      </c>
      <c r="S2232" s="24">
        <f>R2232*IF(A2232=4, 2.0, 3.0)</f>
        <v/>
      </c>
      <c r="T2232" s="22">
        <f>'Dashboard &amp; Optimisation'!$B$18*U2232</f>
        <v/>
      </c>
      <c r="U2232" s="27">
        <f>MIN(1, S2232/M2232)</f>
        <v/>
      </c>
      <c r="V2232" s="27">
        <f>N2232/(N2232+O2232)</f>
        <v/>
      </c>
      <c r="W2232" s="27">
        <f>U2232*V2232</f>
        <v/>
      </c>
      <c r="X2232" s="25">
        <f>T2232/N2232</f>
        <v/>
      </c>
      <c r="Y2232" s="28">
        <f>IF(W2232=MAXIFS(W$2:W$3601, A$2:A$3601, A2232, B$2:B$3601, B2232), "OPTIMAL", "")</f>
        <v/>
      </c>
    </row>
    <row r="2233" ht="20" customHeight="1">
      <c r="A2233" s="29" t="n">
        <v>-18</v>
      </c>
      <c r="B2233" s="29" t="n">
        <v>30</v>
      </c>
      <c r="C2233" s="30" t="n">
        <v>85</v>
      </c>
      <c r="D2233" s="30" t="n">
        <v>3</v>
      </c>
      <c r="E2233" s="6" t="n">
        <v>4</v>
      </c>
      <c r="F2233" s="30" t="n">
        <v>2</v>
      </c>
      <c r="G2233" s="6" t="inlineStr">
        <is>
          <t>Non</t>
        </is>
      </c>
      <c r="H2233" s="6" t="inlineStr">
        <is>
          <t>OFF</t>
        </is>
      </c>
      <c r="I2233" s="31" t="n">
        <v>674.4931640486259</v>
      </c>
      <c r="J2233" s="31" t="n">
        <v>5144.556481985902</v>
      </c>
      <c r="K2233" s="31" t="n">
        <v>3782.407407407407</v>
      </c>
      <c r="L2233" s="31" t="n">
        <v>150</v>
      </c>
      <c r="M2233" s="31">
        <f>I2233+J2233+K2233+L2233</f>
        <v/>
      </c>
      <c r="N2233" s="31">
        <f>M2233*'Dashboard &amp; Optimisation'!$B$18/('Dashboard &amp; Optimisation'!$B$16/3.6)</f>
        <v/>
      </c>
      <c r="O2233" s="31" t="n">
        <v>1221.327103121835</v>
      </c>
      <c r="P2233" s="32" t="n">
        <v>0.3375401699210706</v>
      </c>
      <c r="Q2233" s="33" t="n">
        <v>10.76240845617261</v>
      </c>
      <c r="R2233" s="31" t="n">
        <v>1169.762537500286</v>
      </c>
      <c r="S2233" s="31">
        <f>R2233*IF(A2233=4, 2.0, 3.0)</f>
        <v/>
      </c>
      <c r="T2233" s="30">
        <f>'Dashboard &amp; Optimisation'!$B$18*U2233</f>
        <v/>
      </c>
      <c r="U2233" s="34">
        <f>MIN(1, S2233/M2233)</f>
        <v/>
      </c>
      <c r="V2233" s="34">
        <f>N2233/(N2233+O2233)</f>
        <v/>
      </c>
      <c r="W2233" s="34">
        <f>U2233*V2233</f>
        <v/>
      </c>
      <c r="X2233" s="32">
        <f>T2233/N2233</f>
        <v/>
      </c>
      <c r="Y2233" s="35">
        <f>IF(W2233=MAXIFS(W$2:W$3601, A$2:A$3601, A2233, B$2:B$3601, B2233), "OPTIMAL", "")</f>
        <v/>
      </c>
    </row>
    <row r="2234" ht="20" customHeight="1">
      <c r="A2234" s="21" t="n">
        <v>-18</v>
      </c>
      <c r="B2234" s="21" t="n">
        <v>30</v>
      </c>
      <c r="C2234" s="22" t="n">
        <v>85</v>
      </c>
      <c r="D2234" s="22" t="n">
        <v>3</v>
      </c>
      <c r="E2234" s="23" t="n">
        <v>8</v>
      </c>
      <c r="F2234" s="22" t="n">
        <v>1.5</v>
      </c>
      <c r="G2234" s="23" t="inlineStr">
        <is>
          <t>Oui</t>
        </is>
      </c>
      <c r="H2234" s="23" t="inlineStr">
        <is>
          <t>ON</t>
        </is>
      </c>
      <c r="I2234" s="24" t="n">
        <v>674.4931640486259</v>
      </c>
      <c r="J2234" s="24" t="n">
        <v>5144.556481985902</v>
      </c>
      <c r="K2234" s="24" t="n">
        <v>3782.407407407407</v>
      </c>
      <c r="L2234" s="24" t="n">
        <v>150</v>
      </c>
      <c r="M2234" s="24">
        <f>I2234+J2234+K2234+L2234</f>
        <v/>
      </c>
      <c r="N2234" s="24">
        <f>M2234*'Dashboard &amp; Optimisation'!$B$18/('Dashboard &amp; Optimisation'!$B$16/3.6)</f>
        <v/>
      </c>
      <c r="O2234" s="24" t="n">
        <v>1459.732359153396</v>
      </c>
      <c r="P2234" s="25" t="n">
        <v>0.05973432874252066</v>
      </c>
      <c r="Q2234" s="26" t="n">
        <v>16.04361268425892</v>
      </c>
      <c r="R2234" s="24" t="n">
        <v>6794.709488682753</v>
      </c>
      <c r="S2234" s="24">
        <f>R2234*IF(A2234=4, 2.0, 3.0)</f>
        <v/>
      </c>
      <c r="T2234" s="22">
        <f>'Dashboard &amp; Optimisation'!$B$18*U2234</f>
        <v/>
      </c>
      <c r="U2234" s="27">
        <f>MIN(1, S2234/M2234)</f>
        <v/>
      </c>
      <c r="V2234" s="27">
        <f>N2234/(N2234+O2234)</f>
        <v/>
      </c>
      <c r="W2234" s="27">
        <f>U2234*V2234</f>
        <v/>
      </c>
      <c r="X2234" s="25">
        <f>T2234/N2234</f>
        <v/>
      </c>
      <c r="Y2234" s="28">
        <f>IF(W2234=MAXIFS(W$2:W$3601, A$2:A$3601, A2234, B$2:B$3601, B2234), "OPTIMAL", "")</f>
        <v/>
      </c>
    </row>
    <row r="2235" ht="20" customHeight="1">
      <c r="A2235" s="29" t="n">
        <v>-18</v>
      </c>
      <c r="B2235" s="29" t="n">
        <v>30</v>
      </c>
      <c r="C2235" s="30" t="n">
        <v>85</v>
      </c>
      <c r="D2235" s="30" t="n">
        <v>3</v>
      </c>
      <c r="E2235" s="6" t="n">
        <v>8</v>
      </c>
      <c r="F2235" s="30" t="n">
        <v>1.5</v>
      </c>
      <c r="G2235" s="6" t="inlineStr">
        <is>
          <t>Oui</t>
        </is>
      </c>
      <c r="H2235" s="6" t="inlineStr">
        <is>
          <t>OFF</t>
        </is>
      </c>
      <c r="I2235" s="31" t="n">
        <v>674.4931640486259</v>
      </c>
      <c r="J2235" s="31" t="n">
        <v>5144.556481985902</v>
      </c>
      <c r="K2235" s="31" t="n">
        <v>3782.407407407407</v>
      </c>
      <c r="L2235" s="31" t="n">
        <v>150</v>
      </c>
      <c r="M2235" s="31">
        <f>I2235+J2235+K2235+L2235</f>
        <v/>
      </c>
      <c r="N2235" s="31">
        <f>M2235*'Dashboard &amp; Optimisation'!$B$18/('Dashboard &amp; Optimisation'!$B$16/3.6)</f>
        <v/>
      </c>
      <c r="O2235" s="31" t="n">
        <v>1459.732359153396</v>
      </c>
      <c r="P2235" s="32" t="n">
        <v>0.2617453366738331</v>
      </c>
      <c r="Q2235" s="33" t="n">
        <v>16.04361268425892</v>
      </c>
      <c r="R2235" s="31" t="n">
        <v>1550.657656272491</v>
      </c>
      <c r="S2235" s="31">
        <f>R2235*IF(A2235=4, 2.0, 3.0)</f>
        <v/>
      </c>
      <c r="T2235" s="30">
        <f>'Dashboard &amp; Optimisation'!$B$18*U2235</f>
        <v/>
      </c>
      <c r="U2235" s="34">
        <f>MIN(1, S2235/M2235)</f>
        <v/>
      </c>
      <c r="V2235" s="34">
        <f>N2235/(N2235+O2235)</f>
        <v/>
      </c>
      <c r="W2235" s="34">
        <f>U2235*V2235</f>
        <v/>
      </c>
      <c r="X2235" s="32">
        <f>T2235/N2235</f>
        <v/>
      </c>
      <c r="Y2235" s="35">
        <f>IF(W2235=MAXIFS(W$2:W$3601, A$2:A$3601, A2235, B$2:B$3601, B2235), "OPTIMAL", "")</f>
        <v/>
      </c>
    </row>
    <row r="2236" ht="20" customHeight="1">
      <c r="A2236" s="21" t="n">
        <v>-18</v>
      </c>
      <c r="B2236" s="21" t="n">
        <v>30</v>
      </c>
      <c r="C2236" s="22" t="n">
        <v>85</v>
      </c>
      <c r="D2236" s="22" t="n">
        <v>3</v>
      </c>
      <c r="E2236" s="23" t="n">
        <v>8</v>
      </c>
      <c r="F2236" s="22" t="n">
        <v>1.5</v>
      </c>
      <c r="G2236" s="23" t="inlineStr">
        <is>
          <t>Non</t>
        </is>
      </c>
      <c r="H2236" s="23" t="inlineStr">
        <is>
          <t>ON</t>
        </is>
      </c>
      <c r="I2236" s="24" t="n">
        <v>674.4931640486259</v>
      </c>
      <c r="J2236" s="24" t="n">
        <v>5144.556481985902</v>
      </c>
      <c r="K2236" s="24" t="n">
        <v>3782.407407407407</v>
      </c>
      <c r="L2236" s="24" t="n">
        <v>150</v>
      </c>
      <c r="M2236" s="24">
        <f>I2236+J2236+K2236+L2236</f>
        <v/>
      </c>
      <c r="N2236" s="24">
        <f>M2236*'Dashboard &amp; Optimisation'!$B$18/('Dashboard &amp; Optimisation'!$B$16/3.6)</f>
        <v/>
      </c>
      <c r="O2236" s="24" t="n">
        <v>1459.732359153396</v>
      </c>
      <c r="P2236" s="25" t="n">
        <v>0.05598950655212312</v>
      </c>
      <c r="Q2236" s="26" t="n">
        <v>16.04361268425892</v>
      </c>
      <c r="R2236" s="24" t="n">
        <v>7249.169269406771</v>
      </c>
      <c r="S2236" s="24">
        <f>R2236*IF(A2236=4, 2.0, 3.0)</f>
        <v/>
      </c>
      <c r="T2236" s="22">
        <f>'Dashboard &amp; Optimisation'!$B$18*U2236</f>
        <v/>
      </c>
      <c r="U2236" s="27">
        <f>MIN(1, S2236/M2236)</f>
        <v/>
      </c>
      <c r="V2236" s="27">
        <f>N2236/(N2236+O2236)</f>
        <v/>
      </c>
      <c r="W2236" s="27">
        <f>U2236*V2236</f>
        <v/>
      </c>
      <c r="X2236" s="25">
        <f>T2236/N2236</f>
        <v/>
      </c>
      <c r="Y2236" s="28">
        <f>IF(W2236=MAXIFS(W$2:W$3601, A$2:A$3601, A2236, B$2:B$3601, B2236), "OPTIMAL", "")</f>
        <v/>
      </c>
    </row>
    <row r="2237" ht="20" customHeight="1">
      <c r="A2237" s="29" t="n">
        <v>-18</v>
      </c>
      <c r="B2237" s="29" t="n">
        <v>30</v>
      </c>
      <c r="C2237" s="30" t="n">
        <v>85</v>
      </c>
      <c r="D2237" s="30" t="n">
        <v>3</v>
      </c>
      <c r="E2237" s="6" t="n">
        <v>8</v>
      </c>
      <c r="F2237" s="30" t="n">
        <v>1.5</v>
      </c>
      <c r="G2237" s="6" t="inlineStr">
        <is>
          <t>Non</t>
        </is>
      </c>
      <c r="H2237" s="6" t="inlineStr">
        <is>
          <t>OFF</t>
        </is>
      </c>
      <c r="I2237" s="31" t="n">
        <v>674.4931640486259</v>
      </c>
      <c r="J2237" s="31" t="n">
        <v>5144.556481985902</v>
      </c>
      <c r="K2237" s="31" t="n">
        <v>3782.407407407407</v>
      </c>
      <c r="L2237" s="31" t="n">
        <v>150</v>
      </c>
      <c r="M2237" s="31">
        <f>I2237+J2237+K2237+L2237</f>
        <v/>
      </c>
      <c r="N2237" s="31">
        <f>M2237*'Dashboard &amp; Optimisation'!$B$18/('Dashboard &amp; Optimisation'!$B$16/3.6)</f>
        <v/>
      </c>
      <c r="O2237" s="31" t="n">
        <v>1459.732359153396</v>
      </c>
      <c r="P2237" s="32" t="n">
        <v>0.2580005144834356</v>
      </c>
      <c r="Q2237" s="33" t="n">
        <v>16.04361268425892</v>
      </c>
      <c r="R2237" s="31" t="n">
        <v>1573.16511992056</v>
      </c>
      <c r="S2237" s="31">
        <f>R2237*IF(A2237=4, 2.0, 3.0)</f>
        <v/>
      </c>
      <c r="T2237" s="30">
        <f>'Dashboard &amp; Optimisation'!$B$18*U2237</f>
        <v/>
      </c>
      <c r="U2237" s="34">
        <f>MIN(1, S2237/M2237)</f>
        <v/>
      </c>
      <c r="V2237" s="34">
        <f>N2237/(N2237+O2237)</f>
        <v/>
      </c>
      <c r="W2237" s="34">
        <f>U2237*V2237</f>
        <v/>
      </c>
      <c r="X2237" s="32">
        <f>T2237/N2237</f>
        <v/>
      </c>
      <c r="Y2237" s="35">
        <f>IF(W2237=MAXIFS(W$2:W$3601, A$2:A$3601, A2237, B$2:B$3601, B2237), "OPTIMAL", "")</f>
        <v/>
      </c>
    </row>
    <row r="2238" ht="20" customHeight="1">
      <c r="A2238" s="21" t="n">
        <v>-18</v>
      </c>
      <c r="B2238" s="21" t="n">
        <v>30</v>
      </c>
      <c r="C2238" s="22" t="n">
        <v>85</v>
      </c>
      <c r="D2238" s="22" t="n">
        <v>3</v>
      </c>
      <c r="E2238" s="23" t="n">
        <v>8</v>
      </c>
      <c r="F2238" s="22" t="n">
        <v>2</v>
      </c>
      <c r="G2238" s="23" t="inlineStr">
        <is>
          <t>Oui</t>
        </is>
      </c>
      <c r="H2238" s="23" t="inlineStr">
        <is>
          <t>ON</t>
        </is>
      </c>
      <c r="I2238" s="24" t="n">
        <v>674.4931640486259</v>
      </c>
      <c r="J2238" s="24" t="n">
        <v>5144.556481985902</v>
      </c>
      <c r="K2238" s="24" t="n">
        <v>3782.407407407407</v>
      </c>
      <c r="L2238" s="24" t="n">
        <v>150</v>
      </c>
      <c r="M2238" s="24">
        <f>I2238+J2238+K2238+L2238</f>
        <v/>
      </c>
      <c r="N2238" s="24">
        <f>M2238*'Dashboard &amp; Optimisation'!$B$18/('Dashboard &amp; Optimisation'!$B$16/3.6)</f>
        <v/>
      </c>
      <c r="O2238" s="24" t="n">
        <v>1711.847326262813</v>
      </c>
      <c r="P2238" s="25" t="n">
        <v>0.05880657801325698</v>
      </c>
      <c r="Q2238" s="26" t="n">
        <v>21.32481691234523</v>
      </c>
      <c r="R2238" s="24" t="n">
        <v>7100.355083159655</v>
      </c>
      <c r="S2238" s="24">
        <f>R2238*IF(A2238=4, 2.0, 3.0)</f>
        <v/>
      </c>
      <c r="T2238" s="22">
        <f>'Dashboard &amp; Optimisation'!$B$18*U2238</f>
        <v/>
      </c>
      <c r="U2238" s="27">
        <f>MIN(1, S2238/M2238)</f>
        <v/>
      </c>
      <c r="V2238" s="27">
        <f>N2238/(N2238+O2238)</f>
        <v/>
      </c>
      <c r="W2238" s="27">
        <f>U2238*V2238</f>
        <v/>
      </c>
      <c r="X2238" s="25">
        <f>T2238/N2238</f>
        <v/>
      </c>
      <c r="Y2238" s="28">
        <f>IF(W2238=MAXIFS(W$2:W$3601, A$2:A$3601, A2238, B$2:B$3601, B2238), "OPTIMAL", "")</f>
        <v/>
      </c>
    </row>
    <row r="2239" ht="20" customHeight="1">
      <c r="A2239" s="29" t="n">
        <v>-18</v>
      </c>
      <c r="B2239" s="29" t="n">
        <v>30</v>
      </c>
      <c r="C2239" s="30" t="n">
        <v>85</v>
      </c>
      <c r="D2239" s="30" t="n">
        <v>3</v>
      </c>
      <c r="E2239" s="6" t="n">
        <v>8</v>
      </c>
      <c r="F2239" s="30" t="n">
        <v>2</v>
      </c>
      <c r="G2239" s="6" t="inlineStr">
        <is>
          <t>Oui</t>
        </is>
      </c>
      <c r="H2239" s="6" t="inlineStr">
        <is>
          <t>OFF</t>
        </is>
      </c>
      <c r="I2239" s="31" t="n">
        <v>674.4931640486259</v>
      </c>
      <c r="J2239" s="31" t="n">
        <v>5144.556481985902</v>
      </c>
      <c r="K2239" s="31" t="n">
        <v>3782.407407407407</v>
      </c>
      <c r="L2239" s="31" t="n">
        <v>150</v>
      </c>
      <c r="M2239" s="31">
        <f>I2239+J2239+K2239+L2239</f>
        <v/>
      </c>
      <c r="N2239" s="31">
        <f>M2239*'Dashboard &amp; Optimisation'!$B$18/('Dashboard &amp; Optimisation'!$B$16/3.6)</f>
        <v/>
      </c>
      <c r="O2239" s="31" t="n">
        <v>1711.847326262813</v>
      </c>
      <c r="P2239" s="32" t="n">
        <v>0.2624608866531549</v>
      </c>
      <c r="Q2239" s="33" t="n">
        <v>21.32481691234523</v>
      </c>
      <c r="R2239" s="31" t="n">
        <v>1590.894515537654</v>
      </c>
      <c r="S2239" s="31">
        <f>R2239*IF(A2239=4, 2.0, 3.0)</f>
        <v/>
      </c>
      <c r="T2239" s="30">
        <f>'Dashboard &amp; Optimisation'!$B$18*U2239</f>
        <v/>
      </c>
      <c r="U2239" s="34">
        <f>MIN(1, S2239/M2239)</f>
        <v/>
      </c>
      <c r="V2239" s="34">
        <f>N2239/(N2239+O2239)</f>
        <v/>
      </c>
      <c r="W2239" s="34">
        <f>U2239*V2239</f>
        <v/>
      </c>
      <c r="X2239" s="32">
        <f>T2239/N2239</f>
        <v/>
      </c>
      <c r="Y2239" s="35">
        <f>IF(W2239=MAXIFS(W$2:W$3601, A$2:A$3601, A2239, B$2:B$3601, B2239), "OPTIMAL", "")</f>
        <v/>
      </c>
    </row>
    <row r="2240" ht="20" customHeight="1">
      <c r="A2240" s="21" t="n">
        <v>-18</v>
      </c>
      <c r="B2240" s="21" t="n">
        <v>30</v>
      </c>
      <c r="C2240" s="22" t="n">
        <v>85</v>
      </c>
      <c r="D2240" s="22" t="n">
        <v>3</v>
      </c>
      <c r="E2240" s="23" t="n">
        <v>8</v>
      </c>
      <c r="F2240" s="22" t="n">
        <v>2</v>
      </c>
      <c r="G2240" s="23" t="inlineStr">
        <is>
          <t>Non</t>
        </is>
      </c>
      <c r="H2240" s="23" t="inlineStr">
        <is>
          <t>ON</t>
        </is>
      </c>
      <c r="I2240" s="24" t="n">
        <v>674.4931640486259</v>
      </c>
      <c r="J2240" s="24" t="n">
        <v>5144.556481985902</v>
      </c>
      <c r="K2240" s="24" t="n">
        <v>3782.407407407407</v>
      </c>
      <c r="L2240" s="24" t="n">
        <v>150</v>
      </c>
      <c r="M2240" s="24">
        <f>I2240+J2240+K2240+L2240</f>
        <v/>
      </c>
      <c r="N2240" s="24">
        <f>M2240*'Dashboard &amp; Optimisation'!$B$18/('Dashboard &amp; Optimisation'!$B$16/3.6)</f>
        <v/>
      </c>
      <c r="O2240" s="24" t="n">
        <v>1711.847326262813</v>
      </c>
      <c r="P2240" s="25" t="n">
        <v>0.05506175582285944</v>
      </c>
      <c r="Q2240" s="26" t="n">
        <v>21.32481691234523</v>
      </c>
      <c r="R2240" s="24" t="n">
        <v>7583.259539760353</v>
      </c>
      <c r="S2240" s="24">
        <f>R2240*IF(A2240=4, 2.0, 3.0)</f>
        <v/>
      </c>
      <c r="T2240" s="22">
        <f>'Dashboard &amp; Optimisation'!$B$18*U2240</f>
        <v/>
      </c>
      <c r="U2240" s="27">
        <f>MIN(1, S2240/M2240)</f>
        <v/>
      </c>
      <c r="V2240" s="27">
        <f>N2240/(N2240+O2240)</f>
        <v/>
      </c>
      <c r="W2240" s="27">
        <f>U2240*V2240</f>
        <v/>
      </c>
      <c r="X2240" s="25">
        <f>T2240/N2240</f>
        <v/>
      </c>
      <c r="Y2240" s="28">
        <f>IF(W2240=MAXIFS(W$2:W$3601, A$2:A$3601, A2240, B$2:B$3601, B2240), "OPTIMAL", "")</f>
        <v/>
      </c>
    </row>
    <row r="2241" ht="20" customHeight="1">
      <c r="A2241" s="29" t="n">
        <v>-18</v>
      </c>
      <c r="B2241" s="29" t="n">
        <v>30</v>
      </c>
      <c r="C2241" s="30" t="n">
        <v>85</v>
      </c>
      <c r="D2241" s="30" t="n">
        <v>3</v>
      </c>
      <c r="E2241" s="6" t="n">
        <v>8</v>
      </c>
      <c r="F2241" s="30" t="n">
        <v>2</v>
      </c>
      <c r="G2241" s="6" t="inlineStr">
        <is>
          <t>Non</t>
        </is>
      </c>
      <c r="H2241" s="6" t="inlineStr">
        <is>
          <t>OFF</t>
        </is>
      </c>
      <c r="I2241" s="31" t="n">
        <v>674.4931640486259</v>
      </c>
      <c r="J2241" s="31" t="n">
        <v>5144.556481985902</v>
      </c>
      <c r="K2241" s="31" t="n">
        <v>3782.407407407407</v>
      </c>
      <c r="L2241" s="31" t="n">
        <v>150</v>
      </c>
      <c r="M2241" s="31">
        <f>I2241+J2241+K2241+L2241</f>
        <v/>
      </c>
      <c r="N2241" s="31">
        <f>M2241*'Dashboard &amp; Optimisation'!$B$18/('Dashboard &amp; Optimisation'!$B$16/3.6)</f>
        <v/>
      </c>
      <c r="O2241" s="31" t="n">
        <v>1711.847326262813</v>
      </c>
      <c r="P2241" s="32" t="n">
        <v>0.2587160644627574</v>
      </c>
      <c r="Q2241" s="33" t="n">
        <v>21.32481691234523</v>
      </c>
      <c r="R2241" s="31" t="n">
        <v>1613.922142742553</v>
      </c>
      <c r="S2241" s="31">
        <f>R2241*IF(A2241=4, 2.0, 3.0)</f>
        <v/>
      </c>
      <c r="T2241" s="30">
        <f>'Dashboard &amp; Optimisation'!$B$18*U2241</f>
        <v/>
      </c>
      <c r="U2241" s="34">
        <f>MIN(1, S2241/M2241)</f>
        <v/>
      </c>
      <c r="V2241" s="34">
        <f>N2241/(N2241+O2241)</f>
        <v/>
      </c>
      <c r="W2241" s="34">
        <f>U2241*V2241</f>
        <v/>
      </c>
      <c r="X2241" s="32">
        <f>T2241/N2241</f>
        <v/>
      </c>
      <c r="Y2241" s="35">
        <f>IF(W2241=MAXIFS(W$2:W$3601, A$2:A$3601, A2241, B$2:B$3601, B2241), "OPTIMAL", "")</f>
        <v/>
      </c>
    </row>
    <row r="2242" ht="20" customHeight="1">
      <c r="A2242" s="21" t="n">
        <v>-18</v>
      </c>
      <c r="B2242" s="21" t="n">
        <v>30</v>
      </c>
      <c r="C2242" s="22" t="n">
        <v>90</v>
      </c>
      <c r="D2242" s="22" t="n">
        <v>2</v>
      </c>
      <c r="E2242" s="23" t="n">
        <v>0</v>
      </c>
      <c r="F2242" s="22" t="n">
        <v>0</v>
      </c>
      <c r="G2242" s="23" t="inlineStr">
        <is>
          <t>Oui</t>
        </is>
      </c>
      <c r="H2242" s="23" t="inlineStr">
        <is>
          <t>ON</t>
        </is>
      </c>
      <c r="I2242" s="24" t="n">
        <v>674.4931640486259</v>
      </c>
      <c r="J2242" s="24" t="n">
        <v>5144.556481985902</v>
      </c>
      <c r="K2242" s="24" t="n">
        <v>3782.407407407407</v>
      </c>
      <c r="L2242" s="24" t="n">
        <v>150</v>
      </c>
      <c r="M2242" s="24">
        <f>I2242+J2242+K2242+L2242</f>
        <v/>
      </c>
      <c r="N2242" s="24">
        <f>M2242*'Dashboard &amp; Optimisation'!$B$18/('Dashboard &amp; Optimisation'!$B$16/3.6)</f>
        <v/>
      </c>
      <c r="O2242" s="24" t="n">
        <v>471.7480244884663</v>
      </c>
      <c r="P2242" s="25" t="n">
        <v>0.4898788424939614</v>
      </c>
      <c r="Q2242" s="26" t="n">
        <v>0.2</v>
      </c>
      <c r="R2242" s="24" t="n">
        <v>645.0525590454694</v>
      </c>
      <c r="S2242" s="24">
        <f>R2242*IF(A2242=4, 2.0, 3.0)</f>
        <v/>
      </c>
      <c r="T2242" s="22">
        <f>'Dashboard &amp; Optimisation'!$B$18*U2242</f>
        <v/>
      </c>
      <c r="U2242" s="27">
        <f>MIN(1, S2242/M2242)</f>
        <v/>
      </c>
      <c r="V2242" s="27">
        <f>N2242/(N2242+O2242)</f>
        <v/>
      </c>
      <c r="W2242" s="27">
        <f>U2242*V2242</f>
        <v/>
      </c>
      <c r="X2242" s="25">
        <f>T2242/N2242</f>
        <v/>
      </c>
      <c r="Y2242" s="28">
        <f>IF(W2242=MAXIFS(W$2:W$3601, A$2:A$3601, A2242, B$2:B$3601, B2242), "OPTIMAL", "")</f>
        <v/>
      </c>
    </row>
    <row r="2243" ht="20" customHeight="1">
      <c r="A2243" s="29" t="n">
        <v>-18</v>
      </c>
      <c r="B2243" s="29" t="n">
        <v>30</v>
      </c>
      <c r="C2243" s="30" t="n">
        <v>90</v>
      </c>
      <c r="D2243" s="30" t="n">
        <v>2</v>
      </c>
      <c r="E2243" s="6" t="n">
        <v>0</v>
      </c>
      <c r="F2243" s="30" t="n">
        <v>0</v>
      </c>
      <c r="G2243" s="6" t="inlineStr">
        <is>
          <t>Oui</t>
        </is>
      </c>
      <c r="H2243" s="6" t="inlineStr">
        <is>
          <t>OFF</t>
        </is>
      </c>
      <c r="I2243" s="31" t="n">
        <v>674.4931640486259</v>
      </c>
      <c r="J2243" s="31" t="n">
        <v>5144.556481985902</v>
      </c>
      <c r="K2243" s="31" t="n">
        <v>3782.407407407407</v>
      </c>
      <c r="L2243" s="31" t="n">
        <v>150</v>
      </c>
      <c r="M2243" s="31">
        <f>I2243+J2243+K2243+L2243</f>
        <v/>
      </c>
      <c r="N2243" s="31">
        <f>M2243*'Dashboard &amp; Optimisation'!$B$18/('Dashboard &amp; Optimisation'!$B$16/3.6)</f>
        <v/>
      </c>
      <c r="O2243" s="31" t="n">
        <v>471.7480244884663</v>
      </c>
      <c r="P2243" s="32" t="n">
        <v>0.8435564938092843</v>
      </c>
      <c r="Q2243" s="33" t="n">
        <v>0.2</v>
      </c>
      <c r="R2243" s="31" t="n">
        <v>374.6015866062488</v>
      </c>
      <c r="S2243" s="31">
        <f>R2243*IF(A2243=4, 2.0, 3.0)</f>
        <v/>
      </c>
      <c r="T2243" s="30">
        <f>'Dashboard &amp; Optimisation'!$B$18*U2243</f>
        <v/>
      </c>
      <c r="U2243" s="34">
        <f>MIN(1, S2243/M2243)</f>
        <v/>
      </c>
      <c r="V2243" s="34">
        <f>N2243/(N2243+O2243)</f>
        <v/>
      </c>
      <c r="W2243" s="34">
        <f>U2243*V2243</f>
        <v/>
      </c>
      <c r="X2243" s="32">
        <f>T2243/N2243</f>
        <v/>
      </c>
      <c r="Y2243" s="35">
        <f>IF(W2243=MAXIFS(W$2:W$3601, A$2:A$3601, A2243, B$2:B$3601, B2243), "OPTIMAL", "")</f>
        <v/>
      </c>
    </row>
    <row r="2244" ht="20" customHeight="1">
      <c r="A2244" s="21" t="n">
        <v>-18</v>
      </c>
      <c r="B2244" s="21" t="n">
        <v>30</v>
      </c>
      <c r="C2244" s="22" t="n">
        <v>90</v>
      </c>
      <c r="D2244" s="22" t="n">
        <v>2</v>
      </c>
      <c r="E2244" s="23" t="n">
        <v>0</v>
      </c>
      <c r="F2244" s="22" t="n">
        <v>0</v>
      </c>
      <c r="G2244" s="23" t="inlineStr">
        <is>
          <t>Non</t>
        </is>
      </c>
      <c r="H2244" s="23" t="inlineStr">
        <is>
          <t>ON</t>
        </is>
      </c>
      <c r="I2244" s="24" t="n">
        <v>674.4931640486259</v>
      </c>
      <c r="J2244" s="24" t="n">
        <v>5144.556481985902</v>
      </c>
      <c r="K2244" s="24" t="n">
        <v>3782.407407407407</v>
      </c>
      <c r="L2244" s="24" t="n">
        <v>150</v>
      </c>
      <c r="M2244" s="24">
        <f>I2244+J2244+K2244+L2244</f>
        <v/>
      </c>
      <c r="N2244" s="24">
        <f>M2244*'Dashboard &amp; Optimisation'!$B$18/('Dashboard &amp; Optimisation'!$B$16/3.6)</f>
        <v/>
      </c>
      <c r="O2244" s="24" t="n">
        <v>471.7480244884663</v>
      </c>
      <c r="P2244" s="25" t="n">
        <v>0.4863420659808082</v>
      </c>
      <c r="Q2244" s="26" t="n">
        <v>0.2</v>
      </c>
      <c r="R2244" s="24" t="n">
        <v>649.743509921743</v>
      </c>
      <c r="S2244" s="24">
        <f>R2244*IF(A2244=4, 2.0, 3.0)</f>
        <v/>
      </c>
      <c r="T2244" s="22">
        <f>'Dashboard &amp; Optimisation'!$B$18*U2244</f>
        <v/>
      </c>
      <c r="U2244" s="27">
        <f>MIN(1, S2244/M2244)</f>
        <v/>
      </c>
      <c r="V2244" s="27">
        <f>N2244/(N2244+O2244)</f>
        <v/>
      </c>
      <c r="W2244" s="27">
        <f>U2244*V2244</f>
        <v/>
      </c>
      <c r="X2244" s="25">
        <f>T2244/N2244</f>
        <v/>
      </c>
      <c r="Y2244" s="28">
        <f>IF(W2244=MAXIFS(W$2:W$3601, A$2:A$3601, A2244, B$2:B$3601, B2244), "OPTIMAL", "")</f>
        <v/>
      </c>
    </row>
    <row r="2245" ht="20" customHeight="1">
      <c r="A2245" s="29" t="n">
        <v>-18</v>
      </c>
      <c r="B2245" s="29" t="n">
        <v>30</v>
      </c>
      <c r="C2245" s="30" t="n">
        <v>90</v>
      </c>
      <c r="D2245" s="30" t="n">
        <v>2</v>
      </c>
      <c r="E2245" s="6" t="n">
        <v>0</v>
      </c>
      <c r="F2245" s="30" t="n">
        <v>0</v>
      </c>
      <c r="G2245" s="6" t="inlineStr">
        <is>
          <t>Non</t>
        </is>
      </c>
      <c r="H2245" s="6" t="inlineStr">
        <is>
          <t>OFF</t>
        </is>
      </c>
      <c r="I2245" s="31" t="n">
        <v>674.4931640486259</v>
      </c>
      <c r="J2245" s="31" t="n">
        <v>5144.556481985902</v>
      </c>
      <c r="K2245" s="31" t="n">
        <v>3782.407407407407</v>
      </c>
      <c r="L2245" s="31" t="n">
        <v>150</v>
      </c>
      <c r="M2245" s="31">
        <f>I2245+J2245+K2245+L2245</f>
        <v/>
      </c>
      <c r="N2245" s="31">
        <f>M2245*'Dashboard &amp; Optimisation'!$B$18/('Dashboard &amp; Optimisation'!$B$16/3.6)</f>
        <v/>
      </c>
      <c r="O2245" s="31" t="n">
        <v>471.7480244884663</v>
      </c>
      <c r="P2245" s="32" t="n">
        <v>0.8400197172961312</v>
      </c>
      <c r="Q2245" s="33" t="n">
        <v>0.2</v>
      </c>
      <c r="R2245" s="31" t="n">
        <v>376.1787901718549</v>
      </c>
      <c r="S2245" s="31">
        <f>R2245*IF(A2245=4, 2.0, 3.0)</f>
        <v/>
      </c>
      <c r="T2245" s="30">
        <f>'Dashboard &amp; Optimisation'!$B$18*U2245</f>
        <v/>
      </c>
      <c r="U2245" s="34">
        <f>MIN(1, S2245/M2245)</f>
        <v/>
      </c>
      <c r="V2245" s="34">
        <f>N2245/(N2245+O2245)</f>
        <v/>
      </c>
      <c r="W2245" s="34">
        <f>U2245*V2245</f>
        <v/>
      </c>
      <c r="X2245" s="32">
        <f>T2245/N2245</f>
        <v/>
      </c>
      <c r="Y2245" s="35">
        <f>IF(W2245=MAXIFS(W$2:W$3601, A$2:A$3601, A2245, B$2:B$3601, B2245), "OPTIMAL", "")</f>
        <v/>
      </c>
    </row>
    <row r="2246" ht="20" customHeight="1">
      <c r="A2246" s="21" t="n">
        <v>-18</v>
      </c>
      <c r="B2246" s="21" t="n">
        <v>30</v>
      </c>
      <c r="C2246" s="22" t="n">
        <v>90</v>
      </c>
      <c r="D2246" s="22" t="n">
        <v>2</v>
      </c>
      <c r="E2246" s="23" t="n">
        <v>4</v>
      </c>
      <c r="F2246" s="22" t="n">
        <v>1.5</v>
      </c>
      <c r="G2246" s="23" t="inlineStr">
        <is>
          <t>Oui</t>
        </is>
      </c>
      <c r="H2246" s="23" t="inlineStr">
        <is>
          <t>ON</t>
        </is>
      </c>
      <c r="I2246" s="24" t="n">
        <v>674.4931640486259</v>
      </c>
      <c r="J2246" s="24" t="n">
        <v>5144.556481985902</v>
      </c>
      <c r="K2246" s="24" t="n">
        <v>3782.407407407407</v>
      </c>
      <c r="L2246" s="24" t="n">
        <v>150</v>
      </c>
      <c r="M2246" s="24">
        <f>I2246+J2246+K2246+L2246</f>
        <v/>
      </c>
      <c r="N2246" s="24">
        <f>M2246*'Dashboard &amp; Optimisation'!$B$18/('Dashboard &amp; Optimisation'!$B$16/3.6)</f>
        <v/>
      </c>
      <c r="O2246" s="24" t="n">
        <v>751.3310806819802</v>
      </c>
      <c r="P2246" s="25" t="n">
        <v>0.07759354469391215</v>
      </c>
      <c r="Q2246" s="26" t="n">
        <v>7.477008151491015</v>
      </c>
      <c r="R2246" s="24" t="n">
        <v>4222.508091933762</v>
      </c>
      <c r="S2246" s="24">
        <f>R2246*IF(A2246=4, 2.0, 3.0)</f>
        <v/>
      </c>
      <c r="T2246" s="22">
        <f>'Dashboard &amp; Optimisation'!$B$18*U2246</f>
        <v/>
      </c>
      <c r="U2246" s="27">
        <f>MIN(1, S2246/M2246)</f>
        <v/>
      </c>
      <c r="V2246" s="27">
        <f>N2246/(N2246+O2246)</f>
        <v/>
      </c>
      <c r="W2246" s="27">
        <f>U2246*V2246</f>
        <v/>
      </c>
      <c r="X2246" s="25">
        <f>T2246/N2246</f>
        <v/>
      </c>
      <c r="Y2246" s="28">
        <f>IF(W2246=MAXIFS(W$2:W$3601, A$2:A$3601, A2246, B$2:B$3601, B2246), "OPTIMAL", "")</f>
        <v/>
      </c>
    </row>
    <row r="2247" ht="20" customHeight="1">
      <c r="A2247" s="29" t="n">
        <v>-18</v>
      </c>
      <c r="B2247" s="29" t="n">
        <v>30</v>
      </c>
      <c r="C2247" s="30" t="n">
        <v>90</v>
      </c>
      <c r="D2247" s="30" t="n">
        <v>2</v>
      </c>
      <c r="E2247" s="6" t="n">
        <v>4</v>
      </c>
      <c r="F2247" s="30" t="n">
        <v>1.5</v>
      </c>
      <c r="G2247" s="6" t="inlineStr">
        <is>
          <t>Oui</t>
        </is>
      </c>
      <c r="H2247" s="6" t="inlineStr">
        <is>
          <t>OFF</t>
        </is>
      </c>
      <c r="I2247" s="31" t="n">
        <v>674.4931640486259</v>
      </c>
      <c r="J2247" s="31" t="n">
        <v>5144.556481985902</v>
      </c>
      <c r="K2247" s="31" t="n">
        <v>3782.407407407407</v>
      </c>
      <c r="L2247" s="31" t="n">
        <v>150</v>
      </c>
      <c r="M2247" s="31">
        <f>I2247+J2247+K2247+L2247</f>
        <v/>
      </c>
      <c r="N2247" s="31">
        <f>M2247*'Dashboard &amp; Optimisation'!$B$18/('Dashboard &amp; Optimisation'!$B$16/3.6)</f>
        <v/>
      </c>
      <c r="O2247" s="31" t="n">
        <v>751.3310806819802</v>
      </c>
      <c r="P2247" s="32" t="n">
        <v>0.3296507660240217</v>
      </c>
      <c r="Q2247" s="33" t="n">
        <v>7.477008151491015</v>
      </c>
      <c r="R2247" s="31" t="n">
        <v>993.898404373776</v>
      </c>
      <c r="S2247" s="31">
        <f>R2247*IF(A2247=4, 2.0, 3.0)</f>
        <v/>
      </c>
      <c r="T2247" s="30">
        <f>'Dashboard &amp; Optimisation'!$B$18*U2247</f>
        <v/>
      </c>
      <c r="U2247" s="34">
        <f>MIN(1, S2247/M2247)</f>
        <v/>
      </c>
      <c r="V2247" s="34">
        <f>N2247/(N2247+O2247)</f>
        <v/>
      </c>
      <c r="W2247" s="34">
        <f>U2247*V2247</f>
        <v/>
      </c>
      <c r="X2247" s="32">
        <f>T2247/N2247</f>
        <v/>
      </c>
      <c r="Y2247" s="35">
        <f>IF(W2247=MAXIFS(W$2:W$3601, A$2:A$3601, A2247, B$2:B$3601, B2247), "OPTIMAL", "")</f>
        <v/>
      </c>
    </row>
    <row r="2248" ht="20" customHeight="1">
      <c r="A2248" s="21" t="n">
        <v>-18</v>
      </c>
      <c r="B2248" s="21" t="n">
        <v>30</v>
      </c>
      <c r="C2248" s="22" t="n">
        <v>90</v>
      </c>
      <c r="D2248" s="22" t="n">
        <v>2</v>
      </c>
      <c r="E2248" s="23" t="n">
        <v>4</v>
      </c>
      <c r="F2248" s="22" t="n">
        <v>1.5</v>
      </c>
      <c r="G2248" s="23" t="inlineStr">
        <is>
          <t>Non</t>
        </is>
      </c>
      <c r="H2248" s="23" t="inlineStr">
        <is>
          <t>ON</t>
        </is>
      </c>
      <c r="I2248" s="24" t="n">
        <v>674.4931640486259</v>
      </c>
      <c r="J2248" s="24" t="n">
        <v>5144.556481985902</v>
      </c>
      <c r="K2248" s="24" t="n">
        <v>3782.407407407407</v>
      </c>
      <c r="L2248" s="24" t="n">
        <v>150</v>
      </c>
      <c r="M2248" s="24">
        <f>I2248+J2248+K2248+L2248</f>
        <v/>
      </c>
      <c r="N2248" s="24">
        <f>M2248*'Dashboard &amp; Optimisation'!$B$18/('Dashboard &amp; Optimisation'!$B$16/3.6)</f>
        <v/>
      </c>
      <c r="O2248" s="24" t="n">
        <v>751.3310806819802</v>
      </c>
      <c r="P2248" s="25" t="n">
        <v>0.07405676818075892</v>
      </c>
      <c r="Q2248" s="26" t="n">
        <v>7.477008151491015</v>
      </c>
      <c r="R2248" s="24" t="n">
        <v>4424.165115498436</v>
      </c>
      <c r="S2248" s="24">
        <f>R2248*IF(A2248=4, 2.0, 3.0)</f>
        <v/>
      </c>
      <c r="T2248" s="22">
        <f>'Dashboard &amp; Optimisation'!$B$18*U2248</f>
        <v/>
      </c>
      <c r="U2248" s="27">
        <f>MIN(1, S2248/M2248)</f>
        <v/>
      </c>
      <c r="V2248" s="27">
        <f>N2248/(N2248+O2248)</f>
        <v/>
      </c>
      <c r="W2248" s="27">
        <f>U2248*V2248</f>
        <v/>
      </c>
      <c r="X2248" s="25">
        <f>T2248/N2248</f>
        <v/>
      </c>
      <c r="Y2248" s="28">
        <f>IF(W2248=MAXIFS(W$2:W$3601, A$2:A$3601, A2248, B$2:B$3601, B2248), "OPTIMAL", "")</f>
        <v/>
      </c>
    </row>
    <row r="2249" ht="20" customHeight="1">
      <c r="A2249" s="29" t="n">
        <v>-18</v>
      </c>
      <c r="B2249" s="29" t="n">
        <v>30</v>
      </c>
      <c r="C2249" s="30" t="n">
        <v>90</v>
      </c>
      <c r="D2249" s="30" t="n">
        <v>2</v>
      </c>
      <c r="E2249" s="6" t="n">
        <v>4</v>
      </c>
      <c r="F2249" s="30" t="n">
        <v>1.5</v>
      </c>
      <c r="G2249" s="6" t="inlineStr">
        <is>
          <t>Non</t>
        </is>
      </c>
      <c r="H2249" s="6" t="inlineStr">
        <is>
          <t>OFF</t>
        </is>
      </c>
      <c r="I2249" s="31" t="n">
        <v>674.4931640486259</v>
      </c>
      <c r="J2249" s="31" t="n">
        <v>5144.556481985902</v>
      </c>
      <c r="K2249" s="31" t="n">
        <v>3782.407407407407</v>
      </c>
      <c r="L2249" s="31" t="n">
        <v>150</v>
      </c>
      <c r="M2249" s="31">
        <f>I2249+J2249+K2249+L2249</f>
        <v/>
      </c>
      <c r="N2249" s="31">
        <f>M2249*'Dashboard &amp; Optimisation'!$B$18/('Dashboard &amp; Optimisation'!$B$16/3.6)</f>
        <v/>
      </c>
      <c r="O2249" s="31" t="n">
        <v>751.3310806819802</v>
      </c>
      <c r="P2249" s="32" t="n">
        <v>0.3261139895108685</v>
      </c>
      <c r="Q2249" s="33" t="n">
        <v>7.477008151491015</v>
      </c>
      <c r="R2249" s="31" t="n">
        <v>1004.677446813268</v>
      </c>
      <c r="S2249" s="31">
        <f>R2249*IF(A2249=4, 2.0, 3.0)</f>
        <v/>
      </c>
      <c r="T2249" s="30">
        <f>'Dashboard &amp; Optimisation'!$B$18*U2249</f>
        <v/>
      </c>
      <c r="U2249" s="34">
        <f>MIN(1, S2249/M2249)</f>
        <v/>
      </c>
      <c r="V2249" s="34">
        <f>N2249/(N2249+O2249)</f>
        <v/>
      </c>
      <c r="W2249" s="34">
        <f>U2249*V2249</f>
        <v/>
      </c>
      <c r="X2249" s="32">
        <f>T2249/N2249</f>
        <v/>
      </c>
      <c r="Y2249" s="35">
        <f>IF(W2249=MAXIFS(W$2:W$3601, A$2:A$3601, A2249, B$2:B$3601, B2249), "OPTIMAL", "")</f>
        <v/>
      </c>
    </row>
    <row r="2250" ht="20" customHeight="1">
      <c r="A2250" s="21" t="n">
        <v>-18</v>
      </c>
      <c r="B2250" s="21" t="n">
        <v>30</v>
      </c>
      <c r="C2250" s="22" t="n">
        <v>90</v>
      </c>
      <c r="D2250" s="22" t="n">
        <v>2</v>
      </c>
      <c r="E2250" s="23" t="n">
        <v>4</v>
      </c>
      <c r="F2250" s="22" t="n">
        <v>2</v>
      </c>
      <c r="G2250" s="23" t="inlineStr">
        <is>
          <t>Oui</t>
        </is>
      </c>
      <c r="H2250" s="23" t="inlineStr">
        <is>
          <t>ON</t>
        </is>
      </c>
      <c r="I2250" s="24" t="n">
        <v>674.4931640486259</v>
      </c>
      <c r="J2250" s="24" t="n">
        <v>5144.556481985902</v>
      </c>
      <c r="K2250" s="24" t="n">
        <v>3782.407407407407</v>
      </c>
      <c r="L2250" s="24" t="n">
        <v>150</v>
      </c>
      <c r="M2250" s="24">
        <f>I2250+J2250+K2250+L2250</f>
        <v/>
      </c>
      <c r="N2250" s="24">
        <f>M2250*'Dashboard &amp; Optimisation'!$B$18/('Dashboard &amp; Optimisation'!$B$16/3.6)</f>
        <v/>
      </c>
      <c r="O2250" s="24" t="n">
        <v>849.1602208346646</v>
      </c>
      <c r="P2250" s="25" t="n">
        <v>0.07521841927673642</v>
      </c>
      <c r="Q2250" s="26" t="n">
        <v>9.902677535321354</v>
      </c>
      <c r="R2250" s="24" t="n">
        <v>4409.996311611279</v>
      </c>
      <c r="S2250" s="24">
        <f>R2250*IF(A2250=4, 2.0, 3.0)</f>
        <v/>
      </c>
      <c r="T2250" s="22">
        <f>'Dashboard &amp; Optimisation'!$B$18*U2250</f>
        <v/>
      </c>
      <c r="U2250" s="27">
        <f>MIN(1, S2250/M2250)</f>
        <v/>
      </c>
      <c r="V2250" s="27">
        <f>N2250/(N2250+O2250)</f>
        <v/>
      </c>
      <c r="W2250" s="27">
        <f>U2250*V2250</f>
        <v/>
      </c>
      <c r="X2250" s="25">
        <f>T2250/N2250</f>
        <v/>
      </c>
      <c r="Y2250" s="28">
        <f>IF(W2250=MAXIFS(W$2:W$3601, A$2:A$3601, A2250, B$2:B$3601, B2250), "OPTIMAL", "")</f>
        <v/>
      </c>
    </row>
    <row r="2251" ht="20" customHeight="1">
      <c r="A2251" s="29" t="n">
        <v>-18</v>
      </c>
      <c r="B2251" s="29" t="n">
        <v>30</v>
      </c>
      <c r="C2251" s="30" t="n">
        <v>90</v>
      </c>
      <c r="D2251" s="30" t="n">
        <v>2</v>
      </c>
      <c r="E2251" s="6" t="n">
        <v>4</v>
      </c>
      <c r="F2251" s="30" t="n">
        <v>2</v>
      </c>
      <c r="G2251" s="6" t="inlineStr">
        <is>
          <t>Oui</t>
        </is>
      </c>
      <c r="H2251" s="6" t="inlineStr">
        <is>
          <t>OFF</t>
        </is>
      </c>
      <c r="I2251" s="31" t="n">
        <v>674.4931640486259</v>
      </c>
      <c r="J2251" s="31" t="n">
        <v>5144.556481985902</v>
      </c>
      <c r="K2251" s="31" t="n">
        <v>3782.407407407407</v>
      </c>
      <c r="L2251" s="31" t="n">
        <v>150</v>
      </c>
      <c r="M2251" s="31">
        <f>I2251+J2251+K2251+L2251</f>
        <v/>
      </c>
      <c r="N2251" s="31">
        <f>M2251*'Dashboard &amp; Optimisation'!$B$18/('Dashboard &amp; Optimisation'!$B$16/3.6)</f>
        <v/>
      </c>
      <c r="O2251" s="31" t="n">
        <v>849.1602208346646</v>
      </c>
      <c r="P2251" s="32" t="n">
        <v>0.328550491855213</v>
      </c>
      <c r="Q2251" s="33" t="n">
        <v>9.902677535321354</v>
      </c>
      <c r="R2251" s="31" t="n">
        <v>1009.625490750502</v>
      </c>
      <c r="S2251" s="31">
        <f>R2251*IF(A2251=4, 2.0, 3.0)</f>
        <v/>
      </c>
      <c r="T2251" s="30">
        <f>'Dashboard &amp; Optimisation'!$B$18*U2251</f>
        <v/>
      </c>
      <c r="U2251" s="34">
        <f>MIN(1, S2251/M2251)</f>
        <v/>
      </c>
      <c r="V2251" s="34">
        <f>N2251/(N2251+O2251)</f>
        <v/>
      </c>
      <c r="W2251" s="34">
        <f>U2251*V2251</f>
        <v/>
      </c>
      <c r="X2251" s="32">
        <f>T2251/N2251</f>
        <v/>
      </c>
      <c r="Y2251" s="35">
        <f>IF(W2251=MAXIFS(W$2:W$3601, A$2:A$3601, A2251, B$2:B$3601, B2251), "OPTIMAL", "")</f>
        <v/>
      </c>
    </row>
    <row r="2252" ht="20" customHeight="1">
      <c r="A2252" s="21" t="n">
        <v>-18</v>
      </c>
      <c r="B2252" s="21" t="n">
        <v>30</v>
      </c>
      <c r="C2252" s="22" t="n">
        <v>90</v>
      </c>
      <c r="D2252" s="22" t="n">
        <v>2</v>
      </c>
      <c r="E2252" s="23" t="n">
        <v>4</v>
      </c>
      <c r="F2252" s="22" t="n">
        <v>2</v>
      </c>
      <c r="G2252" s="23" t="inlineStr">
        <is>
          <t>Non</t>
        </is>
      </c>
      <c r="H2252" s="23" t="inlineStr">
        <is>
          <t>ON</t>
        </is>
      </c>
      <c r="I2252" s="24" t="n">
        <v>674.4931640486259</v>
      </c>
      <c r="J2252" s="24" t="n">
        <v>5144.556481985902</v>
      </c>
      <c r="K2252" s="24" t="n">
        <v>3782.407407407407</v>
      </c>
      <c r="L2252" s="24" t="n">
        <v>150</v>
      </c>
      <c r="M2252" s="24">
        <f>I2252+J2252+K2252+L2252</f>
        <v/>
      </c>
      <c r="N2252" s="24">
        <f>M2252*'Dashboard &amp; Optimisation'!$B$18/('Dashboard &amp; Optimisation'!$B$16/3.6)</f>
        <v/>
      </c>
      <c r="O2252" s="24" t="n">
        <v>849.1602208346646</v>
      </c>
      <c r="P2252" s="25" t="n">
        <v>0.07168164276358319</v>
      </c>
      <c r="Q2252" s="26" t="n">
        <v>9.902677535321354</v>
      </c>
      <c r="R2252" s="24" t="n">
        <v>4627.58579166046</v>
      </c>
      <c r="S2252" s="24">
        <f>R2252*IF(A2252=4, 2.0, 3.0)</f>
        <v/>
      </c>
      <c r="T2252" s="22">
        <f>'Dashboard &amp; Optimisation'!$B$18*U2252</f>
        <v/>
      </c>
      <c r="U2252" s="27">
        <f>MIN(1, S2252/M2252)</f>
        <v/>
      </c>
      <c r="V2252" s="27">
        <f>N2252/(N2252+O2252)</f>
        <v/>
      </c>
      <c r="W2252" s="27">
        <f>U2252*V2252</f>
        <v/>
      </c>
      <c r="X2252" s="25">
        <f>T2252/N2252</f>
        <v/>
      </c>
      <c r="Y2252" s="28">
        <f>IF(W2252=MAXIFS(W$2:W$3601, A$2:A$3601, A2252, B$2:B$3601, B2252), "OPTIMAL", "")</f>
        <v/>
      </c>
    </row>
    <row r="2253" ht="20" customHeight="1">
      <c r="A2253" s="29" t="n">
        <v>-18</v>
      </c>
      <c r="B2253" s="29" t="n">
        <v>30</v>
      </c>
      <c r="C2253" s="30" t="n">
        <v>90</v>
      </c>
      <c r="D2253" s="30" t="n">
        <v>2</v>
      </c>
      <c r="E2253" s="6" t="n">
        <v>4</v>
      </c>
      <c r="F2253" s="30" t="n">
        <v>2</v>
      </c>
      <c r="G2253" s="6" t="inlineStr">
        <is>
          <t>Non</t>
        </is>
      </c>
      <c r="H2253" s="6" t="inlineStr">
        <is>
          <t>OFF</t>
        </is>
      </c>
      <c r="I2253" s="31" t="n">
        <v>674.4931640486259</v>
      </c>
      <c r="J2253" s="31" t="n">
        <v>5144.556481985902</v>
      </c>
      <c r="K2253" s="31" t="n">
        <v>3782.407407407407</v>
      </c>
      <c r="L2253" s="31" t="n">
        <v>150</v>
      </c>
      <c r="M2253" s="31">
        <f>I2253+J2253+K2253+L2253</f>
        <v/>
      </c>
      <c r="N2253" s="31">
        <f>M2253*'Dashboard &amp; Optimisation'!$B$18/('Dashboard &amp; Optimisation'!$B$16/3.6)</f>
        <v/>
      </c>
      <c r="O2253" s="31" t="n">
        <v>849.1602208346646</v>
      </c>
      <c r="P2253" s="32" t="n">
        <v>0.3250137153420598</v>
      </c>
      <c r="Q2253" s="33" t="n">
        <v>9.902677535321354</v>
      </c>
      <c r="R2253" s="31" t="n">
        <v>1020.612164709812</v>
      </c>
      <c r="S2253" s="31">
        <f>R2253*IF(A2253=4, 2.0, 3.0)</f>
        <v/>
      </c>
      <c r="T2253" s="30">
        <f>'Dashboard &amp; Optimisation'!$B$18*U2253</f>
        <v/>
      </c>
      <c r="U2253" s="34">
        <f>MIN(1, S2253/M2253)</f>
        <v/>
      </c>
      <c r="V2253" s="34">
        <f>N2253/(N2253+O2253)</f>
        <v/>
      </c>
      <c r="W2253" s="34">
        <f>U2253*V2253</f>
        <v/>
      </c>
      <c r="X2253" s="32">
        <f>T2253/N2253</f>
        <v/>
      </c>
      <c r="Y2253" s="35">
        <f>IF(W2253=MAXIFS(W$2:W$3601, A$2:A$3601, A2253, B$2:B$3601, B2253), "OPTIMAL", "")</f>
        <v/>
      </c>
    </row>
    <row r="2254" ht="20" customHeight="1">
      <c r="A2254" s="21" t="n">
        <v>-18</v>
      </c>
      <c r="B2254" s="21" t="n">
        <v>30</v>
      </c>
      <c r="C2254" s="22" t="n">
        <v>90</v>
      </c>
      <c r="D2254" s="22" t="n">
        <v>2</v>
      </c>
      <c r="E2254" s="23" t="n">
        <v>8</v>
      </c>
      <c r="F2254" s="22" t="n">
        <v>1.5</v>
      </c>
      <c r="G2254" s="23" t="inlineStr">
        <is>
          <t>Oui</t>
        </is>
      </c>
      <c r="H2254" s="23" t="inlineStr">
        <is>
          <t>ON</t>
        </is>
      </c>
      <c r="I2254" s="24" t="n">
        <v>674.4931640486259</v>
      </c>
      <c r="J2254" s="24" t="n">
        <v>5144.556481985902</v>
      </c>
      <c r="K2254" s="24" t="n">
        <v>3782.407407407407</v>
      </c>
      <c r="L2254" s="24" t="n">
        <v>150</v>
      </c>
      <c r="M2254" s="24">
        <f>I2254+J2254+K2254+L2254</f>
        <v/>
      </c>
      <c r="N2254" s="24">
        <f>M2254*'Dashboard &amp; Optimisation'!$B$18/('Dashboard &amp; Optimisation'!$B$16/3.6)</f>
        <v/>
      </c>
      <c r="O2254" s="24" t="n">
        <v>1052.302532461065</v>
      </c>
      <c r="P2254" s="25" t="n">
        <v>0.05835644876127537</v>
      </c>
      <c r="Q2254" s="26" t="n">
        <v>14.75401630298203</v>
      </c>
      <c r="R2254" s="24" t="n">
        <v>5829.205759756975</v>
      </c>
      <c r="S2254" s="24">
        <f>R2254*IF(A2254=4, 2.0, 3.0)</f>
        <v/>
      </c>
      <c r="T2254" s="22">
        <f>'Dashboard &amp; Optimisation'!$B$18*U2254</f>
        <v/>
      </c>
      <c r="U2254" s="27">
        <f>MIN(1, S2254/M2254)</f>
        <v/>
      </c>
      <c r="V2254" s="27">
        <f>N2254/(N2254+O2254)</f>
        <v/>
      </c>
      <c r="W2254" s="27">
        <f>U2254*V2254</f>
        <v/>
      </c>
      <c r="X2254" s="25">
        <f>T2254/N2254</f>
        <v/>
      </c>
      <c r="Y2254" s="28">
        <f>IF(W2254=MAXIFS(W$2:W$3601, A$2:A$3601, A2254, B$2:B$3601, B2254), "OPTIMAL", "")</f>
        <v/>
      </c>
    </row>
    <row r="2255" ht="20" customHeight="1">
      <c r="A2255" s="29" t="n">
        <v>-18</v>
      </c>
      <c r="B2255" s="29" t="n">
        <v>30</v>
      </c>
      <c r="C2255" s="30" t="n">
        <v>90</v>
      </c>
      <c r="D2255" s="30" t="n">
        <v>2</v>
      </c>
      <c r="E2255" s="6" t="n">
        <v>8</v>
      </c>
      <c r="F2255" s="30" t="n">
        <v>1.5</v>
      </c>
      <c r="G2255" s="6" t="inlineStr">
        <is>
          <t>Oui</t>
        </is>
      </c>
      <c r="H2255" s="6" t="inlineStr">
        <is>
          <t>OFF</t>
        </is>
      </c>
      <c r="I2255" s="31" t="n">
        <v>674.4931640486259</v>
      </c>
      <c r="J2255" s="31" t="n">
        <v>5144.556481985902</v>
      </c>
      <c r="K2255" s="31" t="n">
        <v>3782.407407407407</v>
      </c>
      <c r="L2255" s="31" t="n">
        <v>150</v>
      </c>
      <c r="M2255" s="31">
        <f>I2255+J2255+K2255+L2255</f>
        <v/>
      </c>
      <c r="N2255" s="31">
        <f>M2255*'Dashboard &amp; Optimisation'!$B$18/('Dashboard &amp; Optimisation'!$B$16/3.6)</f>
        <v/>
      </c>
      <c r="O2255" s="31" t="n">
        <v>1052.302532461065</v>
      </c>
      <c r="P2255" s="32" t="n">
        <v>0.2541545323509655</v>
      </c>
      <c r="Q2255" s="33" t="n">
        <v>14.75401630298203</v>
      </c>
      <c r="R2255" s="31" t="n">
        <v>1338.44454431543</v>
      </c>
      <c r="S2255" s="31">
        <f>R2255*IF(A2255=4, 2.0, 3.0)</f>
        <v/>
      </c>
      <c r="T2255" s="30">
        <f>'Dashboard &amp; Optimisation'!$B$18*U2255</f>
        <v/>
      </c>
      <c r="U2255" s="34">
        <f>MIN(1, S2255/M2255)</f>
        <v/>
      </c>
      <c r="V2255" s="34">
        <f>N2255/(N2255+O2255)</f>
        <v/>
      </c>
      <c r="W2255" s="34">
        <f>U2255*V2255</f>
        <v/>
      </c>
      <c r="X2255" s="32">
        <f>T2255/N2255</f>
        <v/>
      </c>
      <c r="Y2255" s="35">
        <f>IF(W2255=MAXIFS(W$2:W$3601, A$2:A$3601, A2255, B$2:B$3601, B2255), "OPTIMAL", "")</f>
        <v/>
      </c>
    </row>
    <row r="2256" ht="20" customHeight="1">
      <c r="A2256" s="21" t="n">
        <v>-18</v>
      </c>
      <c r="B2256" s="21" t="n">
        <v>30</v>
      </c>
      <c r="C2256" s="22" t="n">
        <v>90</v>
      </c>
      <c r="D2256" s="22" t="n">
        <v>2</v>
      </c>
      <c r="E2256" s="23" t="n">
        <v>8</v>
      </c>
      <c r="F2256" s="22" t="n">
        <v>1.5</v>
      </c>
      <c r="G2256" s="23" t="inlineStr">
        <is>
          <t>Non</t>
        </is>
      </c>
      <c r="H2256" s="23" t="inlineStr">
        <is>
          <t>ON</t>
        </is>
      </c>
      <c r="I2256" s="24" t="n">
        <v>674.4931640486259</v>
      </c>
      <c r="J2256" s="24" t="n">
        <v>5144.556481985902</v>
      </c>
      <c r="K2256" s="24" t="n">
        <v>3782.407407407407</v>
      </c>
      <c r="L2256" s="24" t="n">
        <v>150</v>
      </c>
      <c r="M2256" s="24">
        <f>I2256+J2256+K2256+L2256</f>
        <v/>
      </c>
      <c r="N2256" s="24">
        <f>M2256*'Dashboard &amp; Optimisation'!$B$18/('Dashboard &amp; Optimisation'!$B$16/3.6)</f>
        <v/>
      </c>
      <c r="O2256" s="24" t="n">
        <v>1052.302532461065</v>
      </c>
      <c r="P2256" s="25" t="n">
        <v>0.05481967224812215</v>
      </c>
      <c r="Q2256" s="26" t="n">
        <v>14.75401630298203</v>
      </c>
      <c r="R2256" s="24" t="n">
        <v>6205.286045828955</v>
      </c>
      <c r="S2256" s="24">
        <f>R2256*IF(A2256=4, 2.0, 3.0)</f>
        <v/>
      </c>
      <c r="T2256" s="22">
        <f>'Dashboard &amp; Optimisation'!$B$18*U2256</f>
        <v/>
      </c>
      <c r="U2256" s="27">
        <f>MIN(1, S2256/M2256)</f>
        <v/>
      </c>
      <c r="V2256" s="27">
        <f>N2256/(N2256+O2256)</f>
        <v/>
      </c>
      <c r="W2256" s="27">
        <f>U2256*V2256</f>
        <v/>
      </c>
      <c r="X2256" s="25">
        <f>T2256/N2256</f>
        <v/>
      </c>
      <c r="Y2256" s="28">
        <f>IF(W2256=MAXIFS(W$2:W$3601, A$2:A$3601, A2256, B$2:B$3601, B2256), "OPTIMAL", "")</f>
        <v/>
      </c>
    </row>
    <row r="2257" ht="20" customHeight="1">
      <c r="A2257" s="29" t="n">
        <v>-18</v>
      </c>
      <c r="B2257" s="29" t="n">
        <v>30</v>
      </c>
      <c r="C2257" s="30" t="n">
        <v>90</v>
      </c>
      <c r="D2257" s="30" t="n">
        <v>2</v>
      </c>
      <c r="E2257" s="6" t="n">
        <v>8</v>
      </c>
      <c r="F2257" s="30" t="n">
        <v>1.5</v>
      </c>
      <c r="G2257" s="6" t="inlineStr">
        <is>
          <t>Non</t>
        </is>
      </c>
      <c r="H2257" s="6" t="inlineStr">
        <is>
          <t>OFF</t>
        </is>
      </c>
      <c r="I2257" s="31" t="n">
        <v>674.4931640486259</v>
      </c>
      <c r="J2257" s="31" t="n">
        <v>5144.556481985902</v>
      </c>
      <c r="K2257" s="31" t="n">
        <v>3782.407407407407</v>
      </c>
      <c r="L2257" s="31" t="n">
        <v>150</v>
      </c>
      <c r="M2257" s="31">
        <f>I2257+J2257+K2257+L2257</f>
        <v/>
      </c>
      <c r="N2257" s="31">
        <f>M2257*'Dashboard &amp; Optimisation'!$B$18/('Dashboard &amp; Optimisation'!$B$16/3.6)</f>
        <v/>
      </c>
      <c r="O2257" s="31" t="n">
        <v>1052.302532461065</v>
      </c>
      <c r="P2257" s="32" t="n">
        <v>0.2506177558378123</v>
      </c>
      <c r="Q2257" s="33" t="n">
        <v>14.75401630298203</v>
      </c>
      <c r="R2257" s="31" t="n">
        <v>1357.332987445359</v>
      </c>
      <c r="S2257" s="31">
        <f>R2257*IF(A2257=4, 2.0, 3.0)</f>
        <v/>
      </c>
      <c r="T2257" s="30">
        <f>'Dashboard &amp; Optimisation'!$B$18*U2257</f>
        <v/>
      </c>
      <c r="U2257" s="34">
        <f>MIN(1, S2257/M2257)</f>
        <v/>
      </c>
      <c r="V2257" s="34">
        <f>N2257/(N2257+O2257)</f>
        <v/>
      </c>
      <c r="W2257" s="34">
        <f>U2257*V2257</f>
        <v/>
      </c>
      <c r="X2257" s="32">
        <f>T2257/N2257</f>
        <v/>
      </c>
      <c r="Y2257" s="35">
        <f>IF(W2257=MAXIFS(W$2:W$3601, A$2:A$3601, A2257, B$2:B$3601, B2257), "OPTIMAL", "")</f>
        <v/>
      </c>
    </row>
    <row r="2258" ht="20" customHeight="1">
      <c r="A2258" s="21" t="n">
        <v>-18</v>
      </c>
      <c r="B2258" s="21" t="n">
        <v>30</v>
      </c>
      <c r="C2258" s="22" t="n">
        <v>90</v>
      </c>
      <c r="D2258" s="22" t="n">
        <v>2</v>
      </c>
      <c r="E2258" s="23" t="n">
        <v>8</v>
      </c>
      <c r="F2258" s="22" t="n">
        <v>2</v>
      </c>
      <c r="G2258" s="23" t="inlineStr">
        <is>
          <t>Oui</t>
        </is>
      </c>
      <c r="H2258" s="23" t="inlineStr">
        <is>
          <t>ON</t>
        </is>
      </c>
      <c r="I2258" s="24" t="n">
        <v>674.4931640486259</v>
      </c>
      <c r="J2258" s="24" t="n">
        <v>5144.556481985902</v>
      </c>
      <c r="K2258" s="24" t="n">
        <v>3782.407407407407</v>
      </c>
      <c r="L2258" s="24" t="n">
        <v>150</v>
      </c>
      <c r="M2258" s="24">
        <f>I2258+J2258+K2258+L2258</f>
        <v/>
      </c>
      <c r="N2258" s="24">
        <f>M2258*'Dashboard &amp; Optimisation'!$B$18/('Dashboard &amp; Optimisation'!$B$16/3.6)</f>
        <v/>
      </c>
      <c r="O2258" s="24" t="n">
        <v>1266.076350430282</v>
      </c>
      <c r="P2258" s="25" t="n">
        <v>0.05730401653259074</v>
      </c>
      <c r="Q2258" s="26" t="n">
        <v>19.60535507064271</v>
      </c>
      <c r="R2258" s="24" t="n">
        <v>6091.601554655968</v>
      </c>
      <c r="S2258" s="24">
        <f>R2258*IF(A2258=4, 2.0, 3.0)</f>
        <v/>
      </c>
      <c r="T2258" s="22">
        <f>'Dashboard &amp; Optimisation'!$B$18*U2258</f>
        <v/>
      </c>
      <c r="U2258" s="27">
        <f>MIN(1, S2258/M2258)</f>
        <v/>
      </c>
      <c r="V2258" s="27">
        <f>N2258/(N2258+O2258)</f>
        <v/>
      </c>
      <c r="W2258" s="27">
        <f>U2258*V2258</f>
        <v/>
      </c>
      <c r="X2258" s="25">
        <f>T2258/N2258</f>
        <v/>
      </c>
      <c r="Y2258" s="28">
        <f>IF(W2258=MAXIFS(W$2:W$3601, A$2:A$3601, A2258, B$2:B$3601, B2258), "OPTIMAL", "")</f>
        <v/>
      </c>
    </row>
    <row r="2259" ht="20" customHeight="1">
      <c r="A2259" s="29" t="n">
        <v>-18</v>
      </c>
      <c r="B2259" s="29" t="n">
        <v>30</v>
      </c>
      <c r="C2259" s="30" t="n">
        <v>90</v>
      </c>
      <c r="D2259" s="30" t="n">
        <v>2</v>
      </c>
      <c r="E2259" s="6" t="n">
        <v>8</v>
      </c>
      <c r="F2259" s="30" t="n">
        <v>2</v>
      </c>
      <c r="G2259" s="6" t="inlineStr">
        <is>
          <t>Oui</t>
        </is>
      </c>
      <c r="H2259" s="6" t="inlineStr">
        <is>
          <t>OFF</t>
        </is>
      </c>
      <c r="I2259" s="31" t="n">
        <v>674.4931640486259</v>
      </c>
      <c r="J2259" s="31" t="n">
        <v>5144.556481985902</v>
      </c>
      <c r="K2259" s="31" t="n">
        <v>3782.407407407407</v>
      </c>
      <c r="L2259" s="31" t="n">
        <v>150</v>
      </c>
      <c r="M2259" s="31">
        <f>I2259+J2259+K2259+L2259</f>
        <v/>
      </c>
      <c r="N2259" s="31">
        <f>M2259*'Dashboard &amp; Optimisation'!$B$18/('Dashboard &amp; Optimisation'!$B$16/3.6)</f>
        <v/>
      </c>
      <c r="O2259" s="31" t="n">
        <v>1266.076350430282</v>
      </c>
      <c r="P2259" s="32" t="n">
        <v>0.2546454449662799</v>
      </c>
      <c r="Q2259" s="33" t="n">
        <v>19.60535507064271</v>
      </c>
      <c r="R2259" s="31" t="n">
        <v>1370.820657106925</v>
      </c>
      <c r="S2259" s="31">
        <f>R2259*IF(A2259=4, 2.0, 3.0)</f>
        <v/>
      </c>
      <c r="T2259" s="30">
        <f>'Dashboard &amp; Optimisation'!$B$18*U2259</f>
        <v/>
      </c>
      <c r="U2259" s="34">
        <f>MIN(1, S2259/M2259)</f>
        <v/>
      </c>
      <c r="V2259" s="34">
        <f>N2259/(N2259+O2259)</f>
        <v/>
      </c>
      <c r="W2259" s="34">
        <f>U2259*V2259</f>
        <v/>
      </c>
      <c r="X2259" s="32">
        <f>T2259/N2259</f>
        <v/>
      </c>
      <c r="Y2259" s="35">
        <f>IF(W2259=MAXIFS(W$2:W$3601, A$2:A$3601, A2259, B$2:B$3601, B2259), "OPTIMAL", "")</f>
        <v/>
      </c>
    </row>
    <row r="2260" ht="20" customHeight="1">
      <c r="A2260" s="21" t="n">
        <v>-18</v>
      </c>
      <c r="B2260" s="21" t="n">
        <v>30</v>
      </c>
      <c r="C2260" s="22" t="n">
        <v>90</v>
      </c>
      <c r="D2260" s="22" t="n">
        <v>2</v>
      </c>
      <c r="E2260" s="23" t="n">
        <v>8</v>
      </c>
      <c r="F2260" s="22" t="n">
        <v>2</v>
      </c>
      <c r="G2260" s="23" t="inlineStr">
        <is>
          <t>Non</t>
        </is>
      </c>
      <c r="H2260" s="23" t="inlineStr">
        <is>
          <t>ON</t>
        </is>
      </c>
      <c r="I2260" s="24" t="n">
        <v>674.4931640486259</v>
      </c>
      <c r="J2260" s="24" t="n">
        <v>5144.556481985902</v>
      </c>
      <c r="K2260" s="24" t="n">
        <v>3782.407407407407</v>
      </c>
      <c r="L2260" s="24" t="n">
        <v>150</v>
      </c>
      <c r="M2260" s="24">
        <f>I2260+J2260+K2260+L2260</f>
        <v/>
      </c>
      <c r="N2260" s="24">
        <f>M2260*'Dashboard &amp; Optimisation'!$B$18/('Dashboard &amp; Optimisation'!$B$16/3.6)</f>
        <v/>
      </c>
      <c r="O2260" s="24" t="n">
        <v>1266.076350430282</v>
      </c>
      <c r="P2260" s="25" t="n">
        <v>0.05376724001943751</v>
      </c>
      <c r="Q2260" s="26" t="n">
        <v>19.60535507064271</v>
      </c>
      <c r="R2260" s="24" t="n">
        <v>6492.303418806077</v>
      </c>
      <c r="S2260" s="24">
        <f>R2260*IF(A2260=4, 2.0, 3.0)</f>
        <v/>
      </c>
      <c r="T2260" s="22">
        <f>'Dashboard &amp; Optimisation'!$B$18*U2260</f>
        <v/>
      </c>
      <c r="U2260" s="27">
        <f>MIN(1, S2260/M2260)</f>
        <v/>
      </c>
      <c r="V2260" s="27">
        <f>N2260/(N2260+O2260)</f>
        <v/>
      </c>
      <c r="W2260" s="27">
        <f>U2260*V2260</f>
        <v/>
      </c>
      <c r="X2260" s="25">
        <f>T2260/N2260</f>
        <v/>
      </c>
      <c r="Y2260" s="28">
        <f>IF(W2260=MAXIFS(W$2:W$3601, A$2:A$3601, A2260, B$2:B$3601, B2260), "OPTIMAL", "")</f>
        <v/>
      </c>
    </row>
    <row r="2261" ht="20" customHeight="1">
      <c r="A2261" s="29" t="n">
        <v>-18</v>
      </c>
      <c r="B2261" s="29" t="n">
        <v>30</v>
      </c>
      <c r="C2261" s="30" t="n">
        <v>90</v>
      </c>
      <c r="D2261" s="30" t="n">
        <v>2</v>
      </c>
      <c r="E2261" s="6" t="n">
        <v>8</v>
      </c>
      <c r="F2261" s="30" t="n">
        <v>2</v>
      </c>
      <c r="G2261" s="6" t="inlineStr">
        <is>
          <t>Non</t>
        </is>
      </c>
      <c r="H2261" s="6" t="inlineStr">
        <is>
          <t>OFF</t>
        </is>
      </c>
      <c r="I2261" s="31" t="n">
        <v>674.4931640486259</v>
      </c>
      <c r="J2261" s="31" t="n">
        <v>5144.556481985902</v>
      </c>
      <c r="K2261" s="31" t="n">
        <v>3782.407407407407</v>
      </c>
      <c r="L2261" s="31" t="n">
        <v>150</v>
      </c>
      <c r="M2261" s="31">
        <f>I2261+J2261+K2261+L2261</f>
        <v/>
      </c>
      <c r="N2261" s="31">
        <f>M2261*'Dashboard &amp; Optimisation'!$B$18/('Dashboard &amp; Optimisation'!$B$16/3.6)</f>
        <v/>
      </c>
      <c r="O2261" s="31" t="n">
        <v>1266.076350430282</v>
      </c>
      <c r="P2261" s="32" t="n">
        <v>0.2511086684531266</v>
      </c>
      <c r="Q2261" s="33" t="n">
        <v>19.60535507064271</v>
      </c>
      <c r="R2261" s="31" t="n">
        <v>1390.128179757048</v>
      </c>
      <c r="S2261" s="31">
        <f>R2261*IF(A2261=4, 2.0, 3.0)</f>
        <v/>
      </c>
      <c r="T2261" s="30">
        <f>'Dashboard &amp; Optimisation'!$B$18*U2261</f>
        <v/>
      </c>
      <c r="U2261" s="34">
        <f>MIN(1, S2261/M2261)</f>
        <v/>
      </c>
      <c r="V2261" s="34">
        <f>N2261/(N2261+O2261)</f>
        <v/>
      </c>
      <c r="W2261" s="34">
        <f>U2261*V2261</f>
        <v/>
      </c>
      <c r="X2261" s="32">
        <f>T2261/N2261</f>
        <v/>
      </c>
      <c r="Y2261" s="35">
        <f>IF(W2261=MAXIFS(W$2:W$3601, A$2:A$3601, A2261, B$2:B$3601, B2261), "OPTIMAL", "")</f>
        <v/>
      </c>
    </row>
    <row r="2262" ht="20" customHeight="1">
      <c r="A2262" s="21" t="n">
        <v>-18</v>
      </c>
      <c r="B2262" s="21" t="n">
        <v>30</v>
      </c>
      <c r="C2262" s="22" t="n">
        <v>90</v>
      </c>
      <c r="D2262" s="22" t="n">
        <v>3</v>
      </c>
      <c r="E2262" s="23" t="n">
        <v>0</v>
      </c>
      <c r="F2262" s="22" t="n">
        <v>0</v>
      </c>
      <c r="G2262" s="23" t="inlineStr">
        <is>
          <t>Oui</t>
        </is>
      </c>
      <c r="H2262" s="23" t="inlineStr">
        <is>
          <t>ON</t>
        </is>
      </c>
      <c r="I2262" s="24" t="n">
        <v>674.4931640486259</v>
      </c>
      <c r="J2262" s="24" t="n">
        <v>5144.556481985902</v>
      </c>
      <c r="K2262" s="24" t="n">
        <v>3782.407407407407</v>
      </c>
      <c r="L2262" s="24" t="n">
        <v>150</v>
      </c>
      <c r="M2262" s="24">
        <f>I2262+J2262+K2262+L2262</f>
        <v/>
      </c>
      <c r="N2262" s="24">
        <f>M2262*'Dashboard &amp; Optimisation'!$B$18/('Dashboard &amp; Optimisation'!$B$16/3.6)</f>
        <v/>
      </c>
      <c r="O2262" s="24" t="n">
        <v>733.2908401291756</v>
      </c>
      <c r="P2262" s="25" t="n">
        <v>0.4898971107621382</v>
      </c>
      <c r="Q2262" s="26" t="n">
        <v>0.2</v>
      </c>
      <c r="R2262" s="24" t="n">
        <v>676.1098105435083</v>
      </c>
      <c r="S2262" s="24">
        <f>R2262*IF(A2262=4, 2.0, 3.0)</f>
        <v/>
      </c>
      <c r="T2262" s="22">
        <f>'Dashboard &amp; Optimisation'!$B$18*U2262</f>
        <v/>
      </c>
      <c r="U2262" s="27">
        <f>MIN(1, S2262/M2262)</f>
        <v/>
      </c>
      <c r="V2262" s="27">
        <f>N2262/(N2262+O2262)</f>
        <v/>
      </c>
      <c r="W2262" s="27">
        <f>U2262*V2262</f>
        <v/>
      </c>
      <c r="X2262" s="25">
        <f>T2262/N2262</f>
        <v/>
      </c>
      <c r="Y2262" s="28">
        <f>IF(W2262=MAXIFS(W$2:W$3601, A$2:A$3601, A2262, B$2:B$3601, B2262), "OPTIMAL", "")</f>
        <v/>
      </c>
    </row>
    <row r="2263" ht="20" customHeight="1">
      <c r="A2263" s="29" t="n">
        <v>-18</v>
      </c>
      <c r="B2263" s="29" t="n">
        <v>30</v>
      </c>
      <c r="C2263" s="30" t="n">
        <v>90</v>
      </c>
      <c r="D2263" s="30" t="n">
        <v>3</v>
      </c>
      <c r="E2263" s="6" t="n">
        <v>0</v>
      </c>
      <c r="F2263" s="30" t="n">
        <v>0</v>
      </c>
      <c r="G2263" s="6" t="inlineStr">
        <is>
          <t>Oui</t>
        </is>
      </c>
      <c r="H2263" s="6" t="inlineStr">
        <is>
          <t>OFF</t>
        </is>
      </c>
      <c r="I2263" s="31" t="n">
        <v>674.4931640486259</v>
      </c>
      <c r="J2263" s="31" t="n">
        <v>5144.556481985902</v>
      </c>
      <c r="K2263" s="31" t="n">
        <v>3782.407407407407</v>
      </c>
      <c r="L2263" s="31" t="n">
        <v>150</v>
      </c>
      <c r="M2263" s="31">
        <f>I2263+J2263+K2263+L2263</f>
        <v/>
      </c>
      <c r="N2263" s="31">
        <f>M2263*'Dashboard &amp; Optimisation'!$B$18/('Dashboard &amp; Optimisation'!$B$16/3.6)</f>
        <v/>
      </c>
      <c r="O2263" s="31" t="n">
        <v>733.2908401291756</v>
      </c>
      <c r="P2263" s="32" t="n">
        <v>0.8435747620774612</v>
      </c>
      <c r="Q2263" s="33" t="n">
        <v>0.2</v>
      </c>
      <c r="R2263" s="31" t="n">
        <v>392.6436133858479</v>
      </c>
      <c r="S2263" s="31">
        <f>R2263*IF(A2263=4, 2.0, 3.0)</f>
        <v/>
      </c>
      <c r="T2263" s="30">
        <f>'Dashboard &amp; Optimisation'!$B$18*U2263</f>
        <v/>
      </c>
      <c r="U2263" s="34">
        <f>MIN(1, S2263/M2263)</f>
        <v/>
      </c>
      <c r="V2263" s="34">
        <f>N2263/(N2263+O2263)</f>
        <v/>
      </c>
      <c r="W2263" s="34">
        <f>U2263*V2263</f>
        <v/>
      </c>
      <c r="X2263" s="32">
        <f>T2263/N2263</f>
        <v/>
      </c>
      <c r="Y2263" s="35">
        <f>IF(W2263=MAXIFS(W$2:W$3601, A$2:A$3601, A2263, B$2:B$3601, B2263), "OPTIMAL", "")</f>
        <v/>
      </c>
    </row>
    <row r="2264" ht="20" customHeight="1">
      <c r="A2264" s="21" t="n">
        <v>-18</v>
      </c>
      <c r="B2264" s="21" t="n">
        <v>30</v>
      </c>
      <c r="C2264" s="22" t="n">
        <v>90</v>
      </c>
      <c r="D2264" s="22" t="n">
        <v>3</v>
      </c>
      <c r="E2264" s="23" t="n">
        <v>0</v>
      </c>
      <c r="F2264" s="22" t="n">
        <v>0</v>
      </c>
      <c r="G2264" s="23" t="inlineStr">
        <is>
          <t>Non</t>
        </is>
      </c>
      <c r="H2264" s="23" t="inlineStr">
        <is>
          <t>ON</t>
        </is>
      </c>
      <c r="I2264" s="24" t="n">
        <v>674.4931640486259</v>
      </c>
      <c r="J2264" s="24" t="n">
        <v>5144.556481985902</v>
      </c>
      <c r="K2264" s="24" t="n">
        <v>3782.407407407407</v>
      </c>
      <c r="L2264" s="24" t="n">
        <v>150</v>
      </c>
      <c r="M2264" s="24">
        <f>I2264+J2264+K2264+L2264</f>
        <v/>
      </c>
      <c r="N2264" s="24">
        <f>M2264*'Dashboard &amp; Optimisation'!$B$18/('Dashboard &amp; Optimisation'!$B$16/3.6)</f>
        <v/>
      </c>
      <c r="O2264" s="24" t="n">
        <v>733.2908401291756</v>
      </c>
      <c r="P2264" s="25" t="n">
        <v>0.486360334248985</v>
      </c>
      <c r="Q2264" s="26" t="n">
        <v>0.2</v>
      </c>
      <c r="R2264" s="24" t="n">
        <v>681.0264312665678</v>
      </c>
      <c r="S2264" s="24">
        <f>R2264*IF(A2264=4, 2.0, 3.0)</f>
        <v/>
      </c>
      <c r="T2264" s="22">
        <f>'Dashboard &amp; Optimisation'!$B$18*U2264</f>
        <v/>
      </c>
      <c r="U2264" s="27">
        <f>MIN(1, S2264/M2264)</f>
        <v/>
      </c>
      <c r="V2264" s="27">
        <f>N2264/(N2264+O2264)</f>
        <v/>
      </c>
      <c r="W2264" s="27">
        <f>U2264*V2264</f>
        <v/>
      </c>
      <c r="X2264" s="25">
        <f>T2264/N2264</f>
        <v/>
      </c>
      <c r="Y2264" s="28">
        <f>IF(W2264=MAXIFS(W$2:W$3601, A$2:A$3601, A2264, B$2:B$3601, B2264), "OPTIMAL", "")</f>
        <v/>
      </c>
    </row>
    <row r="2265" ht="20" customHeight="1">
      <c r="A2265" s="29" t="n">
        <v>-18</v>
      </c>
      <c r="B2265" s="29" t="n">
        <v>30</v>
      </c>
      <c r="C2265" s="30" t="n">
        <v>90</v>
      </c>
      <c r="D2265" s="30" t="n">
        <v>3</v>
      </c>
      <c r="E2265" s="6" t="n">
        <v>0</v>
      </c>
      <c r="F2265" s="30" t="n">
        <v>0</v>
      </c>
      <c r="G2265" s="6" t="inlineStr">
        <is>
          <t>Non</t>
        </is>
      </c>
      <c r="H2265" s="6" t="inlineStr">
        <is>
          <t>OFF</t>
        </is>
      </c>
      <c r="I2265" s="31" t="n">
        <v>674.4931640486259</v>
      </c>
      <c r="J2265" s="31" t="n">
        <v>5144.556481985902</v>
      </c>
      <c r="K2265" s="31" t="n">
        <v>3782.407407407407</v>
      </c>
      <c r="L2265" s="31" t="n">
        <v>150</v>
      </c>
      <c r="M2265" s="31">
        <f>I2265+J2265+K2265+L2265</f>
        <v/>
      </c>
      <c r="N2265" s="31">
        <f>M2265*'Dashboard &amp; Optimisation'!$B$18/('Dashboard &amp; Optimisation'!$B$16/3.6)</f>
        <v/>
      </c>
      <c r="O2265" s="31" t="n">
        <v>733.2908401291756</v>
      </c>
      <c r="P2265" s="32" t="n">
        <v>0.840037985564308</v>
      </c>
      <c r="Q2265" s="33" t="n">
        <v>0.2</v>
      </c>
      <c r="R2265" s="31" t="n">
        <v>394.2967442367461</v>
      </c>
      <c r="S2265" s="31">
        <f>R2265*IF(A2265=4, 2.0, 3.0)</f>
        <v/>
      </c>
      <c r="T2265" s="30">
        <f>'Dashboard &amp; Optimisation'!$B$18*U2265</f>
        <v/>
      </c>
      <c r="U2265" s="34">
        <f>MIN(1, S2265/M2265)</f>
        <v/>
      </c>
      <c r="V2265" s="34">
        <f>N2265/(N2265+O2265)</f>
        <v/>
      </c>
      <c r="W2265" s="34">
        <f>U2265*V2265</f>
        <v/>
      </c>
      <c r="X2265" s="32">
        <f>T2265/N2265</f>
        <v/>
      </c>
      <c r="Y2265" s="35">
        <f>IF(W2265=MAXIFS(W$2:W$3601, A$2:A$3601, A2265, B$2:B$3601, B2265), "OPTIMAL", "")</f>
        <v/>
      </c>
    </row>
    <row r="2266" ht="20" customHeight="1">
      <c r="A2266" s="21" t="n">
        <v>-18</v>
      </c>
      <c r="B2266" s="21" t="n">
        <v>30</v>
      </c>
      <c r="C2266" s="22" t="n">
        <v>90</v>
      </c>
      <c r="D2266" s="22" t="n">
        <v>3</v>
      </c>
      <c r="E2266" s="23" t="n">
        <v>4</v>
      </c>
      <c r="F2266" s="22" t="n">
        <v>1.5</v>
      </c>
      <c r="G2266" s="23" t="inlineStr">
        <is>
          <t>Oui</t>
        </is>
      </c>
      <c r="H2266" s="23" t="inlineStr">
        <is>
          <t>ON</t>
        </is>
      </c>
      <c r="I2266" s="24" t="n">
        <v>674.4931640486259</v>
      </c>
      <c r="J2266" s="24" t="n">
        <v>5144.556481985902</v>
      </c>
      <c r="K2266" s="24" t="n">
        <v>3782.407407407407</v>
      </c>
      <c r="L2266" s="24" t="n">
        <v>150</v>
      </c>
      <c r="M2266" s="24">
        <f>I2266+J2266+K2266+L2266</f>
        <v/>
      </c>
      <c r="N2266" s="24">
        <f>M2266*'Dashboard &amp; Optimisation'!$B$18/('Dashboard &amp; Optimisation'!$B$16/3.6)</f>
        <v/>
      </c>
      <c r="O2266" s="24" t="n">
        <v>1031.59806672064</v>
      </c>
      <c r="P2266" s="25" t="n">
        <v>0.07737077298591719</v>
      </c>
      <c r="Q2266" s="26" t="n">
        <v>7.65027025033604</v>
      </c>
      <c r="R2266" s="24" t="n">
        <v>4442.614158815309</v>
      </c>
      <c r="S2266" s="24">
        <f>R2266*IF(A2266=4, 2.0, 3.0)</f>
        <v/>
      </c>
      <c r="T2266" s="22">
        <f>'Dashboard &amp; Optimisation'!$B$18*U2266</f>
        <v/>
      </c>
      <c r="U2266" s="27">
        <f>MIN(1, S2266/M2266)</f>
        <v/>
      </c>
      <c r="V2266" s="27">
        <f>N2266/(N2266+O2266)</f>
        <v/>
      </c>
      <c r="W2266" s="27">
        <f>U2266*V2266</f>
        <v/>
      </c>
      <c r="X2266" s="25">
        <f>T2266/N2266</f>
        <v/>
      </c>
      <c r="Y2266" s="28">
        <f>IF(W2266=MAXIFS(W$2:W$3601, A$2:A$3601, A2266, B$2:B$3601, B2266), "OPTIMAL", "")</f>
        <v/>
      </c>
    </row>
    <row r="2267" ht="20" customHeight="1">
      <c r="A2267" s="29" t="n">
        <v>-18</v>
      </c>
      <c r="B2267" s="29" t="n">
        <v>30</v>
      </c>
      <c r="C2267" s="30" t="n">
        <v>90</v>
      </c>
      <c r="D2267" s="30" t="n">
        <v>3</v>
      </c>
      <c r="E2267" s="6" t="n">
        <v>4</v>
      </c>
      <c r="F2267" s="30" t="n">
        <v>1.5</v>
      </c>
      <c r="G2267" s="6" t="inlineStr">
        <is>
          <t>Oui</t>
        </is>
      </c>
      <c r="H2267" s="6" t="inlineStr">
        <is>
          <t>OFF</t>
        </is>
      </c>
      <c r="I2267" s="31" t="n">
        <v>674.4931640486259</v>
      </c>
      <c r="J2267" s="31" t="n">
        <v>5144.556481985902</v>
      </c>
      <c r="K2267" s="31" t="n">
        <v>3782.407407407407</v>
      </c>
      <c r="L2267" s="31" t="n">
        <v>150</v>
      </c>
      <c r="M2267" s="31">
        <f>I2267+J2267+K2267+L2267</f>
        <v/>
      </c>
      <c r="N2267" s="31">
        <f>M2267*'Dashboard &amp; Optimisation'!$B$18/('Dashboard &amp; Optimisation'!$B$16/3.6)</f>
        <v/>
      </c>
      <c r="O2267" s="31" t="n">
        <v>1031.59806672064</v>
      </c>
      <c r="P2267" s="32" t="n">
        <v>0.3294279943160268</v>
      </c>
      <c r="Q2267" s="33" t="n">
        <v>7.65027025033604</v>
      </c>
      <c r="R2267" s="31" t="n">
        <v>1043.410084984991</v>
      </c>
      <c r="S2267" s="31">
        <f>R2267*IF(A2267=4, 2.0, 3.0)</f>
        <v/>
      </c>
      <c r="T2267" s="30">
        <f>'Dashboard &amp; Optimisation'!$B$18*U2267</f>
        <v/>
      </c>
      <c r="U2267" s="34">
        <f>MIN(1, S2267/M2267)</f>
        <v/>
      </c>
      <c r="V2267" s="34">
        <f>N2267/(N2267+O2267)</f>
        <v/>
      </c>
      <c r="W2267" s="34">
        <f>U2267*V2267</f>
        <v/>
      </c>
      <c r="X2267" s="32">
        <f>T2267/N2267</f>
        <v/>
      </c>
      <c r="Y2267" s="35">
        <f>IF(W2267=MAXIFS(W$2:W$3601, A$2:A$3601, A2267, B$2:B$3601, B2267), "OPTIMAL", "")</f>
        <v/>
      </c>
    </row>
    <row r="2268" ht="20" customHeight="1">
      <c r="A2268" s="21" t="n">
        <v>-18</v>
      </c>
      <c r="B2268" s="21" t="n">
        <v>30</v>
      </c>
      <c r="C2268" s="22" t="n">
        <v>90</v>
      </c>
      <c r="D2268" s="22" t="n">
        <v>3</v>
      </c>
      <c r="E2268" s="23" t="n">
        <v>4</v>
      </c>
      <c r="F2268" s="22" t="n">
        <v>1.5</v>
      </c>
      <c r="G2268" s="23" t="inlineStr">
        <is>
          <t>Non</t>
        </is>
      </c>
      <c r="H2268" s="23" t="inlineStr">
        <is>
          <t>ON</t>
        </is>
      </c>
      <c r="I2268" s="24" t="n">
        <v>674.4931640486259</v>
      </c>
      <c r="J2268" s="24" t="n">
        <v>5144.556481985902</v>
      </c>
      <c r="K2268" s="24" t="n">
        <v>3782.407407407407</v>
      </c>
      <c r="L2268" s="24" t="n">
        <v>150</v>
      </c>
      <c r="M2268" s="24">
        <f>I2268+J2268+K2268+L2268</f>
        <v/>
      </c>
      <c r="N2268" s="24">
        <f>M2268*'Dashboard &amp; Optimisation'!$B$18/('Dashboard &amp; Optimisation'!$B$16/3.6)</f>
        <v/>
      </c>
      <c r="O2268" s="24" t="n">
        <v>1031.59806672064</v>
      </c>
      <c r="P2268" s="25" t="n">
        <v>0.07383399647276395</v>
      </c>
      <c r="Q2268" s="26" t="n">
        <v>7.65027025033604</v>
      </c>
      <c r="R2268" s="24" t="n">
        <v>4655.42308376218</v>
      </c>
      <c r="S2268" s="24">
        <f>R2268*IF(A2268=4, 2.0, 3.0)</f>
        <v/>
      </c>
      <c r="T2268" s="22">
        <f>'Dashboard &amp; Optimisation'!$B$18*U2268</f>
        <v/>
      </c>
      <c r="U2268" s="27">
        <f>MIN(1, S2268/M2268)</f>
        <v/>
      </c>
      <c r="V2268" s="27">
        <f>N2268/(N2268+O2268)</f>
        <v/>
      </c>
      <c r="W2268" s="27">
        <f>U2268*V2268</f>
        <v/>
      </c>
      <c r="X2268" s="25">
        <f>T2268/N2268</f>
        <v/>
      </c>
      <c r="Y2268" s="28">
        <f>IF(W2268=MAXIFS(W$2:W$3601, A$2:A$3601, A2268, B$2:B$3601, B2268), "OPTIMAL", "")</f>
        <v/>
      </c>
    </row>
    <row r="2269" ht="20" customHeight="1">
      <c r="A2269" s="29" t="n">
        <v>-18</v>
      </c>
      <c r="B2269" s="29" t="n">
        <v>30</v>
      </c>
      <c r="C2269" s="30" t="n">
        <v>90</v>
      </c>
      <c r="D2269" s="30" t="n">
        <v>3</v>
      </c>
      <c r="E2269" s="6" t="n">
        <v>4</v>
      </c>
      <c r="F2269" s="30" t="n">
        <v>1.5</v>
      </c>
      <c r="G2269" s="6" t="inlineStr">
        <is>
          <t>Non</t>
        </is>
      </c>
      <c r="H2269" s="6" t="inlineStr">
        <is>
          <t>OFF</t>
        </is>
      </c>
      <c r="I2269" s="31" t="n">
        <v>674.4931640486259</v>
      </c>
      <c r="J2269" s="31" t="n">
        <v>5144.556481985902</v>
      </c>
      <c r="K2269" s="31" t="n">
        <v>3782.407407407407</v>
      </c>
      <c r="L2269" s="31" t="n">
        <v>150</v>
      </c>
      <c r="M2269" s="31">
        <f>I2269+J2269+K2269+L2269</f>
        <v/>
      </c>
      <c r="N2269" s="31">
        <f>M2269*'Dashboard &amp; Optimisation'!$B$18/('Dashboard &amp; Optimisation'!$B$16/3.6)</f>
        <v/>
      </c>
      <c r="O2269" s="31" t="n">
        <v>1031.59806672064</v>
      </c>
      <c r="P2269" s="32" t="n">
        <v>0.3258912178028736</v>
      </c>
      <c r="Q2269" s="33" t="n">
        <v>7.65027025033604</v>
      </c>
      <c r="R2269" s="31" t="n">
        <v>1054.733827634584</v>
      </c>
      <c r="S2269" s="31">
        <f>R2269*IF(A2269=4, 2.0, 3.0)</f>
        <v/>
      </c>
      <c r="T2269" s="30">
        <f>'Dashboard &amp; Optimisation'!$B$18*U2269</f>
        <v/>
      </c>
      <c r="U2269" s="34">
        <f>MIN(1, S2269/M2269)</f>
        <v/>
      </c>
      <c r="V2269" s="34">
        <f>N2269/(N2269+O2269)</f>
        <v/>
      </c>
      <c r="W2269" s="34">
        <f>U2269*V2269</f>
        <v/>
      </c>
      <c r="X2269" s="32">
        <f>T2269/N2269</f>
        <v/>
      </c>
      <c r="Y2269" s="35">
        <f>IF(W2269=MAXIFS(W$2:W$3601, A$2:A$3601, A2269, B$2:B$3601, B2269), "OPTIMAL", "")</f>
        <v/>
      </c>
    </row>
    <row r="2270" ht="20" customHeight="1">
      <c r="A2270" s="21" t="n">
        <v>-18</v>
      </c>
      <c r="B2270" s="21" t="n">
        <v>30</v>
      </c>
      <c r="C2270" s="22" t="n">
        <v>90</v>
      </c>
      <c r="D2270" s="22" t="n">
        <v>3</v>
      </c>
      <c r="E2270" s="23" t="n">
        <v>4</v>
      </c>
      <c r="F2270" s="22" t="n">
        <v>2</v>
      </c>
      <c r="G2270" s="23" t="inlineStr">
        <is>
          <t>Oui</t>
        </is>
      </c>
      <c r="H2270" s="23" t="inlineStr">
        <is>
          <t>ON</t>
        </is>
      </c>
      <c r="I2270" s="24" t="n">
        <v>674.4931640486259</v>
      </c>
      <c r="J2270" s="24" t="n">
        <v>5144.556481985902</v>
      </c>
      <c r="K2270" s="24" t="n">
        <v>3782.407407407407</v>
      </c>
      <c r="L2270" s="24" t="n">
        <v>150</v>
      </c>
      <c r="M2270" s="24">
        <f>I2270+J2270+K2270+L2270</f>
        <v/>
      </c>
      <c r="N2270" s="24">
        <f>M2270*'Dashboard &amp; Optimisation'!$B$18/('Dashboard &amp; Optimisation'!$B$16/3.6)</f>
        <v/>
      </c>
      <c r="O2270" s="24" t="n">
        <v>1136.102741670394</v>
      </c>
      <c r="P2270" s="25" t="n">
        <v>0.07505349321204312</v>
      </c>
      <c r="Q2270" s="26" t="n">
        <v>10.13369366711472</v>
      </c>
      <c r="R2270" s="24" t="n">
        <v>4638.145885244094</v>
      </c>
      <c r="S2270" s="24">
        <f>R2270*IF(A2270=4, 2.0, 3.0)</f>
        <v/>
      </c>
      <c r="T2270" s="22">
        <f>'Dashboard &amp; Optimisation'!$B$18*U2270</f>
        <v/>
      </c>
      <c r="U2270" s="27">
        <f>MIN(1, S2270/M2270)</f>
        <v/>
      </c>
      <c r="V2270" s="27">
        <f>N2270/(N2270+O2270)</f>
        <v/>
      </c>
      <c r="W2270" s="27">
        <f>U2270*V2270</f>
        <v/>
      </c>
      <c r="X2270" s="25">
        <f>T2270/N2270</f>
        <v/>
      </c>
      <c r="Y2270" s="28">
        <f>IF(W2270=MAXIFS(W$2:W$3601, A$2:A$3601, A2270, B$2:B$3601, B2270), "OPTIMAL", "")</f>
        <v/>
      </c>
    </row>
    <row r="2271" ht="20" customHeight="1">
      <c r="A2271" s="29" t="n">
        <v>-18</v>
      </c>
      <c r="B2271" s="29" t="n">
        <v>30</v>
      </c>
      <c r="C2271" s="30" t="n">
        <v>90</v>
      </c>
      <c r="D2271" s="30" t="n">
        <v>3</v>
      </c>
      <c r="E2271" s="6" t="n">
        <v>4</v>
      </c>
      <c r="F2271" s="30" t="n">
        <v>2</v>
      </c>
      <c r="G2271" s="6" t="inlineStr">
        <is>
          <t>Oui</t>
        </is>
      </c>
      <c r="H2271" s="6" t="inlineStr">
        <is>
          <t>OFF</t>
        </is>
      </c>
      <c r="I2271" s="31" t="n">
        <v>674.4931640486259</v>
      </c>
      <c r="J2271" s="31" t="n">
        <v>5144.556481985902</v>
      </c>
      <c r="K2271" s="31" t="n">
        <v>3782.407407407407</v>
      </c>
      <c r="L2271" s="31" t="n">
        <v>150</v>
      </c>
      <c r="M2271" s="31">
        <f>I2271+J2271+K2271+L2271</f>
        <v/>
      </c>
      <c r="N2271" s="31">
        <f>M2271*'Dashboard &amp; Optimisation'!$B$18/('Dashboard &amp; Optimisation'!$B$16/3.6)</f>
        <v/>
      </c>
      <c r="O2271" s="31" t="n">
        <v>1136.102741670394</v>
      </c>
      <c r="P2271" s="32" t="n">
        <v>0.3283855657905198</v>
      </c>
      <c r="Q2271" s="33" t="n">
        <v>10.13369366711472</v>
      </c>
      <c r="R2271" s="31" t="n">
        <v>1060.061972811239</v>
      </c>
      <c r="S2271" s="31">
        <f>R2271*IF(A2271=4, 2.0, 3.0)</f>
        <v/>
      </c>
      <c r="T2271" s="30">
        <f>'Dashboard &amp; Optimisation'!$B$18*U2271</f>
        <v/>
      </c>
      <c r="U2271" s="34">
        <f>MIN(1, S2271/M2271)</f>
        <v/>
      </c>
      <c r="V2271" s="34">
        <f>N2271/(N2271+O2271)</f>
        <v/>
      </c>
      <c r="W2271" s="34">
        <f>U2271*V2271</f>
        <v/>
      </c>
      <c r="X2271" s="32">
        <f>T2271/N2271</f>
        <v/>
      </c>
      <c r="Y2271" s="35">
        <f>IF(W2271=MAXIFS(W$2:W$3601, A$2:A$3601, A2271, B$2:B$3601, B2271), "OPTIMAL", "")</f>
        <v/>
      </c>
    </row>
    <row r="2272" ht="20" customHeight="1">
      <c r="A2272" s="21" t="n">
        <v>-18</v>
      </c>
      <c r="B2272" s="21" t="n">
        <v>30</v>
      </c>
      <c r="C2272" s="22" t="n">
        <v>90</v>
      </c>
      <c r="D2272" s="22" t="n">
        <v>3</v>
      </c>
      <c r="E2272" s="23" t="n">
        <v>4</v>
      </c>
      <c r="F2272" s="22" t="n">
        <v>2</v>
      </c>
      <c r="G2272" s="23" t="inlineStr">
        <is>
          <t>Non</t>
        </is>
      </c>
      <c r="H2272" s="23" t="inlineStr">
        <is>
          <t>ON</t>
        </is>
      </c>
      <c r="I2272" s="24" t="n">
        <v>674.4931640486259</v>
      </c>
      <c r="J2272" s="24" t="n">
        <v>5144.556481985902</v>
      </c>
      <c r="K2272" s="24" t="n">
        <v>3782.407407407407</v>
      </c>
      <c r="L2272" s="24" t="n">
        <v>150</v>
      </c>
      <c r="M2272" s="24">
        <f>I2272+J2272+K2272+L2272</f>
        <v/>
      </c>
      <c r="N2272" s="24">
        <f>M2272*'Dashboard &amp; Optimisation'!$B$18/('Dashboard &amp; Optimisation'!$B$16/3.6)</f>
        <v/>
      </c>
      <c r="O2272" s="24" t="n">
        <v>1136.102741670394</v>
      </c>
      <c r="P2272" s="25" t="n">
        <v>0.07151671669888988</v>
      </c>
      <c r="Q2272" s="26" t="n">
        <v>10.13369366711472</v>
      </c>
      <c r="R2272" s="24" t="n">
        <v>4867.520025846445</v>
      </c>
      <c r="S2272" s="24">
        <f>R2272*IF(A2272=4, 2.0, 3.0)</f>
        <v/>
      </c>
      <c r="T2272" s="22">
        <f>'Dashboard &amp; Optimisation'!$B$18*U2272</f>
        <v/>
      </c>
      <c r="U2272" s="27">
        <f>MIN(1, S2272/M2272)</f>
        <v/>
      </c>
      <c r="V2272" s="27">
        <f>N2272/(N2272+O2272)</f>
        <v/>
      </c>
      <c r="W2272" s="27">
        <f>U2272*V2272</f>
        <v/>
      </c>
      <c r="X2272" s="25">
        <f>T2272/N2272</f>
        <v/>
      </c>
      <c r="Y2272" s="28">
        <f>IF(W2272=MAXIFS(W$2:W$3601, A$2:A$3601, A2272, B$2:B$3601, B2272), "OPTIMAL", "")</f>
        <v/>
      </c>
    </row>
    <row r="2273" ht="20" customHeight="1">
      <c r="A2273" s="29" t="n">
        <v>-18</v>
      </c>
      <c r="B2273" s="29" t="n">
        <v>30</v>
      </c>
      <c r="C2273" s="30" t="n">
        <v>90</v>
      </c>
      <c r="D2273" s="30" t="n">
        <v>3</v>
      </c>
      <c r="E2273" s="6" t="n">
        <v>4</v>
      </c>
      <c r="F2273" s="30" t="n">
        <v>2</v>
      </c>
      <c r="G2273" s="6" t="inlineStr">
        <is>
          <t>Non</t>
        </is>
      </c>
      <c r="H2273" s="6" t="inlineStr">
        <is>
          <t>OFF</t>
        </is>
      </c>
      <c r="I2273" s="31" t="n">
        <v>674.4931640486259</v>
      </c>
      <c r="J2273" s="31" t="n">
        <v>5144.556481985902</v>
      </c>
      <c r="K2273" s="31" t="n">
        <v>3782.407407407407</v>
      </c>
      <c r="L2273" s="31" t="n">
        <v>150</v>
      </c>
      <c r="M2273" s="31">
        <f>I2273+J2273+K2273+L2273</f>
        <v/>
      </c>
      <c r="N2273" s="31">
        <f>M2273*'Dashboard &amp; Optimisation'!$B$18/('Dashboard &amp; Optimisation'!$B$16/3.6)</f>
        <v/>
      </c>
      <c r="O2273" s="31" t="n">
        <v>1136.102741670394</v>
      </c>
      <c r="P2273" s="32" t="n">
        <v>0.3248487892773665</v>
      </c>
      <c r="Q2273" s="33" t="n">
        <v>10.13369366711472</v>
      </c>
      <c r="R2273" s="31" t="n">
        <v>1071.60334963541</v>
      </c>
      <c r="S2273" s="31">
        <f>R2273*IF(A2273=4, 2.0, 3.0)</f>
        <v/>
      </c>
      <c r="T2273" s="30">
        <f>'Dashboard &amp; Optimisation'!$B$18*U2273</f>
        <v/>
      </c>
      <c r="U2273" s="34">
        <f>MIN(1, S2273/M2273)</f>
        <v/>
      </c>
      <c r="V2273" s="34">
        <f>N2273/(N2273+O2273)</f>
        <v/>
      </c>
      <c r="W2273" s="34">
        <f>U2273*V2273</f>
        <v/>
      </c>
      <c r="X2273" s="32">
        <f>T2273/N2273</f>
        <v/>
      </c>
      <c r="Y2273" s="35">
        <f>IF(W2273=MAXIFS(W$2:W$3601, A$2:A$3601, A2273, B$2:B$3601, B2273), "OPTIMAL", "")</f>
        <v/>
      </c>
    </row>
    <row r="2274" ht="20" customHeight="1">
      <c r="A2274" s="21" t="n">
        <v>-18</v>
      </c>
      <c r="B2274" s="21" t="n">
        <v>30</v>
      </c>
      <c r="C2274" s="22" t="n">
        <v>90</v>
      </c>
      <c r="D2274" s="22" t="n">
        <v>3</v>
      </c>
      <c r="E2274" s="23" t="n">
        <v>8</v>
      </c>
      <c r="F2274" s="22" t="n">
        <v>1.5</v>
      </c>
      <c r="G2274" s="23" t="inlineStr">
        <is>
          <t>Oui</t>
        </is>
      </c>
      <c r="H2274" s="23" t="inlineStr">
        <is>
          <t>ON</t>
        </is>
      </c>
      <c r="I2274" s="24" t="n">
        <v>674.4931640486259</v>
      </c>
      <c r="J2274" s="24" t="n">
        <v>5144.556481985902</v>
      </c>
      <c r="K2274" s="24" t="n">
        <v>3782.407407407407</v>
      </c>
      <c r="L2274" s="24" t="n">
        <v>150</v>
      </c>
      <c r="M2274" s="24">
        <f>I2274+J2274+K2274+L2274</f>
        <v/>
      </c>
      <c r="N2274" s="24">
        <f>M2274*'Dashboard &amp; Optimisation'!$B$18/('Dashboard &amp; Optimisation'!$B$16/3.6)</f>
        <v/>
      </c>
      <c r="O2274" s="24" t="n">
        <v>1353.312094590995</v>
      </c>
      <c r="P2274" s="25" t="n">
        <v>0.05825094544482953</v>
      </c>
      <c r="Q2274" s="26" t="n">
        <v>15.10054050067208</v>
      </c>
      <c r="R2274" s="24" t="n">
        <v>6132.32778853019</v>
      </c>
      <c r="S2274" s="24">
        <f>R2274*IF(A2274=4, 2.0, 3.0)</f>
        <v/>
      </c>
      <c r="T2274" s="22">
        <f>'Dashboard &amp; Optimisation'!$B$18*U2274</f>
        <v/>
      </c>
      <c r="U2274" s="27">
        <f>MIN(1, S2274/M2274)</f>
        <v/>
      </c>
      <c r="V2274" s="27">
        <f>N2274/(N2274+O2274)</f>
        <v/>
      </c>
      <c r="W2274" s="27">
        <f>U2274*V2274</f>
        <v/>
      </c>
      <c r="X2274" s="25">
        <f>T2274/N2274</f>
        <v/>
      </c>
      <c r="Y2274" s="28">
        <f>IF(W2274=MAXIFS(W$2:W$3601, A$2:A$3601, A2274, B$2:B$3601, B2274), "OPTIMAL", "")</f>
        <v/>
      </c>
    </row>
    <row r="2275" ht="20" customHeight="1">
      <c r="A2275" s="29" t="n">
        <v>-18</v>
      </c>
      <c r="B2275" s="29" t="n">
        <v>30</v>
      </c>
      <c r="C2275" s="30" t="n">
        <v>90</v>
      </c>
      <c r="D2275" s="30" t="n">
        <v>3</v>
      </c>
      <c r="E2275" s="6" t="n">
        <v>8</v>
      </c>
      <c r="F2275" s="30" t="n">
        <v>1.5</v>
      </c>
      <c r="G2275" s="6" t="inlineStr">
        <is>
          <t>Oui</t>
        </is>
      </c>
      <c r="H2275" s="6" t="inlineStr">
        <is>
          <t>OFF</t>
        </is>
      </c>
      <c r="I2275" s="31" t="n">
        <v>674.4931640486259</v>
      </c>
      <c r="J2275" s="31" t="n">
        <v>5144.556481985902</v>
      </c>
      <c r="K2275" s="31" t="n">
        <v>3782.407407407407</v>
      </c>
      <c r="L2275" s="31" t="n">
        <v>150</v>
      </c>
      <c r="M2275" s="31">
        <f>I2275+J2275+K2275+L2275</f>
        <v/>
      </c>
      <c r="N2275" s="31">
        <f>M2275*'Dashboard &amp; Optimisation'!$B$18/('Dashboard &amp; Optimisation'!$B$16/3.6)</f>
        <v/>
      </c>
      <c r="O2275" s="31" t="n">
        <v>1353.312094590995</v>
      </c>
      <c r="P2275" s="32" t="n">
        <v>0.2540490290345196</v>
      </c>
      <c r="Q2275" s="33" t="n">
        <v>15.10054050067208</v>
      </c>
      <c r="R2275" s="31" t="n">
        <v>1406.082490521728</v>
      </c>
      <c r="S2275" s="31">
        <f>R2275*IF(A2275=4, 2.0, 3.0)</f>
        <v/>
      </c>
      <c r="T2275" s="30">
        <f>'Dashboard &amp; Optimisation'!$B$18*U2275</f>
        <v/>
      </c>
      <c r="U2275" s="34">
        <f>MIN(1, S2275/M2275)</f>
        <v/>
      </c>
      <c r="V2275" s="34">
        <f>N2275/(N2275+O2275)</f>
        <v/>
      </c>
      <c r="W2275" s="34">
        <f>U2275*V2275</f>
        <v/>
      </c>
      <c r="X2275" s="32">
        <f>T2275/N2275</f>
        <v/>
      </c>
      <c r="Y2275" s="35">
        <f>IF(W2275=MAXIFS(W$2:W$3601, A$2:A$3601, A2275, B$2:B$3601, B2275), "OPTIMAL", "")</f>
        <v/>
      </c>
    </row>
    <row r="2276" ht="20" customHeight="1">
      <c r="A2276" s="21" t="n">
        <v>-18</v>
      </c>
      <c r="B2276" s="21" t="n">
        <v>30</v>
      </c>
      <c r="C2276" s="22" t="n">
        <v>90</v>
      </c>
      <c r="D2276" s="22" t="n">
        <v>3</v>
      </c>
      <c r="E2276" s="23" t="n">
        <v>8</v>
      </c>
      <c r="F2276" s="22" t="n">
        <v>1.5</v>
      </c>
      <c r="G2276" s="23" t="inlineStr">
        <is>
          <t>Non</t>
        </is>
      </c>
      <c r="H2276" s="23" t="inlineStr">
        <is>
          <t>ON</t>
        </is>
      </c>
      <c r="I2276" s="24" t="n">
        <v>674.4931640486259</v>
      </c>
      <c r="J2276" s="24" t="n">
        <v>5144.556481985902</v>
      </c>
      <c r="K2276" s="24" t="n">
        <v>3782.407407407407</v>
      </c>
      <c r="L2276" s="24" t="n">
        <v>150</v>
      </c>
      <c r="M2276" s="24">
        <f>I2276+J2276+K2276+L2276</f>
        <v/>
      </c>
      <c r="N2276" s="24">
        <f>M2276*'Dashboard &amp; Optimisation'!$B$18/('Dashboard &amp; Optimisation'!$B$16/3.6)</f>
        <v/>
      </c>
      <c r="O2276" s="24" t="n">
        <v>1353.312094590995</v>
      </c>
      <c r="P2276" s="25" t="n">
        <v>0.0547141689316763</v>
      </c>
      <c r="Q2276" s="26" t="n">
        <v>15.10054050067208</v>
      </c>
      <c r="R2276" s="24" t="n">
        <v>6528.727355898452</v>
      </c>
      <c r="S2276" s="24">
        <f>R2276*IF(A2276=4, 2.0, 3.0)</f>
        <v/>
      </c>
      <c r="T2276" s="22">
        <f>'Dashboard &amp; Optimisation'!$B$18*U2276</f>
        <v/>
      </c>
      <c r="U2276" s="27">
        <f>MIN(1, S2276/M2276)</f>
        <v/>
      </c>
      <c r="V2276" s="27">
        <f>N2276/(N2276+O2276)</f>
        <v/>
      </c>
      <c r="W2276" s="27">
        <f>U2276*V2276</f>
        <v/>
      </c>
      <c r="X2276" s="25">
        <f>T2276/N2276</f>
        <v/>
      </c>
      <c r="Y2276" s="28">
        <f>IF(W2276=MAXIFS(W$2:W$3601, A$2:A$3601, A2276, B$2:B$3601, B2276), "OPTIMAL", "")</f>
        <v/>
      </c>
    </row>
    <row r="2277" ht="20" customHeight="1">
      <c r="A2277" s="29" t="n">
        <v>-18</v>
      </c>
      <c r="B2277" s="29" t="n">
        <v>30</v>
      </c>
      <c r="C2277" s="30" t="n">
        <v>90</v>
      </c>
      <c r="D2277" s="30" t="n">
        <v>3</v>
      </c>
      <c r="E2277" s="6" t="n">
        <v>8</v>
      </c>
      <c r="F2277" s="30" t="n">
        <v>1.5</v>
      </c>
      <c r="G2277" s="6" t="inlineStr">
        <is>
          <t>Non</t>
        </is>
      </c>
      <c r="H2277" s="6" t="inlineStr">
        <is>
          <t>OFF</t>
        </is>
      </c>
      <c r="I2277" s="31" t="n">
        <v>674.4931640486259</v>
      </c>
      <c r="J2277" s="31" t="n">
        <v>5144.556481985902</v>
      </c>
      <c r="K2277" s="31" t="n">
        <v>3782.407407407407</v>
      </c>
      <c r="L2277" s="31" t="n">
        <v>150</v>
      </c>
      <c r="M2277" s="31">
        <f>I2277+J2277+K2277+L2277</f>
        <v/>
      </c>
      <c r="N2277" s="31">
        <f>M2277*'Dashboard &amp; Optimisation'!$B$18/('Dashboard &amp; Optimisation'!$B$16/3.6)</f>
        <v/>
      </c>
      <c r="O2277" s="31" t="n">
        <v>1353.312094590995</v>
      </c>
      <c r="P2277" s="32" t="n">
        <v>0.2505122525213664</v>
      </c>
      <c r="Q2277" s="33" t="n">
        <v>15.10054050067208</v>
      </c>
      <c r="R2277" s="31" t="n">
        <v>1425.933813073742</v>
      </c>
      <c r="S2277" s="31">
        <f>R2277*IF(A2277=4, 2.0, 3.0)</f>
        <v/>
      </c>
      <c r="T2277" s="30">
        <f>'Dashboard &amp; Optimisation'!$B$18*U2277</f>
        <v/>
      </c>
      <c r="U2277" s="34">
        <f>MIN(1, S2277/M2277)</f>
        <v/>
      </c>
      <c r="V2277" s="34">
        <f>N2277/(N2277+O2277)</f>
        <v/>
      </c>
      <c r="W2277" s="34">
        <f>U2277*V2277</f>
        <v/>
      </c>
      <c r="X2277" s="32">
        <f>T2277/N2277</f>
        <v/>
      </c>
      <c r="Y2277" s="35">
        <f>IF(W2277=MAXIFS(W$2:W$3601, A$2:A$3601, A2277, B$2:B$3601, B2277), "OPTIMAL", "")</f>
        <v/>
      </c>
    </row>
    <row r="2278" ht="20" customHeight="1">
      <c r="A2278" s="21" t="n">
        <v>-18</v>
      </c>
      <c r="B2278" s="21" t="n">
        <v>30</v>
      </c>
      <c r="C2278" s="22" t="n">
        <v>90</v>
      </c>
      <c r="D2278" s="22" t="n">
        <v>3</v>
      </c>
      <c r="E2278" s="23" t="n">
        <v>8</v>
      </c>
      <c r="F2278" s="22" t="n">
        <v>2</v>
      </c>
      <c r="G2278" s="23" t="inlineStr">
        <is>
          <t>Oui</t>
        </is>
      </c>
      <c r="H2278" s="23" t="inlineStr">
        <is>
          <t>ON</t>
        </is>
      </c>
      <c r="I2278" s="24" t="n">
        <v>674.4931640486259</v>
      </c>
      <c r="J2278" s="24" t="n">
        <v>5144.556481985902</v>
      </c>
      <c r="K2278" s="24" t="n">
        <v>3782.407407407407</v>
      </c>
      <c r="L2278" s="24" t="n">
        <v>150</v>
      </c>
      <c r="M2278" s="24">
        <f>I2278+J2278+K2278+L2278</f>
        <v/>
      </c>
      <c r="N2278" s="24">
        <f>M2278*'Dashboard &amp; Optimisation'!$B$18/('Dashboard &amp; Optimisation'!$B$16/3.6)</f>
        <v/>
      </c>
      <c r="O2278" s="24" t="n">
        <v>1582.188892979664</v>
      </c>
      <c r="P2278" s="25" t="n">
        <v>0.05722883101616391</v>
      </c>
      <c r="Q2278" s="26" t="n">
        <v>20.06738733422944</v>
      </c>
      <c r="R2278" s="24" t="n">
        <v>6409.493154085328</v>
      </c>
      <c r="S2278" s="24">
        <f>R2278*IF(A2278=4, 2.0, 3.0)</f>
        <v/>
      </c>
      <c r="T2278" s="22">
        <f>'Dashboard &amp; Optimisation'!$B$18*U2278</f>
        <v/>
      </c>
      <c r="U2278" s="27">
        <f>MIN(1, S2278/M2278)</f>
        <v/>
      </c>
      <c r="V2278" s="27">
        <f>N2278/(N2278+O2278)</f>
        <v/>
      </c>
      <c r="W2278" s="27">
        <f>U2278*V2278</f>
        <v/>
      </c>
      <c r="X2278" s="25">
        <f>T2278/N2278</f>
        <v/>
      </c>
      <c r="Y2278" s="28">
        <f>IF(W2278=MAXIFS(W$2:W$3601, A$2:A$3601, A2278, B$2:B$3601, B2278), "OPTIMAL", "")</f>
        <v/>
      </c>
    </row>
    <row r="2279" ht="20" customHeight="1">
      <c r="A2279" s="29" t="n">
        <v>-18</v>
      </c>
      <c r="B2279" s="29" t="n">
        <v>30</v>
      </c>
      <c r="C2279" s="30" t="n">
        <v>90</v>
      </c>
      <c r="D2279" s="30" t="n">
        <v>3</v>
      </c>
      <c r="E2279" s="6" t="n">
        <v>8</v>
      </c>
      <c r="F2279" s="30" t="n">
        <v>2</v>
      </c>
      <c r="G2279" s="6" t="inlineStr">
        <is>
          <t>Oui</t>
        </is>
      </c>
      <c r="H2279" s="6" t="inlineStr">
        <is>
          <t>OFF</t>
        </is>
      </c>
      <c r="I2279" s="31" t="n">
        <v>674.4931640486259</v>
      </c>
      <c r="J2279" s="31" t="n">
        <v>5144.556481985902</v>
      </c>
      <c r="K2279" s="31" t="n">
        <v>3782.407407407407</v>
      </c>
      <c r="L2279" s="31" t="n">
        <v>150</v>
      </c>
      <c r="M2279" s="31">
        <f>I2279+J2279+K2279+L2279</f>
        <v/>
      </c>
      <c r="N2279" s="31">
        <f>M2279*'Dashboard &amp; Optimisation'!$B$18/('Dashboard &amp; Optimisation'!$B$16/3.6)</f>
        <v/>
      </c>
      <c r="O2279" s="31" t="n">
        <v>1582.188892979664</v>
      </c>
      <c r="P2279" s="32" t="n">
        <v>0.2545702594498531</v>
      </c>
      <c r="Q2279" s="33" t="n">
        <v>20.06738733422944</v>
      </c>
      <c r="R2279" s="31" t="n">
        <v>1440.890233631808</v>
      </c>
      <c r="S2279" s="31">
        <f>R2279*IF(A2279=4, 2.0, 3.0)</f>
        <v/>
      </c>
      <c r="T2279" s="30">
        <f>'Dashboard &amp; Optimisation'!$B$18*U2279</f>
        <v/>
      </c>
      <c r="U2279" s="34">
        <f>MIN(1, S2279/M2279)</f>
        <v/>
      </c>
      <c r="V2279" s="34">
        <f>N2279/(N2279+O2279)</f>
        <v/>
      </c>
      <c r="W2279" s="34">
        <f>U2279*V2279</f>
        <v/>
      </c>
      <c r="X2279" s="32">
        <f>T2279/N2279</f>
        <v/>
      </c>
      <c r="Y2279" s="35">
        <f>IF(W2279=MAXIFS(W$2:W$3601, A$2:A$3601, A2279, B$2:B$3601, B2279), "OPTIMAL", "")</f>
        <v/>
      </c>
    </row>
    <row r="2280" ht="20" customHeight="1">
      <c r="A2280" s="21" t="n">
        <v>-18</v>
      </c>
      <c r="B2280" s="21" t="n">
        <v>30</v>
      </c>
      <c r="C2280" s="22" t="n">
        <v>90</v>
      </c>
      <c r="D2280" s="22" t="n">
        <v>3</v>
      </c>
      <c r="E2280" s="23" t="n">
        <v>8</v>
      </c>
      <c r="F2280" s="22" t="n">
        <v>2</v>
      </c>
      <c r="G2280" s="23" t="inlineStr">
        <is>
          <t>Non</t>
        </is>
      </c>
      <c r="H2280" s="23" t="inlineStr">
        <is>
          <t>ON</t>
        </is>
      </c>
      <c r="I2280" s="24" t="n">
        <v>674.4931640486259</v>
      </c>
      <c r="J2280" s="24" t="n">
        <v>5144.556481985902</v>
      </c>
      <c r="K2280" s="24" t="n">
        <v>3782.407407407407</v>
      </c>
      <c r="L2280" s="24" t="n">
        <v>150</v>
      </c>
      <c r="M2280" s="24">
        <f>I2280+J2280+K2280+L2280</f>
        <v/>
      </c>
      <c r="N2280" s="24">
        <f>M2280*'Dashboard &amp; Optimisation'!$B$18/('Dashboard &amp; Optimisation'!$B$16/3.6)</f>
        <v/>
      </c>
      <c r="O2280" s="24" t="n">
        <v>1582.188892979664</v>
      </c>
      <c r="P2280" s="25" t="n">
        <v>0.05369205450301068</v>
      </c>
      <c r="Q2280" s="26" t="n">
        <v>20.06738733422944</v>
      </c>
      <c r="R2280" s="24" t="n">
        <v>6831.696123564067</v>
      </c>
      <c r="S2280" s="24">
        <f>R2280*IF(A2280=4, 2.0, 3.0)</f>
        <v/>
      </c>
      <c r="T2280" s="22">
        <f>'Dashboard &amp; Optimisation'!$B$18*U2280</f>
        <v/>
      </c>
      <c r="U2280" s="27">
        <f>MIN(1, S2280/M2280)</f>
        <v/>
      </c>
      <c r="V2280" s="27">
        <f>N2280/(N2280+O2280)</f>
        <v/>
      </c>
      <c r="W2280" s="27">
        <f>U2280*V2280</f>
        <v/>
      </c>
      <c r="X2280" s="25">
        <f>T2280/N2280</f>
        <v/>
      </c>
      <c r="Y2280" s="28">
        <f>IF(W2280=MAXIFS(W$2:W$3601, A$2:A$3601, A2280, B$2:B$3601, B2280), "OPTIMAL", "")</f>
        <v/>
      </c>
    </row>
    <row r="2281" ht="20" customHeight="1">
      <c r="A2281" s="29" t="n">
        <v>-18</v>
      </c>
      <c r="B2281" s="29" t="n">
        <v>30</v>
      </c>
      <c r="C2281" s="30" t="n">
        <v>90</v>
      </c>
      <c r="D2281" s="30" t="n">
        <v>3</v>
      </c>
      <c r="E2281" s="6" t="n">
        <v>8</v>
      </c>
      <c r="F2281" s="30" t="n">
        <v>2</v>
      </c>
      <c r="G2281" s="6" t="inlineStr">
        <is>
          <t>Non</t>
        </is>
      </c>
      <c r="H2281" s="6" t="inlineStr">
        <is>
          <t>OFF</t>
        </is>
      </c>
      <c r="I2281" s="31" t="n">
        <v>674.4931640486259</v>
      </c>
      <c r="J2281" s="31" t="n">
        <v>5144.556481985902</v>
      </c>
      <c r="K2281" s="31" t="n">
        <v>3782.407407407407</v>
      </c>
      <c r="L2281" s="31" t="n">
        <v>150</v>
      </c>
      <c r="M2281" s="31">
        <f>I2281+J2281+K2281+L2281</f>
        <v/>
      </c>
      <c r="N2281" s="31">
        <f>M2281*'Dashboard &amp; Optimisation'!$B$18/('Dashboard &amp; Optimisation'!$B$16/3.6)</f>
        <v/>
      </c>
      <c r="O2281" s="31" t="n">
        <v>1582.188892979664</v>
      </c>
      <c r="P2281" s="32" t="n">
        <v>0.2510334829366998</v>
      </c>
      <c r="Q2281" s="33" t="n">
        <v>20.06738733422944</v>
      </c>
      <c r="R2281" s="31" t="n">
        <v>1461.190739670781</v>
      </c>
      <c r="S2281" s="31">
        <f>R2281*IF(A2281=4, 2.0, 3.0)</f>
        <v/>
      </c>
      <c r="T2281" s="30">
        <f>'Dashboard &amp; Optimisation'!$B$18*U2281</f>
        <v/>
      </c>
      <c r="U2281" s="34">
        <f>MIN(1, S2281/M2281)</f>
        <v/>
      </c>
      <c r="V2281" s="34">
        <f>N2281/(N2281+O2281)</f>
        <v/>
      </c>
      <c r="W2281" s="34">
        <f>U2281*V2281</f>
        <v/>
      </c>
      <c r="X2281" s="32">
        <f>T2281/N2281</f>
        <v/>
      </c>
      <c r="Y2281" s="35">
        <f>IF(W2281=MAXIFS(W$2:W$3601, A$2:A$3601, A2281, B$2:B$3601, B2281), "OPTIMAL", "")</f>
        <v/>
      </c>
    </row>
    <row r="2282" ht="20" customHeight="1">
      <c r="A2282" s="21" t="n">
        <v>-18</v>
      </c>
      <c r="B2282" s="21" t="n">
        <v>30</v>
      </c>
      <c r="C2282" s="22" t="n">
        <v>95</v>
      </c>
      <c r="D2282" s="22" t="n">
        <v>2</v>
      </c>
      <c r="E2282" s="23" t="n">
        <v>0</v>
      </c>
      <c r="F2282" s="22" t="n">
        <v>0</v>
      </c>
      <c r="G2282" s="23" t="inlineStr">
        <is>
          <t>Oui</t>
        </is>
      </c>
      <c r="H2282" s="23" t="inlineStr">
        <is>
          <t>ON</t>
        </is>
      </c>
      <c r="I2282" s="24" t="n">
        <v>674.4931640486259</v>
      </c>
      <c r="J2282" s="24" t="n">
        <v>5144.556481985902</v>
      </c>
      <c r="K2282" s="24" t="n">
        <v>3782.407407407407</v>
      </c>
      <c r="L2282" s="24" t="n">
        <v>150</v>
      </c>
      <c r="M2282" s="24">
        <f>I2282+J2282+K2282+L2282</f>
        <v/>
      </c>
      <c r="N2282" s="24">
        <f>M2282*'Dashboard &amp; Optimisation'!$B$18/('Dashboard &amp; Optimisation'!$B$16/3.6)</f>
        <v/>
      </c>
      <c r="O2282" s="24" t="n">
        <v>445.2710753365485</v>
      </c>
      <c r="P2282" s="25" t="n">
        <v>0.4850371448496216</v>
      </c>
      <c r="Q2282" s="26" t="n">
        <v>0.2</v>
      </c>
      <c r="R2282" s="24" t="n">
        <v>581.8658976847001</v>
      </c>
      <c r="S2282" s="24">
        <f>R2282*IF(A2282=4, 2.0, 3.0)</f>
        <v/>
      </c>
      <c r="T2282" s="22">
        <f>'Dashboard &amp; Optimisation'!$B$18*U2282</f>
        <v/>
      </c>
      <c r="U2282" s="27">
        <f>MIN(1, S2282/M2282)</f>
        <v/>
      </c>
      <c r="V2282" s="27">
        <f>N2282/(N2282+O2282)</f>
        <v/>
      </c>
      <c r="W2282" s="27">
        <f>U2282*V2282</f>
        <v/>
      </c>
      <c r="X2282" s="25">
        <f>T2282/N2282</f>
        <v/>
      </c>
      <c r="Y2282" s="28">
        <f>IF(W2282=MAXIFS(W$2:W$3601, A$2:A$3601, A2282, B$2:B$3601, B2282), "OPTIMAL", "")</f>
        <v/>
      </c>
    </row>
    <row r="2283" ht="20" customHeight="1">
      <c r="A2283" s="29" t="n">
        <v>-18</v>
      </c>
      <c r="B2283" s="29" t="n">
        <v>30</v>
      </c>
      <c r="C2283" s="30" t="n">
        <v>95</v>
      </c>
      <c r="D2283" s="30" t="n">
        <v>2</v>
      </c>
      <c r="E2283" s="6" t="n">
        <v>0</v>
      </c>
      <c r="F2283" s="30" t="n">
        <v>0</v>
      </c>
      <c r="G2283" s="6" t="inlineStr">
        <is>
          <t>Oui</t>
        </is>
      </c>
      <c r="H2283" s="6" t="inlineStr">
        <is>
          <t>OFF</t>
        </is>
      </c>
      <c r="I2283" s="31" t="n">
        <v>674.4931640486259</v>
      </c>
      <c r="J2283" s="31" t="n">
        <v>5144.556481985902</v>
      </c>
      <c r="K2283" s="31" t="n">
        <v>3782.407407407407</v>
      </c>
      <c r="L2283" s="31" t="n">
        <v>150</v>
      </c>
      <c r="M2283" s="31">
        <f>I2283+J2283+K2283+L2283</f>
        <v/>
      </c>
      <c r="N2283" s="31">
        <f>M2283*'Dashboard &amp; Optimisation'!$B$18/('Dashboard &amp; Optimisation'!$B$16/3.6)</f>
        <v/>
      </c>
      <c r="O2283" s="31" t="n">
        <v>445.2710753365485</v>
      </c>
      <c r="P2283" s="32" t="n">
        <v>0.8201001829378223</v>
      </c>
      <c r="Q2283" s="33" t="n">
        <v>0.2</v>
      </c>
      <c r="R2283" s="31" t="n">
        <v>344.1367037467746</v>
      </c>
      <c r="S2283" s="31">
        <f>R2283*IF(A2283=4, 2.0, 3.0)</f>
        <v/>
      </c>
      <c r="T2283" s="30">
        <f>'Dashboard &amp; Optimisation'!$B$18*U2283</f>
        <v/>
      </c>
      <c r="U2283" s="34">
        <f>MIN(1, S2283/M2283)</f>
        <v/>
      </c>
      <c r="V2283" s="34">
        <f>N2283/(N2283+O2283)</f>
        <v/>
      </c>
      <c r="W2283" s="34">
        <f>U2283*V2283</f>
        <v/>
      </c>
      <c r="X2283" s="32">
        <f>T2283/N2283</f>
        <v/>
      </c>
      <c r="Y2283" s="35">
        <f>IF(W2283=MAXIFS(W$2:W$3601, A$2:A$3601, A2283, B$2:B$3601, B2283), "OPTIMAL", "")</f>
        <v/>
      </c>
    </row>
    <row r="2284" ht="20" customHeight="1">
      <c r="A2284" s="21" t="n">
        <v>-18</v>
      </c>
      <c r="B2284" s="21" t="n">
        <v>30</v>
      </c>
      <c r="C2284" s="22" t="n">
        <v>95</v>
      </c>
      <c r="D2284" s="22" t="n">
        <v>2</v>
      </c>
      <c r="E2284" s="23" t="n">
        <v>0</v>
      </c>
      <c r="F2284" s="22" t="n">
        <v>0</v>
      </c>
      <c r="G2284" s="23" t="inlineStr">
        <is>
          <t>Non</t>
        </is>
      </c>
      <c r="H2284" s="23" t="inlineStr">
        <is>
          <t>ON</t>
        </is>
      </c>
      <c r="I2284" s="24" t="n">
        <v>674.4931640486259</v>
      </c>
      <c r="J2284" s="24" t="n">
        <v>5144.556481985902</v>
      </c>
      <c r="K2284" s="24" t="n">
        <v>3782.407407407407</v>
      </c>
      <c r="L2284" s="24" t="n">
        <v>150</v>
      </c>
      <c r="M2284" s="24">
        <f>I2284+J2284+K2284+L2284</f>
        <v/>
      </c>
      <c r="N2284" s="24">
        <f>M2284*'Dashboard &amp; Optimisation'!$B$18/('Dashboard &amp; Optimisation'!$B$16/3.6)</f>
        <v/>
      </c>
      <c r="O2284" s="24" t="n">
        <v>445.2710753365485</v>
      </c>
      <c r="P2284" s="25" t="n">
        <v>0.4816865144687396</v>
      </c>
      <c r="Q2284" s="26" t="n">
        <v>0.2</v>
      </c>
      <c r="R2284" s="24" t="n">
        <v>585.91337980392</v>
      </c>
      <c r="S2284" s="24">
        <f>R2284*IF(A2284=4, 2.0, 3.0)</f>
        <v/>
      </c>
      <c r="T2284" s="22">
        <f>'Dashboard &amp; Optimisation'!$B$18*U2284</f>
        <v/>
      </c>
      <c r="U2284" s="27">
        <f>MIN(1, S2284/M2284)</f>
        <v/>
      </c>
      <c r="V2284" s="27">
        <f>N2284/(N2284+O2284)</f>
        <v/>
      </c>
      <c r="W2284" s="27">
        <f>U2284*V2284</f>
        <v/>
      </c>
      <c r="X2284" s="25">
        <f>T2284/N2284</f>
        <v/>
      </c>
      <c r="Y2284" s="28">
        <f>IF(W2284=MAXIFS(W$2:W$3601, A$2:A$3601, A2284, B$2:B$3601, B2284), "OPTIMAL", "")</f>
        <v/>
      </c>
    </row>
    <row r="2285" ht="20" customHeight="1">
      <c r="A2285" s="29" t="n">
        <v>-18</v>
      </c>
      <c r="B2285" s="29" t="n">
        <v>30</v>
      </c>
      <c r="C2285" s="30" t="n">
        <v>95</v>
      </c>
      <c r="D2285" s="30" t="n">
        <v>2</v>
      </c>
      <c r="E2285" s="6" t="n">
        <v>0</v>
      </c>
      <c r="F2285" s="30" t="n">
        <v>0</v>
      </c>
      <c r="G2285" s="6" t="inlineStr">
        <is>
          <t>Non</t>
        </is>
      </c>
      <c r="H2285" s="6" t="inlineStr">
        <is>
          <t>OFF</t>
        </is>
      </c>
      <c r="I2285" s="31" t="n">
        <v>674.4931640486259</v>
      </c>
      <c r="J2285" s="31" t="n">
        <v>5144.556481985902</v>
      </c>
      <c r="K2285" s="31" t="n">
        <v>3782.407407407407</v>
      </c>
      <c r="L2285" s="31" t="n">
        <v>150</v>
      </c>
      <c r="M2285" s="31">
        <f>I2285+J2285+K2285+L2285</f>
        <v/>
      </c>
      <c r="N2285" s="31">
        <f>M2285*'Dashboard &amp; Optimisation'!$B$18/('Dashboard &amp; Optimisation'!$B$16/3.6)</f>
        <v/>
      </c>
      <c r="O2285" s="31" t="n">
        <v>445.2710753365485</v>
      </c>
      <c r="P2285" s="32" t="n">
        <v>0.8167495525569404</v>
      </c>
      <c r="Q2285" s="33" t="n">
        <v>0.2</v>
      </c>
      <c r="R2285" s="31" t="n">
        <v>345.5484889031186</v>
      </c>
      <c r="S2285" s="31">
        <f>R2285*IF(A2285=4, 2.0, 3.0)</f>
        <v/>
      </c>
      <c r="T2285" s="30">
        <f>'Dashboard &amp; Optimisation'!$B$18*U2285</f>
        <v/>
      </c>
      <c r="U2285" s="34">
        <f>MIN(1, S2285/M2285)</f>
        <v/>
      </c>
      <c r="V2285" s="34">
        <f>N2285/(N2285+O2285)</f>
        <v/>
      </c>
      <c r="W2285" s="34">
        <f>U2285*V2285</f>
        <v/>
      </c>
      <c r="X2285" s="32">
        <f>T2285/N2285</f>
        <v/>
      </c>
      <c r="Y2285" s="35">
        <f>IF(W2285=MAXIFS(W$2:W$3601, A$2:A$3601, A2285, B$2:B$3601, B2285), "OPTIMAL", "")</f>
        <v/>
      </c>
    </row>
    <row r="2286" ht="20" customHeight="1">
      <c r="A2286" s="21" t="n">
        <v>-18</v>
      </c>
      <c r="B2286" s="21" t="n">
        <v>30</v>
      </c>
      <c r="C2286" s="22" t="n">
        <v>95</v>
      </c>
      <c r="D2286" s="22" t="n">
        <v>2</v>
      </c>
      <c r="E2286" s="23" t="n">
        <v>4</v>
      </c>
      <c r="F2286" s="22" t="n">
        <v>1.5</v>
      </c>
      <c r="G2286" s="23" t="inlineStr">
        <is>
          <t>Oui</t>
        </is>
      </c>
      <c r="H2286" s="23" t="inlineStr">
        <is>
          <t>ON</t>
        </is>
      </c>
      <c r="I2286" s="24" t="n">
        <v>674.4931640486259</v>
      </c>
      <c r="J2286" s="24" t="n">
        <v>5144.556481985902</v>
      </c>
      <c r="K2286" s="24" t="n">
        <v>3782.407407407407</v>
      </c>
      <c r="L2286" s="24" t="n">
        <v>150</v>
      </c>
      <c r="M2286" s="24">
        <f>I2286+J2286+K2286+L2286</f>
        <v/>
      </c>
      <c r="N2286" s="24">
        <f>M2286*'Dashboard &amp; Optimisation'!$B$18/('Dashboard &amp; Optimisation'!$B$16/3.6)</f>
        <v/>
      </c>
      <c r="O2286" s="24" t="n">
        <v>703.9128529320529</v>
      </c>
      <c r="P2286" s="25" t="n">
        <v>0.07557959322797822</v>
      </c>
      <c r="Q2286" s="26" t="n">
        <v>7.077172538771729</v>
      </c>
      <c r="R2286" s="24" t="n">
        <v>3863.913708827304</v>
      </c>
      <c r="S2286" s="24">
        <f>R2286*IF(A2286=4, 2.0, 3.0)</f>
        <v/>
      </c>
      <c r="T2286" s="22">
        <f>'Dashboard &amp; Optimisation'!$B$18*U2286</f>
        <v/>
      </c>
      <c r="U2286" s="27">
        <f>MIN(1, S2286/M2286)</f>
        <v/>
      </c>
      <c r="V2286" s="27">
        <f>N2286/(N2286+O2286)</f>
        <v/>
      </c>
      <c r="W2286" s="27">
        <f>U2286*V2286</f>
        <v/>
      </c>
      <c r="X2286" s="25">
        <f>T2286/N2286</f>
        <v/>
      </c>
      <c r="Y2286" s="28">
        <f>IF(W2286=MAXIFS(W$2:W$3601, A$2:A$3601, A2286, B$2:B$3601, B2286), "OPTIMAL", "")</f>
        <v/>
      </c>
    </row>
    <row r="2287" ht="20" customHeight="1">
      <c r="A2287" s="29" t="n">
        <v>-18</v>
      </c>
      <c r="B2287" s="29" t="n">
        <v>30</v>
      </c>
      <c r="C2287" s="30" t="n">
        <v>95</v>
      </c>
      <c r="D2287" s="30" t="n">
        <v>2</v>
      </c>
      <c r="E2287" s="6" t="n">
        <v>4</v>
      </c>
      <c r="F2287" s="30" t="n">
        <v>1.5</v>
      </c>
      <c r="G2287" s="6" t="inlineStr">
        <is>
          <t>Oui</t>
        </is>
      </c>
      <c r="H2287" s="6" t="inlineStr">
        <is>
          <t>OFF</t>
        </is>
      </c>
      <c r="I2287" s="31" t="n">
        <v>674.4931640486259</v>
      </c>
      <c r="J2287" s="31" t="n">
        <v>5144.556481985902</v>
      </c>
      <c r="K2287" s="31" t="n">
        <v>3782.407407407407</v>
      </c>
      <c r="L2287" s="31" t="n">
        <v>150</v>
      </c>
      <c r="M2287" s="31">
        <f>I2287+J2287+K2287+L2287</f>
        <v/>
      </c>
      <c r="N2287" s="31">
        <f>M2287*'Dashboard &amp; Optimisation'!$B$18/('Dashboard &amp; Optimisation'!$B$16/3.6)</f>
        <v/>
      </c>
      <c r="O2287" s="31" t="n">
        <v>703.9128529320529</v>
      </c>
      <c r="P2287" s="32" t="n">
        <v>0.3180372372232345</v>
      </c>
      <c r="Q2287" s="33" t="n">
        <v>7.077172538771729</v>
      </c>
      <c r="R2287" s="31" t="n">
        <v>918.2353265639598</v>
      </c>
      <c r="S2287" s="31">
        <f>R2287*IF(A2287=4, 2.0, 3.0)</f>
        <v/>
      </c>
      <c r="T2287" s="30">
        <f>'Dashboard &amp; Optimisation'!$B$18*U2287</f>
        <v/>
      </c>
      <c r="U2287" s="34">
        <f>MIN(1, S2287/M2287)</f>
        <v/>
      </c>
      <c r="V2287" s="34">
        <f>N2287/(N2287+O2287)</f>
        <v/>
      </c>
      <c r="W2287" s="34">
        <f>U2287*V2287</f>
        <v/>
      </c>
      <c r="X2287" s="32">
        <f>T2287/N2287</f>
        <v/>
      </c>
      <c r="Y2287" s="35">
        <f>IF(W2287=MAXIFS(W$2:W$3601, A$2:A$3601, A2287, B$2:B$3601, B2287), "OPTIMAL", "")</f>
        <v/>
      </c>
    </row>
    <row r="2288" ht="20" customHeight="1">
      <c r="A2288" s="21" t="n">
        <v>-18</v>
      </c>
      <c r="B2288" s="21" t="n">
        <v>30</v>
      </c>
      <c r="C2288" s="22" t="n">
        <v>95</v>
      </c>
      <c r="D2288" s="22" t="n">
        <v>2</v>
      </c>
      <c r="E2288" s="23" t="n">
        <v>4</v>
      </c>
      <c r="F2288" s="22" t="n">
        <v>1.5</v>
      </c>
      <c r="G2288" s="23" t="inlineStr">
        <is>
          <t>Non</t>
        </is>
      </c>
      <c r="H2288" s="23" t="inlineStr">
        <is>
          <t>ON</t>
        </is>
      </c>
      <c r="I2288" s="24" t="n">
        <v>674.4931640486259</v>
      </c>
      <c r="J2288" s="24" t="n">
        <v>5144.556481985902</v>
      </c>
      <c r="K2288" s="24" t="n">
        <v>3782.407407407407</v>
      </c>
      <c r="L2288" s="24" t="n">
        <v>150</v>
      </c>
      <c r="M2288" s="24">
        <f>I2288+J2288+K2288+L2288</f>
        <v/>
      </c>
      <c r="N2288" s="24">
        <f>M2288*'Dashboard &amp; Optimisation'!$B$18/('Dashboard &amp; Optimisation'!$B$16/3.6)</f>
        <v/>
      </c>
      <c r="O2288" s="24" t="n">
        <v>703.9128529320529</v>
      </c>
      <c r="P2288" s="25" t="n">
        <v>0.07222896284709622</v>
      </c>
      <c r="Q2288" s="26" t="n">
        <v>7.077172538771729</v>
      </c>
      <c r="R2288" s="24" t="n">
        <v>4043.156856611527</v>
      </c>
      <c r="S2288" s="24">
        <f>R2288*IF(A2288=4, 2.0, 3.0)</f>
        <v/>
      </c>
      <c r="T2288" s="22">
        <f>'Dashboard &amp; Optimisation'!$B$18*U2288</f>
        <v/>
      </c>
      <c r="U2288" s="27">
        <f>MIN(1, S2288/M2288)</f>
        <v/>
      </c>
      <c r="V2288" s="27">
        <f>N2288/(N2288+O2288)</f>
        <v/>
      </c>
      <c r="W2288" s="27">
        <f>U2288*V2288</f>
        <v/>
      </c>
      <c r="X2288" s="25">
        <f>T2288/N2288</f>
        <v/>
      </c>
      <c r="Y2288" s="28">
        <f>IF(W2288=MAXIFS(W$2:W$3601, A$2:A$3601, A2288, B$2:B$3601, B2288), "OPTIMAL", "")</f>
        <v/>
      </c>
    </row>
    <row r="2289" ht="20" customHeight="1">
      <c r="A2289" s="29" t="n">
        <v>-18</v>
      </c>
      <c r="B2289" s="29" t="n">
        <v>30</v>
      </c>
      <c r="C2289" s="30" t="n">
        <v>95</v>
      </c>
      <c r="D2289" s="30" t="n">
        <v>2</v>
      </c>
      <c r="E2289" s="6" t="n">
        <v>4</v>
      </c>
      <c r="F2289" s="30" t="n">
        <v>1.5</v>
      </c>
      <c r="G2289" s="6" t="inlineStr">
        <is>
          <t>Non</t>
        </is>
      </c>
      <c r="H2289" s="6" t="inlineStr">
        <is>
          <t>OFF</t>
        </is>
      </c>
      <c r="I2289" s="31" t="n">
        <v>674.4931640486259</v>
      </c>
      <c r="J2289" s="31" t="n">
        <v>5144.556481985902</v>
      </c>
      <c r="K2289" s="31" t="n">
        <v>3782.407407407407</v>
      </c>
      <c r="L2289" s="31" t="n">
        <v>150</v>
      </c>
      <c r="M2289" s="31">
        <f>I2289+J2289+K2289+L2289</f>
        <v/>
      </c>
      <c r="N2289" s="31">
        <f>M2289*'Dashboard &amp; Optimisation'!$B$18/('Dashboard &amp; Optimisation'!$B$16/3.6)</f>
        <v/>
      </c>
      <c r="O2289" s="31" t="n">
        <v>703.9128529320529</v>
      </c>
      <c r="P2289" s="32" t="n">
        <v>0.3146866068423525</v>
      </c>
      <c r="Q2289" s="33" t="n">
        <v>7.077172538771729</v>
      </c>
      <c r="R2289" s="31" t="n">
        <v>928.0122510185986</v>
      </c>
      <c r="S2289" s="31">
        <f>R2289*IF(A2289=4, 2.0, 3.0)</f>
        <v/>
      </c>
      <c r="T2289" s="30">
        <f>'Dashboard &amp; Optimisation'!$B$18*U2289</f>
        <v/>
      </c>
      <c r="U2289" s="34">
        <f>MIN(1, S2289/M2289)</f>
        <v/>
      </c>
      <c r="V2289" s="34">
        <f>N2289/(N2289+O2289)</f>
        <v/>
      </c>
      <c r="W2289" s="34">
        <f>U2289*V2289</f>
        <v/>
      </c>
      <c r="X2289" s="32">
        <f>T2289/N2289</f>
        <v/>
      </c>
      <c r="Y2289" s="35">
        <f>IF(W2289=MAXIFS(W$2:W$3601, A$2:A$3601, A2289, B$2:B$3601, B2289), "OPTIMAL", "")</f>
        <v/>
      </c>
    </row>
    <row r="2290" ht="20" customHeight="1">
      <c r="A2290" s="21" t="n">
        <v>-18</v>
      </c>
      <c r="B2290" s="21" t="n">
        <v>30</v>
      </c>
      <c r="C2290" s="22" t="n">
        <v>95</v>
      </c>
      <c r="D2290" s="22" t="n">
        <v>2</v>
      </c>
      <c r="E2290" s="23" t="n">
        <v>4</v>
      </c>
      <c r="F2290" s="22" t="n">
        <v>2</v>
      </c>
      <c r="G2290" s="23" t="inlineStr">
        <is>
          <t>Oui</t>
        </is>
      </c>
      <c r="H2290" s="23" t="inlineStr">
        <is>
          <t>ON</t>
        </is>
      </c>
      <c r="I2290" s="24" t="n">
        <v>674.4931640486259</v>
      </c>
      <c r="J2290" s="24" t="n">
        <v>5144.556481985902</v>
      </c>
      <c r="K2290" s="24" t="n">
        <v>3782.407407407407</v>
      </c>
      <c r="L2290" s="24" t="n">
        <v>150</v>
      </c>
      <c r="M2290" s="24">
        <f>I2290+J2290+K2290+L2290</f>
        <v/>
      </c>
      <c r="N2290" s="24">
        <f>M2290*'Dashboard &amp; Optimisation'!$B$18/('Dashboard &amp; Optimisation'!$B$16/3.6)</f>
        <v/>
      </c>
      <c r="O2290" s="24" t="n">
        <v>794.1677862783257</v>
      </c>
      <c r="P2290" s="25" t="n">
        <v>0.07304296145994044</v>
      </c>
      <c r="Q2290" s="26" t="n">
        <v>9.36956338502897</v>
      </c>
      <c r="R2290" s="24" t="n">
        <v>4044.949076703092</v>
      </c>
      <c r="S2290" s="24">
        <f>R2290*IF(A2290=4, 2.0, 3.0)</f>
        <v/>
      </c>
      <c r="T2290" s="22">
        <f>'Dashboard &amp; Optimisation'!$B$18*U2290</f>
        <v/>
      </c>
      <c r="U2290" s="27">
        <f>MIN(1, S2290/M2290)</f>
        <v/>
      </c>
      <c r="V2290" s="27">
        <f>N2290/(N2290+O2290)</f>
        <v/>
      </c>
      <c r="W2290" s="27">
        <f>U2290*V2290</f>
        <v/>
      </c>
      <c r="X2290" s="25">
        <f>T2290/N2290</f>
        <v/>
      </c>
      <c r="Y2290" s="28">
        <f>IF(W2290=MAXIFS(W$2:W$3601, A$2:A$3601, A2290, B$2:B$3601, B2290), "OPTIMAL", "")</f>
        <v/>
      </c>
    </row>
    <row r="2291" ht="20" customHeight="1">
      <c r="A2291" s="29" t="n">
        <v>-18</v>
      </c>
      <c r="B2291" s="29" t="n">
        <v>30</v>
      </c>
      <c r="C2291" s="30" t="n">
        <v>95</v>
      </c>
      <c r="D2291" s="30" t="n">
        <v>2</v>
      </c>
      <c r="E2291" s="6" t="n">
        <v>4</v>
      </c>
      <c r="F2291" s="30" t="n">
        <v>2</v>
      </c>
      <c r="G2291" s="6" t="inlineStr">
        <is>
          <t>Oui</t>
        </is>
      </c>
      <c r="H2291" s="6" t="inlineStr">
        <is>
          <t>OFF</t>
        </is>
      </c>
      <c r="I2291" s="31" t="n">
        <v>674.4931640486259</v>
      </c>
      <c r="J2291" s="31" t="n">
        <v>5144.556481985902</v>
      </c>
      <c r="K2291" s="31" t="n">
        <v>3782.407407407407</v>
      </c>
      <c r="L2291" s="31" t="n">
        <v>150</v>
      </c>
      <c r="M2291" s="31">
        <f>I2291+J2291+K2291+L2291</f>
        <v/>
      </c>
      <c r="N2291" s="31">
        <f>M2291*'Dashboard &amp; Optimisation'!$B$18/('Dashboard &amp; Optimisation'!$B$16/3.6)</f>
        <v/>
      </c>
      <c r="O2291" s="31" t="n">
        <v>794.1677862783257</v>
      </c>
      <c r="P2291" s="32" t="n">
        <v>0.316679947936384</v>
      </c>
      <c r="Q2291" s="33" t="n">
        <v>9.36956338502897</v>
      </c>
      <c r="R2291" s="31" t="n">
        <v>932.9768475786091</v>
      </c>
      <c r="S2291" s="31">
        <f>R2291*IF(A2291=4, 2.0, 3.0)</f>
        <v/>
      </c>
      <c r="T2291" s="30">
        <f>'Dashboard &amp; Optimisation'!$B$18*U2291</f>
        <v/>
      </c>
      <c r="U2291" s="34">
        <f>MIN(1, S2291/M2291)</f>
        <v/>
      </c>
      <c r="V2291" s="34">
        <f>N2291/(N2291+O2291)</f>
        <v/>
      </c>
      <c r="W2291" s="34">
        <f>U2291*V2291</f>
        <v/>
      </c>
      <c r="X2291" s="32">
        <f>T2291/N2291</f>
        <v/>
      </c>
      <c r="Y2291" s="35">
        <f>IF(W2291=MAXIFS(W$2:W$3601, A$2:A$3601, A2291, B$2:B$3601, B2291), "OPTIMAL", "")</f>
        <v/>
      </c>
    </row>
    <row r="2292" ht="20" customHeight="1">
      <c r="A2292" s="21" t="n">
        <v>-18</v>
      </c>
      <c r="B2292" s="21" t="n">
        <v>30</v>
      </c>
      <c r="C2292" s="22" t="n">
        <v>95</v>
      </c>
      <c r="D2292" s="22" t="n">
        <v>2</v>
      </c>
      <c r="E2292" s="23" t="n">
        <v>4</v>
      </c>
      <c r="F2292" s="22" t="n">
        <v>2</v>
      </c>
      <c r="G2292" s="23" t="inlineStr">
        <is>
          <t>Non</t>
        </is>
      </c>
      <c r="H2292" s="23" t="inlineStr">
        <is>
          <t>ON</t>
        </is>
      </c>
      <c r="I2292" s="24" t="n">
        <v>674.4931640486259</v>
      </c>
      <c r="J2292" s="24" t="n">
        <v>5144.556481985902</v>
      </c>
      <c r="K2292" s="24" t="n">
        <v>3782.407407407407</v>
      </c>
      <c r="L2292" s="24" t="n">
        <v>150</v>
      </c>
      <c r="M2292" s="24">
        <f>I2292+J2292+K2292+L2292</f>
        <v/>
      </c>
      <c r="N2292" s="24">
        <f>M2292*'Dashboard &amp; Optimisation'!$B$18/('Dashboard &amp; Optimisation'!$B$16/3.6)</f>
        <v/>
      </c>
      <c r="O2292" s="24" t="n">
        <v>794.1677862783257</v>
      </c>
      <c r="P2292" s="25" t="n">
        <v>0.06969233107905842</v>
      </c>
      <c r="Q2292" s="26" t="n">
        <v>9.36956338502897</v>
      </c>
      <c r="R2292" s="24" t="n">
        <v>4239.419961170243</v>
      </c>
      <c r="S2292" s="24">
        <f>R2292*IF(A2292=4, 2.0, 3.0)</f>
        <v/>
      </c>
      <c r="T2292" s="22">
        <f>'Dashboard &amp; Optimisation'!$B$18*U2292</f>
        <v/>
      </c>
      <c r="U2292" s="27">
        <f>MIN(1, S2292/M2292)</f>
        <v/>
      </c>
      <c r="V2292" s="27">
        <f>N2292/(N2292+O2292)</f>
        <v/>
      </c>
      <c r="W2292" s="27">
        <f>U2292*V2292</f>
        <v/>
      </c>
      <c r="X2292" s="25">
        <f>T2292/N2292</f>
        <v/>
      </c>
      <c r="Y2292" s="28">
        <f>IF(W2292=MAXIFS(W$2:W$3601, A$2:A$3601, A2292, B$2:B$3601, B2292), "OPTIMAL", "")</f>
        <v/>
      </c>
    </row>
    <row r="2293" ht="20" customHeight="1">
      <c r="A2293" s="29" t="n">
        <v>-18</v>
      </c>
      <c r="B2293" s="29" t="n">
        <v>30</v>
      </c>
      <c r="C2293" s="30" t="n">
        <v>95</v>
      </c>
      <c r="D2293" s="30" t="n">
        <v>2</v>
      </c>
      <c r="E2293" s="6" t="n">
        <v>4</v>
      </c>
      <c r="F2293" s="30" t="n">
        <v>2</v>
      </c>
      <c r="G2293" s="6" t="inlineStr">
        <is>
          <t>Non</t>
        </is>
      </c>
      <c r="H2293" s="6" t="inlineStr">
        <is>
          <t>OFF</t>
        </is>
      </c>
      <c r="I2293" s="31" t="n">
        <v>674.4931640486259</v>
      </c>
      <c r="J2293" s="31" t="n">
        <v>5144.556481985902</v>
      </c>
      <c r="K2293" s="31" t="n">
        <v>3782.407407407407</v>
      </c>
      <c r="L2293" s="31" t="n">
        <v>150</v>
      </c>
      <c r="M2293" s="31">
        <f>I2293+J2293+K2293+L2293</f>
        <v/>
      </c>
      <c r="N2293" s="31">
        <f>M2293*'Dashboard &amp; Optimisation'!$B$18/('Dashboard &amp; Optimisation'!$B$16/3.6)</f>
        <v/>
      </c>
      <c r="O2293" s="31" t="n">
        <v>794.1677862783257</v>
      </c>
      <c r="P2293" s="32" t="n">
        <v>0.313329317555502</v>
      </c>
      <c r="Q2293" s="33" t="n">
        <v>9.36956338502897</v>
      </c>
      <c r="R2293" s="31" t="n">
        <v>942.9537644995821</v>
      </c>
      <c r="S2293" s="31">
        <f>R2293*IF(A2293=4, 2.0, 3.0)</f>
        <v/>
      </c>
      <c r="T2293" s="30">
        <f>'Dashboard &amp; Optimisation'!$B$18*U2293</f>
        <v/>
      </c>
      <c r="U2293" s="34">
        <f>MIN(1, S2293/M2293)</f>
        <v/>
      </c>
      <c r="V2293" s="34">
        <f>N2293/(N2293+O2293)</f>
        <v/>
      </c>
      <c r="W2293" s="34">
        <f>U2293*V2293</f>
        <v/>
      </c>
      <c r="X2293" s="32">
        <f>T2293/N2293</f>
        <v/>
      </c>
      <c r="Y2293" s="35">
        <f>IF(W2293=MAXIFS(W$2:W$3601, A$2:A$3601, A2293, B$2:B$3601, B2293), "OPTIMAL", "")</f>
        <v/>
      </c>
    </row>
    <row r="2294" ht="20" customHeight="1">
      <c r="A2294" s="21" t="n">
        <v>-18</v>
      </c>
      <c r="B2294" s="21" t="n">
        <v>30</v>
      </c>
      <c r="C2294" s="22" t="n">
        <v>95</v>
      </c>
      <c r="D2294" s="22" t="n">
        <v>2</v>
      </c>
      <c r="E2294" s="23" t="n">
        <v>8</v>
      </c>
      <c r="F2294" s="22" t="n">
        <v>1.5</v>
      </c>
      <c r="G2294" s="23" t="inlineStr">
        <is>
          <t>Oui</t>
        </is>
      </c>
      <c r="H2294" s="23" t="inlineStr">
        <is>
          <t>ON</t>
        </is>
      </c>
      <c r="I2294" s="24" t="n">
        <v>674.4931640486259</v>
      </c>
      <c r="J2294" s="24" t="n">
        <v>5144.556481985902</v>
      </c>
      <c r="K2294" s="24" t="n">
        <v>3782.407407407407</v>
      </c>
      <c r="L2294" s="24" t="n">
        <v>150</v>
      </c>
      <c r="M2294" s="24">
        <f>I2294+J2294+K2294+L2294</f>
        <v/>
      </c>
      <c r="N2294" s="24">
        <f>M2294*'Dashboard &amp; Optimisation'!$B$18/('Dashboard &amp; Optimisation'!$B$16/3.6)</f>
        <v/>
      </c>
      <c r="O2294" s="24" t="n">
        <v>981.1755631101997</v>
      </c>
      <c r="P2294" s="25" t="n">
        <v>0.05699087655301123</v>
      </c>
      <c r="Q2294" s="26" t="n">
        <v>13.95434507754346</v>
      </c>
      <c r="R2294" s="24" t="n">
        <v>5308.66541451686</v>
      </c>
      <c r="S2294" s="24">
        <f>R2294*IF(A2294=4, 2.0, 3.0)</f>
        <v/>
      </c>
      <c r="T2294" s="22">
        <f>'Dashboard &amp; Optimisation'!$B$18*U2294</f>
        <v/>
      </c>
      <c r="U2294" s="27">
        <f>MIN(1, S2294/M2294)</f>
        <v/>
      </c>
      <c r="V2294" s="27">
        <f>N2294/(N2294+O2294)</f>
        <v/>
      </c>
      <c r="W2294" s="27">
        <f>U2294*V2294</f>
        <v/>
      </c>
      <c r="X2294" s="25">
        <f>T2294/N2294</f>
        <v/>
      </c>
      <c r="Y2294" s="28">
        <f>IF(W2294=MAXIFS(W$2:W$3601, A$2:A$3601, A2294, B$2:B$3601, B2294), "OPTIMAL", "")</f>
        <v/>
      </c>
    </row>
    <row r="2295" ht="20" customHeight="1">
      <c r="A2295" s="29" t="n">
        <v>-18</v>
      </c>
      <c r="B2295" s="29" t="n">
        <v>30</v>
      </c>
      <c r="C2295" s="30" t="n">
        <v>95</v>
      </c>
      <c r="D2295" s="30" t="n">
        <v>2</v>
      </c>
      <c r="E2295" s="6" t="n">
        <v>8</v>
      </c>
      <c r="F2295" s="30" t="n">
        <v>1.5</v>
      </c>
      <c r="G2295" s="6" t="inlineStr">
        <is>
          <t>Oui</t>
        </is>
      </c>
      <c r="H2295" s="6" t="inlineStr">
        <is>
          <t>OFF</t>
        </is>
      </c>
      <c r="I2295" s="31" t="n">
        <v>674.4931640486259</v>
      </c>
      <c r="J2295" s="31" t="n">
        <v>5144.556481985902</v>
      </c>
      <c r="K2295" s="31" t="n">
        <v>3782.407407407407</v>
      </c>
      <c r="L2295" s="31" t="n">
        <v>150</v>
      </c>
      <c r="M2295" s="31">
        <f>I2295+J2295+K2295+L2295</f>
        <v/>
      </c>
      <c r="N2295" s="31">
        <f>M2295*'Dashboard &amp; Optimisation'!$B$18/('Dashboard &amp; Optimisation'!$B$16/3.6)</f>
        <v/>
      </c>
      <c r="O2295" s="31" t="n">
        <v>981.1755631101997</v>
      </c>
      <c r="P2295" s="32" t="n">
        <v>0.2469467888801933</v>
      </c>
      <c r="Q2295" s="33" t="n">
        <v>13.95434507754346</v>
      </c>
      <c r="R2295" s="31" t="n">
        <v>1225.144480201162</v>
      </c>
      <c r="S2295" s="31">
        <f>R2295*IF(A2295=4, 2.0, 3.0)</f>
        <v/>
      </c>
      <c r="T2295" s="30">
        <f>'Dashboard &amp; Optimisation'!$B$18*U2295</f>
        <v/>
      </c>
      <c r="U2295" s="34">
        <f>MIN(1, S2295/M2295)</f>
        <v/>
      </c>
      <c r="V2295" s="34">
        <f>N2295/(N2295+O2295)</f>
        <v/>
      </c>
      <c r="W2295" s="34">
        <f>U2295*V2295</f>
        <v/>
      </c>
      <c r="X2295" s="32">
        <f>T2295/N2295</f>
        <v/>
      </c>
      <c r="Y2295" s="35">
        <f>IF(W2295=MAXIFS(W$2:W$3601, A$2:A$3601, A2295, B$2:B$3601, B2295), "OPTIMAL", "")</f>
        <v/>
      </c>
    </row>
    <row r="2296" ht="20" customHeight="1">
      <c r="A2296" s="21" t="n">
        <v>-18</v>
      </c>
      <c r="B2296" s="21" t="n">
        <v>30</v>
      </c>
      <c r="C2296" s="22" t="n">
        <v>95</v>
      </c>
      <c r="D2296" s="22" t="n">
        <v>2</v>
      </c>
      <c r="E2296" s="23" t="n">
        <v>8</v>
      </c>
      <c r="F2296" s="22" t="n">
        <v>1.5</v>
      </c>
      <c r="G2296" s="23" t="inlineStr">
        <is>
          <t>Non</t>
        </is>
      </c>
      <c r="H2296" s="23" t="inlineStr">
        <is>
          <t>ON</t>
        </is>
      </c>
      <c r="I2296" s="24" t="n">
        <v>674.4931640486259</v>
      </c>
      <c r="J2296" s="24" t="n">
        <v>5144.556481985902</v>
      </c>
      <c r="K2296" s="24" t="n">
        <v>3782.407407407407</v>
      </c>
      <c r="L2296" s="24" t="n">
        <v>150</v>
      </c>
      <c r="M2296" s="24">
        <f>I2296+J2296+K2296+L2296</f>
        <v/>
      </c>
      <c r="N2296" s="24">
        <f>M2296*'Dashboard &amp; Optimisation'!$B$18/('Dashboard &amp; Optimisation'!$B$16/3.6)</f>
        <v/>
      </c>
      <c r="O2296" s="24" t="n">
        <v>981.1755631101997</v>
      </c>
      <c r="P2296" s="25" t="n">
        <v>0.05364024617212922</v>
      </c>
      <c r="Q2296" s="26" t="n">
        <v>13.95434507754346</v>
      </c>
      <c r="R2296" s="24" t="n">
        <v>5640.270447848342</v>
      </c>
      <c r="S2296" s="24">
        <f>R2296*IF(A2296=4, 2.0, 3.0)</f>
        <v/>
      </c>
      <c r="T2296" s="22">
        <f>'Dashboard &amp; Optimisation'!$B$18*U2296</f>
        <v/>
      </c>
      <c r="U2296" s="27">
        <f>MIN(1, S2296/M2296)</f>
        <v/>
      </c>
      <c r="V2296" s="27">
        <f>N2296/(N2296+O2296)</f>
        <v/>
      </c>
      <c r="W2296" s="27">
        <f>U2296*V2296</f>
        <v/>
      </c>
      <c r="X2296" s="25">
        <f>T2296/N2296</f>
        <v/>
      </c>
      <c r="Y2296" s="28">
        <f>IF(W2296=MAXIFS(W$2:W$3601, A$2:A$3601, A2296, B$2:B$3601, B2296), "OPTIMAL", "")</f>
        <v/>
      </c>
    </row>
    <row r="2297" ht="20" customHeight="1">
      <c r="A2297" s="29" t="n">
        <v>-18</v>
      </c>
      <c r="B2297" s="29" t="n">
        <v>30</v>
      </c>
      <c r="C2297" s="30" t="n">
        <v>95</v>
      </c>
      <c r="D2297" s="30" t="n">
        <v>2</v>
      </c>
      <c r="E2297" s="6" t="n">
        <v>8</v>
      </c>
      <c r="F2297" s="30" t="n">
        <v>1.5</v>
      </c>
      <c r="G2297" s="6" t="inlineStr">
        <is>
          <t>Non</t>
        </is>
      </c>
      <c r="H2297" s="6" t="inlineStr">
        <is>
          <t>OFF</t>
        </is>
      </c>
      <c r="I2297" s="31" t="n">
        <v>674.4931640486259</v>
      </c>
      <c r="J2297" s="31" t="n">
        <v>5144.556481985902</v>
      </c>
      <c r="K2297" s="31" t="n">
        <v>3782.407407407407</v>
      </c>
      <c r="L2297" s="31" t="n">
        <v>150</v>
      </c>
      <c r="M2297" s="31">
        <f>I2297+J2297+K2297+L2297</f>
        <v/>
      </c>
      <c r="N2297" s="31">
        <f>M2297*'Dashboard &amp; Optimisation'!$B$18/('Dashboard &amp; Optimisation'!$B$16/3.6)</f>
        <v/>
      </c>
      <c r="O2297" s="31" t="n">
        <v>981.1755631101997</v>
      </c>
      <c r="P2297" s="32" t="n">
        <v>0.2435961584993113</v>
      </c>
      <c r="Q2297" s="33" t="n">
        <v>13.95434507754346</v>
      </c>
      <c r="R2297" s="31" t="n">
        <v>1241.996167607158</v>
      </c>
      <c r="S2297" s="31">
        <f>R2297*IF(A2297=4, 2.0, 3.0)</f>
        <v/>
      </c>
      <c r="T2297" s="30">
        <f>'Dashboard &amp; Optimisation'!$B$18*U2297</f>
        <v/>
      </c>
      <c r="U2297" s="34">
        <f>MIN(1, S2297/M2297)</f>
        <v/>
      </c>
      <c r="V2297" s="34">
        <f>N2297/(N2297+O2297)</f>
        <v/>
      </c>
      <c r="W2297" s="34">
        <f>U2297*V2297</f>
        <v/>
      </c>
      <c r="X2297" s="32">
        <f>T2297/N2297</f>
        <v/>
      </c>
      <c r="Y2297" s="35">
        <f>IF(W2297=MAXIFS(W$2:W$3601, A$2:A$3601, A2297, B$2:B$3601, B2297), "OPTIMAL", "")</f>
        <v/>
      </c>
    </row>
    <row r="2298" ht="20" customHeight="1">
      <c r="A2298" s="21" t="n">
        <v>-18</v>
      </c>
      <c r="B2298" s="21" t="n">
        <v>30</v>
      </c>
      <c r="C2298" s="22" t="n">
        <v>95</v>
      </c>
      <c r="D2298" s="22" t="n">
        <v>2</v>
      </c>
      <c r="E2298" s="23" t="n">
        <v>8</v>
      </c>
      <c r="F2298" s="22" t="n">
        <v>2</v>
      </c>
      <c r="G2298" s="23" t="inlineStr">
        <is>
          <t>Oui</t>
        </is>
      </c>
      <c r="H2298" s="23" t="inlineStr">
        <is>
          <t>ON</t>
        </is>
      </c>
      <c r="I2298" s="24" t="n">
        <v>674.4931640486259</v>
      </c>
      <c r="J2298" s="24" t="n">
        <v>5144.556481985902</v>
      </c>
      <c r="K2298" s="24" t="n">
        <v>3782.407407407407</v>
      </c>
      <c r="L2298" s="24" t="n">
        <v>150</v>
      </c>
      <c r="M2298" s="24">
        <f>I2298+J2298+K2298+L2298</f>
        <v/>
      </c>
      <c r="N2298" s="24">
        <f>M2298*'Dashboard &amp; Optimisation'!$B$18/('Dashboard &amp; Optimisation'!$B$16/3.6)</f>
        <v/>
      </c>
      <c r="O2298" s="24" t="n">
        <v>1177.379798338139</v>
      </c>
      <c r="P2298" s="25" t="n">
        <v>0.05584601824581075</v>
      </c>
      <c r="Q2298" s="26" t="n">
        <v>18.53912677005794</v>
      </c>
      <c r="R2298" s="24" t="n">
        <v>5550.702204142955</v>
      </c>
      <c r="S2298" s="24">
        <f>R2298*IF(A2298=4, 2.0, 3.0)</f>
        <v/>
      </c>
      <c r="T2298" s="22">
        <f>'Dashboard &amp; Optimisation'!$B$18*U2298</f>
        <v/>
      </c>
      <c r="U2298" s="27">
        <f>MIN(1, S2298/M2298)</f>
        <v/>
      </c>
      <c r="V2298" s="27">
        <f>N2298/(N2298+O2298)</f>
        <v/>
      </c>
      <c r="W2298" s="27">
        <f>U2298*V2298</f>
        <v/>
      </c>
      <c r="X2298" s="25">
        <f>T2298/N2298</f>
        <v/>
      </c>
      <c r="Y2298" s="28">
        <f>IF(W2298=MAXIFS(W$2:W$3601, A$2:A$3601, A2298, B$2:B$3601, B2298), "OPTIMAL", "")</f>
        <v/>
      </c>
    </row>
    <row r="2299" ht="20" customHeight="1">
      <c r="A2299" s="29" t="n">
        <v>-18</v>
      </c>
      <c r="B2299" s="29" t="n">
        <v>30</v>
      </c>
      <c r="C2299" s="30" t="n">
        <v>95</v>
      </c>
      <c r="D2299" s="30" t="n">
        <v>2</v>
      </c>
      <c r="E2299" s="6" t="n">
        <v>8</v>
      </c>
      <c r="F2299" s="30" t="n">
        <v>2</v>
      </c>
      <c r="G2299" s="6" t="inlineStr">
        <is>
          <t>Oui</t>
        </is>
      </c>
      <c r="H2299" s="6" t="inlineStr">
        <is>
          <t>OFF</t>
        </is>
      </c>
      <c r="I2299" s="31" t="n">
        <v>674.4931640486259</v>
      </c>
      <c r="J2299" s="31" t="n">
        <v>5144.556481985902</v>
      </c>
      <c r="K2299" s="31" t="n">
        <v>3782.407407407407</v>
      </c>
      <c r="L2299" s="31" t="n">
        <v>150</v>
      </c>
      <c r="M2299" s="31">
        <f>I2299+J2299+K2299+L2299</f>
        <v/>
      </c>
      <c r="N2299" s="31">
        <f>M2299*'Dashboard &amp; Optimisation'!$B$18/('Dashboard &amp; Optimisation'!$B$16/3.6)</f>
        <v/>
      </c>
      <c r="O2299" s="31" t="n">
        <v>1177.379798338139</v>
      </c>
      <c r="P2299" s="32" t="n">
        <v>0.2472541696165357</v>
      </c>
      <c r="Q2299" s="33" t="n">
        <v>18.53912677005794</v>
      </c>
      <c r="R2299" s="31" t="n">
        <v>1253.708348176218</v>
      </c>
      <c r="S2299" s="31">
        <f>R2299*IF(A2299=4, 2.0, 3.0)</f>
        <v/>
      </c>
      <c r="T2299" s="30">
        <f>'Dashboard &amp; Optimisation'!$B$18*U2299</f>
        <v/>
      </c>
      <c r="U2299" s="34">
        <f>MIN(1, S2299/M2299)</f>
        <v/>
      </c>
      <c r="V2299" s="34">
        <f>N2299/(N2299+O2299)</f>
        <v/>
      </c>
      <c r="W2299" s="34">
        <f>U2299*V2299</f>
        <v/>
      </c>
      <c r="X2299" s="32">
        <f>T2299/N2299</f>
        <v/>
      </c>
      <c r="Y2299" s="35">
        <f>IF(W2299=MAXIFS(W$2:W$3601, A$2:A$3601, A2299, B$2:B$3601, B2299), "OPTIMAL", "")</f>
        <v/>
      </c>
    </row>
    <row r="2300" ht="20" customHeight="1">
      <c r="A2300" s="21" t="n">
        <v>-18</v>
      </c>
      <c r="B2300" s="21" t="n">
        <v>30</v>
      </c>
      <c r="C2300" s="22" t="n">
        <v>95</v>
      </c>
      <c r="D2300" s="22" t="n">
        <v>2</v>
      </c>
      <c r="E2300" s="23" t="n">
        <v>8</v>
      </c>
      <c r="F2300" s="22" t="n">
        <v>2</v>
      </c>
      <c r="G2300" s="23" t="inlineStr">
        <is>
          <t>Non</t>
        </is>
      </c>
      <c r="H2300" s="23" t="inlineStr">
        <is>
          <t>ON</t>
        </is>
      </c>
      <c r="I2300" s="24" t="n">
        <v>674.4931640486259</v>
      </c>
      <c r="J2300" s="24" t="n">
        <v>5144.556481985902</v>
      </c>
      <c r="K2300" s="24" t="n">
        <v>3782.407407407407</v>
      </c>
      <c r="L2300" s="24" t="n">
        <v>150</v>
      </c>
      <c r="M2300" s="24">
        <f>I2300+J2300+K2300+L2300</f>
        <v/>
      </c>
      <c r="N2300" s="24">
        <f>M2300*'Dashboard &amp; Optimisation'!$B$18/('Dashboard &amp; Optimisation'!$B$16/3.6)</f>
        <v/>
      </c>
      <c r="O2300" s="24" t="n">
        <v>1177.379798338139</v>
      </c>
      <c r="P2300" s="25" t="n">
        <v>0.05249538786492874</v>
      </c>
      <c r="Q2300" s="26" t="n">
        <v>18.53912677005794</v>
      </c>
      <c r="R2300" s="24" t="n">
        <v>5904.987641337627</v>
      </c>
      <c r="S2300" s="24">
        <f>R2300*IF(A2300=4, 2.0, 3.0)</f>
        <v/>
      </c>
      <c r="T2300" s="22">
        <f>'Dashboard &amp; Optimisation'!$B$18*U2300</f>
        <v/>
      </c>
      <c r="U2300" s="27">
        <f>MIN(1, S2300/M2300)</f>
        <v/>
      </c>
      <c r="V2300" s="27">
        <f>N2300/(N2300+O2300)</f>
        <v/>
      </c>
      <c r="W2300" s="27">
        <f>U2300*V2300</f>
        <v/>
      </c>
      <c r="X2300" s="25">
        <f>T2300/N2300</f>
        <v/>
      </c>
      <c r="Y2300" s="28">
        <f>IF(W2300=MAXIFS(W$2:W$3601, A$2:A$3601, A2300, B$2:B$3601, B2300), "OPTIMAL", "")</f>
        <v/>
      </c>
    </row>
    <row r="2301" ht="20" customHeight="1">
      <c r="A2301" s="29" t="n">
        <v>-18</v>
      </c>
      <c r="B2301" s="29" t="n">
        <v>30</v>
      </c>
      <c r="C2301" s="30" t="n">
        <v>95</v>
      </c>
      <c r="D2301" s="30" t="n">
        <v>2</v>
      </c>
      <c r="E2301" s="6" t="n">
        <v>8</v>
      </c>
      <c r="F2301" s="30" t="n">
        <v>2</v>
      </c>
      <c r="G2301" s="6" t="inlineStr">
        <is>
          <t>Non</t>
        </is>
      </c>
      <c r="H2301" s="6" t="inlineStr">
        <is>
          <t>OFF</t>
        </is>
      </c>
      <c r="I2301" s="31" t="n">
        <v>674.4931640486259</v>
      </c>
      <c r="J2301" s="31" t="n">
        <v>5144.556481985902</v>
      </c>
      <c r="K2301" s="31" t="n">
        <v>3782.407407407407</v>
      </c>
      <c r="L2301" s="31" t="n">
        <v>150</v>
      </c>
      <c r="M2301" s="31">
        <f>I2301+J2301+K2301+L2301</f>
        <v/>
      </c>
      <c r="N2301" s="31">
        <f>M2301*'Dashboard &amp; Optimisation'!$B$18/('Dashboard &amp; Optimisation'!$B$16/3.6)</f>
        <v/>
      </c>
      <c r="O2301" s="31" t="n">
        <v>1177.379798338139</v>
      </c>
      <c r="P2301" s="32" t="n">
        <v>0.2439035392356537</v>
      </c>
      <c r="Q2301" s="33" t="n">
        <v>18.53912677005794</v>
      </c>
      <c r="R2301" s="31" t="n">
        <v>1270.931194934936</v>
      </c>
      <c r="S2301" s="31">
        <f>R2301*IF(A2301=4, 2.0, 3.0)</f>
        <v/>
      </c>
      <c r="T2301" s="30">
        <f>'Dashboard &amp; Optimisation'!$B$18*U2301</f>
        <v/>
      </c>
      <c r="U2301" s="34">
        <f>MIN(1, S2301/M2301)</f>
        <v/>
      </c>
      <c r="V2301" s="34">
        <f>N2301/(N2301+O2301)</f>
        <v/>
      </c>
      <c r="W2301" s="34">
        <f>U2301*V2301</f>
        <v/>
      </c>
      <c r="X2301" s="32">
        <f>T2301/N2301</f>
        <v/>
      </c>
      <c r="Y2301" s="35">
        <f>IF(W2301=MAXIFS(W$2:W$3601, A$2:A$3601, A2301, B$2:B$3601, B2301), "OPTIMAL", "")</f>
        <v/>
      </c>
    </row>
    <row r="2302" ht="20" customHeight="1">
      <c r="A2302" s="21" t="n">
        <v>-18</v>
      </c>
      <c r="B2302" s="21" t="n">
        <v>30</v>
      </c>
      <c r="C2302" s="22" t="n">
        <v>95</v>
      </c>
      <c r="D2302" s="22" t="n">
        <v>3</v>
      </c>
      <c r="E2302" s="23" t="n">
        <v>0</v>
      </c>
      <c r="F2302" s="22" t="n">
        <v>0</v>
      </c>
      <c r="G2302" s="23" t="inlineStr">
        <is>
          <t>Oui</t>
        </is>
      </c>
      <c r="H2302" s="23" t="inlineStr">
        <is>
          <t>ON</t>
        </is>
      </c>
      <c r="I2302" s="24" t="n">
        <v>674.4931640486259</v>
      </c>
      <c r="J2302" s="24" t="n">
        <v>5144.556481985902</v>
      </c>
      <c r="K2302" s="24" t="n">
        <v>3782.407407407407</v>
      </c>
      <c r="L2302" s="24" t="n">
        <v>150</v>
      </c>
      <c r="M2302" s="24">
        <f>I2302+J2302+K2302+L2302</f>
        <v/>
      </c>
      <c r="N2302" s="24">
        <f>M2302*'Dashboard &amp; Optimisation'!$B$18/('Dashboard &amp; Optimisation'!$B$16/3.6)</f>
        <v/>
      </c>
      <c r="O2302" s="24" t="n">
        <v>690.7539763375033</v>
      </c>
      <c r="P2302" s="25" t="n">
        <v>0.4850543981280133</v>
      </c>
      <c r="Q2302" s="26" t="n">
        <v>0.2</v>
      </c>
      <c r="R2302" s="24" t="n">
        <v>608.2893710613606</v>
      </c>
      <c r="S2302" s="24">
        <f>R2302*IF(A2302=4, 2.0, 3.0)</f>
        <v/>
      </c>
      <c r="T2302" s="22">
        <f>'Dashboard &amp; Optimisation'!$B$18*U2302</f>
        <v/>
      </c>
      <c r="U2302" s="27">
        <f>MIN(1, S2302/M2302)</f>
        <v/>
      </c>
      <c r="V2302" s="27">
        <f>N2302/(N2302+O2302)</f>
        <v/>
      </c>
      <c r="W2302" s="27">
        <f>U2302*V2302</f>
        <v/>
      </c>
      <c r="X2302" s="25">
        <f>T2302/N2302</f>
        <v/>
      </c>
      <c r="Y2302" s="28">
        <f>IF(W2302=MAXIFS(W$2:W$3601, A$2:A$3601, A2302, B$2:B$3601, B2302), "OPTIMAL", "")</f>
        <v/>
      </c>
    </row>
    <row r="2303" ht="20" customHeight="1">
      <c r="A2303" s="29" t="n">
        <v>-18</v>
      </c>
      <c r="B2303" s="29" t="n">
        <v>30</v>
      </c>
      <c r="C2303" s="30" t="n">
        <v>95</v>
      </c>
      <c r="D2303" s="30" t="n">
        <v>3</v>
      </c>
      <c r="E2303" s="6" t="n">
        <v>0</v>
      </c>
      <c r="F2303" s="30" t="n">
        <v>0</v>
      </c>
      <c r="G2303" s="6" t="inlineStr">
        <is>
          <t>Oui</t>
        </is>
      </c>
      <c r="H2303" s="6" t="inlineStr">
        <is>
          <t>OFF</t>
        </is>
      </c>
      <c r="I2303" s="31" t="n">
        <v>674.4931640486259</v>
      </c>
      <c r="J2303" s="31" t="n">
        <v>5144.556481985902</v>
      </c>
      <c r="K2303" s="31" t="n">
        <v>3782.407407407407</v>
      </c>
      <c r="L2303" s="31" t="n">
        <v>150</v>
      </c>
      <c r="M2303" s="31">
        <f>I2303+J2303+K2303+L2303</f>
        <v/>
      </c>
      <c r="N2303" s="31">
        <f>M2303*'Dashboard &amp; Optimisation'!$B$18/('Dashboard &amp; Optimisation'!$B$16/3.6)</f>
        <v/>
      </c>
      <c r="O2303" s="31" t="n">
        <v>690.7539763375033</v>
      </c>
      <c r="P2303" s="32" t="n">
        <v>0.820117436216214</v>
      </c>
      <c r="Q2303" s="33" t="n">
        <v>0.2</v>
      </c>
      <c r="R2303" s="31" t="n">
        <v>359.7697375257959</v>
      </c>
      <c r="S2303" s="31">
        <f>R2303*IF(A2303=4, 2.0, 3.0)</f>
        <v/>
      </c>
      <c r="T2303" s="30">
        <f>'Dashboard &amp; Optimisation'!$B$18*U2303</f>
        <v/>
      </c>
      <c r="U2303" s="34">
        <f>MIN(1, S2303/M2303)</f>
        <v/>
      </c>
      <c r="V2303" s="34">
        <f>N2303/(N2303+O2303)</f>
        <v/>
      </c>
      <c r="W2303" s="34">
        <f>U2303*V2303</f>
        <v/>
      </c>
      <c r="X2303" s="32">
        <f>T2303/N2303</f>
        <v/>
      </c>
      <c r="Y2303" s="35">
        <f>IF(W2303=MAXIFS(W$2:W$3601, A$2:A$3601, A2303, B$2:B$3601, B2303), "OPTIMAL", "")</f>
        <v/>
      </c>
    </row>
    <row r="2304" ht="20" customHeight="1">
      <c r="A2304" s="21" t="n">
        <v>-18</v>
      </c>
      <c r="B2304" s="21" t="n">
        <v>30</v>
      </c>
      <c r="C2304" s="22" t="n">
        <v>95</v>
      </c>
      <c r="D2304" s="22" t="n">
        <v>3</v>
      </c>
      <c r="E2304" s="23" t="n">
        <v>0</v>
      </c>
      <c r="F2304" s="22" t="n">
        <v>0</v>
      </c>
      <c r="G2304" s="23" t="inlineStr">
        <is>
          <t>Non</t>
        </is>
      </c>
      <c r="H2304" s="23" t="inlineStr">
        <is>
          <t>ON</t>
        </is>
      </c>
      <c r="I2304" s="24" t="n">
        <v>674.4931640486259</v>
      </c>
      <c r="J2304" s="24" t="n">
        <v>5144.556481985902</v>
      </c>
      <c r="K2304" s="24" t="n">
        <v>3782.407407407407</v>
      </c>
      <c r="L2304" s="24" t="n">
        <v>150</v>
      </c>
      <c r="M2304" s="24">
        <f>I2304+J2304+K2304+L2304</f>
        <v/>
      </c>
      <c r="N2304" s="24">
        <f>M2304*'Dashboard &amp; Optimisation'!$B$18/('Dashboard &amp; Optimisation'!$B$16/3.6)</f>
        <v/>
      </c>
      <c r="O2304" s="24" t="n">
        <v>690.7539763375033</v>
      </c>
      <c r="P2304" s="25" t="n">
        <v>0.4817037677471313</v>
      </c>
      <c r="Q2304" s="26" t="n">
        <v>0.2</v>
      </c>
      <c r="R2304" s="24" t="n">
        <v>612.520504350141</v>
      </c>
      <c r="S2304" s="24">
        <f>R2304*IF(A2304=4, 2.0, 3.0)</f>
        <v/>
      </c>
      <c r="T2304" s="22">
        <f>'Dashboard &amp; Optimisation'!$B$18*U2304</f>
        <v/>
      </c>
      <c r="U2304" s="27">
        <f>MIN(1, S2304/M2304)</f>
        <v/>
      </c>
      <c r="V2304" s="27">
        <f>N2304/(N2304+O2304)</f>
        <v/>
      </c>
      <c r="W2304" s="27">
        <f>U2304*V2304</f>
        <v/>
      </c>
      <c r="X2304" s="25">
        <f>T2304/N2304</f>
        <v/>
      </c>
      <c r="Y2304" s="28">
        <f>IF(W2304=MAXIFS(W$2:W$3601, A$2:A$3601, A2304, B$2:B$3601, B2304), "OPTIMAL", "")</f>
        <v/>
      </c>
    </row>
    <row r="2305" ht="20" customHeight="1">
      <c r="A2305" s="29" t="n">
        <v>-18</v>
      </c>
      <c r="B2305" s="29" t="n">
        <v>30</v>
      </c>
      <c r="C2305" s="30" t="n">
        <v>95</v>
      </c>
      <c r="D2305" s="30" t="n">
        <v>3</v>
      </c>
      <c r="E2305" s="6" t="n">
        <v>0</v>
      </c>
      <c r="F2305" s="30" t="n">
        <v>0</v>
      </c>
      <c r="G2305" s="6" t="inlineStr">
        <is>
          <t>Non</t>
        </is>
      </c>
      <c r="H2305" s="6" t="inlineStr">
        <is>
          <t>OFF</t>
        </is>
      </c>
      <c r="I2305" s="31" t="n">
        <v>674.4931640486259</v>
      </c>
      <c r="J2305" s="31" t="n">
        <v>5144.556481985902</v>
      </c>
      <c r="K2305" s="31" t="n">
        <v>3782.407407407407</v>
      </c>
      <c r="L2305" s="31" t="n">
        <v>150</v>
      </c>
      <c r="M2305" s="31">
        <f>I2305+J2305+K2305+L2305</f>
        <v/>
      </c>
      <c r="N2305" s="31">
        <f>M2305*'Dashboard &amp; Optimisation'!$B$18/('Dashboard &amp; Optimisation'!$B$16/3.6)</f>
        <v/>
      </c>
      <c r="O2305" s="31" t="n">
        <v>690.7539763375033</v>
      </c>
      <c r="P2305" s="32" t="n">
        <v>0.816766805835332</v>
      </c>
      <c r="Q2305" s="33" t="n">
        <v>0.2</v>
      </c>
      <c r="R2305" s="31" t="n">
        <v>361.2456244057029</v>
      </c>
      <c r="S2305" s="31">
        <f>R2305*IF(A2305=4, 2.0, 3.0)</f>
        <v/>
      </c>
      <c r="T2305" s="30">
        <f>'Dashboard &amp; Optimisation'!$B$18*U2305</f>
        <v/>
      </c>
      <c r="U2305" s="34">
        <f>MIN(1, S2305/M2305)</f>
        <v/>
      </c>
      <c r="V2305" s="34">
        <f>N2305/(N2305+O2305)</f>
        <v/>
      </c>
      <c r="W2305" s="34">
        <f>U2305*V2305</f>
        <v/>
      </c>
      <c r="X2305" s="32">
        <f>T2305/N2305</f>
        <v/>
      </c>
      <c r="Y2305" s="35">
        <f>IF(W2305=MAXIFS(W$2:W$3601, A$2:A$3601, A2305, B$2:B$3601, B2305), "OPTIMAL", "")</f>
        <v/>
      </c>
    </row>
    <row r="2306" ht="20" customHeight="1">
      <c r="A2306" s="21" t="n">
        <v>-18</v>
      </c>
      <c r="B2306" s="21" t="n">
        <v>30</v>
      </c>
      <c r="C2306" s="22" t="n">
        <v>95</v>
      </c>
      <c r="D2306" s="22" t="n">
        <v>3</v>
      </c>
      <c r="E2306" s="23" t="n">
        <v>4</v>
      </c>
      <c r="F2306" s="22" t="n">
        <v>1.5</v>
      </c>
      <c r="G2306" s="23" t="inlineStr">
        <is>
          <t>Oui</t>
        </is>
      </c>
      <c r="H2306" s="23" t="inlineStr">
        <is>
          <t>ON</t>
        </is>
      </c>
      <c r="I2306" s="24" t="n">
        <v>674.4931640486259</v>
      </c>
      <c r="J2306" s="24" t="n">
        <v>5144.556481985902</v>
      </c>
      <c r="K2306" s="24" t="n">
        <v>3782.407407407407</v>
      </c>
      <c r="L2306" s="24" t="n">
        <v>150</v>
      </c>
      <c r="M2306" s="24">
        <f>I2306+J2306+K2306+L2306</f>
        <v/>
      </c>
      <c r="N2306" s="24">
        <f>M2306*'Dashboard &amp; Optimisation'!$B$18/('Dashboard &amp; Optimisation'!$B$16/3.6)</f>
        <v/>
      </c>
      <c r="O2306" s="24" t="n">
        <v>965.7746142028151</v>
      </c>
      <c r="P2306" s="25" t="n">
        <v>0.07535655472626097</v>
      </c>
      <c r="Q2306" s="26" t="n">
        <v>7.231715741890194</v>
      </c>
      <c r="R2306" s="24" t="n">
        <v>4054.64603341959</v>
      </c>
      <c r="S2306" s="24">
        <f>R2306*IF(A2306=4, 2.0, 3.0)</f>
        <v/>
      </c>
      <c r="T2306" s="22">
        <f>'Dashboard &amp; Optimisation'!$B$18*U2306</f>
        <v/>
      </c>
      <c r="U2306" s="27">
        <f>MIN(1, S2306/M2306)</f>
        <v/>
      </c>
      <c r="V2306" s="27">
        <f>N2306/(N2306+O2306)</f>
        <v/>
      </c>
      <c r="W2306" s="27">
        <f>U2306*V2306</f>
        <v/>
      </c>
      <c r="X2306" s="25">
        <f>T2306/N2306</f>
        <v/>
      </c>
      <c r="Y2306" s="28">
        <f>IF(W2306=MAXIFS(W$2:W$3601, A$2:A$3601, A2306, B$2:B$3601, B2306), "OPTIMAL", "")</f>
        <v/>
      </c>
    </row>
    <row r="2307" ht="20" customHeight="1">
      <c r="A2307" s="29" t="n">
        <v>-18</v>
      </c>
      <c r="B2307" s="29" t="n">
        <v>30</v>
      </c>
      <c r="C2307" s="30" t="n">
        <v>95</v>
      </c>
      <c r="D2307" s="30" t="n">
        <v>3</v>
      </c>
      <c r="E2307" s="6" t="n">
        <v>4</v>
      </c>
      <c r="F2307" s="30" t="n">
        <v>1.5</v>
      </c>
      <c r="G2307" s="6" t="inlineStr">
        <is>
          <t>Oui</t>
        </is>
      </c>
      <c r="H2307" s="6" t="inlineStr">
        <is>
          <t>OFF</t>
        </is>
      </c>
      <c r="I2307" s="31" t="n">
        <v>674.4931640486259</v>
      </c>
      <c r="J2307" s="31" t="n">
        <v>5144.556481985902</v>
      </c>
      <c r="K2307" s="31" t="n">
        <v>3782.407407407407</v>
      </c>
      <c r="L2307" s="31" t="n">
        <v>150</v>
      </c>
      <c r="M2307" s="31">
        <f>I2307+J2307+K2307+L2307</f>
        <v/>
      </c>
      <c r="N2307" s="31">
        <f>M2307*'Dashboard &amp; Optimisation'!$B$18/('Dashboard &amp; Optimisation'!$B$16/3.6)</f>
        <v/>
      </c>
      <c r="O2307" s="31" t="n">
        <v>965.7746142028151</v>
      </c>
      <c r="P2307" s="32" t="n">
        <v>0.3178141987215173</v>
      </c>
      <c r="Q2307" s="33" t="n">
        <v>7.231715741890194</v>
      </c>
      <c r="R2307" s="31" t="n">
        <v>961.3924014160597</v>
      </c>
      <c r="S2307" s="31">
        <f>R2307*IF(A2307=4, 2.0, 3.0)</f>
        <v/>
      </c>
      <c r="T2307" s="30">
        <f>'Dashboard &amp; Optimisation'!$B$18*U2307</f>
        <v/>
      </c>
      <c r="U2307" s="34">
        <f>MIN(1, S2307/M2307)</f>
        <v/>
      </c>
      <c r="V2307" s="34">
        <f>N2307/(N2307+O2307)</f>
        <v/>
      </c>
      <c r="W2307" s="34">
        <f>U2307*V2307</f>
        <v/>
      </c>
      <c r="X2307" s="32">
        <f>T2307/N2307</f>
        <v/>
      </c>
      <c r="Y2307" s="35">
        <f>IF(W2307=MAXIFS(W$2:W$3601, A$2:A$3601, A2307, B$2:B$3601, B2307), "OPTIMAL", "")</f>
        <v/>
      </c>
    </row>
    <row r="2308" ht="20" customHeight="1">
      <c r="A2308" s="21" t="n">
        <v>-18</v>
      </c>
      <c r="B2308" s="21" t="n">
        <v>30</v>
      </c>
      <c r="C2308" s="22" t="n">
        <v>95</v>
      </c>
      <c r="D2308" s="22" t="n">
        <v>3</v>
      </c>
      <c r="E2308" s="23" t="n">
        <v>4</v>
      </c>
      <c r="F2308" s="22" t="n">
        <v>1.5</v>
      </c>
      <c r="G2308" s="23" t="inlineStr">
        <is>
          <t>Non</t>
        </is>
      </c>
      <c r="H2308" s="23" t="inlineStr">
        <is>
          <t>ON</t>
        </is>
      </c>
      <c r="I2308" s="24" t="n">
        <v>674.4931640486259</v>
      </c>
      <c r="J2308" s="24" t="n">
        <v>5144.556481985902</v>
      </c>
      <c r="K2308" s="24" t="n">
        <v>3782.407407407407</v>
      </c>
      <c r="L2308" s="24" t="n">
        <v>150</v>
      </c>
      <c r="M2308" s="24">
        <f>I2308+J2308+K2308+L2308</f>
        <v/>
      </c>
      <c r="N2308" s="24">
        <f>M2308*'Dashboard &amp; Optimisation'!$B$18/('Dashboard &amp; Optimisation'!$B$16/3.6)</f>
        <v/>
      </c>
      <c r="O2308" s="24" t="n">
        <v>965.7746142028151</v>
      </c>
      <c r="P2308" s="25" t="n">
        <v>0.07200592434537897</v>
      </c>
      <c r="Q2308" s="26" t="n">
        <v>7.231715741890194</v>
      </c>
      <c r="R2308" s="24" t="n">
        <v>4243.319678078805</v>
      </c>
      <c r="S2308" s="24">
        <f>R2308*IF(A2308=4, 2.0, 3.0)</f>
        <v/>
      </c>
      <c r="T2308" s="22">
        <f>'Dashboard &amp; Optimisation'!$B$18*U2308</f>
        <v/>
      </c>
      <c r="U2308" s="27">
        <f>MIN(1, S2308/M2308)</f>
        <v/>
      </c>
      <c r="V2308" s="27">
        <f>N2308/(N2308+O2308)</f>
        <v/>
      </c>
      <c r="W2308" s="27">
        <f>U2308*V2308</f>
        <v/>
      </c>
      <c r="X2308" s="25">
        <f>T2308/N2308</f>
        <v/>
      </c>
      <c r="Y2308" s="28">
        <f>IF(W2308=MAXIFS(W$2:W$3601, A$2:A$3601, A2308, B$2:B$3601, B2308), "OPTIMAL", "")</f>
        <v/>
      </c>
    </row>
    <row r="2309" ht="20" customHeight="1">
      <c r="A2309" s="29" t="n">
        <v>-18</v>
      </c>
      <c r="B2309" s="29" t="n">
        <v>30</v>
      </c>
      <c r="C2309" s="30" t="n">
        <v>95</v>
      </c>
      <c r="D2309" s="30" t="n">
        <v>3</v>
      </c>
      <c r="E2309" s="6" t="n">
        <v>4</v>
      </c>
      <c r="F2309" s="30" t="n">
        <v>1.5</v>
      </c>
      <c r="G2309" s="6" t="inlineStr">
        <is>
          <t>Non</t>
        </is>
      </c>
      <c r="H2309" s="6" t="inlineStr">
        <is>
          <t>OFF</t>
        </is>
      </c>
      <c r="I2309" s="31" t="n">
        <v>674.4931640486259</v>
      </c>
      <c r="J2309" s="31" t="n">
        <v>5144.556481985902</v>
      </c>
      <c r="K2309" s="31" t="n">
        <v>3782.407407407407</v>
      </c>
      <c r="L2309" s="31" t="n">
        <v>150</v>
      </c>
      <c r="M2309" s="31">
        <f>I2309+J2309+K2309+L2309</f>
        <v/>
      </c>
      <c r="N2309" s="31">
        <f>M2309*'Dashboard &amp; Optimisation'!$B$18/('Dashboard &amp; Optimisation'!$B$16/3.6)</f>
        <v/>
      </c>
      <c r="O2309" s="31" t="n">
        <v>965.7746142028151</v>
      </c>
      <c r="P2309" s="32" t="n">
        <v>0.3144635683406353</v>
      </c>
      <c r="Q2309" s="33" t="n">
        <v>7.231715741890194</v>
      </c>
      <c r="R2309" s="31" t="n">
        <v>971.6361018393926</v>
      </c>
      <c r="S2309" s="31">
        <f>R2309*IF(A2309=4, 2.0, 3.0)</f>
        <v/>
      </c>
      <c r="T2309" s="30">
        <f>'Dashboard &amp; Optimisation'!$B$18*U2309</f>
        <v/>
      </c>
      <c r="U2309" s="34">
        <f>MIN(1, S2309/M2309)</f>
        <v/>
      </c>
      <c r="V2309" s="34">
        <f>N2309/(N2309+O2309)</f>
        <v/>
      </c>
      <c r="W2309" s="34">
        <f>U2309*V2309</f>
        <v/>
      </c>
      <c r="X2309" s="32">
        <f>T2309/N2309</f>
        <v/>
      </c>
      <c r="Y2309" s="35">
        <f>IF(W2309=MAXIFS(W$2:W$3601, A$2:A$3601, A2309, B$2:B$3601, B2309), "OPTIMAL", "")</f>
        <v/>
      </c>
    </row>
    <row r="2310" ht="20" customHeight="1">
      <c r="A2310" s="21" t="n">
        <v>-18</v>
      </c>
      <c r="B2310" s="21" t="n">
        <v>30</v>
      </c>
      <c r="C2310" s="22" t="n">
        <v>95</v>
      </c>
      <c r="D2310" s="22" t="n">
        <v>3</v>
      </c>
      <c r="E2310" s="23" t="n">
        <v>4</v>
      </c>
      <c r="F2310" s="22" t="n">
        <v>2</v>
      </c>
      <c r="G2310" s="23" t="inlineStr">
        <is>
          <t>Oui</t>
        </is>
      </c>
      <c r="H2310" s="23" t="inlineStr">
        <is>
          <t>ON</t>
        </is>
      </c>
      <c r="I2310" s="24" t="n">
        <v>674.4931640486259</v>
      </c>
      <c r="J2310" s="24" t="n">
        <v>5144.556481985902</v>
      </c>
      <c r="K2310" s="24" t="n">
        <v>3782.407407407407</v>
      </c>
      <c r="L2310" s="24" t="n">
        <v>150</v>
      </c>
      <c r="M2310" s="24">
        <f>I2310+J2310+K2310+L2310</f>
        <v/>
      </c>
      <c r="N2310" s="24">
        <f>M2310*'Dashboard &amp; Optimisation'!$B$18/('Dashboard &amp; Optimisation'!$B$16/3.6)</f>
        <v/>
      </c>
      <c r="O2310" s="24" t="n">
        <v>1061.846262513216</v>
      </c>
      <c r="P2310" s="25" t="n">
        <v>0.072877449969957</v>
      </c>
      <c r="Q2310" s="26" t="n">
        <v>9.575620989186925</v>
      </c>
      <c r="R2310" s="24" t="n">
        <v>4242.860162855284</v>
      </c>
      <c r="S2310" s="24">
        <f>R2310*IF(A2310=4, 2.0, 3.0)</f>
        <v/>
      </c>
      <c r="T2310" s="22">
        <f>'Dashboard &amp; Optimisation'!$B$18*U2310</f>
        <v/>
      </c>
      <c r="U2310" s="27">
        <f>MIN(1, S2310/M2310)</f>
        <v/>
      </c>
      <c r="V2310" s="27">
        <f>N2310/(N2310+O2310)</f>
        <v/>
      </c>
      <c r="W2310" s="27">
        <f>U2310*V2310</f>
        <v/>
      </c>
      <c r="X2310" s="25">
        <f>T2310/N2310</f>
        <v/>
      </c>
      <c r="Y2310" s="28">
        <f>IF(W2310=MAXIFS(W$2:W$3601, A$2:A$3601, A2310, B$2:B$3601, B2310), "OPTIMAL", "")</f>
        <v/>
      </c>
    </row>
    <row r="2311" ht="20" customHeight="1">
      <c r="A2311" s="29" t="n">
        <v>-18</v>
      </c>
      <c r="B2311" s="29" t="n">
        <v>30</v>
      </c>
      <c r="C2311" s="30" t="n">
        <v>95</v>
      </c>
      <c r="D2311" s="30" t="n">
        <v>3</v>
      </c>
      <c r="E2311" s="6" t="n">
        <v>4</v>
      </c>
      <c r="F2311" s="30" t="n">
        <v>2</v>
      </c>
      <c r="G2311" s="6" t="inlineStr">
        <is>
          <t>Oui</t>
        </is>
      </c>
      <c r="H2311" s="6" t="inlineStr">
        <is>
          <t>OFF</t>
        </is>
      </c>
      <c r="I2311" s="31" t="n">
        <v>674.4931640486259</v>
      </c>
      <c r="J2311" s="31" t="n">
        <v>5144.556481985902</v>
      </c>
      <c r="K2311" s="31" t="n">
        <v>3782.407407407407</v>
      </c>
      <c r="L2311" s="31" t="n">
        <v>150</v>
      </c>
      <c r="M2311" s="31">
        <f>I2311+J2311+K2311+L2311</f>
        <v/>
      </c>
      <c r="N2311" s="31">
        <f>M2311*'Dashboard &amp; Optimisation'!$B$18/('Dashboard &amp; Optimisation'!$B$16/3.6)</f>
        <v/>
      </c>
      <c r="O2311" s="31" t="n">
        <v>1061.846262513216</v>
      </c>
      <c r="P2311" s="32" t="n">
        <v>0.3165144364464006</v>
      </c>
      <c r="Q2311" s="33" t="n">
        <v>9.575620989186925</v>
      </c>
      <c r="R2311" s="31" t="n">
        <v>976.9185656097927</v>
      </c>
      <c r="S2311" s="31">
        <f>R2311*IF(A2311=4, 2.0, 3.0)</f>
        <v/>
      </c>
      <c r="T2311" s="30">
        <f>'Dashboard &amp; Optimisation'!$B$18*U2311</f>
        <v/>
      </c>
      <c r="U2311" s="34">
        <f>MIN(1, S2311/M2311)</f>
        <v/>
      </c>
      <c r="V2311" s="34">
        <f>N2311/(N2311+O2311)</f>
        <v/>
      </c>
      <c r="W2311" s="34">
        <f>U2311*V2311</f>
        <v/>
      </c>
      <c r="X2311" s="32">
        <f>T2311/N2311</f>
        <v/>
      </c>
      <c r="Y2311" s="35">
        <f>IF(W2311=MAXIFS(W$2:W$3601, A$2:A$3601, A2311, B$2:B$3601, B2311), "OPTIMAL", "")</f>
        <v/>
      </c>
    </row>
    <row r="2312" ht="20" customHeight="1">
      <c r="A2312" s="21" t="n">
        <v>-18</v>
      </c>
      <c r="B2312" s="21" t="n">
        <v>30</v>
      </c>
      <c r="C2312" s="22" t="n">
        <v>95</v>
      </c>
      <c r="D2312" s="22" t="n">
        <v>3</v>
      </c>
      <c r="E2312" s="23" t="n">
        <v>4</v>
      </c>
      <c r="F2312" s="22" t="n">
        <v>2</v>
      </c>
      <c r="G2312" s="23" t="inlineStr">
        <is>
          <t>Non</t>
        </is>
      </c>
      <c r="H2312" s="23" t="inlineStr">
        <is>
          <t>ON</t>
        </is>
      </c>
      <c r="I2312" s="24" t="n">
        <v>674.4931640486259</v>
      </c>
      <c r="J2312" s="24" t="n">
        <v>5144.556481985902</v>
      </c>
      <c r="K2312" s="24" t="n">
        <v>3782.407407407407</v>
      </c>
      <c r="L2312" s="24" t="n">
        <v>150</v>
      </c>
      <c r="M2312" s="24">
        <f>I2312+J2312+K2312+L2312</f>
        <v/>
      </c>
      <c r="N2312" s="24">
        <f>M2312*'Dashboard &amp; Optimisation'!$B$18/('Dashboard &amp; Optimisation'!$B$16/3.6)</f>
        <v/>
      </c>
      <c r="O2312" s="24" t="n">
        <v>1061.846262513216</v>
      </c>
      <c r="P2312" s="25" t="n">
        <v>0.06952681958907499</v>
      </c>
      <c r="Q2312" s="26" t="n">
        <v>9.575620989186925</v>
      </c>
      <c r="R2312" s="24" t="n">
        <v>4447.331707038082</v>
      </c>
      <c r="S2312" s="24">
        <f>R2312*IF(A2312=4, 2.0, 3.0)</f>
        <v/>
      </c>
      <c r="T2312" s="22">
        <f>'Dashboard &amp; Optimisation'!$B$18*U2312</f>
        <v/>
      </c>
      <c r="U2312" s="27">
        <f>MIN(1, S2312/M2312)</f>
        <v/>
      </c>
      <c r="V2312" s="27">
        <f>N2312/(N2312+O2312)</f>
        <v/>
      </c>
      <c r="W2312" s="27">
        <f>U2312*V2312</f>
        <v/>
      </c>
      <c r="X2312" s="25">
        <f>T2312/N2312</f>
        <v/>
      </c>
      <c r="Y2312" s="28">
        <f>IF(W2312=MAXIFS(W$2:W$3601, A$2:A$3601, A2312, B$2:B$3601, B2312), "OPTIMAL", "")</f>
        <v/>
      </c>
    </row>
    <row r="2313" ht="20" customHeight="1">
      <c r="A2313" s="29" t="n">
        <v>-18</v>
      </c>
      <c r="B2313" s="29" t="n">
        <v>30</v>
      </c>
      <c r="C2313" s="30" t="n">
        <v>95</v>
      </c>
      <c r="D2313" s="30" t="n">
        <v>3</v>
      </c>
      <c r="E2313" s="6" t="n">
        <v>4</v>
      </c>
      <c r="F2313" s="30" t="n">
        <v>2</v>
      </c>
      <c r="G2313" s="6" t="inlineStr">
        <is>
          <t>Non</t>
        </is>
      </c>
      <c r="H2313" s="6" t="inlineStr">
        <is>
          <t>OFF</t>
        </is>
      </c>
      <c r="I2313" s="31" t="n">
        <v>674.4931640486259</v>
      </c>
      <c r="J2313" s="31" t="n">
        <v>5144.556481985902</v>
      </c>
      <c r="K2313" s="31" t="n">
        <v>3782.407407407407</v>
      </c>
      <c r="L2313" s="31" t="n">
        <v>150</v>
      </c>
      <c r="M2313" s="31">
        <f>I2313+J2313+K2313+L2313</f>
        <v/>
      </c>
      <c r="N2313" s="31">
        <f>M2313*'Dashboard &amp; Optimisation'!$B$18/('Dashboard &amp; Optimisation'!$B$16/3.6)</f>
        <v/>
      </c>
      <c r="O2313" s="31" t="n">
        <v>1061.846262513216</v>
      </c>
      <c r="P2313" s="32" t="n">
        <v>0.3131638060655186</v>
      </c>
      <c r="Q2313" s="33" t="n">
        <v>9.575620989186925</v>
      </c>
      <c r="R2313" s="31" t="n">
        <v>987.3709006567586</v>
      </c>
      <c r="S2313" s="31">
        <f>R2313*IF(A2313=4, 2.0, 3.0)</f>
        <v/>
      </c>
      <c r="T2313" s="30">
        <f>'Dashboard &amp; Optimisation'!$B$18*U2313</f>
        <v/>
      </c>
      <c r="U2313" s="34">
        <f>MIN(1, S2313/M2313)</f>
        <v/>
      </c>
      <c r="V2313" s="34">
        <f>N2313/(N2313+O2313)</f>
        <v/>
      </c>
      <c r="W2313" s="34">
        <f>U2313*V2313</f>
        <v/>
      </c>
      <c r="X2313" s="32">
        <f>T2313/N2313</f>
        <v/>
      </c>
      <c r="Y2313" s="35">
        <f>IF(W2313=MAXIFS(W$2:W$3601, A$2:A$3601, A2313, B$2:B$3601, B2313), "OPTIMAL", "")</f>
        <v/>
      </c>
    </row>
    <row r="2314" ht="20" customHeight="1">
      <c r="A2314" s="21" t="n">
        <v>-18</v>
      </c>
      <c r="B2314" s="21" t="n">
        <v>30</v>
      </c>
      <c r="C2314" s="22" t="n">
        <v>95</v>
      </c>
      <c r="D2314" s="22" t="n">
        <v>3</v>
      </c>
      <c r="E2314" s="23" t="n">
        <v>8</v>
      </c>
      <c r="F2314" s="22" t="n">
        <v>1.5</v>
      </c>
      <c r="G2314" s="23" t="inlineStr">
        <is>
          <t>Oui</t>
        </is>
      </c>
      <c r="H2314" s="23" t="inlineStr">
        <is>
          <t>ON</t>
        </is>
      </c>
      <c r="I2314" s="24" t="n">
        <v>674.4931640486259</v>
      </c>
      <c r="J2314" s="24" t="n">
        <v>5144.556481985902</v>
      </c>
      <c r="K2314" s="24" t="n">
        <v>3782.407407407407</v>
      </c>
      <c r="L2314" s="24" t="n">
        <v>150</v>
      </c>
      <c r="M2314" s="24">
        <f>I2314+J2314+K2314+L2314</f>
        <v/>
      </c>
      <c r="N2314" s="24">
        <f>M2314*'Dashboard &amp; Optimisation'!$B$18/('Dashboard &amp; Optimisation'!$B$16/3.6)</f>
        <v/>
      </c>
      <c r="O2314" s="24" t="n">
        <v>1261.073135472092</v>
      </c>
      <c r="P2314" s="25" t="n">
        <v>0.05688455314032285</v>
      </c>
      <c r="Q2314" s="26" t="n">
        <v>14.26343148378039</v>
      </c>
      <c r="R2314" s="24" t="n">
        <v>5569.321781753374</v>
      </c>
      <c r="S2314" s="24">
        <f>R2314*IF(A2314=4, 2.0, 3.0)</f>
        <v/>
      </c>
      <c r="T2314" s="22">
        <f>'Dashboard &amp; Optimisation'!$B$18*U2314</f>
        <v/>
      </c>
      <c r="U2314" s="27">
        <f>MIN(1, S2314/M2314)</f>
        <v/>
      </c>
      <c r="V2314" s="27">
        <f>N2314/(N2314+O2314)</f>
        <v/>
      </c>
      <c r="W2314" s="27">
        <f>U2314*V2314</f>
        <v/>
      </c>
      <c r="X2314" s="25">
        <f>T2314/N2314</f>
        <v/>
      </c>
      <c r="Y2314" s="28">
        <f>IF(W2314=MAXIFS(W$2:W$3601, A$2:A$3601, A2314, B$2:B$3601, B2314), "OPTIMAL", "")</f>
        <v/>
      </c>
    </row>
    <row r="2315" ht="20" customHeight="1">
      <c r="A2315" s="29" t="n">
        <v>-18</v>
      </c>
      <c r="B2315" s="29" t="n">
        <v>30</v>
      </c>
      <c r="C2315" s="30" t="n">
        <v>95</v>
      </c>
      <c r="D2315" s="30" t="n">
        <v>3</v>
      </c>
      <c r="E2315" s="6" t="n">
        <v>8</v>
      </c>
      <c r="F2315" s="30" t="n">
        <v>1.5</v>
      </c>
      <c r="G2315" s="6" t="inlineStr">
        <is>
          <t>Oui</t>
        </is>
      </c>
      <c r="H2315" s="6" t="inlineStr">
        <is>
          <t>OFF</t>
        </is>
      </c>
      <c r="I2315" s="31" t="n">
        <v>674.4931640486259</v>
      </c>
      <c r="J2315" s="31" t="n">
        <v>5144.556481985902</v>
      </c>
      <c r="K2315" s="31" t="n">
        <v>3782.407407407407</v>
      </c>
      <c r="L2315" s="31" t="n">
        <v>150</v>
      </c>
      <c r="M2315" s="31">
        <f>I2315+J2315+K2315+L2315</f>
        <v/>
      </c>
      <c r="N2315" s="31">
        <f>M2315*'Dashboard &amp; Optimisation'!$B$18/('Dashboard &amp; Optimisation'!$B$16/3.6)</f>
        <v/>
      </c>
      <c r="O2315" s="31" t="n">
        <v>1261.073135472092</v>
      </c>
      <c r="P2315" s="32" t="n">
        <v>0.246840465467505</v>
      </c>
      <c r="Q2315" s="33" t="n">
        <v>14.26343148378039</v>
      </c>
      <c r="R2315" s="31" t="n">
        <v>1283.453992236185</v>
      </c>
      <c r="S2315" s="31">
        <f>R2315*IF(A2315=4, 2.0, 3.0)</f>
        <v/>
      </c>
      <c r="T2315" s="30">
        <f>'Dashboard &amp; Optimisation'!$B$18*U2315</f>
        <v/>
      </c>
      <c r="U2315" s="34">
        <f>MIN(1, S2315/M2315)</f>
        <v/>
      </c>
      <c r="V2315" s="34">
        <f>N2315/(N2315+O2315)</f>
        <v/>
      </c>
      <c r="W2315" s="34">
        <f>U2315*V2315</f>
        <v/>
      </c>
      <c r="X2315" s="32">
        <f>T2315/N2315</f>
        <v/>
      </c>
      <c r="Y2315" s="35">
        <f>IF(W2315=MAXIFS(W$2:W$3601, A$2:A$3601, A2315, B$2:B$3601, B2315), "OPTIMAL", "")</f>
        <v/>
      </c>
    </row>
    <row r="2316" ht="20" customHeight="1">
      <c r="A2316" s="21" t="n">
        <v>-18</v>
      </c>
      <c r="B2316" s="21" t="n">
        <v>30</v>
      </c>
      <c r="C2316" s="22" t="n">
        <v>95</v>
      </c>
      <c r="D2316" s="22" t="n">
        <v>3</v>
      </c>
      <c r="E2316" s="23" t="n">
        <v>8</v>
      </c>
      <c r="F2316" s="22" t="n">
        <v>1.5</v>
      </c>
      <c r="G2316" s="23" t="inlineStr">
        <is>
          <t>Non</t>
        </is>
      </c>
      <c r="H2316" s="23" t="inlineStr">
        <is>
          <t>ON</t>
        </is>
      </c>
      <c r="I2316" s="24" t="n">
        <v>674.4931640486259</v>
      </c>
      <c r="J2316" s="24" t="n">
        <v>5144.556481985902</v>
      </c>
      <c r="K2316" s="24" t="n">
        <v>3782.407407407407</v>
      </c>
      <c r="L2316" s="24" t="n">
        <v>150</v>
      </c>
      <c r="M2316" s="24">
        <f>I2316+J2316+K2316+L2316</f>
        <v/>
      </c>
      <c r="N2316" s="24">
        <f>M2316*'Dashboard &amp; Optimisation'!$B$18/('Dashboard &amp; Optimisation'!$B$16/3.6)</f>
        <v/>
      </c>
      <c r="O2316" s="24" t="n">
        <v>1261.073135472092</v>
      </c>
      <c r="P2316" s="25" t="n">
        <v>0.05353392275944084</v>
      </c>
      <c r="Q2316" s="26" t="n">
        <v>14.26343148378039</v>
      </c>
      <c r="R2316" s="24" t="n">
        <v>5917.899614293395</v>
      </c>
      <c r="S2316" s="24">
        <f>R2316*IF(A2316=4, 2.0, 3.0)</f>
        <v/>
      </c>
      <c r="T2316" s="22">
        <f>'Dashboard &amp; Optimisation'!$B$18*U2316</f>
        <v/>
      </c>
      <c r="U2316" s="27">
        <f>MIN(1, S2316/M2316)</f>
        <v/>
      </c>
      <c r="V2316" s="27">
        <f>N2316/(N2316+O2316)</f>
        <v/>
      </c>
      <c r="W2316" s="27">
        <f>U2316*V2316</f>
        <v/>
      </c>
      <c r="X2316" s="25">
        <f>T2316/N2316</f>
        <v/>
      </c>
      <c r="Y2316" s="28">
        <f>IF(W2316=MAXIFS(W$2:W$3601, A$2:A$3601, A2316, B$2:B$3601, B2316), "OPTIMAL", "")</f>
        <v/>
      </c>
    </row>
    <row r="2317" ht="20" customHeight="1">
      <c r="A2317" s="29" t="n">
        <v>-18</v>
      </c>
      <c r="B2317" s="29" t="n">
        <v>30</v>
      </c>
      <c r="C2317" s="30" t="n">
        <v>95</v>
      </c>
      <c r="D2317" s="30" t="n">
        <v>3</v>
      </c>
      <c r="E2317" s="6" t="n">
        <v>8</v>
      </c>
      <c r="F2317" s="30" t="n">
        <v>1.5</v>
      </c>
      <c r="G2317" s="6" t="inlineStr">
        <is>
          <t>Non</t>
        </is>
      </c>
      <c r="H2317" s="6" t="inlineStr">
        <is>
          <t>OFF</t>
        </is>
      </c>
      <c r="I2317" s="31" t="n">
        <v>674.4931640486259</v>
      </c>
      <c r="J2317" s="31" t="n">
        <v>5144.556481985902</v>
      </c>
      <c r="K2317" s="31" t="n">
        <v>3782.407407407407</v>
      </c>
      <c r="L2317" s="31" t="n">
        <v>150</v>
      </c>
      <c r="M2317" s="31">
        <f>I2317+J2317+K2317+L2317</f>
        <v/>
      </c>
      <c r="N2317" s="31">
        <f>M2317*'Dashboard &amp; Optimisation'!$B$18/('Dashboard &amp; Optimisation'!$B$16/3.6)</f>
        <v/>
      </c>
      <c r="O2317" s="31" t="n">
        <v>1261.073135472092</v>
      </c>
      <c r="P2317" s="32" t="n">
        <v>0.2434898350866229</v>
      </c>
      <c r="Q2317" s="33" t="n">
        <v>14.26343148378039</v>
      </c>
      <c r="R2317" s="31" t="n">
        <v>1301.115427414047</v>
      </c>
      <c r="S2317" s="31">
        <f>R2317*IF(A2317=4, 2.0, 3.0)</f>
        <v/>
      </c>
      <c r="T2317" s="30">
        <f>'Dashboard &amp; Optimisation'!$B$18*U2317</f>
        <v/>
      </c>
      <c r="U2317" s="34">
        <f>MIN(1, S2317/M2317)</f>
        <v/>
      </c>
      <c r="V2317" s="34">
        <f>N2317/(N2317+O2317)</f>
        <v/>
      </c>
      <c r="W2317" s="34">
        <f>U2317*V2317</f>
        <v/>
      </c>
      <c r="X2317" s="32">
        <f>T2317/N2317</f>
        <v/>
      </c>
      <c r="Y2317" s="35">
        <f>IF(W2317=MAXIFS(W$2:W$3601, A$2:A$3601, A2317, B$2:B$3601, B2317), "OPTIMAL", "")</f>
        <v/>
      </c>
    </row>
    <row r="2318" ht="20" customHeight="1">
      <c r="A2318" s="21" t="n">
        <v>-18</v>
      </c>
      <c r="B2318" s="21" t="n">
        <v>30</v>
      </c>
      <c r="C2318" s="22" t="n">
        <v>95</v>
      </c>
      <c r="D2318" s="22" t="n">
        <v>3</v>
      </c>
      <c r="E2318" s="23" t="n">
        <v>8</v>
      </c>
      <c r="F2318" s="22" t="n">
        <v>2</v>
      </c>
      <c r="G2318" s="23" t="inlineStr">
        <is>
          <t>Oui</t>
        </is>
      </c>
      <c r="H2318" s="23" t="inlineStr">
        <is>
          <t>ON</t>
        </is>
      </c>
      <c r="I2318" s="24" t="n">
        <v>674.4931640486259</v>
      </c>
      <c r="J2318" s="24" t="n">
        <v>5144.556481985902</v>
      </c>
      <c r="K2318" s="24" t="n">
        <v>3782.407407407407</v>
      </c>
      <c r="L2318" s="24" t="n">
        <v>150</v>
      </c>
      <c r="M2318" s="24">
        <f>I2318+J2318+K2318+L2318</f>
        <v/>
      </c>
      <c r="N2318" s="24">
        <f>M2318*'Dashboard &amp; Optimisation'!$B$18/('Dashboard &amp; Optimisation'!$B$16/3.6)</f>
        <v/>
      </c>
      <c r="O2318" s="24" t="n">
        <v>1470.339718835841</v>
      </c>
      <c r="P2318" s="25" t="n">
        <v>0.0557699285087862</v>
      </c>
      <c r="Q2318" s="26" t="n">
        <v>18.95124197837385</v>
      </c>
      <c r="R2318" s="24" t="n">
        <v>5823.763953668951</v>
      </c>
      <c r="S2318" s="24">
        <f>R2318*IF(A2318=4, 2.0, 3.0)</f>
        <v/>
      </c>
      <c r="T2318" s="22">
        <f>'Dashboard &amp; Optimisation'!$B$18*U2318</f>
        <v/>
      </c>
      <c r="U2318" s="27">
        <f>MIN(1, S2318/M2318)</f>
        <v/>
      </c>
      <c r="V2318" s="27">
        <f>N2318/(N2318+O2318)</f>
        <v/>
      </c>
      <c r="W2318" s="27">
        <f>U2318*V2318</f>
        <v/>
      </c>
      <c r="X2318" s="25">
        <f>T2318/N2318</f>
        <v/>
      </c>
      <c r="Y2318" s="28">
        <f>IF(W2318=MAXIFS(W$2:W$3601, A$2:A$3601, A2318, B$2:B$3601, B2318), "OPTIMAL", "")</f>
        <v/>
      </c>
    </row>
    <row r="2319" ht="20" customHeight="1">
      <c r="A2319" s="29" t="n">
        <v>-18</v>
      </c>
      <c r="B2319" s="29" t="n">
        <v>30</v>
      </c>
      <c r="C2319" s="30" t="n">
        <v>95</v>
      </c>
      <c r="D2319" s="30" t="n">
        <v>3</v>
      </c>
      <c r="E2319" s="6" t="n">
        <v>8</v>
      </c>
      <c r="F2319" s="30" t="n">
        <v>2</v>
      </c>
      <c r="G2319" s="6" t="inlineStr">
        <is>
          <t>Oui</t>
        </is>
      </c>
      <c r="H2319" s="6" t="inlineStr">
        <is>
          <t>OFF</t>
        </is>
      </c>
      <c r="I2319" s="31" t="n">
        <v>674.4931640486259</v>
      </c>
      <c r="J2319" s="31" t="n">
        <v>5144.556481985902</v>
      </c>
      <c r="K2319" s="31" t="n">
        <v>3782.407407407407</v>
      </c>
      <c r="L2319" s="31" t="n">
        <v>150</v>
      </c>
      <c r="M2319" s="31">
        <f>I2319+J2319+K2319+L2319</f>
        <v/>
      </c>
      <c r="N2319" s="31">
        <f>M2319*'Dashboard &amp; Optimisation'!$B$18/('Dashboard &amp; Optimisation'!$B$16/3.6)</f>
        <v/>
      </c>
      <c r="O2319" s="31" t="n">
        <v>1470.339718835841</v>
      </c>
      <c r="P2319" s="32" t="n">
        <v>0.2471780798795112</v>
      </c>
      <c r="Q2319" s="33" t="n">
        <v>18.95124197837385</v>
      </c>
      <c r="R2319" s="31" t="n">
        <v>1313.995559422119</v>
      </c>
      <c r="S2319" s="31">
        <f>R2319*IF(A2319=4, 2.0, 3.0)</f>
        <v/>
      </c>
      <c r="T2319" s="30">
        <f>'Dashboard &amp; Optimisation'!$B$18*U2319</f>
        <v/>
      </c>
      <c r="U2319" s="34">
        <f>MIN(1, S2319/M2319)</f>
        <v/>
      </c>
      <c r="V2319" s="34">
        <f>N2319/(N2319+O2319)</f>
        <v/>
      </c>
      <c r="W2319" s="34">
        <f>U2319*V2319</f>
        <v/>
      </c>
      <c r="X2319" s="32">
        <f>T2319/N2319</f>
        <v/>
      </c>
      <c r="Y2319" s="35">
        <f>IF(W2319=MAXIFS(W$2:W$3601, A$2:A$3601, A2319, B$2:B$3601, B2319), "OPTIMAL", "")</f>
        <v/>
      </c>
    </row>
    <row r="2320" ht="20" customHeight="1">
      <c r="A2320" s="21" t="n">
        <v>-18</v>
      </c>
      <c r="B2320" s="21" t="n">
        <v>30</v>
      </c>
      <c r="C2320" s="22" t="n">
        <v>95</v>
      </c>
      <c r="D2320" s="22" t="n">
        <v>3</v>
      </c>
      <c r="E2320" s="23" t="n">
        <v>8</v>
      </c>
      <c r="F2320" s="22" t="n">
        <v>2</v>
      </c>
      <c r="G2320" s="23" t="inlineStr">
        <is>
          <t>Non</t>
        </is>
      </c>
      <c r="H2320" s="23" t="inlineStr">
        <is>
          <t>ON</t>
        </is>
      </c>
      <c r="I2320" s="24" t="n">
        <v>674.4931640486259</v>
      </c>
      <c r="J2320" s="24" t="n">
        <v>5144.556481985902</v>
      </c>
      <c r="K2320" s="24" t="n">
        <v>3782.407407407407</v>
      </c>
      <c r="L2320" s="24" t="n">
        <v>150</v>
      </c>
      <c r="M2320" s="24">
        <f>I2320+J2320+K2320+L2320</f>
        <v/>
      </c>
      <c r="N2320" s="24">
        <f>M2320*'Dashboard &amp; Optimisation'!$B$18/('Dashboard &amp; Optimisation'!$B$16/3.6)</f>
        <v/>
      </c>
      <c r="O2320" s="24" t="n">
        <v>1470.339718835841</v>
      </c>
      <c r="P2320" s="25" t="n">
        <v>0.05241929812790419</v>
      </c>
      <c r="Q2320" s="26" t="n">
        <v>18.95124197837385</v>
      </c>
      <c r="R2320" s="24" t="n">
        <v>6196.017706220843</v>
      </c>
      <c r="S2320" s="24">
        <f>R2320*IF(A2320=4, 2.0, 3.0)</f>
        <v/>
      </c>
      <c r="T2320" s="22">
        <f>'Dashboard &amp; Optimisation'!$B$18*U2320</f>
        <v/>
      </c>
      <c r="U2320" s="27">
        <f>MIN(1, S2320/M2320)</f>
        <v/>
      </c>
      <c r="V2320" s="27">
        <f>N2320/(N2320+O2320)</f>
        <v/>
      </c>
      <c r="W2320" s="27">
        <f>U2320*V2320</f>
        <v/>
      </c>
      <c r="X2320" s="25">
        <f>T2320/N2320</f>
        <v/>
      </c>
      <c r="Y2320" s="28">
        <f>IF(W2320=MAXIFS(W$2:W$3601, A$2:A$3601, A2320, B$2:B$3601, B2320), "OPTIMAL", "")</f>
        <v/>
      </c>
    </row>
    <row r="2321" ht="20" customHeight="1">
      <c r="A2321" s="29" t="n">
        <v>-18</v>
      </c>
      <c r="B2321" s="29" t="n">
        <v>30</v>
      </c>
      <c r="C2321" s="30" t="n">
        <v>95</v>
      </c>
      <c r="D2321" s="30" t="n">
        <v>3</v>
      </c>
      <c r="E2321" s="6" t="n">
        <v>8</v>
      </c>
      <c r="F2321" s="30" t="n">
        <v>2</v>
      </c>
      <c r="G2321" s="6" t="inlineStr">
        <is>
          <t>Non</t>
        </is>
      </c>
      <c r="H2321" s="6" t="inlineStr">
        <is>
          <t>OFF</t>
        </is>
      </c>
      <c r="I2321" s="31" t="n">
        <v>674.4931640486259</v>
      </c>
      <c r="J2321" s="31" t="n">
        <v>5144.556481985902</v>
      </c>
      <c r="K2321" s="31" t="n">
        <v>3782.407407407407</v>
      </c>
      <c r="L2321" s="31" t="n">
        <v>150</v>
      </c>
      <c r="M2321" s="31">
        <f>I2321+J2321+K2321+L2321</f>
        <v/>
      </c>
      <c r="N2321" s="31">
        <f>M2321*'Dashboard &amp; Optimisation'!$B$18/('Dashboard &amp; Optimisation'!$B$16/3.6)</f>
        <v/>
      </c>
      <c r="O2321" s="31" t="n">
        <v>1470.339718835841</v>
      </c>
      <c r="P2321" s="32" t="n">
        <v>0.2438274494986292</v>
      </c>
      <c r="Q2321" s="33" t="n">
        <v>18.95124197837385</v>
      </c>
      <c r="R2321" s="31" t="n">
        <v>1332.052236185941</v>
      </c>
      <c r="S2321" s="31">
        <f>R2321*IF(A2321=4, 2.0, 3.0)</f>
        <v/>
      </c>
      <c r="T2321" s="30">
        <f>'Dashboard &amp; Optimisation'!$B$18*U2321</f>
        <v/>
      </c>
      <c r="U2321" s="34">
        <f>MIN(1, S2321/M2321)</f>
        <v/>
      </c>
      <c r="V2321" s="34">
        <f>N2321/(N2321+O2321)</f>
        <v/>
      </c>
      <c r="W2321" s="34">
        <f>U2321*V2321</f>
        <v/>
      </c>
      <c r="X2321" s="32">
        <f>T2321/N2321</f>
        <v/>
      </c>
      <c r="Y2321" s="35">
        <f>IF(W2321=MAXIFS(W$2:W$3601, A$2:A$3601, A2321, B$2:B$3601, B2321), "OPTIMAL", "")</f>
        <v/>
      </c>
    </row>
    <row r="2322" ht="20" customHeight="1">
      <c r="A2322" s="21" t="n">
        <v>-18</v>
      </c>
      <c r="B2322" s="21" t="n">
        <v>30</v>
      </c>
      <c r="C2322" s="22" t="n">
        <v>100</v>
      </c>
      <c r="D2322" s="22" t="n">
        <v>2</v>
      </c>
      <c r="E2322" s="23" t="n">
        <v>0</v>
      </c>
      <c r="F2322" s="22" t="n">
        <v>0</v>
      </c>
      <c r="G2322" s="23" t="inlineStr">
        <is>
          <t>Oui</t>
        </is>
      </c>
      <c r="H2322" s="23" t="inlineStr">
        <is>
          <t>ON</t>
        </is>
      </c>
      <c r="I2322" s="24" t="n">
        <v>674.4931640486259</v>
      </c>
      <c r="J2322" s="24" t="n">
        <v>5144.556481985902</v>
      </c>
      <c r="K2322" s="24" t="n">
        <v>3782.407407407407</v>
      </c>
      <c r="L2322" s="24" t="n">
        <v>150</v>
      </c>
      <c r="M2322" s="24">
        <f>I2322+J2322+K2322+L2322</f>
        <v/>
      </c>
      <c r="N2322" s="24">
        <f>M2322*'Dashboard &amp; Optimisation'!$B$18/('Dashboard &amp; Optimisation'!$B$16/3.6)</f>
        <v/>
      </c>
      <c r="O2322" s="24" t="n">
        <v>421.607113781167</v>
      </c>
      <c r="P2322" s="25" t="n">
        <v>0.4806796209288155</v>
      </c>
      <c r="Q2322" s="26" t="n">
        <v>0.2</v>
      </c>
      <c r="R2322" s="24" t="n">
        <v>527.5729400806416</v>
      </c>
      <c r="S2322" s="24">
        <f>R2322*IF(A2322=4, 2.0, 3.0)</f>
        <v/>
      </c>
      <c r="T2322" s="22">
        <f>'Dashboard &amp; Optimisation'!$B$18*U2322</f>
        <v/>
      </c>
      <c r="U2322" s="27">
        <f>MIN(1, S2322/M2322)</f>
        <v/>
      </c>
      <c r="V2322" s="27">
        <f>N2322/(N2322+O2322)</f>
        <v/>
      </c>
      <c r="W2322" s="27">
        <f>U2322*V2322</f>
        <v/>
      </c>
      <c r="X2322" s="25">
        <f>T2322/N2322</f>
        <v/>
      </c>
      <c r="Y2322" s="28">
        <f>IF(W2322=MAXIFS(W$2:W$3601, A$2:A$3601, A2322, B$2:B$3601, B2322), "OPTIMAL", "")</f>
        <v/>
      </c>
    </row>
    <row r="2323" ht="20" customHeight="1">
      <c r="A2323" s="29" t="n">
        <v>-18</v>
      </c>
      <c r="B2323" s="29" t="n">
        <v>30</v>
      </c>
      <c r="C2323" s="30" t="n">
        <v>100</v>
      </c>
      <c r="D2323" s="30" t="n">
        <v>2</v>
      </c>
      <c r="E2323" s="6" t="n">
        <v>0</v>
      </c>
      <c r="F2323" s="30" t="n">
        <v>0</v>
      </c>
      <c r="G2323" s="6" t="inlineStr">
        <is>
          <t>Oui</t>
        </is>
      </c>
      <c r="H2323" s="6" t="inlineStr">
        <is>
          <t>OFF</t>
        </is>
      </c>
      <c r="I2323" s="31" t="n">
        <v>674.4931640486259</v>
      </c>
      <c r="J2323" s="31" t="n">
        <v>5144.556481985902</v>
      </c>
      <c r="K2323" s="31" t="n">
        <v>3782.407407407407</v>
      </c>
      <c r="L2323" s="31" t="n">
        <v>150</v>
      </c>
      <c r="M2323" s="31">
        <f>I2323+J2323+K2323+L2323</f>
        <v/>
      </c>
      <c r="N2323" s="31">
        <f>M2323*'Dashboard &amp; Optimisation'!$B$18/('Dashboard &amp; Optimisation'!$B$16/3.6)</f>
        <v/>
      </c>
      <c r="O2323" s="31" t="n">
        <v>421.607113781167</v>
      </c>
      <c r="P2323" s="32" t="n">
        <v>0.7989895071126063</v>
      </c>
      <c r="Q2323" s="33" t="n">
        <v>0.2</v>
      </c>
      <c r="R2323" s="31" t="n">
        <v>317.3928550910533</v>
      </c>
      <c r="S2323" s="31">
        <f>R2323*IF(A2323=4, 2.0, 3.0)</f>
        <v/>
      </c>
      <c r="T2323" s="30">
        <f>'Dashboard &amp; Optimisation'!$B$18*U2323</f>
        <v/>
      </c>
      <c r="U2323" s="34">
        <f>MIN(1, S2323/M2323)</f>
        <v/>
      </c>
      <c r="V2323" s="34">
        <f>N2323/(N2323+O2323)</f>
        <v/>
      </c>
      <c r="W2323" s="34">
        <f>U2323*V2323</f>
        <v/>
      </c>
      <c r="X2323" s="32">
        <f>T2323/N2323</f>
        <v/>
      </c>
      <c r="Y2323" s="35">
        <f>IF(W2323=MAXIFS(W$2:W$3601, A$2:A$3601, A2323, B$2:B$3601, B2323), "OPTIMAL", "")</f>
        <v/>
      </c>
    </row>
    <row r="2324" ht="20" customHeight="1">
      <c r="A2324" s="21" t="n">
        <v>-18</v>
      </c>
      <c r="B2324" s="21" t="n">
        <v>30</v>
      </c>
      <c r="C2324" s="22" t="n">
        <v>100</v>
      </c>
      <c r="D2324" s="22" t="n">
        <v>2</v>
      </c>
      <c r="E2324" s="23" t="n">
        <v>0</v>
      </c>
      <c r="F2324" s="22" t="n">
        <v>0</v>
      </c>
      <c r="G2324" s="23" t="inlineStr">
        <is>
          <t>Non</t>
        </is>
      </c>
      <c r="H2324" s="23" t="inlineStr">
        <is>
          <t>ON</t>
        </is>
      </c>
      <c r="I2324" s="24" t="n">
        <v>674.4931640486259</v>
      </c>
      <c r="J2324" s="24" t="n">
        <v>5144.556481985902</v>
      </c>
      <c r="K2324" s="24" t="n">
        <v>3782.407407407407</v>
      </c>
      <c r="L2324" s="24" t="n">
        <v>150</v>
      </c>
      <c r="M2324" s="24">
        <f>I2324+J2324+K2324+L2324</f>
        <v/>
      </c>
      <c r="N2324" s="24">
        <f>M2324*'Dashboard &amp; Optimisation'!$B$18/('Dashboard &amp; Optimisation'!$B$16/3.6)</f>
        <v/>
      </c>
      <c r="O2324" s="24" t="n">
        <v>421.607113781167</v>
      </c>
      <c r="P2324" s="25" t="n">
        <v>0.4774965220669776</v>
      </c>
      <c r="Q2324" s="26" t="n">
        <v>0.2</v>
      </c>
      <c r="R2324" s="24" t="n">
        <v>531.0898595711496</v>
      </c>
      <c r="S2324" s="24">
        <f>R2324*IF(A2324=4, 2.0, 3.0)</f>
        <v/>
      </c>
      <c r="T2324" s="22">
        <f>'Dashboard &amp; Optimisation'!$B$18*U2324</f>
        <v/>
      </c>
      <c r="U2324" s="27">
        <f>MIN(1, S2324/M2324)</f>
        <v/>
      </c>
      <c r="V2324" s="27">
        <f>N2324/(N2324+O2324)</f>
        <v/>
      </c>
      <c r="W2324" s="27">
        <f>U2324*V2324</f>
        <v/>
      </c>
      <c r="X2324" s="25">
        <f>T2324/N2324</f>
        <v/>
      </c>
      <c r="Y2324" s="28">
        <f>IF(W2324=MAXIFS(W$2:W$3601, A$2:A$3601, A2324, B$2:B$3601, B2324), "OPTIMAL", "")</f>
        <v/>
      </c>
    </row>
    <row r="2325" ht="20" customHeight="1">
      <c r="A2325" s="29" t="n">
        <v>-18</v>
      </c>
      <c r="B2325" s="29" t="n">
        <v>30</v>
      </c>
      <c r="C2325" s="30" t="n">
        <v>100</v>
      </c>
      <c r="D2325" s="30" t="n">
        <v>2</v>
      </c>
      <c r="E2325" s="6" t="n">
        <v>0</v>
      </c>
      <c r="F2325" s="30" t="n">
        <v>0</v>
      </c>
      <c r="G2325" s="6" t="inlineStr">
        <is>
          <t>Non</t>
        </is>
      </c>
      <c r="H2325" s="6" t="inlineStr">
        <is>
          <t>OFF</t>
        </is>
      </c>
      <c r="I2325" s="31" t="n">
        <v>674.4931640486259</v>
      </c>
      <c r="J2325" s="31" t="n">
        <v>5144.556481985902</v>
      </c>
      <c r="K2325" s="31" t="n">
        <v>3782.407407407407</v>
      </c>
      <c r="L2325" s="31" t="n">
        <v>150</v>
      </c>
      <c r="M2325" s="31">
        <f>I2325+J2325+K2325+L2325</f>
        <v/>
      </c>
      <c r="N2325" s="31">
        <f>M2325*'Dashboard &amp; Optimisation'!$B$18/('Dashboard &amp; Optimisation'!$B$16/3.6)</f>
        <v/>
      </c>
      <c r="O2325" s="31" t="n">
        <v>421.607113781167</v>
      </c>
      <c r="P2325" s="32" t="n">
        <v>0.7958064082507683</v>
      </c>
      <c r="Q2325" s="33" t="n">
        <v>0.2</v>
      </c>
      <c r="R2325" s="31" t="n">
        <v>318.662375951053</v>
      </c>
      <c r="S2325" s="31">
        <f>R2325*IF(A2325=4, 2.0, 3.0)</f>
        <v/>
      </c>
      <c r="T2325" s="30">
        <f>'Dashboard &amp; Optimisation'!$B$18*U2325</f>
        <v/>
      </c>
      <c r="U2325" s="34">
        <f>MIN(1, S2325/M2325)</f>
        <v/>
      </c>
      <c r="V2325" s="34">
        <f>N2325/(N2325+O2325)</f>
        <v/>
      </c>
      <c r="W2325" s="34">
        <f>U2325*V2325</f>
        <v/>
      </c>
      <c r="X2325" s="32">
        <f>T2325/N2325</f>
        <v/>
      </c>
      <c r="Y2325" s="35">
        <f>IF(W2325=MAXIFS(W$2:W$3601, A$2:A$3601, A2325, B$2:B$3601, B2325), "OPTIMAL", "")</f>
        <v/>
      </c>
    </row>
    <row r="2326" ht="20" customHeight="1">
      <c r="A2326" s="21" t="n">
        <v>-18</v>
      </c>
      <c r="B2326" s="21" t="n">
        <v>30</v>
      </c>
      <c r="C2326" s="22" t="n">
        <v>100</v>
      </c>
      <c r="D2326" s="22" t="n">
        <v>2</v>
      </c>
      <c r="E2326" s="23" t="n">
        <v>4</v>
      </c>
      <c r="F2326" s="22" t="n">
        <v>1.5</v>
      </c>
      <c r="G2326" s="23" t="inlineStr">
        <is>
          <t>Oui</t>
        </is>
      </c>
      <c r="H2326" s="23" t="inlineStr">
        <is>
          <t>ON</t>
        </is>
      </c>
      <c r="I2326" s="24" t="n">
        <v>674.4931640486259</v>
      </c>
      <c r="J2326" s="24" t="n">
        <v>5144.556481985902</v>
      </c>
      <c r="K2326" s="24" t="n">
        <v>3782.407407407407</v>
      </c>
      <c r="L2326" s="24" t="n">
        <v>150</v>
      </c>
      <c r="M2326" s="24">
        <f>I2326+J2326+K2326+L2326</f>
        <v/>
      </c>
      <c r="N2326" s="24">
        <f>M2326*'Dashboard &amp; Optimisation'!$B$18/('Dashboard &amp; Optimisation'!$B$16/3.6)</f>
        <v/>
      </c>
      <c r="O2326" s="24" t="n">
        <v>662.0598509828333</v>
      </c>
      <c r="P2326" s="25" t="n">
        <v>0.07376163664698646</v>
      </c>
      <c r="Q2326" s="26" t="n">
        <v>6.718986469044035</v>
      </c>
      <c r="R2326" s="24" t="n">
        <v>3551.047647300626</v>
      </c>
      <c r="S2326" s="24">
        <f>R2326*IF(A2326=4, 2.0, 3.0)</f>
        <v/>
      </c>
      <c r="T2326" s="22">
        <f>'Dashboard &amp; Optimisation'!$B$18*U2326</f>
        <v/>
      </c>
      <c r="U2326" s="27">
        <f>MIN(1, S2326/M2326)</f>
        <v/>
      </c>
      <c r="V2326" s="27">
        <f>N2326/(N2326+O2326)</f>
        <v/>
      </c>
      <c r="W2326" s="27">
        <f>U2326*V2326</f>
        <v/>
      </c>
      <c r="X2326" s="25">
        <f>T2326/N2326</f>
        <v/>
      </c>
      <c r="Y2326" s="28">
        <f>IF(W2326=MAXIFS(W$2:W$3601, A$2:A$3601, A2326, B$2:B$3601, B2326), "OPTIMAL", "")</f>
        <v/>
      </c>
    </row>
    <row r="2327" ht="20" customHeight="1">
      <c r="A2327" s="29" t="n">
        <v>-18</v>
      </c>
      <c r="B2327" s="29" t="n">
        <v>30</v>
      </c>
      <c r="C2327" s="30" t="n">
        <v>100</v>
      </c>
      <c r="D2327" s="30" t="n">
        <v>2</v>
      </c>
      <c r="E2327" s="6" t="n">
        <v>4</v>
      </c>
      <c r="F2327" s="30" t="n">
        <v>1.5</v>
      </c>
      <c r="G2327" s="6" t="inlineStr">
        <is>
          <t>Oui</t>
        </is>
      </c>
      <c r="H2327" s="6" t="inlineStr">
        <is>
          <t>OFF</t>
        </is>
      </c>
      <c r="I2327" s="31" t="n">
        <v>674.4931640486259</v>
      </c>
      <c r="J2327" s="31" t="n">
        <v>5144.556481985902</v>
      </c>
      <c r="K2327" s="31" t="n">
        <v>3782.407407407407</v>
      </c>
      <c r="L2327" s="31" t="n">
        <v>150</v>
      </c>
      <c r="M2327" s="31">
        <f>I2327+J2327+K2327+L2327</f>
        <v/>
      </c>
      <c r="N2327" s="31">
        <f>M2327*'Dashboard &amp; Optimisation'!$B$18/('Dashboard &amp; Optimisation'!$B$16/3.6)</f>
        <v/>
      </c>
      <c r="O2327" s="31" t="n">
        <v>662.0598509828333</v>
      </c>
      <c r="P2327" s="32" t="n">
        <v>0.3073240714228834</v>
      </c>
      <c r="Q2327" s="33" t="n">
        <v>6.718986469044035</v>
      </c>
      <c r="R2327" s="31" t="n">
        <v>852.2960309083732</v>
      </c>
      <c r="S2327" s="31">
        <f>R2327*IF(A2327=4, 2.0, 3.0)</f>
        <v/>
      </c>
      <c r="T2327" s="30">
        <f>'Dashboard &amp; Optimisation'!$B$18*U2327</f>
        <v/>
      </c>
      <c r="U2327" s="34">
        <f>MIN(1, S2327/M2327)</f>
        <v/>
      </c>
      <c r="V2327" s="34">
        <f>N2327/(N2327+O2327)</f>
        <v/>
      </c>
      <c r="W2327" s="34">
        <f>U2327*V2327</f>
        <v/>
      </c>
      <c r="X2327" s="32">
        <f>T2327/N2327</f>
        <v/>
      </c>
      <c r="Y2327" s="35">
        <f>IF(W2327=MAXIFS(W$2:W$3601, A$2:A$3601, A2327, B$2:B$3601, B2327), "OPTIMAL", "")</f>
        <v/>
      </c>
    </row>
    <row r="2328" ht="20" customHeight="1">
      <c r="A2328" s="21" t="n">
        <v>-18</v>
      </c>
      <c r="B2328" s="21" t="n">
        <v>30</v>
      </c>
      <c r="C2328" s="22" t="n">
        <v>100</v>
      </c>
      <c r="D2328" s="22" t="n">
        <v>2</v>
      </c>
      <c r="E2328" s="23" t="n">
        <v>4</v>
      </c>
      <c r="F2328" s="22" t="n">
        <v>1.5</v>
      </c>
      <c r="G2328" s="23" t="inlineStr">
        <is>
          <t>Non</t>
        </is>
      </c>
      <c r="H2328" s="23" t="inlineStr">
        <is>
          <t>ON</t>
        </is>
      </c>
      <c r="I2328" s="24" t="n">
        <v>674.4931640486259</v>
      </c>
      <c r="J2328" s="24" t="n">
        <v>5144.556481985902</v>
      </c>
      <c r="K2328" s="24" t="n">
        <v>3782.407407407407</v>
      </c>
      <c r="L2328" s="24" t="n">
        <v>150</v>
      </c>
      <c r="M2328" s="24">
        <f>I2328+J2328+K2328+L2328</f>
        <v/>
      </c>
      <c r="N2328" s="24">
        <f>M2328*'Dashboard &amp; Optimisation'!$B$18/('Dashboard &amp; Optimisation'!$B$16/3.6)</f>
        <v/>
      </c>
      <c r="O2328" s="24" t="n">
        <v>662.0598509828333</v>
      </c>
      <c r="P2328" s="25" t="n">
        <v>0.07057853778514854</v>
      </c>
      <c r="Q2328" s="26" t="n">
        <v>6.718986469044035</v>
      </c>
      <c r="R2328" s="24" t="n">
        <v>3711.200238713951</v>
      </c>
      <c r="S2328" s="24">
        <f>R2328*IF(A2328=4, 2.0, 3.0)</f>
        <v/>
      </c>
      <c r="T2328" s="22">
        <f>'Dashboard &amp; Optimisation'!$B$18*U2328</f>
        <v/>
      </c>
      <c r="U2328" s="27">
        <f>MIN(1, S2328/M2328)</f>
        <v/>
      </c>
      <c r="V2328" s="27">
        <f>N2328/(N2328+O2328)</f>
        <v/>
      </c>
      <c r="W2328" s="27">
        <f>U2328*V2328</f>
        <v/>
      </c>
      <c r="X2328" s="25">
        <f>T2328/N2328</f>
        <v/>
      </c>
      <c r="Y2328" s="28">
        <f>IF(W2328=MAXIFS(W$2:W$3601, A$2:A$3601, A2328, B$2:B$3601, B2328), "OPTIMAL", "")</f>
        <v/>
      </c>
    </row>
    <row r="2329" ht="20" customHeight="1">
      <c r="A2329" s="29" t="n">
        <v>-18</v>
      </c>
      <c r="B2329" s="29" t="n">
        <v>30</v>
      </c>
      <c r="C2329" s="30" t="n">
        <v>100</v>
      </c>
      <c r="D2329" s="30" t="n">
        <v>2</v>
      </c>
      <c r="E2329" s="6" t="n">
        <v>4</v>
      </c>
      <c r="F2329" s="30" t="n">
        <v>1.5</v>
      </c>
      <c r="G2329" s="6" t="inlineStr">
        <is>
          <t>Non</t>
        </is>
      </c>
      <c r="H2329" s="6" t="inlineStr">
        <is>
          <t>OFF</t>
        </is>
      </c>
      <c r="I2329" s="31" t="n">
        <v>674.4931640486259</v>
      </c>
      <c r="J2329" s="31" t="n">
        <v>5144.556481985902</v>
      </c>
      <c r="K2329" s="31" t="n">
        <v>3782.407407407407</v>
      </c>
      <c r="L2329" s="31" t="n">
        <v>150</v>
      </c>
      <c r="M2329" s="31">
        <f>I2329+J2329+K2329+L2329</f>
        <v/>
      </c>
      <c r="N2329" s="31">
        <f>M2329*'Dashboard &amp; Optimisation'!$B$18/('Dashboard &amp; Optimisation'!$B$16/3.6)</f>
        <v/>
      </c>
      <c r="O2329" s="31" t="n">
        <v>662.0598509828333</v>
      </c>
      <c r="P2329" s="32" t="n">
        <v>0.3041409725610454</v>
      </c>
      <c r="Q2329" s="33" t="n">
        <v>6.718986469044035</v>
      </c>
      <c r="R2329" s="31" t="n">
        <v>861.2160475147806</v>
      </c>
      <c r="S2329" s="31">
        <f>R2329*IF(A2329=4, 2.0, 3.0)</f>
        <v/>
      </c>
      <c r="T2329" s="30">
        <f>'Dashboard &amp; Optimisation'!$B$18*U2329</f>
        <v/>
      </c>
      <c r="U2329" s="34">
        <f>MIN(1, S2329/M2329)</f>
        <v/>
      </c>
      <c r="V2329" s="34">
        <f>N2329/(N2329+O2329)</f>
        <v/>
      </c>
      <c r="W2329" s="34">
        <f>U2329*V2329</f>
        <v/>
      </c>
      <c r="X2329" s="32">
        <f>T2329/N2329</f>
        <v/>
      </c>
      <c r="Y2329" s="35">
        <f>IF(W2329=MAXIFS(W$2:W$3601, A$2:A$3601, A2329, B$2:B$3601, B2329), "OPTIMAL", "")</f>
        <v/>
      </c>
    </row>
    <row r="2330" ht="20" customHeight="1">
      <c r="A2330" s="21" t="n">
        <v>-18</v>
      </c>
      <c r="B2330" s="21" t="n">
        <v>30</v>
      </c>
      <c r="C2330" s="22" t="n">
        <v>100</v>
      </c>
      <c r="D2330" s="22" t="n">
        <v>2</v>
      </c>
      <c r="E2330" s="23" t="n">
        <v>4</v>
      </c>
      <c r="F2330" s="22" t="n">
        <v>2</v>
      </c>
      <c r="G2330" s="23" t="inlineStr">
        <is>
          <t>Oui</t>
        </is>
      </c>
      <c r="H2330" s="23" t="inlineStr">
        <is>
          <t>ON</t>
        </is>
      </c>
      <c r="I2330" s="24" t="n">
        <v>674.4931640486259</v>
      </c>
      <c r="J2330" s="24" t="n">
        <v>5144.556481985902</v>
      </c>
      <c r="K2330" s="24" t="n">
        <v>3782.407407407407</v>
      </c>
      <c r="L2330" s="24" t="n">
        <v>150</v>
      </c>
      <c r="M2330" s="24">
        <f>I2330+J2330+K2330+L2330</f>
        <v/>
      </c>
      <c r="N2330" s="24">
        <f>M2330*'Dashboard &amp; Optimisation'!$B$18/('Dashboard &amp; Optimisation'!$B$16/3.6)</f>
        <v/>
      </c>
      <c r="O2330" s="24" t="n">
        <v>745.7632457934366</v>
      </c>
      <c r="P2330" s="25" t="n">
        <v>0.07106618988155999</v>
      </c>
      <c r="Q2330" s="26" t="n">
        <v>8.891981958725379</v>
      </c>
      <c r="R2330" s="24" t="n">
        <v>3726.574361561669</v>
      </c>
      <c r="S2330" s="24">
        <f>R2330*IF(A2330=4, 2.0, 3.0)</f>
        <v/>
      </c>
      <c r="T2330" s="22">
        <f>'Dashboard &amp; Optimisation'!$B$18*U2330</f>
        <v/>
      </c>
      <c r="U2330" s="27">
        <f>MIN(1, S2330/M2330)</f>
        <v/>
      </c>
      <c r="V2330" s="27">
        <f>N2330/(N2330+O2330)</f>
        <v/>
      </c>
      <c r="W2330" s="27">
        <f>U2330*V2330</f>
        <v/>
      </c>
      <c r="X2330" s="25">
        <f>T2330/N2330</f>
        <v/>
      </c>
      <c r="Y2330" s="28">
        <f>IF(W2330=MAXIFS(W$2:W$3601, A$2:A$3601, A2330, B$2:B$3601, B2330), "OPTIMAL", "")</f>
        <v/>
      </c>
    </row>
    <row r="2331" ht="20" customHeight="1">
      <c r="A2331" s="29" t="n">
        <v>-18</v>
      </c>
      <c r="B2331" s="29" t="n">
        <v>30</v>
      </c>
      <c r="C2331" s="30" t="n">
        <v>100</v>
      </c>
      <c r="D2331" s="30" t="n">
        <v>2</v>
      </c>
      <c r="E2331" s="6" t="n">
        <v>4</v>
      </c>
      <c r="F2331" s="30" t="n">
        <v>2</v>
      </c>
      <c r="G2331" s="6" t="inlineStr">
        <is>
          <t>Oui</t>
        </is>
      </c>
      <c r="H2331" s="6" t="inlineStr">
        <is>
          <t>OFF</t>
        </is>
      </c>
      <c r="I2331" s="31" t="n">
        <v>674.4931640486259</v>
      </c>
      <c r="J2331" s="31" t="n">
        <v>5144.556481985902</v>
      </c>
      <c r="K2331" s="31" t="n">
        <v>3782.407407407407</v>
      </c>
      <c r="L2331" s="31" t="n">
        <v>150</v>
      </c>
      <c r="M2331" s="31">
        <f>I2331+J2331+K2331+L2331</f>
        <v/>
      </c>
      <c r="N2331" s="31">
        <f>M2331*'Dashboard &amp; Optimisation'!$B$18/('Dashboard &amp; Optimisation'!$B$16/3.6)</f>
        <v/>
      </c>
      <c r="O2331" s="31" t="n">
        <v>745.7632457934366</v>
      </c>
      <c r="P2331" s="32" t="n">
        <v>0.3057228026390766</v>
      </c>
      <c r="Q2331" s="33" t="n">
        <v>8.891981958725379</v>
      </c>
      <c r="R2331" s="31" t="n">
        <v>866.2534783156033</v>
      </c>
      <c r="S2331" s="31">
        <f>R2331*IF(A2331=4, 2.0, 3.0)</f>
        <v/>
      </c>
      <c r="T2331" s="30">
        <f>'Dashboard &amp; Optimisation'!$B$18*U2331</f>
        <v/>
      </c>
      <c r="U2331" s="34">
        <f>MIN(1, S2331/M2331)</f>
        <v/>
      </c>
      <c r="V2331" s="34">
        <f>N2331/(N2331+O2331)</f>
        <v/>
      </c>
      <c r="W2331" s="34">
        <f>U2331*V2331</f>
        <v/>
      </c>
      <c r="X2331" s="32">
        <f>T2331/N2331</f>
        <v/>
      </c>
      <c r="Y2331" s="35">
        <f>IF(W2331=MAXIFS(W$2:W$3601, A$2:A$3601, A2331, B$2:B$3601, B2331), "OPTIMAL", "")</f>
        <v/>
      </c>
    </row>
    <row r="2332" ht="20" customHeight="1">
      <c r="A2332" s="21" t="n">
        <v>-18</v>
      </c>
      <c r="B2332" s="21" t="n">
        <v>30</v>
      </c>
      <c r="C2332" s="22" t="n">
        <v>100</v>
      </c>
      <c r="D2332" s="22" t="n">
        <v>2</v>
      </c>
      <c r="E2332" s="23" t="n">
        <v>4</v>
      </c>
      <c r="F2332" s="22" t="n">
        <v>2</v>
      </c>
      <c r="G2332" s="23" t="inlineStr">
        <is>
          <t>Non</t>
        </is>
      </c>
      <c r="H2332" s="23" t="inlineStr">
        <is>
          <t>ON</t>
        </is>
      </c>
      <c r="I2332" s="24" t="n">
        <v>674.4931640486259</v>
      </c>
      <c r="J2332" s="24" t="n">
        <v>5144.556481985902</v>
      </c>
      <c r="K2332" s="24" t="n">
        <v>3782.407407407407</v>
      </c>
      <c r="L2332" s="24" t="n">
        <v>150</v>
      </c>
      <c r="M2332" s="24">
        <f>I2332+J2332+K2332+L2332</f>
        <v/>
      </c>
      <c r="N2332" s="24">
        <f>M2332*'Dashboard &amp; Optimisation'!$B$18/('Dashboard &amp; Optimisation'!$B$16/3.6)</f>
        <v/>
      </c>
      <c r="O2332" s="24" t="n">
        <v>745.7632457934366</v>
      </c>
      <c r="P2332" s="25" t="n">
        <v>0.06788309101972209</v>
      </c>
      <c r="Q2332" s="26" t="n">
        <v>8.891981958725379</v>
      </c>
      <c r="R2332" s="24" t="n">
        <v>3901.316766933207</v>
      </c>
      <c r="S2332" s="24">
        <f>R2332*IF(A2332=4, 2.0, 3.0)</f>
        <v/>
      </c>
      <c r="T2332" s="22">
        <f>'Dashboard &amp; Optimisation'!$B$18*U2332</f>
        <v/>
      </c>
      <c r="U2332" s="27">
        <f>MIN(1, S2332/M2332)</f>
        <v/>
      </c>
      <c r="V2332" s="27">
        <f>N2332/(N2332+O2332)</f>
        <v/>
      </c>
      <c r="W2332" s="27">
        <f>U2332*V2332</f>
        <v/>
      </c>
      <c r="X2332" s="25">
        <f>T2332/N2332</f>
        <v/>
      </c>
      <c r="Y2332" s="28">
        <f>IF(W2332=MAXIFS(W$2:W$3601, A$2:A$3601, A2332, B$2:B$3601, B2332), "OPTIMAL", "")</f>
        <v/>
      </c>
    </row>
    <row r="2333" ht="20" customHeight="1">
      <c r="A2333" s="29" t="n">
        <v>-18</v>
      </c>
      <c r="B2333" s="29" t="n">
        <v>30</v>
      </c>
      <c r="C2333" s="30" t="n">
        <v>100</v>
      </c>
      <c r="D2333" s="30" t="n">
        <v>2</v>
      </c>
      <c r="E2333" s="6" t="n">
        <v>4</v>
      </c>
      <c r="F2333" s="30" t="n">
        <v>2</v>
      </c>
      <c r="G2333" s="6" t="inlineStr">
        <is>
          <t>Non</t>
        </is>
      </c>
      <c r="H2333" s="6" t="inlineStr">
        <is>
          <t>OFF</t>
        </is>
      </c>
      <c r="I2333" s="31" t="n">
        <v>674.4931640486259</v>
      </c>
      <c r="J2333" s="31" t="n">
        <v>5144.556481985902</v>
      </c>
      <c r="K2333" s="31" t="n">
        <v>3782.407407407407</v>
      </c>
      <c r="L2333" s="31" t="n">
        <v>150</v>
      </c>
      <c r="M2333" s="31">
        <f>I2333+J2333+K2333+L2333</f>
        <v/>
      </c>
      <c r="N2333" s="31">
        <f>M2333*'Dashboard &amp; Optimisation'!$B$18/('Dashboard &amp; Optimisation'!$B$16/3.6)</f>
        <v/>
      </c>
      <c r="O2333" s="31" t="n">
        <v>745.7632457934366</v>
      </c>
      <c r="P2333" s="32" t="n">
        <v>0.3025397037772387</v>
      </c>
      <c r="Q2333" s="33" t="n">
        <v>8.891981958725379</v>
      </c>
      <c r="R2333" s="31" t="n">
        <v>875.3675563240878</v>
      </c>
      <c r="S2333" s="31">
        <f>R2333*IF(A2333=4, 2.0, 3.0)</f>
        <v/>
      </c>
      <c r="T2333" s="30">
        <f>'Dashboard &amp; Optimisation'!$B$18*U2333</f>
        <v/>
      </c>
      <c r="U2333" s="34">
        <f>MIN(1, S2333/M2333)</f>
        <v/>
      </c>
      <c r="V2333" s="34">
        <f>N2333/(N2333+O2333)</f>
        <v/>
      </c>
      <c r="W2333" s="34">
        <f>U2333*V2333</f>
        <v/>
      </c>
      <c r="X2333" s="32">
        <f>T2333/N2333</f>
        <v/>
      </c>
      <c r="Y2333" s="35">
        <f>IF(W2333=MAXIFS(W$2:W$3601, A$2:A$3601, A2333, B$2:B$3601, B2333), "OPTIMAL", "")</f>
        <v/>
      </c>
    </row>
    <row r="2334" ht="20" customHeight="1">
      <c r="A2334" s="21" t="n">
        <v>-18</v>
      </c>
      <c r="B2334" s="21" t="n">
        <v>30</v>
      </c>
      <c r="C2334" s="22" t="n">
        <v>100</v>
      </c>
      <c r="D2334" s="22" t="n">
        <v>2</v>
      </c>
      <c r="E2334" s="23" t="n">
        <v>8</v>
      </c>
      <c r="F2334" s="22" t="n">
        <v>1.5</v>
      </c>
      <c r="G2334" s="23" t="inlineStr">
        <is>
          <t>Oui</t>
        </is>
      </c>
      <c r="H2334" s="23" t="inlineStr">
        <is>
          <t>ON</t>
        </is>
      </c>
      <c r="I2334" s="24" t="n">
        <v>674.4931640486259</v>
      </c>
      <c r="J2334" s="24" t="n">
        <v>5144.556481985902</v>
      </c>
      <c r="K2334" s="24" t="n">
        <v>3782.407407407407</v>
      </c>
      <c r="L2334" s="24" t="n">
        <v>150</v>
      </c>
      <c r="M2334" s="24">
        <f>I2334+J2334+K2334+L2334</f>
        <v/>
      </c>
      <c r="N2334" s="24">
        <f>M2334*'Dashboard &amp; Optimisation'!$B$18/('Dashboard &amp; Optimisation'!$B$16/3.6)</f>
        <v/>
      </c>
      <c r="O2334" s="24" t="n">
        <v>918.8610609690114</v>
      </c>
      <c r="P2334" s="25" t="n">
        <v>0.05573050288457804</v>
      </c>
      <c r="Q2334" s="26" t="n">
        <v>13.23797293808807</v>
      </c>
      <c r="R2334" s="24" t="n">
        <v>4859.735139636196</v>
      </c>
      <c r="S2334" s="24">
        <f>R2334*IF(A2334=4, 2.0, 3.0)</f>
        <v/>
      </c>
      <c r="T2334" s="22">
        <f>'Dashboard &amp; Optimisation'!$B$18*U2334</f>
        <v/>
      </c>
      <c r="U2334" s="27">
        <f>MIN(1, S2334/M2334)</f>
        <v/>
      </c>
      <c r="V2334" s="27">
        <f>N2334/(N2334+O2334)</f>
        <v/>
      </c>
      <c r="W2334" s="27">
        <f>U2334*V2334</f>
        <v/>
      </c>
      <c r="X2334" s="25">
        <f>T2334/N2334</f>
        <v/>
      </c>
      <c r="Y2334" s="28">
        <f>IF(W2334=MAXIFS(W$2:W$3601, A$2:A$3601, A2334, B$2:B$3601, B2334), "OPTIMAL", "")</f>
        <v/>
      </c>
    </row>
    <row r="2335" ht="20" customHeight="1">
      <c r="A2335" s="29" t="n">
        <v>-18</v>
      </c>
      <c r="B2335" s="29" t="n">
        <v>30</v>
      </c>
      <c r="C2335" s="30" t="n">
        <v>100</v>
      </c>
      <c r="D2335" s="30" t="n">
        <v>2</v>
      </c>
      <c r="E2335" s="6" t="n">
        <v>8</v>
      </c>
      <c r="F2335" s="30" t="n">
        <v>1.5</v>
      </c>
      <c r="G2335" s="6" t="inlineStr">
        <is>
          <t>Oui</t>
        </is>
      </c>
      <c r="H2335" s="6" t="inlineStr">
        <is>
          <t>OFF</t>
        </is>
      </c>
      <c r="I2335" s="31" t="n">
        <v>674.4931640486259</v>
      </c>
      <c r="J2335" s="31" t="n">
        <v>5144.556481985902</v>
      </c>
      <c r="K2335" s="31" t="n">
        <v>3782.407407407407</v>
      </c>
      <c r="L2335" s="31" t="n">
        <v>150</v>
      </c>
      <c r="M2335" s="31">
        <f>I2335+J2335+K2335+L2335</f>
        <v/>
      </c>
      <c r="N2335" s="31">
        <f>M2335*'Dashboard &amp; Optimisation'!$B$18/('Dashboard &amp; Optimisation'!$B$16/3.6)</f>
        <v/>
      </c>
      <c r="O2335" s="31" t="n">
        <v>918.8610609690114</v>
      </c>
      <c r="P2335" s="32" t="n">
        <v>0.2401827722650424</v>
      </c>
      <c r="Q2335" s="33" t="n">
        <v>13.23797293808807</v>
      </c>
      <c r="R2335" s="31" t="n">
        <v>1127.622437961173</v>
      </c>
      <c r="S2335" s="31">
        <f>R2335*IF(A2335=4, 2.0, 3.0)</f>
        <v/>
      </c>
      <c r="T2335" s="30">
        <f>'Dashboard &amp; Optimisation'!$B$18*U2335</f>
        <v/>
      </c>
      <c r="U2335" s="34">
        <f>MIN(1, S2335/M2335)</f>
        <v/>
      </c>
      <c r="V2335" s="34">
        <f>N2335/(N2335+O2335)</f>
        <v/>
      </c>
      <c r="W2335" s="34">
        <f>U2335*V2335</f>
        <v/>
      </c>
      <c r="X2335" s="32">
        <f>T2335/N2335</f>
        <v/>
      </c>
      <c r="Y2335" s="35">
        <f>IF(W2335=MAXIFS(W$2:W$3601, A$2:A$3601, A2335, B$2:B$3601, B2335), "OPTIMAL", "")</f>
        <v/>
      </c>
    </row>
    <row r="2336" ht="20" customHeight="1">
      <c r="A2336" s="21" t="n">
        <v>-18</v>
      </c>
      <c r="B2336" s="21" t="n">
        <v>30</v>
      </c>
      <c r="C2336" s="22" t="n">
        <v>100</v>
      </c>
      <c r="D2336" s="22" t="n">
        <v>2</v>
      </c>
      <c r="E2336" s="23" t="n">
        <v>8</v>
      </c>
      <c r="F2336" s="22" t="n">
        <v>1.5</v>
      </c>
      <c r="G2336" s="23" t="inlineStr">
        <is>
          <t>Non</t>
        </is>
      </c>
      <c r="H2336" s="23" t="inlineStr">
        <is>
          <t>ON</t>
        </is>
      </c>
      <c r="I2336" s="24" t="n">
        <v>674.4931640486259</v>
      </c>
      <c r="J2336" s="24" t="n">
        <v>5144.556481985902</v>
      </c>
      <c r="K2336" s="24" t="n">
        <v>3782.407407407407</v>
      </c>
      <c r="L2336" s="24" t="n">
        <v>150</v>
      </c>
      <c r="M2336" s="24">
        <f>I2336+J2336+K2336+L2336</f>
        <v/>
      </c>
      <c r="N2336" s="24">
        <f>M2336*'Dashboard &amp; Optimisation'!$B$18/('Dashboard &amp; Optimisation'!$B$16/3.6)</f>
        <v/>
      </c>
      <c r="O2336" s="24" t="n">
        <v>918.8610609690114</v>
      </c>
      <c r="P2336" s="25" t="n">
        <v>0.05254740402274013</v>
      </c>
      <c r="Q2336" s="26" t="n">
        <v>13.23797293808807</v>
      </c>
      <c r="R2336" s="24" t="n">
        <v>5154.117282379448</v>
      </c>
      <c r="S2336" s="24">
        <f>R2336*IF(A2336=4, 2.0, 3.0)</f>
        <v/>
      </c>
      <c r="T2336" s="22">
        <f>'Dashboard &amp; Optimisation'!$B$18*U2336</f>
        <v/>
      </c>
      <c r="U2336" s="27">
        <f>MIN(1, S2336/M2336)</f>
        <v/>
      </c>
      <c r="V2336" s="27">
        <f>N2336/(N2336+O2336)</f>
        <v/>
      </c>
      <c r="W2336" s="27">
        <f>U2336*V2336</f>
        <v/>
      </c>
      <c r="X2336" s="25">
        <f>T2336/N2336</f>
        <v/>
      </c>
      <c r="Y2336" s="28">
        <f>IF(W2336=MAXIFS(W$2:W$3601, A$2:A$3601, A2336, B$2:B$3601, B2336), "OPTIMAL", "")</f>
        <v/>
      </c>
    </row>
    <row r="2337" ht="20" customHeight="1">
      <c r="A2337" s="29" t="n">
        <v>-18</v>
      </c>
      <c r="B2337" s="29" t="n">
        <v>30</v>
      </c>
      <c r="C2337" s="30" t="n">
        <v>100</v>
      </c>
      <c r="D2337" s="30" t="n">
        <v>2</v>
      </c>
      <c r="E2337" s="6" t="n">
        <v>8</v>
      </c>
      <c r="F2337" s="30" t="n">
        <v>1.5</v>
      </c>
      <c r="G2337" s="6" t="inlineStr">
        <is>
          <t>Non</t>
        </is>
      </c>
      <c r="H2337" s="6" t="inlineStr">
        <is>
          <t>OFF</t>
        </is>
      </c>
      <c r="I2337" s="31" t="n">
        <v>674.4931640486259</v>
      </c>
      <c r="J2337" s="31" t="n">
        <v>5144.556481985902</v>
      </c>
      <c r="K2337" s="31" t="n">
        <v>3782.407407407407</v>
      </c>
      <c r="L2337" s="31" t="n">
        <v>150</v>
      </c>
      <c r="M2337" s="31">
        <f>I2337+J2337+K2337+L2337</f>
        <v/>
      </c>
      <c r="N2337" s="31">
        <f>M2337*'Dashboard &amp; Optimisation'!$B$18/('Dashboard &amp; Optimisation'!$B$16/3.6)</f>
        <v/>
      </c>
      <c r="O2337" s="31" t="n">
        <v>918.8610609690114</v>
      </c>
      <c r="P2337" s="32" t="n">
        <v>0.2369996734032044</v>
      </c>
      <c r="Q2337" s="33" t="n">
        <v>13.23797293808807</v>
      </c>
      <c r="R2337" s="31" t="n">
        <v>1142.767326759187</v>
      </c>
      <c r="S2337" s="31">
        <f>R2337*IF(A2337=4, 2.0, 3.0)</f>
        <v/>
      </c>
      <c r="T2337" s="30">
        <f>'Dashboard &amp; Optimisation'!$B$18*U2337</f>
        <v/>
      </c>
      <c r="U2337" s="34">
        <f>MIN(1, S2337/M2337)</f>
        <v/>
      </c>
      <c r="V2337" s="34">
        <f>N2337/(N2337+O2337)</f>
        <v/>
      </c>
      <c r="W2337" s="34">
        <f>U2337*V2337</f>
        <v/>
      </c>
      <c r="X2337" s="32">
        <f>T2337/N2337</f>
        <v/>
      </c>
      <c r="Y2337" s="35">
        <f>IF(W2337=MAXIFS(W$2:W$3601, A$2:A$3601, A2337, B$2:B$3601, B2337), "OPTIMAL", "")</f>
        <v/>
      </c>
    </row>
    <row r="2338" ht="20" customHeight="1">
      <c r="A2338" s="21" t="n">
        <v>-18</v>
      </c>
      <c r="B2338" s="21" t="n">
        <v>30</v>
      </c>
      <c r="C2338" s="22" t="n">
        <v>100</v>
      </c>
      <c r="D2338" s="22" t="n">
        <v>2</v>
      </c>
      <c r="E2338" s="23" t="n">
        <v>8</v>
      </c>
      <c r="F2338" s="22" t="n">
        <v>2</v>
      </c>
      <c r="G2338" s="23" t="inlineStr">
        <is>
          <t>Oui</t>
        </is>
      </c>
      <c r="H2338" s="23" t="inlineStr">
        <is>
          <t>ON</t>
        </is>
      </c>
      <c r="I2338" s="24" t="n">
        <v>674.4931640486259</v>
      </c>
      <c r="J2338" s="24" t="n">
        <v>5144.556481985902</v>
      </c>
      <c r="K2338" s="24" t="n">
        <v>3782.407407407407</v>
      </c>
      <c r="L2338" s="24" t="n">
        <v>150</v>
      </c>
      <c r="M2338" s="24">
        <f>I2338+J2338+K2338+L2338</f>
        <v/>
      </c>
      <c r="N2338" s="24">
        <f>M2338*'Dashboard &amp; Optimisation'!$B$18/('Dashboard &amp; Optimisation'!$B$16/3.6)</f>
        <v/>
      </c>
      <c r="O2338" s="24" t="n">
        <v>1099.986807574841</v>
      </c>
      <c r="P2338" s="25" t="n">
        <v>0.05449488140602117</v>
      </c>
      <c r="Q2338" s="26" t="n">
        <v>17.58396391745076</v>
      </c>
      <c r="R2338" s="24" t="n">
        <v>5085.172787567408</v>
      </c>
      <c r="S2338" s="24">
        <f>R2338*IF(A2338=4, 2.0, 3.0)</f>
        <v/>
      </c>
      <c r="T2338" s="22">
        <f>'Dashboard &amp; Optimisation'!$B$18*U2338</f>
        <v/>
      </c>
      <c r="U2338" s="27">
        <f>MIN(1, S2338/M2338)</f>
        <v/>
      </c>
      <c r="V2338" s="27">
        <f>N2338/(N2338+O2338)</f>
        <v/>
      </c>
      <c r="W2338" s="27">
        <f>U2338*V2338</f>
        <v/>
      </c>
      <c r="X2338" s="25">
        <f>T2338/N2338</f>
        <v/>
      </c>
      <c r="Y2338" s="28">
        <f>IF(W2338=MAXIFS(W$2:W$3601, A$2:A$3601, A2338, B$2:B$3601, B2338), "OPTIMAL", "")</f>
        <v/>
      </c>
    </row>
    <row r="2339" ht="20" customHeight="1">
      <c r="A2339" s="29" t="n">
        <v>-18</v>
      </c>
      <c r="B2339" s="29" t="n">
        <v>30</v>
      </c>
      <c r="C2339" s="30" t="n">
        <v>100</v>
      </c>
      <c r="D2339" s="30" t="n">
        <v>2</v>
      </c>
      <c r="E2339" s="6" t="n">
        <v>8</v>
      </c>
      <c r="F2339" s="30" t="n">
        <v>2</v>
      </c>
      <c r="G2339" s="6" t="inlineStr">
        <is>
          <t>Oui</t>
        </is>
      </c>
      <c r="H2339" s="6" t="inlineStr">
        <is>
          <t>OFF</t>
        </is>
      </c>
      <c r="I2339" s="31" t="n">
        <v>674.4931640486259</v>
      </c>
      <c r="J2339" s="31" t="n">
        <v>5144.556481985902</v>
      </c>
      <c r="K2339" s="31" t="n">
        <v>3782.407407407407</v>
      </c>
      <c r="L2339" s="31" t="n">
        <v>150</v>
      </c>
      <c r="M2339" s="31">
        <f>I2339+J2339+K2339+L2339</f>
        <v/>
      </c>
      <c r="N2339" s="31">
        <f>M2339*'Dashboard &amp; Optimisation'!$B$18/('Dashboard &amp; Optimisation'!$B$16/3.6)</f>
        <v/>
      </c>
      <c r="O2339" s="31" t="n">
        <v>1099.986807574841</v>
      </c>
      <c r="P2339" s="32" t="n">
        <v>0.2403161193409352</v>
      </c>
      <c r="Q2339" s="33" t="n">
        <v>17.58396391745076</v>
      </c>
      <c r="R2339" s="31" t="n">
        <v>1153.130671165962</v>
      </c>
      <c r="S2339" s="31">
        <f>R2339*IF(A2339=4, 2.0, 3.0)</f>
        <v/>
      </c>
      <c r="T2339" s="30">
        <f>'Dashboard &amp; Optimisation'!$B$18*U2339</f>
        <v/>
      </c>
      <c r="U2339" s="34">
        <f>MIN(1, S2339/M2339)</f>
        <v/>
      </c>
      <c r="V2339" s="34">
        <f>N2339/(N2339+O2339)</f>
        <v/>
      </c>
      <c r="W2339" s="34">
        <f>U2339*V2339</f>
        <v/>
      </c>
      <c r="X2339" s="32">
        <f>T2339/N2339</f>
        <v/>
      </c>
      <c r="Y2339" s="35">
        <f>IF(W2339=MAXIFS(W$2:W$3601, A$2:A$3601, A2339, B$2:B$3601, B2339), "OPTIMAL", "")</f>
        <v/>
      </c>
    </row>
    <row r="2340" ht="20" customHeight="1">
      <c r="A2340" s="21" t="n">
        <v>-18</v>
      </c>
      <c r="B2340" s="21" t="n">
        <v>30</v>
      </c>
      <c r="C2340" s="22" t="n">
        <v>100</v>
      </c>
      <c r="D2340" s="22" t="n">
        <v>2</v>
      </c>
      <c r="E2340" s="23" t="n">
        <v>8</v>
      </c>
      <c r="F2340" s="22" t="n">
        <v>2</v>
      </c>
      <c r="G2340" s="23" t="inlineStr">
        <is>
          <t>Non</t>
        </is>
      </c>
      <c r="H2340" s="23" t="inlineStr">
        <is>
          <t>ON</t>
        </is>
      </c>
      <c r="I2340" s="24" t="n">
        <v>674.4931640486259</v>
      </c>
      <c r="J2340" s="24" t="n">
        <v>5144.556481985902</v>
      </c>
      <c r="K2340" s="24" t="n">
        <v>3782.407407407407</v>
      </c>
      <c r="L2340" s="24" t="n">
        <v>150</v>
      </c>
      <c r="M2340" s="24">
        <f>I2340+J2340+K2340+L2340</f>
        <v/>
      </c>
      <c r="N2340" s="24">
        <f>M2340*'Dashboard &amp; Optimisation'!$B$18/('Dashboard &amp; Optimisation'!$B$16/3.6)</f>
        <v/>
      </c>
      <c r="O2340" s="24" t="n">
        <v>1099.986807574841</v>
      </c>
      <c r="P2340" s="25" t="n">
        <v>0.05131178254418326</v>
      </c>
      <c r="Q2340" s="26" t="n">
        <v>17.58396391745076</v>
      </c>
      <c r="R2340" s="24" t="n">
        <v>5400.628749332467</v>
      </c>
      <c r="S2340" s="24">
        <f>R2340*IF(A2340=4, 2.0, 3.0)</f>
        <v/>
      </c>
      <c r="T2340" s="22">
        <f>'Dashboard &amp; Optimisation'!$B$18*U2340</f>
        <v/>
      </c>
      <c r="U2340" s="27">
        <f>MIN(1, S2340/M2340)</f>
        <v/>
      </c>
      <c r="V2340" s="27">
        <f>N2340/(N2340+O2340)</f>
        <v/>
      </c>
      <c r="W2340" s="27">
        <f>U2340*V2340</f>
        <v/>
      </c>
      <c r="X2340" s="25">
        <f>T2340/N2340</f>
        <v/>
      </c>
      <c r="Y2340" s="28">
        <f>IF(W2340=MAXIFS(W$2:W$3601, A$2:A$3601, A2340, B$2:B$3601, B2340), "OPTIMAL", "")</f>
        <v/>
      </c>
    </row>
    <row r="2341" ht="20" customHeight="1">
      <c r="A2341" s="29" t="n">
        <v>-18</v>
      </c>
      <c r="B2341" s="29" t="n">
        <v>30</v>
      </c>
      <c r="C2341" s="30" t="n">
        <v>100</v>
      </c>
      <c r="D2341" s="30" t="n">
        <v>2</v>
      </c>
      <c r="E2341" s="6" t="n">
        <v>8</v>
      </c>
      <c r="F2341" s="30" t="n">
        <v>2</v>
      </c>
      <c r="G2341" s="6" t="inlineStr">
        <is>
          <t>Non</t>
        </is>
      </c>
      <c r="H2341" s="6" t="inlineStr">
        <is>
          <t>OFF</t>
        </is>
      </c>
      <c r="I2341" s="31" t="n">
        <v>674.4931640486259</v>
      </c>
      <c r="J2341" s="31" t="n">
        <v>5144.556481985902</v>
      </c>
      <c r="K2341" s="31" t="n">
        <v>3782.407407407407</v>
      </c>
      <c r="L2341" s="31" t="n">
        <v>150</v>
      </c>
      <c r="M2341" s="31">
        <f>I2341+J2341+K2341+L2341</f>
        <v/>
      </c>
      <c r="N2341" s="31">
        <f>M2341*'Dashboard &amp; Optimisation'!$B$18/('Dashboard &amp; Optimisation'!$B$16/3.6)</f>
        <v/>
      </c>
      <c r="O2341" s="31" t="n">
        <v>1099.986807574841</v>
      </c>
      <c r="P2341" s="32" t="n">
        <v>0.2371330204790973</v>
      </c>
      <c r="Q2341" s="33" t="n">
        <v>17.58396391745076</v>
      </c>
      <c r="R2341" s="31" t="n">
        <v>1168.609447253421</v>
      </c>
      <c r="S2341" s="31">
        <f>R2341*IF(A2341=4, 2.0, 3.0)</f>
        <v/>
      </c>
      <c r="T2341" s="30">
        <f>'Dashboard &amp; Optimisation'!$B$18*U2341</f>
        <v/>
      </c>
      <c r="U2341" s="34">
        <f>MIN(1, S2341/M2341)</f>
        <v/>
      </c>
      <c r="V2341" s="34">
        <f>N2341/(N2341+O2341)</f>
        <v/>
      </c>
      <c r="W2341" s="34">
        <f>U2341*V2341</f>
        <v/>
      </c>
      <c r="X2341" s="32">
        <f>T2341/N2341</f>
        <v/>
      </c>
      <c r="Y2341" s="35">
        <f>IF(W2341=MAXIFS(W$2:W$3601, A$2:A$3601, A2341, B$2:B$3601, B2341), "OPTIMAL", "")</f>
        <v/>
      </c>
    </row>
    <row r="2342" ht="20" customHeight="1">
      <c r="A2342" s="21" t="n">
        <v>-18</v>
      </c>
      <c r="B2342" s="21" t="n">
        <v>30</v>
      </c>
      <c r="C2342" s="22" t="n">
        <v>100</v>
      </c>
      <c r="D2342" s="22" t="n">
        <v>3</v>
      </c>
      <c r="E2342" s="23" t="n">
        <v>0</v>
      </c>
      <c r="F2342" s="22" t="n">
        <v>0</v>
      </c>
      <c r="G2342" s="23" t="inlineStr">
        <is>
          <t>Oui</t>
        </is>
      </c>
      <c r="H2342" s="23" t="inlineStr">
        <is>
          <t>ON</t>
        </is>
      </c>
      <c r="I2342" s="24" t="n">
        <v>674.4931640486259</v>
      </c>
      <c r="J2342" s="24" t="n">
        <v>5144.556481985902</v>
      </c>
      <c r="K2342" s="24" t="n">
        <v>3782.407407407407</v>
      </c>
      <c r="L2342" s="24" t="n">
        <v>150</v>
      </c>
      <c r="M2342" s="24">
        <f>I2342+J2342+K2342+L2342</f>
        <v/>
      </c>
      <c r="N2342" s="24">
        <f>M2342*'Dashboard &amp; Optimisation'!$B$18/('Dashboard &amp; Optimisation'!$B$16/3.6)</f>
        <v/>
      </c>
      <c r="O2342" s="24" t="n">
        <v>652.8773568568661</v>
      </c>
      <c r="P2342" s="25" t="n">
        <v>0.4806959660709754</v>
      </c>
      <c r="Q2342" s="26" t="n">
        <v>0.2</v>
      </c>
      <c r="R2342" s="24" t="n">
        <v>550.2429706886593</v>
      </c>
      <c r="S2342" s="24">
        <f>R2342*IF(A2342=4, 2.0, 3.0)</f>
        <v/>
      </c>
      <c r="T2342" s="22">
        <f>'Dashboard &amp; Optimisation'!$B$18*U2342</f>
        <v/>
      </c>
      <c r="U2342" s="27">
        <f>MIN(1, S2342/M2342)</f>
        <v/>
      </c>
      <c r="V2342" s="27">
        <f>N2342/(N2342+O2342)</f>
        <v/>
      </c>
      <c r="W2342" s="27">
        <f>U2342*V2342</f>
        <v/>
      </c>
      <c r="X2342" s="25">
        <f>T2342/N2342</f>
        <v/>
      </c>
      <c r="Y2342" s="28">
        <f>IF(W2342=MAXIFS(W$2:W$3601, A$2:A$3601, A2342, B$2:B$3601, B2342), "OPTIMAL", "")</f>
        <v/>
      </c>
    </row>
    <row r="2343" ht="20" customHeight="1">
      <c r="A2343" s="29" t="n">
        <v>-18</v>
      </c>
      <c r="B2343" s="29" t="n">
        <v>30</v>
      </c>
      <c r="C2343" s="30" t="n">
        <v>100</v>
      </c>
      <c r="D2343" s="30" t="n">
        <v>3</v>
      </c>
      <c r="E2343" s="6" t="n">
        <v>0</v>
      </c>
      <c r="F2343" s="30" t="n">
        <v>0</v>
      </c>
      <c r="G2343" s="6" t="inlineStr">
        <is>
          <t>Oui</t>
        </is>
      </c>
      <c r="H2343" s="6" t="inlineStr">
        <is>
          <t>OFF</t>
        </is>
      </c>
      <c r="I2343" s="31" t="n">
        <v>674.4931640486259</v>
      </c>
      <c r="J2343" s="31" t="n">
        <v>5144.556481985902</v>
      </c>
      <c r="K2343" s="31" t="n">
        <v>3782.407407407407</v>
      </c>
      <c r="L2343" s="31" t="n">
        <v>150</v>
      </c>
      <c r="M2343" s="31">
        <f>I2343+J2343+K2343+L2343</f>
        <v/>
      </c>
      <c r="N2343" s="31">
        <f>M2343*'Dashboard &amp; Optimisation'!$B$18/('Dashboard &amp; Optimisation'!$B$16/3.6)</f>
        <v/>
      </c>
      <c r="O2343" s="31" t="n">
        <v>652.8773568568661</v>
      </c>
      <c r="P2343" s="32" t="n">
        <v>0.7990058522547661</v>
      </c>
      <c r="Q2343" s="33" t="n">
        <v>0.2</v>
      </c>
      <c r="R2343" s="31" t="n">
        <v>331.0358436331099</v>
      </c>
      <c r="S2343" s="31">
        <f>R2343*IF(A2343=4, 2.0, 3.0)</f>
        <v/>
      </c>
      <c r="T2343" s="30">
        <f>'Dashboard &amp; Optimisation'!$B$18*U2343</f>
        <v/>
      </c>
      <c r="U2343" s="34">
        <f>MIN(1, S2343/M2343)</f>
        <v/>
      </c>
      <c r="V2343" s="34">
        <f>N2343/(N2343+O2343)</f>
        <v/>
      </c>
      <c r="W2343" s="34">
        <f>U2343*V2343</f>
        <v/>
      </c>
      <c r="X2343" s="32">
        <f>T2343/N2343</f>
        <v/>
      </c>
      <c r="Y2343" s="35">
        <f>IF(W2343=MAXIFS(W$2:W$3601, A$2:A$3601, A2343, B$2:B$3601, B2343), "OPTIMAL", "")</f>
        <v/>
      </c>
    </row>
    <row r="2344" ht="20" customHeight="1">
      <c r="A2344" s="21" t="n">
        <v>-18</v>
      </c>
      <c r="B2344" s="21" t="n">
        <v>30</v>
      </c>
      <c r="C2344" s="22" t="n">
        <v>100</v>
      </c>
      <c r="D2344" s="22" t="n">
        <v>3</v>
      </c>
      <c r="E2344" s="23" t="n">
        <v>0</v>
      </c>
      <c r="F2344" s="22" t="n">
        <v>0</v>
      </c>
      <c r="G2344" s="23" t="inlineStr">
        <is>
          <t>Non</t>
        </is>
      </c>
      <c r="H2344" s="23" t="inlineStr">
        <is>
          <t>ON</t>
        </is>
      </c>
      <c r="I2344" s="24" t="n">
        <v>674.4931640486259</v>
      </c>
      <c r="J2344" s="24" t="n">
        <v>5144.556481985902</v>
      </c>
      <c r="K2344" s="24" t="n">
        <v>3782.407407407407</v>
      </c>
      <c r="L2344" s="24" t="n">
        <v>150</v>
      </c>
      <c r="M2344" s="24">
        <f>I2344+J2344+K2344+L2344</f>
        <v/>
      </c>
      <c r="N2344" s="24">
        <f>M2344*'Dashboard &amp; Optimisation'!$B$18/('Dashboard &amp; Optimisation'!$B$16/3.6)</f>
        <v/>
      </c>
      <c r="O2344" s="24" t="n">
        <v>652.8773568568661</v>
      </c>
      <c r="P2344" s="25" t="n">
        <v>0.4775128672091374</v>
      </c>
      <c r="Q2344" s="26" t="n">
        <v>0.2</v>
      </c>
      <c r="R2344" s="24" t="n">
        <v>553.9108881292301</v>
      </c>
      <c r="S2344" s="24">
        <f>R2344*IF(A2344=4, 2.0, 3.0)</f>
        <v/>
      </c>
      <c r="T2344" s="22">
        <f>'Dashboard &amp; Optimisation'!$B$18*U2344</f>
        <v/>
      </c>
      <c r="U2344" s="27">
        <f>MIN(1, S2344/M2344)</f>
        <v/>
      </c>
      <c r="V2344" s="27">
        <f>N2344/(N2344+O2344)</f>
        <v/>
      </c>
      <c r="W2344" s="27">
        <f>U2344*V2344</f>
        <v/>
      </c>
      <c r="X2344" s="25">
        <f>T2344/N2344</f>
        <v/>
      </c>
      <c r="Y2344" s="28">
        <f>IF(W2344=MAXIFS(W$2:W$3601, A$2:A$3601, A2344, B$2:B$3601, B2344), "OPTIMAL", "")</f>
        <v/>
      </c>
    </row>
    <row r="2345" ht="20" customHeight="1">
      <c r="A2345" s="29" t="n">
        <v>-18</v>
      </c>
      <c r="B2345" s="29" t="n">
        <v>30</v>
      </c>
      <c r="C2345" s="30" t="n">
        <v>100</v>
      </c>
      <c r="D2345" s="30" t="n">
        <v>3</v>
      </c>
      <c r="E2345" s="6" t="n">
        <v>0</v>
      </c>
      <c r="F2345" s="30" t="n">
        <v>0</v>
      </c>
      <c r="G2345" s="6" t="inlineStr">
        <is>
          <t>Non</t>
        </is>
      </c>
      <c r="H2345" s="6" t="inlineStr">
        <is>
          <t>OFF</t>
        </is>
      </c>
      <c r="I2345" s="31" t="n">
        <v>674.4931640486259</v>
      </c>
      <c r="J2345" s="31" t="n">
        <v>5144.556481985902</v>
      </c>
      <c r="K2345" s="31" t="n">
        <v>3782.407407407407</v>
      </c>
      <c r="L2345" s="31" t="n">
        <v>150</v>
      </c>
      <c r="M2345" s="31">
        <f>I2345+J2345+K2345+L2345</f>
        <v/>
      </c>
      <c r="N2345" s="31">
        <f>M2345*'Dashboard &amp; Optimisation'!$B$18/('Dashboard &amp; Optimisation'!$B$16/3.6)</f>
        <v/>
      </c>
      <c r="O2345" s="31" t="n">
        <v>652.8773568568661</v>
      </c>
      <c r="P2345" s="32" t="n">
        <v>0.7958227533929282</v>
      </c>
      <c r="Q2345" s="33" t="n">
        <v>0.2</v>
      </c>
      <c r="R2345" s="31" t="n">
        <v>332.3599070789006</v>
      </c>
      <c r="S2345" s="31">
        <f>R2345*IF(A2345=4, 2.0, 3.0)</f>
        <v/>
      </c>
      <c r="T2345" s="30">
        <f>'Dashboard &amp; Optimisation'!$B$18*U2345</f>
        <v/>
      </c>
      <c r="U2345" s="34">
        <f>MIN(1, S2345/M2345)</f>
        <v/>
      </c>
      <c r="V2345" s="34">
        <f>N2345/(N2345+O2345)</f>
        <v/>
      </c>
      <c r="W2345" s="34">
        <f>U2345*V2345</f>
        <v/>
      </c>
      <c r="X2345" s="32">
        <f>T2345/N2345</f>
        <v/>
      </c>
      <c r="Y2345" s="35">
        <f>IF(W2345=MAXIFS(W$2:W$3601, A$2:A$3601, A2345, B$2:B$3601, B2345), "OPTIMAL", "")</f>
        <v/>
      </c>
    </row>
    <row r="2346" ht="20" customHeight="1">
      <c r="A2346" s="21" t="n">
        <v>-18</v>
      </c>
      <c r="B2346" s="21" t="n">
        <v>30</v>
      </c>
      <c r="C2346" s="22" t="n">
        <v>100</v>
      </c>
      <c r="D2346" s="22" t="n">
        <v>3</v>
      </c>
      <c r="E2346" s="23" t="n">
        <v>4</v>
      </c>
      <c r="F2346" s="22" t="n">
        <v>1.5</v>
      </c>
      <c r="G2346" s="23" t="inlineStr">
        <is>
          <t>Oui</t>
        </is>
      </c>
      <c r="H2346" s="23" t="inlineStr">
        <is>
          <t>ON</t>
        </is>
      </c>
      <c r="I2346" s="24" t="n">
        <v>674.4931640486259</v>
      </c>
      <c r="J2346" s="24" t="n">
        <v>5144.556481985902</v>
      </c>
      <c r="K2346" s="24" t="n">
        <v>3782.407407407407</v>
      </c>
      <c r="L2346" s="24" t="n">
        <v>150</v>
      </c>
      <c r="M2346" s="24">
        <f>I2346+J2346+K2346+L2346</f>
        <v/>
      </c>
      <c r="N2346" s="24">
        <f>M2346*'Dashboard &amp; Optimisation'!$B$18/('Dashboard &amp; Optimisation'!$B$16/3.6)</f>
        <v/>
      </c>
      <c r="O2346" s="24" t="n">
        <v>907.7728364600514</v>
      </c>
      <c r="P2346" s="25" t="n">
        <v>0.0735384347268611</v>
      </c>
      <c r="Q2346" s="26" t="n">
        <v>6.857688308810928</v>
      </c>
      <c r="R2346" s="24" t="n">
        <v>3717.605705076895</v>
      </c>
      <c r="S2346" s="24">
        <f>R2346*IF(A2346=4, 2.0, 3.0)</f>
        <v/>
      </c>
      <c r="T2346" s="22">
        <f>'Dashboard &amp; Optimisation'!$B$18*U2346</f>
        <v/>
      </c>
      <c r="U2346" s="27">
        <f>MIN(1, S2346/M2346)</f>
        <v/>
      </c>
      <c r="V2346" s="27">
        <f>N2346/(N2346+O2346)</f>
        <v/>
      </c>
      <c r="W2346" s="27">
        <f>U2346*V2346</f>
        <v/>
      </c>
      <c r="X2346" s="25">
        <f>T2346/N2346</f>
        <v/>
      </c>
      <c r="Y2346" s="28">
        <f>IF(W2346=MAXIFS(W$2:W$3601, A$2:A$3601, A2346, B$2:B$3601, B2346), "OPTIMAL", "")</f>
        <v/>
      </c>
    </row>
    <row r="2347" ht="20" customHeight="1">
      <c r="A2347" s="29" t="n">
        <v>-18</v>
      </c>
      <c r="B2347" s="29" t="n">
        <v>30</v>
      </c>
      <c r="C2347" s="30" t="n">
        <v>100</v>
      </c>
      <c r="D2347" s="30" t="n">
        <v>3</v>
      </c>
      <c r="E2347" s="6" t="n">
        <v>4</v>
      </c>
      <c r="F2347" s="30" t="n">
        <v>1.5</v>
      </c>
      <c r="G2347" s="6" t="inlineStr">
        <is>
          <t>Oui</t>
        </is>
      </c>
      <c r="H2347" s="6" t="inlineStr">
        <is>
          <t>OFF</t>
        </is>
      </c>
      <c r="I2347" s="31" t="n">
        <v>674.4931640486259</v>
      </c>
      <c r="J2347" s="31" t="n">
        <v>5144.556481985902</v>
      </c>
      <c r="K2347" s="31" t="n">
        <v>3782.407407407407</v>
      </c>
      <c r="L2347" s="31" t="n">
        <v>150</v>
      </c>
      <c r="M2347" s="31">
        <f>I2347+J2347+K2347+L2347</f>
        <v/>
      </c>
      <c r="N2347" s="31">
        <f>M2347*'Dashboard &amp; Optimisation'!$B$18/('Dashboard &amp; Optimisation'!$B$16/3.6)</f>
        <v/>
      </c>
      <c r="O2347" s="31" t="n">
        <v>907.7728364600514</v>
      </c>
      <c r="P2347" s="32" t="n">
        <v>0.307100869502758</v>
      </c>
      <c r="Q2347" s="33" t="n">
        <v>6.857688308810928</v>
      </c>
      <c r="R2347" s="31" t="n">
        <v>890.2185947101281</v>
      </c>
      <c r="S2347" s="31">
        <f>R2347*IF(A2347=4, 2.0, 3.0)</f>
        <v/>
      </c>
      <c r="T2347" s="30">
        <f>'Dashboard &amp; Optimisation'!$B$18*U2347</f>
        <v/>
      </c>
      <c r="U2347" s="34">
        <f>MIN(1, S2347/M2347)</f>
        <v/>
      </c>
      <c r="V2347" s="34">
        <f>N2347/(N2347+O2347)</f>
        <v/>
      </c>
      <c r="W2347" s="34">
        <f>U2347*V2347</f>
        <v/>
      </c>
      <c r="X2347" s="32">
        <f>T2347/N2347</f>
        <v/>
      </c>
      <c r="Y2347" s="35">
        <f>IF(W2347=MAXIFS(W$2:W$3601, A$2:A$3601, A2347, B$2:B$3601, B2347), "OPTIMAL", "")</f>
        <v/>
      </c>
    </row>
    <row r="2348" ht="20" customHeight="1">
      <c r="A2348" s="21" t="n">
        <v>-18</v>
      </c>
      <c r="B2348" s="21" t="n">
        <v>30</v>
      </c>
      <c r="C2348" s="22" t="n">
        <v>100</v>
      </c>
      <c r="D2348" s="22" t="n">
        <v>3</v>
      </c>
      <c r="E2348" s="23" t="n">
        <v>4</v>
      </c>
      <c r="F2348" s="22" t="n">
        <v>1.5</v>
      </c>
      <c r="G2348" s="23" t="inlineStr">
        <is>
          <t>Non</t>
        </is>
      </c>
      <c r="H2348" s="23" t="inlineStr">
        <is>
          <t>ON</t>
        </is>
      </c>
      <c r="I2348" s="24" t="n">
        <v>674.4931640486259</v>
      </c>
      <c r="J2348" s="24" t="n">
        <v>5144.556481985902</v>
      </c>
      <c r="K2348" s="24" t="n">
        <v>3782.407407407407</v>
      </c>
      <c r="L2348" s="24" t="n">
        <v>150</v>
      </c>
      <c r="M2348" s="24">
        <f>I2348+J2348+K2348+L2348</f>
        <v/>
      </c>
      <c r="N2348" s="24">
        <f>M2348*'Dashboard &amp; Optimisation'!$B$18/('Dashboard &amp; Optimisation'!$B$16/3.6)</f>
        <v/>
      </c>
      <c r="O2348" s="24" t="n">
        <v>907.7728364600514</v>
      </c>
      <c r="P2348" s="25" t="n">
        <v>0.07035533586502318</v>
      </c>
      <c r="Q2348" s="26" t="n">
        <v>6.857688308810928</v>
      </c>
      <c r="R2348" s="24" t="n">
        <v>3885.80199528145</v>
      </c>
      <c r="S2348" s="24">
        <f>R2348*IF(A2348=4, 2.0, 3.0)</f>
        <v/>
      </c>
      <c r="T2348" s="22">
        <f>'Dashboard &amp; Optimisation'!$B$18*U2348</f>
        <v/>
      </c>
      <c r="U2348" s="27">
        <f>MIN(1, S2348/M2348)</f>
        <v/>
      </c>
      <c r="V2348" s="27">
        <f>N2348/(N2348+O2348)</f>
        <v/>
      </c>
      <c r="W2348" s="27">
        <f>U2348*V2348</f>
        <v/>
      </c>
      <c r="X2348" s="25">
        <f>T2348/N2348</f>
        <v/>
      </c>
      <c r="Y2348" s="28">
        <f>IF(W2348=MAXIFS(W$2:W$3601, A$2:A$3601, A2348, B$2:B$3601, B2348), "OPTIMAL", "")</f>
        <v/>
      </c>
    </row>
    <row r="2349" ht="20" customHeight="1">
      <c r="A2349" s="29" t="n">
        <v>-18</v>
      </c>
      <c r="B2349" s="29" t="n">
        <v>30</v>
      </c>
      <c r="C2349" s="30" t="n">
        <v>100</v>
      </c>
      <c r="D2349" s="30" t="n">
        <v>3</v>
      </c>
      <c r="E2349" s="6" t="n">
        <v>4</v>
      </c>
      <c r="F2349" s="30" t="n">
        <v>1.5</v>
      </c>
      <c r="G2349" s="6" t="inlineStr">
        <is>
          <t>Non</t>
        </is>
      </c>
      <c r="H2349" s="6" t="inlineStr">
        <is>
          <t>OFF</t>
        </is>
      </c>
      <c r="I2349" s="31" t="n">
        <v>674.4931640486259</v>
      </c>
      <c r="J2349" s="31" t="n">
        <v>5144.556481985902</v>
      </c>
      <c r="K2349" s="31" t="n">
        <v>3782.407407407407</v>
      </c>
      <c r="L2349" s="31" t="n">
        <v>150</v>
      </c>
      <c r="M2349" s="31">
        <f>I2349+J2349+K2349+L2349</f>
        <v/>
      </c>
      <c r="N2349" s="31">
        <f>M2349*'Dashboard &amp; Optimisation'!$B$18/('Dashboard &amp; Optimisation'!$B$16/3.6)</f>
        <v/>
      </c>
      <c r="O2349" s="31" t="n">
        <v>907.7728364600514</v>
      </c>
      <c r="P2349" s="32" t="n">
        <v>0.3039177706409201</v>
      </c>
      <c r="Q2349" s="33" t="n">
        <v>6.857688308810928</v>
      </c>
      <c r="R2349" s="31" t="n">
        <v>899.5423462947524</v>
      </c>
      <c r="S2349" s="31">
        <f>R2349*IF(A2349=4, 2.0, 3.0)</f>
        <v/>
      </c>
      <c r="T2349" s="30">
        <f>'Dashboard &amp; Optimisation'!$B$18*U2349</f>
        <v/>
      </c>
      <c r="U2349" s="34">
        <f>MIN(1, S2349/M2349)</f>
        <v/>
      </c>
      <c r="V2349" s="34">
        <f>N2349/(N2349+O2349)</f>
        <v/>
      </c>
      <c r="W2349" s="34">
        <f>U2349*V2349</f>
        <v/>
      </c>
      <c r="X2349" s="32">
        <f>T2349/N2349</f>
        <v/>
      </c>
      <c r="Y2349" s="35">
        <f>IF(W2349=MAXIFS(W$2:W$3601, A$2:A$3601, A2349, B$2:B$3601, B2349), "OPTIMAL", "")</f>
        <v/>
      </c>
    </row>
    <row r="2350" ht="20" customHeight="1">
      <c r="A2350" s="21" t="n">
        <v>-18</v>
      </c>
      <c r="B2350" s="21" t="n">
        <v>30</v>
      </c>
      <c r="C2350" s="22" t="n">
        <v>100</v>
      </c>
      <c r="D2350" s="22" t="n">
        <v>3</v>
      </c>
      <c r="E2350" s="23" t="n">
        <v>4</v>
      </c>
      <c r="F2350" s="22" t="n">
        <v>2</v>
      </c>
      <c r="G2350" s="23" t="inlineStr">
        <is>
          <t>Oui</t>
        </is>
      </c>
      <c r="H2350" s="23" t="inlineStr">
        <is>
          <t>ON</t>
        </is>
      </c>
      <c r="I2350" s="24" t="n">
        <v>674.4931640486259</v>
      </c>
      <c r="J2350" s="24" t="n">
        <v>5144.556481985902</v>
      </c>
      <c r="K2350" s="24" t="n">
        <v>3782.407407407407</v>
      </c>
      <c r="L2350" s="24" t="n">
        <v>150</v>
      </c>
      <c r="M2350" s="24">
        <f>I2350+J2350+K2350+L2350</f>
        <v/>
      </c>
      <c r="N2350" s="24">
        <f>M2350*'Dashboard &amp; Optimisation'!$B$18/('Dashboard &amp; Optimisation'!$B$16/3.6)</f>
        <v/>
      </c>
      <c r="O2350" s="24" t="n">
        <v>996.5876128541374</v>
      </c>
      <c r="P2350" s="25" t="n">
        <v>0.07090019831070833</v>
      </c>
      <c r="Q2350" s="26" t="n">
        <v>9.076917745081236</v>
      </c>
      <c r="R2350" s="24" t="n">
        <v>3899.616314968637</v>
      </c>
      <c r="S2350" s="24">
        <f>R2350*IF(A2350=4, 2.0, 3.0)</f>
        <v/>
      </c>
      <c r="T2350" s="22">
        <f>'Dashboard &amp; Optimisation'!$B$18*U2350</f>
        <v/>
      </c>
      <c r="U2350" s="27">
        <f>MIN(1, S2350/M2350)</f>
        <v/>
      </c>
      <c r="V2350" s="27">
        <f>N2350/(N2350+O2350)</f>
        <v/>
      </c>
      <c r="W2350" s="27">
        <f>U2350*V2350</f>
        <v/>
      </c>
      <c r="X2350" s="25">
        <f>T2350/N2350</f>
        <v/>
      </c>
      <c r="Y2350" s="28">
        <f>IF(W2350=MAXIFS(W$2:W$3601, A$2:A$3601, A2350, B$2:B$3601, B2350), "OPTIMAL", "")</f>
        <v/>
      </c>
    </row>
    <row r="2351" ht="20" customHeight="1">
      <c r="A2351" s="29" t="n">
        <v>-18</v>
      </c>
      <c r="B2351" s="29" t="n">
        <v>30</v>
      </c>
      <c r="C2351" s="30" t="n">
        <v>100</v>
      </c>
      <c r="D2351" s="30" t="n">
        <v>3</v>
      </c>
      <c r="E2351" s="6" t="n">
        <v>4</v>
      </c>
      <c r="F2351" s="30" t="n">
        <v>2</v>
      </c>
      <c r="G2351" s="6" t="inlineStr">
        <is>
          <t>Oui</t>
        </is>
      </c>
      <c r="H2351" s="6" t="inlineStr">
        <is>
          <t>OFF</t>
        </is>
      </c>
      <c r="I2351" s="31" t="n">
        <v>674.4931640486259</v>
      </c>
      <c r="J2351" s="31" t="n">
        <v>5144.556481985902</v>
      </c>
      <c r="K2351" s="31" t="n">
        <v>3782.407407407407</v>
      </c>
      <c r="L2351" s="31" t="n">
        <v>150</v>
      </c>
      <c r="M2351" s="31">
        <f>I2351+J2351+K2351+L2351</f>
        <v/>
      </c>
      <c r="N2351" s="31">
        <f>M2351*'Dashboard &amp; Optimisation'!$B$18/('Dashboard &amp; Optimisation'!$B$16/3.6)</f>
        <v/>
      </c>
      <c r="O2351" s="31" t="n">
        <v>996.5876128541374</v>
      </c>
      <c r="P2351" s="32" t="n">
        <v>0.305556811068225</v>
      </c>
      <c r="Q2351" s="33" t="n">
        <v>9.076917745081236</v>
      </c>
      <c r="R2351" s="31" t="n">
        <v>904.8516022286165</v>
      </c>
      <c r="S2351" s="31">
        <f>R2351*IF(A2351=4, 2.0, 3.0)</f>
        <v/>
      </c>
      <c r="T2351" s="30">
        <f>'Dashboard &amp; Optimisation'!$B$18*U2351</f>
        <v/>
      </c>
      <c r="U2351" s="34">
        <f>MIN(1, S2351/M2351)</f>
        <v/>
      </c>
      <c r="V2351" s="34">
        <f>N2351/(N2351+O2351)</f>
        <v/>
      </c>
      <c r="W2351" s="34">
        <f>U2351*V2351</f>
        <v/>
      </c>
      <c r="X2351" s="32">
        <f>T2351/N2351</f>
        <v/>
      </c>
      <c r="Y2351" s="35">
        <f>IF(W2351=MAXIFS(W$2:W$3601, A$2:A$3601, A2351, B$2:B$3601, B2351), "OPTIMAL", "")</f>
        <v/>
      </c>
    </row>
    <row r="2352" ht="20" customHeight="1">
      <c r="A2352" s="21" t="n">
        <v>-18</v>
      </c>
      <c r="B2352" s="21" t="n">
        <v>30</v>
      </c>
      <c r="C2352" s="22" t="n">
        <v>100</v>
      </c>
      <c r="D2352" s="22" t="n">
        <v>3</v>
      </c>
      <c r="E2352" s="23" t="n">
        <v>4</v>
      </c>
      <c r="F2352" s="22" t="n">
        <v>2</v>
      </c>
      <c r="G2352" s="23" t="inlineStr">
        <is>
          <t>Non</t>
        </is>
      </c>
      <c r="H2352" s="23" t="inlineStr">
        <is>
          <t>ON</t>
        </is>
      </c>
      <c r="I2352" s="24" t="n">
        <v>674.4931640486259</v>
      </c>
      <c r="J2352" s="24" t="n">
        <v>5144.556481985902</v>
      </c>
      <c r="K2352" s="24" t="n">
        <v>3782.407407407407</v>
      </c>
      <c r="L2352" s="24" t="n">
        <v>150</v>
      </c>
      <c r="M2352" s="24">
        <f>I2352+J2352+K2352+L2352</f>
        <v/>
      </c>
      <c r="N2352" s="24">
        <f>M2352*'Dashboard &amp; Optimisation'!$B$18/('Dashboard &amp; Optimisation'!$B$16/3.6)</f>
        <v/>
      </c>
      <c r="O2352" s="24" t="n">
        <v>996.5876128541374</v>
      </c>
      <c r="P2352" s="25" t="n">
        <v>0.06771709944887042</v>
      </c>
      <c r="Q2352" s="26" t="n">
        <v>9.076917745081236</v>
      </c>
      <c r="R2352" s="24" t="n">
        <v>4082.921039400219</v>
      </c>
      <c r="S2352" s="24">
        <f>R2352*IF(A2352=4, 2.0, 3.0)</f>
        <v/>
      </c>
      <c r="T2352" s="22">
        <f>'Dashboard &amp; Optimisation'!$B$18*U2352</f>
        <v/>
      </c>
      <c r="U2352" s="27">
        <f>MIN(1, S2352/M2352)</f>
        <v/>
      </c>
      <c r="V2352" s="27">
        <f>N2352/(N2352+O2352)</f>
        <v/>
      </c>
      <c r="W2352" s="27">
        <f>U2352*V2352</f>
        <v/>
      </c>
      <c r="X2352" s="25">
        <f>T2352/N2352</f>
        <v/>
      </c>
      <c r="Y2352" s="28">
        <f>IF(W2352=MAXIFS(W$2:W$3601, A$2:A$3601, A2352, B$2:B$3601, B2352), "OPTIMAL", "")</f>
        <v/>
      </c>
    </row>
    <row r="2353" ht="20" customHeight="1">
      <c r="A2353" s="29" t="n">
        <v>-18</v>
      </c>
      <c r="B2353" s="29" t="n">
        <v>30</v>
      </c>
      <c r="C2353" s="30" t="n">
        <v>100</v>
      </c>
      <c r="D2353" s="30" t="n">
        <v>3</v>
      </c>
      <c r="E2353" s="6" t="n">
        <v>4</v>
      </c>
      <c r="F2353" s="30" t="n">
        <v>2</v>
      </c>
      <c r="G2353" s="6" t="inlineStr">
        <is>
          <t>Non</t>
        </is>
      </c>
      <c r="H2353" s="6" t="inlineStr">
        <is>
          <t>OFF</t>
        </is>
      </c>
      <c r="I2353" s="31" t="n">
        <v>674.4931640486259</v>
      </c>
      <c r="J2353" s="31" t="n">
        <v>5144.556481985902</v>
      </c>
      <c r="K2353" s="31" t="n">
        <v>3782.407407407407</v>
      </c>
      <c r="L2353" s="31" t="n">
        <v>150</v>
      </c>
      <c r="M2353" s="31">
        <f>I2353+J2353+K2353+L2353</f>
        <v/>
      </c>
      <c r="N2353" s="31">
        <f>M2353*'Dashboard &amp; Optimisation'!$B$18/('Dashboard &amp; Optimisation'!$B$16/3.6)</f>
        <v/>
      </c>
      <c r="O2353" s="31" t="n">
        <v>996.5876128541374</v>
      </c>
      <c r="P2353" s="32" t="n">
        <v>0.302373712206387</v>
      </c>
      <c r="Q2353" s="33" t="n">
        <v>9.076917745081236</v>
      </c>
      <c r="R2353" s="31" t="n">
        <v>914.3770073445884</v>
      </c>
      <c r="S2353" s="31">
        <f>R2353*IF(A2353=4, 2.0, 3.0)</f>
        <v/>
      </c>
      <c r="T2353" s="30">
        <f>'Dashboard &amp; Optimisation'!$B$18*U2353</f>
        <v/>
      </c>
      <c r="U2353" s="34">
        <f>MIN(1, S2353/M2353)</f>
        <v/>
      </c>
      <c r="V2353" s="34">
        <f>N2353/(N2353+O2353)</f>
        <v/>
      </c>
      <c r="W2353" s="34">
        <f>U2353*V2353</f>
        <v/>
      </c>
      <c r="X2353" s="32">
        <f>T2353/N2353</f>
        <v/>
      </c>
      <c r="Y2353" s="35">
        <f>IF(W2353=MAXIFS(W$2:W$3601, A$2:A$3601, A2353, B$2:B$3601, B2353), "OPTIMAL", "")</f>
        <v/>
      </c>
    </row>
    <row r="2354" ht="20" customHeight="1">
      <c r="A2354" s="21" t="n">
        <v>-18</v>
      </c>
      <c r="B2354" s="21" t="n">
        <v>30</v>
      </c>
      <c r="C2354" s="22" t="n">
        <v>100</v>
      </c>
      <c r="D2354" s="22" t="n">
        <v>3</v>
      </c>
      <c r="E2354" s="23" t="n">
        <v>8</v>
      </c>
      <c r="F2354" s="22" t="n">
        <v>1.5</v>
      </c>
      <c r="G2354" s="23" t="inlineStr">
        <is>
          <t>Oui</t>
        </is>
      </c>
      <c r="H2354" s="23" t="inlineStr">
        <is>
          <t>ON</t>
        </is>
      </c>
      <c r="I2354" s="24" t="n">
        <v>674.4931640486259</v>
      </c>
      <c r="J2354" s="24" t="n">
        <v>5144.556481985902</v>
      </c>
      <c r="K2354" s="24" t="n">
        <v>3782.407407407407</v>
      </c>
      <c r="L2354" s="24" t="n">
        <v>150</v>
      </c>
      <c r="M2354" s="24">
        <f>I2354+J2354+K2354+L2354</f>
        <v/>
      </c>
      <c r="N2354" s="24">
        <f>M2354*'Dashboard &amp; Optimisation'!$B$18/('Dashboard &amp; Optimisation'!$B$16/3.6)</f>
        <v/>
      </c>
      <c r="O2354" s="24" t="n">
        <v>1180.393129936506</v>
      </c>
      <c r="P2354" s="25" t="n">
        <v>0.05562346576923688</v>
      </c>
      <c r="Q2354" s="26" t="n">
        <v>13.51537661762185</v>
      </c>
      <c r="R2354" s="24" t="n">
        <v>5085.843392569799</v>
      </c>
      <c r="S2354" s="24">
        <f>R2354*IF(A2354=4, 2.0, 3.0)</f>
        <v/>
      </c>
      <c r="T2354" s="22">
        <f>'Dashboard &amp; Optimisation'!$B$18*U2354</f>
        <v/>
      </c>
      <c r="U2354" s="27">
        <f>MIN(1, S2354/M2354)</f>
        <v/>
      </c>
      <c r="V2354" s="27">
        <f>N2354/(N2354+O2354)</f>
        <v/>
      </c>
      <c r="W2354" s="27">
        <f>U2354*V2354</f>
        <v/>
      </c>
      <c r="X2354" s="25">
        <f>T2354/N2354</f>
        <v/>
      </c>
      <c r="Y2354" s="28">
        <f>IF(W2354=MAXIFS(W$2:W$3601, A$2:A$3601, A2354, B$2:B$3601, B2354), "OPTIMAL", "")</f>
        <v/>
      </c>
    </row>
    <row r="2355" ht="20" customHeight="1">
      <c r="A2355" s="29" t="n">
        <v>-18</v>
      </c>
      <c r="B2355" s="29" t="n">
        <v>30</v>
      </c>
      <c r="C2355" s="30" t="n">
        <v>100</v>
      </c>
      <c r="D2355" s="30" t="n">
        <v>3</v>
      </c>
      <c r="E2355" s="6" t="n">
        <v>8</v>
      </c>
      <c r="F2355" s="30" t="n">
        <v>1.5</v>
      </c>
      <c r="G2355" s="6" t="inlineStr">
        <is>
          <t>Oui</t>
        </is>
      </c>
      <c r="H2355" s="6" t="inlineStr">
        <is>
          <t>OFF</t>
        </is>
      </c>
      <c r="I2355" s="31" t="n">
        <v>674.4931640486259</v>
      </c>
      <c r="J2355" s="31" t="n">
        <v>5144.556481985902</v>
      </c>
      <c r="K2355" s="31" t="n">
        <v>3782.407407407407</v>
      </c>
      <c r="L2355" s="31" t="n">
        <v>150</v>
      </c>
      <c r="M2355" s="31">
        <f>I2355+J2355+K2355+L2355</f>
        <v/>
      </c>
      <c r="N2355" s="31">
        <f>M2355*'Dashboard &amp; Optimisation'!$B$18/('Dashboard &amp; Optimisation'!$B$16/3.6)</f>
        <v/>
      </c>
      <c r="O2355" s="31" t="n">
        <v>1180.393129936506</v>
      </c>
      <c r="P2355" s="32" t="n">
        <v>0.2400757351497012</v>
      </c>
      <c r="Q2355" s="33" t="n">
        <v>13.51537661762185</v>
      </c>
      <c r="R2355" s="31" t="n">
        <v>1178.345806909249</v>
      </c>
      <c r="S2355" s="31">
        <f>R2355*IF(A2355=4, 2.0, 3.0)</f>
        <v/>
      </c>
      <c r="T2355" s="30">
        <f>'Dashboard &amp; Optimisation'!$B$18*U2355</f>
        <v/>
      </c>
      <c r="U2355" s="34">
        <f>MIN(1, S2355/M2355)</f>
        <v/>
      </c>
      <c r="V2355" s="34">
        <f>N2355/(N2355+O2355)</f>
        <v/>
      </c>
      <c r="W2355" s="34">
        <f>U2355*V2355</f>
        <v/>
      </c>
      <c r="X2355" s="32">
        <f>T2355/N2355</f>
        <v/>
      </c>
      <c r="Y2355" s="35">
        <f>IF(W2355=MAXIFS(W$2:W$3601, A$2:A$3601, A2355, B$2:B$3601, B2355), "OPTIMAL", "")</f>
        <v/>
      </c>
    </row>
    <row r="2356" ht="20" customHeight="1">
      <c r="A2356" s="21" t="n">
        <v>-18</v>
      </c>
      <c r="B2356" s="21" t="n">
        <v>30</v>
      </c>
      <c r="C2356" s="22" t="n">
        <v>100</v>
      </c>
      <c r="D2356" s="22" t="n">
        <v>3</v>
      </c>
      <c r="E2356" s="23" t="n">
        <v>8</v>
      </c>
      <c r="F2356" s="22" t="n">
        <v>1.5</v>
      </c>
      <c r="G2356" s="23" t="inlineStr">
        <is>
          <t>Non</t>
        </is>
      </c>
      <c r="H2356" s="23" t="inlineStr">
        <is>
          <t>ON</t>
        </is>
      </c>
      <c r="I2356" s="24" t="n">
        <v>674.4931640486259</v>
      </c>
      <c r="J2356" s="24" t="n">
        <v>5144.556481985902</v>
      </c>
      <c r="K2356" s="24" t="n">
        <v>3782.407407407407</v>
      </c>
      <c r="L2356" s="24" t="n">
        <v>150</v>
      </c>
      <c r="M2356" s="24">
        <f>I2356+J2356+K2356+L2356</f>
        <v/>
      </c>
      <c r="N2356" s="24">
        <f>M2356*'Dashboard &amp; Optimisation'!$B$18/('Dashboard &amp; Optimisation'!$B$16/3.6)</f>
        <v/>
      </c>
      <c r="O2356" s="24" t="n">
        <v>1180.393129936506</v>
      </c>
      <c r="P2356" s="25" t="n">
        <v>0.05244036690739898</v>
      </c>
      <c r="Q2356" s="26" t="n">
        <v>13.51537661762185</v>
      </c>
      <c r="R2356" s="24" t="n">
        <v>5394.551040305396</v>
      </c>
      <c r="S2356" s="24">
        <f>R2356*IF(A2356=4, 2.0, 3.0)</f>
        <v/>
      </c>
      <c r="T2356" s="22">
        <f>'Dashboard &amp; Optimisation'!$B$18*U2356</f>
        <v/>
      </c>
      <c r="U2356" s="27">
        <f>MIN(1, S2356/M2356)</f>
        <v/>
      </c>
      <c r="V2356" s="27">
        <f>N2356/(N2356+O2356)</f>
        <v/>
      </c>
      <c r="W2356" s="27">
        <f>U2356*V2356</f>
        <v/>
      </c>
      <c r="X2356" s="25">
        <f>T2356/N2356</f>
        <v/>
      </c>
      <c r="Y2356" s="28">
        <f>IF(W2356=MAXIFS(W$2:W$3601, A$2:A$3601, A2356, B$2:B$3601, B2356), "OPTIMAL", "")</f>
        <v/>
      </c>
    </row>
    <row r="2357" ht="20" customHeight="1">
      <c r="A2357" s="29" t="n">
        <v>-18</v>
      </c>
      <c r="B2357" s="29" t="n">
        <v>30</v>
      </c>
      <c r="C2357" s="30" t="n">
        <v>100</v>
      </c>
      <c r="D2357" s="30" t="n">
        <v>3</v>
      </c>
      <c r="E2357" s="6" t="n">
        <v>8</v>
      </c>
      <c r="F2357" s="30" t="n">
        <v>1.5</v>
      </c>
      <c r="G2357" s="6" t="inlineStr">
        <is>
          <t>Non</t>
        </is>
      </c>
      <c r="H2357" s="6" t="inlineStr">
        <is>
          <t>OFF</t>
        </is>
      </c>
      <c r="I2357" s="31" t="n">
        <v>674.4931640486259</v>
      </c>
      <c r="J2357" s="31" t="n">
        <v>5144.556481985902</v>
      </c>
      <c r="K2357" s="31" t="n">
        <v>3782.407407407407</v>
      </c>
      <c r="L2357" s="31" t="n">
        <v>150</v>
      </c>
      <c r="M2357" s="31">
        <f>I2357+J2357+K2357+L2357</f>
        <v/>
      </c>
      <c r="N2357" s="31">
        <f>M2357*'Dashboard &amp; Optimisation'!$B$18/('Dashboard &amp; Optimisation'!$B$16/3.6)</f>
        <v/>
      </c>
      <c r="O2357" s="31" t="n">
        <v>1180.393129936506</v>
      </c>
      <c r="P2357" s="32" t="n">
        <v>0.2368926362878633</v>
      </c>
      <c r="Q2357" s="33" t="n">
        <v>13.51537661762185</v>
      </c>
      <c r="R2357" s="31" t="n">
        <v>1194.179102766814</v>
      </c>
      <c r="S2357" s="31">
        <f>R2357*IF(A2357=4, 2.0, 3.0)</f>
        <v/>
      </c>
      <c r="T2357" s="30">
        <f>'Dashboard &amp; Optimisation'!$B$18*U2357</f>
        <v/>
      </c>
      <c r="U2357" s="34">
        <f>MIN(1, S2357/M2357)</f>
        <v/>
      </c>
      <c r="V2357" s="34">
        <f>N2357/(N2357+O2357)</f>
        <v/>
      </c>
      <c r="W2357" s="34">
        <f>U2357*V2357</f>
        <v/>
      </c>
      <c r="X2357" s="32">
        <f>T2357/N2357</f>
        <v/>
      </c>
      <c r="Y2357" s="35">
        <f>IF(W2357=MAXIFS(W$2:W$3601, A$2:A$3601, A2357, B$2:B$3601, B2357), "OPTIMAL", "")</f>
        <v/>
      </c>
    </row>
    <row r="2358" ht="20" customHeight="1">
      <c r="A2358" s="21" t="n">
        <v>-18</v>
      </c>
      <c r="B2358" s="21" t="n">
        <v>30</v>
      </c>
      <c r="C2358" s="22" t="n">
        <v>100</v>
      </c>
      <c r="D2358" s="22" t="n">
        <v>3</v>
      </c>
      <c r="E2358" s="23" t="n">
        <v>8</v>
      </c>
      <c r="F2358" s="22" t="n">
        <v>2</v>
      </c>
      <c r="G2358" s="23" t="inlineStr">
        <is>
          <t>Oui</t>
        </is>
      </c>
      <c r="H2358" s="23" t="inlineStr">
        <is>
          <t>ON</t>
        </is>
      </c>
      <c r="I2358" s="24" t="n">
        <v>674.4931640486259</v>
      </c>
      <c r="J2358" s="24" t="n">
        <v>5144.556481985902</v>
      </c>
      <c r="K2358" s="24" t="n">
        <v>3782.407407407407</v>
      </c>
      <c r="L2358" s="24" t="n">
        <v>150</v>
      </c>
      <c r="M2358" s="24">
        <f>I2358+J2358+K2358+L2358</f>
        <v/>
      </c>
      <c r="N2358" s="24">
        <f>M2358*'Dashboard &amp; Optimisation'!$B$18/('Dashboard &amp; Optimisation'!$B$16/3.6)</f>
        <v/>
      </c>
      <c r="O2358" s="24" t="n">
        <v>1372.921768717243</v>
      </c>
      <c r="P2358" s="25" t="n">
        <v>0.05441799410512958</v>
      </c>
      <c r="Q2358" s="26" t="n">
        <v>17.95383549016247</v>
      </c>
      <c r="R2358" s="24" t="n">
        <v>5321.861851686632</v>
      </c>
      <c r="S2358" s="24">
        <f>R2358*IF(A2358=4, 2.0, 3.0)</f>
        <v/>
      </c>
      <c r="T2358" s="22">
        <f>'Dashboard &amp; Optimisation'!$B$18*U2358</f>
        <v/>
      </c>
      <c r="U2358" s="27">
        <f>MIN(1, S2358/M2358)</f>
        <v/>
      </c>
      <c r="V2358" s="27">
        <f>N2358/(N2358+O2358)</f>
        <v/>
      </c>
      <c r="W2358" s="27">
        <f>U2358*V2358</f>
        <v/>
      </c>
      <c r="X2358" s="25">
        <f>T2358/N2358</f>
        <v/>
      </c>
      <c r="Y2358" s="28">
        <f>IF(W2358=MAXIFS(W$2:W$3601, A$2:A$3601, A2358, B$2:B$3601, B2358), "OPTIMAL", "")</f>
        <v/>
      </c>
    </row>
    <row r="2359" ht="20" customHeight="1">
      <c r="A2359" s="29" t="n">
        <v>-18</v>
      </c>
      <c r="B2359" s="29" t="n">
        <v>30</v>
      </c>
      <c r="C2359" s="30" t="n">
        <v>100</v>
      </c>
      <c r="D2359" s="30" t="n">
        <v>3</v>
      </c>
      <c r="E2359" s="6" t="n">
        <v>8</v>
      </c>
      <c r="F2359" s="30" t="n">
        <v>2</v>
      </c>
      <c r="G2359" s="6" t="inlineStr">
        <is>
          <t>Oui</t>
        </is>
      </c>
      <c r="H2359" s="6" t="inlineStr">
        <is>
          <t>OFF</t>
        </is>
      </c>
      <c r="I2359" s="31" t="n">
        <v>674.4931640486259</v>
      </c>
      <c r="J2359" s="31" t="n">
        <v>5144.556481985902</v>
      </c>
      <c r="K2359" s="31" t="n">
        <v>3782.407407407407</v>
      </c>
      <c r="L2359" s="31" t="n">
        <v>150</v>
      </c>
      <c r="M2359" s="31">
        <f>I2359+J2359+K2359+L2359</f>
        <v/>
      </c>
      <c r="N2359" s="31">
        <f>M2359*'Dashboard &amp; Optimisation'!$B$18/('Dashboard &amp; Optimisation'!$B$16/3.6)</f>
        <v/>
      </c>
      <c r="O2359" s="31" t="n">
        <v>1372.921768717243</v>
      </c>
      <c r="P2359" s="32" t="n">
        <v>0.2402392320400437</v>
      </c>
      <c r="Q2359" s="33" t="n">
        <v>17.95383549016247</v>
      </c>
      <c r="R2359" s="31" t="n">
        <v>1205.486066593507</v>
      </c>
      <c r="S2359" s="31">
        <f>R2359*IF(A2359=4, 2.0, 3.0)</f>
        <v/>
      </c>
      <c r="T2359" s="30">
        <f>'Dashboard &amp; Optimisation'!$B$18*U2359</f>
        <v/>
      </c>
      <c r="U2359" s="34">
        <f>MIN(1, S2359/M2359)</f>
        <v/>
      </c>
      <c r="V2359" s="34">
        <f>N2359/(N2359+O2359)</f>
        <v/>
      </c>
      <c r="W2359" s="34">
        <f>U2359*V2359</f>
        <v/>
      </c>
      <c r="X2359" s="32">
        <f>T2359/N2359</f>
        <v/>
      </c>
      <c r="Y2359" s="35">
        <f>IF(W2359=MAXIFS(W$2:W$3601, A$2:A$3601, A2359, B$2:B$3601, B2359), "OPTIMAL", "")</f>
        <v/>
      </c>
    </row>
    <row r="2360" ht="20" customHeight="1">
      <c r="A2360" s="21" t="n">
        <v>-18</v>
      </c>
      <c r="B2360" s="21" t="n">
        <v>30</v>
      </c>
      <c r="C2360" s="22" t="n">
        <v>100</v>
      </c>
      <c r="D2360" s="22" t="n">
        <v>3</v>
      </c>
      <c r="E2360" s="23" t="n">
        <v>8</v>
      </c>
      <c r="F2360" s="22" t="n">
        <v>2</v>
      </c>
      <c r="G2360" s="23" t="inlineStr">
        <is>
          <t>Non</t>
        </is>
      </c>
      <c r="H2360" s="23" t="inlineStr">
        <is>
          <t>ON</t>
        </is>
      </c>
      <c r="I2360" s="24" t="n">
        <v>674.4931640486259</v>
      </c>
      <c r="J2360" s="24" t="n">
        <v>5144.556481985902</v>
      </c>
      <c r="K2360" s="24" t="n">
        <v>3782.407407407407</v>
      </c>
      <c r="L2360" s="24" t="n">
        <v>150</v>
      </c>
      <c r="M2360" s="24">
        <f>I2360+J2360+K2360+L2360</f>
        <v/>
      </c>
      <c r="N2360" s="24">
        <f>M2360*'Dashboard &amp; Optimisation'!$B$18/('Dashboard &amp; Optimisation'!$B$16/3.6)</f>
        <v/>
      </c>
      <c r="O2360" s="24" t="n">
        <v>1372.921768717243</v>
      </c>
      <c r="P2360" s="25" t="n">
        <v>0.05123489524329167</v>
      </c>
      <c r="Q2360" s="26" t="n">
        <v>17.95383549016247</v>
      </c>
      <c r="R2360" s="24" t="n">
        <v>5652.496125896069</v>
      </c>
      <c r="S2360" s="24">
        <f>R2360*IF(A2360=4, 2.0, 3.0)</f>
        <v/>
      </c>
      <c r="T2360" s="22">
        <f>'Dashboard &amp; Optimisation'!$B$18*U2360</f>
        <v/>
      </c>
      <c r="U2360" s="27">
        <f>MIN(1, S2360/M2360)</f>
        <v/>
      </c>
      <c r="V2360" s="27">
        <f>N2360/(N2360+O2360)</f>
        <v/>
      </c>
      <c r="W2360" s="27">
        <f>U2360*V2360</f>
        <v/>
      </c>
      <c r="X2360" s="25">
        <f>T2360/N2360</f>
        <v/>
      </c>
      <c r="Y2360" s="28">
        <f>IF(W2360=MAXIFS(W$2:W$3601, A$2:A$3601, A2360, B$2:B$3601, B2360), "OPTIMAL", "")</f>
        <v/>
      </c>
    </row>
    <row r="2361" ht="20" customHeight="1">
      <c r="A2361" s="29" t="n">
        <v>-18</v>
      </c>
      <c r="B2361" s="29" t="n">
        <v>30</v>
      </c>
      <c r="C2361" s="30" t="n">
        <v>100</v>
      </c>
      <c r="D2361" s="30" t="n">
        <v>3</v>
      </c>
      <c r="E2361" s="6" t="n">
        <v>8</v>
      </c>
      <c r="F2361" s="30" t="n">
        <v>2</v>
      </c>
      <c r="G2361" s="6" t="inlineStr">
        <is>
          <t>Non</t>
        </is>
      </c>
      <c r="H2361" s="6" t="inlineStr">
        <is>
          <t>OFF</t>
        </is>
      </c>
      <c r="I2361" s="31" t="n">
        <v>674.4931640486259</v>
      </c>
      <c r="J2361" s="31" t="n">
        <v>5144.556481985902</v>
      </c>
      <c r="K2361" s="31" t="n">
        <v>3782.407407407407</v>
      </c>
      <c r="L2361" s="31" t="n">
        <v>150</v>
      </c>
      <c r="M2361" s="31">
        <f>I2361+J2361+K2361+L2361</f>
        <v/>
      </c>
      <c r="N2361" s="31">
        <f>M2361*'Dashboard &amp; Optimisation'!$B$18/('Dashboard &amp; Optimisation'!$B$16/3.6)</f>
        <v/>
      </c>
      <c r="O2361" s="31" t="n">
        <v>1372.921768717243</v>
      </c>
      <c r="P2361" s="32" t="n">
        <v>0.2370561331782058</v>
      </c>
      <c r="Q2361" s="33" t="n">
        <v>17.95383549016247</v>
      </c>
      <c r="R2361" s="31" t="n">
        <v>1221.672871275969</v>
      </c>
      <c r="S2361" s="31">
        <f>R2361*IF(A2361=4, 2.0, 3.0)</f>
        <v/>
      </c>
      <c r="T2361" s="30">
        <f>'Dashboard &amp; Optimisation'!$B$18*U2361</f>
        <v/>
      </c>
      <c r="U2361" s="34">
        <f>MIN(1, S2361/M2361)</f>
        <v/>
      </c>
      <c r="V2361" s="34">
        <f>N2361/(N2361+O2361)</f>
        <v/>
      </c>
      <c r="W2361" s="34">
        <f>U2361*V2361</f>
        <v/>
      </c>
      <c r="X2361" s="32">
        <f>T2361/N2361</f>
        <v/>
      </c>
      <c r="Y2361" s="35">
        <f>IF(W2361=MAXIFS(W$2:W$3601, A$2:A$3601, A2361, B$2:B$3601, B2361), "OPTIMAL", "")</f>
        <v/>
      </c>
    </row>
    <row r="2362" ht="20" customHeight="1">
      <c r="A2362" s="21" t="n">
        <v>-18</v>
      </c>
      <c r="B2362" s="21" t="n">
        <v>30</v>
      </c>
      <c r="C2362" s="22" t="n">
        <v>105</v>
      </c>
      <c r="D2362" s="22" t="n">
        <v>2</v>
      </c>
      <c r="E2362" s="23" t="n">
        <v>0</v>
      </c>
      <c r="F2362" s="22" t="n">
        <v>0</v>
      </c>
      <c r="G2362" s="23" t="inlineStr">
        <is>
          <t>Oui</t>
        </is>
      </c>
      <c r="H2362" s="23" t="inlineStr">
        <is>
          <t>ON</t>
        </is>
      </c>
      <c r="I2362" s="24" t="n">
        <v>674.4931640486259</v>
      </c>
      <c r="J2362" s="24" t="n">
        <v>5144.556481985902</v>
      </c>
      <c r="K2362" s="24" t="n">
        <v>3782.407407407407</v>
      </c>
      <c r="L2362" s="24" t="n">
        <v>150</v>
      </c>
      <c r="M2362" s="24">
        <f>I2362+J2362+K2362+L2362</f>
        <v/>
      </c>
      <c r="N2362" s="24">
        <f>M2362*'Dashboard &amp; Optimisation'!$B$18/('Dashboard &amp; Optimisation'!$B$16/3.6)</f>
        <v/>
      </c>
      <c r="O2362" s="24" t="n">
        <v>400.3306093865791</v>
      </c>
      <c r="P2362" s="25" t="n">
        <v>0.4767371025038626</v>
      </c>
      <c r="Q2362" s="26" t="n">
        <v>0.2</v>
      </c>
      <c r="R2362" s="24" t="n">
        <v>480.5725801707187</v>
      </c>
      <c r="S2362" s="24">
        <f>R2362*IF(A2362=4, 2.0, 3.0)</f>
        <v/>
      </c>
      <c r="T2362" s="22">
        <f>'Dashboard &amp; Optimisation'!$B$18*U2362</f>
        <v/>
      </c>
      <c r="U2362" s="27">
        <f>MIN(1, S2362/M2362)</f>
        <v/>
      </c>
      <c r="V2362" s="27">
        <f>N2362/(N2362+O2362)</f>
        <v/>
      </c>
      <c r="W2362" s="27">
        <f>U2362*V2362</f>
        <v/>
      </c>
      <c r="X2362" s="25">
        <f>T2362/N2362</f>
        <v/>
      </c>
      <c r="Y2362" s="28">
        <f>IF(W2362=MAXIFS(W$2:W$3601, A$2:A$3601, A2362, B$2:B$3601, B2362), "OPTIMAL", "")</f>
        <v/>
      </c>
    </row>
    <row r="2363" ht="20" customHeight="1">
      <c r="A2363" s="29" t="n">
        <v>-18</v>
      </c>
      <c r="B2363" s="29" t="n">
        <v>30</v>
      </c>
      <c r="C2363" s="30" t="n">
        <v>105</v>
      </c>
      <c r="D2363" s="30" t="n">
        <v>2</v>
      </c>
      <c r="E2363" s="6" t="n">
        <v>0</v>
      </c>
      <c r="F2363" s="30" t="n">
        <v>0</v>
      </c>
      <c r="G2363" s="6" t="inlineStr">
        <is>
          <t>Oui</t>
        </is>
      </c>
      <c r="H2363" s="6" t="inlineStr">
        <is>
          <t>OFF</t>
        </is>
      </c>
      <c r="I2363" s="31" t="n">
        <v>674.4931640486259</v>
      </c>
      <c r="J2363" s="31" t="n">
        <v>5144.556481985902</v>
      </c>
      <c r="K2363" s="31" t="n">
        <v>3782.407407407407</v>
      </c>
      <c r="L2363" s="31" t="n">
        <v>150</v>
      </c>
      <c r="M2363" s="31">
        <f>I2363+J2363+K2363+L2363</f>
        <v/>
      </c>
      <c r="N2363" s="31">
        <f>M2363*'Dashboard &amp; Optimisation'!$B$18/('Dashboard &amp; Optimisation'!$B$16/3.6)</f>
        <v/>
      </c>
      <c r="O2363" s="31" t="n">
        <v>400.3306093865791</v>
      </c>
      <c r="P2363" s="32" t="n">
        <v>0.7798893750598538</v>
      </c>
      <c r="Q2363" s="33" t="n">
        <v>0.2</v>
      </c>
      <c r="R2363" s="31" t="n">
        <v>293.7683045057647</v>
      </c>
      <c r="S2363" s="31">
        <f>R2363*IF(A2363=4, 2.0, 3.0)</f>
        <v/>
      </c>
      <c r="T2363" s="30">
        <f>'Dashboard &amp; Optimisation'!$B$18*U2363</f>
        <v/>
      </c>
      <c r="U2363" s="34">
        <f>MIN(1, S2363/M2363)</f>
        <v/>
      </c>
      <c r="V2363" s="34">
        <f>N2363/(N2363+O2363)</f>
        <v/>
      </c>
      <c r="W2363" s="34">
        <f>U2363*V2363</f>
        <v/>
      </c>
      <c r="X2363" s="32">
        <f>T2363/N2363</f>
        <v/>
      </c>
      <c r="Y2363" s="35">
        <f>IF(W2363=MAXIFS(W$2:W$3601, A$2:A$3601, A2363, B$2:B$3601, B2363), "OPTIMAL", "")</f>
        <v/>
      </c>
    </row>
    <row r="2364" ht="20" customHeight="1">
      <c r="A2364" s="21" t="n">
        <v>-18</v>
      </c>
      <c r="B2364" s="21" t="n">
        <v>30</v>
      </c>
      <c r="C2364" s="22" t="n">
        <v>105</v>
      </c>
      <c r="D2364" s="22" t="n">
        <v>2</v>
      </c>
      <c r="E2364" s="23" t="n">
        <v>0</v>
      </c>
      <c r="F2364" s="22" t="n">
        <v>0</v>
      </c>
      <c r="G2364" s="23" t="inlineStr">
        <is>
          <t>Non</t>
        </is>
      </c>
      <c r="H2364" s="23" t="inlineStr">
        <is>
          <t>ON</t>
        </is>
      </c>
      <c r="I2364" s="24" t="n">
        <v>674.4931640486259</v>
      </c>
      <c r="J2364" s="24" t="n">
        <v>5144.556481985902</v>
      </c>
      <c r="K2364" s="24" t="n">
        <v>3782.407407407407</v>
      </c>
      <c r="L2364" s="24" t="n">
        <v>150</v>
      </c>
      <c r="M2364" s="24">
        <f>I2364+J2364+K2364+L2364</f>
        <v/>
      </c>
      <c r="N2364" s="24">
        <f>M2364*'Dashboard &amp; Optimisation'!$B$18/('Dashboard &amp; Optimisation'!$B$16/3.6)</f>
        <v/>
      </c>
      <c r="O2364" s="24" t="n">
        <v>400.3306093865791</v>
      </c>
      <c r="P2364" s="25" t="n">
        <v>0.4737055797783027</v>
      </c>
      <c r="Q2364" s="26" t="n">
        <v>0.2</v>
      </c>
      <c r="R2364" s="24" t="n">
        <v>483.6480489012122</v>
      </c>
      <c r="S2364" s="24">
        <f>R2364*IF(A2364=4, 2.0, 3.0)</f>
        <v/>
      </c>
      <c r="T2364" s="22">
        <f>'Dashboard &amp; Optimisation'!$B$18*U2364</f>
        <v/>
      </c>
      <c r="U2364" s="27">
        <f>MIN(1, S2364/M2364)</f>
        <v/>
      </c>
      <c r="V2364" s="27">
        <f>N2364/(N2364+O2364)</f>
        <v/>
      </c>
      <c r="W2364" s="27">
        <f>U2364*V2364</f>
        <v/>
      </c>
      <c r="X2364" s="25">
        <f>T2364/N2364</f>
        <v/>
      </c>
      <c r="Y2364" s="28">
        <f>IF(W2364=MAXIFS(W$2:W$3601, A$2:A$3601, A2364, B$2:B$3601, B2364), "OPTIMAL", "")</f>
        <v/>
      </c>
    </row>
    <row r="2365" ht="20" customHeight="1">
      <c r="A2365" s="29" t="n">
        <v>-18</v>
      </c>
      <c r="B2365" s="29" t="n">
        <v>30</v>
      </c>
      <c r="C2365" s="30" t="n">
        <v>105</v>
      </c>
      <c r="D2365" s="30" t="n">
        <v>2</v>
      </c>
      <c r="E2365" s="6" t="n">
        <v>0</v>
      </c>
      <c r="F2365" s="30" t="n">
        <v>0</v>
      </c>
      <c r="G2365" s="6" t="inlineStr">
        <is>
          <t>Non</t>
        </is>
      </c>
      <c r="H2365" s="6" t="inlineStr">
        <is>
          <t>OFF</t>
        </is>
      </c>
      <c r="I2365" s="31" t="n">
        <v>674.4931640486259</v>
      </c>
      <c r="J2365" s="31" t="n">
        <v>5144.556481985902</v>
      </c>
      <c r="K2365" s="31" t="n">
        <v>3782.407407407407</v>
      </c>
      <c r="L2365" s="31" t="n">
        <v>150</v>
      </c>
      <c r="M2365" s="31">
        <f>I2365+J2365+K2365+L2365</f>
        <v/>
      </c>
      <c r="N2365" s="31">
        <f>M2365*'Dashboard &amp; Optimisation'!$B$18/('Dashboard &amp; Optimisation'!$B$16/3.6)</f>
        <v/>
      </c>
      <c r="O2365" s="31" t="n">
        <v>400.3306093865791</v>
      </c>
      <c r="P2365" s="32" t="n">
        <v>0.7768578523342939</v>
      </c>
      <c r="Q2365" s="33" t="n">
        <v>0.2</v>
      </c>
      <c r="R2365" s="31" t="n">
        <v>294.9146729031265</v>
      </c>
      <c r="S2365" s="31">
        <f>R2365*IF(A2365=4, 2.0, 3.0)</f>
        <v/>
      </c>
      <c r="T2365" s="30">
        <f>'Dashboard &amp; Optimisation'!$B$18*U2365</f>
        <v/>
      </c>
      <c r="U2365" s="34">
        <f>MIN(1, S2365/M2365)</f>
        <v/>
      </c>
      <c r="V2365" s="34">
        <f>N2365/(N2365+O2365)</f>
        <v/>
      </c>
      <c r="W2365" s="34">
        <f>U2365*V2365</f>
        <v/>
      </c>
      <c r="X2365" s="32">
        <f>T2365/N2365</f>
        <v/>
      </c>
      <c r="Y2365" s="35">
        <f>IF(W2365=MAXIFS(W$2:W$3601, A$2:A$3601, A2365, B$2:B$3601, B2365), "OPTIMAL", "")</f>
        <v/>
      </c>
    </row>
    <row r="2366" ht="20" customHeight="1">
      <c r="A2366" s="36" t="n">
        <v>-18</v>
      </c>
      <c r="B2366" s="36" t="n">
        <v>30</v>
      </c>
      <c r="C2366" s="37" t="n">
        <v>105</v>
      </c>
      <c r="D2366" s="37" t="n">
        <v>2</v>
      </c>
      <c r="E2366" s="38" t="n">
        <v>4</v>
      </c>
      <c r="F2366" s="37" t="n">
        <v>1.5</v>
      </c>
      <c r="G2366" s="38" t="inlineStr">
        <is>
          <t>Oui</t>
        </is>
      </c>
      <c r="H2366" s="38" t="inlineStr">
        <is>
          <t>ON</t>
        </is>
      </c>
      <c r="I2366" s="39" t="n">
        <v>674.4931640486259</v>
      </c>
      <c r="J2366" s="39" t="n">
        <v>5144.556481985902</v>
      </c>
      <c r="K2366" s="39" t="n">
        <v>3782.407407407407</v>
      </c>
      <c r="L2366" s="39" t="n">
        <v>150</v>
      </c>
      <c r="M2366" s="39">
        <f>I2366+J2366+K2366+L2366</f>
        <v/>
      </c>
      <c r="N2366" s="39">
        <f>M2366*'Dashboard &amp; Optimisation'!$B$18/('Dashboard &amp; Optimisation'!$B$16/3.6)</f>
        <v/>
      </c>
      <c r="O2366" s="39" t="n">
        <v>624.8544565168789</v>
      </c>
      <c r="P2366" s="40" t="n">
        <v>0.07211788842163316</v>
      </c>
      <c r="Q2366" s="41" t="n">
        <v>6.39626436661611</v>
      </c>
      <c r="R2366" s="39" t="n">
        <v>3275.951604672847</v>
      </c>
      <c r="S2366" s="39">
        <f>R2366*IF(A2366=4, 2.0, 3.0)</f>
        <v/>
      </c>
      <c r="T2366" s="37">
        <f>'Dashboard &amp; Optimisation'!$B$18*U2366</f>
        <v/>
      </c>
      <c r="U2366" s="42">
        <f>MIN(1, S2366/M2366)</f>
        <v/>
      </c>
      <c r="V2366" s="42">
        <f>N2366/(N2366+O2366)</f>
        <v/>
      </c>
      <c r="W2366" s="42">
        <f>U2366*V2366</f>
        <v/>
      </c>
      <c r="X2366" s="40">
        <f>T2366/N2366</f>
        <v/>
      </c>
      <c r="Y2366" s="15">
        <f>IF(W2366=MAXIFS(W$2:W$3601, A$2:A$3601, A2366, B$2:B$3601, B2366), "OPTIMAL", "")</f>
        <v/>
      </c>
    </row>
    <row r="2367" ht="20" customHeight="1">
      <c r="A2367" s="29" t="n">
        <v>-18</v>
      </c>
      <c r="B2367" s="29" t="n">
        <v>30</v>
      </c>
      <c r="C2367" s="30" t="n">
        <v>105</v>
      </c>
      <c r="D2367" s="30" t="n">
        <v>2</v>
      </c>
      <c r="E2367" s="6" t="n">
        <v>4</v>
      </c>
      <c r="F2367" s="30" t="n">
        <v>1.5</v>
      </c>
      <c r="G2367" s="6" t="inlineStr">
        <is>
          <t>Oui</t>
        </is>
      </c>
      <c r="H2367" s="6" t="inlineStr">
        <is>
          <t>OFF</t>
        </is>
      </c>
      <c r="I2367" s="31" t="n">
        <v>674.4931640486259</v>
      </c>
      <c r="J2367" s="31" t="n">
        <v>5144.556481985902</v>
      </c>
      <c r="K2367" s="31" t="n">
        <v>3782.407407407407</v>
      </c>
      <c r="L2367" s="31" t="n">
        <v>150</v>
      </c>
      <c r="M2367" s="31">
        <f>I2367+J2367+K2367+L2367</f>
        <v/>
      </c>
      <c r="N2367" s="31">
        <f>M2367*'Dashboard &amp; Optimisation'!$B$18/('Dashboard &amp; Optimisation'!$B$16/3.6)</f>
        <v/>
      </c>
      <c r="O2367" s="31" t="n">
        <v>624.8544565168789</v>
      </c>
      <c r="P2367" s="32" t="n">
        <v>0.297414701598841</v>
      </c>
      <c r="Q2367" s="33" t="n">
        <v>6.39626436661611</v>
      </c>
      <c r="R2367" s="31" t="n">
        <v>794.3612438470901</v>
      </c>
      <c r="S2367" s="31">
        <f>R2367*IF(A2367=4, 2.0, 3.0)</f>
        <v/>
      </c>
      <c r="T2367" s="30">
        <f>'Dashboard &amp; Optimisation'!$B$18*U2367</f>
        <v/>
      </c>
      <c r="U2367" s="34">
        <f>MIN(1, S2367/M2367)</f>
        <v/>
      </c>
      <c r="V2367" s="34">
        <f>N2367/(N2367+O2367)</f>
        <v/>
      </c>
      <c r="W2367" s="34">
        <f>U2367*V2367</f>
        <v/>
      </c>
      <c r="X2367" s="32">
        <f>T2367/N2367</f>
        <v/>
      </c>
      <c r="Y2367" s="35">
        <f>IF(W2367=MAXIFS(W$2:W$3601, A$2:A$3601, A2367, B$2:B$3601, B2367), "OPTIMAL", "")</f>
        <v/>
      </c>
    </row>
    <row r="2368" ht="20" customHeight="1">
      <c r="A2368" s="36" t="n">
        <v>-18</v>
      </c>
      <c r="B2368" s="36" t="n">
        <v>30</v>
      </c>
      <c r="C2368" s="37" t="n">
        <v>105</v>
      </c>
      <c r="D2368" s="37" t="n">
        <v>2</v>
      </c>
      <c r="E2368" s="38" t="n">
        <v>4</v>
      </c>
      <c r="F2368" s="37" t="n">
        <v>1.5</v>
      </c>
      <c r="G2368" s="38" t="inlineStr">
        <is>
          <t>Non</t>
        </is>
      </c>
      <c r="H2368" s="38" t="inlineStr">
        <is>
          <t>ON</t>
        </is>
      </c>
      <c r="I2368" s="39" t="n">
        <v>674.4931640486259</v>
      </c>
      <c r="J2368" s="39" t="n">
        <v>5144.556481985902</v>
      </c>
      <c r="K2368" s="39" t="n">
        <v>3782.407407407407</v>
      </c>
      <c r="L2368" s="39" t="n">
        <v>150</v>
      </c>
      <c r="M2368" s="39">
        <f>I2368+J2368+K2368+L2368</f>
        <v/>
      </c>
      <c r="N2368" s="39">
        <f>M2368*'Dashboard &amp; Optimisation'!$B$18/('Dashboard &amp; Optimisation'!$B$16/3.6)</f>
        <v/>
      </c>
      <c r="O2368" s="39" t="n">
        <v>624.8544565168789</v>
      </c>
      <c r="P2368" s="40" t="n">
        <v>0.06908636569607325</v>
      </c>
      <c r="Q2368" s="41" t="n">
        <v>6.39626436661611</v>
      </c>
      <c r="R2368" s="39" t="n">
        <v>3419.700977466453</v>
      </c>
      <c r="S2368" s="39">
        <f>R2368*IF(A2368=4, 2.0, 3.0)</f>
        <v/>
      </c>
      <c r="T2368" s="37">
        <f>'Dashboard &amp; Optimisation'!$B$18*U2368</f>
        <v/>
      </c>
      <c r="U2368" s="42">
        <f>MIN(1, S2368/M2368)</f>
        <v/>
      </c>
      <c r="V2368" s="42">
        <f>N2368/(N2368+O2368)</f>
        <v/>
      </c>
      <c r="W2368" s="42">
        <f>U2368*V2368</f>
        <v/>
      </c>
      <c r="X2368" s="40">
        <f>T2368/N2368</f>
        <v/>
      </c>
      <c r="Y2368" s="15">
        <f>IF(W2368=MAXIFS(W$2:W$3601, A$2:A$3601, A2368, B$2:B$3601, B2368), "OPTIMAL", "")</f>
        <v/>
      </c>
    </row>
    <row r="2369" ht="20" customHeight="1">
      <c r="A2369" s="29" t="n">
        <v>-18</v>
      </c>
      <c r="B2369" s="29" t="n">
        <v>30</v>
      </c>
      <c r="C2369" s="30" t="n">
        <v>105</v>
      </c>
      <c r="D2369" s="30" t="n">
        <v>2</v>
      </c>
      <c r="E2369" s="6" t="n">
        <v>4</v>
      </c>
      <c r="F2369" s="30" t="n">
        <v>1.5</v>
      </c>
      <c r="G2369" s="6" t="inlineStr">
        <is>
          <t>Non</t>
        </is>
      </c>
      <c r="H2369" s="6" t="inlineStr">
        <is>
          <t>OFF</t>
        </is>
      </c>
      <c r="I2369" s="31" t="n">
        <v>674.4931640486259</v>
      </c>
      <c r="J2369" s="31" t="n">
        <v>5144.556481985902</v>
      </c>
      <c r="K2369" s="31" t="n">
        <v>3782.407407407407</v>
      </c>
      <c r="L2369" s="31" t="n">
        <v>150</v>
      </c>
      <c r="M2369" s="31">
        <f>I2369+J2369+K2369+L2369</f>
        <v/>
      </c>
      <c r="N2369" s="31">
        <f>M2369*'Dashboard &amp; Optimisation'!$B$18/('Dashboard &amp; Optimisation'!$B$16/3.6)</f>
        <v/>
      </c>
      <c r="O2369" s="31" t="n">
        <v>624.8544565168789</v>
      </c>
      <c r="P2369" s="32" t="n">
        <v>0.2943831788732811</v>
      </c>
      <c r="Q2369" s="33" t="n">
        <v>6.39626436661611</v>
      </c>
      <c r="R2369" s="31" t="n">
        <v>802.5414808166184</v>
      </c>
      <c r="S2369" s="31">
        <f>R2369*IF(A2369=4, 2.0, 3.0)</f>
        <v/>
      </c>
      <c r="T2369" s="30">
        <f>'Dashboard &amp; Optimisation'!$B$18*U2369</f>
        <v/>
      </c>
      <c r="U2369" s="34">
        <f>MIN(1, S2369/M2369)</f>
        <v/>
      </c>
      <c r="V2369" s="34">
        <f>N2369/(N2369+O2369)</f>
        <v/>
      </c>
      <c r="W2369" s="34">
        <f>U2369*V2369</f>
        <v/>
      </c>
      <c r="X2369" s="32">
        <f>T2369/N2369</f>
        <v/>
      </c>
      <c r="Y2369" s="35">
        <f>IF(W2369=MAXIFS(W$2:W$3601, A$2:A$3601, A2369, B$2:B$3601, B2369), "OPTIMAL", "")</f>
        <v/>
      </c>
    </row>
    <row r="2370" ht="20" customHeight="1">
      <c r="A2370" s="21" t="n">
        <v>-18</v>
      </c>
      <c r="B2370" s="21" t="n">
        <v>30</v>
      </c>
      <c r="C2370" s="22" t="n">
        <v>105</v>
      </c>
      <c r="D2370" s="22" t="n">
        <v>2</v>
      </c>
      <c r="E2370" s="23" t="n">
        <v>4</v>
      </c>
      <c r="F2370" s="22" t="n">
        <v>2</v>
      </c>
      <c r="G2370" s="23" t="inlineStr">
        <is>
          <t>Oui</t>
        </is>
      </c>
      <c r="H2370" s="23" t="inlineStr">
        <is>
          <t>ON</t>
        </is>
      </c>
      <c r="I2370" s="24" t="n">
        <v>674.4931640486259</v>
      </c>
      <c r="J2370" s="24" t="n">
        <v>5144.556481985902</v>
      </c>
      <c r="K2370" s="24" t="n">
        <v>3782.407407407407</v>
      </c>
      <c r="L2370" s="24" t="n">
        <v>150</v>
      </c>
      <c r="M2370" s="24">
        <f>I2370+J2370+K2370+L2370</f>
        <v/>
      </c>
      <c r="N2370" s="24">
        <f>M2370*'Dashboard &amp; Optimisation'!$B$18/('Dashboard &amp; Optimisation'!$B$16/3.6)</f>
        <v/>
      </c>
      <c r="O2370" s="24" t="n">
        <v>702.8417675146325</v>
      </c>
      <c r="P2370" s="25" t="n">
        <v>0.06926604745833413</v>
      </c>
      <c r="Q2370" s="26" t="n">
        <v>8.461685822154816</v>
      </c>
      <c r="R2370" s="24" t="n">
        <v>3446.674412748927</v>
      </c>
      <c r="S2370" s="24">
        <f>R2370*IF(A2370=4, 2.0, 3.0)</f>
        <v/>
      </c>
      <c r="T2370" s="22">
        <f>'Dashboard &amp; Optimisation'!$B$18*U2370</f>
        <v/>
      </c>
      <c r="U2370" s="27">
        <f>MIN(1, S2370/M2370)</f>
        <v/>
      </c>
      <c r="V2370" s="27">
        <f>N2370/(N2370+O2370)</f>
        <v/>
      </c>
      <c r="W2370" s="27">
        <f>U2370*V2370</f>
        <v/>
      </c>
      <c r="X2370" s="25">
        <f>T2370/N2370</f>
        <v/>
      </c>
      <c r="Y2370" s="28">
        <f>IF(W2370=MAXIFS(W$2:W$3601, A$2:A$3601, A2370, B$2:B$3601, B2370), "OPTIMAL", "")</f>
        <v/>
      </c>
    </row>
    <row r="2371" ht="20" customHeight="1">
      <c r="A2371" s="29" t="n">
        <v>-18</v>
      </c>
      <c r="B2371" s="29" t="n">
        <v>30</v>
      </c>
      <c r="C2371" s="30" t="n">
        <v>105</v>
      </c>
      <c r="D2371" s="30" t="n">
        <v>2</v>
      </c>
      <c r="E2371" s="6" t="n">
        <v>4</v>
      </c>
      <c r="F2371" s="30" t="n">
        <v>2</v>
      </c>
      <c r="G2371" s="6" t="inlineStr">
        <is>
          <t>Oui</t>
        </is>
      </c>
      <c r="H2371" s="6" t="inlineStr">
        <is>
          <t>OFF</t>
        </is>
      </c>
      <c r="I2371" s="31" t="n">
        <v>674.4931640486259</v>
      </c>
      <c r="J2371" s="31" t="n">
        <v>5144.556481985902</v>
      </c>
      <c r="K2371" s="31" t="n">
        <v>3782.407407407407</v>
      </c>
      <c r="L2371" s="31" t="n">
        <v>150</v>
      </c>
      <c r="M2371" s="31">
        <f>I2371+J2371+K2371+L2371</f>
        <v/>
      </c>
      <c r="N2371" s="31">
        <f>M2371*'Dashboard &amp; Optimisation'!$B$18/('Dashboard &amp; Optimisation'!$B$16/3.6)</f>
        <v/>
      </c>
      <c r="O2371" s="31" t="n">
        <v>702.8417675146325</v>
      </c>
      <c r="P2371" s="32" t="n">
        <v>0.2955807767744409</v>
      </c>
      <c r="Q2371" s="33" t="n">
        <v>8.461685822154816</v>
      </c>
      <c r="R2371" s="31" t="n">
        <v>807.6895799927978</v>
      </c>
      <c r="S2371" s="31">
        <f>R2371*IF(A2371=4, 2.0, 3.0)</f>
        <v/>
      </c>
      <c r="T2371" s="30">
        <f>'Dashboard &amp; Optimisation'!$B$18*U2371</f>
        <v/>
      </c>
      <c r="U2371" s="34">
        <f>MIN(1, S2371/M2371)</f>
        <v/>
      </c>
      <c r="V2371" s="34">
        <f>N2371/(N2371+O2371)</f>
        <v/>
      </c>
      <c r="W2371" s="34">
        <f>U2371*V2371</f>
        <v/>
      </c>
      <c r="X2371" s="32">
        <f>T2371/N2371</f>
        <v/>
      </c>
      <c r="Y2371" s="35">
        <f>IF(W2371=MAXIFS(W$2:W$3601, A$2:A$3601, A2371, B$2:B$3601, B2371), "OPTIMAL", "")</f>
        <v/>
      </c>
    </row>
    <row r="2372" ht="20" customHeight="1">
      <c r="A2372" s="21" t="n">
        <v>-18</v>
      </c>
      <c r="B2372" s="21" t="n">
        <v>30</v>
      </c>
      <c r="C2372" s="22" t="n">
        <v>105</v>
      </c>
      <c r="D2372" s="22" t="n">
        <v>2</v>
      </c>
      <c r="E2372" s="23" t="n">
        <v>4</v>
      </c>
      <c r="F2372" s="22" t="n">
        <v>2</v>
      </c>
      <c r="G2372" s="23" t="inlineStr">
        <is>
          <t>Non</t>
        </is>
      </c>
      <c r="H2372" s="23" t="inlineStr">
        <is>
          <t>ON</t>
        </is>
      </c>
      <c r="I2372" s="24" t="n">
        <v>674.4931640486259</v>
      </c>
      <c r="J2372" s="24" t="n">
        <v>5144.556481985902</v>
      </c>
      <c r="K2372" s="24" t="n">
        <v>3782.407407407407</v>
      </c>
      <c r="L2372" s="24" t="n">
        <v>150</v>
      </c>
      <c r="M2372" s="24">
        <f>I2372+J2372+K2372+L2372</f>
        <v/>
      </c>
      <c r="N2372" s="24">
        <f>M2372*'Dashboard &amp; Optimisation'!$B$18/('Dashboard &amp; Optimisation'!$B$16/3.6)</f>
        <v/>
      </c>
      <c r="O2372" s="24" t="n">
        <v>702.8417675146325</v>
      </c>
      <c r="P2372" s="25" t="n">
        <v>0.06623452473277422</v>
      </c>
      <c r="Q2372" s="26" t="n">
        <v>8.461685822154816</v>
      </c>
      <c r="R2372" s="24" t="n">
        <v>3604.427062926608</v>
      </c>
      <c r="S2372" s="24">
        <f>R2372*IF(A2372=4, 2.0, 3.0)</f>
        <v/>
      </c>
      <c r="T2372" s="22">
        <f>'Dashboard &amp; Optimisation'!$B$18*U2372</f>
        <v/>
      </c>
      <c r="U2372" s="27">
        <f>MIN(1, S2372/M2372)</f>
        <v/>
      </c>
      <c r="V2372" s="27">
        <f>N2372/(N2372+O2372)</f>
        <v/>
      </c>
      <c r="W2372" s="27">
        <f>U2372*V2372</f>
        <v/>
      </c>
      <c r="X2372" s="25">
        <f>T2372/N2372</f>
        <v/>
      </c>
      <c r="Y2372" s="28">
        <f>IF(W2372=MAXIFS(W$2:W$3601, A$2:A$3601, A2372, B$2:B$3601, B2372), "OPTIMAL", "")</f>
        <v/>
      </c>
    </row>
    <row r="2373" ht="20" customHeight="1">
      <c r="A2373" s="29" t="n">
        <v>-18</v>
      </c>
      <c r="B2373" s="29" t="n">
        <v>30</v>
      </c>
      <c r="C2373" s="30" t="n">
        <v>105</v>
      </c>
      <c r="D2373" s="30" t="n">
        <v>2</v>
      </c>
      <c r="E2373" s="6" t="n">
        <v>4</v>
      </c>
      <c r="F2373" s="30" t="n">
        <v>2</v>
      </c>
      <c r="G2373" s="6" t="inlineStr">
        <is>
          <t>Non</t>
        </is>
      </c>
      <c r="H2373" s="6" t="inlineStr">
        <is>
          <t>OFF</t>
        </is>
      </c>
      <c r="I2373" s="31" t="n">
        <v>674.4931640486259</v>
      </c>
      <c r="J2373" s="31" t="n">
        <v>5144.556481985902</v>
      </c>
      <c r="K2373" s="31" t="n">
        <v>3782.407407407407</v>
      </c>
      <c r="L2373" s="31" t="n">
        <v>150</v>
      </c>
      <c r="M2373" s="31">
        <f>I2373+J2373+K2373+L2373</f>
        <v/>
      </c>
      <c r="N2373" s="31">
        <f>M2373*'Dashboard &amp; Optimisation'!$B$18/('Dashboard &amp; Optimisation'!$B$16/3.6)</f>
        <v/>
      </c>
      <c r="O2373" s="31" t="n">
        <v>702.8417675146325</v>
      </c>
      <c r="P2373" s="32" t="n">
        <v>0.292549254048881</v>
      </c>
      <c r="Q2373" s="33" t="n">
        <v>8.461685822154816</v>
      </c>
      <c r="R2373" s="31" t="n">
        <v>816.0592110311903</v>
      </c>
      <c r="S2373" s="31">
        <f>R2373*IF(A2373=4, 2.0, 3.0)</f>
        <v/>
      </c>
      <c r="T2373" s="30">
        <f>'Dashboard &amp; Optimisation'!$B$18*U2373</f>
        <v/>
      </c>
      <c r="U2373" s="34">
        <f>MIN(1, S2373/M2373)</f>
        <v/>
      </c>
      <c r="V2373" s="34">
        <f>N2373/(N2373+O2373)</f>
        <v/>
      </c>
      <c r="W2373" s="34">
        <f>U2373*V2373</f>
        <v/>
      </c>
      <c r="X2373" s="32">
        <f>T2373/N2373</f>
        <v/>
      </c>
      <c r="Y2373" s="35">
        <f>IF(W2373=MAXIFS(W$2:W$3601, A$2:A$3601, A2373, B$2:B$3601, B2373), "OPTIMAL", "")</f>
        <v/>
      </c>
    </row>
    <row r="2374" ht="20" customHeight="1">
      <c r="A2374" s="21" t="n">
        <v>-18</v>
      </c>
      <c r="B2374" s="21" t="n">
        <v>30</v>
      </c>
      <c r="C2374" s="22" t="n">
        <v>105</v>
      </c>
      <c r="D2374" s="22" t="n">
        <v>2</v>
      </c>
      <c r="E2374" s="23" t="n">
        <v>8</v>
      </c>
      <c r="F2374" s="22" t="n">
        <v>1.5</v>
      </c>
      <c r="G2374" s="23" t="inlineStr">
        <is>
          <t>Oui</t>
        </is>
      </c>
      <c r="H2374" s="23" t="inlineStr">
        <is>
          <t>ON</t>
        </is>
      </c>
      <c r="I2374" s="24" t="n">
        <v>674.4931640486259</v>
      </c>
      <c r="J2374" s="24" t="n">
        <v>5144.556481985902</v>
      </c>
      <c r="K2374" s="24" t="n">
        <v>3782.407407407407</v>
      </c>
      <c r="L2374" s="24" t="n">
        <v>150</v>
      </c>
      <c r="M2374" s="24">
        <f>I2374+J2374+K2374+L2374</f>
        <v/>
      </c>
      <c r="N2374" s="24">
        <f>M2374*'Dashboard &amp; Optimisation'!$B$18/('Dashboard &amp; Optimisation'!$B$16/3.6)</f>
        <v/>
      </c>
      <c r="O2374" s="24" t="n">
        <v>863.8393752913266</v>
      </c>
      <c r="P2374" s="25" t="n">
        <v>0.0545652421498049</v>
      </c>
      <c r="Q2374" s="26" t="n">
        <v>12.59252873323222</v>
      </c>
      <c r="R2374" s="24" t="n">
        <v>4469.200863429786</v>
      </c>
      <c r="S2374" s="24">
        <f>R2374*IF(A2374=4, 2.0, 3.0)</f>
        <v/>
      </c>
      <c r="T2374" s="22">
        <f>'Dashboard &amp; Optimisation'!$B$18*U2374</f>
        <v/>
      </c>
      <c r="U2374" s="27">
        <f>MIN(1, S2374/M2374)</f>
        <v/>
      </c>
      <c r="V2374" s="27">
        <f>N2374/(N2374+O2374)</f>
        <v/>
      </c>
      <c r="W2374" s="27">
        <f>U2374*V2374</f>
        <v/>
      </c>
      <c r="X2374" s="25">
        <f>T2374/N2374</f>
        <v/>
      </c>
      <c r="Y2374" s="28">
        <f>IF(W2374=MAXIFS(W$2:W$3601, A$2:A$3601, A2374, B$2:B$3601, B2374), "OPTIMAL", "")</f>
        <v/>
      </c>
    </row>
    <row r="2375" ht="20" customHeight="1">
      <c r="A2375" s="29" t="n">
        <v>-18</v>
      </c>
      <c r="B2375" s="29" t="n">
        <v>30</v>
      </c>
      <c r="C2375" s="30" t="n">
        <v>105</v>
      </c>
      <c r="D2375" s="30" t="n">
        <v>2</v>
      </c>
      <c r="E2375" s="6" t="n">
        <v>8</v>
      </c>
      <c r="F2375" s="30" t="n">
        <v>1.5</v>
      </c>
      <c r="G2375" s="6" t="inlineStr">
        <is>
          <t>Oui</t>
        </is>
      </c>
      <c r="H2375" s="6" t="inlineStr">
        <is>
          <t>OFF</t>
        </is>
      </c>
      <c r="I2375" s="31" t="n">
        <v>674.4931640486259</v>
      </c>
      <c r="J2375" s="31" t="n">
        <v>5144.556481985902</v>
      </c>
      <c r="K2375" s="31" t="n">
        <v>3782.407407407407</v>
      </c>
      <c r="L2375" s="31" t="n">
        <v>150</v>
      </c>
      <c r="M2375" s="31">
        <f>I2375+J2375+K2375+L2375</f>
        <v/>
      </c>
      <c r="N2375" s="31">
        <f>M2375*'Dashboard &amp; Optimisation'!$B$18/('Dashboard &amp; Optimisation'!$B$16/3.6)</f>
        <v/>
      </c>
      <c r="O2375" s="31" t="n">
        <v>863.8393752913266</v>
      </c>
      <c r="P2375" s="32" t="n">
        <v>0.233823801442431</v>
      </c>
      <c r="Q2375" s="33" t="n">
        <v>12.59252873323222</v>
      </c>
      <c r="R2375" s="31" t="n">
        <v>1042.935004156128</v>
      </c>
      <c r="S2375" s="31">
        <f>R2375*IF(A2375=4, 2.0, 3.0)</f>
        <v/>
      </c>
      <c r="T2375" s="30">
        <f>'Dashboard &amp; Optimisation'!$B$18*U2375</f>
        <v/>
      </c>
      <c r="U2375" s="34">
        <f>MIN(1, S2375/M2375)</f>
        <v/>
      </c>
      <c r="V2375" s="34">
        <f>N2375/(N2375+O2375)</f>
        <v/>
      </c>
      <c r="W2375" s="34">
        <f>U2375*V2375</f>
        <v/>
      </c>
      <c r="X2375" s="32">
        <f>T2375/N2375</f>
        <v/>
      </c>
      <c r="Y2375" s="35">
        <f>IF(W2375=MAXIFS(W$2:W$3601, A$2:A$3601, A2375, B$2:B$3601, B2375), "OPTIMAL", "")</f>
        <v/>
      </c>
    </row>
    <row r="2376" ht="20" customHeight="1">
      <c r="A2376" s="21" t="n">
        <v>-18</v>
      </c>
      <c r="B2376" s="21" t="n">
        <v>30</v>
      </c>
      <c r="C2376" s="22" t="n">
        <v>105</v>
      </c>
      <c r="D2376" s="22" t="n">
        <v>2</v>
      </c>
      <c r="E2376" s="23" t="n">
        <v>8</v>
      </c>
      <c r="F2376" s="22" t="n">
        <v>1.5</v>
      </c>
      <c r="G2376" s="23" t="inlineStr">
        <is>
          <t>Non</t>
        </is>
      </c>
      <c r="H2376" s="23" t="inlineStr">
        <is>
          <t>ON</t>
        </is>
      </c>
      <c r="I2376" s="24" t="n">
        <v>674.4931640486259</v>
      </c>
      <c r="J2376" s="24" t="n">
        <v>5144.556481985902</v>
      </c>
      <c r="K2376" s="24" t="n">
        <v>3782.407407407407</v>
      </c>
      <c r="L2376" s="24" t="n">
        <v>150</v>
      </c>
      <c r="M2376" s="24">
        <f>I2376+J2376+K2376+L2376</f>
        <v/>
      </c>
      <c r="N2376" s="24">
        <f>M2376*'Dashboard &amp; Optimisation'!$B$18/('Dashboard &amp; Optimisation'!$B$16/3.6)</f>
        <v/>
      </c>
      <c r="O2376" s="24" t="n">
        <v>863.8393752913266</v>
      </c>
      <c r="P2376" s="25" t="n">
        <v>0.05153371942424499</v>
      </c>
      <c r="Q2376" s="26" t="n">
        <v>12.59252873323222</v>
      </c>
      <c r="R2376" s="24" t="n">
        <v>4732.106086145095</v>
      </c>
      <c r="S2376" s="24">
        <f>R2376*IF(A2376=4, 2.0, 3.0)</f>
        <v/>
      </c>
      <c r="T2376" s="22">
        <f>'Dashboard &amp; Optimisation'!$B$18*U2376</f>
        <v/>
      </c>
      <c r="U2376" s="27">
        <f>MIN(1, S2376/M2376)</f>
        <v/>
      </c>
      <c r="V2376" s="27">
        <f>N2376/(N2376+O2376)</f>
        <v/>
      </c>
      <c r="W2376" s="27">
        <f>U2376*V2376</f>
        <v/>
      </c>
      <c r="X2376" s="25">
        <f>T2376/N2376</f>
        <v/>
      </c>
      <c r="Y2376" s="28">
        <f>IF(W2376=MAXIFS(W$2:W$3601, A$2:A$3601, A2376, B$2:B$3601, B2376), "OPTIMAL", "")</f>
        <v/>
      </c>
    </row>
    <row r="2377" ht="20" customHeight="1">
      <c r="A2377" s="29" t="n">
        <v>-18</v>
      </c>
      <c r="B2377" s="29" t="n">
        <v>30</v>
      </c>
      <c r="C2377" s="30" t="n">
        <v>105</v>
      </c>
      <c r="D2377" s="30" t="n">
        <v>2</v>
      </c>
      <c r="E2377" s="6" t="n">
        <v>8</v>
      </c>
      <c r="F2377" s="30" t="n">
        <v>1.5</v>
      </c>
      <c r="G2377" s="6" t="inlineStr">
        <is>
          <t>Non</t>
        </is>
      </c>
      <c r="H2377" s="6" t="inlineStr">
        <is>
          <t>OFF</t>
        </is>
      </c>
      <c r="I2377" s="31" t="n">
        <v>674.4931640486259</v>
      </c>
      <c r="J2377" s="31" t="n">
        <v>5144.556481985902</v>
      </c>
      <c r="K2377" s="31" t="n">
        <v>3782.407407407407</v>
      </c>
      <c r="L2377" s="31" t="n">
        <v>150</v>
      </c>
      <c r="M2377" s="31">
        <f>I2377+J2377+K2377+L2377</f>
        <v/>
      </c>
      <c r="N2377" s="31">
        <f>M2377*'Dashboard &amp; Optimisation'!$B$18/('Dashboard &amp; Optimisation'!$B$16/3.6)</f>
        <v/>
      </c>
      <c r="O2377" s="31" t="n">
        <v>863.8393752913266</v>
      </c>
      <c r="P2377" s="32" t="n">
        <v>0.2307922787168711</v>
      </c>
      <c r="Q2377" s="33" t="n">
        <v>12.59252873323222</v>
      </c>
      <c r="R2377" s="31" t="n">
        <v>1056.634254338843</v>
      </c>
      <c r="S2377" s="31">
        <f>R2377*IF(A2377=4, 2.0, 3.0)</f>
        <v/>
      </c>
      <c r="T2377" s="30">
        <f>'Dashboard &amp; Optimisation'!$B$18*U2377</f>
        <v/>
      </c>
      <c r="U2377" s="34">
        <f>MIN(1, S2377/M2377)</f>
        <v/>
      </c>
      <c r="V2377" s="34">
        <f>N2377/(N2377+O2377)</f>
        <v/>
      </c>
      <c r="W2377" s="34">
        <f>U2377*V2377</f>
        <v/>
      </c>
      <c r="X2377" s="32">
        <f>T2377/N2377</f>
        <v/>
      </c>
      <c r="Y2377" s="35">
        <f>IF(W2377=MAXIFS(W$2:W$3601, A$2:A$3601, A2377, B$2:B$3601, B2377), "OPTIMAL", "")</f>
        <v/>
      </c>
    </row>
    <row r="2378" ht="20" customHeight="1">
      <c r="A2378" s="21" t="n">
        <v>-18</v>
      </c>
      <c r="B2378" s="21" t="n">
        <v>30</v>
      </c>
      <c r="C2378" s="22" t="n">
        <v>105</v>
      </c>
      <c r="D2378" s="22" t="n">
        <v>2</v>
      </c>
      <c r="E2378" s="23" t="n">
        <v>8</v>
      </c>
      <c r="F2378" s="22" t="n">
        <v>2</v>
      </c>
      <c r="G2378" s="23" t="inlineStr">
        <is>
          <t>Oui</t>
        </is>
      </c>
      <c r="H2378" s="23" t="inlineStr">
        <is>
          <t>ON</t>
        </is>
      </c>
      <c r="I2378" s="24" t="n">
        <v>674.4931640486259</v>
      </c>
      <c r="J2378" s="24" t="n">
        <v>5144.556481985902</v>
      </c>
      <c r="K2378" s="24" t="n">
        <v>3782.407407407407</v>
      </c>
      <c r="L2378" s="24" t="n">
        <v>150</v>
      </c>
      <c r="M2378" s="24">
        <f>I2378+J2378+K2378+L2378</f>
        <v/>
      </c>
      <c r="N2378" s="24">
        <f>M2378*'Dashboard &amp; Optimisation'!$B$18/('Dashboard &amp; Optimisation'!$B$16/3.6)</f>
        <v/>
      </c>
      <c r="O2378" s="24" t="n">
        <v>1031.901649910561</v>
      </c>
      <c r="P2378" s="25" t="n">
        <v>0.05324035668794291</v>
      </c>
      <c r="Q2378" s="26" t="n">
        <v>16.72337164430963</v>
      </c>
      <c r="R2378" s="24" t="n">
        <v>4680.9125104902</v>
      </c>
      <c r="S2378" s="24">
        <f>R2378*IF(A2378=4, 2.0, 3.0)</f>
        <v/>
      </c>
      <c r="T2378" s="22">
        <f>'Dashboard &amp; Optimisation'!$B$18*U2378</f>
        <v/>
      </c>
      <c r="U2378" s="27">
        <f>MIN(1, S2378/M2378)</f>
        <v/>
      </c>
      <c r="V2378" s="27">
        <f>N2378/(N2378+O2378)</f>
        <v/>
      </c>
      <c r="W2378" s="27">
        <f>U2378*V2378</f>
        <v/>
      </c>
      <c r="X2378" s="25">
        <f>T2378/N2378</f>
        <v/>
      </c>
      <c r="Y2378" s="28">
        <f>IF(W2378=MAXIFS(W$2:W$3601, A$2:A$3601, A2378, B$2:B$3601, B2378), "OPTIMAL", "")</f>
        <v/>
      </c>
    </row>
    <row r="2379" ht="20" customHeight="1">
      <c r="A2379" s="29" t="n">
        <v>-18</v>
      </c>
      <c r="B2379" s="29" t="n">
        <v>30</v>
      </c>
      <c r="C2379" s="30" t="n">
        <v>105</v>
      </c>
      <c r="D2379" s="30" t="n">
        <v>2</v>
      </c>
      <c r="E2379" s="6" t="n">
        <v>8</v>
      </c>
      <c r="F2379" s="30" t="n">
        <v>2</v>
      </c>
      <c r="G2379" s="6" t="inlineStr">
        <is>
          <t>Oui</t>
        </is>
      </c>
      <c r="H2379" s="6" t="inlineStr">
        <is>
          <t>OFF</t>
        </is>
      </c>
      <c r="I2379" s="31" t="n">
        <v>674.4931640486259</v>
      </c>
      <c r="J2379" s="31" t="n">
        <v>5144.556481985902</v>
      </c>
      <c r="K2379" s="31" t="n">
        <v>3782.407407407407</v>
      </c>
      <c r="L2379" s="31" t="n">
        <v>150</v>
      </c>
      <c r="M2379" s="31">
        <f>I2379+J2379+K2379+L2379</f>
        <v/>
      </c>
      <c r="N2379" s="31">
        <f>M2379*'Dashboard &amp; Optimisation'!$B$18/('Dashboard &amp; Optimisation'!$B$16/3.6)</f>
        <v/>
      </c>
      <c r="O2379" s="31" t="n">
        <v>1031.901649910561</v>
      </c>
      <c r="P2379" s="32" t="n">
        <v>0.2337915759821405</v>
      </c>
      <c r="Q2379" s="33" t="n">
        <v>16.72337164430963</v>
      </c>
      <c r="R2379" s="31" t="n">
        <v>1065.964206095219</v>
      </c>
      <c r="S2379" s="31">
        <f>R2379*IF(A2379=4, 2.0, 3.0)</f>
        <v/>
      </c>
      <c r="T2379" s="30">
        <f>'Dashboard &amp; Optimisation'!$B$18*U2379</f>
        <v/>
      </c>
      <c r="U2379" s="34">
        <f>MIN(1, S2379/M2379)</f>
        <v/>
      </c>
      <c r="V2379" s="34">
        <f>N2379/(N2379+O2379)</f>
        <v/>
      </c>
      <c r="W2379" s="34">
        <f>U2379*V2379</f>
        <v/>
      </c>
      <c r="X2379" s="32">
        <f>T2379/N2379</f>
        <v/>
      </c>
      <c r="Y2379" s="35">
        <f>IF(W2379=MAXIFS(W$2:W$3601, A$2:A$3601, A2379, B$2:B$3601, B2379), "OPTIMAL", "")</f>
        <v/>
      </c>
    </row>
    <row r="2380" ht="20" customHeight="1">
      <c r="A2380" s="21" t="n">
        <v>-18</v>
      </c>
      <c r="B2380" s="21" t="n">
        <v>30</v>
      </c>
      <c r="C2380" s="22" t="n">
        <v>105</v>
      </c>
      <c r="D2380" s="22" t="n">
        <v>2</v>
      </c>
      <c r="E2380" s="23" t="n">
        <v>8</v>
      </c>
      <c r="F2380" s="22" t="n">
        <v>2</v>
      </c>
      <c r="G2380" s="23" t="inlineStr">
        <is>
          <t>Non</t>
        </is>
      </c>
      <c r="H2380" s="23" t="inlineStr">
        <is>
          <t>ON</t>
        </is>
      </c>
      <c r="I2380" s="24" t="n">
        <v>674.4931640486259</v>
      </c>
      <c r="J2380" s="24" t="n">
        <v>5144.556481985902</v>
      </c>
      <c r="K2380" s="24" t="n">
        <v>3782.407407407407</v>
      </c>
      <c r="L2380" s="24" t="n">
        <v>150</v>
      </c>
      <c r="M2380" s="24">
        <f>I2380+J2380+K2380+L2380</f>
        <v/>
      </c>
      <c r="N2380" s="24">
        <f>M2380*'Dashboard &amp; Optimisation'!$B$18/('Dashboard &amp; Optimisation'!$B$16/3.6)</f>
        <v/>
      </c>
      <c r="O2380" s="24" t="n">
        <v>1031.901649910561</v>
      </c>
      <c r="P2380" s="25" t="n">
        <v>0.05020883396238299</v>
      </c>
      <c r="Q2380" s="26" t="n">
        <v>16.72337164430963</v>
      </c>
      <c r="R2380" s="24" t="n">
        <v>4963.537927812981</v>
      </c>
      <c r="S2380" s="24">
        <f>R2380*IF(A2380=4, 2.0, 3.0)</f>
        <v/>
      </c>
      <c r="T2380" s="22">
        <f>'Dashboard &amp; Optimisation'!$B$18*U2380</f>
        <v/>
      </c>
      <c r="U2380" s="27">
        <f>MIN(1, S2380/M2380)</f>
        <v/>
      </c>
      <c r="V2380" s="27">
        <f>N2380/(N2380+O2380)</f>
        <v/>
      </c>
      <c r="W2380" s="27">
        <f>U2380*V2380</f>
        <v/>
      </c>
      <c r="X2380" s="25">
        <f>T2380/N2380</f>
        <v/>
      </c>
      <c r="Y2380" s="28">
        <f>IF(W2380=MAXIFS(W$2:W$3601, A$2:A$3601, A2380, B$2:B$3601, B2380), "OPTIMAL", "")</f>
        <v/>
      </c>
    </row>
    <row r="2381" ht="20" customHeight="1">
      <c r="A2381" s="29" t="n">
        <v>-18</v>
      </c>
      <c r="B2381" s="29" t="n">
        <v>30</v>
      </c>
      <c r="C2381" s="30" t="n">
        <v>105</v>
      </c>
      <c r="D2381" s="30" t="n">
        <v>2</v>
      </c>
      <c r="E2381" s="6" t="n">
        <v>8</v>
      </c>
      <c r="F2381" s="30" t="n">
        <v>2</v>
      </c>
      <c r="G2381" s="6" t="inlineStr">
        <is>
          <t>Non</t>
        </is>
      </c>
      <c r="H2381" s="6" t="inlineStr">
        <is>
          <t>OFF</t>
        </is>
      </c>
      <c r="I2381" s="31" t="n">
        <v>674.4931640486259</v>
      </c>
      <c r="J2381" s="31" t="n">
        <v>5144.556481985902</v>
      </c>
      <c r="K2381" s="31" t="n">
        <v>3782.407407407407</v>
      </c>
      <c r="L2381" s="31" t="n">
        <v>150</v>
      </c>
      <c r="M2381" s="31">
        <f>I2381+J2381+K2381+L2381</f>
        <v/>
      </c>
      <c r="N2381" s="31">
        <f>M2381*'Dashboard &amp; Optimisation'!$B$18/('Dashboard &amp; Optimisation'!$B$16/3.6)</f>
        <v/>
      </c>
      <c r="O2381" s="31" t="n">
        <v>1031.901649910561</v>
      </c>
      <c r="P2381" s="32" t="n">
        <v>0.2307600532565806</v>
      </c>
      <c r="Q2381" s="33" t="n">
        <v>16.72337164430963</v>
      </c>
      <c r="R2381" s="31" t="n">
        <v>1079.967906778275</v>
      </c>
      <c r="S2381" s="31">
        <f>R2381*IF(A2381=4, 2.0, 3.0)</f>
        <v/>
      </c>
      <c r="T2381" s="30">
        <f>'Dashboard &amp; Optimisation'!$B$18*U2381</f>
        <v/>
      </c>
      <c r="U2381" s="34">
        <f>MIN(1, S2381/M2381)</f>
        <v/>
      </c>
      <c r="V2381" s="34">
        <f>N2381/(N2381+O2381)</f>
        <v/>
      </c>
      <c r="W2381" s="34">
        <f>U2381*V2381</f>
        <v/>
      </c>
      <c r="X2381" s="32">
        <f>T2381/N2381</f>
        <v/>
      </c>
      <c r="Y2381" s="35">
        <f>IF(W2381=MAXIFS(W$2:W$3601, A$2:A$3601, A2381, B$2:B$3601, B2381), "OPTIMAL", "")</f>
        <v/>
      </c>
    </row>
    <row r="2382" ht="20" customHeight="1">
      <c r="A2382" s="21" t="n">
        <v>-18</v>
      </c>
      <c r="B2382" s="21" t="n">
        <v>30</v>
      </c>
      <c r="C2382" s="22" t="n">
        <v>105</v>
      </c>
      <c r="D2382" s="22" t="n">
        <v>3</v>
      </c>
      <c r="E2382" s="23" t="n">
        <v>0</v>
      </c>
      <c r="F2382" s="22" t="n">
        <v>0</v>
      </c>
      <c r="G2382" s="23" t="inlineStr">
        <is>
          <t>Oui</t>
        </is>
      </c>
      <c r="H2382" s="23" t="inlineStr">
        <is>
          <t>ON</t>
        </is>
      </c>
      <c r="I2382" s="24" t="n">
        <v>674.4931640486259</v>
      </c>
      <c r="J2382" s="24" t="n">
        <v>5144.556481985902</v>
      </c>
      <c r="K2382" s="24" t="n">
        <v>3782.407407407407</v>
      </c>
      <c r="L2382" s="24" t="n">
        <v>150</v>
      </c>
      <c r="M2382" s="24">
        <f>I2382+J2382+K2382+L2382</f>
        <v/>
      </c>
      <c r="N2382" s="24">
        <f>M2382*'Dashboard &amp; Optimisation'!$B$18/('Dashboard &amp; Optimisation'!$B$16/3.6)</f>
        <v/>
      </c>
      <c r="O2382" s="24" t="n">
        <v>618.9354559540002</v>
      </c>
      <c r="P2382" s="25" t="n">
        <v>0.4767526303329919</v>
      </c>
      <c r="Q2382" s="26" t="n">
        <v>0.2</v>
      </c>
      <c r="R2382" s="24" t="n">
        <v>500.1694951302573</v>
      </c>
      <c r="S2382" s="24">
        <f>R2382*IF(A2382=4, 2.0, 3.0)</f>
        <v/>
      </c>
      <c r="T2382" s="22">
        <f>'Dashboard &amp; Optimisation'!$B$18*U2382</f>
        <v/>
      </c>
      <c r="U2382" s="27">
        <f>MIN(1, S2382/M2382)</f>
        <v/>
      </c>
      <c r="V2382" s="27">
        <f>N2382/(N2382+O2382)</f>
        <v/>
      </c>
      <c r="W2382" s="27">
        <f>U2382*V2382</f>
        <v/>
      </c>
      <c r="X2382" s="25">
        <f>T2382/N2382</f>
        <v/>
      </c>
      <c r="Y2382" s="28">
        <f>IF(W2382=MAXIFS(W$2:W$3601, A$2:A$3601, A2382, B$2:B$3601, B2382), "OPTIMAL", "")</f>
        <v/>
      </c>
    </row>
    <row r="2383" ht="20" customHeight="1">
      <c r="A2383" s="29" t="n">
        <v>-18</v>
      </c>
      <c r="B2383" s="29" t="n">
        <v>30</v>
      </c>
      <c r="C2383" s="30" t="n">
        <v>105</v>
      </c>
      <c r="D2383" s="30" t="n">
        <v>3</v>
      </c>
      <c r="E2383" s="6" t="n">
        <v>0</v>
      </c>
      <c r="F2383" s="30" t="n">
        <v>0</v>
      </c>
      <c r="G2383" s="6" t="inlineStr">
        <is>
          <t>Oui</t>
        </is>
      </c>
      <c r="H2383" s="6" t="inlineStr">
        <is>
          <t>OFF</t>
        </is>
      </c>
      <c r="I2383" s="31" t="n">
        <v>674.4931640486259</v>
      </c>
      <c r="J2383" s="31" t="n">
        <v>5144.556481985902</v>
      </c>
      <c r="K2383" s="31" t="n">
        <v>3782.407407407407</v>
      </c>
      <c r="L2383" s="31" t="n">
        <v>150</v>
      </c>
      <c r="M2383" s="31">
        <f>I2383+J2383+K2383+L2383</f>
        <v/>
      </c>
      <c r="N2383" s="31">
        <f>M2383*'Dashboard &amp; Optimisation'!$B$18/('Dashboard &amp; Optimisation'!$B$16/3.6)</f>
        <v/>
      </c>
      <c r="O2383" s="31" t="n">
        <v>618.9354559540002</v>
      </c>
      <c r="P2383" s="32" t="n">
        <v>0.7799049028889831</v>
      </c>
      <c r="Q2383" s="33" t="n">
        <v>0.2</v>
      </c>
      <c r="R2383" s="31" t="n">
        <v>305.7515365429346</v>
      </c>
      <c r="S2383" s="31">
        <f>R2383*IF(A2383=4, 2.0, 3.0)</f>
        <v/>
      </c>
      <c r="T2383" s="30">
        <f>'Dashboard &amp; Optimisation'!$B$18*U2383</f>
        <v/>
      </c>
      <c r="U2383" s="34">
        <f>MIN(1, S2383/M2383)</f>
        <v/>
      </c>
      <c r="V2383" s="34">
        <f>N2383/(N2383+O2383)</f>
        <v/>
      </c>
      <c r="W2383" s="34">
        <f>U2383*V2383</f>
        <v/>
      </c>
      <c r="X2383" s="32">
        <f>T2383/N2383</f>
        <v/>
      </c>
      <c r="Y2383" s="35">
        <f>IF(W2383=MAXIFS(W$2:W$3601, A$2:A$3601, A2383, B$2:B$3601, B2383), "OPTIMAL", "")</f>
        <v/>
      </c>
    </row>
    <row r="2384" ht="20" customHeight="1">
      <c r="A2384" s="21" t="n">
        <v>-18</v>
      </c>
      <c r="B2384" s="21" t="n">
        <v>30</v>
      </c>
      <c r="C2384" s="22" t="n">
        <v>105</v>
      </c>
      <c r="D2384" s="22" t="n">
        <v>3</v>
      </c>
      <c r="E2384" s="23" t="n">
        <v>0</v>
      </c>
      <c r="F2384" s="22" t="n">
        <v>0</v>
      </c>
      <c r="G2384" s="23" t="inlineStr">
        <is>
          <t>Non</t>
        </is>
      </c>
      <c r="H2384" s="23" t="inlineStr">
        <is>
          <t>ON</t>
        </is>
      </c>
      <c r="I2384" s="24" t="n">
        <v>674.4931640486259</v>
      </c>
      <c r="J2384" s="24" t="n">
        <v>5144.556481985902</v>
      </c>
      <c r="K2384" s="24" t="n">
        <v>3782.407407407407</v>
      </c>
      <c r="L2384" s="24" t="n">
        <v>150</v>
      </c>
      <c r="M2384" s="24">
        <f>I2384+J2384+K2384+L2384</f>
        <v/>
      </c>
      <c r="N2384" s="24">
        <f>M2384*'Dashboard &amp; Optimisation'!$B$18/('Dashboard &amp; Optimisation'!$B$16/3.6)</f>
        <v/>
      </c>
      <c r="O2384" s="24" t="n">
        <v>618.9354559540002</v>
      </c>
      <c r="P2384" s="25" t="n">
        <v>0.473721107607432</v>
      </c>
      <c r="Q2384" s="26" t="n">
        <v>0.2</v>
      </c>
      <c r="R2384" s="24" t="n">
        <v>503.3702712129978</v>
      </c>
      <c r="S2384" s="24">
        <f>R2384*IF(A2384=4, 2.0, 3.0)</f>
        <v/>
      </c>
      <c r="T2384" s="22">
        <f>'Dashboard &amp; Optimisation'!$B$18*U2384</f>
        <v/>
      </c>
      <c r="U2384" s="27">
        <f>MIN(1, S2384/M2384)</f>
        <v/>
      </c>
      <c r="V2384" s="27">
        <f>N2384/(N2384+O2384)</f>
        <v/>
      </c>
      <c r="W2384" s="27">
        <f>U2384*V2384</f>
        <v/>
      </c>
      <c r="X2384" s="25">
        <f>T2384/N2384</f>
        <v/>
      </c>
      <c r="Y2384" s="28">
        <f>IF(W2384=MAXIFS(W$2:W$3601, A$2:A$3601, A2384, B$2:B$3601, B2384), "OPTIMAL", "")</f>
        <v/>
      </c>
    </row>
    <row r="2385" ht="20" customHeight="1">
      <c r="A2385" s="29" t="n">
        <v>-18</v>
      </c>
      <c r="B2385" s="29" t="n">
        <v>30</v>
      </c>
      <c r="C2385" s="30" t="n">
        <v>105</v>
      </c>
      <c r="D2385" s="30" t="n">
        <v>3</v>
      </c>
      <c r="E2385" s="6" t="n">
        <v>0</v>
      </c>
      <c r="F2385" s="30" t="n">
        <v>0</v>
      </c>
      <c r="G2385" s="6" t="inlineStr">
        <is>
          <t>Non</t>
        </is>
      </c>
      <c r="H2385" s="6" t="inlineStr">
        <is>
          <t>OFF</t>
        </is>
      </c>
      <c r="I2385" s="31" t="n">
        <v>674.4931640486259</v>
      </c>
      <c r="J2385" s="31" t="n">
        <v>5144.556481985902</v>
      </c>
      <c r="K2385" s="31" t="n">
        <v>3782.407407407407</v>
      </c>
      <c r="L2385" s="31" t="n">
        <v>150</v>
      </c>
      <c r="M2385" s="31">
        <f>I2385+J2385+K2385+L2385</f>
        <v/>
      </c>
      <c r="N2385" s="31">
        <f>M2385*'Dashboard &amp; Optimisation'!$B$18/('Dashboard &amp; Optimisation'!$B$16/3.6)</f>
        <v/>
      </c>
      <c r="O2385" s="31" t="n">
        <v>618.9354559540002</v>
      </c>
      <c r="P2385" s="32" t="n">
        <v>0.7768733801634231</v>
      </c>
      <c r="Q2385" s="33" t="n">
        <v>0.2</v>
      </c>
      <c r="R2385" s="31" t="n">
        <v>306.9446431096827</v>
      </c>
      <c r="S2385" s="31">
        <f>R2385*IF(A2385=4, 2.0, 3.0)</f>
        <v/>
      </c>
      <c r="T2385" s="30">
        <f>'Dashboard &amp; Optimisation'!$B$18*U2385</f>
        <v/>
      </c>
      <c r="U2385" s="34">
        <f>MIN(1, S2385/M2385)</f>
        <v/>
      </c>
      <c r="V2385" s="34">
        <f>N2385/(N2385+O2385)</f>
        <v/>
      </c>
      <c r="W2385" s="34">
        <f>U2385*V2385</f>
        <v/>
      </c>
      <c r="X2385" s="32">
        <f>T2385/N2385</f>
        <v/>
      </c>
      <c r="Y2385" s="35">
        <f>IF(W2385=MAXIFS(W$2:W$3601, A$2:A$3601, A2385, B$2:B$3601, B2385), "OPTIMAL", "")</f>
        <v/>
      </c>
    </row>
    <row r="2386" ht="20" customHeight="1">
      <c r="A2386" s="21" t="n">
        <v>-18</v>
      </c>
      <c r="B2386" s="21" t="n">
        <v>30</v>
      </c>
      <c r="C2386" s="22" t="n">
        <v>105</v>
      </c>
      <c r="D2386" s="22" t="n">
        <v>3</v>
      </c>
      <c r="E2386" s="23" t="n">
        <v>4</v>
      </c>
      <c r="F2386" s="22" t="n">
        <v>1.5</v>
      </c>
      <c r="G2386" s="23" t="inlineStr">
        <is>
          <t>Oui</t>
        </is>
      </c>
      <c r="H2386" s="23" t="inlineStr">
        <is>
          <t>ON</t>
        </is>
      </c>
      <c r="I2386" s="24" t="n">
        <v>674.4931640486259</v>
      </c>
      <c r="J2386" s="24" t="n">
        <v>5144.556481985902</v>
      </c>
      <c r="K2386" s="24" t="n">
        <v>3782.407407407407</v>
      </c>
      <c r="L2386" s="24" t="n">
        <v>150</v>
      </c>
      <c r="M2386" s="24">
        <f>I2386+J2386+K2386+L2386</f>
        <v/>
      </c>
      <c r="N2386" s="24">
        <f>M2386*'Dashboard &amp; Optimisation'!$B$18/('Dashboard &amp; Optimisation'!$B$16/3.6)</f>
        <v/>
      </c>
      <c r="O2386" s="24" t="n">
        <v>856.2860282431341</v>
      </c>
      <c r="P2386" s="25" t="n">
        <v>0.07189461044958809</v>
      </c>
      <c r="Q2386" s="26" t="n">
        <v>6.521441424527548</v>
      </c>
      <c r="R2386" s="24" t="n">
        <v>3422.396467317431</v>
      </c>
      <c r="S2386" s="24">
        <f>R2386*IF(A2386=4, 2.0, 3.0)</f>
        <v/>
      </c>
      <c r="T2386" s="22">
        <f>'Dashboard &amp; Optimisation'!$B$18*U2386</f>
        <v/>
      </c>
      <c r="U2386" s="27">
        <f>MIN(1, S2386/M2386)</f>
        <v/>
      </c>
      <c r="V2386" s="27">
        <f>N2386/(N2386+O2386)</f>
        <v/>
      </c>
      <c r="W2386" s="27">
        <f>U2386*V2386</f>
        <v/>
      </c>
      <c r="X2386" s="25">
        <f>T2386/N2386</f>
        <v/>
      </c>
      <c r="Y2386" s="28">
        <f>IF(W2386=MAXIFS(W$2:W$3601, A$2:A$3601, A2386, B$2:B$3601, B2386), "OPTIMAL", "")</f>
        <v/>
      </c>
    </row>
    <row r="2387" ht="20" customHeight="1">
      <c r="A2387" s="29" t="n">
        <v>-18</v>
      </c>
      <c r="B2387" s="29" t="n">
        <v>30</v>
      </c>
      <c r="C2387" s="30" t="n">
        <v>105</v>
      </c>
      <c r="D2387" s="30" t="n">
        <v>3</v>
      </c>
      <c r="E2387" s="6" t="n">
        <v>4</v>
      </c>
      <c r="F2387" s="30" t="n">
        <v>1.5</v>
      </c>
      <c r="G2387" s="6" t="inlineStr">
        <is>
          <t>Oui</t>
        </is>
      </c>
      <c r="H2387" s="6" t="inlineStr">
        <is>
          <t>OFF</t>
        </is>
      </c>
      <c r="I2387" s="31" t="n">
        <v>674.4931640486259</v>
      </c>
      <c r="J2387" s="31" t="n">
        <v>5144.556481985902</v>
      </c>
      <c r="K2387" s="31" t="n">
        <v>3782.407407407407</v>
      </c>
      <c r="L2387" s="31" t="n">
        <v>150</v>
      </c>
      <c r="M2387" s="31">
        <f>I2387+J2387+K2387+L2387</f>
        <v/>
      </c>
      <c r="N2387" s="31">
        <f>M2387*'Dashboard &amp; Optimisation'!$B$18/('Dashboard &amp; Optimisation'!$B$16/3.6)</f>
        <v/>
      </c>
      <c r="O2387" s="31" t="n">
        <v>856.2860282431341</v>
      </c>
      <c r="P2387" s="32" t="n">
        <v>0.297191423626796</v>
      </c>
      <c r="Q2387" s="33" t="n">
        <v>6.521441424527548</v>
      </c>
      <c r="R2387" s="31" t="n">
        <v>827.9238270711929</v>
      </c>
      <c r="S2387" s="31">
        <f>R2387*IF(A2387=4, 2.0, 3.0)</f>
        <v/>
      </c>
      <c r="T2387" s="30">
        <f>'Dashboard &amp; Optimisation'!$B$18*U2387</f>
        <v/>
      </c>
      <c r="U2387" s="34">
        <f>MIN(1, S2387/M2387)</f>
        <v/>
      </c>
      <c r="V2387" s="34">
        <f>N2387/(N2387+O2387)</f>
        <v/>
      </c>
      <c r="W2387" s="34">
        <f>U2387*V2387</f>
        <v/>
      </c>
      <c r="X2387" s="32">
        <f>T2387/N2387</f>
        <v/>
      </c>
      <c r="Y2387" s="35">
        <f>IF(W2387=MAXIFS(W$2:W$3601, A$2:A$3601, A2387, B$2:B$3601, B2387), "OPTIMAL", "")</f>
        <v/>
      </c>
    </row>
    <row r="2388" ht="20" customHeight="1">
      <c r="A2388" s="21" t="n">
        <v>-18</v>
      </c>
      <c r="B2388" s="21" t="n">
        <v>30</v>
      </c>
      <c r="C2388" s="22" t="n">
        <v>105</v>
      </c>
      <c r="D2388" s="22" t="n">
        <v>3</v>
      </c>
      <c r="E2388" s="23" t="n">
        <v>4</v>
      </c>
      <c r="F2388" s="22" t="n">
        <v>1.5</v>
      </c>
      <c r="G2388" s="23" t="inlineStr">
        <is>
          <t>Non</t>
        </is>
      </c>
      <c r="H2388" s="23" t="inlineStr">
        <is>
          <t>ON</t>
        </is>
      </c>
      <c r="I2388" s="24" t="n">
        <v>674.4931640486259</v>
      </c>
      <c r="J2388" s="24" t="n">
        <v>5144.556481985902</v>
      </c>
      <c r="K2388" s="24" t="n">
        <v>3782.407407407407</v>
      </c>
      <c r="L2388" s="24" t="n">
        <v>150</v>
      </c>
      <c r="M2388" s="24">
        <f>I2388+J2388+K2388+L2388</f>
        <v/>
      </c>
      <c r="N2388" s="24">
        <f>M2388*'Dashboard &amp; Optimisation'!$B$18/('Dashboard &amp; Optimisation'!$B$16/3.6)</f>
        <v/>
      </c>
      <c r="O2388" s="24" t="n">
        <v>856.2860282431341</v>
      </c>
      <c r="P2388" s="25" t="n">
        <v>0.06886308772402817</v>
      </c>
      <c r="Q2388" s="26" t="n">
        <v>6.521441424527548</v>
      </c>
      <c r="R2388" s="24" t="n">
        <v>3573.058788881159</v>
      </c>
      <c r="S2388" s="24">
        <f>R2388*IF(A2388=4, 2.0, 3.0)</f>
        <v/>
      </c>
      <c r="T2388" s="22">
        <f>'Dashboard &amp; Optimisation'!$B$18*U2388</f>
        <v/>
      </c>
      <c r="U2388" s="27">
        <f>MIN(1, S2388/M2388)</f>
        <v/>
      </c>
      <c r="V2388" s="27">
        <f>N2388/(N2388+O2388)</f>
        <v/>
      </c>
      <c r="W2388" s="27">
        <f>U2388*V2388</f>
        <v/>
      </c>
      <c r="X2388" s="25">
        <f>T2388/N2388</f>
        <v/>
      </c>
      <c r="Y2388" s="28">
        <f>IF(W2388=MAXIFS(W$2:W$3601, A$2:A$3601, A2388, B$2:B$3601, B2388), "OPTIMAL", "")</f>
        <v/>
      </c>
    </row>
    <row r="2389" ht="20" customHeight="1">
      <c r="A2389" s="29" t="n">
        <v>-18</v>
      </c>
      <c r="B2389" s="29" t="n">
        <v>30</v>
      </c>
      <c r="C2389" s="30" t="n">
        <v>105</v>
      </c>
      <c r="D2389" s="30" t="n">
        <v>3</v>
      </c>
      <c r="E2389" s="6" t="n">
        <v>4</v>
      </c>
      <c r="F2389" s="30" t="n">
        <v>1.5</v>
      </c>
      <c r="G2389" s="6" t="inlineStr">
        <is>
          <t>Non</t>
        </is>
      </c>
      <c r="H2389" s="6" t="inlineStr">
        <is>
          <t>OFF</t>
        </is>
      </c>
      <c r="I2389" s="31" t="n">
        <v>674.4931640486259</v>
      </c>
      <c r="J2389" s="31" t="n">
        <v>5144.556481985902</v>
      </c>
      <c r="K2389" s="31" t="n">
        <v>3782.407407407407</v>
      </c>
      <c r="L2389" s="31" t="n">
        <v>150</v>
      </c>
      <c r="M2389" s="31">
        <f>I2389+J2389+K2389+L2389</f>
        <v/>
      </c>
      <c r="N2389" s="31">
        <f>M2389*'Dashboard &amp; Optimisation'!$B$18/('Dashboard &amp; Optimisation'!$B$16/3.6)</f>
        <v/>
      </c>
      <c r="O2389" s="31" t="n">
        <v>856.2860282431341</v>
      </c>
      <c r="P2389" s="32" t="n">
        <v>0.2941599009012361</v>
      </c>
      <c r="Q2389" s="33" t="n">
        <v>6.521441424527548</v>
      </c>
      <c r="R2389" s="31" t="n">
        <v>836.456158939368</v>
      </c>
      <c r="S2389" s="31">
        <f>R2389*IF(A2389=4, 2.0, 3.0)</f>
        <v/>
      </c>
      <c r="T2389" s="30">
        <f>'Dashboard &amp; Optimisation'!$B$18*U2389</f>
        <v/>
      </c>
      <c r="U2389" s="34">
        <f>MIN(1, S2389/M2389)</f>
        <v/>
      </c>
      <c r="V2389" s="34">
        <f>N2389/(N2389+O2389)</f>
        <v/>
      </c>
      <c r="W2389" s="34">
        <f>U2389*V2389</f>
        <v/>
      </c>
      <c r="X2389" s="32">
        <f>T2389/N2389</f>
        <v/>
      </c>
      <c r="Y2389" s="35">
        <f>IF(W2389=MAXIFS(W$2:W$3601, A$2:A$3601, A2389, B$2:B$3601, B2389), "OPTIMAL", "")</f>
        <v/>
      </c>
    </row>
    <row r="2390" ht="20" customHeight="1">
      <c r="A2390" s="21" t="n">
        <v>-18</v>
      </c>
      <c r="B2390" s="21" t="n">
        <v>30</v>
      </c>
      <c r="C2390" s="22" t="n">
        <v>105</v>
      </c>
      <c r="D2390" s="22" t="n">
        <v>3</v>
      </c>
      <c r="E2390" s="23" t="n">
        <v>4</v>
      </c>
      <c r="F2390" s="22" t="n">
        <v>2</v>
      </c>
      <c r="G2390" s="23" t="inlineStr">
        <is>
          <t>Oui</t>
        </is>
      </c>
      <c r="H2390" s="23" t="inlineStr">
        <is>
          <t>ON</t>
        </is>
      </c>
      <c r="I2390" s="24" t="n">
        <v>674.4931640486259</v>
      </c>
      <c r="J2390" s="24" t="n">
        <v>5144.556481985902</v>
      </c>
      <c r="K2390" s="24" t="n">
        <v>3782.407407407407</v>
      </c>
      <c r="L2390" s="24" t="n">
        <v>150</v>
      </c>
      <c r="M2390" s="24">
        <f>I2390+J2390+K2390+L2390</f>
        <v/>
      </c>
      <c r="N2390" s="24">
        <f>M2390*'Dashboard &amp; Optimisation'!$B$18/('Dashboard &amp; Optimisation'!$B$16/3.6)</f>
        <v/>
      </c>
      <c r="O2390" s="24" t="n">
        <v>938.7987131766724</v>
      </c>
      <c r="P2390" s="25" t="n">
        <v>0.06909966512774487</v>
      </c>
      <c r="Q2390" s="26" t="n">
        <v>8.628588566036731</v>
      </c>
      <c r="R2390" s="24" t="n">
        <v>3599.034806388411</v>
      </c>
      <c r="S2390" s="24">
        <f>R2390*IF(A2390=4, 2.0, 3.0)</f>
        <v/>
      </c>
      <c r="T2390" s="22">
        <f>'Dashboard &amp; Optimisation'!$B$18*U2390</f>
        <v/>
      </c>
      <c r="U2390" s="27">
        <f>MIN(1, S2390/M2390)</f>
        <v/>
      </c>
      <c r="V2390" s="27">
        <f>N2390/(N2390+O2390)</f>
        <v/>
      </c>
      <c r="W2390" s="27">
        <f>U2390*V2390</f>
        <v/>
      </c>
      <c r="X2390" s="25">
        <f>T2390/N2390</f>
        <v/>
      </c>
      <c r="Y2390" s="28">
        <f>IF(W2390=MAXIFS(W$2:W$3601, A$2:A$3601, A2390, B$2:B$3601, B2390), "OPTIMAL", "")</f>
        <v/>
      </c>
    </row>
    <row r="2391" ht="20" customHeight="1">
      <c r="A2391" s="29" t="n">
        <v>-18</v>
      </c>
      <c r="B2391" s="29" t="n">
        <v>30</v>
      </c>
      <c r="C2391" s="30" t="n">
        <v>105</v>
      </c>
      <c r="D2391" s="30" t="n">
        <v>3</v>
      </c>
      <c r="E2391" s="6" t="n">
        <v>4</v>
      </c>
      <c r="F2391" s="30" t="n">
        <v>2</v>
      </c>
      <c r="G2391" s="6" t="inlineStr">
        <is>
          <t>Oui</t>
        </is>
      </c>
      <c r="H2391" s="6" t="inlineStr">
        <is>
          <t>OFF</t>
        </is>
      </c>
      <c r="I2391" s="31" t="n">
        <v>674.4931640486259</v>
      </c>
      <c r="J2391" s="31" t="n">
        <v>5144.556481985902</v>
      </c>
      <c r="K2391" s="31" t="n">
        <v>3782.407407407407</v>
      </c>
      <c r="L2391" s="31" t="n">
        <v>150</v>
      </c>
      <c r="M2391" s="31">
        <f>I2391+J2391+K2391+L2391</f>
        <v/>
      </c>
      <c r="N2391" s="31">
        <f>M2391*'Dashboard &amp; Optimisation'!$B$18/('Dashboard &amp; Optimisation'!$B$16/3.6)</f>
        <v/>
      </c>
      <c r="O2391" s="31" t="n">
        <v>938.7987131766724</v>
      </c>
      <c r="P2391" s="32" t="n">
        <v>0.2954143944438517</v>
      </c>
      <c r="Q2391" s="33" t="n">
        <v>8.628588566036731</v>
      </c>
      <c r="R2391" s="31" t="n">
        <v>841.8415100344926</v>
      </c>
      <c r="S2391" s="31">
        <f>R2391*IF(A2391=4, 2.0, 3.0)</f>
        <v/>
      </c>
      <c r="T2391" s="30">
        <f>'Dashboard &amp; Optimisation'!$B$18*U2391</f>
        <v/>
      </c>
      <c r="U2391" s="34">
        <f>MIN(1, S2391/M2391)</f>
        <v/>
      </c>
      <c r="V2391" s="34">
        <f>N2391/(N2391+O2391)</f>
        <v/>
      </c>
      <c r="W2391" s="34">
        <f>U2391*V2391</f>
        <v/>
      </c>
      <c r="X2391" s="32">
        <f>T2391/N2391</f>
        <v/>
      </c>
      <c r="Y2391" s="35">
        <f>IF(W2391=MAXIFS(W$2:W$3601, A$2:A$3601, A2391, B$2:B$3601, B2391), "OPTIMAL", "")</f>
        <v/>
      </c>
    </row>
    <row r="2392" ht="20" customHeight="1">
      <c r="A2392" s="21" t="n">
        <v>-18</v>
      </c>
      <c r="B2392" s="21" t="n">
        <v>30</v>
      </c>
      <c r="C2392" s="22" t="n">
        <v>105</v>
      </c>
      <c r="D2392" s="22" t="n">
        <v>3</v>
      </c>
      <c r="E2392" s="23" t="n">
        <v>4</v>
      </c>
      <c r="F2392" s="22" t="n">
        <v>2</v>
      </c>
      <c r="G2392" s="23" t="inlineStr">
        <is>
          <t>Non</t>
        </is>
      </c>
      <c r="H2392" s="23" t="inlineStr">
        <is>
          <t>ON</t>
        </is>
      </c>
      <c r="I2392" s="24" t="n">
        <v>674.4931640486259</v>
      </c>
      <c r="J2392" s="24" t="n">
        <v>5144.556481985902</v>
      </c>
      <c r="K2392" s="24" t="n">
        <v>3782.407407407407</v>
      </c>
      <c r="L2392" s="24" t="n">
        <v>150</v>
      </c>
      <c r="M2392" s="24">
        <f>I2392+J2392+K2392+L2392</f>
        <v/>
      </c>
      <c r="N2392" s="24">
        <f>M2392*'Dashboard &amp; Optimisation'!$B$18/('Dashboard &amp; Optimisation'!$B$16/3.6)</f>
        <v/>
      </c>
      <c r="O2392" s="24" t="n">
        <v>938.7987131766724</v>
      </c>
      <c r="P2392" s="25" t="n">
        <v>0.06606814240218496</v>
      </c>
      <c r="Q2392" s="26" t="n">
        <v>8.628588566036731</v>
      </c>
      <c r="R2392" s="24" t="n">
        <v>3764.17575645827</v>
      </c>
      <c r="S2392" s="24">
        <f>R2392*IF(A2392=4, 2.0, 3.0)</f>
        <v/>
      </c>
      <c r="T2392" s="22">
        <f>'Dashboard &amp; Optimisation'!$B$18*U2392</f>
        <v/>
      </c>
      <c r="U2392" s="27">
        <f>MIN(1, S2392/M2392)</f>
        <v/>
      </c>
      <c r="V2392" s="27">
        <f>N2392/(N2392+O2392)</f>
        <v/>
      </c>
      <c r="W2392" s="27">
        <f>U2392*V2392</f>
        <v/>
      </c>
      <c r="X2392" s="25">
        <f>T2392/N2392</f>
        <v/>
      </c>
      <c r="Y2392" s="28">
        <f>IF(W2392=MAXIFS(W$2:W$3601, A$2:A$3601, A2392, B$2:B$3601, B2392), "OPTIMAL", "")</f>
        <v/>
      </c>
    </row>
    <row r="2393" ht="20" customHeight="1">
      <c r="A2393" s="29" t="n">
        <v>-18</v>
      </c>
      <c r="B2393" s="29" t="n">
        <v>30</v>
      </c>
      <c r="C2393" s="30" t="n">
        <v>105</v>
      </c>
      <c r="D2393" s="30" t="n">
        <v>3</v>
      </c>
      <c r="E2393" s="6" t="n">
        <v>4</v>
      </c>
      <c r="F2393" s="30" t="n">
        <v>2</v>
      </c>
      <c r="G2393" s="6" t="inlineStr">
        <is>
          <t>Non</t>
        </is>
      </c>
      <c r="H2393" s="6" t="inlineStr">
        <is>
          <t>OFF</t>
        </is>
      </c>
      <c r="I2393" s="31" t="n">
        <v>674.4931640486259</v>
      </c>
      <c r="J2393" s="31" t="n">
        <v>5144.556481985902</v>
      </c>
      <c r="K2393" s="31" t="n">
        <v>3782.407407407407</v>
      </c>
      <c r="L2393" s="31" t="n">
        <v>150</v>
      </c>
      <c r="M2393" s="31">
        <f>I2393+J2393+K2393+L2393</f>
        <v/>
      </c>
      <c r="N2393" s="31">
        <f>M2393*'Dashboard &amp; Optimisation'!$B$18/('Dashboard &amp; Optimisation'!$B$16/3.6)</f>
        <v/>
      </c>
      <c r="O2393" s="31" t="n">
        <v>938.7987131766724</v>
      </c>
      <c r="P2393" s="32" t="n">
        <v>0.2923828717182918</v>
      </c>
      <c r="Q2393" s="33" t="n">
        <v>8.628588566036731</v>
      </c>
      <c r="R2393" s="31" t="n">
        <v>850.570002418438</v>
      </c>
      <c r="S2393" s="31">
        <f>R2393*IF(A2393=4, 2.0, 3.0)</f>
        <v/>
      </c>
      <c r="T2393" s="30">
        <f>'Dashboard &amp; Optimisation'!$B$18*U2393</f>
        <v/>
      </c>
      <c r="U2393" s="34">
        <f>MIN(1, S2393/M2393)</f>
        <v/>
      </c>
      <c r="V2393" s="34">
        <f>N2393/(N2393+O2393)</f>
        <v/>
      </c>
      <c r="W2393" s="34">
        <f>U2393*V2393</f>
        <v/>
      </c>
      <c r="X2393" s="32">
        <f>T2393/N2393</f>
        <v/>
      </c>
      <c r="Y2393" s="35">
        <f>IF(W2393=MAXIFS(W$2:W$3601, A$2:A$3601, A2393, B$2:B$3601, B2393), "OPTIMAL", "")</f>
        <v/>
      </c>
    </row>
    <row r="2394" ht="20" customHeight="1">
      <c r="A2394" s="21" t="n">
        <v>-18</v>
      </c>
      <c r="B2394" s="21" t="n">
        <v>30</v>
      </c>
      <c r="C2394" s="22" t="n">
        <v>105</v>
      </c>
      <c r="D2394" s="22" t="n">
        <v>3</v>
      </c>
      <c r="E2394" s="23" t="n">
        <v>8</v>
      </c>
      <c r="F2394" s="22" t="n">
        <v>1.5</v>
      </c>
      <c r="G2394" s="23" t="inlineStr">
        <is>
          <t>Oui</t>
        </is>
      </c>
      <c r="H2394" s="23" t="inlineStr">
        <is>
          <t>ON</t>
        </is>
      </c>
      <c r="I2394" s="24" t="n">
        <v>674.4931640486259</v>
      </c>
      <c r="J2394" s="24" t="n">
        <v>5144.556481985902</v>
      </c>
      <c r="K2394" s="24" t="n">
        <v>3782.407407407407</v>
      </c>
      <c r="L2394" s="24" t="n">
        <v>150</v>
      </c>
      <c r="M2394" s="24">
        <f>I2394+J2394+K2394+L2394</f>
        <v/>
      </c>
      <c r="N2394" s="24">
        <f>M2394*'Dashboard &amp; Optimisation'!$B$18/('Dashboard &amp; Optimisation'!$B$16/3.6)</f>
        <v/>
      </c>
      <c r="O2394" s="24" t="n">
        <v>1109.252964495776</v>
      </c>
      <c r="P2394" s="25" t="n">
        <v>0.05445758169649494</v>
      </c>
      <c r="Q2394" s="26" t="n">
        <v>12.84288284905509</v>
      </c>
      <c r="R2394" s="24" t="n">
        <v>4666.867006985191</v>
      </c>
      <c r="S2394" s="24">
        <f>R2394*IF(A2394=4, 2.0, 3.0)</f>
        <v/>
      </c>
      <c r="T2394" s="22">
        <f>'Dashboard &amp; Optimisation'!$B$18*U2394</f>
        <v/>
      </c>
      <c r="U2394" s="27">
        <f>MIN(1, S2394/M2394)</f>
        <v/>
      </c>
      <c r="V2394" s="27">
        <f>N2394/(N2394+O2394)</f>
        <v/>
      </c>
      <c r="W2394" s="27">
        <f>U2394*V2394</f>
        <v/>
      </c>
      <c r="X2394" s="25">
        <f>T2394/N2394</f>
        <v/>
      </c>
      <c r="Y2394" s="28">
        <f>IF(W2394=MAXIFS(W$2:W$3601, A$2:A$3601, A2394, B$2:B$3601, B2394), "OPTIMAL", "")</f>
        <v/>
      </c>
    </row>
    <row r="2395" ht="20" customHeight="1">
      <c r="A2395" s="29" t="n">
        <v>-18</v>
      </c>
      <c r="B2395" s="29" t="n">
        <v>30</v>
      </c>
      <c r="C2395" s="30" t="n">
        <v>105</v>
      </c>
      <c r="D2395" s="30" t="n">
        <v>3</v>
      </c>
      <c r="E2395" s="6" t="n">
        <v>8</v>
      </c>
      <c r="F2395" s="30" t="n">
        <v>1.5</v>
      </c>
      <c r="G2395" s="6" t="inlineStr">
        <is>
          <t>Oui</t>
        </is>
      </c>
      <c r="H2395" s="6" t="inlineStr">
        <is>
          <t>OFF</t>
        </is>
      </c>
      <c r="I2395" s="31" t="n">
        <v>674.4931640486259</v>
      </c>
      <c r="J2395" s="31" t="n">
        <v>5144.556481985902</v>
      </c>
      <c r="K2395" s="31" t="n">
        <v>3782.407407407407</v>
      </c>
      <c r="L2395" s="31" t="n">
        <v>150</v>
      </c>
      <c r="M2395" s="31">
        <f>I2395+J2395+K2395+L2395</f>
        <v/>
      </c>
      <c r="N2395" s="31">
        <f>M2395*'Dashboard &amp; Optimisation'!$B$18/('Dashboard &amp; Optimisation'!$B$16/3.6)</f>
        <v/>
      </c>
      <c r="O2395" s="31" t="n">
        <v>1109.252964495776</v>
      </c>
      <c r="P2395" s="32" t="n">
        <v>0.233716140989121</v>
      </c>
      <c r="Q2395" s="33" t="n">
        <v>12.84288284905509</v>
      </c>
      <c r="R2395" s="31" t="n">
        <v>1087.414374651184</v>
      </c>
      <c r="S2395" s="31">
        <f>R2395*IF(A2395=4, 2.0, 3.0)</f>
        <v/>
      </c>
      <c r="T2395" s="30">
        <f>'Dashboard &amp; Optimisation'!$B$18*U2395</f>
        <v/>
      </c>
      <c r="U2395" s="34">
        <f>MIN(1, S2395/M2395)</f>
        <v/>
      </c>
      <c r="V2395" s="34">
        <f>N2395/(N2395+O2395)</f>
        <v/>
      </c>
      <c r="W2395" s="34">
        <f>U2395*V2395</f>
        <v/>
      </c>
      <c r="X2395" s="32">
        <f>T2395/N2395</f>
        <v/>
      </c>
      <c r="Y2395" s="35">
        <f>IF(W2395=MAXIFS(W$2:W$3601, A$2:A$3601, A2395, B$2:B$3601, B2395), "OPTIMAL", "")</f>
        <v/>
      </c>
    </row>
    <row r="2396" ht="20" customHeight="1">
      <c r="A2396" s="21" t="n">
        <v>-18</v>
      </c>
      <c r="B2396" s="21" t="n">
        <v>30</v>
      </c>
      <c r="C2396" s="22" t="n">
        <v>105</v>
      </c>
      <c r="D2396" s="22" t="n">
        <v>3</v>
      </c>
      <c r="E2396" s="23" t="n">
        <v>8</v>
      </c>
      <c r="F2396" s="22" t="n">
        <v>1.5</v>
      </c>
      <c r="G2396" s="23" t="inlineStr">
        <is>
          <t>Non</t>
        </is>
      </c>
      <c r="H2396" s="23" t="inlineStr">
        <is>
          <t>ON</t>
        </is>
      </c>
      <c r="I2396" s="24" t="n">
        <v>674.4931640486259</v>
      </c>
      <c r="J2396" s="24" t="n">
        <v>5144.556481985902</v>
      </c>
      <c r="K2396" s="24" t="n">
        <v>3782.407407407407</v>
      </c>
      <c r="L2396" s="24" t="n">
        <v>150</v>
      </c>
      <c r="M2396" s="24">
        <f>I2396+J2396+K2396+L2396</f>
        <v/>
      </c>
      <c r="N2396" s="24">
        <f>M2396*'Dashboard &amp; Optimisation'!$B$18/('Dashboard &amp; Optimisation'!$B$16/3.6)</f>
        <v/>
      </c>
      <c r="O2396" s="24" t="n">
        <v>1109.252964495776</v>
      </c>
      <c r="P2396" s="25" t="n">
        <v>0.05142605897093502</v>
      </c>
      <c r="Q2396" s="26" t="n">
        <v>12.84288284905509</v>
      </c>
      <c r="R2396" s="24" t="n">
        <v>4941.974873929407</v>
      </c>
      <c r="S2396" s="24">
        <f>R2396*IF(A2396=4, 2.0, 3.0)</f>
        <v/>
      </c>
      <c r="T2396" s="22">
        <f>'Dashboard &amp; Optimisation'!$B$18*U2396</f>
        <v/>
      </c>
      <c r="U2396" s="27">
        <f>MIN(1, S2396/M2396)</f>
        <v/>
      </c>
      <c r="V2396" s="27">
        <f>N2396/(N2396+O2396)</f>
        <v/>
      </c>
      <c r="W2396" s="27">
        <f>U2396*V2396</f>
        <v/>
      </c>
      <c r="X2396" s="25">
        <f>T2396/N2396</f>
        <v/>
      </c>
      <c r="Y2396" s="28">
        <f>IF(W2396=MAXIFS(W$2:W$3601, A$2:A$3601, A2396, B$2:B$3601, B2396), "OPTIMAL", "")</f>
        <v/>
      </c>
    </row>
    <row r="2397" ht="20" customHeight="1">
      <c r="A2397" s="29" t="n">
        <v>-18</v>
      </c>
      <c r="B2397" s="29" t="n">
        <v>30</v>
      </c>
      <c r="C2397" s="30" t="n">
        <v>105</v>
      </c>
      <c r="D2397" s="30" t="n">
        <v>3</v>
      </c>
      <c r="E2397" s="6" t="n">
        <v>8</v>
      </c>
      <c r="F2397" s="30" t="n">
        <v>1.5</v>
      </c>
      <c r="G2397" s="6" t="inlineStr">
        <is>
          <t>Non</t>
        </is>
      </c>
      <c r="H2397" s="6" t="inlineStr">
        <is>
          <t>OFF</t>
        </is>
      </c>
      <c r="I2397" s="31" t="n">
        <v>674.4931640486259</v>
      </c>
      <c r="J2397" s="31" t="n">
        <v>5144.556481985902</v>
      </c>
      <c r="K2397" s="31" t="n">
        <v>3782.407407407407</v>
      </c>
      <c r="L2397" s="31" t="n">
        <v>150</v>
      </c>
      <c r="M2397" s="31">
        <f>I2397+J2397+K2397+L2397</f>
        <v/>
      </c>
      <c r="N2397" s="31">
        <f>M2397*'Dashboard &amp; Optimisation'!$B$18/('Dashboard &amp; Optimisation'!$B$16/3.6)</f>
        <v/>
      </c>
      <c r="O2397" s="31" t="n">
        <v>1109.252964495776</v>
      </c>
      <c r="P2397" s="32" t="n">
        <v>0.2306846182635611</v>
      </c>
      <c r="Q2397" s="33" t="n">
        <v>12.84288284905509</v>
      </c>
      <c r="R2397" s="31" t="n">
        <v>1101.704540218656</v>
      </c>
      <c r="S2397" s="31">
        <f>R2397*IF(A2397=4, 2.0, 3.0)</f>
        <v/>
      </c>
      <c r="T2397" s="30">
        <f>'Dashboard &amp; Optimisation'!$B$18*U2397</f>
        <v/>
      </c>
      <c r="U2397" s="34">
        <f>MIN(1, S2397/M2397)</f>
        <v/>
      </c>
      <c r="V2397" s="34">
        <f>N2397/(N2397+O2397)</f>
        <v/>
      </c>
      <c r="W2397" s="34">
        <f>U2397*V2397</f>
        <v/>
      </c>
      <c r="X2397" s="32">
        <f>T2397/N2397</f>
        <v/>
      </c>
      <c r="Y2397" s="35">
        <f>IF(W2397=MAXIFS(W$2:W$3601, A$2:A$3601, A2397, B$2:B$3601, B2397), "OPTIMAL", "")</f>
        <v/>
      </c>
    </row>
    <row r="2398" ht="20" customHeight="1">
      <c r="A2398" s="21" t="n">
        <v>-18</v>
      </c>
      <c r="B2398" s="21" t="n">
        <v>30</v>
      </c>
      <c r="C2398" s="22" t="n">
        <v>105</v>
      </c>
      <c r="D2398" s="22" t="n">
        <v>3</v>
      </c>
      <c r="E2398" s="23" t="n">
        <v>8</v>
      </c>
      <c r="F2398" s="22" t="n">
        <v>2</v>
      </c>
      <c r="G2398" s="23" t="inlineStr">
        <is>
          <t>Oui</t>
        </is>
      </c>
      <c r="H2398" s="23" t="inlineStr">
        <is>
          <t>ON</t>
        </is>
      </c>
      <c r="I2398" s="24" t="n">
        <v>674.4931640486259</v>
      </c>
      <c r="J2398" s="24" t="n">
        <v>5144.556481985902</v>
      </c>
      <c r="K2398" s="24" t="n">
        <v>3782.407407407407</v>
      </c>
      <c r="L2398" s="24" t="n">
        <v>150</v>
      </c>
      <c r="M2398" s="24">
        <f>I2398+J2398+K2398+L2398</f>
        <v/>
      </c>
      <c r="N2398" s="24">
        <f>M2398*'Dashboard &amp; Optimisation'!$B$18/('Dashboard &amp; Optimisation'!$B$16/3.6)</f>
        <v/>
      </c>
      <c r="O2398" s="24" t="n">
        <v>1287.351502155679</v>
      </c>
      <c r="P2398" s="25" t="n">
        <v>0.05316276245002891</v>
      </c>
      <c r="Q2398" s="26" t="n">
        <v>17.05717713207346</v>
      </c>
      <c r="R2398" s="24" t="n">
        <v>4887.727281770201</v>
      </c>
      <c r="S2398" s="24">
        <f>R2398*IF(A2398=4, 2.0, 3.0)</f>
        <v/>
      </c>
      <c r="T2398" s="22">
        <f>'Dashboard &amp; Optimisation'!$B$18*U2398</f>
        <v/>
      </c>
      <c r="U2398" s="27">
        <f>MIN(1, S2398/M2398)</f>
        <v/>
      </c>
      <c r="V2398" s="27">
        <f>N2398/(N2398+O2398)</f>
        <v/>
      </c>
      <c r="W2398" s="27">
        <f>U2398*V2398</f>
        <v/>
      </c>
      <c r="X2398" s="25">
        <f>T2398/N2398</f>
        <v/>
      </c>
      <c r="Y2398" s="28">
        <f>IF(W2398=MAXIFS(W$2:W$3601, A$2:A$3601, A2398, B$2:B$3601, B2398), "OPTIMAL", "")</f>
        <v/>
      </c>
    </row>
    <row r="2399" ht="20" customHeight="1">
      <c r="A2399" s="29" t="n">
        <v>-18</v>
      </c>
      <c r="B2399" s="29" t="n">
        <v>30</v>
      </c>
      <c r="C2399" s="30" t="n">
        <v>105</v>
      </c>
      <c r="D2399" s="30" t="n">
        <v>3</v>
      </c>
      <c r="E2399" s="6" t="n">
        <v>8</v>
      </c>
      <c r="F2399" s="30" t="n">
        <v>2</v>
      </c>
      <c r="G2399" s="6" t="inlineStr">
        <is>
          <t>Oui</t>
        </is>
      </c>
      <c r="H2399" s="6" t="inlineStr">
        <is>
          <t>OFF</t>
        </is>
      </c>
      <c r="I2399" s="31" t="n">
        <v>674.4931640486259</v>
      </c>
      <c r="J2399" s="31" t="n">
        <v>5144.556481985902</v>
      </c>
      <c r="K2399" s="31" t="n">
        <v>3782.407407407407</v>
      </c>
      <c r="L2399" s="31" t="n">
        <v>150</v>
      </c>
      <c r="M2399" s="31">
        <f>I2399+J2399+K2399+L2399</f>
        <v/>
      </c>
      <c r="N2399" s="31">
        <f>M2399*'Dashboard &amp; Optimisation'!$B$18/('Dashboard &amp; Optimisation'!$B$16/3.6)</f>
        <v/>
      </c>
      <c r="O2399" s="31" t="n">
        <v>1287.351502155679</v>
      </c>
      <c r="P2399" s="32" t="n">
        <v>0.2337139817442265</v>
      </c>
      <c r="Q2399" s="33" t="n">
        <v>17.05717713207346</v>
      </c>
      <c r="R2399" s="31" t="n">
        <v>1111.808041872504</v>
      </c>
      <c r="S2399" s="31">
        <f>R2399*IF(A2399=4, 2.0, 3.0)</f>
        <v/>
      </c>
      <c r="T2399" s="30">
        <f>'Dashboard &amp; Optimisation'!$B$18*U2399</f>
        <v/>
      </c>
      <c r="U2399" s="34">
        <f>MIN(1, S2399/M2399)</f>
        <v/>
      </c>
      <c r="V2399" s="34">
        <f>N2399/(N2399+O2399)</f>
        <v/>
      </c>
      <c r="W2399" s="34">
        <f>U2399*V2399</f>
        <v/>
      </c>
      <c r="X2399" s="32">
        <f>T2399/N2399</f>
        <v/>
      </c>
      <c r="Y2399" s="35">
        <f>IF(W2399=MAXIFS(W$2:W$3601, A$2:A$3601, A2399, B$2:B$3601, B2399), "OPTIMAL", "")</f>
        <v/>
      </c>
    </row>
    <row r="2400" ht="20" customHeight="1">
      <c r="A2400" s="21" t="n">
        <v>-18</v>
      </c>
      <c r="B2400" s="21" t="n">
        <v>30</v>
      </c>
      <c r="C2400" s="22" t="n">
        <v>105</v>
      </c>
      <c r="D2400" s="22" t="n">
        <v>3</v>
      </c>
      <c r="E2400" s="23" t="n">
        <v>8</v>
      </c>
      <c r="F2400" s="22" t="n">
        <v>2</v>
      </c>
      <c r="G2400" s="23" t="inlineStr">
        <is>
          <t>Non</t>
        </is>
      </c>
      <c r="H2400" s="23" t="inlineStr">
        <is>
          <t>ON</t>
        </is>
      </c>
      <c r="I2400" s="24" t="n">
        <v>674.4931640486259</v>
      </c>
      <c r="J2400" s="24" t="n">
        <v>5144.556481985902</v>
      </c>
      <c r="K2400" s="24" t="n">
        <v>3782.407407407407</v>
      </c>
      <c r="L2400" s="24" t="n">
        <v>150</v>
      </c>
      <c r="M2400" s="24">
        <f>I2400+J2400+K2400+L2400</f>
        <v/>
      </c>
      <c r="N2400" s="24">
        <f>M2400*'Dashboard &amp; Optimisation'!$B$18/('Dashboard &amp; Optimisation'!$B$16/3.6)</f>
        <v/>
      </c>
      <c r="O2400" s="24" t="n">
        <v>1287.351502155679</v>
      </c>
      <c r="P2400" s="25" t="n">
        <v>0.050131239724469</v>
      </c>
      <c r="Q2400" s="26" t="n">
        <v>17.05717713207346</v>
      </c>
      <c r="R2400" s="24" t="n">
        <v>5183.296599673849</v>
      </c>
      <c r="S2400" s="24">
        <f>R2400*IF(A2400=4, 2.0, 3.0)</f>
        <v/>
      </c>
      <c r="T2400" s="22">
        <f>'Dashboard &amp; Optimisation'!$B$18*U2400</f>
        <v/>
      </c>
      <c r="U2400" s="27">
        <f>MIN(1, S2400/M2400)</f>
        <v/>
      </c>
      <c r="V2400" s="27">
        <f>N2400/(N2400+O2400)</f>
        <v/>
      </c>
      <c r="W2400" s="27">
        <f>U2400*V2400</f>
        <v/>
      </c>
      <c r="X2400" s="25">
        <f>T2400/N2400</f>
        <v/>
      </c>
      <c r="Y2400" s="28">
        <f>IF(W2400=MAXIFS(W$2:W$3601, A$2:A$3601, A2400, B$2:B$3601, B2400), "OPTIMAL", "")</f>
        <v/>
      </c>
    </row>
    <row r="2401" ht="20" customHeight="1">
      <c r="A2401" s="29" t="n">
        <v>-18</v>
      </c>
      <c r="B2401" s="29" t="n">
        <v>30</v>
      </c>
      <c r="C2401" s="30" t="n">
        <v>105</v>
      </c>
      <c r="D2401" s="30" t="n">
        <v>3</v>
      </c>
      <c r="E2401" s="6" t="n">
        <v>8</v>
      </c>
      <c r="F2401" s="30" t="n">
        <v>2</v>
      </c>
      <c r="G2401" s="6" t="inlineStr">
        <is>
          <t>Non</t>
        </is>
      </c>
      <c r="H2401" s="6" t="inlineStr">
        <is>
          <t>OFF</t>
        </is>
      </c>
      <c r="I2401" s="31" t="n">
        <v>674.4931640486259</v>
      </c>
      <c r="J2401" s="31" t="n">
        <v>5144.556481985902</v>
      </c>
      <c r="K2401" s="31" t="n">
        <v>3782.407407407407</v>
      </c>
      <c r="L2401" s="31" t="n">
        <v>150</v>
      </c>
      <c r="M2401" s="31">
        <f>I2401+J2401+K2401+L2401</f>
        <v/>
      </c>
      <c r="N2401" s="31">
        <f>M2401*'Dashboard &amp; Optimisation'!$B$18/('Dashboard &amp; Optimisation'!$B$16/3.6)</f>
        <v/>
      </c>
      <c r="O2401" s="31" t="n">
        <v>1287.351502155679</v>
      </c>
      <c r="P2401" s="32" t="n">
        <v>0.2306824590186666</v>
      </c>
      <c r="Q2401" s="33" t="n">
        <v>17.05717713207346</v>
      </c>
      <c r="R2401" s="31" t="n">
        <v>1126.418911549093</v>
      </c>
      <c r="S2401" s="31">
        <f>R2401*IF(A2401=4, 2.0, 3.0)</f>
        <v/>
      </c>
      <c r="T2401" s="30">
        <f>'Dashboard &amp; Optimisation'!$B$18*U2401</f>
        <v/>
      </c>
      <c r="U2401" s="34">
        <f>MIN(1, S2401/M2401)</f>
        <v/>
      </c>
      <c r="V2401" s="34">
        <f>N2401/(N2401+O2401)</f>
        <v/>
      </c>
      <c r="W2401" s="34">
        <f>U2401*V2401</f>
        <v/>
      </c>
      <c r="X2401" s="32">
        <f>T2401/N2401</f>
        <v/>
      </c>
      <c r="Y2401" s="35">
        <f>IF(W2401=MAXIFS(W$2:W$3601, A$2:A$3601, A2401, B$2:B$3601, B2401), "OPTIMAL", "")</f>
        <v/>
      </c>
    </row>
    <row r="2402" ht="20" customHeight="1">
      <c r="A2402" s="21" t="n">
        <v>-18</v>
      </c>
      <c r="B2402" s="21" t="n">
        <v>30</v>
      </c>
      <c r="C2402" s="22" t="n">
        <v>110</v>
      </c>
      <c r="D2402" s="22" t="n">
        <v>2</v>
      </c>
      <c r="E2402" s="23" t="n">
        <v>0</v>
      </c>
      <c r="F2402" s="22" t="n">
        <v>0</v>
      </c>
      <c r="G2402" s="23" t="inlineStr">
        <is>
          <t>Oui</t>
        </is>
      </c>
      <c r="H2402" s="23" t="inlineStr">
        <is>
          <t>ON</t>
        </is>
      </c>
      <c r="I2402" s="24" t="n">
        <v>674.4931640486259</v>
      </c>
      <c r="J2402" s="24" t="n">
        <v>5144.556481985902</v>
      </c>
      <c r="K2402" s="24" t="n">
        <v>3782.407407407407</v>
      </c>
      <c r="L2402" s="24" t="n">
        <v>150</v>
      </c>
      <c r="M2402" s="24">
        <f>I2402+J2402+K2402+L2402</f>
        <v/>
      </c>
      <c r="N2402" s="24">
        <f>M2402*'Dashboard &amp; Optimisation'!$B$18/('Dashboard &amp; Optimisation'!$B$16/3.6)</f>
        <v/>
      </c>
      <c r="O2402" s="24" t="n">
        <v>381.0977155658384</v>
      </c>
      <c r="P2402" s="25" t="n">
        <v>0.4731529974868604</v>
      </c>
      <c r="Q2402" s="26" t="n">
        <v>0.2</v>
      </c>
      <c r="R2402" s="24" t="n">
        <v>439.6097963003002</v>
      </c>
      <c r="S2402" s="24">
        <f>R2402*IF(A2402=4, 2.0, 3.0)</f>
        <v/>
      </c>
      <c r="T2402" s="22">
        <f>'Dashboard &amp; Optimisation'!$B$18*U2402</f>
        <v/>
      </c>
      <c r="U2402" s="27">
        <f>MIN(1, S2402/M2402)</f>
        <v/>
      </c>
      <c r="V2402" s="27">
        <f>N2402/(N2402+O2402)</f>
        <v/>
      </c>
      <c r="W2402" s="27">
        <f>U2402*V2402</f>
        <v/>
      </c>
      <c r="X2402" s="25">
        <f>T2402/N2402</f>
        <v/>
      </c>
      <c r="Y2402" s="28">
        <f>IF(W2402=MAXIFS(W$2:W$3601, A$2:A$3601, A2402, B$2:B$3601, B2402), "OPTIMAL", "")</f>
        <v/>
      </c>
    </row>
    <row r="2403" ht="20" customHeight="1">
      <c r="A2403" s="29" t="n">
        <v>-18</v>
      </c>
      <c r="B2403" s="29" t="n">
        <v>30</v>
      </c>
      <c r="C2403" s="30" t="n">
        <v>110</v>
      </c>
      <c r="D2403" s="30" t="n">
        <v>2</v>
      </c>
      <c r="E2403" s="6" t="n">
        <v>0</v>
      </c>
      <c r="F2403" s="30" t="n">
        <v>0</v>
      </c>
      <c r="G2403" s="6" t="inlineStr">
        <is>
          <t>Oui</t>
        </is>
      </c>
      <c r="H2403" s="6" t="inlineStr">
        <is>
          <t>OFF</t>
        </is>
      </c>
      <c r="I2403" s="31" t="n">
        <v>674.4931640486259</v>
      </c>
      <c r="J2403" s="31" t="n">
        <v>5144.556481985902</v>
      </c>
      <c r="K2403" s="31" t="n">
        <v>3782.407407407407</v>
      </c>
      <c r="L2403" s="31" t="n">
        <v>150</v>
      </c>
      <c r="M2403" s="31">
        <f>I2403+J2403+K2403+L2403</f>
        <v/>
      </c>
      <c r="N2403" s="31">
        <f>M2403*'Dashboard &amp; Optimisation'!$B$18/('Dashboard &amp; Optimisation'!$B$16/3.6)</f>
        <v/>
      </c>
      <c r="O2403" s="31" t="n">
        <v>381.0977155658384</v>
      </c>
      <c r="P2403" s="32" t="n">
        <v>0.7625256212903064</v>
      </c>
      <c r="Q2403" s="33" t="n">
        <v>0.2</v>
      </c>
      <c r="R2403" s="31" t="n">
        <v>272.7812509330556</v>
      </c>
      <c r="S2403" s="31">
        <f>R2403*IF(A2403=4, 2.0, 3.0)</f>
        <v/>
      </c>
      <c r="T2403" s="30">
        <f>'Dashboard &amp; Optimisation'!$B$18*U2403</f>
        <v/>
      </c>
      <c r="U2403" s="34">
        <f>MIN(1, S2403/M2403)</f>
        <v/>
      </c>
      <c r="V2403" s="34">
        <f>N2403/(N2403+O2403)</f>
        <v/>
      </c>
      <c r="W2403" s="34">
        <f>U2403*V2403</f>
        <v/>
      </c>
      <c r="X2403" s="32">
        <f>T2403/N2403</f>
        <v/>
      </c>
      <c r="Y2403" s="35">
        <f>IF(W2403=MAXIFS(W$2:W$3601, A$2:A$3601, A2403, B$2:B$3601, B2403), "OPTIMAL", "")</f>
        <v/>
      </c>
    </row>
    <row r="2404" ht="20" customHeight="1">
      <c r="A2404" s="21" t="n">
        <v>-18</v>
      </c>
      <c r="B2404" s="21" t="n">
        <v>30</v>
      </c>
      <c r="C2404" s="22" t="n">
        <v>110</v>
      </c>
      <c r="D2404" s="22" t="n">
        <v>2</v>
      </c>
      <c r="E2404" s="23" t="n">
        <v>0</v>
      </c>
      <c r="F2404" s="22" t="n">
        <v>0</v>
      </c>
      <c r="G2404" s="23" t="inlineStr">
        <is>
          <t>Non</t>
        </is>
      </c>
      <c r="H2404" s="23" t="inlineStr">
        <is>
          <t>ON</t>
        </is>
      </c>
      <c r="I2404" s="24" t="n">
        <v>674.4931640486259</v>
      </c>
      <c r="J2404" s="24" t="n">
        <v>5144.556481985902</v>
      </c>
      <c r="K2404" s="24" t="n">
        <v>3782.407407407407</v>
      </c>
      <c r="L2404" s="24" t="n">
        <v>150</v>
      </c>
      <c r="M2404" s="24">
        <f>I2404+J2404+K2404+L2404</f>
        <v/>
      </c>
      <c r="N2404" s="24">
        <f>M2404*'Dashboard &amp; Optimisation'!$B$18/('Dashboard &amp; Optimisation'!$B$16/3.6)</f>
        <v/>
      </c>
      <c r="O2404" s="24" t="n">
        <v>381.0977155658384</v>
      </c>
      <c r="P2404" s="25" t="n">
        <v>0.4702592712488259</v>
      </c>
      <c r="Q2404" s="26" t="n">
        <v>0.2</v>
      </c>
      <c r="R2404" s="24" t="n">
        <v>442.3149219189253</v>
      </c>
      <c r="S2404" s="24">
        <f>R2404*IF(A2404=4, 2.0, 3.0)</f>
        <v/>
      </c>
      <c r="T2404" s="22">
        <f>'Dashboard &amp; Optimisation'!$B$18*U2404</f>
        <v/>
      </c>
      <c r="U2404" s="27">
        <f>MIN(1, S2404/M2404)</f>
        <v/>
      </c>
      <c r="V2404" s="27">
        <f>N2404/(N2404+O2404)</f>
        <v/>
      </c>
      <c r="W2404" s="27">
        <f>U2404*V2404</f>
        <v/>
      </c>
      <c r="X2404" s="25">
        <f>T2404/N2404</f>
        <v/>
      </c>
      <c r="Y2404" s="28">
        <f>IF(W2404=MAXIFS(W$2:W$3601, A$2:A$3601, A2404, B$2:B$3601, B2404), "OPTIMAL", "")</f>
        <v/>
      </c>
    </row>
    <row r="2405" ht="20" customHeight="1">
      <c r="A2405" s="29" t="n">
        <v>-18</v>
      </c>
      <c r="B2405" s="29" t="n">
        <v>30</v>
      </c>
      <c r="C2405" s="30" t="n">
        <v>110</v>
      </c>
      <c r="D2405" s="30" t="n">
        <v>2</v>
      </c>
      <c r="E2405" s="6" t="n">
        <v>0</v>
      </c>
      <c r="F2405" s="30" t="n">
        <v>0</v>
      </c>
      <c r="G2405" s="6" t="inlineStr">
        <is>
          <t>Non</t>
        </is>
      </c>
      <c r="H2405" s="6" t="inlineStr">
        <is>
          <t>OFF</t>
        </is>
      </c>
      <c r="I2405" s="31" t="n">
        <v>674.4931640486259</v>
      </c>
      <c r="J2405" s="31" t="n">
        <v>5144.556481985902</v>
      </c>
      <c r="K2405" s="31" t="n">
        <v>3782.407407407407</v>
      </c>
      <c r="L2405" s="31" t="n">
        <v>150</v>
      </c>
      <c r="M2405" s="31">
        <f>I2405+J2405+K2405+L2405</f>
        <v/>
      </c>
      <c r="N2405" s="31">
        <f>M2405*'Dashboard &amp; Optimisation'!$B$18/('Dashboard &amp; Optimisation'!$B$16/3.6)</f>
        <v/>
      </c>
      <c r="O2405" s="31" t="n">
        <v>381.0977155658384</v>
      </c>
      <c r="P2405" s="32" t="n">
        <v>0.759631895052272</v>
      </c>
      <c r="Q2405" s="33" t="n">
        <v>0.2</v>
      </c>
      <c r="R2405" s="31" t="n">
        <v>273.8203782632929</v>
      </c>
      <c r="S2405" s="31">
        <f>R2405*IF(A2405=4, 2.0, 3.0)</f>
        <v/>
      </c>
      <c r="T2405" s="30">
        <f>'Dashboard &amp; Optimisation'!$B$18*U2405</f>
        <v/>
      </c>
      <c r="U2405" s="34">
        <f>MIN(1, S2405/M2405)</f>
        <v/>
      </c>
      <c r="V2405" s="34">
        <f>N2405/(N2405+O2405)</f>
        <v/>
      </c>
      <c r="W2405" s="34">
        <f>U2405*V2405</f>
        <v/>
      </c>
      <c r="X2405" s="32">
        <f>T2405/N2405</f>
        <v/>
      </c>
      <c r="Y2405" s="35">
        <f>IF(W2405=MAXIFS(W$2:W$3601, A$2:A$3601, A2405, B$2:B$3601, B2405), "OPTIMAL", "")</f>
        <v/>
      </c>
    </row>
    <row r="2406" ht="20" customHeight="1">
      <c r="A2406" s="21" t="n">
        <v>-18</v>
      </c>
      <c r="B2406" s="21" t="n">
        <v>30</v>
      </c>
      <c r="C2406" s="22" t="n">
        <v>110</v>
      </c>
      <c r="D2406" s="22" t="n">
        <v>2</v>
      </c>
      <c r="E2406" s="23" t="n">
        <v>4</v>
      </c>
      <c r="F2406" s="22" t="n">
        <v>1.5</v>
      </c>
      <c r="G2406" s="23" t="inlineStr">
        <is>
          <t>Oui</t>
        </is>
      </c>
      <c r="H2406" s="23" t="inlineStr">
        <is>
          <t>ON</t>
        </is>
      </c>
      <c r="I2406" s="24" t="n">
        <v>674.4931640486259</v>
      </c>
      <c r="J2406" s="24" t="n">
        <v>5144.556481985902</v>
      </c>
      <c r="K2406" s="24" t="n">
        <v>3782.407407407407</v>
      </c>
      <c r="L2406" s="24" t="n">
        <v>150</v>
      </c>
      <c r="M2406" s="24">
        <f>I2406+J2406+K2406+L2406</f>
        <v/>
      </c>
      <c r="N2406" s="24">
        <f>M2406*'Dashboard &amp; Optimisation'!$B$18/('Dashboard &amp; Optimisation'!$B$16/3.6)</f>
        <v/>
      </c>
      <c r="O2406" s="24" t="n">
        <v>591.569050731058</v>
      </c>
      <c r="P2406" s="25" t="n">
        <v>0.07062967612279852</v>
      </c>
      <c r="Q2406" s="26" t="n">
        <v>6.103987745549313</v>
      </c>
      <c r="R2406" s="24" t="n">
        <v>3032.393933458834</v>
      </c>
      <c r="S2406" s="24">
        <f>R2406*IF(A2406=4, 2.0, 3.0)</f>
        <v/>
      </c>
      <c r="T2406" s="22">
        <f>'Dashboard &amp; Optimisation'!$B$18*U2406</f>
        <v/>
      </c>
      <c r="U2406" s="27">
        <f>MIN(1, S2406/M2406)</f>
        <v/>
      </c>
      <c r="V2406" s="27">
        <f>N2406/(N2406+O2406)</f>
        <v/>
      </c>
      <c r="W2406" s="27">
        <f>U2406*V2406</f>
        <v/>
      </c>
      <c r="X2406" s="25">
        <f>T2406/N2406</f>
        <v/>
      </c>
      <c r="Y2406" s="28">
        <f>IF(W2406=MAXIFS(W$2:W$3601, A$2:A$3601, A2406, B$2:B$3601, B2406), "OPTIMAL", "")</f>
        <v/>
      </c>
    </row>
    <row r="2407" ht="20" customHeight="1">
      <c r="A2407" s="29" t="n">
        <v>-18</v>
      </c>
      <c r="B2407" s="29" t="n">
        <v>30</v>
      </c>
      <c r="C2407" s="30" t="n">
        <v>110</v>
      </c>
      <c r="D2407" s="30" t="n">
        <v>2</v>
      </c>
      <c r="E2407" s="6" t="n">
        <v>4</v>
      </c>
      <c r="F2407" s="30" t="n">
        <v>1.5</v>
      </c>
      <c r="G2407" s="6" t="inlineStr">
        <is>
          <t>Oui</t>
        </is>
      </c>
      <c r="H2407" s="6" t="inlineStr">
        <is>
          <t>OFF</t>
        </is>
      </c>
      <c r="I2407" s="31" t="n">
        <v>674.4931640486259</v>
      </c>
      <c r="J2407" s="31" t="n">
        <v>5144.556481985902</v>
      </c>
      <c r="K2407" s="31" t="n">
        <v>3782.407407407407</v>
      </c>
      <c r="L2407" s="31" t="n">
        <v>150</v>
      </c>
      <c r="M2407" s="31">
        <f>I2407+J2407+K2407+L2407</f>
        <v/>
      </c>
      <c r="N2407" s="31">
        <f>M2407*'Dashboard &amp; Optimisation'!$B$18/('Dashboard &amp; Optimisation'!$B$16/3.6)</f>
        <v/>
      </c>
      <c r="O2407" s="31" t="n">
        <v>591.569050731058</v>
      </c>
      <c r="P2407" s="32" t="n">
        <v>0.2882258985719243</v>
      </c>
      <c r="Q2407" s="33" t="n">
        <v>6.103987745549313</v>
      </c>
      <c r="R2407" s="31" t="n">
        <v>743.0872883322472</v>
      </c>
      <c r="S2407" s="31">
        <f>R2407*IF(A2407=4, 2.0, 3.0)</f>
        <v/>
      </c>
      <c r="T2407" s="30">
        <f>'Dashboard &amp; Optimisation'!$B$18*U2407</f>
        <v/>
      </c>
      <c r="U2407" s="34">
        <f>MIN(1, S2407/M2407)</f>
        <v/>
      </c>
      <c r="V2407" s="34">
        <f>N2407/(N2407+O2407)</f>
        <v/>
      </c>
      <c r="W2407" s="34">
        <f>U2407*V2407</f>
        <v/>
      </c>
      <c r="X2407" s="32">
        <f>T2407/N2407</f>
        <v/>
      </c>
      <c r="Y2407" s="35">
        <f>IF(W2407=MAXIFS(W$2:W$3601, A$2:A$3601, A2407, B$2:B$3601, B2407), "OPTIMAL", "")</f>
        <v/>
      </c>
    </row>
    <row r="2408" ht="20" customHeight="1">
      <c r="A2408" s="21" t="n">
        <v>-18</v>
      </c>
      <c r="B2408" s="21" t="n">
        <v>30</v>
      </c>
      <c r="C2408" s="22" t="n">
        <v>110</v>
      </c>
      <c r="D2408" s="22" t="n">
        <v>2</v>
      </c>
      <c r="E2408" s="23" t="n">
        <v>4</v>
      </c>
      <c r="F2408" s="22" t="n">
        <v>1.5</v>
      </c>
      <c r="G2408" s="23" t="inlineStr">
        <is>
          <t>Non</t>
        </is>
      </c>
      <c r="H2408" s="23" t="inlineStr">
        <is>
          <t>ON</t>
        </is>
      </c>
      <c r="I2408" s="24" t="n">
        <v>674.4931640486259</v>
      </c>
      <c r="J2408" s="24" t="n">
        <v>5144.556481985902</v>
      </c>
      <c r="K2408" s="24" t="n">
        <v>3782.407407407407</v>
      </c>
      <c r="L2408" s="24" t="n">
        <v>150</v>
      </c>
      <c r="M2408" s="24">
        <f>I2408+J2408+K2408+L2408</f>
        <v/>
      </c>
      <c r="N2408" s="24">
        <f>M2408*'Dashboard &amp; Optimisation'!$B$18/('Dashboard &amp; Optimisation'!$B$16/3.6)</f>
        <v/>
      </c>
      <c r="O2408" s="24" t="n">
        <v>591.569050731058</v>
      </c>
      <c r="P2408" s="25" t="n">
        <v>0.06773594988476406</v>
      </c>
      <c r="Q2408" s="26" t="n">
        <v>6.103987745549313</v>
      </c>
      <c r="R2408" s="24" t="n">
        <v>3161.939882164577</v>
      </c>
      <c r="S2408" s="24">
        <f>R2408*IF(A2408=4, 2.0, 3.0)</f>
        <v/>
      </c>
      <c r="T2408" s="22">
        <f>'Dashboard &amp; Optimisation'!$B$18*U2408</f>
        <v/>
      </c>
      <c r="U2408" s="27">
        <f>MIN(1, S2408/M2408)</f>
        <v/>
      </c>
      <c r="V2408" s="27">
        <f>N2408/(N2408+O2408)</f>
        <v/>
      </c>
      <c r="W2408" s="27">
        <f>U2408*V2408</f>
        <v/>
      </c>
      <c r="X2408" s="25">
        <f>T2408/N2408</f>
        <v/>
      </c>
      <c r="Y2408" s="28">
        <f>IF(W2408=MAXIFS(W$2:W$3601, A$2:A$3601, A2408, B$2:B$3601, B2408), "OPTIMAL", "")</f>
        <v/>
      </c>
    </row>
    <row r="2409" ht="20" customHeight="1">
      <c r="A2409" s="29" t="n">
        <v>-18</v>
      </c>
      <c r="B2409" s="29" t="n">
        <v>30</v>
      </c>
      <c r="C2409" s="30" t="n">
        <v>110</v>
      </c>
      <c r="D2409" s="30" t="n">
        <v>2</v>
      </c>
      <c r="E2409" s="6" t="n">
        <v>4</v>
      </c>
      <c r="F2409" s="30" t="n">
        <v>1.5</v>
      </c>
      <c r="G2409" s="6" t="inlineStr">
        <is>
          <t>Non</t>
        </is>
      </c>
      <c r="H2409" s="6" t="inlineStr">
        <is>
          <t>OFF</t>
        </is>
      </c>
      <c r="I2409" s="31" t="n">
        <v>674.4931640486259</v>
      </c>
      <c r="J2409" s="31" t="n">
        <v>5144.556481985902</v>
      </c>
      <c r="K2409" s="31" t="n">
        <v>3782.407407407407</v>
      </c>
      <c r="L2409" s="31" t="n">
        <v>150</v>
      </c>
      <c r="M2409" s="31">
        <f>I2409+J2409+K2409+L2409</f>
        <v/>
      </c>
      <c r="N2409" s="31">
        <f>M2409*'Dashboard &amp; Optimisation'!$B$18/('Dashboard &amp; Optimisation'!$B$16/3.6)</f>
        <v/>
      </c>
      <c r="O2409" s="31" t="n">
        <v>591.569050731058</v>
      </c>
      <c r="P2409" s="32" t="n">
        <v>0.2853321723338898</v>
      </c>
      <c r="Q2409" s="33" t="n">
        <v>6.103987745549313</v>
      </c>
      <c r="R2409" s="31" t="n">
        <v>750.6233862275826</v>
      </c>
      <c r="S2409" s="31">
        <f>R2409*IF(A2409=4, 2.0, 3.0)</f>
        <v/>
      </c>
      <c r="T2409" s="30">
        <f>'Dashboard &amp; Optimisation'!$B$18*U2409</f>
        <v/>
      </c>
      <c r="U2409" s="34">
        <f>MIN(1, S2409/M2409)</f>
        <v/>
      </c>
      <c r="V2409" s="34">
        <f>N2409/(N2409+O2409)</f>
        <v/>
      </c>
      <c r="W2409" s="34">
        <f>U2409*V2409</f>
        <v/>
      </c>
      <c r="X2409" s="32">
        <f>T2409/N2409</f>
        <v/>
      </c>
      <c r="Y2409" s="35">
        <f>IF(W2409=MAXIFS(W$2:W$3601, A$2:A$3601, A2409, B$2:B$3601, B2409), "OPTIMAL", "")</f>
        <v/>
      </c>
    </row>
    <row r="2410" ht="20" customHeight="1">
      <c r="A2410" s="21" t="n">
        <v>-18</v>
      </c>
      <c r="B2410" s="21" t="n">
        <v>30</v>
      </c>
      <c r="C2410" s="22" t="n">
        <v>110</v>
      </c>
      <c r="D2410" s="22" t="n">
        <v>2</v>
      </c>
      <c r="E2410" s="23" t="n">
        <v>4</v>
      </c>
      <c r="F2410" s="22" t="n">
        <v>2</v>
      </c>
      <c r="G2410" s="23" t="inlineStr">
        <is>
          <t>Oui</t>
        </is>
      </c>
      <c r="H2410" s="23" t="inlineStr">
        <is>
          <t>ON</t>
        </is>
      </c>
      <c r="I2410" s="24" t="n">
        <v>674.4931640486259</v>
      </c>
      <c r="J2410" s="24" t="n">
        <v>5144.556481985902</v>
      </c>
      <c r="K2410" s="24" t="n">
        <v>3782.407407407407</v>
      </c>
      <c r="L2410" s="24" t="n">
        <v>150</v>
      </c>
      <c r="M2410" s="24">
        <f>I2410+J2410+K2410+L2410</f>
        <v/>
      </c>
      <c r="N2410" s="24">
        <f>M2410*'Dashboard &amp; Optimisation'!$B$18/('Dashboard &amp; Optimisation'!$B$16/3.6)</f>
        <v/>
      </c>
      <c r="O2410" s="24" t="n">
        <v>664.5306168286866</v>
      </c>
      <c r="P2410" s="25" t="n">
        <v>0.06762363614121064</v>
      </c>
      <c r="Q2410" s="26" t="n">
        <v>8.071983660732418</v>
      </c>
      <c r="R2410" s="24" t="n">
        <v>3198.842697888842</v>
      </c>
      <c r="S2410" s="24">
        <f>R2410*IF(A2410=4, 2.0, 3.0)</f>
        <v/>
      </c>
      <c r="T2410" s="22">
        <f>'Dashboard &amp; Optimisation'!$B$18*U2410</f>
        <v/>
      </c>
      <c r="U2410" s="27">
        <f>MIN(1, S2410/M2410)</f>
        <v/>
      </c>
      <c r="V2410" s="27">
        <f>N2410/(N2410+O2410)</f>
        <v/>
      </c>
      <c r="W2410" s="27">
        <f>U2410*V2410</f>
        <v/>
      </c>
      <c r="X2410" s="25">
        <f>T2410/N2410</f>
        <v/>
      </c>
      <c r="Y2410" s="28">
        <f>IF(W2410=MAXIFS(W$2:W$3601, A$2:A$3601, A2410, B$2:B$3601, B2410), "OPTIMAL", "")</f>
        <v/>
      </c>
    </row>
    <row r="2411" ht="20" customHeight="1">
      <c r="A2411" s="29" t="n">
        <v>-18</v>
      </c>
      <c r="B2411" s="29" t="n">
        <v>30</v>
      </c>
      <c r="C2411" s="30" t="n">
        <v>110</v>
      </c>
      <c r="D2411" s="30" t="n">
        <v>2</v>
      </c>
      <c r="E2411" s="6" t="n">
        <v>4</v>
      </c>
      <c r="F2411" s="30" t="n">
        <v>2</v>
      </c>
      <c r="G2411" s="6" t="inlineStr">
        <is>
          <t>Oui</t>
        </is>
      </c>
      <c r="H2411" s="6" t="inlineStr">
        <is>
          <t>OFF</t>
        </is>
      </c>
      <c r="I2411" s="31" t="n">
        <v>674.4931640486259</v>
      </c>
      <c r="J2411" s="31" t="n">
        <v>5144.556481985902</v>
      </c>
      <c r="K2411" s="31" t="n">
        <v>3782.407407407407</v>
      </c>
      <c r="L2411" s="31" t="n">
        <v>150</v>
      </c>
      <c r="M2411" s="31">
        <f>I2411+J2411+K2411+L2411</f>
        <v/>
      </c>
      <c r="N2411" s="31">
        <f>M2411*'Dashboard &amp; Optimisation'!$B$18/('Dashboard &amp; Optimisation'!$B$16/3.6)</f>
        <v/>
      </c>
      <c r="O2411" s="31" t="n">
        <v>664.5306168286866</v>
      </c>
      <c r="P2411" s="32" t="n">
        <v>0.2861692165887991</v>
      </c>
      <c r="Q2411" s="33" t="n">
        <v>8.071983660732418</v>
      </c>
      <c r="R2411" s="31" t="n">
        <v>755.9072120109738</v>
      </c>
      <c r="S2411" s="31">
        <f>R2411*IF(A2411=4, 2.0, 3.0)</f>
        <v/>
      </c>
      <c r="T2411" s="30">
        <f>'Dashboard &amp; Optimisation'!$B$18*U2411</f>
        <v/>
      </c>
      <c r="U2411" s="34">
        <f>MIN(1, S2411/M2411)</f>
        <v/>
      </c>
      <c r="V2411" s="34">
        <f>N2411/(N2411+O2411)</f>
        <v/>
      </c>
      <c r="W2411" s="34">
        <f>U2411*V2411</f>
        <v/>
      </c>
      <c r="X2411" s="32">
        <f>T2411/N2411</f>
        <v/>
      </c>
      <c r="Y2411" s="35">
        <f>IF(W2411=MAXIFS(W$2:W$3601, A$2:A$3601, A2411, B$2:B$3601, B2411), "OPTIMAL", "")</f>
        <v/>
      </c>
    </row>
    <row r="2412" ht="20" customHeight="1">
      <c r="A2412" s="21" t="n">
        <v>-18</v>
      </c>
      <c r="B2412" s="21" t="n">
        <v>30</v>
      </c>
      <c r="C2412" s="22" t="n">
        <v>110</v>
      </c>
      <c r="D2412" s="22" t="n">
        <v>2</v>
      </c>
      <c r="E2412" s="23" t="n">
        <v>4</v>
      </c>
      <c r="F2412" s="22" t="n">
        <v>2</v>
      </c>
      <c r="G2412" s="23" t="inlineStr">
        <is>
          <t>Non</t>
        </is>
      </c>
      <c r="H2412" s="23" t="inlineStr">
        <is>
          <t>ON</t>
        </is>
      </c>
      <c r="I2412" s="24" t="n">
        <v>674.4931640486259</v>
      </c>
      <c r="J2412" s="24" t="n">
        <v>5144.556481985902</v>
      </c>
      <c r="K2412" s="24" t="n">
        <v>3782.407407407407</v>
      </c>
      <c r="L2412" s="24" t="n">
        <v>150</v>
      </c>
      <c r="M2412" s="24">
        <f>I2412+J2412+K2412+L2412</f>
        <v/>
      </c>
      <c r="N2412" s="24">
        <f>M2412*'Dashboard &amp; Optimisation'!$B$18/('Dashboard &amp; Optimisation'!$B$16/3.6)</f>
        <v/>
      </c>
      <c r="O2412" s="24" t="n">
        <v>664.5306168286866</v>
      </c>
      <c r="P2412" s="25" t="n">
        <v>0.06472990990317617</v>
      </c>
      <c r="Q2412" s="26" t="n">
        <v>8.071983660732418</v>
      </c>
      <c r="R2412" s="24" t="n">
        <v>3341.84575567267</v>
      </c>
      <c r="S2412" s="24">
        <f>R2412*IF(A2412=4, 2.0, 3.0)</f>
        <v/>
      </c>
      <c r="T2412" s="22">
        <f>'Dashboard &amp; Optimisation'!$B$18*U2412</f>
        <v/>
      </c>
      <c r="U2412" s="27">
        <f>MIN(1, S2412/M2412)</f>
        <v/>
      </c>
      <c r="V2412" s="27">
        <f>N2412/(N2412+O2412)</f>
        <v/>
      </c>
      <c r="W2412" s="27">
        <f>U2412*V2412</f>
        <v/>
      </c>
      <c r="X2412" s="25">
        <f>T2412/N2412</f>
        <v/>
      </c>
      <c r="Y2412" s="28">
        <f>IF(W2412=MAXIFS(W$2:W$3601, A$2:A$3601, A2412, B$2:B$3601, B2412), "OPTIMAL", "")</f>
        <v/>
      </c>
    </row>
    <row r="2413" ht="20" customHeight="1">
      <c r="A2413" s="29" t="n">
        <v>-18</v>
      </c>
      <c r="B2413" s="29" t="n">
        <v>30</v>
      </c>
      <c r="C2413" s="30" t="n">
        <v>110</v>
      </c>
      <c r="D2413" s="30" t="n">
        <v>2</v>
      </c>
      <c r="E2413" s="6" t="n">
        <v>4</v>
      </c>
      <c r="F2413" s="30" t="n">
        <v>2</v>
      </c>
      <c r="G2413" s="6" t="inlineStr">
        <is>
          <t>Non</t>
        </is>
      </c>
      <c r="H2413" s="6" t="inlineStr">
        <is>
          <t>OFF</t>
        </is>
      </c>
      <c r="I2413" s="31" t="n">
        <v>674.4931640486259</v>
      </c>
      <c r="J2413" s="31" t="n">
        <v>5144.556481985902</v>
      </c>
      <c r="K2413" s="31" t="n">
        <v>3782.407407407407</v>
      </c>
      <c r="L2413" s="31" t="n">
        <v>150</v>
      </c>
      <c r="M2413" s="31">
        <f>I2413+J2413+K2413+L2413</f>
        <v/>
      </c>
      <c r="N2413" s="31">
        <f>M2413*'Dashboard &amp; Optimisation'!$B$18/('Dashboard &amp; Optimisation'!$B$16/3.6)</f>
        <v/>
      </c>
      <c r="O2413" s="31" t="n">
        <v>664.5306168286866</v>
      </c>
      <c r="P2413" s="32" t="n">
        <v>0.2832754903507647</v>
      </c>
      <c r="Q2413" s="33" t="n">
        <v>8.071983660732418</v>
      </c>
      <c r="R2413" s="31" t="n">
        <v>763.6289832457782</v>
      </c>
      <c r="S2413" s="31">
        <f>R2413*IF(A2413=4, 2.0, 3.0)</f>
        <v/>
      </c>
      <c r="T2413" s="30">
        <f>'Dashboard &amp; Optimisation'!$B$18*U2413</f>
        <v/>
      </c>
      <c r="U2413" s="34">
        <f>MIN(1, S2413/M2413)</f>
        <v/>
      </c>
      <c r="V2413" s="34">
        <f>N2413/(N2413+O2413)</f>
        <v/>
      </c>
      <c r="W2413" s="34">
        <f>U2413*V2413</f>
        <v/>
      </c>
      <c r="X2413" s="32">
        <f>T2413/N2413</f>
        <v/>
      </c>
      <c r="Y2413" s="35">
        <f>IF(W2413=MAXIFS(W$2:W$3601, A$2:A$3601, A2413, B$2:B$3601, B2413), "OPTIMAL", "")</f>
        <v/>
      </c>
    </row>
    <row r="2414" ht="20" customHeight="1">
      <c r="A2414" s="21" t="n">
        <v>-18</v>
      </c>
      <c r="B2414" s="21" t="n">
        <v>30</v>
      </c>
      <c r="C2414" s="22" t="n">
        <v>110</v>
      </c>
      <c r="D2414" s="22" t="n">
        <v>2</v>
      </c>
      <c r="E2414" s="23" t="n">
        <v>8</v>
      </c>
      <c r="F2414" s="22" t="n">
        <v>1.5</v>
      </c>
      <c r="G2414" s="23" t="inlineStr">
        <is>
          <t>Oui</t>
        </is>
      </c>
      <c r="H2414" s="23" t="inlineStr">
        <is>
          <t>ON</t>
        </is>
      </c>
      <c r="I2414" s="24" t="n">
        <v>674.4931640486259</v>
      </c>
      <c r="J2414" s="24" t="n">
        <v>5144.556481985902</v>
      </c>
      <c r="K2414" s="24" t="n">
        <v>3782.407407407407</v>
      </c>
      <c r="L2414" s="24" t="n">
        <v>150</v>
      </c>
      <c r="M2414" s="24">
        <f>I2414+J2414+K2414+L2414</f>
        <v/>
      </c>
      <c r="N2414" s="24">
        <f>M2414*'Dashboard &amp; Optimisation'!$B$18/('Dashboard &amp; Optimisation'!$B$16/3.6)</f>
        <v/>
      </c>
      <c r="O2414" s="24" t="n">
        <v>814.9178111346203</v>
      </c>
      <c r="P2414" s="25" t="n">
        <v>0.05348631453507773</v>
      </c>
      <c r="Q2414" s="26" t="n">
        <v>12.00797549109863</v>
      </c>
      <c r="R2414" s="24" t="n">
        <v>4126.832802187763</v>
      </c>
      <c r="S2414" s="24">
        <f>R2414*IF(A2414=4, 2.0, 3.0)</f>
        <v/>
      </c>
      <c r="T2414" s="22">
        <f>'Dashboard &amp; Optimisation'!$B$18*U2414</f>
        <v/>
      </c>
      <c r="U2414" s="27">
        <f>MIN(1, S2414/M2414)</f>
        <v/>
      </c>
      <c r="V2414" s="27">
        <f>N2414/(N2414+O2414)</f>
        <v/>
      </c>
      <c r="W2414" s="27">
        <f>U2414*V2414</f>
        <v/>
      </c>
      <c r="X2414" s="25">
        <f>T2414/N2414</f>
        <v/>
      </c>
      <c r="Y2414" s="28">
        <f>IF(W2414=MAXIFS(W$2:W$3601, A$2:A$3601, A2414, B$2:B$3601, B2414), "OPTIMAL", "")</f>
        <v/>
      </c>
    </row>
    <row r="2415" ht="20" customHeight="1">
      <c r="A2415" s="29" t="n">
        <v>-18</v>
      </c>
      <c r="B2415" s="29" t="n">
        <v>30</v>
      </c>
      <c r="C2415" s="30" t="n">
        <v>110</v>
      </c>
      <c r="D2415" s="30" t="n">
        <v>2</v>
      </c>
      <c r="E2415" s="6" t="n">
        <v>8</v>
      </c>
      <c r="F2415" s="30" t="n">
        <v>1.5</v>
      </c>
      <c r="G2415" s="6" t="inlineStr">
        <is>
          <t>Oui</t>
        </is>
      </c>
      <c r="H2415" s="6" t="inlineStr">
        <is>
          <t>OFF</t>
        </is>
      </c>
      <c r="I2415" s="31" t="n">
        <v>674.4931640486259</v>
      </c>
      <c r="J2415" s="31" t="n">
        <v>5144.556481985902</v>
      </c>
      <c r="K2415" s="31" t="n">
        <v>3782.407407407407</v>
      </c>
      <c r="L2415" s="31" t="n">
        <v>150</v>
      </c>
      <c r="M2415" s="31">
        <f>I2415+J2415+K2415+L2415</f>
        <v/>
      </c>
      <c r="N2415" s="31">
        <f>M2415*'Dashboard &amp; Optimisation'!$B$18/('Dashboard &amp; Optimisation'!$B$16/3.6)</f>
        <v/>
      </c>
      <c r="O2415" s="31" t="n">
        <v>814.9178111346203</v>
      </c>
      <c r="P2415" s="32" t="n">
        <v>0.2278356335097701</v>
      </c>
      <c r="Q2415" s="33" t="n">
        <v>12.00797549109863</v>
      </c>
      <c r="R2415" s="31" t="n">
        <v>968.8084075839944</v>
      </c>
      <c r="S2415" s="31">
        <f>R2415*IF(A2415=4, 2.0, 3.0)</f>
        <v/>
      </c>
      <c r="T2415" s="30">
        <f>'Dashboard &amp; Optimisation'!$B$18*U2415</f>
        <v/>
      </c>
      <c r="U2415" s="34">
        <f>MIN(1, S2415/M2415)</f>
        <v/>
      </c>
      <c r="V2415" s="34">
        <f>N2415/(N2415+O2415)</f>
        <v/>
      </c>
      <c r="W2415" s="34">
        <f>U2415*V2415</f>
        <v/>
      </c>
      <c r="X2415" s="32">
        <f>T2415/N2415</f>
        <v/>
      </c>
      <c r="Y2415" s="35">
        <f>IF(W2415=MAXIFS(W$2:W$3601, A$2:A$3601, A2415, B$2:B$3601, B2415), "OPTIMAL", "")</f>
        <v/>
      </c>
    </row>
    <row r="2416" ht="20" customHeight="1">
      <c r="A2416" s="21" t="n">
        <v>-18</v>
      </c>
      <c r="B2416" s="21" t="n">
        <v>30</v>
      </c>
      <c r="C2416" s="22" t="n">
        <v>110</v>
      </c>
      <c r="D2416" s="22" t="n">
        <v>2</v>
      </c>
      <c r="E2416" s="23" t="n">
        <v>8</v>
      </c>
      <c r="F2416" s="22" t="n">
        <v>1.5</v>
      </c>
      <c r="G2416" s="23" t="inlineStr">
        <is>
          <t>Non</t>
        </is>
      </c>
      <c r="H2416" s="23" t="inlineStr">
        <is>
          <t>ON</t>
        </is>
      </c>
      <c r="I2416" s="24" t="n">
        <v>674.4931640486259</v>
      </c>
      <c r="J2416" s="24" t="n">
        <v>5144.556481985902</v>
      </c>
      <c r="K2416" s="24" t="n">
        <v>3782.407407407407</v>
      </c>
      <c r="L2416" s="24" t="n">
        <v>150</v>
      </c>
      <c r="M2416" s="24">
        <f>I2416+J2416+K2416+L2416</f>
        <v/>
      </c>
      <c r="N2416" s="24">
        <f>M2416*'Dashboard &amp; Optimisation'!$B$18/('Dashboard &amp; Optimisation'!$B$16/3.6)</f>
        <v/>
      </c>
      <c r="O2416" s="24" t="n">
        <v>814.9178111346203</v>
      </c>
      <c r="P2416" s="25" t="n">
        <v>0.05059258829704327</v>
      </c>
      <c r="Q2416" s="26" t="n">
        <v>12.00797549109863</v>
      </c>
      <c r="R2416" s="24" t="n">
        <v>4362.873786878201</v>
      </c>
      <c r="S2416" s="24">
        <f>R2416*IF(A2416=4, 2.0, 3.0)</f>
        <v/>
      </c>
      <c r="T2416" s="22">
        <f>'Dashboard &amp; Optimisation'!$B$18*U2416</f>
        <v/>
      </c>
      <c r="U2416" s="27">
        <f>MIN(1, S2416/M2416)</f>
        <v/>
      </c>
      <c r="V2416" s="27">
        <f>N2416/(N2416+O2416)</f>
        <v/>
      </c>
      <c r="W2416" s="27">
        <f>U2416*V2416</f>
        <v/>
      </c>
      <c r="X2416" s="25">
        <f>T2416/N2416</f>
        <v/>
      </c>
      <c r="Y2416" s="28">
        <f>IF(W2416=MAXIFS(W$2:W$3601, A$2:A$3601, A2416, B$2:B$3601, B2416), "OPTIMAL", "")</f>
        <v/>
      </c>
    </row>
    <row r="2417" ht="20" customHeight="1">
      <c r="A2417" s="29" t="n">
        <v>-18</v>
      </c>
      <c r="B2417" s="29" t="n">
        <v>30</v>
      </c>
      <c r="C2417" s="30" t="n">
        <v>110</v>
      </c>
      <c r="D2417" s="30" t="n">
        <v>2</v>
      </c>
      <c r="E2417" s="6" t="n">
        <v>8</v>
      </c>
      <c r="F2417" s="30" t="n">
        <v>1.5</v>
      </c>
      <c r="G2417" s="6" t="inlineStr">
        <is>
          <t>Non</t>
        </is>
      </c>
      <c r="H2417" s="6" t="inlineStr">
        <is>
          <t>OFF</t>
        </is>
      </c>
      <c r="I2417" s="31" t="n">
        <v>674.4931640486259</v>
      </c>
      <c r="J2417" s="31" t="n">
        <v>5144.556481985902</v>
      </c>
      <c r="K2417" s="31" t="n">
        <v>3782.407407407407</v>
      </c>
      <c r="L2417" s="31" t="n">
        <v>150</v>
      </c>
      <c r="M2417" s="31">
        <f>I2417+J2417+K2417+L2417</f>
        <v/>
      </c>
      <c r="N2417" s="31">
        <f>M2417*'Dashboard &amp; Optimisation'!$B$18/('Dashboard &amp; Optimisation'!$B$16/3.6)</f>
        <v/>
      </c>
      <c r="O2417" s="31" t="n">
        <v>814.9178111346203</v>
      </c>
      <c r="P2417" s="32" t="n">
        <v>0.2249419072717356</v>
      </c>
      <c r="Q2417" s="33" t="n">
        <v>12.00797549109863</v>
      </c>
      <c r="R2417" s="31" t="n">
        <v>981.2714756830281</v>
      </c>
      <c r="S2417" s="31">
        <f>R2417*IF(A2417=4, 2.0, 3.0)</f>
        <v/>
      </c>
      <c r="T2417" s="30">
        <f>'Dashboard &amp; Optimisation'!$B$18*U2417</f>
        <v/>
      </c>
      <c r="U2417" s="34">
        <f>MIN(1, S2417/M2417)</f>
        <v/>
      </c>
      <c r="V2417" s="34">
        <f>N2417/(N2417+O2417)</f>
        <v/>
      </c>
      <c r="W2417" s="34">
        <f>U2417*V2417</f>
        <v/>
      </c>
      <c r="X2417" s="32">
        <f>T2417/N2417</f>
        <v/>
      </c>
      <c r="Y2417" s="35">
        <f>IF(W2417=MAXIFS(W$2:W$3601, A$2:A$3601, A2417, B$2:B$3601, B2417), "OPTIMAL", "")</f>
        <v/>
      </c>
    </row>
    <row r="2418" ht="20" customHeight="1">
      <c r="A2418" s="21" t="n">
        <v>-18</v>
      </c>
      <c r="B2418" s="21" t="n">
        <v>30</v>
      </c>
      <c r="C2418" s="22" t="n">
        <v>110</v>
      </c>
      <c r="D2418" s="22" t="n">
        <v>2</v>
      </c>
      <c r="E2418" s="23" t="n">
        <v>8</v>
      </c>
      <c r="F2418" s="22" t="n">
        <v>2</v>
      </c>
      <c r="G2418" s="23" t="inlineStr">
        <is>
          <t>Oui</t>
        </is>
      </c>
      <c r="H2418" s="23" t="inlineStr">
        <is>
          <t>ON</t>
        </is>
      </c>
      <c r="I2418" s="24" t="n">
        <v>674.4931640486259</v>
      </c>
      <c r="J2418" s="24" t="n">
        <v>5144.556481985902</v>
      </c>
      <c r="K2418" s="24" t="n">
        <v>3782.407407407407</v>
      </c>
      <c r="L2418" s="24" t="n">
        <v>150</v>
      </c>
      <c r="M2418" s="24">
        <f>I2418+J2418+K2418+L2418</f>
        <v/>
      </c>
      <c r="N2418" s="24">
        <f>M2418*'Dashboard &amp; Optimisation'!$B$18/('Dashboard &amp; Optimisation'!$B$16/3.6)</f>
        <v/>
      </c>
      <c r="O2418" s="24" t="n">
        <v>971.5668819836458</v>
      </c>
      <c r="P2418" s="25" t="n">
        <v>0.05207352280953786</v>
      </c>
      <c r="Q2418" s="26" t="n">
        <v>15.94396732146484</v>
      </c>
      <c r="R2418" s="24" t="n">
        <v>4327.044989942774</v>
      </c>
      <c r="S2418" s="24">
        <f>R2418*IF(A2418=4, 2.0, 3.0)</f>
        <v/>
      </c>
      <c r="T2418" s="22">
        <f>'Dashboard &amp; Optimisation'!$B$18*U2418</f>
        <v/>
      </c>
      <c r="U2418" s="27">
        <f>MIN(1, S2418/M2418)</f>
        <v/>
      </c>
      <c r="V2418" s="27">
        <f>N2418/(N2418+O2418)</f>
        <v/>
      </c>
      <c r="W2418" s="27">
        <f>U2418*V2418</f>
        <v/>
      </c>
      <c r="X2418" s="25">
        <f>T2418/N2418</f>
        <v/>
      </c>
      <c r="Y2418" s="28">
        <f>IF(W2418=MAXIFS(W$2:W$3601, A$2:A$3601, A2418, B$2:B$3601, B2418), "OPTIMAL", "")</f>
        <v/>
      </c>
    </row>
    <row r="2419" ht="20" customHeight="1">
      <c r="A2419" s="29" t="n">
        <v>-18</v>
      </c>
      <c r="B2419" s="29" t="n">
        <v>30</v>
      </c>
      <c r="C2419" s="30" t="n">
        <v>110</v>
      </c>
      <c r="D2419" s="30" t="n">
        <v>2</v>
      </c>
      <c r="E2419" s="6" t="n">
        <v>8</v>
      </c>
      <c r="F2419" s="30" t="n">
        <v>2</v>
      </c>
      <c r="G2419" s="6" t="inlineStr">
        <is>
          <t>Oui</t>
        </is>
      </c>
      <c r="H2419" s="6" t="inlineStr">
        <is>
          <t>OFF</t>
        </is>
      </c>
      <c r="I2419" s="31" t="n">
        <v>674.4931640486259</v>
      </c>
      <c r="J2419" s="31" t="n">
        <v>5144.556481985902</v>
      </c>
      <c r="K2419" s="31" t="n">
        <v>3782.407407407407</v>
      </c>
      <c r="L2419" s="31" t="n">
        <v>150</v>
      </c>
      <c r="M2419" s="31">
        <f>I2419+J2419+K2419+L2419</f>
        <v/>
      </c>
      <c r="N2419" s="31">
        <f>M2419*'Dashboard &amp; Optimisation'!$B$18/('Dashboard &amp; Optimisation'!$B$16/3.6)</f>
        <v/>
      </c>
      <c r="O2419" s="31" t="n">
        <v>971.5668819836458</v>
      </c>
      <c r="P2419" s="32" t="n">
        <v>0.2276454001773911</v>
      </c>
      <c r="Q2419" s="33" t="n">
        <v>15.94396732146484</v>
      </c>
      <c r="R2419" s="31" t="n">
        <v>989.8046514715388</v>
      </c>
      <c r="S2419" s="31">
        <f>R2419*IF(A2419=4, 2.0, 3.0)</f>
        <v/>
      </c>
      <c r="T2419" s="30">
        <f>'Dashboard &amp; Optimisation'!$B$18*U2419</f>
        <v/>
      </c>
      <c r="U2419" s="34">
        <f>MIN(1, S2419/M2419)</f>
        <v/>
      </c>
      <c r="V2419" s="34">
        <f>N2419/(N2419+O2419)</f>
        <v/>
      </c>
      <c r="W2419" s="34">
        <f>U2419*V2419</f>
        <v/>
      </c>
      <c r="X2419" s="32">
        <f>T2419/N2419</f>
        <v/>
      </c>
      <c r="Y2419" s="35">
        <f>IF(W2419=MAXIFS(W$2:W$3601, A$2:A$3601, A2419, B$2:B$3601, B2419), "OPTIMAL", "")</f>
        <v/>
      </c>
    </row>
    <row r="2420" ht="20" customHeight="1">
      <c r="A2420" s="21" t="n">
        <v>-18</v>
      </c>
      <c r="B2420" s="21" t="n">
        <v>30</v>
      </c>
      <c r="C2420" s="22" t="n">
        <v>110</v>
      </c>
      <c r="D2420" s="22" t="n">
        <v>2</v>
      </c>
      <c r="E2420" s="23" t="n">
        <v>8</v>
      </c>
      <c r="F2420" s="22" t="n">
        <v>2</v>
      </c>
      <c r="G2420" s="23" t="inlineStr">
        <is>
          <t>Non</t>
        </is>
      </c>
      <c r="H2420" s="23" t="inlineStr">
        <is>
          <t>ON</t>
        </is>
      </c>
      <c r="I2420" s="24" t="n">
        <v>674.4931640486259</v>
      </c>
      <c r="J2420" s="24" t="n">
        <v>5144.556481985902</v>
      </c>
      <c r="K2420" s="24" t="n">
        <v>3782.407407407407</v>
      </c>
      <c r="L2420" s="24" t="n">
        <v>150</v>
      </c>
      <c r="M2420" s="24">
        <f>I2420+J2420+K2420+L2420</f>
        <v/>
      </c>
      <c r="N2420" s="24">
        <f>M2420*'Dashboard &amp; Optimisation'!$B$18/('Dashboard &amp; Optimisation'!$B$16/3.6)</f>
        <v/>
      </c>
      <c r="O2420" s="24" t="n">
        <v>971.5668819836458</v>
      </c>
      <c r="P2420" s="25" t="n">
        <v>0.0491797965715034</v>
      </c>
      <c r="Q2420" s="26" t="n">
        <v>15.94396732146484</v>
      </c>
      <c r="R2420" s="24" t="n">
        <v>4581.647174039816</v>
      </c>
      <c r="S2420" s="24">
        <f>R2420*IF(A2420=4, 2.0, 3.0)</f>
        <v/>
      </c>
      <c r="T2420" s="22">
        <f>'Dashboard &amp; Optimisation'!$B$18*U2420</f>
        <v/>
      </c>
      <c r="U2420" s="27">
        <f>MIN(1, S2420/M2420)</f>
        <v/>
      </c>
      <c r="V2420" s="27">
        <f>N2420/(N2420+O2420)</f>
        <v/>
      </c>
      <c r="W2420" s="27">
        <f>U2420*V2420</f>
        <v/>
      </c>
      <c r="X2420" s="25">
        <f>T2420/N2420</f>
        <v/>
      </c>
      <c r="Y2420" s="28">
        <f>IF(W2420=MAXIFS(W$2:W$3601, A$2:A$3601, A2420, B$2:B$3601, B2420), "OPTIMAL", "")</f>
        <v/>
      </c>
    </row>
    <row r="2421" ht="20" customHeight="1">
      <c r="A2421" s="29" t="n">
        <v>-18</v>
      </c>
      <c r="B2421" s="29" t="n">
        <v>30</v>
      </c>
      <c r="C2421" s="30" t="n">
        <v>110</v>
      </c>
      <c r="D2421" s="30" t="n">
        <v>2</v>
      </c>
      <c r="E2421" s="6" t="n">
        <v>8</v>
      </c>
      <c r="F2421" s="30" t="n">
        <v>2</v>
      </c>
      <c r="G2421" s="6" t="inlineStr">
        <is>
          <t>Non</t>
        </is>
      </c>
      <c r="H2421" s="6" t="inlineStr">
        <is>
          <t>OFF</t>
        </is>
      </c>
      <c r="I2421" s="31" t="n">
        <v>674.4931640486259</v>
      </c>
      <c r="J2421" s="31" t="n">
        <v>5144.556481985902</v>
      </c>
      <c r="K2421" s="31" t="n">
        <v>3782.407407407407</v>
      </c>
      <c r="L2421" s="31" t="n">
        <v>150</v>
      </c>
      <c r="M2421" s="31">
        <f>I2421+J2421+K2421+L2421</f>
        <v/>
      </c>
      <c r="N2421" s="31">
        <f>M2421*'Dashboard &amp; Optimisation'!$B$18/('Dashboard &amp; Optimisation'!$B$16/3.6)</f>
        <v/>
      </c>
      <c r="O2421" s="31" t="n">
        <v>971.5668819836458</v>
      </c>
      <c r="P2421" s="32" t="n">
        <v>0.2247516739393566</v>
      </c>
      <c r="Q2421" s="33" t="n">
        <v>15.94396732146484</v>
      </c>
      <c r="R2421" s="31" t="n">
        <v>1002.548599671296</v>
      </c>
      <c r="S2421" s="31">
        <f>R2421*IF(A2421=4, 2.0, 3.0)</f>
        <v/>
      </c>
      <c r="T2421" s="30">
        <f>'Dashboard &amp; Optimisation'!$B$18*U2421</f>
        <v/>
      </c>
      <c r="U2421" s="34">
        <f>MIN(1, S2421/M2421)</f>
        <v/>
      </c>
      <c r="V2421" s="34">
        <f>N2421/(N2421+O2421)</f>
        <v/>
      </c>
      <c r="W2421" s="34">
        <f>U2421*V2421</f>
        <v/>
      </c>
      <c r="X2421" s="32">
        <f>T2421/N2421</f>
        <v/>
      </c>
      <c r="Y2421" s="35">
        <f>IF(W2421=MAXIFS(W$2:W$3601, A$2:A$3601, A2421, B$2:B$3601, B2421), "OPTIMAL", "")</f>
        <v/>
      </c>
    </row>
    <row r="2422" ht="20" customHeight="1">
      <c r="A2422" s="21" t="n">
        <v>-18</v>
      </c>
      <c r="B2422" s="21" t="n">
        <v>30</v>
      </c>
      <c r="C2422" s="22" t="n">
        <v>110</v>
      </c>
      <c r="D2422" s="22" t="n">
        <v>3</v>
      </c>
      <c r="E2422" s="23" t="n">
        <v>0</v>
      </c>
      <c r="F2422" s="22" t="n">
        <v>0</v>
      </c>
      <c r="G2422" s="23" t="inlineStr">
        <is>
          <t>Oui</t>
        </is>
      </c>
      <c r="H2422" s="23" t="inlineStr">
        <is>
          <t>ON</t>
        </is>
      </c>
      <c r="I2422" s="24" t="n">
        <v>674.4931640486259</v>
      </c>
      <c r="J2422" s="24" t="n">
        <v>5144.556481985902</v>
      </c>
      <c r="K2422" s="24" t="n">
        <v>3782.407407407407</v>
      </c>
      <c r="L2422" s="24" t="n">
        <v>150</v>
      </c>
      <c r="M2422" s="24">
        <f>I2422+J2422+K2422+L2422</f>
        <v/>
      </c>
      <c r="N2422" s="24">
        <f>M2422*'Dashboard &amp; Optimisation'!$B$18/('Dashboard &amp; Optimisation'!$B$16/3.6)</f>
        <v/>
      </c>
      <c r="O2422" s="24" t="n">
        <v>588.3458286263925</v>
      </c>
      <c r="P2422" s="25" t="n">
        <v>0.4731677858497217</v>
      </c>
      <c r="Q2422" s="26" t="n">
        <v>0.2</v>
      </c>
      <c r="R2422" s="24" t="n">
        <v>456.6661699079098</v>
      </c>
      <c r="S2422" s="24">
        <f>R2422*IF(A2422=4, 2.0, 3.0)</f>
        <v/>
      </c>
      <c r="T2422" s="22">
        <f>'Dashboard &amp; Optimisation'!$B$18*U2422</f>
        <v/>
      </c>
      <c r="U2422" s="27">
        <f>MIN(1, S2422/M2422)</f>
        <v/>
      </c>
      <c r="V2422" s="27">
        <f>N2422/(N2422+O2422)</f>
        <v/>
      </c>
      <c r="W2422" s="27">
        <f>U2422*V2422</f>
        <v/>
      </c>
      <c r="X2422" s="25">
        <f>T2422/N2422</f>
        <v/>
      </c>
      <c r="Y2422" s="28">
        <f>IF(W2422=MAXIFS(W$2:W$3601, A$2:A$3601, A2422, B$2:B$3601, B2422), "OPTIMAL", "")</f>
        <v/>
      </c>
    </row>
    <row r="2423" ht="20" customHeight="1">
      <c r="A2423" s="29" t="n">
        <v>-18</v>
      </c>
      <c r="B2423" s="29" t="n">
        <v>30</v>
      </c>
      <c r="C2423" s="30" t="n">
        <v>110</v>
      </c>
      <c r="D2423" s="30" t="n">
        <v>3</v>
      </c>
      <c r="E2423" s="6" t="n">
        <v>0</v>
      </c>
      <c r="F2423" s="30" t="n">
        <v>0</v>
      </c>
      <c r="G2423" s="6" t="inlineStr">
        <is>
          <t>Oui</t>
        </is>
      </c>
      <c r="H2423" s="6" t="inlineStr">
        <is>
          <t>OFF</t>
        </is>
      </c>
      <c r="I2423" s="31" t="n">
        <v>674.4931640486259</v>
      </c>
      <c r="J2423" s="31" t="n">
        <v>5144.556481985902</v>
      </c>
      <c r="K2423" s="31" t="n">
        <v>3782.407407407407</v>
      </c>
      <c r="L2423" s="31" t="n">
        <v>150</v>
      </c>
      <c r="M2423" s="31">
        <f>I2423+J2423+K2423+L2423</f>
        <v/>
      </c>
      <c r="N2423" s="31">
        <f>M2423*'Dashboard &amp; Optimisation'!$B$18/('Dashboard &amp; Optimisation'!$B$16/3.6)</f>
        <v/>
      </c>
      <c r="O2423" s="31" t="n">
        <v>588.3458286263925</v>
      </c>
      <c r="P2423" s="32" t="n">
        <v>0.7625404096531678</v>
      </c>
      <c r="Q2423" s="33" t="n">
        <v>0.2</v>
      </c>
      <c r="R2423" s="31" t="n">
        <v>283.3682225261737</v>
      </c>
      <c r="S2423" s="31">
        <f>R2423*IF(A2423=4, 2.0, 3.0)</f>
        <v/>
      </c>
      <c r="T2423" s="30">
        <f>'Dashboard &amp; Optimisation'!$B$18*U2423</f>
        <v/>
      </c>
      <c r="U2423" s="34">
        <f>MIN(1, S2423/M2423)</f>
        <v/>
      </c>
      <c r="V2423" s="34">
        <f>N2423/(N2423+O2423)</f>
        <v/>
      </c>
      <c r="W2423" s="34">
        <f>U2423*V2423</f>
        <v/>
      </c>
      <c r="X2423" s="32">
        <f>T2423/N2423</f>
        <v/>
      </c>
      <c r="Y2423" s="35">
        <f>IF(W2423=MAXIFS(W$2:W$3601, A$2:A$3601, A2423, B$2:B$3601, B2423), "OPTIMAL", "")</f>
        <v/>
      </c>
    </row>
    <row r="2424" ht="20" customHeight="1">
      <c r="A2424" s="21" t="n">
        <v>-18</v>
      </c>
      <c r="B2424" s="21" t="n">
        <v>30</v>
      </c>
      <c r="C2424" s="22" t="n">
        <v>110</v>
      </c>
      <c r="D2424" s="22" t="n">
        <v>3</v>
      </c>
      <c r="E2424" s="23" t="n">
        <v>0</v>
      </c>
      <c r="F2424" s="22" t="n">
        <v>0</v>
      </c>
      <c r="G2424" s="23" t="inlineStr">
        <is>
          <t>Non</t>
        </is>
      </c>
      <c r="H2424" s="23" t="inlineStr">
        <is>
          <t>ON</t>
        </is>
      </c>
      <c r="I2424" s="24" t="n">
        <v>674.4931640486259</v>
      </c>
      <c r="J2424" s="24" t="n">
        <v>5144.556481985902</v>
      </c>
      <c r="K2424" s="24" t="n">
        <v>3782.407407407407</v>
      </c>
      <c r="L2424" s="24" t="n">
        <v>150</v>
      </c>
      <c r="M2424" s="24">
        <f>I2424+J2424+K2424+L2424</f>
        <v/>
      </c>
      <c r="N2424" s="24">
        <f>M2424*'Dashboard &amp; Optimisation'!$B$18/('Dashboard &amp; Optimisation'!$B$16/3.6)</f>
        <v/>
      </c>
      <c r="O2424" s="24" t="n">
        <v>588.3458286263925</v>
      </c>
      <c r="P2424" s="25" t="n">
        <v>0.4702740596116872</v>
      </c>
      <c r="Q2424" s="26" t="n">
        <v>0.2</v>
      </c>
      <c r="R2424" s="24" t="n">
        <v>459.4761630403747</v>
      </c>
      <c r="S2424" s="24">
        <f>R2424*IF(A2424=4, 2.0, 3.0)</f>
        <v/>
      </c>
      <c r="T2424" s="22">
        <f>'Dashboard &amp; Optimisation'!$B$18*U2424</f>
        <v/>
      </c>
      <c r="U2424" s="27">
        <f>MIN(1, S2424/M2424)</f>
        <v/>
      </c>
      <c r="V2424" s="27">
        <f>N2424/(N2424+O2424)</f>
        <v/>
      </c>
      <c r="W2424" s="27">
        <f>U2424*V2424</f>
        <v/>
      </c>
      <c r="X2424" s="25">
        <f>T2424/N2424</f>
        <v/>
      </c>
      <c r="Y2424" s="28">
        <f>IF(W2424=MAXIFS(W$2:W$3601, A$2:A$3601, A2424, B$2:B$3601, B2424), "OPTIMAL", "")</f>
        <v/>
      </c>
    </row>
    <row r="2425" ht="20" customHeight="1">
      <c r="A2425" s="29" t="n">
        <v>-18</v>
      </c>
      <c r="B2425" s="29" t="n">
        <v>30</v>
      </c>
      <c r="C2425" s="30" t="n">
        <v>110</v>
      </c>
      <c r="D2425" s="30" t="n">
        <v>3</v>
      </c>
      <c r="E2425" s="6" t="n">
        <v>0</v>
      </c>
      <c r="F2425" s="30" t="n">
        <v>0</v>
      </c>
      <c r="G2425" s="6" t="inlineStr">
        <is>
          <t>Non</t>
        </is>
      </c>
      <c r="H2425" s="6" t="inlineStr">
        <is>
          <t>OFF</t>
        </is>
      </c>
      <c r="I2425" s="31" t="n">
        <v>674.4931640486259</v>
      </c>
      <c r="J2425" s="31" t="n">
        <v>5144.556481985902</v>
      </c>
      <c r="K2425" s="31" t="n">
        <v>3782.407407407407</v>
      </c>
      <c r="L2425" s="31" t="n">
        <v>150</v>
      </c>
      <c r="M2425" s="31">
        <f>I2425+J2425+K2425+L2425</f>
        <v/>
      </c>
      <c r="N2425" s="31">
        <f>M2425*'Dashboard &amp; Optimisation'!$B$18/('Dashboard &amp; Optimisation'!$B$16/3.6)</f>
        <v/>
      </c>
      <c r="O2425" s="31" t="n">
        <v>588.3458286263925</v>
      </c>
      <c r="P2425" s="32" t="n">
        <v>0.7596466834151334</v>
      </c>
      <c r="Q2425" s="33" t="n">
        <v>0.2</v>
      </c>
      <c r="R2425" s="31" t="n">
        <v>284.4476586356855</v>
      </c>
      <c r="S2425" s="31">
        <f>R2425*IF(A2425=4, 2.0, 3.0)</f>
        <v/>
      </c>
      <c r="T2425" s="30">
        <f>'Dashboard &amp; Optimisation'!$B$18*U2425</f>
        <v/>
      </c>
      <c r="U2425" s="34">
        <f>MIN(1, S2425/M2425)</f>
        <v/>
      </c>
      <c r="V2425" s="34">
        <f>N2425/(N2425+O2425)</f>
        <v/>
      </c>
      <c r="W2425" s="34">
        <f>U2425*V2425</f>
        <v/>
      </c>
      <c r="X2425" s="32">
        <f>T2425/N2425</f>
        <v/>
      </c>
      <c r="Y2425" s="35">
        <f>IF(W2425=MAXIFS(W$2:W$3601, A$2:A$3601, A2425, B$2:B$3601, B2425), "OPTIMAL", "")</f>
        <v/>
      </c>
    </row>
    <row r="2426" ht="20" customHeight="1">
      <c r="A2426" s="21" t="n">
        <v>-18</v>
      </c>
      <c r="B2426" s="21" t="n">
        <v>30</v>
      </c>
      <c r="C2426" s="22" t="n">
        <v>110</v>
      </c>
      <c r="D2426" s="22" t="n">
        <v>3</v>
      </c>
      <c r="E2426" s="23" t="n">
        <v>4</v>
      </c>
      <c r="F2426" s="22" t="n">
        <v>1.5</v>
      </c>
      <c r="G2426" s="23" t="inlineStr">
        <is>
          <t>Oui</t>
        </is>
      </c>
      <c r="H2426" s="23" t="inlineStr">
        <is>
          <t>ON</t>
        </is>
      </c>
      <c r="I2426" s="24" t="n">
        <v>674.4931640486259</v>
      </c>
      <c r="J2426" s="24" t="n">
        <v>5144.556481985902</v>
      </c>
      <c r="K2426" s="24" t="n">
        <v>3782.407407407407</v>
      </c>
      <c r="L2426" s="24" t="n">
        <v>150</v>
      </c>
      <c r="M2426" s="24">
        <f>I2426+J2426+K2426+L2426</f>
        <v/>
      </c>
      <c r="N2426" s="24">
        <f>M2426*'Dashboard &amp; Optimisation'!$B$18/('Dashboard &amp; Optimisation'!$B$16/3.6)</f>
        <v/>
      </c>
      <c r="O2426" s="24" t="n">
        <v>810.2817085602449</v>
      </c>
      <c r="P2426" s="25" t="n">
        <v>0.07040639651024357</v>
      </c>
      <c r="Q2426" s="26" t="n">
        <v>6.217525971425261</v>
      </c>
      <c r="R2426" s="24" t="n">
        <v>3161.940935085483</v>
      </c>
      <c r="S2426" s="24">
        <f>R2426*IF(A2426=4, 2.0, 3.0)</f>
        <v/>
      </c>
      <c r="T2426" s="22">
        <f>'Dashboard &amp; Optimisation'!$B$18*U2426</f>
        <v/>
      </c>
      <c r="U2426" s="27">
        <f>MIN(1, S2426/M2426)</f>
        <v/>
      </c>
      <c r="V2426" s="27">
        <f>N2426/(N2426+O2426)</f>
        <v/>
      </c>
      <c r="W2426" s="27">
        <f>U2426*V2426</f>
        <v/>
      </c>
      <c r="X2426" s="25">
        <f>T2426/N2426</f>
        <v/>
      </c>
      <c r="Y2426" s="28">
        <f>IF(W2426=MAXIFS(W$2:W$3601, A$2:A$3601, A2426, B$2:B$3601, B2426), "OPTIMAL", "")</f>
        <v/>
      </c>
    </row>
    <row r="2427" ht="20" customHeight="1">
      <c r="A2427" s="29" t="n">
        <v>-18</v>
      </c>
      <c r="B2427" s="29" t="n">
        <v>30</v>
      </c>
      <c r="C2427" s="30" t="n">
        <v>110</v>
      </c>
      <c r="D2427" s="30" t="n">
        <v>3</v>
      </c>
      <c r="E2427" s="6" t="n">
        <v>4</v>
      </c>
      <c r="F2427" s="30" t="n">
        <v>1.5</v>
      </c>
      <c r="G2427" s="6" t="inlineStr">
        <is>
          <t>Oui</t>
        </is>
      </c>
      <c r="H2427" s="6" t="inlineStr">
        <is>
          <t>OFF</t>
        </is>
      </c>
      <c r="I2427" s="31" t="n">
        <v>674.4931640486259</v>
      </c>
      <c r="J2427" s="31" t="n">
        <v>5144.556481985902</v>
      </c>
      <c r="K2427" s="31" t="n">
        <v>3782.407407407407</v>
      </c>
      <c r="L2427" s="31" t="n">
        <v>150</v>
      </c>
      <c r="M2427" s="31">
        <f>I2427+J2427+K2427+L2427</f>
        <v/>
      </c>
      <c r="N2427" s="31">
        <f>M2427*'Dashboard &amp; Optimisation'!$B$18/('Dashboard &amp; Optimisation'!$B$16/3.6)</f>
        <v/>
      </c>
      <c r="O2427" s="31" t="n">
        <v>810.2817085602449</v>
      </c>
      <c r="P2427" s="32" t="n">
        <v>0.2880026189593694</v>
      </c>
      <c r="Q2427" s="33" t="n">
        <v>6.217525971425261</v>
      </c>
      <c r="R2427" s="31" t="n">
        <v>772.9820930864714</v>
      </c>
      <c r="S2427" s="31">
        <f>R2427*IF(A2427=4, 2.0, 3.0)</f>
        <v/>
      </c>
      <c r="T2427" s="30">
        <f>'Dashboard &amp; Optimisation'!$B$18*U2427</f>
        <v/>
      </c>
      <c r="U2427" s="34">
        <f>MIN(1, S2427/M2427)</f>
        <v/>
      </c>
      <c r="V2427" s="34">
        <f>N2427/(N2427+O2427)</f>
        <v/>
      </c>
      <c r="W2427" s="34">
        <f>U2427*V2427</f>
        <v/>
      </c>
      <c r="X2427" s="32">
        <f>T2427/N2427</f>
        <v/>
      </c>
      <c r="Y2427" s="35">
        <f>IF(W2427=MAXIFS(W$2:W$3601, A$2:A$3601, A2427, B$2:B$3601, B2427), "OPTIMAL", "")</f>
        <v/>
      </c>
    </row>
    <row r="2428" ht="20" customHeight="1">
      <c r="A2428" s="21" t="n">
        <v>-18</v>
      </c>
      <c r="B2428" s="21" t="n">
        <v>30</v>
      </c>
      <c r="C2428" s="22" t="n">
        <v>110</v>
      </c>
      <c r="D2428" s="22" t="n">
        <v>3</v>
      </c>
      <c r="E2428" s="23" t="n">
        <v>4</v>
      </c>
      <c r="F2428" s="22" t="n">
        <v>1.5</v>
      </c>
      <c r="G2428" s="23" t="inlineStr">
        <is>
          <t>Non</t>
        </is>
      </c>
      <c r="H2428" s="23" t="inlineStr">
        <is>
          <t>ON</t>
        </is>
      </c>
      <c r="I2428" s="24" t="n">
        <v>674.4931640486259</v>
      </c>
      <c r="J2428" s="24" t="n">
        <v>5144.556481985902</v>
      </c>
      <c r="K2428" s="24" t="n">
        <v>3782.407407407407</v>
      </c>
      <c r="L2428" s="24" t="n">
        <v>150</v>
      </c>
      <c r="M2428" s="24">
        <f>I2428+J2428+K2428+L2428</f>
        <v/>
      </c>
      <c r="N2428" s="24">
        <f>M2428*'Dashboard &amp; Optimisation'!$B$18/('Dashboard &amp; Optimisation'!$B$16/3.6)</f>
        <v/>
      </c>
      <c r="O2428" s="24" t="n">
        <v>810.2817085602449</v>
      </c>
      <c r="P2428" s="25" t="n">
        <v>0.06751267027220911</v>
      </c>
      <c r="Q2428" s="26" t="n">
        <v>6.217525971425261</v>
      </c>
      <c r="R2428" s="24" t="n">
        <v>3297.467961495198</v>
      </c>
      <c r="S2428" s="24">
        <f>R2428*IF(A2428=4, 2.0, 3.0)</f>
        <v/>
      </c>
      <c r="T2428" s="22">
        <f>'Dashboard &amp; Optimisation'!$B$18*U2428</f>
        <v/>
      </c>
      <c r="U2428" s="27">
        <f>MIN(1, S2428/M2428)</f>
        <v/>
      </c>
      <c r="V2428" s="27">
        <f>N2428/(N2428+O2428)</f>
        <v/>
      </c>
      <c r="W2428" s="27">
        <f>U2428*V2428</f>
        <v/>
      </c>
      <c r="X2428" s="25">
        <f>T2428/N2428</f>
        <v/>
      </c>
      <c r="Y2428" s="28">
        <f>IF(W2428=MAXIFS(W$2:W$3601, A$2:A$3601, A2428, B$2:B$3601, B2428), "OPTIMAL", "")</f>
        <v/>
      </c>
    </row>
    <row r="2429" ht="20" customHeight="1">
      <c r="A2429" s="29" t="n">
        <v>-18</v>
      </c>
      <c r="B2429" s="29" t="n">
        <v>30</v>
      </c>
      <c r="C2429" s="30" t="n">
        <v>110</v>
      </c>
      <c r="D2429" s="30" t="n">
        <v>3</v>
      </c>
      <c r="E2429" s="6" t="n">
        <v>4</v>
      </c>
      <c r="F2429" s="30" t="n">
        <v>1.5</v>
      </c>
      <c r="G2429" s="6" t="inlineStr">
        <is>
          <t>Non</t>
        </is>
      </c>
      <c r="H2429" s="6" t="inlineStr">
        <is>
          <t>OFF</t>
        </is>
      </c>
      <c r="I2429" s="31" t="n">
        <v>674.4931640486259</v>
      </c>
      <c r="J2429" s="31" t="n">
        <v>5144.556481985902</v>
      </c>
      <c r="K2429" s="31" t="n">
        <v>3782.407407407407</v>
      </c>
      <c r="L2429" s="31" t="n">
        <v>150</v>
      </c>
      <c r="M2429" s="31">
        <f>I2429+J2429+K2429+L2429</f>
        <v/>
      </c>
      <c r="N2429" s="31">
        <f>M2429*'Dashboard &amp; Optimisation'!$B$18/('Dashboard &amp; Optimisation'!$B$16/3.6)</f>
        <v/>
      </c>
      <c r="O2429" s="31" t="n">
        <v>810.2817085602449</v>
      </c>
      <c r="P2429" s="32" t="n">
        <v>0.2851088927213349</v>
      </c>
      <c r="Q2429" s="33" t="n">
        <v>6.217525971425261</v>
      </c>
      <c r="R2429" s="31" t="n">
        <v>780.8275115262301</v>
      </c>
      <c r="S2429" s="31">
        <f>R2429*IF(A2429=4, 2.0, 3.0)</f>
        <v/>
      </c>
      <c r="T2429" s="30">
        <f>'Dashboard &amp; Optimisation'!$B$18*U2429</f>
        <v/>
      </c>
      <c r="U2429" s="34">
        <f>MIN(1, S2429/M2429)</f>
        <v/>
      </c>
      <c r="V2429" s="34">
        <f>N2429/(N2429+O2429)</f>
        <v/>
      </c>
      <c r="W2429" s="34">
        <f>U2429*V2429</f>
        <v/>
      </c>
      <c r="X2429" s="32">
        <f>T2429/N2429</f>
        <v/>
      </c>
      <c r="Y2429" s="35">
        <f>IF(W2429=MAXIFS(W$2:W$3601, A$2:A$3601, A2429, B$2:B$3601, B2429), "OPTIMAL", "")</f>
        <v/>
      </c>
    </row>
    <row r="2430" ht="20" customHeight="1">
      <c r="A2430" s="21" t="n">
        <v>-18</v>
      </c>
      <c r="B2430" s="21" t="n">
        <v>30</v>
      </c>
      <c r="C2430" s="22" t="n">
        <v>110</v>
      </c>
      <c r="D2430" s="22" t="n">
        <v>3</v>
      </c>
      <c r="E2430" s="23" t="n">
        <v>4</v>
      </c>
      <c r="F2430" s="22" t="n">
        <v>2</v>
      </c>
      <c r="G2430" s="23" t="inlineStr">
        <is>
          <t>Oui</t>
        </is>
      </c>
      <c r="H2430" s="23" t="inlineStr">
        <is>
          <t>ON</t>
        </is>
      </c>
      <c r="I2430" s="24" t="n">
        <v>674.4931640486259</v>
      </c>
      <c r="J2430" s="24" t="n">
        <v>5144.556481985902</v>
      </c>
      <c r="K2430" s="24" t="n">
        <v>3782.407407407407</v>
      </c>
      <c r="L2430" s="24" t="n">
        <v>150</v>
      </c>
      <c r="M2430" s="24">
        <f>I2430+J2430+K2430+L2430</f>
        <v/>
      </c>
      <c r="N2430" s="24">
        <f>M2430*'Dashboard &amp; Optimisation'!$B$18/('Dashboard &amp; Optimisation'!$B$16/3.6)</f>
        <v/>
      </c>
      <c r="O2430" s="24" t="n">
        <v>887.2767388130451</v>
      </c>
      <c r="P2430" s="25" t="n">
        <v>0.06745693940259542</v>
      </c>
      <c r="Q2430" s="26" t="n">
        <v>8.223367961900347</v>
      </c>
      <c r="R2430" s="24" t="n">
        <v>3333.832728421162</v>
      </c>
      <c r="S2430" s="24">
        <f>R2430*IF(A2430=4, 2.0, 3.0)</f>
        <v/>
      </c>
      <c r="T2430" s="22">
        <f>'Dashboard &amp; Optimisation'!$B$18*U2430</f>
        <v/>
      </c>
      <c r="U2430" s="27">
        <f>MIN(1, S2430/M2430)</f>
        <v/>
      </c>
      <c r="V2430" s="27">
        <f>N2430/(N2430+O2430)</f>
        <v/>
      </c>
      <c r="W2430" s="27">
        <f>U2430*V2430</f>
        <v/>
      </c>
      <c r="X2430" s="25">
        <f>T2430/N2430</f>
        <v/>
      </c>
      <c r="Y2430" s="28">
        <f>IF(W2430=MAXIFS(W$2:W$3601, A$2:A$3601, A2430, B$2:B$3601, B2430), "OPTIMAL", "")</f>
        <v/>
      </c>
    </row>
    <row r="2431" ht="20" customHeight="1">
      <c r="A2431" s="29" t="n">
        <v>-18</v>
      </c>
      <c r="B2431" s="29" t="n">
        <v>30</v>
      </c>
      <c r="C2431" s="30" t="n">
        <v>110</v>
      </c>
      <c r="D2431" s="30" t="n">
        <v>3</v>
      </c>
      <c r="E2431" s="6" t="n">
        <v>4</v>
      </c>
      <c r="F2431" s="30" t="n">
        <v>2</v>
      </c>
      <c r="G2431" s="6" t="inlineStr">
        <is>
          <t>Oui</t>
        </is>
      </c>
      <c r="H2431" s="6" t="inlineStr">
        <is>
          <t>OFF</t>
        </is>
      </c>
      <c r="I2431" s="31" t="n">
        <v>674.4931640486259</v>
      </c>
      <c r="J2431" s="31" t="n">
        <v>5144.556481985902</v>
      </c>
      <c r="K2431" s="31" t="n">
        <v>3782.407407407407</v>
      </c>
      <c r="L2431" s="31" t="n">
        <v>150</v>
      </c>
      <c r="M2431" s="31">
        <f>I2431+J2431+K2431+L2431</f>
        <v/>
      </c>
      <c r="N2431" s="31">
        <f>M2431*'Dashboard &amp; Optimisation'!$B$18/('Dashboard &amp; Optimisation'!$B$16/3.6)</f>
        <v/>
      </c>
      <c r="O2431" s="31" t="n">
        <v>887.2767388130451</v>
      </c>
      <c r="P2431" s="32" t="n">
        <v>0.286002519850184</v>
      </c>
      <c r="Q2431" s="33" t="n">
        <v>8.223367961900347</v>
      </c>
      <c r="R2431" s="31" t="n">
        <v>786.3222759621117</v>
      </c>
      <c r="S2431" s="31">
        <f>R2431*IF(A2431=4, 2.0, 3.0)</f>
        <v/>
      </c>
      <c r="T2431" s="30">
        <f>'Dashboard &amp; Optimisation'!$B$18*U2431</f>
        <v/>
      </c>
      <c r="U2431" s="34">
        <f>MIN(1, S2431/M2431)</f>
        <v/>
      </c>
      <c r="V2431" s="34">
        <f>N2431/(N2431+O2431)</f>
        <v/>
      </c>
      <c r="W2431" s="34">
        <f>U2431*V2431</f>
        <v/>
      </c>
      <c r="X2431" s="32">
        <f>T2431/N2431</f>
        <v/>
      </c>
      <c r="Y2431" s="35">
        <f>IF(W2431=MAXIFS(W$2:W$3601, A$2:A$3601, A2431, B$2:B$3601, B2431), "OPTIMAL", "")</f>
        <v/>
      </c>
    </row>
    <row r="2432" ht="20" customHeight="1">
      <c r="A2432" s="21" t="n">
        <v>-18</v>
      </c>
      <c r="B2432" s="21" t="n">
        <v>30</v>
      </c>
      <c r="C2432" s="22" t="n">
        <v>110</v>
      </c>
      <c r="D2432" s="22" t="n">
        <v>3</v>
      </c>
      <c r="E2432" s="23" t="n">
        <v>4</v>
      </c>
      <c r="F2432" s="22" t="n">
        <v>2</v>
      </c>
      <c r="G2432" s="23" t="inlineStr">
        <is>
          <t>Non</t>
        </is>
      </c>
      <c r="H2432" s="23" t="inlineStr">
        <is>
          <t>ON</t>
        </is>
      </c>
      <c r="I2432" s="24" t="n">
        <v>674.4931640486259</v>
      </c>
      <c r="J2432" s="24" t="n">
        <v>5144.556481985902</v>
      </c>
      <c r="K2432" s="24" t="n">
        <v>3782.407407407407</v>
      </c>
      <c r="L2432" s="24" t="n">
        <v>150</v>
      </c>
      <c r="M2432" s="24">
        <f>I2432+J2432+K2432+L2432</f>
        <v/>
      </c>
      <c r="N2432" s="24">
        <f>M2432*'Dashboard &amp; Optimisation'!$B$18/('Dashboard &amp; Optimisation'!$B$16/3.6)</f>
        <v/>
      </c>
      <c r="O2432" s="24" t="n">
        <v>887.2767388130451</v>
      </c>
      <c r="P2432" s="25" t="n">
        <v>0.06456321316456097</v>
      </c>
      <c r="Q2432" s="26" t="n">
        <v>8.223367961900347</v>
      </c>
      <c r="R2432" s="24" t="n">
        <v>3483.255267458388</v>
      </c>
      <c r="S2432" s="24">
        <f>R2432*IF(A2432=4, 2.0, 3.0)</f>
        <v/>
      </c>
      <c r="T2432" s="22">
        <f>'Dashboard &amp; Optimisation'!$B$18*U2432</f>
        <v/>
      </c>
      <c r="U2432" s="27">
        <f>MIN(1, S2432/M2432)</f>
        <v/>
      </c>
      <c r="V2432" s="27">
        <f>N2432/(N2432+O2432)</f>
        <v/>
      </c>
      <c r="W2432" s="27">
        <f>U2432*V2432</f>
        <v/>
      </c>
      <c r="X2432" s="25">
        <f>T2432/N2432</f>
        <v/>
      </c>
      <c r="Y2432" s="28">
        <f>IF(W2432=MAXIFS(W$2:W$3601, A$2:A$3601, A2432, B$2:B$3601, B2432), "OPTIMAL", "")</f>
        <v/>
      </c>
    </row>
    <row r="2433" ht="20" customHeight="1">
      <c r="A2433" s="29" t="n">
        <v>-18</v>
      </c>
      <c r="B2433" s="29" t="n">
        <v>30</v>
      </c>
      <c r="C2433" s="30" t="n">
        <v>110</v>
      </c>
      <c r="D2433" s="30" t="n">
        <v>3</v>
      </c>
      <c r="E2433" s="6" t="n">
        <v>4</v>
      </c>
      <c r="F2433" s="30" t="n">
        <v>2</v>
      </c>
      <c r="G2433" s="6" t="inlineStr">
        <is>
          <t>Non</t>
        </is>
      </c>
      <c r="H2433" s="6" t="inlineStr">
        <is>
          <t>OFF</t>
        </is>
      </c>
      <c r="I2433" s="31" t="n">
        <v>674.4931640486259</v>
      </c>
      <c r="J2433" s="31" t="n">
        <v>5144.556481985902</v>
      </c>
      <c r="K2433" s="31" t="n">
        <v>3782.407407407407</v>
      </c>
      <c r="L2433" s="31" t="n">
        <v>150</v>
      </c>
      <c r="M2433" s="31">
        <f>I2433+J2433+K2433+L2433</f>
        <v/>
      </c>
      <c r="N2433" s="31">
        <f>M2433*'Dashboard &amp; Optimisation'!$B$18/('Dashboard &amp; Optimisation'!$B$16/3.6)</f>
        <v/>
      </c>
      <c r="O2433" s="31" t="n">
        <v>887.2767388130451</v>
      </c>
      <c r="P2433" s="32" t="n">
        <v>0.2831087936121495</v>
      </c>
      <c r="Q2433" s="33" t="n">
        <v>8.223367961900347</v>
      </c>
      <c r="R2433" s="31" t="n">
        <v>794.3594738621521</v>
      </c>
      <c r="S2433" s="31">
        <f>R2433*IF(A2433=4, 2.0, 3.0)</f>
        <v/>
      </c>
      <c r="T2433" s="30">
        <f>'Dashboard &amp; Optimisation'!$B$18*U2433</f>
        <v/>
      </c>
      <c r="U2433" s="34">
        <f>MIN(1, S2433/M2433)</f>
        <v/>
      </c>
      <c r="V2433" s="34">
        <f>N2433/(N2433+O2433)</f>
        <v/>
      </c>
      <c r="W2433" s="34">
        <f>U2433*V2433</f>
        <v/>
      </c>
      <c r="X2433" s="32">
        <f>T2433/N2433</f>
        <v/>
      </c>
      <c r="Y2433" s="35">
        <f>IF(W2433=MAXIFS(W$2:W$3601, A$2:A$3601, A2433, B$2:B$3601, B2433), "OPTIMAL", "")</f>
        <v/>
      </c>
    </row>
    <row r="2434" ht="20" customHeight="1">
      <c r="A2434" s="21" t="n">
        <v>-18</v>
      </c>
      <c r="B2434" s="21" t="n">
        <v>30</v>
      </c>
      <c r="C2434" s="22" t="n">
        <v>110</v>
      </c>
      <c r="D2434" s="22" t="n">
        <v>3</v>
      </c>
      <c r="E2434" s="23" t="n">
        <v>8</v>
      </c>
      <c r="F2434" s="22" t="n">
        <v>1.5</v>
      </c>
      <c r="G2434" s="23" t="inlineStr">
        <is>
          <t>Oui</t>
        </is>
      </c>
      <c r="H2434" s="23" t="inlineStr">
        <is>
          <t>ON</t>
        </is>
      </c>
      <c r="I2434" s="24" t="n">
        <v>674.4931640486259</v>
      </c>
      <c r="J2434" s="24" t="n">
        <v>5144.556481985902</v>
      </c>
      <c r="K2434" s="24" t="n">
        <v>3782.407407407407</v>
      </c>
      <c r="L2434" s="24" t="n">
        <v>150</v>
      </c>
      <c r="M2434" s="24">
        <f>I2434+J2434+K2434+L2434</f>
        <v/>
      </c>
      <c r="N2434" s="24">
        <f>M2434*'Dashboard &amp; Optimisation'!$B$18/('Dashboard &amp; Optimisation'!$B$16/3.6)</f>
        <v/>
      </c>
      <c r="O2434" s="24" t="n">
        <v>1046.073893127833</v>
      </c>
      <c r="P2434" s="25" t="n">
        <v>0.05337810813348487</v>
      </c>
      <c r="Q2434" s="26" t="n">
        <v>12.23505194285052</v>
      </c>
      <c r="R2434" s="24" t="n">
        <v>4300.834382262738</v>
      </c>
      <c r="S2434" s="24">
        <f>R2434*IF(A2434=4, 2.0, 3.0)</f>
        <v/>
      </c>
      <c r="T2434" s="22">
        <f>'Dashboard &amp; Optimisation'!$B$18*U2434</f>
        <v/>
      </c>
      <c r="U2434" s="27">
        <f>MIN(1, S2434/M2434)</f>
        <v/>
      </c>
      <c r="V2434" s="27">
        <f>N2434/(N2434+O2434)</f>
        <v/>
      </c>
      <c r="W2434" s="27">
        <f>U2434*V2434</f>
        <v/>
      </c>
      <c r="X2434" s="25">
        <f>T2434/N2434</f>
        <v/>
      </c>
      <c r="Y2434" s="28">
        <f>IF(W2434=MAXIFS(W$2:W$3601, A$2:A$3601, A2434, B$2:B$3601, B2434), "OPTIMAL", "")</f>
        <v/>
      </c>
    </row>
    <row r="2435" ht="20" customHeight="1">
      <c r="A2435" s="29" t="n">
        <v>-18</v>
      </c>
      <c r="B2435" s="29" t="n">
        <v>30</v>
      </c>
      <c r="C2435" s="30" t="n">
        <v>110</v>
      </c>
      <c r="D2435" s="30" t="n">
        <v>3</v>
      </c>
      <c r="E2435" s="6" t="n">
        <v>8</v>
      </c>
      <c r="F2435" s="30" t="n">
        <v>1.5</v>
      </c>
      <c r="G2435" s="6" t="inlineStr">
        <is>
          <t>Oui</t>
        </is>
      </c>
      <c r="H2435" s="6" t="inlineStr">
        <is>
          <t>OFF</t>
        </is>
      </c>
      <c r="I2435" s="31" t="n">
        <v>674.4931640486259</v>
      </c>
      <c r="J2435" s="31" t="n">
        <v>5144.556481985902</v>
      </c>
      <c r="K2435" s="31" t="n">
        <v>3782.407407407407</v>
      </c>
      <c r="L2435" s="31" t="n">
        <v>150</v>
      </c>
      <c r="M2435" s="31">
        <f>I2435+J2435+K2435+L2435</f>
        <v/>
      </c>
      <c r="N2435" s="31">
        <f>M2435*'Dashboard &amp; Optimisation'!$B$18/('Dashboard &amp; Optimisation'!$B$16/3.6)</f>
        <v/>
      </c>
      <c r="O2435" s="31" t="n">
        <v>1046.073893127833</v>
      </c>
      <c r="P2435" s="32" t="n">
        <v>0.2277274271081772</v>
      </c>
      <c r="Q2435" s="33" t="n">
        <v>12.23505194285052</v>
      </c>
      <c r="R2435" s="31" t="n">
        <v>1008.092901394689</v>
      </c>
      <c r="S2435" s="31">
        <f>R2435*IF(A2435=4, 2.0, 3.0)</f>
        <v/>
      </c>
      <c r="T2435" s="30">
        <f>'Dashboard &amp; Optimisation'!$B$18*U2435</f>
        <v/>
      </c>
      <c r="U2435" s="34">
        <f>MIN(1, S2435/M2435)</f>
        <v/>
      </c>
      <c r="V2435" s="34">
        <f>N2435/(N2435+O2435)</f>
        <v/>
      </c>
      <c r="W2435" s="34">
        <f>U2435*V2435</f>
        <v/>
      </c>
      <c r="X2435" s="32">
        <f>T2435/N2435</f>
        <v/>
      </c>
      <c r="Y2435" s="35">
        <f>IF(W2435=MAXIFS(W$2:W$3601, A$2:A$3601, A2435, B$2:B$3601, B2435), "OPTIMAL", "")</f>
        <v/>
      </c>
    </row>
    <row r="2436" ht="20" customHeight="1">
      <c r="A2436" s="21" t="n">
        <v>-18</v>
      </c>
      <c r="B2436" s="21" t="n">
        <v>30</v>
      </c>
      <c r="C2436" s="22" t="n">
        <v>110</v>
      </c>
      <c r="D2436" s="22" t="n">
        <v>3</v>
      </c>
      <c r="E2436" s="23" t="n">
        <v>8</v>
      </c>
      <c r="F2436" s="22" t="n">
        <v>1.5</v>
      </c>
      <c r="G2436" s="23" t="inlineStr">
        <is>
          <t>Non</t>
        </is>
      </c>
      <c r="H2436" s="23" t="inlineStr">
        <is>
          <t>ON</t>
        </is>
      </c>
      <c r="I2436" s="24" t="n">
        <v>674.4931640486259</v>
      </c>
      <c r="J2436" s="24" t="n">
        <v>5144.556481985902</v>
      </c>
      <c r="K2436" s="24" t="n">
        <v>3782.407407407407</v>
      </c>
      <c r="L2436" s="24" t="n">
        <v>150</v>
      </c>
      <c r="M2436" s="24">
        <f>I2436+J2436+K2436+L2436</f>
        <v/>
      </c>
      <c r="N2436" s="24">
        <f>M2436*'Dashboard &amp; Optimisation'!$B$18/('Dashboard &amp; Optimisation'!$B$16/3.6)</f>
        <v/>
      </c>
      <c r="O2436" s="24" t="n">
        <v>1046.073893127833</v>
      </c>
      <c r="P2436" s="25" t="n">
        <v>0.05048438189545042</v>
      </c>
      <c r="Q2436" s="26" t="n">
        <v>12.23505194285052</v>
      </c>
      <c r="R2436" s="24" t="n">
        <v>4547.35492644149</v>
      </c>
      <c r="S2436" s="24">
        <f>R2436*IF(A2436=4, 2.0, 3.0)</f>
        <v/>
      </c>
      <c r="T2436" s="22">
        <f>'Dashboard &amp; Optimisation'!$B$18*U2436</f>
        <v/>
      </c>
      <c r="U2436" s="27">
        <f>MIN(1, S2436/M2436)</f>
        <v/>
      </c>
      <c r="V2436" s="27">
        <f>N2436/(N2436+O2436)</f>
        <v/>
      </c>
      <c r="W2436" s="27">
        <f>U2436*V2436</f>
        <v/>
      </c>
      <c r="X2436" s="25">
        <f>T2436/N2436</f>
        <v/>
      </c>
      <c r="Y2436" s="28">
        <f>IF(W2436=MAXIFS(W$2:W$3601, A$2:A$3601, A2436, B$2:B$3601, B2436), "OPTIMAL", "")</f>
        <v/>
      </c>
    </row>
    <row r="2437" ht="20" customHeight="1">
      <c r="A2437" s="29" t="n">
        <v>-18</v>
      </c>
      <c r="B2437" s="29" t="n">
        <v>30</v>
      </c>
      <c r="C2437" s="30" t="n">
        <v>110</v>
      </c>
      <c r="D2437" s="30" t="n">
        <v>3</v>
      </c>
      <c r="E2437" s="6" t="n">
        <v>8</v>
      </c>
      <c r="F2437" s="30" t="n">
        <v>1.5</v>
      </c>
      <c r="G2437" s="6" t="inlineStr">
        <is>
          <t>Non</t>
        </is>
      </c>
      <c r="H2437" s="6" t="inlineStr">
        <is>
          <t>OFF</t>
        </is>
      </c>
      <c r="I2437" s="31" t="n">
        <v>674.4931640486259</v>
      </c>
      <c r="J2437" s="31" t="n">
        <v>5144.556481985902</v>
      </c>
      <c r="K2437" s="31" t="n">
        <v>3782.407407407407</v>
      </c>
      <c r="L2437" s="31" t="n">
        <v>150</v>
      </c>
      <c r="M2437" s="31">
        <f>I2437+J2437+K2437+L2437</f>
        <v/>
      </c>
      <c r="N2437" s="31">
        <f>M2437*'Dashboard &amp; Optimisation'!$B$18/('Dashboard &amp; Optimisation'!$B$16/3.6)</f>
        <v/>
      </c>
      <c r="O2437" s="31" t="n">
        <v>1046.073893127833</v>
      </c>
      <c r="P2437" s="32" t="n">
        <v>0.2248337008701428</v>
      </c>
      <c r="Q2437" s="33" t="n">
        <v>12.23505194285052</v>
      </c>
      <c r="R2437" s="31" t="n">
        <v>1021.06757942495</v>
      </c>
      <c r="S2437" s="31">
        <f>R2437*IF(A2437=4, 2.0, 3.0)</f>
        <v/>
      </c>
      <c r="T2437" s="30">
        <f>'Dashboard &amp; Optimisation'!$B$18*U2437</f>
        <v/>
      </c>
      <c r="U2437" s="34">
        <f>MIN(1, S2437/M2437)</f>
        <v/>
      </c>
      <c r="V2437" s="34">
        <f>N2437/(N2437+O2437)</f>
        <v/>
      </c>
      <c r="W2437" s="34">
        <f>U2437*V2437</f>
        <v/>
      </c>
      <c r="X2437" s="32">
        <f>T2437/N2437</f>
        <v/>
      </c>
      <c r="Y2437" s="35">
        <f>IF(W2437=MAXIFS(W$2:W$3601, A$2:A$3601, A2437, B$2:B$3601, B2437), "OPTIMAL", "")</f>
        <v/>
      </c>
    </row>
    <row r="2438" ht="20" customHeight="1">
      <c r="A2438" s="21" t="n">
        <v>-18</v>
      </c>
      <c r="B2438" s="21" t="n">
        <v>30</v>
      </c>
      <c r="C2438" s="22" t="n">
        <v>110</v>
      </c>
      <c r="D2438" s="22" t="n">
        <v>3</v>
      </c>
      <c r="E2438" s="23" t="n">
        <v>8</v>
      </c>
      <c r="F2438" s="22" t="n">
        <v>2</v>
      </c>
      <c r="G2438" s="23" t="inlineStr">
        <is>
          <t>Oui</t>
        </is>
      </c>
      <c r="H2438" s="23" t="inlineStr">
        <is>
          <t>ON</t>
        </is>
      </c>
      <c r="I2438" s="24" t="n">
        <v>674.4931640486259</v>
      </c>
      <c r="J2438" s="24" t="n">
        <v>5144.556481985902</v>
      </c>
      <c r="K2438" s="24" t="n">
        <v>3782.407407407407</v>
      </c>
      <c r="L2438" s="24" t="n">
        <v>150</v>
      </c>
      <c r="M2438" s="24">
        <f>I2438+J2438+K2438+L2438</f>
        <v/>
      </c>
      <c r="N2438" s="24">
        <f>M2438*'Dashboard &amp; Optimisation'!$B$18/('Dashboard &amp; Optimisation'!$B$16/3.6)</f>
        <v/>
      </c>
      <c r="O2438" s="24" t="n">
        <v>1211.62106581505</v>
      </c>
      <c r="P2438" s="25" t="n">
        <v>0.05199529928547215</v>
      </c>
      <c r="Q2438" s="26" t="n">
        <v>16.2467359238007</v>
      </c>
      <c r="R2438" s="24" t="n">
        <v>4509.053713392686</v>
      </c>
      <c r="S2438" s="24">
        <f>R2438*IF(A2438=4, 2.0, 3.0)</f>
        <v/>
      </c>
      <c r="T2438" s="22">
        <f>'Dashboard &amp; Optimisation'!$B$18*U2438</f>
        <v/>
      </c>
      <c r="U2438" s="27">
        <f>MIN(1, S2438/M2438)</f>
        <v/>
      </c>
      <c r="V2438" s="27">
        <f>N2438/(N2438+O2438)</f>
        <v/>
      </c>
      <c r="W2438" s="27">
        <f>U2438*V2438</f>
        <v/>
      </c>
      <c r="X2438" s="25">
        <f>T2438/N2438</f>
        <v/>
      </c>
      <c r="Y2438" s="28">
        <f>IF(W2438=MAXIFS(W$2:W$3601, A$2:A$3601, A2438, B$2:B$3601, B2438), "OPTIMAL", "")</f>
        <v/>
      </c>
    </row>
    <row r="2439" ht="20" customHeight="1">
      <c r="A2439" s="29" t="n">
        <v>-18</v>
      </c>
      <c r="B2439" s="29" t="n">
        <v>30</v>
      </c>
      <c r="C2439" s="30" t="n">
        <v>110</v>
      </c>
      <c r="D2439" s="30" t="n">
        <v>3</v>
      </c>
      <c r="E2439" s="6" t="n">
        <v>8</v>
      </c>
      <c r="F2439" s="30" t="n">
        <v>2</v>
      </c>
      <c r="G2439" s="6" t="inlineStr">
        <is>
          <t>Oui</t>
        </is>
      </c>
      <c r="H2439" s="6" t="inlineStr">
        <is>
          <t>OFF</t>
        </is>
      </c>
      <c r="I2439" s="31" t="n">
        <v>674.4931640486259</v>
      </c>
      <c r="J2439" s="31" t="n">
        <v>5144.556481985902</v>
      </c>
      <c r="K2439" s="31" t="n">
        <v>3782.407407407407</v>
      </c>
      <c r="L2439" s="31" t="n">
        <v>150</v>
      </c>
      <c r="M2439" s="31">
        <f>I2439+J2439+K2439+L2439</f>
        <v/>
      </c>
      <c r="N2439" s="31">
        <f>M2439*'Dashboard &amp; Optimisation'!$B$18/('Dashboard &amp; Optimisation'!$B$16/3.6)</f>
        <v/>
      </c>
      <c r="O2439" s="31" t="n">
        <v>1211.62106581505</v>
      </c>
      <c r="P2439" s="32" t="n">
        <v>0.2275671766533254</v>
      </c>
      <c r="Q2439" s="33" t="n">
        <v>16.2467359238007</v>
      </c>
      <c r="R2439" s="31" t="n">
        <v>1030.24346819261</v>
      </c>
      <c r="S2439" s="31">
        <f>R2439*IF(A2439=4, 2.0, 3.0)</f>
        <v/>
      </c>
      <c r="T2439" s="30">
        <f>'Dashboard &amp; Optimisation'!$B$18*U2439</f>
        <v/>
      </c>
      <c r="U2439" s="34">
        <f>MIN(1, S2439/M2439)</f>
        <v/>
      </c>
      <c r="V2439" s="34">
        <f>N2439/(N2439+O2439)</f>
        <v/>
      </c>
      <c r="W2439" s="34">
        <f>U2439*V2439</f>
        <v/>
      </c>
      <c r="X2439" s="32">
        <f>T2439/N2439</f>
        <v/>
      </c>
      <c r="Y2439" s="35">
        <f>IF(W2439=MAXIFS(W$2:W$3601, A$2:A$3601, A2439, B$2:B$3601, B2439), "OPTIMAL", "")</f>
        <v/>
      </c>
    </row>
    <row r="2440" ht="20" customHeight="1">
      <c r="A2440" s="21" t="n">
        <v>-18</v>
      </c>
      <c r="B2440" s="21" t="n">
        <v>30</v>
      </c>
      <c r="C2440" s="22" t="n">
        <v>110</v>
      </c>
      <c r="D2440" s="22" t="n">
        <v>3</v>
      </c>
      <c r="E2440" s="23" t="n">
        <v>8</v>
      </c>
      <c r="F2440" s="22" t="n">
        <v>2</v>
      </c>
      <c r="G2440" s="23" t="inlineStr">
        <is>
          <t>Non</t>
        </is>
      </c>
      <c r="H2440" s="23" t="inlineStr">
        <is>
          <t>ON</t>
        </is>
      </c>
      <c r="I2440" s="24" t="n">
        <v>674.4931640486259</v>
      </c>
      <c r="J2440" s="24" t="n">
        <v>5144.556481985902</v>
      </c>
      <c r="K2440" s="24" t="n">
        <v>3782.407407407407</v>
      </c>
      <c r="L2440" s="24" t="n">
        <v>150</v>
      </c>
      <c r="M2440" s="24">
        <f>I2440+J2440+K2440+L2440</f>
        <v/>
      </c>
      <c r="N2440" s="24">
        <f>M2440*'Dashboard &amp; Optimisation'!$B$18/('Dashboard &amp; Optimisation'!$B$16/3.6)</f>
        <v/>
      </c>
      <c r="O2440" s="24" t="n">
        <v>1211.62106581505</v>
      </c>
      <c r="P2440" s="25" t="n">
        <v>0.04910157304743769</v>
      </c>
      <c r="Q2440" s="26" t="n">
        <v>16.2467359238007</v>
      </c>
      <c r="R2440" s="24" t="n">
        <v>4774.787909454904</v>
      </c>
      <c r="S2440" s="24">
        <f>R2440*IF(A2440=4, 2.0, 3.0)</f>
        <v/>
      </c>
      <c r="T2440" s="22">
        <f>'Dashboard &amp; Optimisation'!$B$18*U2440</f>
        <v/>
      </c>
      <c r="U2440" s="27">
        <f>MIN(1, S2440/M2440)</f>
        <v/>
      </c>
      <c r="V2440" s="27">
        <f>N2440/(N2440+O2440)</f>
        <v/>
      </c>
      <c r="W2440" s="27">
        <f>U2440*V2440</f>
        <v/>
      </c>
      <c r="X2440" s="25">
        <f>T2440/N2440</f>
        <v/>
      </c>
      <c r="Y2440" s="28">
        <f>IF(W2440=MAXIFS(W$2:W$3601, A$2:A$3601, A2440, B$2:B$3601, B2440), "OPTIMAL", "")</f>
        <v/>
      </c>
    </row>
    <row r="2441" ht="20" customHeight="1">
      <c r="A2441" s="29" t="n">
        <v>-18</v>
      </c>
      <c r="B2441" s="29" t="n">
        <v>30</v>
      </c>
      <c r="C2441" s="30" t="n">
        <v>110</v>
      </c>
      <c r="D2441" s="30" t="n">
        <v>3</v>
      </c>
      <c r="E2441" s="6" t="n">
        <v>8</v>
      </c>
      <c r="F2441" s="30" t="n">
        <v>2</v>
      </c>
      <c r="G2441" s="6" t="inlineStr">
        <is>
          <t>Non</t>
        </is>
      </c>
      <c r="H2441" s="6" t="inlineStr">
        <is>
          <t>OFF</t>
        </is>
      </c>
      <c r="I2441" s="31" t="n">
        <v>674.4931640486259</v>
      </c>
      <c r="J2441" s="31" t="n">
        <v>5144.556481985902</v>
      </c>
      <c r="K2441" s="31" t="n">
        <v>3782.407407407407</v>
      </c>
      <c r="L2441" s="31" t="n">
        <v>150</v>
      </c>
      <c r="M2441" s="31">
        <f>I2441+J2441+K2441+L2441</f>
        <v/>
      </c>
      <c r="N2441" s="31">
        <f>M2441*'Dashboard &amp; Optimisation'!$B$18/('Dashboard &amp; Optimisation'!$B$16/3.6)</f>
        <v/>
      </c>
      <c r="O2441" s="31" t="n">
        <v>1211.62106581505</v>
      </c>
      <c r="P2441" s="32" t="n">
        <v>0.2246734504152909</v>
      </c>
      <c r="Q2441" s="33" t="n">
        <v>16.2467359238007</v>
      </c>
      <c r="R2441" s="31" t="n">
        <v>1043.512693149818</v>
      </c>
      <c r="S2441" s="31">
        <f>R2441*IF(A2441=4, 2.0, 3.0)</f>
        <v/>
      </c>
      <c r="T2441" s="30">
        <f>'Dashboard &amp; Optimisation'!$B$18*U2441</f>
        <v/>
      </c>
      <c r="U2441" s="34">
        <f>MIN(1, S2441/M2441)</f>
        <v/>
      </c>
      <c r="V2441" s="34">
        <f>N2441/(N2441+O2441)</f>
        <v/>
      </c>
      <c r="W2441" s="34">
        <f>U2441*V2441</f>
        <v/>
      </c>
      <c r="X2441" s="32">
        <f>T2441/N2441</f>
        <v/>
      </c>
      <c r="Y2441" s="35">
        <f>IF(W2441=MAXIFS(W$2:W$3601, A$2:A$3601, A2441, B$2:B$3601, B2441), "OPTIMAL", "")</f>
        <v/>
      </c>
    </row>
    <row r="2442" ht="20" customHeight="1">
      <c r="A2442" s="21" t="n">
        <v>-18</v>
      </c>
      <c r="B2442" s="21" t="n">
        <v>30</v>
      </c>
      <c r="C2442" s="22" t="n">
        <v>115</v>
      </c>
      <c r="D2442" s="22" t="n">
        <v>2</v>
      </c>
      <c r="E2442" s="23" t="n">
        <v>0</v>
      </c>
      <c r="F2442" s="22" t="n">
        <v>0</v>
      </c>
      <c r="G2442" s="23" t="inlineStr">
        <is>
          <t>Oui</t>
        </is>
      </c>
      <c r="H2442" s="23" t="inlineStr">
        <is>
          <t>ON</t>
        </is>
      </c>
      <c r="I2442" s="24" t="n">
        <v>674.4931640486259</v>
      </c>
      <c r="J2442" s="24" t="n">
        <v>5144.556481985902</v>
      </c>
      <c r="K2442" s="24" t="n">
        <v>3782.407407407407</v>
      </c>
      <c r="L2442" s="24" t="n">
        <v>150</v>
      </c>
      <c r="M2442" s="24">
        <f>I2442+J2442+K2442+L2442</f>
        <v/>
      </c>
      <c r="N2442" s="24">
        <f>M2442*'Dashboard &amp; Optimisation'!$B$18/('Dashboard &amp; Optimisation'!$B$16/3.6)</f>
        <v/>
      </c>
      <c r="O2442" s="24" t="n">
        <v>363.6275722622374</v>
      </c>
      <c r="P2442" s="25" t="n">
        <v>0.4698805559653013</v>
      </c>
      <c r="Q2442" s="26" t="n">
        <v>0.2</v>
      </c>
      <c r="R2442" s="24" t="n">
        <v>403.6893168441666</v>
      </c>
      <c r="S2442" s="24">
        <f>R2442*IF(A2442=4, 2.0, 3.0)</f>
        <v/>
      </c>
      <c r="T2442" s="22">
        <f>'Dashboard &amp; Optimisation'!$B$18*U2442</f>
        <v/>
      </c>
      <c r="U2442" s="27">
        <f>MIN(1, S2442/M2442)</f>
        <v/>
      </c>
      <c r="V2442" s="27">
        <f>N2442/(N2442+O2442)</f>
        <v/>
      </c>
      <c r="W2442" s="27">
        <f>U2442*V2442</f>
        <v/>
      </c>
      <c r="X2442" s="25">
        <f>T2442/N2442</f>
        <v/>
      </c>
      <c r="Y2442" s="28">
        <f>IF(W2442=MAXIFS(W$2:W$3601, A$2:A$3601, A2442, B$2:B$3601, B2442), "OPTIMAL", "")</f>
        <v/>
      </c>
    </row>
    <row r="2443" ht="20" customHeight="1">
      <c r="A2443" s="29" t="n">
        <v>-18</v>
      </c>
      <c r="B2443" s="29" t="n">
        <v>30</v>
      </c>
      <c r="C2443" s="30" t="n">
        <v>115</v>
      </c>
      <c r="D2443" s="30" t="n">
        <v>2</v>
      </c>
      <c r="E2443" s="6" t="n">
        <v>0</v>
      </c>
      <c r="F2443" s="30" t="n">
        <v>0</v>
      </c>
      <c r="G2443" s="6" t="inlineStr">
        <is>
          <t>Oui</t>
        </is>
      </c>
      <c r="H2443" s="6" t="inlineStr">
        <is>
          <t>OFF</t>
        </is>
      </c>
      <c r="I2443" s="31" t="n">
        <v>674.4931640486259</v>
      </c>
      <c r="J2443" s="31" t="n">
        <v>5144.556481985902</v>
      </c>
      <c r="K2443" s="31" t="n">
        <v>3782.407407407407</v>
      </c>
      <c r="L2443" s="31" t="n">
        <v>150</v>
      </c>
      <c r="M2443" s="31">
        <f>I2443+J2443+K2443+L2443</f>
        <v/>
      </c>
      <c r="N2443" s="31">
        <f>M2443*'Dashboard &amp; Optimisation'!$B$18/('Dashboard &amp; Optimisation'!$B$16/3.6)</f>
        <v/>
      </c>
      <c r="O2443" s="31" t="n">
        <v>363.6275722622374</v>
      </c>
      <c r="P2443" s="32" t="n">
        <v>0.7466717613425105</v>
      </c>
      <c r="Q2443" s="33" t="n">
        <v>0.2</v>
      </c>
      <c r="R2443" s="31" t="n">
        <v>254.0416960391485</v>
      </c>
      <c r="S2443" s="31">
        <f>R2443*IF(A2443=4, 2.0, 3.0)</f>
        <v/>
      </c>
      <c r="T2443" s="30">
        <f>'Dashboard &amp; Optimisation'!$B$18*U2443</f>
        <v/>
      </c>
      <c r="U2443" s="34">
        <f>MIN(1, S2443/M2443)</f>
        <v/>
      </c>
      <c r="V2443" s="34">
        <f>N2443/(N2443+O2443)</f>
        <v/>
      </c>
      <c r="W2443" s="34">
        <f>U2443*V2443</f>
        <v/>
      </c>
      <c r="X2443" s="32">
        <f>T2443/N2443</f>
        <v/>
      </c>
      <c r="Y2443" s="35">
        <f>IF(W2443=MAXIFS(W$2:W$3601, A$2:A$3601, A2443, B$2:B$3601, B2443), "OPTIMAL", "")</f>
        <v/>
      </c>
    </row>
    <row r="2444" ht="20" customHeight="1">
      <c r="A2444" s="21" t="n">
        <v>-18</v>
      </c>
      <c r="B2444" s="21" t="n">
        <v>30</v>
      </c>
      <c r="C2444" s="22" t="n">
        <v>115</v>
      </c>
      <c r="D2444" s="22" t="n">
        <v>2</v>
      </c>
      <c r="E2444" s="23" t="n">
        <v>0</v>
      </c>
      <c r="F2444" s="22" t="n">
        <v>0</v>
      </c>
      <c r="G2444" s="23" t="inlineStr">
        <is>
          <t>Non</t>
        </is>
      </c>
      <c r="H2444" s="23" t="inlineStr">
        <is>
          <t>ON</t>
        </is>
      </c>
      <c r="I2444" s="24" t="n">
        <v>674.4931640486259</v>
      </c>
      <c r="J2444" s="24" t="n">
        <v>5144.556481985902</v>
      </c>
      <c r="K2444" s="24" t="n">
        <v>3782.407407407407</v>
      </c>
      <c r="L2444" s="24" t="n">
        <v>150</v>
      </c>
      <c r="M2444" s="24">
        <f>I2444+J2444+K2444+L2444</f>
        <v/>
      </c>
      <c r="N2444" s="24">
        <f>M2444*'Dashboard &amp; Optimisation'!$B$18/('Dashboard &amp; Optimisation'!$B$16/3.6)</f>
        <v/>
      </c>
      <c r="O2444" s="24" t="n">
        <v>363.6275722622374</v>
      </c>
      <c r="P2444" s="25" t="n">
        <v>0.4671126439115292</v>
      </c>
      <c r="Q2444" s="26" t="n">
        <v>0.2</v>
      </c>
      <c r="R2444" s="24" t="n">
        <v>406.0814090742446</v>
      </c>
      <c r="S2444" s="24">
        <f>R2444*IF(A2444=4, 2.0, 3.0)</f>
        <v/>
      </c>
      <c r="T2444" s="22">
        <f>'Dashboard &amp; Optimisation'!$B$18*U2444</f>
        <v/>
      </c>
      <c r="U2444" s="27">
        <f>MIN(1, S2444/M2444)</f>
        <v/>
      </c>
      <c r="V2444" s="27">
        <f>N2444/(N2444+O2444)</f>
        <v/>
      </c>
      <c r="W2444" s="27">
        <f>U2444*V2444</f>
        <v/>
      </c>
      <c r="X2444" s="25">
        <f>T2444/N2444</f>
        <v/>
      </c>
      <c r="Y2444" s="28">
        <f>IF(W2444=MAXIFS(W$2:W$3601, A$2:A$3601, A2444, B$2:B$3601, B2444), "OPTIMAL", "")</f>
        <v/>
      </c>
    </row>
    <row r="2445" ht="20" customHeight="1">
      <c r="A2445" s="29" t="n">
        <v>-18</v>
      </c>
      <c r="B2445" s="29" t="n">
        <v>30</v>
      </c>
      <c r="C2445" s="30" t="n">
        <v>115</v>
      </c>
      <c r="D2445" s="30" t="n">
        <v>2</v>
      </c>
      <c r="E2445" s="6" t="n">
        <v>0</v>
      </c>
      <c r="F2445" s="30" t="n">
        <v>0</v>
      </c>
      <c r="G2445" s="6" t="inlineStr">
        <is>
          <t>Non</t>
        </is>
      </c>
      <c r="H2445" s="6" t="inlineStr">
        <is>
          <t>OFF</t>
        </is>
      </c>
      <c r="I2445" s="31" t="n">
        <v>674.4931640486259</v>
      </c>
      <c r="J2445" s="31" t="n">
        <v>5144.556481985902</v>
      </c>
      <c r="K2445" s="31" t="n">
        <v>3782.407407407407</v>
      </c>
      <c r="L2445" s="31" t="n">
        <v>150</v>
      </c>
      <c r="M2445" s="31">
        <f>I2445+J2445+K2445+L2445</f>
        <v/>
      </c>
      <c r="N2445" s="31">
        <f>M2445*'Dashboard &amp; Optimisation'!$B$18/('Dashboard &amp; Optimisation'!$B$16/3.6)</f>
        <v/>
      </c>
      <c r="O2445" s="31" t="n">
        <v>363.6275722622374</v>
      </c>
      <c r="P2445" s="32" t="n">
        <v>0.7439038492887384</v>
      </c>
      <c r="Q2445" s="33" t="n">
        <v>0.2</v>
      </c>
      <c r="R2445" s="31" t="n">
        <v>254.9869325415537</v>
      </c>
      <c r="S2445" s="31">
        <f>R2445*IF(A2445=4, 2.0, 3.0)</f>
        <v/>
      </c>
      <c r="T2445" s="30">
        <f>'Dashboard &amp; Optimisation'!$B$18*U2445</f>
        <v/>
      </c>
      <c r="U2445" s="34">
        <f>MIN(1, S2445/M2445)</f>
        <v/>
      </c>
      <c r="V2445" s="34">
        <f>N2445/(N2445+O2445)</f>
        <v/>
      </c>
      <c r="W2445" s="34">
        <f>U2445*V2445</f>
        <v/>
      </c>
      <c r="X2445" s="32">
        <f>T2445/N2445</f>
        <v/>
      </c>
      <c r="Y2445" s="35">
        <f>IF(W2445=MAXIFS(W$2:W$3601, A$2:A$3601, A2445, B$2:B$3601, B2445), "OPTIMAL", "")</f>
        <v/>
      </c>
    </row>
    <row r="2446" ht="20" customHeight="1">
      <c r="A2446" s="21" t="n">
        <v>-18</v>
      </c>
      <c r="B2446" s="21" t="n">
        <v>30</v>
      </c>
      <c r="C2446" s="22" t="n">
        <v>115</v>
      </c>
      <c r="D2446" s="22" t="n">
        <v>2</v>
      </c>
      <c r="E2446" s="23" t="n">
        <v>4</v>
      </c>
      <c r="F2446" s="22" t="n">
        <v>1.5</v>
      </c>
      <c r="G2446" s="23" t="inlineStr">
        <is>
          <t>Oui</t>
        </is>
      </c>
      <c r="H2446" s="23" t="inlineStr">
        <is>
          <t>ON</t>
        </is>
      </c>
      <c r="I2446" s="24" t="n">
        <v>674.4931640486259</v>
      </c>
      <c r="J2446" s="24" t="n">
        <v>5144.556481985902</v>
      </c>
      <c r="K2446" s="24" t="n">
        <v>3782.407407407407</v>
      </c>
      <c r="L2446" s="24" t="n">
        <v>150</v>
      </c>
      <c r="M2446" s="24">
        <f>I2446+J2446+K2446+L2446</f>
        <v/>
      </c>
      <c r="N2446" s="24">
        <f>M2446*'Dashboard &amp; Optimisation'!$B$18/('Dashboard &amp; Optimisation'!$B$16/3.6)</f>
        <v/>
      </c>
      <c r="O2446" s="24" t="n">
        <v>561.6194918695762</v>
      </c>
      <c r="P2446" s="25" t="n">
        <v>0.06928089920961758</v>
      </c>
      <c r="Q2446" s="26" t="n">
        <v>5.838042351605651</v>
      </c>
      <c r="R2446" s="24" t="n">
        <v>2815.430301077711</v>
      </c>
      <c r="S2446" s="24">
        <f>R2446*IF(A2446=4, 2.0, 3.0)</f>
        <v/>
      </c>
      <c r="T2446" s="22">
        <f>'Dashboard &amp; Optimisation'!$B$18*U2446</f>
        <v/>
      </c>
      <c r="U2446" s="27">
        <f>MIN(1, S2446/M2446)</f>
        <v/>
      </c>
      <c r="V2446" s="27">
        <f>N2446/(N2446+O2446)</f>
        <v/>
      </c>
      <c r="W2446" s="27">
        <f>U2446*V2446</f>
        <v/>
      </c>
      <c r="X2446" s="25">
        <f>T2446/N2446</f>
        <v/>
      </c>
      <c r="Y2446" s="28">
        <f>IF(W2446=MAXIFS(W$2:W$3601, A$2:A$3601, A2446, B$2:B$3601, B2446), "OPTIMAL", "")</f>
        <v/>
      </c>
    </row>
    <row r="2447" ht="20" customHeight="1">
      <c r="A2447" s="29" t="n">
        <v>-18</v>
      </c>
      <c r="B2447" s="29" t="n">
        <v>30</v>
      </c>
      <c r="C2447" s="30" t="n">
        <v>115</v>
      </c>
      <c r="D2447" s="30" t="n">
        <v>2</v>
      </c>
      <c r="E2447" s="6" t="n">
        <v>4</v>
      </c>
      <c r="F2447" s="30" t="n">
        <v>1.5</v>
      </c>
      <c r="G2447" s="6" t="inlineStr">
        <is>
          <t>Oui</t>
        </is>
      </c>
      <c r="H2447" s="6" t="inlineStr">
        <is>
          <t>OFF</t>
        </is>
      </c>
      <c r="I2447" s="31" t="n">
        <v>674.4931640486259</v>
      </c>
      <c r="J2447" s="31" t="n">
        <v>5144.556481985902</v>
      </c>
      <c r="K2447" s="31" t="n">
        <v>3782.407407407407</v>
      </c>
      <c r="L2447" s="31" t="n">
        <v>150</v>
      </c>
      <c r="M2447" s="31">
        <f>I2447+J2447+K2447+L2447</f>
        <v/>
      </c>
      <c r="N2447" s="31">
        <f>M2447*'Dashboard &amp; Optimisation'!$B$18/('Dashboard &amp; Optimisation'!$B$16/3.6)</f>
        <v/>
      </c>
      <c r="O2447" s="31" t="n">
        <v>561.6194918695762</v>
      </c>
      <c r="P2447" s="32" t="n">
        <v>0.2796855393519176</v>
      </c>
      <c r="Q2447" s="33" t="n">
        <v>5.838042351605651</v>
      </c>
      <c r="R2447" s="31" t="n">
        <v>697.4101820660712</v>
      </c>
      <c r="S2447" s="31">
        <f>R2447*IF(A2447=4, 2.0, 3.0)</f>
        <v/>
      </c>
      <c r="T2447" s="30">
        <f>'Dashboard &amp; Optimisation'!$B$18*U2447</f>
        <v/>
      </c>
      <c r="U2447" s="34">
        <f>MIN(1, S2447/M2447)</f>
        <v/>
      </c>
      <c r="V2447" s="34">
        <f>N2447/(N2447+O2447)</f>
        <v/>
      </c>
      <c r="W2447" s="34">
        <f>U2447*V2447</f>
        <v/>
      </c>
      <c r="X2447" s="32">
        <f>T2447/N2447</f>
        <v/>
      </c>
      <c r="Y2447" s="35">
        <f>IF(W2447=MAXIFS(W$2:W$3601, A$2:A$3601, A2447, B$2:B$3601, B2447), "OPTIMAL", "")</f>
        <v/>
      </c>
    </row>
    <row r="2448" ht="20" customHeight="1">
      <c r="A2448" s="21" t="n">
        <v>-18</v>
      </c>
      <c r="B2448" s="21" t="n">
        <v>30</v>
      </c>
      <c r="C2448" s="22" t="n">
        <v>115</v>
      </c>
      <c r="D2448" s="22" t="n">
        <v>2</v>
      </c>
      <c r="E2448" s="23" t="n">
        <v>4</v>
      </c>
      <c r="F2448" s="22" t="n">
        <v>1.5</v>
      </c>
      <c r="G2448" s="23" t="inlineStr">
        <is>
          <t>Non</t>
        </is>
      </c>
      <c r="H2448" s="23" t="inlineStr">
        <is>
          <t>ON</t>
        </is>
      </c>
      <c r="I2448" s="24" t="n">
        <v>674.4931640486259</v>
      </c>
      <c r="J2448" s="24" t="n">
        <v>5144.556481985902</v>
      </c>
      <c r="K2448" s="24" t="n">
        <v>3782.407407407407</v>
      </c>
      <c r="L2448" s="24" t="n">
        <v>150</v>
      </c>
      <c r="M2448" s="24">
        <f>I2448+J2448+K2448+L2448</f>
        <v/>
      </c>
      <c r="N2448" s="24">
        <f>M2448*'Dashboard &amp; Optimisation'!$B$18/('Dashboard &amp; Optimisation'!$B$16/3.6)</f>
        <v/>
      </c>
      <c r="O2448" s="24" t="n">
        <v>561.6194918695762</v>
      </c>
      <c r="P2448" s="25" t="n">
        <v>0.06651298715584548</v>
      </c>
      <c r="Q2448" s="26" t="n">
        <v>5.838042351605651</v>
      </c>
      <c r="R2448" s="24" t="n">
        <v>2932.59333645077</v>
      </c>
      <c r="S2448" s="24">
        <f>R2448*IF(A2448=4, 2.0, 3.0)</f>
        <v/>
      </c>
      <c r="T2448" s="22">
        <f>'Dashboard &amp; Optimisation'!$B$18*U2448</f>
        <v/>
      </c>
      <c r="U2448" s="27">
        <f>MIN(1, S2448/M2448)</f>
        <v/>
      </c>
      <c r="V2448" s="27">
        <f>N2448/(N2448+O2448)</f>
        <v/>
      </c>
      <c r="W2448" s="27">
        <f>U2448*V2448</f>
        <v/>
      </c>
      <c r="X2448" s="25">
        <f>T2448/N2448</f>
        <v/>
      </c>
      <c r="Y2448" s="28">
        <f>IF(W2448=MAXIFS(W$2:W$3601, A$2:A$3601, A2448, B$2:B$3601, B2448), "OPTIMAL", "")</f>
        <v/>
      </c>
    </row>
    <row r="2449" ht="20" customHeight="1">
      <c r="A2449" s="29" t="n">
        <v>-18</v>
      </c>
      <c r="B2449" s="29" t="n">
        <v>30</v>
      </c>
      <c r="C2449" s="30" t="n">
        <v>115</v>
      </c>
      <c r="D2449" s="30" t="n">
        <v>2</v>
      </c>
      <c r="E2449" s="6" t="n">
        <v>4</v>
      </c>
      <c r="F2449" s="30" t="n">
        <v>1.5</v>
      </c>
      <c r="G2449" s="6" t="inlineStr">
        <is>
          <t>Non</t>
        </is>
      </c>
      <c r="H2449" s="6" t="inlineStr">
        <is>
          <t>OFF</t>
        </is>
      </c>
      <c r="I2449" s="31" t="n">
        <v>674.4931640486259</v>
      </c>
      <c r="J2449" s="31" t="n">
        <v>5144.556481985902</v>
      </c>
      <c r="K2449" s="31" t="n">
        <v>3782.407407407407</v>
      </c>
      <c r="L2449" s="31" t="n">
        <v>150</v>
      </c>
      <c r="M2449" s="31">
        <f>I2449+J2449+K2449+L2449</f>
        <v/>
      </c>
      <c r="N2449" s="31">
        <f>M2449*'Dashboard &amp; Optimisation'!$B$18/('Dashboard &amp; Optimisation'!$B$16/3.6)</f>
        <v/>
      </c>
      <c r="O2449" s="31" t="n">
        <v>561.6194918695762</v>
      </c>
      <c r="P2449" s="32" t="n">
        <v>0.2769176272981455</v>
      </c>
      <c r="Q2449" s="33" t="n">
        <v>5.838042351605651</v>
      </c>
      <c r="R2449" s="31" t="n">
        <v>704.3810999819816</v>
      </c>
      <c r="S2449" s="31">
        <f>R2449*IF(A2449=4, 2.0, 3.0)</f>
        <v/>
      </c>
      <c r="T2449" s="30">
        <f>'Dashboard &amp; Optimisation'!$B$18*U2449</f>
        <v/>
      </c>
      <c r="U2449" s="34">
        <f>MIN(1, S2449/M2449)</f>
        <v/>
      </c>
      <c r="V2449" s="34">
        <f>N2449/(N2449+O2449)</f>
        <v/>
      </c>
      <c r="W2449" s="34">
        <f>U2449*V2449</f>
        <v/>
      </c>
      <c r="X2449" s="32">
        <f>T2449/N2449</f>
        <v/>
      </c>
      <c r="Y2449" s="35">
        <f>IF(W2449=MAXIFS(W$2:W$3601, A$2:A$3601, A2449, B$2:B$3601, B2449), "OPTIMAL", "")</f>
        <v/>
      </c>
    </row>
    <row r="2450" ht="20" customHeight="1">
      <c r="A2450" s="21" t="n">
        <v>-18</v>
      </c>
      <c r="B2450" s="21" t="n">
        <v>30</v>
      </c>
      <c r="C2450" s="22" t="n">
        <v>115</v>
      </c>
      <c r="D2450" s="22" t="n">
        <v>2</v>
      </c>
      <c r="E2450" s="23" t="n">
        <v>4</v>
      </c>
      <c r="F2450" s="22" t="n">
        <v>2</v>
      </c>
      <c r="G2450" s="23" t="inlineStr">
        <is>
          <t>Oui</t>
        </is>
      </c>
      <c r="H2450" s="23" t="inlineStr">
        <is>
          <t>ON</t>
        </is>
      </c>
      <c r="I2450" s="24" t="n">
        <v>674.4931640486259</v>
      </c>
      <c r="J2450" s="24" t="n">
        <v>5144.556481985902</v>
      </c>
      <c r="K2450" s="24" t="n">
        <v>3782.407407407407</v>
      </c>
      <c r="L2450" s="24" t="n">
        <v>150</v>
      </c>
      <c r="M2450" s="24">
        <f>I2450+J2450+K2450+L2450</f>
        <v/>
      </c>
      <c r="N2450" s="24">
        <f>M2450*'Dashboard &amp; Optimisation'!$B$18/('Dashboard &amp; Optimisation'!$B$16/3.6)</f>
        <v/>
      </c>
      <c r="O2450" s="24" t="n">
        <v>630.131604340979</v>
      </c>
      <c r="P2450" s="25" t="n">
        <v>0.06612266589584477</v>
      </c>
      <c r="Q2450" s="26" t="n">
        <v>7.717389802140867</v>
      </c>
      <c r="R2450" s="24" t="n">
        <v>2978.005685108282</v>
      </c>
      <c r="S2450" s="24">
        <f>R2450*IF(A2450=4, 2.0, 3.0)</f>
        <v/>
      </c>
      <c r="T2450" s="22">
        <f>'Dashboard &amp; Optimisation'!$B$18*U2450</f>
        <v/>
      </c>
      <c r="U2450" s="27">
        <f>MIN(1, S2450/M2450)</f>
        <v/>
      </c>
      <c r="V2450" s="27">
        <f>N2450/(N2450+O2450)</f>
        <v/>
      </c>
      <c r="W2450" s="27">
        <f>U2450*V2450</f>
        <v/>
      </c>
      <c r="X2450" s="25">
        <f>T2450/N2450</f>
        <v/>
      </c>
      <c r="Y2450" s="28">
        <f>IF(W2450=MAXIFS(W$2:W$3601, A$2:A$3601, A2450, B$2:B$3601, B2450), "OPTIMAL", "")</f>
        <v/>
      </c>
    </row>
    <row r="2451" ht="20" customHeight="1">
      <c r="A2451" s="29" t="n">
        <v>-18</v>
      </c>
      <c r="B2451" s="29" t="n">
        <v>30</v>
      </c>
      <c r="C2451" s="30" t="n">
        <v>115</v>
      </c>
      <c r="D2451" s="30" t="n">
        <v>2</v>
      </c>
      <c r="E2451" s="6" t="n">
        <v>4</v>
      </c>
      <c r="F2451" s="30" t="n">
        <v>2</v>
      </c>
      <c r="G2451" s="6" t="inlineStr">
        <is>
          <t>Oui</t>
        </is>
      </c>
      <c r="H2451" s="6" t="inlineStr">
        <is>
          <t>OFF</t>
        </is>
      </c>
      <c r="I2451" s="31" t="n">
        <v>674.4931640486259</v>
      </c>
      <c r="J2451" s="31" t="n">
        <v>5144.556481985902</v>
      </c>
      <c r="K2451" s="31" t="n">
        <v>3782.407407407407</v>
      </c>
      <c r="L2451" s="31" t="n">
        <v>150</v>
      </c>
      <c r="M2451" s="31">
        <f>I2451+J2451+K2451+L2451</f>
        <v/>
      </c>
      <c r="N2451" s="31">
        <f>M2451*'Dashboard &amp; Optimisation'!$B$18/('Dashboard &amp; Optimisation'!$B$16/3.6)</f>
        <v/>
      </c>
      <c r="O2451" s="31" t="n">
        <v>630.131604340979</v>
      </c>
      <c r="P2451" s="32" t="n">
        <v>0.2774148058870663</v>
      </c>
      <c r="Q2451" s="33" t="n">
        <v>7.717389802140867</v>
      </c>
      <c r="R2451" s="31" t="n">
        <v>709.8167465239887</v>
      </c>
      <c r="S2451" s="31">
        <f>R2451*IF(A2451=4, 2.0, 3.0)</f>
        <v/>
      </c>
      <c r="T2451" s="30">
        <f>'Dashboard &amp; Optimisation'!$B$18*U2451</f>
        <v/>
      </c>
      <c r="U2451" s="34">
        <f>MIN(1, S2451/M2451)</f>
        <v/>
      </c>
      <c r="V2451" s="34">
        <f>N2451/(N2451+O2451)</f>
        <v/>
      </c>
      <c r="W2451" s="34">
        <f>U2451*V2451</f>
        <v/>
      </c>
      <c r="X2451" s="32">
        <f>T2451/N2451</f>
        <v/>
      </c>
      <c r="Y2451" s="35">
        <f>IF(W2451=MAXIFS(W$2:W$3601, A$2:A$3601, A2451, B$2:B$3601, B2451), "OPTIMAL", "")</f>
        <v/>
      </c>
    </row>
    <row r="2452" ht="20" customHeight="1">
      <c r="A2452" s="21" t="n">
        <v>-18</v>
      </c>
      <c r="B2452" s="21" t="n">
        <v>30</v>
      </c>
      <c r="C2452" s="22" t="n">
        <v>115</v>
      </c>
      <c r="D2452" s="22" t="n">
        <v>2</v>
      </c>
      <c r="E2452" s="23" t="n">
        <v>4</v>
      </c>
      <c r="F2452" s="22" t="n">
        <v>2</v>
      </c>
      <c r="G2452" s="23" t="inlineStr">
        <is>
          <t>Non</t>
        </is>
      </c>
      <c r="H2452" s="23" t="inlineStr">
        <is>
          <t>ON</t>
        </is>
      </c>
      <c r="I2452" s="24" t="n">
        <v>674.4931640486259</v>
      </c>
      <c r="J2452" s="24" t="n">
        <v>5144.556481985902</v>
      </c>
      <c r="K2452" s="24" t="n">
        <v>3782.407407407407</v>
      </c>
      <c r="L2452" s="24" t="n">
        <v>150</v>
      </c>
      <c r="M2452" s="24">
        <f>I2452+J2452+K2452+L2452</f>
        <v/>
      </c>
      <c r="N2452" s="24">
        <f>M2452*'Dashboard &amp; Optimisation'!$B$18/('Dashboard &amp; Optimisation'!$B$16/3.6)</f>
        <v/>
      </c>
      <c r="O2452" s="24" t="n">
        <v>630.131604340979</v>
      </c>
      <c r="P2452" s="25" t="n">
        <v>0.06335475384207268</v>
      </c>
      <c r="Q2452" s="26" t="n">
        <v>7.717389802140867</v>
      </c>
      <c r="R2452" s="24" t="n">
        <v>3108.112067536354</v>
      </c>
      <c r="S2452" s="24">
        <f>R2452*IF(A2452=4, 2.0, 3.0)</f>
        <v/>
      </c>
      <c r="T2452" s="22">
        <f>'Dashboard &amp; Optimisation'!$B$18*U2452</f>
        <v/>
      </c>
      <c r="U2452" s="27">
        <f>MIN(1, S2452/M2452)</f>
        <v/>
      </c>
      <c r="V2452" s="27">
        <f>N2452/(N2452+O2452)</f>
        <v/>
      </c>
      <c r="W2452" s="27">
        <f>U2452*V2452</f>
        <v/>
      </c>
      <c r="X2452" s="25">
        <f>T2452/N2452</f>
        <v/>
      </c>
      <c r="Y2452" s="28">
        <f>IF(W2452=MAXIFS(W$2:W$3601, A$2:A$3601, A2452, B$2:B$3601, B2452), "OPTIMAL", "")</f>
        <v/>
      </c>
    </row>
    <row r="2453" ht="20" customHeight="1">
      <c r="A2453" s="29" t="n">
        <v>-18</v>
      </c>
      <c r="B2453" s="29" t="n">
        <v>30</v>
      </c>
      <c r="C2453" s="30" t="n">
        <v>115</v>
      </c>
      <c r="D2453" s="30" t="n">
        <v>2</v>
      </c>
      <c r="E2453" s="6" t="n">
        <v>4</v>
      </c>
      <c r="F2453" s="30" t="n">
        <v>2</v>
      </c>
      <c r="G2453" s="6" t="inlineStr">
        <is>
          <t>Non</t>
        </is>
      </c>
      <c r="H2453" s="6" t="inlineStr">
        <is>
          <t>OFF</t>
        </is>
      </c>
      <c r="I2453" s="31" t="n">
        <v>674.4931640486259</v>
      </c>
      <c r="J2453" s="31" t="n">
        <v>5144.556481985902</v>
      </c>
      <c r="K2453" s="31" t="n">
        <v>3782.407407407407</v>
      </c>
      <c r="L2453" s="31" t="n">
        <v>150</v>
      </c>
      <c r="M2453" s="31">
        <f>I2453+J2453+K2453+L2453</f>
        <v/>
      </c>
      <c r="N2453" s="31">
        <f>M2453*'Dashboard &amp; Optimisation'!$B$18/('Dashboard &amp; Optimisation'!$B$16/3.6)</f>
        <v/>
      </c>
      <c r="O2453" s="31" t="n">
        <v>630.131604340979</v>
      </c>
      <c r="P2453" s="32" t="n">
        <v>0.2746468938332942</v>
      </c>
      <c r="Q2453" s="33" t="n">
        <v>7.717389802140867</v>
      </c>
      <c r="R2453" s="31" t="n">
        <v>716.9703330847221</v>
      </c>
      <c r="S2453" s="31">
        <f>R2453*IF(A2453=4, 2.0, 3.0)</f>
        <v/>
      </c>
      <c r="T2453" s="30">
        <f>'Dashboard &amp; Optimisation'!$B$18*U2453</f>
        <v/>
      </c>
      <c r="U2453" s="34">
        <f>MIN(1, S2453/M2453)</f>
        <v/>
      </c>
      <c r="V2453" s="34">
        <f>N2453/(N2453+O2453)</f>
        <v/>
      </c>
      <c r="W2453" s="34">
        <f>U2453*V2453</f>
        <v/>
      </c>
      <c r="X2453" s="32">
        <f>T2453/N2453</f>
        <v/>
      </c>
      <c r="Y2453" s="35">
        <f>IF(W2453=MAXIFS(W$2:W$3601, A$2:A$3601, A2453, B$2:B$3601, B2453), "OPTIMAL", "")</f>
        <v/>
      </c>
    </row>
    <row r="2454" ht="20" customHeight="1">
      <c r="A2454" s="21" t="n">
        <v>-18</v>
      </c>
      <c r="B2454" s="21" t="n">
        <v>30</v>
      </c>
      <c r="C2454" s="22" t="n">
        <v>115</v>
      </c>
      <c r="D2454" s="22" t="n">
        <v>2</v>
      </c>
      <c r="E2454" s="23" t="n">
        <v>8</v>
      </c>
      <c r="F2454" s="22" t="n">
        <v>1.5</v>
      </c>
      <c r="G2454" s="23" t="inlineStr">
        <is>
          <t>Oui</t>
        </is>
      </c>
      <c r="H2454" s="23" t="inlineStr">
        <is>
          <t>ON</t>
        </is>
      </c>
      <c r="I2454" s="24" t="n">
        <v>674.4931640486259</v>
      </c>
      <c r="J2454" s="24" t="n">
        <v>5144.556481985902</v>
      </c>
      <c r="K2454" s="24" t="n">
        <v>3782.407407407407</v>
      </c>
      <c r="L2454" s="24" t="n">
        <v>150</v>
      </c>
      <c r="M2454" s="24">
        <f>I2454+J2454+K2454+L2454</f>
        <v/>
      </c>
      <c r="N2454" s="24">
        <f>M2454*'Dashboard &amp; Optimisation'!$B$18/('Dashboard &amp; Optimisation'!$B$16/3.6)</f>
        <v/>
      </c>
      <c r="O2454" s="24" t="n">
        <v>771.147834004435</v>
      </c>
      <c r="P2454" s="25" t="n">
        <v>0.05248603000184628</v>
      </c>
      <c r="Q2454" s="26" t="n">
        <v>11.4760847032113</v>
      </c>
      <c r="R2454" s="24" t="n">
        <v>3824.602604623961</v>
      </c>
      <c r="S2454" s="24">
        <f>R2454*IF(A2454=4, 2.0, 3.0)</f>
        <v/>
      </c>
      <c r="T2454" s="22">
        <f>'Dashboard &amp; Optimisation'!$B$18*U2454</f>
        <v/>
      </c>
      <c r="U2454" s="27">
        <f>MIN(1, S2454/M2454)</f>
        <v/>
      </c>
      <c r="V2454" s="27">
        <f>N2454/(N2454+O2454)</f>
        <v/>
      </c>
      <c r="W2454" s="27">
        <f>U2454*V2454</f>
        <v/>
      </c>
      <c r="X2454" s="25">
        <f>T2454/N2454</f>
        <v/>
      </c>
      <c r="Y2454" s="28">
        <f>IF(W2454=MAXIFS(W$2:W$3601, A$2:A$3601, A2454, B$2:B$3601, B2454), "OPTIMAL", "")</f>
        <v/>
      </c>
    </row>
    <row r="2455" ht="20" customHeight="1">
      <c r="A2455" s="29" t="n">
        <v>-18</v>
      </c>
      <c r="B2455" s="29" t="n">
        <v>30</v>
      </c>
      <c r="C2455" s="30" t="n">
        <v>115</v>
      </c>
      <c r="D2455" s="30" t="n">
        <v>2</v>
      </c>
      <c r="E2455" s="6" t="n">
        <v>8</v>
      </c>
      <c r="F2455" s="30" t="n">
        <v>1.5</v>
      </c>
      <c r="G2455" s="6" t="inlineStr">
        <is>
          <t>Oui</t>
        </is>
      </c>
      <c r="H2455" s="6" t="inlineStr">
        <is>
          <t>OFF</t>
        </is>
      </c>
      <c r="I2455" s="31" t="n">
        <v>674.4931640486259</v>
      </c>
      <c r="J2455" s="31" t="n">
        <v>5144.556481985902</v>
      </c>
      <c r="K2455" s="31" t="n">
        <v>3782.407407407407</v>
      </c>
      <c r="L2455" s="31" t="n">
        <v>150</v>
      </c>
      <c r="M2455" s="31">
        <f>I2455+J2455+K2455+L2455</f>
        <v/>
      </c>
      <c r="N2455" s="31">
        <f>M2455*'Dashboard &amp; Optimisation'!$B$18/('Dashboard &amp; Optimisation'!$B$16/3.6)</f>
        <v/>
      </c>
      <c r="O2455" s="31" t="n">
        <v>771.147834004435</v>
      </c>
      <c r="P2455" s="32" t="n">
        <v>0.2221878302428261</v>
      </c>
      <c r="Q2455" s="33" t="n">
        <v>11.4760847032113</v>
      </c>
      <c r="R2455" s="31" t="n">
        <v>903.4617550027314</v>
      </c>
      <c r="S2455" s="31">
        <f>R2455*IF(A2455=4, 2.0, 3.0)</f>
        <v/>
      </c>
      <c r="T2455" s="30">
        <f>'Dashboard &amp; Optimisation'!$B$18*U2455</f>
        <v/>
      </c>
      <c r="U2455" s="34">
        <f>MIN(1, S2455/M2455)</f>
        <v/>
      </c>
      <c r="V2455" s="34">
        <f>N2455/(N2455+O2455)</f>
        <v/>
      </c>
      <c r="W2455" s="34">
        <f>U2455*V2455</f>
        <v/>
      </c>
      <c r="X2455" s="32">
        <f>T2455/N2455</f>
        <v/>
      </c>
      <c r="Y2455" s="35">
        <f>IF(W2455=MAXIFS(W$2:W$3601, A$2:A$3601, A2455, B$2:B$3601, B2455), "OPTIMAL", "")</f>
        <v/>
      </c>
    </row>
    <row r="2456" ht="20" customHeight="1">
      <c r="A2456" s="21" t="n">
        <v>-18</v>
      </c>
      <c r="B2456" s="21" t="n">
        <v>30</v>
      </c>
      <c r="C2456" s="22" t="n">
        <v>115</v>
      </c>
      <c r="D2456" s="22" t="n">
        <v>2</v>
      </c>
      <c r="E2456" s="23" t="n">
        <v>8</v>
      </c>
      <c r="F2456" s="22" t="n">
        <v>1.5</v>
      </c>
      <c r="G2456" s="23" t="inlineStr">
        <is>
          <t>Non</t>
        </is>
      </c>
      <c r="H2456" s="23" t="inlineStr">
        <is>
          <t>ON</t>
        </is>
      </c>
      <c r="I2456" s="24" t="n">
        <v>674.4931640486259</v>
      </c>
      <c r="J2456" s="24" t="n">
        <v>5144.556481985902</v>
      </c>
      <c r="K2456" s="24" t="n">
        <v>3782.407407407407</v>
      </c>
      <c r="L2456" s="24" t="n">
        <v>150</v>
      </c>
      <c r="M2456" s="24">
        <f>I2456+J2456+K2456+L2456</f>
        <v/>
      </c>
      <c r="N2456" s="24">
        <f>M2456*'Dashboard &amp; Optimisation'!$B$18/('Dashboard &amp; Optimisation'!$B$16/3.6)</f>
        <v/>
      </c>
      <c r="O2456" s="24" t="n">
        <v>771.147834004435</v>
      </c>
      <c r="P2456" s="25" t="n">
        <v>0.04971811794807418</v>
      </c>
      <c r="Q2456" s="26" t="n">
        <v>11.4760847032113</v>
      </c>
      <c r="R2456" s="24" t="n">
        <v>4037.526264793138</v>
      </c>
      <c r="S2456" s="24">
        <f>R2456*IF(A2456=4, 2.0, 3.0)</f>
        <v/>
      </c>
      <c r="T2456" s="22">
        <f>'Dashboard &amp; Optimisation'!$B$18*U2456</f>
        <v/>
      </c>
      <c r="U2456" s="27">
        <f>MIN(1, S2456/M2456)</f>
        <v/>
      </c>
      <c r="V2456" s="27">
        <f>N2456/(N2456+O2456)</f>
        <v/>
      </c>
      <c r="W2456" s="27">
        <f>U2456*V2456</f>
        <v/>
      </c>
      <c r="X2456" s="25">
        <f>T2456/N2456</f>
        <v/>
      </c>
      <c r="Y2456" s="28">
        <f>IF(W2456=MAXIFS(W$2:W$3601, A$2:A$3601, A2456, B$2:B$3601, B2456), "OPTIMAL", "")</f>
        <v/>
      </c>
    </row>
    <row r="2457" ht="20" customHeight="1">
      <c r="A2457" s="29" t="n">
        <v>-18</v>
      </c>
      <c r="B2457" s="29" t="n">
        <v>30</v>
      </c>
      <c r="C2457" s="30" t="n">
        <v>115</v>
      </c>
      <c r="D2457" s="30" t="n">
        <v>2</v>
      </c>
      <c r="E2457" s="6" t="n">
        <v>8</v>
      </c>
      <c r="F2457" s="30" t="n">
        <v>1.5</v>
      </c>
      <c r="G2457" s="6" t="inlineStr">
        <is>
          <t>Non</t>
        </is>
      </c>
      <c r="H2457" s="6" t="inlineStr">
        <is>
          <t>OFF</t>
        </is>
      </c>
      <c r="I2457" s="31" t="n">
        <v>674.4931640486259</v>
      </c>
      <c r="J2457" s="31" t="n">
        <v>5144.556481985902</v>
      </c>
      <c r="K2457" s="31" t="n">
        <v>3782.407407407407</v>
      </c>
      <c r="L2457" s="31" t="n">
        <v>150</v>
      </c>
      <c r="M2457" s="31">
        <f>I2457+J2457+K2457+L2457</f>
        <v/>
      </c>
      <c r="N2457" s="31">
        <f>M2457*'Dashboard &amp; Optimisation'!$B$18/('Dashboard &amp; Optimisation'!$B$16/3.6)</f>
        <v/>
      </c>
      <c r="O2457" s="31" t="n">
        <v>771.147834004435</v>
      </c>
      <c r="P2457" s="32" t="n">
        <v>0.219419918189054</v>
      </c>
      <c r="Q2457" s="33" t="n">
        <v>11.4760847032113</v>
      </c>
      <c r="R2457" s="31" t="n">
        <v>914.8586359351157</v>
      </c>
      <c r="S2457" s="31">
        <f>R2457*IF(A2457=4, 2.0, 3.0)</f>
        <v/>
      </c>
      <c r="T2457" s="30">
        <f>'Dashboard &amp; Optimisation'!$B$18*U2457</f>
        <v/>
      </c>
      <c r="U2457" s="34">
        <f>MIN(1, S2457/M2457)</f>
        <v/>
      </c>
      <c r="V2457" s="34">
        <f>N2457/(N2457+O2457)</f>
        <v/>
      </c>
      <c r="W2457" s="34">
        <f>U2457*V2457</f>
        <v/>
      </c>
      <c r="X2457" s="32">
        <f>T2457/N2457</f>
        <v/>
      </c>
      <c r="Y2457" s="35">
        <f>IF(W2457=MAXIFS(W$2:W$3601, A$2:A$3601, A2457, B$2:B$3601, B2457), "OPTIMAL", "")</f>
        <v/>
      </c>
    </row>
    <row r="2458" ht="20" customHeight="1">
      <c r="A2458" s="21" t="n">
        <v>-18</v>
      </c>
      <c r="B2458" s="21" t="n">
        <v>30</v>
      </c>
      <c r="C2458" s="22" t="n">
        <v>115</v>
      </c>
      <c r="D2458" s="22" t="n">
        <v>2</v>
      </c>
      <c r="E2458" s="23" t="n">
        <v>8</v>
      </c>
      <c r="F2458" s="22" t="n">
        <v>2</v>
      </c>
      <c r="G2458" s="23" t="inlineStr">
        <is>
          <t>Oui</t>
        </is>
      </c>
      <c r="H2458" s="23" t="inlineStr">
        <is>
          <t>ON</t>
        </is>
      </c>
      <c r="I2458" s="24" t="n">
        <v>674.4931640486259</v>
      </c>
      <c r="J2458" s="24" t="n">
        <v>5144.556481985902</v>
      </c>
      <c r="K2458" s="24" t="n">
        <v>3782.407407407407</v>
      </c>
      <c r="L2458" s="24" t="n">
        <v>150</v>
      </c>
      <c r="M2458" s="24">
        <f>I2458+J2458+K2458+L2458</f>
        <v/>
      </c>
      <c r="N2458" s="24">
        <f>M2458*'Dashboard &amp; Optimisation'!$B$18/('Dashboard &amp; Optimisation'!$B$16/3.6)</f>
        <v/>
      </c>
      <c r="O2458" s="24" t="n">
        <v>917.7503031515952</v>
      </c>
      <c r="P2458" s="25" t="n">
        <v>0.05098656696881766</v>
      </c>
      <c r="Q2458" s="26" t="n">
        <v>15.23477960428174</v>
      </c>
      <c r="R2458" s="24" t="n">
        <v>4015.062337933055</v>
      </c>
      <c r="S2458" s="24">
        <f>R2458*IF(A2458=4, 2.0, 3.0)</f>
        <v/>
      </c>
      <c r="T2458" s="22">
        <f>'Dashboard &amp; Optimisation'!$B$18*U2458</f>
        <v/>
      </c>
      <c r="U2458" s="27">
        <f>MIN(1, S2458/M2458)</f>
        <v/>
      </c>
      <c r="V2458" s="27">
        <f>N2458/(N2458+O2458)</f>
        <v/>
      </c>
      <c r="W2458" s="27">
        <f>U2458*V2458</f>
        <v/>
      </c>
      <c r="X2458" s="25">
        <f>T2458/N2458</f>
        <v/>
      </c>
      <c r="Y2458" s="28">
        <f>IF(W2458=MAXIFS(W$2:W$3601, A$2:A$3601, A2458, B$2:B$3601, B2458), "OPTIMAL", "")</f>
        <v/>
      </c>
    </row>
    <row r="2459" ht="20" customHeight="1">
      <c r="A2459" s="29" t="n">
        <v>-18</v>
      </c>
      <c r="B2459" s="29" t="n">
        <v>30</v>
      </c>
      <c r="C2459" s="30" t="n">
        <v>115</v>
      </c>
      <c r="D2459" s="30" t="n">
        <v>2</v>
      </c>
      <c r="E2459" s="6" t="n">
        <v>8</v>
      </c>
      <c r="F2459" s="30" t="n">
        <v>2</v>
      </c>
      <c r="G2459" s="6" t="inlineStr">
        <is>
          <t>Oui</t>
        </is>
      </c>
      <c r="H2459" s="6" t="inlineStr">
        <is>
          <t>OFF</t>
        </is>
      </c>
      <c r="I2459" s="31" t="n">
        <v>674.4931640486259</v>
      </c>
      <c r="J2459" s="31" t="n">
        <v>5144.556481985902</v>
      </c>
      <c r="K2459" s="31" t="n">
        <v>3782.407407407407</v>
      </c>
      <c r="L2459" s="31" t="n">
        <v>150</v>
      </c>
      <c r="M2459" s="31">
        <f>I2459+J2459+K2459+L2459</f>
        <v/>
      </c>
      <c r="N2459" s="31">
        <f>M2459*'Dashboard &amp; Optimisation'!$B$18/('Dashboard &amp; Optimisation'!$B$16/3.6)</f>
        <v/>
      </c>
      <c r="O2459" s="31" t="n">
        <v>917.7503031515952</v>
      </c>
      <c r="P2459" s="32" t="n">
        <v>0.2218463755842228</v>
      </c>
      <c r="Q2459" s="33" t="n">
        <v>15.23477960428174</v>
      </c>
      <c r="R2459" s="31" t="n">
        <v>922.7747996238173</v>
      </c>
      <c r="S2459" s="31">
        <f>R2459*IF(A2459=4, 2.0, 3.0)</f>
        <v/>
      </c>
      <c r="T2459" s="30">
        <f>'Dashboard &amp; Optimisation'!$B$18*U2459</f>
        <v/>
      </c>
      <c r="U2459" s="34">
        <f>MIN(1, S2459/M2459)</f>
        <v/>
      </c>
      <c r="V2459" s="34">
        <f>N2459/(N2459+O2459)</f>
        <v/>
      </c>
      <c r="W2459" s="34">
        <f>U2459*V2459</f>
        <v/>
      </c>
      <c r="X2459" s="32">
        <f>T2459/N2459</f>
        <v/>
      </c>
      <c r="Y2459" s="35">
        <f>IF(W2459=MAXIFS(W$2:W$3601, A$2:A$3601, A2459, B$2:B$3601, B2459), "OPTIMAL", "")</f>
        <v/>
      </c>
    </row>
    <row r="2460" ht="20" customHeight="1">
      <c r="A2460" s="21" t="n">
        <v>-18</v>
      </c>
      <c r="B2460" s="21" t="n">
        <v>30</v>
      </c>
      <c r="C2460" s="22" t="n">
        <v>115</v>
      </c>
      <c r="D2460" s="22" t="n">
        <v>2</v>
      </c>
      <c r="E2460" s="23" t="n">
        <v>8</v>
      </c>
      <c r="F2460" s="22" t="n">
        <v>2</v>
      </c>
      <c r="G2460" s="23" t="inlineStr">
        <is>
          <t>Non</t>
        </is>
      </c>
      <c r="H2460" s="23" t="inlineStr">
        <is>
          <t>ON</t>
        </is>
      </c>
      <c r="I2460" s="24" t="n">
        <v>674.4931640486259</v>
      </c>
      <c r="J2460" s="24" t="n">
        <v>5144.556481985902</v>
      </c>
      <c r="K2460" s="24" t="n">
        <v>3782.407407407407</v>
      </c>
      <c r="L2460" s="24" t="n">
        <v>150</v>
      </c>
      <c r="M2460" s="24">
        <f>I2460+J2460+K2460+L2460</f>
        <v/>
      </c>
      <c r="N2460" s="24">
        <f>M2460*'Dashboard &amp; Optimisation'!$B$18/('Dashboard &amp; Optimisation'!$B$16/3.6)</f>
        <v/>
      </c>
      <c r="O2460" s="24" t="n">
        <v>917.7503031515952</v>
      </c>
      <c r="P2460" s="25" t="n">
        <v>0.04821865491504557</v>
      </c>
      <c r="Q2460" s="26" t="n">
        <v>15.23477960428174</v>
      </c>
      <c r="R2460" s="24" t="n">
        <v>4245.540344036532</v>
      </c>
      <c r="S2460" s="24">
        <f>R2460*IF(A2460=4, 2.0, 3.0)</f>
        <v/>
      </c>
      <c r="T2460" s="22">
        <f>'Dashboard &amp; Optimisation'!$B$18*U2460</f>
        <v/>
      </c>
      <c r="U2460" s="27">
        <f>MIN(1, S2460/M2460)</f>
        <v/>
      </c>
      <c r="V2460" s="27">
        <f>N2460/(N2460+O2460)</f>
        <v/>
      </c>
      <c r="W2460" s="27">
        <f>U2460*V2460</f>
        <v/>
      </c>
      <c r="X2460" s="25">
        <f>T2460/N2460</f>
        <v/>
      </c>
      <c r="Y2460" s="28">
        <f>IF(W2460=MAXIFS(W$2:W$3601, A$2:A$3601, A2460, B$2:B$3601, B2460), "OPTIMAL", "")</f>
        <v/>
      </c>
    </row>
    <row r="2461" ht="20" customHeight="1">
      <c r="A2461" s="29" t="n">
        <v>-18</v>
      </c>
      <c r="B2461" s="29" t="n">
        <v>30</v>
      </c>
      <c r="C2461" s="30" t="n">
        <v>115</v>
      </c>
      <c r="D2461" s="30" t="n">
        <v>2</v>
      </c>
      <c r="E2461" s="6" t="n">
        <v>8</v>
      </c>
      <c r="F2461" s="30" t="n">
        <v>2</v>
      </c>
      <c r="G2461" s="6" t="inlineStr">
        <is>
          <t>Non</t>
        </is>
      </c>
      <c r="H2461" s="6" t="inlineStr">
        <is>
          <t>OFF</t>
        </is>
      </c>
      <c r="I2461" s="31" t="n">
        <v>674.4931640486259</v>
      </c>
      <c r="J2461" s="31" t="n">
        <v>5144.556481985902</v>
      </c>
      <c r="K2461" s="31" t="n">
        <v>3782.407407407407</v>
      </c>
      <c r="L2461" s="31" t="n">
        <v>150</v>
      </c>
      <c r="M2461" s="31">
        <f>I2461+J2461+K2461+L2461</f>
        <v/>
      </c>
      <c r="N2461" s="31">
        <f>M2461*'Dashboard &amp; Optimisation'!$B$18/('Dashboard &amp; Optimisation'!$B$16/3.6)</f>
        <v/>
      </c>
      <c r="O2461" s="31" t="n">
        <v>917.7503031515952</v>
      </c>
      <c r="P2461" s="32" t="n">
        <v>0.2190784635304507</v>
      </c>
      <c r="Q2461" s="33" t="n">
        <v>15.23477960428174</v>
      </c>
      <c r="R2461" s="31" t="n">
        <v>934.4334512759953</v>
      </c>
      <c r="S2461" s="31">
        <f>R2461*IF(A2461=4, 2.0, 3.0)</f>
        <v/>
      </c>
      <c r="T2461" s="30">
        <f>'Dashboard &amp; Optimisation'!$B$18*U2461</f>
        <v/>
      </c>
      <c r="U2461" s="34">
        <f>MIN(1, S2461/M2461)</f>
        <v/>
      </c>
      <c r="V2461" s="34">
        <f>N2461/(N2461+O2461)</f>
        <v/>
      </c>
      <c r="W2461" s="34">
        <f>U2461*V2461</f>
        <v/>
      </c>
      <c r="X2461" s="32">
        <f>T2461/N2461</f>
        <v/>
      </c>
      <c r="Y2461" s="35">
        <f>IF(W2461=MAXIFS(W$2:W$3601, A$2:A$3601, A2461, B$2:B$3601, B2461), "OPTIMAL", "")</f>
        <v/>
      </c>
    </row>
    <row r="2462" ht="20" customHeight="1">
      <c r="A2462" s="21" t="n">
        <v>-18</v>
      </c>
      <c r="B2462" s="21" t="n">
        <v>30</v>
      </c>
      <c r="C2462" s="22" t="n">
        <v>115</v>
      </c>
      <c r="D2462" s="22" t="n">
        <v>3</v>
      </c>
      <c r="E2462" s="23" t="n">
        <v>0</v>
      </c>
      <c r="F2462" s="22" t="n">
        <v>0</v>
      </c>
      <c r="G2462" s="23" t="inlineStr">
        <is>
          <t>Oui</t>
        </is>
      </c>
      <c r="H2462" s="23" t="inlineStr">
        <is>
          <t>ON</t>
        </is>
      </c>
      <c r="I2462" s="24" t="n">
        <v>674.4931640486259</v>
      </c>
      <c r="J2462" s="24" t="n">
        <v>5144.556481985902</v>
      </c>
      <c r="K2462" s="24" t="n">
        <v>3782.407407407407</v>
      </c>
      <c r="L2462" s="24" t="n">
        <v>150</v>
      </c>
      <c r="M2462" s="24">
        <f>I2462+J2462+K2462+L2462</f>
        <v/>
      </c>
      <c r="N2462" s="24">
        <f>M2462*'Dashboard &amp; Optimisation'!$B$18/('Dashboard &amp; Optimisation'!$B$16/3.6)</f>
        <v/>
      </c>
      <c r="O2462" s="24" t="n">
        <v>560.635515616612</v>
      </c>
      <c r="P2462" s="25" t="n">
        <v>0.4698946720919304</v>
      </c>
      <c r="Q2462" s="26" t="n">
        <v>0.2</v>
      </c>
      <c r="R2462" s="24" t="n">
        <v>418.6269382212511</v>
      </c>
      <c r="S2462" s="24">
        <f>R2462*IF(A2462=4, 2.0, 3.0)</f>
        <v/>
      </c>
      <c r="T2462" s="22">
        <f>'Dashboard &amp; Optimisation'!$B$18*U2462</f>
        <v/>
      </c>
      <c r="U2462" s="27">
        <f>MIN(1, S2462/M2462)</f>
        <v/>
      </c>
      <c r="V2462" s="27">
        <f>N2462/(N2462+O2462)</f>
        <v/>
      </c>
      <c r="W2462" s="27">
        <f>U2462*V2462</f>
        <v/>
      </c>
      <c r="X2462" s="25">
        <f>T2462/N2462</f>
        <v/>
      </c>
      <c r="Y2462" s="28">
        <f>IF(W2462=MAXIFS(W$2:W$3601, A$2:A$3601, A2462, B$2:B$3601, B2462), "OPTIMAL", "")</f>
        <v/>
      </c>
    </row>
    <row r="2463" ht="20" customHeight="1">
      <c r="A2463" s="29" t="n">
        <v>-18</v>
      </c>
      <c r="B2463" s="29" t="n">
        <v>30</v>
      </c>
      <c r="C2463" s="30" t="n">
        <v>115</v>
      </c>
      <c r="D2463" s="30" t="n">
        <v>3</v>
      </c>
      <c r="E2463" s="6" t="n">
        <v>0</v>
      </c>
      <c r="F2463" s="30" t="n">
        <v>0</v>
      </c>
      <c r="G2463" s="6" t="inlineStr">
        <is>
          <t>Oui</t>
        </is>
      </c>
      <c r="H2463" s="6" t="inlineStr">
        <is>
          <t>OFF</t>
        </is>
      </c>
      <c r="I2463" s="31" t="n">
        <v>674.4931640486259</v>
      </c>
      <c r="J2463" s="31" t="n">
        <v>5144.556481985902</v>
      </c>
      <c r="K2463" s="31" t="n">
        <v>3782.407407407407</v>
      </c>
      <c r="L2463" s="31" t="n">
        <v>150</v>
      </c>
      <c r="M2463" s="31">
        <f>I2463+J2463+K2463+L2463</f>
        <v/>
      </c>
      <c r="N2463" s="31">
        <f>M2463*'Dashboard &amp; Optimisation'!$B$18/('Dashboard &amp; Optimisation'!$B$16/3.6)</f>
        <v/>
      </c>
      <c r="O2463" s="31" t="n">
        <v>560.635515616612</v>
      </c>
      <c r="P2463" s="32" t="n">
        <v>0.7466858774691396</v>
      </c>
      <c r="Q2463" s="33" t="n">
        <v>0.2</v>
      </c>
      <c r="R2463" s="31" t="n">
        <v>263.4448752815117</v>
      </c>
      <c r="S2463" s="31">
        <f>R2463*IF(A2463=4, 2.0, 3.0)</f>
        <v/>
      </c>
      <c r="T2463" s="30">
        <f>'Dashboard &amp; Optimisation'!$B$18*U2463</f>
        <v/>
      </c>
      <c r="U2463" s="34">
        <f>MIN(1, S2463/M2463)</f>
        <v/>
      </c>
      <c r="V2463" s="34">
        <f>N2463/(N2463+O2463)</f>
        <v/>
      </c>
      <c r="W2463" s="34">
        <f>U2463*V2463</f>
        <v/>
      </c>
      <c r="X2463" s="32">
        <f>T2463/N2463</f>
        <v/>
      </c>
      <c r="Y2463" s="35">
        <f>IF(W2463=MAXIFS(W$2:W$3601, A$2:A$3601, A2463, B$2:B$3601, B2463), "OPTIMAL", "")</f>
        <v/>
      </c>
    </row>
    <row r="2464" ht="20" customHeight="1">
      <c r="A2464" s="21" t="n">
        <v>-18</v>
      </c>
      <c r="B2464" s="21" t="n">
        <v>30</v>
      </c>
      <c r="C2464" s="22" t="n">
        <v>115</v>
      </c>
      <c r="D2464" s="22" t="n">
        <v>3</v>
      </c>
      <c r="E2464" s="23" t="n">
        <v>0</v>
      </c>
      <c r="F2464" s="22" t="n">
        <v>0</v>
      </c>
      <c r="G2464" s="23" t="inlineStr">
        <is>
          <t>Non</t>
        </is>
      </c>
      <c r="H2464" s="23" t="inlineStr">
        <is>
          <t>ON</t>
        </is>
      </c>
      <c r="I2464" s="24" t="n">
        <v>674.4931640486259</v>
      </c>
      <c r="J2464" s="24" t="n">
        <v>5144.556481985902</v>
      </c>
      <c r="K2464" s="24" t="n">
        <v>3782.407407407407</v>
      </c>
      <c r="L2464" s="24" t="n">
        <v>150</v>
      </c>
      <c r="M2464" s="24">
        <f>I2464+J2464+K2464+L2464</f>
        <v/>
      </c>
      <c r="N2464" s="24">
        <f>M2464*'Dashboard &amp; Optimisation'!$B$18/('Dashboard &amp; Optimisation'!$B$16/3.6)</f>
        <v/>
      </c>
      <c r="O2464" s="24" t="n">
        <v>560.635515616612</v>
      </c>
      <c r="P2464" s="25" t="n">
        <v>0.4671267600381582</v>
      </c>
      <c r="Q2464" s="26" t="n">
        <v>0.2</v>
      </c>
      <c r="R2464" s="24" t="n">
        <v>421.1074695190977</v>
      </c>
      <c r="S2464" s="24">
        <f>R2464*IF(A2464=4, 2.0, 3.0)</f>
        <v/>
      </c>
      <c r="T2464" s="22">
        <f>'Dashboard &amp; Optimisation'!$B$18*U2464</f>
        <v/>
      </c>
      <c r="U2464" s="27">
        <f>MIN(1, S2464/M2464)</f>
        <v/>
      </c>
      <c r="V2464" s="27">
        <f>N2464/(N2464+O2464)</f>
        <v/>
      </c>
      <c r="W2464" s="27">
        <f>U2464*V2464</f>
        <v/>
      </c>
      <c r="X2464" s="25">
        <f>T2464/N2464</f>
        <v/>
      </c>
      <c r="Y2464" s="28">
        <f>IF(W2464=MAXIFS(W$2:W$3601, A$2:A$3601, A2464, B$2:B$3601, B2464), "OPTIMAL", "")</f>
        <v/>
      </c>
    </row>
    <row r="2465" ht="20" customHeight="1">
      <c r="A2465" s="29" t="n">
        <v>-18</v>
      </c>
      <c r="B2465" s="29" t="n">
        <v>30</v>
      </c>
      <c r="C2465" s="30" t="n">
        <v>115</v>
      </c>
      <c r="D2465" s="30" t="n">
        <v>3</v>
      </c>
      <c r="E2465" s="6" t="n">
        <v>0</v>
      </c>
      <c r="F2465" s="30" t="n">
        <v>0</v>
      </c>
      <c r="G2465" s="6" t="inlineStr">
        <is>
          <t>Non</t>
        </is>
      </c>
      <c r="H2465" s="6" t="inlineStr">
        <is>
          <t>OFF</t>
        </is>
      </c>
      <c r="I2465" s="31" t="n">
        <v>674.4931640486259</v>
      </c>
      <c r="J2465" s="31" t="n">
        <v>5144.556481985902</v>
      </c>
      <c r="K2465" s="31" t="n">
        <v>3782.407407407407</v>
      </c>
      <c r="L2465" s="31" t="n">
        <v>150</v>
      </c>
      <c r="M2465" s="31">
        <f>I2465+J2465+K2465+L2465</f>
        <v/>
      </c>
      <c r="N2465" s="31">
        <f>M2465*'Dashboard &amp; Optimisation'!$B$18/('Dashboard &amp; Optimisation'!$B$16/3.6)</f>
        <v/>
      </c>
      <c r="O2465" s="31" t="n">
        <v>560.635515616612</v>
      </c>
      <c r="P2465" s="32" t="n">
        <v>0.7439179654153676</v>
      </c>
      <c r="Q2465" s="33" t="n">
        <v>0.2</v>
      </c>
      <c r="R2465" s="31" t="n">
        <v>264.425080465008</v>
      </c>
      <c r="S2465" s="31">
        <f>R2465*IF(A2465=4, 2.0, 3.0)</f>
        <v/>
      </c>
      <c r="T2465" s="30">
        <f>'Dashboard &amp; Optimisation'!$B$18*U2465</f>
        <v/>
      </c>
      <c r="U2465" s="34">
        <f>MIN(1, S2465/M2465)</f>
        <v/>
      </c>
      <c r="V2465" s="34">
        <f>N2465/(N2465+O2465)</f>
        <v/>
      </c>
      <c r="W2465" s="34">
        <f>U2465*V2465</f>
        <v/>
      </c>
      <c r="X2465" s="32">
        <f>T2465/N2465</f>
        <v/>
      </c>
      <c r="Y2465" s="35">
        <f>IF(W2465=MAXIFS(W$2:W$3601, A$2:A$3601, A2465, B$2:B$3601, B2465), "OPTIMAL", "")</f>
        <v/>
      </c>
    </row>
    <row r="2466" ht="20" customHeight="1">
      <c r="A2466" s="21" t="n">
        <v>-18</v>
      </c>
      <c r="B2466" s="21" t="n">
        <v>30</v>
      </c>
      <c r="C2466" s="22" t="n">
        <v>115</v>
      </c>
      <c r="D2466" s="22" t="n">
        <v>3</v>
      </c>
      <c r="E2466" s="23" t="n">
        <v>4</v>
      </c>
      <c r="F2466" s="22" t="n">
        <v>1.5</v>
      </c>
      <c r="G2466" s="23" t="inlineStr">
        <is>
          <t>Oui</t>
        </is>
      </c>
      <c r="H2466" s="23" t="inlineStr">
        <is>
          <t>ON</t>
        </is>
      </c>
      <c r="I2466" s="24" t="n">
        <v>674.4931640486259</v>
      </c>
      <c r="J2466" s="24" t="n">
        <v>5144.556481985902</v>
      </c>
      <c r="K2466" s="24" t="n">
        <v>3782.407407407407</v>
      </c>
      <c r="L2466" s="24" t="n">
        <v>150</v>
      </c>
      <c r="M2466" s="24">
        <f>I2466+J2466+K2466+L2466</f>
        <v/>
      </c>
      <c r="N2466" s="24">
        <f>M2466*'Dashboard &amp; Optimisation'!$B$18/('Dashboard &amp; Optimisation'!$B$16/3.6)</f>
        <v/>
      </c>
      <c r="O2466" s="24" t="n">
        <v>768.9335614663347</v>
      </c>
      <c r="P2466" s="25" t="n">
        <v>0.06905768177243103</v>
      </c>
      <c r="Q2466" s="26" t="n">
        <v>5.941492669983736</v>
      </c>
      <c r="R2466" s="24" t="n">
        <v>2930.656418722057</v>
      </c>
      <c r="S2466" s="24">
        <f>R2466*IF(A2466=4, 2.0, 3.0)</f>
        <v/>
      </c>
      <c r="T2466" s="22">
        <f>'Dashboard &amp; Optimisation'!$B$18*U2466</f>
        <v/>
      </c>
      <c r="U2466" s="27">
        <f>MIN(1, S2466/M2466)</f>
        <v/>
      </c>
      <c r="V2466" s="27">
        <f>N2466/(N2466+O2466)</f>
        <v/>
      </c>
      <c r="W2466" s="27">
        <f>U2466*V2466</f>
        <v/>
      </c>
      <c r="X2466" s="25">
        <f>T2466/N2466</f>
        <v/>
      </c>
      <c r="Y2466" s="28">
        <f>IF(W2466=MAXIFS(W$2:W$3601, A$2:A$3601, A2466, B$2:B$3601, B2466), "OPTIMAL", "")</f>
        <v/>
      </c>
    </row>
    <row r="2467" ht="20" customHeight="1">
      <c r="A2467" s="29" t="n">
        <v>-18</v>
      </c>
      <c r="B2467" s="29" t="n">
        <v>30</v>
      </c>
      <c r="C2467" s="30" t="n">
        <v>115</v>
      </c>
      <c r="D2467" s="30" t="n">
        <v>3</v>
      </c>
      <c r="E2467" s="6" t="n">
        <v>4</v>
      </c>
      <c r="F2467" s="30" t="n">
        <v>1.5</v>
      </c>
      <c r="G2467" s="6" t="inlineStr">
        <is>
          <t>Oui</t>
        </is>
      </c>
      <c r="H2467" s="6" t="inlineStr">
        <is>
          <t>OFF</t>
        </is>
      </c>
      <c r="I2467" s="31" t="n">
        <v>674.4931640486259</v>
      </c>
      <c r="J2467" s="31" t="n">
        <v>5144.556481985902</v>
      </c>
      <c r="K2467" s="31" t="n">
        <v>3782.407407407407</v>
      </c>
      <c r="L2467" s="31" t="n">
        <v>150</v>
      </c>
      <c r="M2467" s="31">
        <f>I2467+J2467+K2467+L2467</f>
        <v/>
      </c>
      <c r="N2467" s="31">
        <f>M2467*'Dashboard &amp; Optimisation'!$B$18/('Dashboard &amp; Optimisation'!$B$16/3.6)</f>
        <v/>
      </c>
      <c r="O2467" s="31" t="n">
        <v>768.9335614663347</v>
      </c>
      <c r="P2467" s="32" t="n">
        <v>0.2794623219147311</v>
      </c>
      <c r="Q2467" s="33" t="n">
        <v>5.941492669983736</v>
      </c>
      <c r="R2467" s="31" t="n">
        <v>724.1918587157207</v>
      </c>
      <c r="S2467" s="31">
        <f>R2467*IF(A2467=4, 2.0, 3.0)</f>
        <v/>
      </c>
      <c r="T2467" s="30">
        <f>'Dashboard &amp; Optimisation'!$B$18*U2467</f>
        <v/>
      </c>
      <c r="U2467" s="34">
        <f>MIN(1, S2467/M2467)</f>
        <v/>
      </c>
      <c r="V2467" s="34">
        <f>N2467/(N2467+O2467)</f>
        <v/>
      </c>
      <c r="W2467" s="34">
        <f>U2467*V2467</f>
        <v/>
      </c>
      <c r="X2467" s="32">
        <f>T2467/N2467</f>
        <v/>
      </c>
      <c r="Y2467" s="35">
        <f>IF(W2467=MAXIFS(W$2:W$3601, A$2:A$3601, A2467, B$2:B$3601, B2467), "OPTIMAL", "")</f>
        <v/>
      </c>
    </row>
    <row r="2468" ht="20" customHeight="1">
      <c r="A2468" s="21" t="n">
        <v>-18</v>
      </c>
      <c r="B2468" s="21" t="n">
        <v>30</v>
      </c>
      <c r="C2468" s="22" t="n">
        <v>115</v>
      </c>
      <c r="D2468" s="22" t="n">
        <v>3</v>
      </c>
      <c r="E2468" s="23" t="n">
        <v>4</v>
      </c>
      <c r="F2468" s="22" t="n">
        <v>1.5</v>
      </c>
      <c r="G2468" s="23" t="inlineStr">
        <is>
          <t>Non</t>
        </is>
      </c>
      <c r="H2468" s="23" t="inlineStr">
        <is>
          <t>ON</t>
        </is>
      </c>
      <c r="I2468" s="24" t="n">
        <v>674.4931640486259</v>
      </c>
      <c r="J2468" s="24" t="n">
        <v>5144.556481985902</v>
      </c>
      <c r="K2468" s="24" t="n">
        <v>3782.407407407407</v>
      </c>
      <c r="L2468" s="24" t="n">
        <v>150</v>
      </c>
      <c r="M2468" s="24">
        <f>I2468+J2468+K2468+L2468</f>
        <v/>
      </c>
      <c r="N2468" s="24">
        <f>M2468*'Dashboard &amp; Optimisation'!$B$18/('Dashboard &amp; Optimisation'!$B$16/3.6)</f>
        <v/>
      </c>
      <c r="O2468" s="24" t="n">
        <v>768.9335614663347</v>
      </c>
      <c r="P2468" s="25" t="n">
        <v>0.06628976971865894</v>
      </c>
      <c r="Q2468" s="26" t="n">
        <v>5.941492669983736</v>
      </c>
      <c r="R2468" s="24" t="n">
        <v>3053.025213504008</v>
      </c>
      <c r="S2468" s="24">
        <f>R2468*IF(A2468=4, 2.0, 3.0)</f>
        <v/>
      </c>
      <c r="T2468" s="22">
        <f>'Dashboard &amp; Optimisation'!$B$18*U2468</f>
        <v/>
      </c>
      <c r="U2468" s="27">
        <f>MIN(1, S2468/M2468)</f>
        <v/>
      </c>
      <c r="V2468" s="27">
        <f>N2468/(N2468+O2468)</f>
        <v/>
      </c>
      <c r="W2468" s="27">
        <f>U2468*V2468</f>
        <v/>
      </c>
      <c r="X2468" s="25">
        <f>T2468/N2468</f>
        <v/>
      </c>
      <c r="Y2468" s="28">
        <f>IF(W2468=MAXIFS(W$2:W$3601, A$2:A$3601, A2468, B$2:B$3601, B2468), "OPTIMAL", "")</f>
        <v/>
      </c>
    </row>
    <row r="2469" ht="20" customHeight="1">
      <c r="A2469" s="29" t="n">
        <v>-18</v>
      </c>
      <c r="B2469" s="29" t="n">
        <v>30</v>
      </c>
      <c r="C2469" s="30" t="n">
        <v>115</v>
      </c>
      <c r="D2469" s="30" t="n">
        <v>3</v>
      </c>
      <c r="E2469" s="6" t="n">
        <v>4</v>
      </c>
      <c r="F2469" s="30" t="n">
        <v>1.5</v>
      </c>
      <c r="G2469" s="6" t="inlineStr">
        <is>
          <t>Non</t>
        </is>
      </c>
      <c r="H2469" s="6" t="inlineStr">
        <is>
          <t>OFF</t>
        </is>
      </c>
      <c r="I2469" s="31" t="n">
        <v>674.4931640486259</v>
      </c>
      <c r="J2469" s="31" t="n">
        <v>5144.556481985902</v>
      </c>
      <c r="K2469" s="31" t="n">
        <v>3782.407407407407</v>
      </c>
      <c r="L2469" s="31" t="n">
        <v>150</v>
      </c>
      <c r="M2469" s="31">
        <f>I2469+J2469+K2469+L2469</f>
        <v/>
      </c>
      <c r="N2469" s="31">
        <f>M2469*'Dashboard &amp; Optimisation'!$B$18/('Dashboard &amp; Optimisation'!$B$16/3.6)</f>
        <v/>
      </c>
      <c r="O2469" s="31" t="n">
        <v>768.9335614663347</v>
      </c>
      <c r="P2469" s="32" t="n">
        <v>0.276694409860959</v>
      </c>
      <c r="Q2469" s="33" t="n">
        <v>5.941492669983736</v>
      </c>
      <c r="R2469" s="31" t="n">
        <v>731.4363107304547</v>
      </c>
      <c r="S2469" s="31">
        <f>R2469*IF(A2469=4, 2.0, 3.0)</f>
        <v/>
      </c>
      <c r="T2469" s="30">
        <f>'Dashboard &amp; Optimisation'!$B$18*U2469</f>
        <v/>
      </c>
      <c r="U2469" s="34">
        <f>MIN(1, S2469/M2469)</f>
        <v/>
      </c>
      <c r="V2469" s="34">
        <f>N2469/(N2469+O2469)</f>
        <v/>
      </c>
      <c r="W2469" s="34">
        <f>U2469*V2469</f>
        <v/>
      </c>
      <c r="X2469" s="32">
        <f>T2469/N2469</f>
        <v/>
      </c>
      <c r="Y2469" s="35">
        <f>IF(W2469=MAXIFS(W$2:W$3601, A$2:A$3601, A2469, B$2:B$3601, B2469), "OPTIMAL", "")</f>
        <v/>
      </c>
    </row>
    <row r="2470" ht="20" customHeight="1">
      <c r="A2470" s="21" t="n">
        <v>-18</v>
      </c>
      <c r="B2470" s="21" t="n">
        <v>30</v>
      </c>
      <c r="C2470" s="22" t="n">
        <v>115</v>
      </c>
      <c r="D2470" s="22" t="n">
        <v>3</v>
      </c>
      <c r="E2470" s="23" t="n">
        <v>4</v>
      </c>
      <c r="F2470" s="22" t="n">
        <v>2</v>
      </c>
      <c r="G2470" s="23" t="inlineStr">
        <is>
          <t>Oui</t>
        </is>
      </c>
      <c r="H2470" s="23" t="inlineStr">
        <is>
          <t>ON</t>
        </is>
      </c>
      <c r="I2470" s="24" t="n">
        <v>674.4931640486259</v>
      </c>
      <c r="J2470" s="24" t="n">
        <v>5144.556481985902</v>
      </c>
      <c r="K2470" s="24" t="n">
        <v>3782.407407407407</v>
      </c>
      <c r="L2470" s="24" t="n">
        <v>150</v>
      </c>
      <c r="M2470" s="24">
        <f>I2470+J2470+K2470+L2470</f>
        <v/>
      </c>
      <c r="N2470" s="24">
        <f>M2470*'Dashboard &amp; Optimisation'!$B$18/('Dashboard &amp; Optimisation'!$B$16/3.6)</f>
        <v/>
      </c>
      <c r="O2470" s="24" t="n">
        <v>841.0623834062322</v>
      </c>
      <c r="P2470" s="25" t="n">
        <v>0.06595572049116703</v>
      </c>
      <c r="Q2470" s="26" t="n">
        <v>7.855323559978315</v>
      </c>
      <c r="R2470" s="24" t="n">
        <v>3098.276131857047</v>
      </c>
      <c r="S2470" s="24">
        <f>R2470*IF(A2470=4, 2.0, 3.0)</f>
        <v/>
      </c>
      <c r="T2470" s="22">
        <f>'Dashboard &amp; Optimisation'!$B$18*U2470</f>
        <v/>
      </c>
      <c r="U2470" s="27">
        <f>MIN(1, S2470/M2470)</f>
        <v/>
      </c>
      <c r="V2470" s="27">
        <f>N2470/(N2470+O2470)</f>
        <v/>
      </c>
      <c r="W2470" s="27">
        <f>U2470*V2470</f>
        <v/>
      </c>
      <c r="X2470" s="25">
        <f>T2470/N2470</f>
        <v/>
      </c>
      <c r="Y2470" s="28">
        <f>IF(W2470=MAXIFS(W$2:W$3601, A$2:A$3601, A2470, B$2:B$3601, B2470), "OPTIMAL", "")</f>
        <v/>
      </c>
    </row>
    <row r="2471" ht="20" customHeight="1">
      <c r="A2471" s="29" t="n">
        <v>-18</v>
      </c>
      <c r="B2471" s="29" t="n">
        <v>30</v>
      </c>
      <c r="C2471" s="30" t="n">
        <v>115</v>
      </c>
      <c r="D2471" s="30" t="n">
        <v>3</v>
      </c>
      <c r="E2471" s="6" t="n">
        <v>4</v>
      </c>
      <c r="F2471" s="30" t="n">
        <v>2</v>
      </c>
      <c r="G2471" s="6" t="inlineStr">
        <is>
          <t>Oui</t>
        </is>
      </c>
      <c r="H2471" s="6" t="inlineStr">
        <is>
          <t>OFF</t>
        </is>
      </c>
      <c r="I2471" s="31" t="n">
        <v>674.4931640486259</v>
      </c>
      <c r="J2471" s="31" t="n">
        <v>5144.556481985902</v>
      </c>
      <c r="K2471" s="31" t="n">
        <v>3782.407407407407</v>
      </c>
      <c r="L2471" s="31" t="n">
        <v>150</v>
      </c>
      <c r="M2471" s="31">
        <f>I2471+J2471+K2471+L2471</f>
        <v/>
      </c>
      <c r="N2471" s="31">
        <f>M2471*'Dashboard &amp; Optimisation'!$B$18/('Dashboard &amp; Optimisation'!$B$16/3.6)</f>
        <v/>
      </c>
      <c r="O2471" s="31" t="n">
        <v>841.0623834062322</v>
      </c>
      <c r="P2471" s="32" t="n">
        <v>0.2772478604823886</v>
      </c>
      <c r="Q2471" s="33" t="n">
        <v>7.855323559978315</v>
      </c>
      <c r="R2471" s="31" t="n">
        <v>737.062620435256</v>
      </c>
      <c r="S2471" s="31">
        <f>R2471*IF(A2471=4, 2.0, 3.0)</f>
        <v/>
      </c>
      <c r="T2471" s="30">
        <f>'Dashboard &amp; Optimisation'!$B$18*U2471</f>
        <v/>
      </c>
      <c r="U2471" s="34">
        <f>MIN(1, S2471/M2471)</f>
        <v/>
      </c>
      <c r="V2471" s="34">
        <f>N2471/(N2471+O2471)</f>
        <v/>
      </c>
      <c r="W2471" s="34">
        <f>U2471*V2471</f>
        <v/>
      </c>
      <c r="X2471" s="32">
        <f>T2471/N2471</f>
        <v/>
      </c>
      <c r="Y2471" s="35">
        <f>IF(W2471=MAXIFS(W$2:W$3601, A$2:A$3601, A2471, B$2:B$3601, B2471), "OPTIMAL", "")</f>
        <v/>
      </c>
    </row>
    <row r="2472" ht="20" customHeight="1">
      <c r="A2472" s="21" t="n">
        <v>-18</v>
      </c>
      <c r="B2472" s="21" t="n">
        <v>30</v>
      </c>
      <c r="C2472" s="22" t="n">
        <v>115</v>
      </c>
      <c r="D2472" s="22" t="n">
        <v>3</v>
      </c>
      <c r="E2472" s="23" t="n">
        <v>4</v>
      </c>
      <c r="F2472" s="22" t="n">
        <v>2</v>
      </c>
      <c r="G2472" s="23" t="inlineStr">
        <is>
          <t>Non</t>
        </is>
      </c>
      <c r="H2472" s="23" t="inlineStr">
        <is>
          <t>ON</t>
        </is>
      </c>
      <c r="I2472" s="24" t="n">
        <v>674.4931640486259</v>
      </c>
      <c r="J2472" s="24" t="n">
        <v>5144.556481985902</v>
      </c>
      <c r="K2472" s="24" t="n">
        <v>3782.407407407407</v>
      </c>
      <c r="L2472" s="24" t="n">
        <v>150</v>
      </c>
      <c r="M2472" s="24">
        <f>I2472+J2472+K2472+L2472</f>
        <v/>
      </c>
      <c r="N2472" s="24">
        <f>M2472*'Dashboard &amp; Optimisation'!$B$18/('Dashboard &amp; Optimisation'!$B$16/3.6)</f>
        <v/>
      </c>
      <c r="O2472" s="24" t="n">
        <v>841.0623834062322</v>
      </c>
      <c r="P2472" s="25" t="n">
        <v>0.06318780843739494</v>
      </c>
      <c r="Q2472" s="26" t="n">
        <v>7.855323559978315</v>
      </c>
      <c r="R2472" s="24" t="n">
        <v>3233.99465198547</v>
      </c>
      <c r="S2472" s="24">
        <f>R2472*IF(A2472=4, 2.0, 3.0)</f>
        <v/>
      </c>
      <c r="T2472" s="22">
        <f>'Dashboard &amp; Optimisation'!$B$18*U2472</f>
        <v/>
      </c>
      <c r="U2472" s="27">
        <f>MIN(1, S2472/M2472)</f>
        <v/>
      </c>
      <c r="V2472" s="27">
        <f>N2472/(N2472+O2472)</f>
        <v/>
      </c>
      <c r="W2472" s="27">
        <f>U2472*V2472</f>
        <v/>
      </c>
      <c r="X2472" s="25">
        <f>T2472/N2472</f>
        <v/>
      </c>
      <c r="Y2472" s="28">
        <f>IF(W2472=MAXIFS(W$2:W$3601, A$2:A$3601, A2472, B$2:B$3601, B2472), "OPTIMAL", "")</f>
        <v/>
      </c>
    </row>
    <row r="2473" ht="20" customHeight="1">
      <c r="A2473" s="29" t="n">
        <v>-18</v>
      </c>
      <c r="B2473" s="29" t="n">
        <v>30</v>
      </c>
      <c r="C2473" s="30" t="n">
        <v>115</v>
      </c>
      <c r="D2473" s="30" t="n">
        <v>3</v>
      </c>
      <c r="E2473" s="6" t="n">
        <v>4</v>
      </c>
      <c r="F2473" s="30" t="n">
        <v>2</v>
      </c>
      <c r="G2473" s="6" t="inlineStr">
        <is>
          <t>Non</t>
        </is>
      </c>
      <c r="H2473" s="6" t="inlineStr">
        <is>
          <t>OFF</t>
        </is>
      </c>
      <c r="I2473" s="31" t="n">
        <v>674.4931640486259</v>
      </c>
      <c r="J2473" s="31" t="n">
        <v>5144.556481985902</v>
      </c>
      <c r="K2473" s="31" t="n">
        <v>3782.407407407407</v>
      </c>
      <c r="L2473" s="31" t="n">
        <v>150</v>
      </c>
      <c r="M2473" s="31">
        <f>I2473+J2473+K2473+L2473</f>
        <v/>
      </c>
      <c r="N2473" s="31">
        <f>M2473*'Dashboard &amp; Optimisation'!$B$18/('Dashboard &amp; Optimisation'!$B$16/3.6)</f>
        <v/>
      </c>
      <c r="O2473" s="31" t="n">
        <v>841.0623834062322</v>
      </c>
      <c r="P2473" s="32" t="n">
        <v>0.2744799484286165</v>
      </c>
      <c r="Q2473" s="33" t="n">
        <v>7.855323559978315</v>
      </c>
      <c r="R2473" s="31" t="n">
        <v>744.4953109584333</v>
      </c>
      <c r="S2473" s="31">
        <f>R2473*IF(A2473=4, 2.0, 3.0)</f>
        <v/>
      </c>
      <c r="T2473" s="30">
        <f>'Dashboard &amp; Optimisation'!$B$18*U2473</f>
        <v/>
      </c>
      <c r="U2473" s="34">
        <f>MIN(1, S2473/M2473)</f>
        <v/>
      </c>
      <c r="V2473" s="34">
        <f>N2473/(N2473+O2473)</f>
        <v/>
      </c>
      <c r="W2473" s="34">
        <f>U2473*V2473</f>
        <v/>
      </c>
      <c r="X2473" s="32">
        <f>T2473/N2473</f>
        <v/>
      </c>
      <c r="Y2473" s="35">
        <f>IF(W2473=MAXIFS(W$2:W$3601, A$2:A$3601, A2473, B$2:B$3601, B2473), "OPTIMAL", "")</f>
        <v/>
      </c>
    </row>
    <row r="2474" ht="20" customHeight="1">
      <c r="A2474" s="21" t="n">
        <v>-18</v>
      </c>
      <c r="B2474" s="21" t="n">
        <v>30</v>
      </c>
      <c r="C2474" s="22" t="n">
        <v>115</v>
      </c>
      <c r="D2474" s="22" t="n">
        <v>3</v>
      </c>
      <c r="E2474" s="23" t="n">
        <v>8</v>
      </c>
      <c r="F2474" s="22" t="n">
        <v>1.5</v>
      </c>
      <c r="G2474" s="23" t="inlineStr">
        <is>
          <t>Oui</t>
        </is>
      </c>
      <c r="H2474" s="23" t="inlineStr">
        <is>
          <t>ON</t>
        </is>
      </c>
      <c r="I2474" s="24" t="n">
        <v>674.4931640486259</v>
      </c>
      <c r="J2474" s="24" t="n">
        <v>5144.556481985902</v>
      </c>
      <c r="K2474" s="24" t="n">
        <v>3782.407407407407</v>
      </c>
      <c r="L2474" s="24" t="n">
        <v>150</v>
      </c>
      <c r="M2474" s="24">
        <f>I2474+J2474+K2474+L2474</f>
        <v/>
      </c>
      <c r="N2474" s="24">
        <f>M2474*'Dashboard &amp; Optimisation'!$B$18/('Dashboard &amp; Optimisation'!$B$16/3.6)</f>
        <v/>
      </c>
      <c r="O2474" s="24" t="n">
        <v>989.6044623957956</v>
      </c>
      <c r="P2474" s="25" t="n">
        <v>0.05237734442636455</v>
      </c>
      <c r="Q2474" s="26" t="n">
        <v>11.68298533996747</v>
      </c>
      <c r="R2474" s="24" t="n">
        <v>3978.726522911984</v>
      </c>
      <c r="S2474" s="24">
        <f>R2474*IF(A2474=4, 2.0, 3.0)</f>
        <v/>
      </c>
      <c r="T2474" s="22">
        <f>'Dashboard &amp; Optimisation'!$B$18*U2474</f>
        <v/>
      </c>
      <c r="U2474" s="27">
        <f>MIN(1, S2474/M2474)</f>
        <v/>
      </c>
      <c r="V2474" s="27">
        <f>N2474/(N2474+O2474)</f>
        <v/>
      </c>
      <c r="W2474" s="27">
        <f>U2474*V2474</f>
        <v/>
      </c>
      <c r="X2474" s="25">
        <f>T2474/N2474</f>
        <v/>
      </c>
      <c r="Y2474" s="28">
        <f>IF(W2474=MAXIFS(W$2:W$3601, A$2:A$3601, A2474, B$2:B$3601, B2474), "OPTIMAL", "")</f>
        <v/>
      </c>
    </row>
    <row r="2475" ht="20" customHeight="1">
      <c r="A2475" s="29" t="n">
        <v>-18</v>
      </c>
      <c r="B2475" s="29" t="n">
        <v>30</v>
      </c>
      <c r="C2475" s="30" t="n">
        <v>115</v>
      </c>
      <c r="D2475" s="30" t="n">
        <v>3</v>
      </c>
      <c r="E2475" s="6" t="n">
        <v>8</v>
      </c>
      <c r="F2475" s="30" t="n">
        <v>1.5</v>
      </c>
      <c r="G2475" s="6" t="inlineStr">
        <is>
          <t>Oui</t>
        </is>
      </c>
      <c r="H2475" s="6" t="inlineStr">
        <is>
          <t>OFF</t>
        </is>
      </c>
      <c r="I2475" s="31" t="n">
        <v>674.4931640486259</v>
      </c>
      <c r="J2475" s="31" t="n">
        <v>5144.556481985902</v>
      </c>
      <c r="K2475" s="31" t="n">
        <v>3782.407407407407</v>
      </c>
      <c r="L2475" s="31" t="n">
        <v>150</v>
      </c>
      <c r="M2475" s="31">
        <f>I2475+J2475+K2475+L2475</f>
        <v/>
      </c>
      <c r="N2475" s="31">
        <f>M2475*'Dashboard &amp; Optimisation'!$B$18/('Dashboard &amp; Optimisation'!$B$16/3.6)</f>
        <v/>
      </c>
      <c r="O2475" s="31" t="n">
        <v>989.6044623957956</v>
      </c>
      <c r="P2475" s="32" t="n">
        <v>0.2220791446673444</v>
      </c>
      <c r="Q2475" s="33" t="n">
        <v>11.68298533996747</v>
      </c>
      <c r="R2475" s="31" t="n">
        <v>938.3822590861965</v>
      </c>
      <c r="S2475" s="31">
        <f>R2475*IF(A2475=4, 2.0, 3.0)</f>
        <v/>
      </c>
      <c r="T2475" s="30">
        <f>'Dashboard &amp; Optimisation'!$B$18*U2475</f>
        <v/>
      </c>
      <c r="U2475" s="34">
        <f>MIN(1, S2475/M2475)</f>
        <v/>
      </c>
      <c r="V2475" s="34">
        <f>N2475/(N2475+O2475)</f>
        <v/>
      </c>
      <c r="W2475" s="34">
        <f>U2475*V2475</f>
        <v/>
      </c>
      <c r="X2475" s="32">
        <f>T2475/N2475</f>
        <v/>
      </c>
      <c r="Y2475" s="35">
        <f>IF(W2475=MAXIFS(W$2:W$3601, A$2:A$3601, A2475, B$2:B$3601, B2475), "OPTIMAL", "")</f>
        <v/>
      </c>
    </row>
    <row r="2476" ht="20" customHeight="1">
      <c r="A2476" s="21" t="n">
        <v>-18</v>
      </c>
      <c r="B2476" s="21" t="n">
        <v>30</v>
      </c>
      <c r="C2476" s="22" t="n">
        <v>115</v>
      </c>
      <c r="D2476" s="22" t="n">
        <v>3</v>
      </c>
      <c r="E2476" s="23" t="n">
        <v>8</v>
      </c>
      <c r="F2476" s="22" t="n">
        <v>1.5</v>
      </c>
      <c r="G2476" s="23" t="inlineStr">
        <is>
          <t>Non</t>
        </is>
      </c>
      <c r="H2476" s="23" t="inlineStr">
        <is>
          <t>ON</t>
        </is>
      </c>
      <c r="I2476" s="24" t="n">
        <v>674.4931640486259</v>
      </c>
      <c r="J2476" s="24" t="n">
        <v>5144.556481985902</v>
      </c>
      <c r="K2476" s="24" t="n">
        <v>3782.407407407407</v>
      </c>
      <c r="L2476" s="24" t="n">
        <v>150</v>
      </c>
      <c r="M2476" s="24">
        <f>I2476+J2476+K2476+L2476</f>
        <v/>
      </c>
      <c r="N2476" s="24">
        <f>M2476*'Dashboard &amp; Optimisation'!$B$18/('Dashboard &amp; Optimisation'!$B$16/3.6)</f>
        <v/>
      </c>
      <c r="O2476" s="24" t="n">
        <v>989.6044623957956</v>
      </c>
      <c r="P2476" s="25" t="n">
        <v>0.04960943237259246</v>
      </c>
      <c r="Q2476" s="26" t="n">
        <v>11.68298533996747</v>
      </c>
      <c r="R2476" s="24" t="n">
        <v>4200.715861929599</v>
      </c>
      <c r="S2476" s="24">
        <f>R2476*IF(A2476=4, 2.0, 3.0)</f>
        <v/>
      </c>
      <c r="T2476" s="22">
        <f>'Dashboard &amp; Optimisation'!$B$18*U2476</f>
        <v/>
      </c>
      <c r="U2476" s="27">
        <f>MIN(1, S2476/M2476)</f>
        <v/>
      </c>
      <c r="V2476" s="27">
        <f>N2476/(N2476+O2476)</f>
        <v/>
      </c>
      <c r="W2476" s="27">
        <f>U2476*V2476</f>
        <v/>
      </c>
      <c r="X2476" s="25">
        <f>T2476/N2476</f>
        <v/>
      </c>
      <c r="Y2476" s="28">
        <f>IF(W2476=MAXIFS(W$2:W$3601, A$2:A$3601, A2476, B$2:B$3601, B2476), "OPTIMAL", "")</f>
        <v/>
      </c>
    </row>
    <row r="2477" ht="20" customHeight="1">
      <c r="A2477" s="29" t="n">
        <v>-18</v>
      </c>
      <c r="B2477" s="29" t="n">
        <v>30</v>
      </c>
      <c r="C2477" s="30" t="n">
        <v>115</v>
      </c>
      <c r="D2477" s="30" t="n">
        <v>3</v>
      </c>
      <c r="E2477" s="6" t="n">
        <v>8</v>
      </c>
      <c r="F2477" s="30" t="n">
        <v>1.5</v>
      </c>
      <c r="G2477" s="6" t="inlineStr">
        <is>
          <t>Non</t>
        </is>
      </c>
      <c r="H2477" s="6" t="inlineStr">
        <is>
          <t>OFF</t>
        </is>
      </c>
      <c r="I2477" s="31" t="n">
        <v>674.4931640486259</v>
      </c>
      <c r="J2477" s="31" t="n">
        <v>5144.556481985902</v>
      </c>
      <c r="K2477" s="31" t="n">
        <v>3782.407407407407</v>
      </c>
      <c r="L2477" s="31" t="n">
        <v>150</v>
      </c>
      <c r="M2477" s="31">
        <f>I2477+J2477+K2477+L2477</f>
        <v/>
      </c>
      <c r="N2477" s="31">
        <f>M2477*'Dashboard &amp; Optimisation'!$B$18/('Dashboard &amp; Optimisation'!$B$16/3.6)</f>
        <v/>
      </c>
      <c r="O2477" s="31" t="n">
        <v>989.6044623957956</v>
      </c>
      <c r="P2477" s="32" t="n">
        <v>0.2193112326135723</v>
      </c>
      <c r="Q2477" s="33" t="n">
        <v>11.68298533996747</v>
      </c>
      <c r="R2477" s="31" t="n">
        <v>950.2255173407663</v>
      </c>
      <c r="S2477" s="31">
        <f>R2477*IF(A2477=4, 2.0, 3.0)</f>
        <v/>
      </c>
      <c r="T2477" s="30">
        <f>'Dashboard &amp; Optimisation'!$B$18*U2477</f>
        <v/>
      </c>
      <c r="U2477" s="34">
        <f>MIN(1, S2477/M2477)</f>
        <v/>
      </c>
      <c r="V2477" s="34">
        <f>N2477/(N2477+O2477)</f>
        <v/>
      </c>
      <c r="W2477" s="34">
        <f>U2477*V2477</f>
        <v/>
      </c>
      <c r="X2477" s="32">
        <f>T2477/N2477</f>
        <v/>
      </c>
      <c r="Y2477" s="35">
        <f>IF(W2477=MAXIFS(W$2:W$3601, A$2:A$3601, A2477, B$2:B$3601, B2477), "OPTIMAL", "")</f>
        <v/>
      </c>
    </row>
    <row r="2478" ht="20" customHeight="1">
      <c r="A2478" s="21" t="n">
        <v>-18</v>
      </c>
      <c r="B2478" s="21" t="n">
        <v>30</v>
      </c>
      <c r="C2478" s="22" t="n">
        <v>115</v>
      </c>
      <c r="D2478" s="22" t="n">
        <v>3</v>
      </c>
      <c r="E2478" s="23" t="n">
        <v>8</v>
      </c>
      <c r="F2478" s="22" t="n">
        <v>2</v>
      </c>
      <c r="G2478" s="23" t="inlineStr">
        <is>
          <t>Oui</t>
        </is>
      </c>
      <c r="H2478" s="23" t="inlineStr">
        <is>
          <t>ON</t>
        </is>
      </c>
      <c r="I2478" s="24" t="n">
        <v>674.4931640486259</v>
      </c>
      <c r="J2478" s="24" t="n">
        <v>5144.556481985902</v>
      </c>
      <c r="K2478" s="24" t="n">
        <v>3782.407407407407</v>
      </c>
      <c r="L2478" s="24" t="n">
        <v>150</v>
      </c>
      <c r="M2478" s="24">
        <f>I2478+J2478+K2478+L2478</f>
        <v/>
      </c>
      <c r="N2478" s="24">
        <f>M2478*'Dashboard &amp; Optimisation'!$B$18/('Dashboard &amp; Optimisation'!$B$16/3.6)</f>
        <v/>
      </c>
      <c r="O2478" s="24" t="n">
        <v>1144.147605084472</v>
      </c>
      <c r="P2478" s="25" t="n">
        <v>0.05090778119320737</v>
      </c>
      <c r="Q2478" s="26" t="n">
        <v>15.51064711995663</v>
      </c>
      <c r="R2478" s="24" t="n">
        <v>4176.270908754078</v>
      </c>
      <c r="S2478" s="24">
        <f>R2478*IF(A2478=4, 2.0, 3.0)</f>
        <v/>
      </c>
      <c r="T2478" s="22">
        <f>'Dashboard &amp; Optimisation'!$B$18*U2478</f>
        <v/>
      </c>
      <c r="U2478" s="27">
        <f>MIN(1, S2478/M2478)</f>
        <v/>
      </c>
      <c r="V2478" s="27">
        <f>N2478/(N2478+O2478)</f>
        <v/>
      </c>
      <c r="W2478" s="27">
        <f>U2478*V2478</f>
        <v/>
      </c>
      <c r="X2478" s="25">
        <f>T2478/N2478</f>
        <v/>
      </c>
      <c r="Y2478" s="28">
        <f>IF(W2478=MAXIFS(W$2:W$3601, A$2:A$3601, A2478, B$2:B$3601, B2478), "OPTIMAL", "")</f>
        <v/>
      </c>
    </row>
    <row r="2479" ht="20" customHeight="1">
      <c r="A2479" s="29" t="n">
        <v>-18</v>
      </c>
      <c r="B2479" s="29" t="n">
        <v>30</v>
      </c>
      <c r="C2479" s="30" t="n">
        <v>115</v>
      </c>
      <c r="D2479" s="30" t="n">
        <v>3</v>
      </c>
      <c r="E2479" s="6" t="n">
        <v>8</v>
      </c>
      <c r="F2479" s="30" t="n">
        <v>2</v>
      </c>
      <c r="G2479" s="6" t="inlineStr">
        <is>
          <t>Oui</t>
        </is>
      </c>
      <c r="H2479" s="6" t="inlineStr">
        <is>
          <t>OFF</t>
        </is>
      </c>
      <c r="I2479" s="31" t="n">
        <v>674.4931640486259</v>
      </c>
      <c r="J2479" s="31" t="n">
        <v>5144.556481985902</v>
      </c>
      <c r="K2479" s="31" t="n">
        <v>3782.407407407407</v>
      </c>
      <c r="L2479" s="31" t="n">
        <v>150</v>
      </c>
      <c r="M2479" s="31">
        <f>I2479+J2479+K2479+L2479</f>
        <v/>
      </c>
      <c r="N2479" s="31">
        <f>M2479*'Dashboard &amp; Optimisation'!$B$18/('Dashboard &amp; Optimisation'!$B$16/3.6)</f>
        <v/>
      </c>
      <c r="O2479" s="31" t="n">
        <v>1144.147605084472</v>
      </c>
      <c r="P2479" s="32" t="n">
        <v>0.2217675898086125</v>
      </c>
      <c r="Q2479" s="33" t="n">
        <v>15.51064711995663</v>
      </c>
      <c r="R2479" s="31" t="n">
        <v>958.6824017426969</v>
      </c>
      <c r="S2479" s="31">
        <f>R2479*IF(A2479=4, 2.0, 3.0)</f>
        <v/>
      </c>
      <c r="T2479" s="30">
        <f>'Dashboard &amp; Optimisation'!$B$18*U2479</f>
        <v/>
      </c>
      <c r="U2479" s="34">
        <f>MIN(1, S2479/M2479)</f>
        <v/>
      </c>
      <c r="V2479" s="34">
        <f>N2479/(N2479+O2479)</f>
        <v/>
      </c>
      <c r="W2479" s="34">
        <f>U2479*V2479</f>
        <v/>
      </c>
      <c r="X2479" s="32">
        <f>T2479/N2479</f>
        <v/>
      </c>
      <c r="Y2479" s="35">
        <f>IF(W2479=MAXIFS(W$2:W$3601, A$2:A$3601, A2479, B$2:B$3601, B2479), "OPTIMAL", "")</f>
        <v/>
      </c>
    </row>
    <row r="2480" ht="20" customHeight="1">
      <c r="A2480" s="21" t="n">
        <v>-18</v>
      </c>
      <c r="B2480" s="21" t="n">
        <v>30</v>
      </c>
      <c r="C2480" s="22" t="n">
        <v>115</v>
      </c>
      <c r="D2480" s="22" t="n">
        <v>3</v>
      </c>
      <c r="E2480" s="23" t="n">
        <v>8</v>
      </c>
      <c r="F2480" s="22" t="n">
        <v>2</v>
      </c>
      <c r="G2480" s="23" t="inlineStr">
        <is>
          <t>Non</t>
        </is>
      </c>
      <c r="H2480" s="23" t="inlineStr">
        <is>
          <t>ON</t>
        </is>
      </c>
      <c r="I2480" s="24" t="n">
        <v>674.4931640486259</v>
      </c>
      <c r="J2480" s="24" t="n">
        <v>5144.556481985902</v>
      </c>
      <c r="K2480" s="24" t="n">
        <v>3782.407407407407</v>
      </c>
      <c r="L2480" s="24" t="n">
        <v>150</v>
      </c>
      <c r="M2480" s="24">
        <f>I2480+J2480+K2480+L2480</f>
        <v/>
      </c>
      <c r="N2480" s="24">
        <f>M2480*'Dashboard &amp; Optimisation'!$B$18/('Dashboard &amp; Optimisation'!$B$16/3.6)</f>
        <v/>
      </c>
      <c r="O2480" s="24" t="n">
        <v>1144.147605084472</v>
      </c>
      <c r="P2480" s="25" t="n">
        <v>0.04813986913943527</v>
      </c>
      <c r="Q2480" s="26" t="n">
        <v>15.51064711995663</v>
      </c>
      <c r="R2480" s="24" t="n">
        <v>4416.39517154915</v>
      </c>
      <c r="S2480" s="24">
        <f>R2480*IF(A2480=4, 2.0, 3.0)</f>
        <v/>
      </c>
      <c r="T2480" s="22">
        <f>'Dashboard &amp; Optimisation'!$B$18*U2480</f>
        <v/>
      </c>
      <c r="U2480" s="27">
        <f>MIN(1, S2480/M2480)</f>
        <v/>
      </c>
      <c r="V2480" s="27">
        <f>N2480/(N2480+O2480)</f>
        <v/>
      </c>
      <c r="W2480" s="27">
        <f>U2480*V2480</f>
        <v/>
      </c>
      <c r="X2480" s="25">
        <f>T2480/N2480</f>
        <v/>
      </c>
      <c r="Y2480" s="28">
        <f>IF(W2480=MAXIFS(W$2:W$3601, A$2:A$3601, A2480, B$2:B$3601, B2480), "OPTIMAL", "")</f>
        <v/>
      </c>
    </row>
    <row r="2481" ht="20" customHeight="1">
      <c r="A2481" s="29" t="n">
        <v>-18</v>
      </c>
      <c r="B2481" s="29" t="n">
        <v>30</v>
      </c>
      <c r="C2481" s="30" t="n">
        <v>115</v>
      </c>
      <c r="D2481" s="30" t="n">
        <v>3</v>
      </c>
      <c r="E2481" s="6" t="n">
        <v>8</v>
      </c>
      <c r="F2481" s="30" t="n">
        <v>2</v>
      </c>
      <c r="G2481" s="6" t="inlineStr">
        <is>
          <t>Non</t>
        </is>
      </c>
      <c r="H2481" s="6" t="inlineStr">
        <is>
          <t>OFF</t>
        </is>
      </c>
      <c r="I2481" s="31" t="n">
        <v>674.4931640486259</v>
      </c>
      <c r="J2481" s="31" t="n">
        <v>5144.556481985902</v>
      </c>
      <c r="K2481" s="31" t="n">
        <v>3782.407407407407</v>
      </c>
      <c r="L2481" s="31" t="n">
        <v>150</v>
      </c>
      <c r="M2481" s="31">
        <f>I2481+J2481+K2481+L2481</f>
        <v/>
      </c>
      <c r="N2481" s="31">
        <f>M2481*'Dashboard &amp; Optimisation'!$B$18/('Dashboard &amp; Optimisation'!$B$16/3.6)</f>
        <v/>
      </c>
      <c r="O2481" s="31" t="n">
        <v>1144.147605084472</v>
      </c>
      <c r="P2481" s="32" t="n">
        <v>0.2189996777548404</v>
      </c>
      <c r="Q2481" s="33" t="n">
        <v>15.51064711995663</v>
      </c>
      <c r="R2481" s="31" t="n">
        <v>970.7990797338549</v>
      </c>
      <c r="S2481" s="31">
        <f>R2481*IF(A2481=4, 2.0, 3.0)</f>
        <v/>
      </c>
      <c r="T2481" s="30">
        <f>'Dashboard &amp; Optimisation'!$B$18*U2481</f>
        <v/>
      </c>
      <c r="U2481" s="34">
        <f>MIN(1, S2481/M2481)</f>
        <v/>
      </c>
      <c r="V2481" s="34">
        <f>N2481/(N2481+O2481)</f>
        <v/>
      </c>
      <c r="W2481" s="34">
        <f>U2481*V2481</f>
        <v/>
      </c>
      <c r="X2481" s="32">
        <f>T2481/N2481</f>
        <v/>
      </c>
      <c r="Y2481" s="35">
        <f>IF(W2481=MAXIFS(W$2:W$3601, A$2:A$3601, A2481, B$2:B$3601, B2481), "OPTIMAL", "")</f>
        <v/>
      </c>
    </row>
    <row r="2482" ht="20" customHeight="1">
      <c r="A2482" s="21" t="n">
        <v>-18</v>
      </c>
      <c r="B2482" s="21" t="n">
        <v>30</v>
      </c>
      <c r="C2482" s="22" t="n">
        <v>120</v>
      </c>
      <c r="D2482" s="22" t="n">
        <v>2</v>
      </c>
      <c r="E2482" s="23" t="n">
        <v>0</v>
      </c>
      <c r="F2482" s="22" t="n">
        <v>0</v>
      </c>
      <c r="G2482" s="23" t="inlineStr">
        <is>
          <t>Oui</t>
        </is>
      </c>
      <c r="H2482" s="23" t="inlineStr">
        <is>
          <t>ON</t>
        </is>
      </c>
      <c r="I2482" s="24" t="n">
        <v>674.4931640486259</v>
      </c>
      <c r="J2482" s="24" t="n">
        <v>5144.556481985902</v>
      </c>
      <c r="K2482" s="24" t="n">
        <v>3782.407407407407</v>
      </c>
      <c r="L2482" s="24" t="n">
        <v>150</v>
      </c>
      <c r="M2482" s="24">
        <f>I2482+J2482+K2482+L2482</f>
        <v/>
      </c>
      <c r="N2482" s="24">
        <f>M2482*'Dashboard &amp; Optimisation'!$B$18/('Dashboard &amp; Optimisation'!$B$16/3.6)</f>
        <v/>
      </c>
      <c r="O2482" s="24" t="n">
        <v>347.6885183998443</v>
      </c>
      <c r="P2482" s="25" t="n">
        <v>0.4668808197339223</v>
      </c>
      <c r="Q2482" s="26" t="n">
        <v>0.2</v>
      </c>
      <c r="R2482" s="24" t="n">
        <v>372.0134798876937</v>
      </c>
      <c r="S2482" s="24">
        <f>R2482*IF(A2482=4, 2.0, 3.0)</f>
        <v/>
      </c>
      <c r="T2482" s="22">
        <f>'Dashboard &amp; Optimisation'!$B$18*U2482</f>
        <v/>
      </c>
      <c r="U2482" s="27">
        <f>MIN(1, S2482/M2482)</f>
        <v/>
      </c>
      <c r="V2482" s="27">
        <f>N2482/(N2482+O2482)</f>
        <v/>
      </c>
      <c r="W2482" s="27">
        <f>U2482*V2482</f>
        <v/>
      </c>
      <c r="X2482" s="25">
        <f>T2482/N2482</f>
        <v/>
      </c>
      <c r="Y2482" s="28">
        <f>IF(W2482=MAXIFS(W$2:W$3601, A$2:A$3601, A2482, B$2:B$3601, B2482), "OPTIMAL", "")</f>
        <v/>
      </c>
    </row>
    <row r="2483" ht="20" customHeight="1">
      <c r="A2483" s="29" t="n">
        <v>-18</v>
      </c>
      <c r="B2483" s="29" t="n">
        <v>30</v>
      </c>
      <c r="C2483" s="30" t="n">
        <v>120</v>
      </c>
      <c r="D2483" s="30" t="n">
        <v>2</v>
      </c>
      <c r="E2483" s="6" t="n">
        <v>0</v>
      </c>
      <c r="F2483" s="30" t="n">
        <v>0</v>
      </c>
      <c r="G2483" s="6" t="inlineStr">
        <is>
          <t>Oui</t>
        </is>
      </c>
      <c r="H2483" s="6" t="inlineStr">
        <is>
          <t>OFF</t>
        </is>
      </c>
      <c r="I2483" s="31" t="n">
        <v>674.4931640486259</v>
      </c>
      <c r="J2483" s="31" t="n">
        <v>5144.556481985902</v>
      </c>
      <c r="K2483" s="31" t="n">
        <v>3782.407407407407</v>
      </c>
      <c r="L2483" s="31" t="n">
        <v>150</v>
      </c>
      <c r="M2483" s="31">
        <f>I2483+J2483+K2483+L2483</f>
        <v/>
      </c>
      <c r="N2483" s="31">
        <f>M2483*'Dashboard &amp; Optimisation'!$B$18/('Dashboard &amp; Optimisation'!$B$16/3.6)</f>
        <v/>
      </c>
      <c r="O2483" s="31" t="n">
        <v>347.6885183998443</v>
      </c>
      <c r="P2483" s="32" t="n">
        <v>0.7321390582204146</v>
      </c>
      <c r="Q2483" s="33" t="n">
        <v>0.2</v>
      </c>
      <c r="R2483" s="31" t="n">
        <v>237.2308327112174</v>
      </c>
      <c r="S2483" s="31">
        <f>R2483*IF(A2483=4, 2.0, 3.0)</f>
        <v/>
      </c>
      <c r="T2483" s="30">
        <f>'Dashboard &amp; Optimisation'!$B$18*U2483</f>
        <v/>
      </c>
      <c r="U2483" s="34">
        <f>MIN(1, S2483/M2483)</f>
        <v/>
      </c>
      <c r="V2483" s="34">
        <f>N2483/(N2483+O2483)</f>
        <v/>
      </c>
      <c r="W2483" s="34">
        <f>U2483*V2483</f>
        <v/>
      </c>
      <c r="X2483" s="32">
        <f>T2483/N2483</f>
        <v/>
      </c>
      <c r="Y2483" s="35">
        <f>IF(W2483=MAXIFS(W$2:W$3601, A$2:A$3601, A2483, B$2:B$3601, B2483), "OPTIMAL", "")</f>
        <v/>
      </c>
    </row>
    <row r="2484" ht="20" customHeight="1">
      <c r="A2484" s="21" t="n">
        <v>-18</v>
      </c>
      <c r="B2484" s="21" t="n">
        <v>30</v>
      </c>
      <c r="C2484" s="22" t="n">
        <v>120</v>
      </c>
      <c r="D2484" s="22" t="n">
        <v>2</v>
      </c>
      <c r="E2484" s="23" t="n">
        <v>0</v>
      </c>
      <c r="F2484" s="22" t="n">
        <v>0</v>
      </c>
      <c r="G2484" s="23" t="inlineStr">
        <is>
          <t>Non</t>
        </is>
      </c>
      <c r="H2484" s="23" t="inlineStr">
        <is>
          <t>ON</t>
        </is>
      </c>
      <c r="I2484" s="24" t="n">
        <v>674.4931640486259</v>
      </c>
      <c r="J2484" s="24" t="n">
        <v>5144.556481985902</v>
      </c>
      <c r="K2484" s="24" t="n">
        <v>3782.407407407407</v>
      </c>
      <c r="L2484" s="24" t="n">
        <v>150</v>
      </c>
      <c r="M2484" s="24">
        <f>I2484+J2484+K2484+L2484</f>
        <v/>
      </c>
      <c r="N2484" s="24">
        <f>M2484*'Dashboard &amp; Optimisation'!$B$18/('Dashboard &amp; Optimisation'!$B$16/3.6)</f>
        <v/>
      </c>
      <c r="O2484" s="24" t="n">
        <v>347.6885183998443</v>
      </c>
      <c r="P2484" s="25" t="n">
        <v>0.4642282373490574</v>
      </c>
      <c r="Q2484" s="26" t="n">
        <v>0.2</v>
      </c>
      <c r="R2484" s="24" t="n">
        <v>374.1391506769534</v>
      </c>
      <c r="S2484" s="24">
        <f>R2484*IF(A2484=4, 2.0, 3.0)</f>
        <v/>
      </c>
      <c r="T2484" s="22">
        <f>'Dashboard &amp; Optimisation'!$B$18*U2484</f>
        <v/>
      </c>
      <c r="U2484" s="27">
        <f>MIN(1, S2484/M2484)</f>
        <v/>
      </c>
      <c r="V2484" s="27">
        <f>N2484/(N2484+O2484)</f>
        <v/>
      </c>
      <c r="W2484" s="27">
        <f>U2484*V2484</f>
        <v/>
      </c>
      <c r="X2484" s="25">
        <f>T2484/N2484</f>
        <v/>
      </c>
      <c r="Y2484" s="28">
        <f>IF(W2484=MAXIFS(W$2:W$3601, A$2:A$3601, A2484, B$2:B$3601, B2484), "OPTIMAL", "")</f>
        <v/>
      </c>
    </row>
    <row r="2485" ht="20" customHeight="1">
      <c r="A2485" s="29" t="n">
        <v>-18</v>
      </c>
      <c r="B2485" s="29" t="n">
        <v>30</v>
      </c>
      <c r="C2485" s="30" t="n">
        <v>120</v>
      </c>
      <c r="D2485" s="30" t="n">
        <v>2</v>
      </c>
      <c r="E2485" s="6" t="n">
        <v>0</v>
      </c>
      <c r="F2485" s="30" t="n">
        <v>0</v>
      </c>
      <c r="G2485" s="6" t="inlineStr">
        <is>
          <t>Non</t>
        </is>
      </c>
      <c r="H2485" s="6" t="inlineStr">
        <is>
          <t>OFF</t>
        </is>
      </c>
      <c r="I2485" s="31" t="n">
        <v>674.4931640486259</v>
      </c>
      <c r="J2485" s="31" t="n">
        <v>5144.556481985902</v>
      </c>
      <c r="K2485" s="31" t="n">
        <v>3782.407407407407</v>
      </c>
      <c r="L2485" s="31" t="n">
        <v>150</v>
      </c>
      <c r="M2485" s="31">
        <f>I2485+J2485+K2485+L2485</f>
        <v/>
      </c>
      <c r="N2485" s="31">
        <f>M2485*'Dashboard &amp; Optimisation'!$B$18/('Dashboard &amp; Optimisation'!$B$16/3.6)</f>
        <v/>
      </c>
      <c r="O2485" s="31" t="n">
        <v>347.6885183998443</v>
      </c>
      <c r="P2485" s="32" t="n">
        <v>0.7294864758355497</v>
      </c>
      <c r="Q2485" s="33" t="n">
        <v>0.2</v>
      </c>
      <c r="R2485" s="31" t="n">
        <v>238.0934591598789</v>
      </c>
      <c r="S2485" s="31">
        <f>R2485*IF(A2485=4, 2.0, 3.0)</f>
        <v/>
      </c>
      <c r="T2485" s="30">
        <f>'Dashboard &amp; Optimisation'!$B$18*U2485</f>
        <v/>
      </c>
      <c r="U2485" s="34">
        <f>MIN(1, S2485/M2485)</f>
        <v/>
      </c>
      <c r="V2485" s="34">
        <f>N2485/(N2485+O2485)</f>
        <v/>
      </c>
      <c r="W2485" s="34">
        <f>U2485*V2485</f>
        <v/>
      </c>
      <c r="X2485" s="32">
        <f>T2485/N2485</f>
        <v/>
      </c>
      <c r="Y2485" s="35">
        <f>IF(W2485=MAXIFS(W$2:W$3601, A$2:A$3601, A2485, B$2:B$3601, B2485), "OPTIMAL", "")</f>
        <v/>
      </c>
    </row>
    <row r="2486" ht="20" customHeight="1">
      <c r="A2486" s="21" t="n">
        <v>-18</v>
      </c>
      <c r="B2486" s="21" t="n">
        <v>30</v>
      </c>
      <c r="C2486" s="22" t="n">
        <v>120</v>
      </c>
      <c r="D2486" s="22" t="n">
        <v>2</v>
      </c>
      <c r="E2486" s="23" t="n">
        <v>4</v>
      </c>
      <c r="F2486" s="22" t="n">
        <v>1.5</v>
      </c>
      <c r="G2486" s="23" t="inlineStr">
        <is>
          <t>Oui</t>
        </is>
      </c>
      <c r="H2486" s="23" t="inlineStr">
        <is>
          <t>ON</t>
        </is>
      </c>
      <c r="I2486" s="24" t="n">
        <v>674.4931640486259</v>
      </c>
      <c r="J2486" s="24" t="n">
        <v>5144.556481985902</v>
      </c>
      <c r="K2486" s="24" t="n">
        <v>3782.407407407407</v>
      </c>
      <c r="L2486" s="24" t="n">
        <v>150</v>
      </c>
      <c r="M2486" s="24">
        <f>I2486+J2486+K2486+L2486</f>
        <v/>
      </c>
      <c r="N2486" s="24">
        <f>M2486*'Dashboard &amp; Optimisation'!$B$18/('Dashboard &amp; Optimisation'!$B$16/3.6)</f>
        <v/>
      </c>
      <c r="O2486" s="24" t="n">
        <v>534.5315724240671</v>
      </c>
      <c r="P2486" s="25" t="n">
        <v>0.06805759746267123</v>
      </c>
      <c r="Q2486" s="26" t="n">
        <v>5.595023284726097</v>
      </c>
      <c r="R2486" s="24" t="n">
        <v>2621.090732688252</v>
      </c>
      <c r="S2486" s="24">
        <f>R2486*IF(A2486=4, 2.0, 3.0)</f>
        <v/>
      </c>
      <c r="T2486" s="22">
        <f>'Dashboard &amp; Optimisation'!$B$18*U2486</f>
        <v/>
      </c>
      <c r="U2486" s="27">
        <f>MIN(1, S2486/M2486)</f>
        <v/>
      </c>
      <c r="V2486" s="27">
        <f>N2486/(N2486+O2486)</f>
        <v/>
      </c>
      <c r="W2486" s="27">
        <f>U2486*V2486</f>
        <v/>
      </c>
      <c r="X2486" s="25">
        <f>T2486/N2486</f>
        <v/>
      </c>
      <c r="Y2486" s="28">
        <f>IF(W2486=MAXIFS(W$2:W$3601, A$2:A$3601, A2486, B$2:B$3601, B2486), "OPTIMAL", "")</f>
        <v/>
      </c>
    </row>
    <row r="2487" ht="20" customHeight="1">
      <c r="A2487" s="29" t="n">
        <v>-18</v>
      </c>
      <c r="B2487" s="29" t="n">
        <v>30</v>
      </c>
      <c r="C2487" s="30" t="n">
        <v>120</v>
      </c>
      <c r="D2487" s="30" t="n">
        <v>2</v>
      </c>
      <c r="E2487" s="6" t="n">
        <v>4</v>
      </c>
      <c r="F2487" s="30" t="n">
        <v>1.5</v>
      </c>
      <c r="G2487" s="6" t="inlineStr">
        <is>
          <t>Oui</t>
        </is>
      </c>
      <c r="H2487" s="6" t="inlineStr">
        <is>
          <t>OFF</t>
        </is>
      </c>
      <c r="I2487" s="31" t="n">
        <v>674.4931640486259</v>
      </c>
      <c r="J2487" s="31" t="n">
        <v>5144.556481985902</v>
      </c>
      <c r="K2487" s="31" t="n">
        <v>3782.407407407407</v>
      </c>
      <c r="L2487" s="31" t="n">
        <v>150</v>
      </c>
      <c r="M2487" s="31">
        <f>I2487+J2487+K2487+L2487</f>
        <v/>
      </c>
      <c r="N2487" s="31">
        <f>M2487*'Dashboard &amp; Optimisation'!$B$18/('Dashboard &amp; Optimisation'!$B$16/3.6)</f>
        <v/>
      </c>
      <c r="O2487" s="31" t="n">
        <v>534.5315724240671</v>
      </c>
      <c r="P2487" s="32" t="n">
        <v>0.2717308104184109</v>
      </c>
      <c r="Q2487" s="33" t="n">
        <v>5.595023284726097</v>
      </c>
      <c r="R2487" s="31" t="n">
        <v>656.4774076364685</v>
      </c>
      <c r="S2487" s="31">
        <f>R2487*IF(A2487=4, 2.0, 3.0)</f>
        <v/>
      </c>
      <c r="T2487" s="30">
        <f>'Dashboard &amp; Optimisation'!$B$18*U2487</f>
        <v/>
      </c>
      <c r="U2487" s="34">
        <f>MIN(1, S2487/M2487)</f>
        <v/>
      </c>
      <c r="V2487" s="34">
        <f>N2487/(N2487+O2487)</f>
        <v/>
      </c>
      <c r="W2487" s="34">
        <f>U2487*V2487</f>
        <v/>
      </c>
      <c r="X2487" s="32">
        <f>T2487/N2487</f>
        <v/>
      </c>
      <c r="Y2487" s="35">
        <f>IF(W2487=MAXIFS(W$2:W$3601, A$2:A$3601, A2487, B$2:B$3601, B2487), "OPTIMAL", "")</f>
        <v/>
      </c>
    </row>
    <row r="2488" ht="20" customHeight="1">
      <c r="A2488" s="21" t="n">
        <v>-18</v>
      </c>
      <c r="B2488" s="21" t="n">
        <v>30</v>
      </c>
      <c r="C2488" s="22" t="n">
        <v>120</v>
      </c>
      <c r="D2488" s="22" t="n">
        <v>2</v>
      </c>
      <c r="E2488" s="23" t="n">
        <v>4</v>
      </c>
      <c r="F2488" s="22" t="n">
        <v>1.5</v>
      </c>
      <c r="G2488" s="23" t="inlineStr">
        <is>
          <t>Non</t>
        </is>
      </c>
      <c r="H2488" s="23" t="inlineStr">
        <is>
          <t>ON</t>
        </is>
      </c>
      <c r="I2488" s="24" t="n">
        <v>674.4931640486259</v>
      </c>
      <c r="J2488" s="24" t="n">
        <v>5144.556481985902</v>
      </c>
      <c r="K2488" s="24" t="n">
        <v>3782.407407407407</v>
      </c>
      <c r="L2488" s="24" t="n">
        <v>150</v>
      </c>
      <c r="M2488" s="24">
        <f>I2488+J2488+K2488+L2488</f>
        <v/>
      </c>
      <c r="N2488" s="24">
        <f>M2488*'Dashboard &amp; Optimisation'!$B$18/('Dashboard &amp; Optimisation'!$B$16/3.6)</f>
        <v/>
      </c>
      <c r="O2488" s="24" t="n">
        <v>534.5315724240671</v>
      </c>
      <c r="P2488" s="25" t="n">
        <v>0.0654050150778063</v>
      </c>
      <c r="Q2488" s="26" t="n">
        <v>5.595023284726097</v>
      </c>
      <c r="R2488" s="24" t="n">
        <v>2727.392353418568</v>
      </c>
      <c r="S2488" s="24">
        <f>R2488*IF(A2488=4, 2.0, 3.0)</f>
        <v/>
      </c>
      <c r="T2488" s="22">
        <f>'Dashboard &amp; Optimisation'!$B$18*U2488</f>
        <v/>
      </c>
      <c r="U2488" s="27">
        <f>MIN(1, S2488/M2488)</f>
        <v/>
      </c>
      <c r="V2488" s="27">
        <f>N2488/(N2488+O2488)</f>
        <v/>
      </c>
      <c r="W2488" s="27">
        <f>U2488*V2488</f>
        <v/>
      </c>
      <c r="X2488" s="25">
        <f>T2488/N2488</f>
        <v/>
      </c>
      <c r="Y2488" s="28">
        <f>IF(W2488=MAXIFS(W$2:W$3601, A$2:A$3601, A2488, B$2:B$3601, B2488), "OPTIMAL", "")</f>
        <v/>
      </c>
    </row>
    <row r="2489" ht="20" customHeight="1">
      <c r="A2489" s="29" t="n">
        <v>-18</v>
      </c>
      <c r="B2489" s="29" t="n">
        <v>30</v>
      </c>
      <c r="C2489" s="30" t="n">
        <v>120</v>
      </c>
      <c r="D2489" s="30" t="n">
        <v>2</v>
      </c>
      <c r="E2489" s="6" t="n">
        <v>4</v>
      </c>
      <c r="F2489" s="30" t="n">
        <v>1.5</v>
      </c>
      <c r="G2489" s="6" t="inlineStr">
        <is>
          <t>Non</t>
        </is>
      </c>
      <c r="H2489" s="6" t="inlineStr">
        <is>
          <t>OFF</t>
        </is>
      </c>
      <c r="I2489" s="31" t="n">
        <v>674.4931640486259</v>
      </c>
      <c r="J2489" s="31" t="n">
        <v>5144.556481985902</v>
      </c>
      <c r="K2489" s="31" t="n">
        <v>3782.407407407407</v>
      </c>
      <c r="L2489" s="31" t="n">
        <v>150</v>
      </c>
      <c r="M2489" s="31">
        <f>I2489+J2489+K2489+L2489</f>
        <v/>
      </c>
      <c r="N2489" s="31">
        <f>M2489*'Dashboard &amp; Optimisation'!$B$18/('Dashboard &amp; Optimisation'!$B$16/3.6)</f>
        <v/>
      </c>
      <c r="O2489" s="31" t="n">
        <v>534.5315724240671</v>
      </c>
      <c r="P2489" s="32" t="n">
        <v>0.2690782280335459</v>
      </c>
      <c r="Q2489" s="33" t="n">
        <v>5.595023284726097</v>
      </c>
      <c r="R2489" s="31" t="n">
        <v>662.9489843979343</v>
      </c>
      <c r="S2489" s="31">
        <f>R2489*IF(A2489=4, 2.0, 3.0)</f>
        <v/>
      </c>
      <c r="T2489" s="30">
        <f>'Dashboard &amp; Optimisation'!$B$18*U2489</f>
        <v/>
      </c>
      <c r="U2489" s="34">
        <f>MIN(1, S2489/M2489)</f>
        <v/>
      </c>
      <c r="V2489" s="34">
        <f>N2489/(N2489+O2489)</f>
        <v/>
      </c>
      <c r="W2489" s="34">
        <f>U2489*V2489</f>
        <v/>
      </c>
      <c r="X2489" s="32">
        <f>T2489/N2489</f>
        <v/>
      </c>
      <c r="Y2489" s="35">
        <f>IF(W2489=MAXIFS(W$2:W$3601, A$2:A$3601, A2489, B$2:B$3601, B2489), "OPTIMAL", "")</f>
        <v/>
      </c>
    </row>
    <row r="2490" ht="20" customHeight="1">
      <c r="A2490" s="21" t="n">
        <v>-18</v>
      </c>
      <c r="B2490" s="21" t="n">
        <v>30</v>
      </c>
      <c r="C2490" s="22" t="n">
        <v>120</v>
      </c>
      <c r="D2490" s="22" t="n">
        <v>2</v>
      </c>
      <c r="E2490" s="23" t="n">
        <v>4</v>
      </c>
      <c r="F2490" s="22" t="n">
        <v>2</v>
      </c>
      <c r="G2490" s="23" t="inlineStr">
        <is>
          <t>Oui</t>
        </is>
      </c>
      <c r="H2490" s="23" t="inlineStr">
        <is>
          <t>ON</t>
        </is>
      </c>
      <c r="I2490" s="24" t="n">
        <v>674.4931640486259</v>
      </c>
      <c r="J2490" s="24" t="n">
        <v>5144.556481985902</v>
      </c>
      <c r="K2490" s="24" t="n">
        <v>3782.407407407407</v>
      </c>
      <c r="L2490" s="24" t="n">
        <v>150</v>
      </c>
      <c r="M2490" s="24">
        <f>I2490+J2490+K2490+L2490</f>
        <v/>
      </c>
      <c r="N2490" s="24">
        <f>M2490*'Dashboard &amp; Optimisation'!$B$18/('Dashboard &amp; Optimisation'!$B$16/3.6)</f>
        <v/>
      </c>
      <c r="O2490" s="24" t="n">
        <v>599.0797716685416</v>
      </c>
      <c r="P2490" s="25" t="n">
        <v>0.06474901627983365</v>
      </c>
      <c r="Q2490" s="26" t="n">
        <v>7.393364379634797</v>
      </c>
      <c r="R2490" s="24" t="n">
        <v>2780.097089742648</v>
      </c>
      <c r="S2490" s="24">
        <f>R2490*IF(A2490=4, 2.0, 3.0)</f>
        <v/>
      </c>
      <c r="T2490" s="22">
        <f>'Dashboard &amp; Optimisation'!$B$18*U2490</f>
        <v/>
      </c>
      <c r="U2490" s="27">
        <f>MIN(1, S2490/M2490)</f>
        <v/>
      </c>
      <c r="V2490" s="27">
        <f>N2490/(N2490+O2490)</f>
        <v/>
      </c>
      <c r="W2490" s="27">
        <f>U2490*V2490</f>
        <v/>
      </c>
      <c r="X2490" s="25">
        <f>T2490/N2490</f>
        <v/>
      </c>
      <c r="Y2490" s="28">
        <f>IF(W2490=MAXIFS(W$2:W$3601, A$2:A$3601, A2490, B$2:B$3601, B2490), "OPTIMAL", "")</f>
        <v/>
      </c>
    </row>
    <row r="2491" ht="20" customHeight="1">
      <c r="A2491" s="29" t="n">
        <v>-18</v>
      </c>
      <c r="B2491" s="29" t="n">
        <v>30</v>
      </c>
      <c r="C2491" s="30" t="n">
        <v>120</v>
      </c>
      <c r="D2491" s="30" t="n">
        <v>2</v>
      </c>
      <c r="E2491" s="6" t="n">
        <v>4</v>
      </c>
      <c r="F2491" s="30" t="n">
        <v>2</v>
      </c>
      <c r="G2491" s="6" t="inlineStr">
        <is>
          <t>Oui</t>
        </is>
      </c>
      <c r="H2491" s="6" t="inlineStr">
        <is>
          <t>OFF</t>
        </is>
      </c>
      <c r="I2491" s="31" t="n">
        <v>674.4931640486259</v>
      </c>
      <c r="J2491" s="31" t="n">
        <v>5144.556481985902</v>
      </c>
      <c r="K2491" s="31" t="n">
        <v>3782.407407407407</v>
      </c>
      <c r="L2491" s="31" t="n">
        <v>150</v>
      </c>
      <c r="M2491" s="31">
        <f>I2491+J2491+K2491+L2491</f>
        <v/>
      </c>
      <c r="N2491" s="31">
        <f>M2491*'Dashboard &amp; Optimisation'!$B$18/('Dashboard &amp; Optimisation'!$B$16/3.6)</f>
        <v/>
      </c>
      <c r="O2491" s="31" t="n">
        <v>599.0797716685416</v>
      </c>
      <c r="P2491" s="32" t="n">
        <v>0.269253725510994</v>
      </c>
      <c r="Q2491" s="33" t="n">
        <v>7.393364379634797</v>
      </c>
      <c r="R2491" s="31" t="n">
        <v>668.5461877329338</v>
      </c>
      <c r="S2491" s="31">
        <f>R2491*IF(A2491=4, 2.0, 3.0)</f>
        <v/>
      </c>
      <c r="T2491" s="30">
        <f>'Dashboard &amp; Optimisation'!$B$18*U2491</f>
        <v/>
      </c>
      <c r="U2491" s="34">
        <f>MIN(1, S2491/M2491)</f>
        <v/>
      </c>
      <c r="V2491" s="34">
        <f>N2491/(N2491+O2491)</f>
        <v/>
      </c>
      <c r="W2491" s="34">
        <f>U2491*V2491</f>
        <v/>
      </c>
      <c r="X2491" s="32">
        <f>T2491/N2491</f>
        <v/>
      </c>
      <c r="Y2491" s="35">
        <f>IF(W2491=MAXIFS(W$2:W$3601, A$2:A$3601, A2491, B$2:B$3601, B2491), "OPTIMAL", "")</f>
        <v/>
      </c>
    </row>
    <row r="2492" ht="20" customHeight="1">
      <c r="A2492" s="21" t="n">
        <v>-18</v>
      </c>
      <c r="B2492" s="21" t="n">
        <v>30</v>
      </c>
      <c r="C2492" s="22" t="n">
        <v>120</v>
      </c>
      <c r="D2492" s="22" t="n">
        <v>2</v>
      </c>
      <c r="E2492" s="23" t="n">
        <v>4</v>
      </c>
      <c r="F2492" s="22" t="n">
        <v>2</v>
      </c>
      <c r="G2492" s="23" t="inlineStr">
        <is>
          <t>Non</t>
        </is>
      </c>
      <c r="H2492" s="23" t="inlineStr">
        <is>
          <t>ON</t>
        </is>
      </c>
      <c r="I2492" s="24" t="n">
        <v>674.4931640486259</v>
      </c>
      <c r="J2492" s="24" t="n">
        <v>5144.556481985902</v>
      </c>
      <c r="K2492" s="24" t="n">
        <v>3782.407407407407</v>
      </c>
      <c r="L2492" s="24" t="n">
        <v>150</v>
      </c>
      <c r="M2492" s="24">
        <f>I2492+J2492+K2492+L2492</f>
        <v/>
      </c>
      <c r="N2492" s="24">
        <f>M2492*'Dashboard &amp; Optimisation'!$B$18/('Dashboard &amp; Optimisation'!$B$16/3.6)</f>
        <v/>
      </c>
      <c r="O2492" s="24" t="n">
        <v>599.0797716685416</v>
      </c>
      <c r="P2492" s="25" t="n">
        <v>0.06209643389496873</v>
      </c>
      <c r="Q2492" s="26" t="n">
        <v>7.393364379634797</v>
      </c>
      <c r="R2492" s="24" t="n">
        <v>2898.854900874586</v>
      </c>
      <c r="S2492" s="24">
        <f>R2492*IF(A2492=4, 2.0, 3.0)</f>
        <v/>
      </c>
      <c r="T2492" s="22">
        <f>'Dashboard &amp; Optimisation'!$B$18*U2492</f>
        <v/>
      </c>
      <c r="U2492" s="27">
        <f>MIN(1, S2492/M2492)</f>
        <v/>
      </c>
      <c r="V2492" s="27">
        <f>N2492/(N2492+O2492)</f>
        <v/>
      </c>
      <c r="W2492" s="27">
        <f>U2492*V2492</f>
        <v/>
      </c>
      <c r="X2492" s="25">
        <f>T2492/N2492</f>
        <v/>
      </c>
      <c r="Y2492" s="28">
        <f>IF(W2492=MAXIFS(W$2:W$3601, A$2:A$3601, A2492, B$2:B$3601, B2492), "OPTIMAL", "")</f>
        <v/>
      </c>
    </row>
    <row r="2493" ht="20" customHeight="1">
      <c r="A2493" s="29" t="n">
        <v>-18</v>
      </c>
      <c r="B2493" s="29" t="n">
        <v>30</v>
      </c>
      <c r="C2493" s="30" t="n">
        <v>120</v>
      </c>
      <c r="D2493" s="30" t="n">
        <v>2</v>
      </c>
      <c r="E2493" s="6" t="n">
        <v>4</v>
      </c>
      <c r="F2493" s="30" t="n">
        <v>2</v>
      </c>
      <c r="G2493" s="6" t="inlineStr">
        <is>
          <t>Non</t>
        </is>
      </c>
      <c r="H2493" s="6" t="inlineStr">
        <is>
          <t>OFF</t>
        </is>
      </c>
      <c r="I2493" s="31" t="n">
        <v>674.4931640486259</v>
      </c>
      <c r="J2493" s="31" t="n">
        <v>5144.556481985902</v>
      </c>
      <c r="K2493" s="31" t="n">
        <v>3782.407407407407</v>
      </c>
      <c r="L2493" s="31" t="n">
        <v>150</v>
      </c>
      <c r="M2493" s="31">
        <f>I2493+J2493+K2493+L2493</f>
        <v/>
      </c>
      <c r="N2493" s="31">
        <f>M2493*'Dashboard &amp; Optimisation'!$B$18/('Dashboard &amp; Optimisation'!$B$16/3.6)</f>
        <v/>
      </c>
      <c r="O2493" s="31" t="n">
        <v>599.0797716685416</v>
      </c>
      <c r="P2493" s="32" t="n">
        <v>0.2666011431261291</v>
      </c>
      <c r="Q2493" s="33" t="n">
        <v>7.393364379634797</v>
      </c>
      <c r="R2493" s="31" t="n">
        <v>675.1979740690862</v>
      </c>
      <c r="S2493" s="31">
        <f>R2493*IF(A2493=4, 2.0, 3.0)</f>
        <v/>
      </c>
      <c r="T2493" s="30">
        <f>'Dashboard &amp; Optimisation'!$B$18*U2493</f>
        <v/>
      </c>
      <c r="U2493" s="34">
        <f>MIN(1, S2493/M2493)</f>
        <v/>
      </c>
      <c r="V2493" s="34">
        <f>N2493/(N2493+O2493)</f>
        <v/>
      </c>
      <c r="W2493" s="34">
        <f>U2493*V2493</f>
        <v/>
      </c>
      <c r="X2493" s="32">
        <f>T2493/N2493</f>
        <v/>
      </c>
      <c r="Y2493" s="35">
        <f>IF(W2493=MAXIFS(W$2:W$3601, A$2:A$3601, A2493, B$2:B$3601, B2493), "OPTIMAL", "")</f>
        <v/>
      </c>
    </row>
    <row r="2494" ht="20" customHeight="1">
      <c r="A2494" s="21" t="n">
        <v>-18</v>
      </c>
      <c r="B2494" s="21" t="n">
        <v>30</v>
      </c>
      <c r="C2494" s="22" t="n">
        <v>120</v>
      </c>
      <c r="D2494" s="22" t="n">
        <v>2</v>
      </c>
      <c r="E2494" s="23" t="n">
        <v>8</v>
      </c>
      <c r="F2494" s="22" t="n">
        <v>1.5</v>
      </c>
      <c r="G2494" s="23" t="inlineStr">
        <is>
          <t>Oui</t>
        </is>
      </c>
      <c r="H2494" s="23" t="inlineStr">
        <is>
          <t>ON</t>
        </is>
      </c>
      <c r="I2494" s="24" t="n">
        <v>674.4931640486259</v>
      </c>
      <c r="J2494" s="24" t="n">
        <v>5144.556481985902</v>
      </c>
      <c r="K2494" s="24" t="n">
        <v>3782.407407407407</v>
      </c>
      <c r="L2494" s="24" t="n">
        <v>150</v>
      </c>
      <c r="M2494" s="24">
        <f>I2494+J2494+K2494+L2494</f>
        <v/>
      </c>
      <c r="N2494" s="24">
        <f>M2494*'Dashboard &amp; Optimisation'!$B$18/('Dashboard &amp; Optimisation'!$B$16/3.6)</f>
        <v/>
      </c>
      <c r="O2494" s="24" t="n">
        <v>731.7660791467298</v>
      </c>
      <c r="P2494" s="25" t="n">
        <v>0.05155761606859751</v>
      </c>
      <c r="Q2494" s="26" t="n">
        <v>10.9900465694522</v>
      </c>
      <c r="R2494" s="24" t="n">
        <v>3556.131583249578</v>
      </c>
      <c r="S2494" s="24">
        <f>R2494*IF(A2494=4, 2.0, 3.0)</f>
        <v/>
      </c>
      <c r="T2494" s="22">
        <f>'Dashboard &amp; Optimisation'!$B$18*U2494</f>
        <v/>
      </c>
      <c r="U2494" s="27">
        <f>MIN(1, S2494/M2494)</f>
        <v/>
      </c>
      <c r="V2494" s="27">
        <f>N2494/(N2494+O2494)</f>
        <v/>
      </c>
      <c r="W2494" s="27">
        <f>U2494*V2494</f>
        <v/>
      </c>
      <c r="X2494" s="25">
        <f>T2494/N2494</f>
        <v/>
      </c>
      <c r="Y2494" s="28">
        <f>IF(W2494=MAXIFS(W$2:W$3601, A$2:A$3601, A2494, B$2:B$3601, B2494), "OPTIMAL", "")</f>
        <v/>
      </c>
    </row>
    <row r="2495" ht="20" customHeight="1">
      <c r="A2495" s="29" t="n">
        <v>-18</v>
      </c>
      <c r="B2495" s="29" t="n">
        <v>30</v>
      </c>
      <c r="C2495" s="30" t="n">
        <v>120</v>
      </c>
      <c r="D2495" s="30" t="n">
        <v>2</v>
      </c>
      <c r="E2495" s="6" t="n">
        <v>8</v>
      </c>
      <c r="F2495" s="30" t="n">
        <v>1.5</v>
      </c>
      <c r="G2495" s="6" t="inlineStr">
        <is>
          <t>Oui</t>
        </is>
      </c>
      <c r="H2495" s="6" t="inlineStr">
        <is>
          <t>OFF</t>
        </is>
      </c>
      <c r="I2495" s="31" t="n">
        <v>674.4931640486259</v>
      </c>
      <c r="J2495" s="31" t="n">
        <v>5144.556481985902</v>
      </c>
      <c r="K2495" s="31" t="n">
        <v>3782.407407407407</v>
      </c>
      <c r="L2495" s="31" t="n">
        <v>150</v>
      </c>
      <c r="M2495" s="31">
        <f>I2495+J2495+K2495+L2495</f>
        <v/>
      </c>
      <c r="N2495" s="31">
        <f>M2495*'Dashboard &amp; Optimisation'!$B$18/('Dashboard &amp; Optimisation'!$B$16/3.6)</f>
        <v/>
      </c>
      <c r="O2495" s="31" t="n">
        <v>731.7660791467298</v>
      </c>
      <c r="P2495" s="32" t="n">
        <v>0.216853233443705</v>
      </c>
      <c r="Q2495" s="33" t="n">
        <v>10.9900465694522</v>
      </c>
      <c r="R2495" s="31" t="n">
        <v>845.4827440061759</v>
      </c>
      <c r="S2495" s="31">
        <f>R2495*IF(A2495=4, 2.0, 3.0)</f>
        <v/>
      </c>
      <c r="T2495" s="30">
        <f>'Dashboard &amp; Optimisation'!$B$18*U2495</f>
        <v/>
      </c>
      <c r="U2495" s="34">
        <f>MIN(1, S2495/M2495)</f>
        <v/>
      </c>
      <c r="V2495" s="34">
        <f>N2495/(N2495+O2495)</f>
        <v/>
      </c>
      <c r="W2495" s="34">
        <f>U2495*V2495</f>
        <v/>
      </c>
      <c r="X2495" s="32">
        <f>T2495/N2495</f>
        <v/>
      </c>
      <c r="Y2495" s="35">
        <f>IF(W2495=MAXIFS(W$2:W$3601, A$2:A$3601, A2495, B$2:B$3601, B2495), "OPTIMAL", "")</f>
        <v/>
      </c>
    </row>
    <row r="2496" ht="20" customHeight="1">
      <c r="A2496" s="21" t="n">
        <v>-18</v>
      </c>
      <c r="B2496" s="21" t="n">
        <v>30</v>
      </c>
      <c r="C2496" s="22" t="n">
        <v>120</v>
      </c>
      <c r="D2496" s="22" t="n">
        <v>2</v>
      </c>
      <c r="E2496" s="23" t="n">
        <v>8</v>
      </c>
      <c r="F2496" s="22" t="n">
        <v>1.5</v>
      </c>
      <c r="G2496" s="23" t="inlineStr">
        <is>
          <t>Non</t>
        </is>
      </c>
      <c r="H2496" s="23" t="inlineStr">
        <is>
          <t>ON</t>
        </is>
      </c>
      <c r="I2496" s="24" t="n">
        <v>674.4931640486259</v>
      </c>
      <c r="J2496" s="24" t="n">
        <v>5144.556481985902</v>
      </c>
      <c r="K2496" s="24" t="n">
        <v>3782.407407407407</v>
      </c>
      <c r="L2496" s="24" t="n">
        <v>150</v>
      </c>
      <c r="M2496" s="24">
        <f>I2496+J2496+K2496+L2496</f>
        <v/>
      </c>
      <c r="N2496" s="24">
        <f>M2496*'Dashboard &amp; Optimisation'!$B$18/('Dashboard &amp; Optimisation'!$B$16/3.6)</f>
        <v/>
      </c>
      <c r="O2496" s="24" t="n">
        <v>731.7660791467298</v>
      </c>
      <c r="P2496" s="25" t="n">
        <v>0.04890503368373258</v>
      </c>
      <c r="Q2496" s="26" t="n">
        <v>10.9900465694522</v>
      </c>
      <c r="R2496" s="24" t="n">
        <v>3749.01422304065</v>
      </c>
      <c r="S2496" s="24">
        <f>R2496*IF(A2496=4, 2.0, 3.0)</f>
        <v/>
      </c>
      <c r="T2496" s="22">
        <f>'Dashboard &amp; Optimisation'!$B$18*U2496</f>
        <v/>
      </c>
      <c r="U2496" s="27">
        <f>MIN(1, S2496/M2496)</f>
        <v/>
      </c>
      <c r="V2496" s="27">
        <f>N2496/(N2496+O2496)</f>
        <v/>
      </c>
      <c r="W2496" s="27">
        <f>U2496*V2496</f>
        <v/>
      </c>
      <c r="X2496" s="25">
        <f>T2496/N2496</f>
        <v/>
      </c>
      <c r="Y2496" s="28">
        <f>IF(W2496=MAXIFS(W$2:W$3601, A$2:A$3601, A2496, B$2:B$3601, B2496), "OPTIMAL", "")</f>
        <v/>
      </c>
    </row>
    <row r="2497" ht="20" customHeight="1">
      <c r="A2497" s="29" t="n">
        <v>-18</v>
      </c>
      <c r="B2497" s="29" t="n">
        <v>30</v>
      </c>
      <c r="C2497" s="30" t="n">
        <v>120</v>
      </c>
      <c r="D2497" s="30" t="n">
        <v>2</v>
      </c>
      <c r="E2497" s="6" t="n">
        <v>8</v>
      </c>
      <c r="F2497" s="30" t="n">
        <v>1.5</v>
      </c>
      <c r="G2497" s="6" t="inlineStr">
        <is>
          <t>Non</t>
        </is>
      </c>
      <c r="H2497" s="6" t="inlineStr">
        <is>
          <t>OFF</t>
        </is>
      </c>
      <c r="I2497" s="31" t="n">
        <v>674.4931640486259</v>
      </c>
      <c r="J2497" s="31" t="n">
        <v>5144.556481985902</v>
      </c>
      <c r="K2497" s="31" t="n">
        <v>3782.407407407407</v>
      </c>
      <c r="L2497" s="31" t="n">
        <v>150</v>
      </c>
      <c r="M2497" s="31">
        <f>I2497+J2497+K2497+L2497</f>
        <v/>
      </c>
      <c r="N2497" s="31">
        <f>M2497*'Dashboard &amp; Optimisation'!$B$18/('Dashboard &amp; Optimisation'!$B$16/3.6)</f>
        <v/>
      </c>
      <c r="O2497" s="31" t="n">
        <v>731.7660791467298</v>
      </c>
      <c r="P2497" s="32" t="n">
        <v>0.2142006510588401</v>
      </c>
      <c r="Q2497" s="33" t="n">
        <v>10.9900465694522</v>
      </c>
      <c r="R2497" s="31" t="n">
        <v>855.9528925438757</v>
      </c>
      <c r="S2497" s="31">
        <f>R2497*IF(A2497=4, 2.0, 3.0)</f>
        <v/>
      </c>
      <c r="T2497" s="30">
        <f>'Dashboard &amp; Optimisation'!$B$18*U2497</f>
        <v/>
      </c>
      <c r="U2497" s="34">
        <f>MIN(1, S2497/M2497)</f>
        <v/>
      </c>
      <c r="V2497" s="34">
        <f>N2497/(N2497+O2497)</f>
        <v/>
      </c>
      <c r="W2497" s="34">
        <f>U2497*V2497</f>
        <v/>
      </c>
      <c r="X2497" s="32">
        <f>T2497/N2497</f>
        <v/>
      </c>
      <c r="Y2497" s="35">
        <f>IF(W2497=MAXIFS(W$2:W$3601, A$2:A$3601, A2497, B$2:B$3601, B2497), "OPTIMAL", "")</f>
        <v/>
      </c>
    </row>
    <row r="2498" ht="20" customHeight="1">
      <c r="A2498" s="21" t="n">
        <v>-18</v>
      </c>
      <c r="B2498" s="21" t="n">
        <v>30</v>
      </c>
      <c r="C2498" s="22" t="n">
        <v>120</v>
      </c>
      <c r="D2498" s="22" t="n">
        <v>2</v>
      </c>
      <c r="E2498" s="23" t="n">
        <v>8</v>
      </c>
      <c r="F2498" s="22" t="n">
        <v>2</v>
      </c>
      <c r="G2498" s="23" t="inlineStr">
        <is>
          <t>Oui</t>
        </is>
      </c>
      <c r="H2498" s="23" t="inlineStr">
        <is>
          <t>ON</t>
        </is>
      </c>
      <c r="I2498" s="24" t="n">
        <v>674.4931640486259</v>
      </c>
      <c r="J2498" s="24" t="n">
        <v>5144.556481985902</v>
      </c>
      <c r="K2498" s="24" t="n">
        <v>3782.407407407407</v>
      </c>
      <c r="L2498" s="24" t="n">
        <v>150</v>
      </c>
      <c r="M2498" s="24">
        <f>I2498+J2498+K2498+L2498</f>
        <v/>
      </c>
      <c r="N2498" s="24">
        <f>M2498*'Dashboard &amp; Optimisation'!$B$18/('Dashboard &amp; Optimisation'!$B$16/3.6)</f>
        <v/>
      </c>
      <c r="O2498" s="24" t="n">
        <v>869.4649624378308</v>
      </c>
      <c r="P2498" s="25" t="n">
        <v>0.04997260972227939</v>
      </c>
      <c r="Q2498" s="26" t="n">
        <v>14.58672875926959</v>
      </c>
      <c r="R2498" s="24" t="n">
        <v>3738.224827015635</v>
      </c>
      <c r="S2498" s="24">
        <f>R2498*IF(A2498=4, 2.0, 3.0)</f>
        <v/>
      </c>
      <c r="T2498" s="22">
        <f>'Dashboard &amp; Optimisation'!$B$18*U2498</f>
        <v/>
      </c>
      <c r="U2498" s="27">
        <f>MIN(1, S2498/M2498)</f>
        <v/>
      </c>
      <c r="V2498" s="27">
        <f>N2498/(N2498+O2498)</f>
        <v/>
      </c>
      <c r="W2498" s="27">
        <f>U2498*V2498</f>
        <v/>
      </c>
      <c r="X2498" s="25">
        <f>T2498/N2498</f>
        <v/>
      </c>
      <c r="Y2498" s="28">
        <f>IF(W2498=MAXIFS(W$2:W$3601, A$2:A$3601, A2498, B$2:B$3601, B2498), "OPTIMAL", "")</f>
        <v/>
      </c>
    </row>
    <row r="2499" ht="20" customHeight="1">
      <c r="A2499" s="29" t="n">
        <v>-18</v>
      </c>
      <c r="B2499" s="29" t="n">
        <v>30</v>
      </c>
      <c r="C2499" s="30" t="n">
        <v>120</v>
      </c>
      <c r="D2499" s="30" t="n">
        <v>2</v>
      </c>
      <c r="E2499" s="6" t="n">
        <v>8</v>
      </c>
      <c r="F2499" s="30" t="n">
        <v>2</v>
      </c>
      <c r="G2499" s="6" t="inlineStr">
        <is>
          <t>Oui</t>
        </is>
      </c>
      <c r="H2499" s="6" t="inlineStr">
        <is>
          <t>OFF</t>
        </is>
      </c>
      <c r="I2499" s="31" t="n">
        <v>674.4931640486259</v>
      </c>
      <c r="J2499" s="31" t="n">
        <v>5144.556481985902</v>
      </c>
      <c r="K2499" s="31" t="n">
        <v>3782.407407407407</v>
      </c>
      <c r="L2499" s="31" t="n">
        <v>150</v>
      </c>
      <c r="M2499" s="31">
        <f>I2499+J2499+K2499+L2499</f>
        <v/>
      </c>
      <c r="N2499" s="31">
        <f>M2499*'Dashboard &amp; Optimisation'!$B$18/('Dashboard &amp; Optimisation'!$B$16/3.6)</f>
        <v/>
      </c>
      <c r="O2499" s="31" t="n">
        <v>869.4649624378308</v>
      </c>
      <c r="P2499" s="32" t="n">
        <v>0.2163666659525478</v>
      </c>
      <c r="Q2499" s="33" t="n">
        <v>14.58672875926959</v>
      </c>
      <c r="R2499" s="31" t="n">
        <v>863.3901599960756</v>
      </c>
      <c r="S2499" s="31">
        <f>R2499*IF(A2499=4, 2.0, 3.0)</f>
        <v/>
      </c>
      <c r="T2499" s="30">
        <f>'Dashboard &amp; Optimisation'!$B$18*U2499</f>
        <v/>
      </c>
      <c r="U2499" s="34">
        <f>MIN(1, S2499/M2499)</f>
        <v/>
      </c>
      <c r="V2499" s="34">
        <f>N2499/(N2499+O2499)</f>
        <v/>
      </c>
      <c r="W2499" s="34">
        <f>U2499*V2499</f>
        <v/>
      </c>
      <c r="X2499" s="32">
        <f>T2499/N2499</f>
        <v/>
      </c>
      <c r="Y2499" s="35">
        <f>IF(W2499=MAXIFS(W$2:W$3601, A$2:A$3601, A2499, B$2:B$3601, B2499), "OPTIMAL", "")</f>
        <v/>
      </c>
    </row>
    <row r="2500" ht="20" customHeight="1">
      <c r="A2500" s="21" t="n">
        <v>-18</v>
      </c>
      <c r="B2500" s="21" t="n">
        <v>30</v>
      </c>
      <c r="C2500" s="22" t="n">
        <v>120</v>
      </c>
      <c r="D2500" s="22" t="n">
        <v>2</v>
      </c>
      <c r="E2500" s="23" t="n">
        <v>8</v>
      </c>
      <c r="F2500" s="22" t="n">
        <v>2</v>
      </c>
      <c r="G2500" s="23" t="inlineStr">
        <is>
          <t>Non</t>
        </is>
      </c>
      <c r="H2500" s="23" t="inlineStr">
        <is>
          <t>ON</t>
        </is>
      </c>
      <c r="I2500" s="24" t="n">
        <v>674.4931640486259</v>
      </c>
      <c r="J2500" s="24" t="n">
        <v>5144.556481985902</v>
      </c>
      <c r="K2500" s="24" t="n">
        <v>3782.407407407407</v>
      </c>
      <c r="L2500" s="24" t="n">
        <v>150</v>
      </c>
      <c r="M2500" s="24">
        <f>I2500+J2500+K2500+L2500</f>
        <v/>
      </c>
      <c r="N2500" s="24">
        <f>M2500*'Dashboard &amp; Optimisation'!$B$18/('Dashboard &amp; Optimisation'!$B$16/3.6)</f>
        <v/>
      </c>
      <c r="O2500" s="24" t="n">
        <v>869.4649624378308</v>
      </c>
      <c r="P2500" s="25" t="n">
        <v>0.04732002733741447</v>
      </c>
      <c r="Q2500" s="26" t="n">
        <v>14.58672875926959</v>
      </c>
      <c r="R2500" s="24" t="n">
        <v>3947.775621568244</v>
      </c>
      <c r="S2500" s="24">
        <f>R2500*IF(A2500=4, 2.0, 3.0)</f>
        <v/>
      </c>
      <c r="T2500" s="22">
        <f>'Dashboard &amp; Optimisation'!$B$18*U2500</f>
        <v/>
      </c>
      <c r="U2500" s="27">
        <f>MIN(1, S2500/M2500)</f>
        <v/>
      </c>
      <c r="V2500" s="27">
        <f>N2500/(N2500+O2500)</f>
        <v/>
      </c>
      <c r="W2500" s="27">
        <f>U2500*V2500</f>
        <v/>
      </c>
      <c r="X2500" s="25">
        <f>T2500/N2500</f>
        <v/>
      </c>
      <c r="Y2500" s="28">
        <f>IF(W2500=MAXIFS(W$2:W$3601, A$2:A$3601, A2500, B$2:B$3601, B2500), "OPTIMAL", "")</f>
        <v/>
      </c>
    </row>
    <row r="2501" ht="20" customHeight="1">
      <c r="A2501" s="29" t="n">
        <v>-18</v>
      </c>
      <c r="B2501" s="29" t="n">
        <v>30</v>
      </c>
      <c r="C2501" s="30" t="n">
        <v>120</v>
      </c>
      <c r="D2501" s="30" t="n">
        <v>2</v>
      </c>
      <c r="E2501" s="6" t="n">
        <v>8</v>
      </c>
      <c r="F2501" s="30" t="n">
        <v>2</v>
      </c>
      <c r="G2501" s="6" t="inlineStr">
        <is>
          <t>Non</t>
        </is>
      </c>
      <c r="H2501" s="6" t="inlineStr">
        <is>
          <t>OFF</t>
        </is>
      </c>
      <c r="I2501" s="31" t="n">
        <v>674.4931640486259</v>
      </c>
      <c r="J2501" s="31" t="n">
        <v>5144.556481985902</v>
      </c>
      <c r="K2501" s="31" t="n">
        <v>3782.407407407407</v>
      </c>
      <c r="L2501" s="31" t="n">
        <v>150</v>
      </c>
      <c r="M2501" s="31">
        <f>I2501+J2501+K2501+L2501</f>
        <v/>
      </c>
      <c r="N2501" s="31">
        <f>M2501*'Dashboard &amp; Optimisation'!$B$18/('Dashboard &amp; Optimisation'!$B$16/3.6)</f>
        <v/>
      </c>
      <c r="O2501" s="31" t="n">
        <v>869.4649624378308</v>
      </c>
      <c r="P2501" s="32" t="n">
        <v>0.2137140835676829</v>
      </c>
      <c r="Q2501" s="33" t="n">
        <v>14.58672875926959</v>
      </c>
      <c r="R2501" s="31" t="n">
        <v>874.1064099101623</v>
      </c>
      <c r="S2501" s="31">
        <f>R2501*IF(A2501=4, 2.0, 3.0)</f>
        <v/>
      </c>
      <c r="T2501" s="30">
        <f>'Dashboard &amp; Optimisation'!$B$18*U2501</f>
        <v/>
      </c>
      <c r="U2501" s="34">
        <f>MIN(1, S2501/M2501)</f>
        <v/>
      </c>
      <c r="V2501" s="34">
        <f>N2501/(N2501+O2501)</f>
        <v/>
      </c>
      <c r="W2501" s="34">
        <f>U2501*V2501</f>
        <v/>
      </c>
      <c r="X2501" s="32">
        <f>T2501/N2501</f>
        <v/>
      </c>
      <c r="Y2501" s="35">
        <f>IF(W2501=MAXIFS(W$2:W$3601, A$2:A$3601, A2501, B$2:B$3601, B2501), "OPTIMAL", "")</f>
        <v/>
      </c>
    </row>
    <row r="2502" ht="20" customHeight="1">
      <c r="A2502" s="21" t="n">
        <v>-18</v>
      </c>
      <c r="B2502" s="21" t="n">
        <v>30</v>
      </c>
      <c r="C2502" s="22" t="n">
        <v>120</v>
      </c>
      <c r="D2502" s="22" t="n">
        <v>3</v>
      </c>
      <c r="E2502" s="23" t="n">
        <v>0</v>
      </c>
      <c r="F2502" s="22" t="n">
        <v>0</v>
      </c>
      <c r="G2502" s="23" t="inlineStr">
        <is>
          <t>Oui</t>
        </is>
      </c>
      <c r="H2502" s="23" t="inlineStr">
        <is>
          <t>ON</t>
        </is>
      </c>
      <c r="I2502" s="24" t="n">
        <v>674.4931640486259</v>
      </c>
      <c r="J2502" s="24" t="n">
        <v>5144.556481985902</v>
      </c>
      <c r="K2502" s="24" t="n">
        <v>3782.407407407407</v>
      </c>
      <c r="L2502" s="24" t="n">
        <v>150</v>
      </c>
      <c r="M2502" s="24">
        <f>I2502+J2502+K2502+L2502</f>
        <v/>
      </c>
      <c r="N2502" s="24">
        <f>M2502*'Dashboard &amp; Optimisation'!$B$18/('Dashboard &amp; Optimisation'!$B$16/3.6)</f>
        <v/>
      </c>
      <c r="O2502" s="24" t="n">
        <v>535.4164850460812</v>
      </c>
      <c r="P2502" s="25" t="n">
        <v>0.4668943220842715</v>
      </c>
      <c r="Q2502" s="26" t="n">
        <v>0.2</v>
      </c>
      <c r="R2502" s="24" t="n">
        <v>385.1699461179278</v>
      </c>
      <c r="S2502" s="24">
        <f>R2502*IF(A2502=4, 2.0, 3.0)</f>
        <v/>
      </c>
      <c r="T2502" s="22">
        <f>'Dashboard &amp; Optimisation'!$B$18*U2502</f>
        <v/>
      </c>
      <c r="U2502" s="27">
        <f>MIN(1, S2502/M2502)</f>
        <v/>
      </c>
      <c r="V2502" s="27">
        <f>N2502/(N2502+O2502)</f>
        <v/>
      </c>
      <c r="W2502" s="27">
        <f>U2502*V2502</f>
        <v/>
      </c>
      <c r="X2502" s="25">
        <f>T2502/N2502</f>
        <v/>
      </c>
      <c r="Y2502" s="28">
        <f>IF(W2502=MAXIFS(W$2:W$3601, A$2:A$3601, A2502, B$2:B$3601, B2502), "OPTIMAL", "")</f>
        <v/>
      </c>
    </row>
    <row r="2503" ht="20" customHeight="1">
      <c r="A2503" s="29" t="n">
        <v>-18</v>
      </c>
      <c r="B2503" s="29" t="n">
        <v>30</v>
      </c>
      <c r="C2503" s="30" t="n">
        <v>120</v>
      </c>
      <c r="D2503" s="30" t="n">
        <v>3</v>
      </c>
      <c r="E2503" s="6" t="n">
        <v>0</v>
      </c>
      <c r="F2503" s="30" t="n">
        <v>0</v>
      </c>
      <c r="G2503" s="6" t="inlineStr">
        <is>
          <t>Oui</t>
        </is>
      </c>
      <c r="H2503" s="6" t="inlineStr">
        <is>
          <t>OFF</t>
        </is>
      </c>
      <c r="I2503" s="31" t="n">
        <v>674.4931640486259</v>
      </c>
      <c r="J2503" s="31" t="n">
        <v>5144.556481985902</v>
      </c>
      <c r="K2503" s="31" t="n">
        <v>3782.407407407407</v>
      </c>
      <c r="L2503" s="31" t="n">
        <v>150</v>
      </c>
      <c r="M2503" s="31">
        <f>I2503+J2503+K2503+L2503</f>
        <v/>
      </c>
      <c r="N2503" s="31">
        <f>M2503*'Dashboard &amp; Optimisation'!$B$18/('Dashboard &amp; Optimisation'!$B$16/3.6)</f>
        <v/>
      </c>
      <c r="O2503" s="31" t="n">
        <v>535.4164850460812</v>
      </c>
      <c r="P2503" s="32" t="n">
        <v>0.7321525605707637</v>
      </c>
      <c r="Q2503" s="33" t="n">
        <v>0.2</v>
      </c>
      <c r="R2503" s="31" t="n">
        <v>245.6232082829465</v>
      </c>
      <c r="S2503" s="31">
        <f>R2503*IF(A2503=4, 2.0, 3.0)</f>
        <v/>
      </c>
      <c r="T2503" s="30">
        <f>'Dashboard &amp; Optimisation'!$B$18*U2503</f>
        <v/>
      </c>
      <c r="U2503" s="34">
        <f>MIN(1, S2503/M2503)</f>
        <v/>
      </c>
      <c r="V2503" s="34">
        <f>N2503/(N2503+O2503)</f>
        <v/>
      </c>
      <c r="W2503" s="34">
        <f>U2503*V2503</f>
        <v/>
      </c>
      <c r="X2503" s="32">
        <f>T2503/N2503</f>
        <v/>
      </c>
      <c r="Y2503" s="35">
        <f>IF(W2503=MAXIFS(W$2:W$3601, A$2:A$3601, A2503, B$2:B$3601, B2503), "OPTIMAL", "")</f>
        <v/>
      </c>
    </row>
    <row r="2504" ht="20" customHeight="1">
      <c r="A2504" s="21" t="n">
        <v>-18</v>
      </c>
      <c r="B2504" s="21" t="n">
        <v>30</v>
      </c>
      <c r="C2504" s="22" t="n">
        <v>120</v>
      </c>
      <c r="D2504" s="22" t="n">
        <v>3</v>
      </c>
      <c r="E2504" s="23" t="n">
        <v>0</v>
      </c>
      <c r="F2504" s="22" t="n">
        <v>0</v>
      </c>
      <c r="G2504" s="23" t="inlineStr">
        <is>
          <t>Non</t>
        </is>
      </c>
      <c r="H2504" s="23" t="inlineStr">
        <is>
          <t>ON</t>
        </is>
      </c>
      <c r="I2504" s="24" t="n">
        <v>674.4931640486259</v>
      </c>
      <c r="J2504" s="24" t="n">
        <v>5144.556481985902</v>
      </c>
      <c r="K2504" s="24" t="n">
        <v>3782.407407407407</v>
      </c>
      <c r="L2504" s="24" t="n">
        <v>150</v>
      </c>
      <c r="M2504" s="24">
        <f>I2504+J2504+K2504+L2504</f>
        <v/>
      </c>
      <c r="N2504" s="24">
        <f>M2504*'Dashboard &amp; Optimisation'!$B$18/('Dashboard &amp; Optimisation'!$B$16/3.6)</f>
        <v/>
      </c>
      <c r="O2504" s="24" t="n">
        <v>535.4164850460812</v>
      </c>
      <c r="P2504" s="25" t="n">
        <v>0.4642417396994065</v>
      </c>
      <c r="Q2504" s="26" t="n">
        <v>0.2</v>
      </c>
      <c r="R2504" s="24" t="n">
        <v>387.370728440761</v>
      </c>
      <c r="S2504" s="24">
        <f>R2504*IF(A2504=4, 2.0, 3.0)</f>
        <v/>
      </c>
      <c r="T2504" s="22">
        <f>'Dashboard &amp; Optimisation'!$B$18*U2504</f>
        <v/>
      </c>
      <c r="U2504" s="27">
        <f>MIN(1, S2504/M2504)</f>
        <v/>
      </c>
      <c r="V2504" s="27">
        <f>N2504/(N2504+O2504)</f>
        <v/>
      </c>
      <c r="W2504" s="27">
        <f>U2504*V2504</f>
        <v/>
      </c>
      <c r="X2504" s="25">
        <f>T2504/N2504</f>
        <v/>
      </c>
      <c r="Y2504" s="28">
        <f>IF(W2504=MAXIFS(W$2:W$3601, A$2:A$3601, A2504, B$2:B$3601, B2504), "OPTIMAL", "")</f>
        <v/>
      </c>
    </row>
    <row r="2505" ht="20" customHeight="1">
      <c r="A2505" s="29" t="n">
        <v>-18</v>
      </c>
      <c r="B2505" s="29" t="n">
        <v>30</v>
      </c>
      <c r="C2505" s="30" t="n">
        <v>120</v>
      </c>
      <c r="D2505" s="30" t="n">
        <v>3</v>
      </c>
      <c r="E2505" s="6" t="n">
        <v>0</v>
      </c>
      <c r="F2505" s="30" t="n">
        <v>0</v>
      </c>
      <c r="G2505" s="6" t="inlineStr">
        <is>
          <t>Non</t>
        </is>
      </c>
      <c r="H2505" s="6" t="inlineStr">
        <is>
          <t>OFF</t>
        </is>
      </c>
      <c r="I2505" s="31" t="n">
        <v>674.4931640486259</v>
      </c>
      <c r="J2505" s="31" t="n">
        <v>5144.556481985902</v>
      </c>
      <c r="K2505" s="31" t="n">
        <v>3782.407407407407</v>
      </c>
      <c r="L2505" s="31" t="n">
        <v>150</v>
      </c>
      <c r="M2505" s="31">
        <f>I2505+J2505+K2505+L2505</f>
        <v/>
      </c>
      <c r="N2505" s="31">
        <f>M2505*'Dashboard &amp; Optimisation'!$B$18/('Dashboard &amp; Optimisation'!$B$16/3.6)</f>
        <v/>
      </c>
      <c r="O2505" s="31" t="n">
        <v>535.4164850460812</v>
      </c>
      <c r="P2505" s="32" t="n">
        <v>0.7294999781858988</v>
      </c>
      <c r="Q2505" s="33" t="n">
        <v>0.2</v>
      </c>
      <c r="R2505" s="31" t="n">
        <v>246.5163348286464</v>
      </c>
      <c r="S2505" s="31">
        <f>R2505*IF(A2505=4, 2.0, 3.0)</f>
        <v/>
      </c>
      <c r="T2505" s="30">
        <f>'Dashboard &amp; Optimisation'!$B$18*U2505</f>
        <v/>
      </c>
      <c r="U2505" s="34">
        <f>MIN(1, S2505/M2505)</f>
        <v/>
      </c>
      <c r="V2505" s="34">
        <f>N2505/(N2505+O2505)</f>
        <v/>
      </c>
      <c r="W2505" s="34">
        <f>U2505*V2505</f>
        <v/>
      </c>
      <c r="X2505" s="32">
        <f>T2505/N2505</f>
        <v/>
      </c>
      <c r="Y2505" s="35">
        <f>IF(W2505=MAXIFS(W$2:W$3601, A$2:A$3601, A2505, B$2:B$3601, B2505), "OPTIMAL", "")</f>
        <v/>
      </c>
    </row>
    <row r="2506" ht="20" customHeight="1">
      <c r="A2506" s="21" t="n">
        <v>-18</v>
      </c>
      <c r="B2506" s="21" t="n">
        <v>30</v>
      </c>
      <c r="C2506" s="22" t="n">
        <v>120</v>
      </c>
      <c r="D2506" s="22" t="n">
        <v>3</v>
      </c>
      <c r="E2506" s="23" t="n">
        <v>4</v>
      </c>
      <c r="F2506" s="22" t="n">
        <v>1.5</v>
      </c>
      <c r="G2506" s="23" t="inlineStr">
        <is>
          <t>Oui</t>
        </is>
      </c>
      <c r="H2506" s="23" t="inlineStr">
        <is>
          <t>ON</t>
        </is>
      </c>
      <c r="I2506" s="24" t="n">
        <v>674.4931640486259</v>
      </c>
      <c r="J2506" s="24" t="n">
        <v>5144.556481985902</v>
      </c>
      <c r="K2506" s="24" t="n">
        <v>3782.407407407407</v>
      </c>
      <c r="L2506" s="24" t="n">
        <v>150</v>
      </c>
      <c r="M2506" s="24">
        <f>I2506+J2506+K2506+L2506</f>
        <v/>
      </c>
      <c r="N2506" s="24">
        <f>M2506*'Dashboard &amp; Optimisation'!$B$18/('Dashboard &amp; Optimisation'!$B$16/3.6)</f>
        <v/>
      </c>
      <c r="O2506" s="24" t="n">
        <v>731.5726222362512</v>
      </c>
      <c r="P2506" s="25" t="n">
        <v>0.06783449726767998</v>
      </c>
      <c r="Q2506" s="26" t="n">
        <v>5.689672816037082</v>
      </c>
      <c r="R2506" s="24" t="n">
        <v>2724.084184710152</v>
      </c>
      <c r="S2506" s="24">
        <f>R2506*IF(A2506=4, 2.0, 3.0)</f>
        <v/>
      </c>
      <c r="T2506" s="22">
        <f>'Dashboard &amp; Optimisation'!$B$18*U2506</f>
        <v/>
      </c>
      <c r="U2506" s="27">
        <f>MIN(1, S2506/M2506)</f>
        <v/>
      </c>
      <c r="V2506" s="27">
        <f>N2506/(N2506+O2506)</f>
        <v/>
      </c>
      <c r="W2506" s="27">
        <f>U2506*V2506</f>
        <v/>
      </c>
      <c r="X2506" s="25">
        <f>T2506/N2506</f>
        <v/>
      </c>
      <c r="Y2506" s="28">
        <f>IF(W2506=MAXIFS(W$2:W$3601, A$2:A$3601, A2506, B$2:B$3601, B2506), "OPTIMAL", "")</f>
        <v/>
      </c>
    </row>
    <row r="2507" ht="20" customHeight="1">
      <c r="A2507" s="29" t="n">
        <v>-18</v>
      </c>
      <c r="B2507" s="29" t="n">
        <v>30</v>
      </c>
      <c r="C2507" s="30" t="n">
        <v>120</v>
      </c>
      <c r="D2507" s="30" t="n">
        <v>3</v>
      </c>
      <c r="E2507" s="6" t="n">
        <v>4</v>
      </c>
      <c r="F2507" s="30" t="n">
        <v>1.5</v>
      </c>
      <c r="G2507" s="6" t="inlineStr">
        <is>
          <t>Oui</t>
        </is>
      </c>
      <c r="H2507" s="6" t="inlineStr">
        <is>
          <t>OFF</t>
        </is>
      </c>
      <c r="I2507" s="31" t="n">
        <v>674.4931640486259</v>
      </c>
      <c r="J2507" s="31" t="n">
        <v>5144.556481985902</v>
      </c>
      <c r="K2507" s="31" t="n">
        <v>3782.407407407407</v>
      </c>
      <c r="L2507" s="31" t="n">
        <v>150</v>
      </c>
      <c r="M2507" s="31">
        <f>I2507+J2507+K2507+L2507</f>
        <v/>
      </c>
      <c r="N2507" s="31">
        <f>M2507*'Dashboard &amp; Optimisation'!$B$18/('Dashboard &amp; Optimisation'!$B$16/3.6)</f>
        <v/>
      </c>
      <c r="O2507" s="31" t="n">
        <v>731.5726222362512</v>
      </c>
      <c r="P2507" s="32" t="n">
        <v>0.2715077102234196</v>
      </c>
      <c r="Q2507" s="33" t="n">
        <v>5.689672816037082</v>
      </c>
      <c r="R2507" s="31" t="n">
        <v>680.5953357000167</v>
      </c>
      <c r="S2507" s="31">
        <f>R2507*IF(A2507=4, 2.0, 3.0)</f>
        <v/>
      </c>
      <c r="T2507" s="30">
        <f>'Dashboard &amp; Optimisation'!$B$18*U2507</f>
        <v/>
      </c>
      <c r="U2507" s="34">
        <f>MIN(1, S2507/M2507)</f>
        <v/>
      </c>
      <c r="V2507" s="34">
        <f>N2507/(N2507+O2507)</f>
        <v/>
      </c>
      <c r="W2507" s="34">
        <f>U2507*V2507</f>
        <v/>
      </c>
      <c r="X2507" s="32">
        <f>T2507/N2507</f>
        <v/>
      </c>
      <c r="Y2507" s="35">
        <f>IF(W2507=MAXIFS(W$2:W$3601, A$2:A$3601, A2507, B$2:B$3601, B2507), "OPTIMAL", "")</f>
        <v/>
      </c>
    </row>
    <row r="2508" ht="20" customHeight="1">
      <c r="A2508" s="21" t="n">
        <v>-18</v>
      </c>
      <c r="B2508" s="21" t="n">
        <v>30</v>
      </c>
      <c r="C2508" s="22" t="n">
        <v>120</v>
      </c>
      <c r="D2508" s="22" t="n">
        <v>3</v>
      </c>
      <c r="E2508" s="23" t="n">
        <v>4</v>
      </c>
      <c r="F2508" s="22" t="n">
        <v>1.5</v>
      </c>
      <c r="G2508" s="23" t="inlineStr">
        <is>
          <t>Non</t>
        </is>
      </c>
      <c r="H2508" s="23" t="inlineStr">
        <is>
          <t>ON</t>
        </is>
      </c>
      <c r="I2508" s="24" t="n">
        <v>674.4931640486259</v>
      </c>
      <c r="J2508" s="24" t="n">
        <v>5144.556481985902</v>
      </c>
      <c r="K2508" s="24" t="n">
        <v>3782.407407407407</v>
      </c>
      <c r="L2508" s="24" t="n">
        <v>150</v>
      </c>
      <c r="M2508" s="24">
        <f>I2508+J2508+K2508+L2508</f>
        <v/>
      </c>
      <c r="N2508" s="24">
        <f>M2508*'Dashboard &amp; Optimisation'!$B$18/('Dashboard &amp; Optimisation'!$B$16/3.6)</f>
        <v/>
      </c>
      <c r="O2508" s="24" t="n">
        <v>731.5726222362512</v>
      </c>
      <c r="P2508" s="25" t="n">
        <v>0.06518191488281506</v>
      </c>
      <c r="Q2508" s="26" t="n">
        <v>5.689672816037082</v>
      </c>
      <c r="R2508" s="24" t="n">
        <v>2834.940972766196</v>
      </c>
      <c r="S2508" s="24">
        <f>R2508*IF(A2508=4, 2.0, 3.0)</f>
        <v/>
      </c>
      <c r="T2508" s="22">
        <f>'Dashboard &amp; Optimisation'!$B$18*U2508</f>
        <v/>
      </c>
      <c r="U2508" s="27">
        <f>MIN(1, S2508/M2508)</f>
        <v/>
      </c>
      <c r="V2508" s="27">
        <f>N2508/(N2508+O2508)</f>
        <v/>
      </c>
      <c r="W2508" s="27">
        <f>U2508*V2508</f>
        <v/>
      </c>
      <c r="X2508" s="25">
        <f>T2508/N2508</f>
        <v/>
      </c>
      <c r="Y2508" s="28">
        <f>IF(W2508=MAXIFS(W$2:W$3601, A$2:A$3601, A2508, B$2:B$3601, B2508), "OPTIMAL", "")</f>
        <v/>
      </c>
    </row>
    <row r="2509" ht="20" customHeight="1">
      <c r="A2509" s="29" t="n">
        <v>-18</v>
      </c>
      <c r="B2509" s="29" t="n">
        <v>30</v>
      </c>
      <c r="C2509" s="30" t="n">
        <v>120</v>
      </c>
      <c r="D2509" s="30" t="n">
        <v>3</v>
      </c>
      <c r="E2509" s="6" t="n">
        <v>4</v>
      </c>
      <c r="F2509" s="30" t="n">
        <v>1.5</v>
      </c>
      <c r="G2509" s="6" t="inlineStr">
        <is>
          <t>Non</t>
        </is>
      </c>
      <c r="H2509" s="6" t="inlineStr">
        <is>
          <t>OFF</t>
        </is>
      </c>
      <c r="I2509" s="31" t="n">
        <v>674.4931640486259</v>
      </c>
      <c r="J2509" s="31" t="n">
        <v>5144.556481985902</v>
      </c>
      <c r="K2509" s="31" t="n">
        <v>3782.407407407407</v>
      </c>
      <c r="L2509" s="31" t="n">
        <v>150</v>
      </c>
      <c r="M2509" s="31">
        <f>I2509+J2509+K2509+L2509</f>
        <v/>
      </c>
      <c r="N2509" s="31">
        <f>M2509*'Dashboard &amp; Optimisation'!$B$18/('Dashboard &amp; Optimisation'!$B$16/3.6)</f>
        <v/>
      </c>
      <c r="O2509" s="31" t="n">
        <v>731.5726222362512</v>
      </c>
      <c r="P2509" s="32" t="n">
        <v>0.2688551278385546</v>
      </c>
      <c r="Q2509" s="33" t="n">
        <v>5.689672816037082</v>
      </c>
      <c r="R2509" s="31" t="n">
        <v>687.3102353309554</v>
      </c>
      <c r="S2509" s="31">
        <f>R2509*IF(A2509=4, 2.0, 3.0)</f>
        <v/>
      </c>
      <c r="T2509" s="30">
        <f>'Dashboard &amp; Optimisation'!$B$18*U2509</f>
        <v/>
      </c>
      <c r="U2509" s="34">
        <f>MIN(1, S2509/M2509)</f>
        <v/>
      </c>
      <c r="V2509" s="34">
        <f>N2509/(N2509+O2509)</f>
        <v/>
      </c>
      <c r="W2509" s="34">
        <f>U2509*V2509</f>
        <v/>
      </c>
      <c r="X2509" s="32">
        <f>T2509/N2509</f>
        <v/>
      </c>
      <c r="Y2509" s="35">
        <f>IF(W2509=MAXIFS(W$2:W$3601, A$2:A$3601, A2509, B$2:B$3601, B2509), "OPTIMAL", "")</f>
        <v/>
      </c>
    </row>
    <row r="2510" ht="20" customHeight="1">
      <c r="A2510" s="21" t="n">
        <v>-18</v>
      </c>
      <c r="B2510" s="21" t="n">
        <v>30</v>
      </c>
      <c r="C2510" s="22" t="n">
        <v>120</v>
      </c>
      <c r="D2510" s="22" t="n">
        <v>3</v>
      </c>
      <c r="E2510" s="23" t="n">
        <v>4</v>
      </c>
      <c r="F2510" s="22" t="n">
        <v>2</v>
      </c>
      <c r="G2510" s="23" t="inlineStr">
        <is>
          <t>Oui</t>
        </is>
      </c>
      <c r="H2510" s="23" t="inlineStr">
        <is>
          <t>ON</t>
        </is>
      </c>
      <c r="I2510" s="24" t="n">
        <v>674.4931640486259</v>
      </c>
      <c r="J2510" s="24" t="n">
        <v>5144.556481985902</v>
      </c>
      <c r="K2510" s="24" t="n">
        <v>3782.407407407407</v>
      </c>
      <c r="L2510" s="24" t="n">
        <v>150</v>
      </c>
      <c r="M2510" s="24">
        <f>I2510+J2510+K2510+L2510</f>
        <v/>
      </c>
      <c r="N2510" s="24">
        <f>M2510*'Dashboard &amp; Optimisation'!$B$18/('Dashboard &amp; Optimisation'!$B$16/3.6)</f>
        <v/>
      </c>
      <c r="O2510" s="24" t="n">
        <v>799.3814942783904</v>
      </c>
      <c r="P2510" s="25" t="n">
        <v>0.06458187918791126</v>
      </c>
      <c r="Q2510" s="26" t="n">
        <v>7.519563754716109</v>
      </c>
      <c r="R2510" s="24" t="n">
        <v>2887.793814535948</v>
      </c>
      <c r="S2510" s="24">
        <f>R2510*IF(A2510=4, 2.0, 3.0)</f>
        <v/>
      </c>
      <c r="T2510" s="22">
        <f>'Dashboard &amp; Optimisation'!$B$18*U2510</f>
        <v/>
      </c>
      <c r="U2510" s="27">
        <f>MIN(1, S2510/M2510)</f>
        <v/>
      </c>
      <c r="V2510" s="27">
        <f>N2510/(N2510+O2510)</f>
        <v/>
      </c>
      <c r="W2510" s="27">
        <f>U2510*V2510</f>
        <v/>
      </c>
      <c r="X2510" s="25">
        <f>T2510/N2510</f>
        <v/>
      </c>
      <c r="Y2510" s="28">
        <f>IF(W2510=MAXIFS(W$2:W$3601, A$2:A$3601, A2510, B$2:B$3601, B2510), "OPTIMAL", "")</f>
        <v/>
      </c>
    </row>
    <row r="2511" ht="20" customHeight="1">
      <c r="A2511" s="29" t="n">
        <v>-18</v>
      </c>
      <c r="B2511" s="29" t="n">
        <v>30</v>
      </c>
      <c r="C2511" s="30" t="n">
        <v>120</v>
      </c>
      <c r="D2511" s="30" t="n">
        <v>3</v>
      </c>
      <c r="E2511" s="6" t="n">
        <v>4</v>
      </c>
      <c r="F2511" s="30" t="n">
        <v>2</v>
      </c>
      <c r="G2511" s="6" t="inlineStr">
        <is>
          <t>Oui</t>
        </is>
      </c>
      <c r="H2511" s="6" t="inlineStr">
        <is>
          <t>OFF</t>
        </is>
      </c>
      <c r="I2511" s="31" t="n">
        <v>674.4931640486259</v>
      </c>
      <c r="J2511" s="31" t="n">
        <v>5144.556481985902</v>
      </c>
      <c r="K2511" s="31" t="n">
        <v>3782.407407407407</v>
      </c>
      <c r="L2511" s="31" t="n">
        <v>150</v>
      </c>
      <c r="M2511" s="31">
        <f>I2511+J2511+K2511+L2511</f>
        <v/>
      </c>
      <c r="N2511" s="31">
        <f>M2511*'Dashboard &amp; Optimisation'!$B$18/('Dashboard &amp; Optimisation'!$B$16/3.6)</f>
        <v/>
      </c>
      <c r="O2511" s="31" t="n">
        <v>799.3814942783904</v>
      </c>
      <c r="P2511" s="32" t="n">
        <v>0.2690865884190716</v>
      </c>
      <c r="Q2511" s="33" t="n">
        <v>7.519563754716109</v>
      </c>
      <c r="R2511" s="31" t="n">
        <v>693.0822986967559</v>
      </c>
      <c r="S2511" s="31">
        <f>R2511*IF(A2511=4, 2.0, 3.0)</f>
        <v/>
      </c>
      <c r="T2511" s="30">
        <f>'Dashboard &amp; Optimisation'!$B$18*U2511</f>
        <v/>
      </c>
      <c r="U2511" s="34">
        <f>MIN(1, S2511/M2511)</f>
        <v/>
      </c>
      <c r="V2511" s="34">
        <f>N2511/(N2511+O2511)</f>
        <v/>
      </c>
      <c r="W2511" s="34">
        <f>U2511*V2511</f>
        <v/>
      </c>
      <c r="X2511" s="32">
        <f>T2511/N2511</f>
        <v/>
      </c>
      <c r="Y2511" s="35">
        <f>IF(W2511=MAXIFS(W$2:W$3601, A$2:A$3601, A2511, B$2:B$3601, B2511), "OPTIMAL", "")</f>
        <v/>
      </c>
    </row>
    <row r="2512" ht="20" customHeight="1">
      <c r="A2512" s="21" t="n">
        <v>-18</v>
      </c>
      <c r="B2512" s="21" t="n">
        <v>30</v>
      </c>
      <c r="C2512" s="22" t="n">
        <v>120</v>
      </c>
      <c r="D2512" s="22" t="n">
        <v>3</v>
      </c>
      <c r="E2512" s="23" t="n">
        <v>4</v>
      </c>
      <c r="F2512" s="22" t="n">
        <v>2</v>
      </c>
      <c r="G2512" s="23" t="inlineStr">
        <is>
          <t>Non</t>
        </is>
      </c>
      <c r="H2512" s="23" t="inlineStr">
        <is>
          <t>ON</t>
        </is>
      </c>
      <c r="I2512" s="24" t="n">
        <v>674.4931640486259</v>
      </c>
      <c r="J2512" s="24" t="n">
        <v>5144.556481985902</v>
      </c>
      <c r="K2512" s="24" t="n">
        <v>3782.407407407407</v>
      </c>
      <c r="L2512" s="24" t="n">
        <v>150</v>
      </c>
      <c r="M2512" s="24">
        <f>I2512+J2512+K2512+L2512</f>
        <v/>
      </c>
      <c r="N2512" s="24">
        <f>M2512*'Dashboard &amp; Optimisation'!$B$18/('Dashboard &amp; Optimisation'!$B$16/3.6)</f>
        <v/>
      </c>
      <c r="O2512" s="24" t="n">
        <v>799.3814942783904</v>
      </c>
      <c r="P2512" s="25" t="n">
        <v>0.06192929680304634</v>
      </c>
      <c r="Q2512" s="26" t="n">
        <v>7.519563754716109</v>
      </c>
      <c r="R2512" s="24" t="n">
        <v>3011.48504629531</v>
      </c>
      <c r="S2512" s="24">
        <f>R2512*IF(A2512=4, 2.0, 3.0)</f>
        <v/>
      </c>
      <c r="T2512" s="22">
        <f>'Dashboard &amp; Optimisation'!$B$18*U2512</f>
        <v/>
      </c>
      <c r="U2512" s="27">
        <f>MIN(1, S2512/M2512)</f>
        <v/>
      </c>
      <c r="V2512" s="27">
        <f>N2512/(N2512+O2512)</f>
        <v/>
      </c>
      <c r="W2512" s="27">
        <f>U2512*V2512</f>
        <v/>
      </c>
      <c r="X2512" s="25">
        <f>T2512/N2512</f>
        <v/>
      </c>
      <c r="Y2512" s="28">
        <f>IF(W2512=MAXIFS(W$2:W$3601, A$2:A$3601, A2512, B$2:B$3601, B2512), "OPTIMAL", "")</f>
        <v/>
      </c>
    </row>
    <row r="2513" ht="20" customHeight="1">
      <c r="A2513" s="29" t="n">
        <v>-18</v>
      </c>
      <c r="B2513" s="29" t="n">
        <v>30</v>
      </c>
      <c r="C2513" s="30" t="n">
        <v>120</v>
      </c>
      <c r="D2513" s="30" t="n">
        <v>3</v>
      </c>
      <c r="E2513" s="6" t="n">
        <v>4</v>
      </c>
      <c r="F2513" s="30" t="n">
        <v>2</v>
      </c>
      <c r="G2513" s="6" t="inlineStr">
        <is>
          <t>Non</t>
        </is>
      </c>
      <c r="H2513" s="6" t="inlineStr">
        <is>
          <t>OFF</t>
        </is>
      </c>
      <c r="I2513" s="31" t="n">
        <v>674.4931640486259</v>
      </c>
      <c r="J2513" s="31" t="n">
        <v>5144.556481985902</v>
      </c>
      <c r="K2513" s="31" t="n">
        <v>3782.407407407407</v>
      </c>
      <c r="L2513" s="31" t="n">
        <v>150</v>
      </c>
      <c r="M2513" s="31">
        <f>I2513+J2513+K2513+L2513</f>
        <v/>
      </c>
      <c r="N2513" s="31">
        <f>M2513*'Dashboard &amp; Optimisation'!$B$18/('Dashboard &amp; Optimisation'!$B$16/3.6)</f>
        <v/>
      </c>
      <c r="O2513" s="31" t="n">
        <v>799.3814942783904</v>
      </c>
      <c r="P2513" s="32" t="n">
        <v>0.2664340060342067</v>
      </c>
      <c r="Q2513" s="33" t="n">
        <v>7.519563754716109</v>
      </c>
      <c r="R2513" s="31" t="n">
        <v>699.9825361107017</v>
      </c>
      <c r="S2513" s="31">
        <f>R2513*IF(A2513=4, 2.0, 3.0)</f>
        <v/>
      </c>
      <c r="T2513" s="30">
        <f>'Dashboard &amp; Optimisation'!$B$18*U2513</f>
        <v/>
      </c>
      <c r="U2513" s="34">
        <f>MIN(1, S2513/M2513)</f>
        <v/>
      </c>
      <c r="V2513" s="34">
        <f>N2513/(N2513+O2513)</f>
        <v/>
      </c>
      <c r="W2513" s="34">
        <f>U2513*V2513</f>
        <v/>
      </c>
      <c r="X2513" s="32">
        <f>T2513/N2513</f>
        <v/>
      </c>
      <c r="Y2513" s="35">
        <f>IF(W2513=MAXIFS(W$2:W$3601, A$2:A$3601, A2513, B$2:B$3601, B2513), "OPTIMAL", "")</f>
        <v/>
      </c>
    </row>
    <row r="2514" ht="20" customHeight="1">
      <c r="A2514" s="21" t="n">
        <v>-18</v>
      </c>
      <c r="B2514" s="21" t="n">
        <v>30</v>
      </c>
      <c r="C2514" s="22" t="n">
        <v>120</v>
      </c>
      <c r="D2514" s="22" t="n">
        <v>3</v>
      </c>
      <c r="E2514" s="23" t="n">
        <v>8</v>
      </c>
      <c r="F2514" s="22" t="n">
        <v>1.5</v>
      </c>
      <c r="G2514" s="23" t="inlineStr">
        <is>
          <t>Oui</t>
        </is>
      </c>
      <c r="H2514" s="23" t="inlineStr">
        <is>
          <t>ON</t>
        </is>
      </c>
      <c r="I2514" s="24" t="n">
        <v>674.4931640486259</v>
      </c>
      <c r="J2514" s="24" t="n">
        <v>5144.556481985902</v>
      </c>
      <c r="K2514" s="24" t="n">
        <v>3782.407407407407</v>
      </c>
      <c r="L2514" s="24" t="n">
        <v>150</v>
      </c>
      <c r="M2514" s="24">
        <f>I2514+J2514+K2514+L2514</f>
        <v/>
      </c>
      <c r="N2514" s="24">
        <f>M2514*'Dashboard &amp; Optimisation'!$B$18/('Dashboard &amp; Optimisation'!$B$16/3.6)</f>
        <v/>
      </c>
      <c r="O2514" s="24" t="n">
        <v>938.8404029975709</v>
      </c>
      <c r="P2514" s="25" t="n">
        <v>0.05144850932496671</v>
      </c>
      <c r="Q2514" s="26" t="n">
        <v>11.17934563207417</v>
      </c>
      <c r="R2514" s="24" t="n">
        <v>3693.414808738021</v>
      </c>
      <c r="S2514" s="24">
        <f>R2514*IF(A2514=4, 2.0, 3.0)</f>
        <v/>
      </c>
      <c r="T2514" s="22">
        <f>'Dashboard &amp; Optimisation'!$B$18*U2514</f>
        <v/>
      </c>
      <c r="U2514" s="27">
        <f>MIN(1, S2514/M2514)</f>
        <v/>
      </c>
      <c r="V2514" s="27">
        <f>N2514/(N2514+O2514)</f>
        <v/>
      </c>
      <c r="W2514" s="27">
        <f>U2514*V2514</f>
        <v/>
      </c>
      <c r="X2514" s="25">
        <f>T2514/N2514</f>
        <v/>
      </c>
      <c r="Y2514" s="28">
        <f>IF(W2514=MAXIFS(W$2:W$3601, A$2:A$3601, A2514, B$2:B$3601, B2514), "OPTIMAL", "")</f>
        <v/>
      </c>
    </row>
    <row r="2515" ht="20" customHeight="1">
      <c r="A2515" s="29" t="n">
        <v>-18</v>
      </c>
      <c r="B2515" s="29" t="n">
        <v>30</v>
      </c>
      <c r="C2515" s="30" t="n">
        <v>120</v>
      </c>
      <c r="D2515" s="30" t="n">
        <v>3</v>
      </c>
      <c r="E2515" s="6" t="n">
        <v>8</v>
      </c>
      <c r="F2515" s="30" t="n">
        <v>1.5</v>
      </c>
      <c r="G2515" s="6" t="inlineStr">
        <is>
          <t>Oui</t>
        </is>
      </c>
      <c r="H2515" s="6" t="inlineStr">
        <is>
          <t>OFF</t>
        </is>
      </c>
      <c r="I2515" s="31" t="n">
        <v>674.4931640486259</v>
      </c>
      <c r="J2515" s="31" t="n">
        <v>5144.556481985902</v>
      </c>
      <c r="K2515" s="31" t="n">
        <v>3782.407407407407</v>
      </c>
      <c r="L2515" s="31" t="n">
        <v>150</v>
      </c>
      <c r="M2515" s="31">
        <f>I2515+J2515+K2515+L2515</f>
        <v/>
      </c>
      <c r="N2515" s="31">
        <f>M2515*'Dashboard &amp; Optimisation'!$B$18/('Dashboard &amp; Optimisation'!$B$16/3.6)</f>
        <v/>
      </c>
      <c r="O2515" s="31" t="n">
        <v>938.8404029975709</v>
      </c>
      <c r="P2515" s="32" t="n">
        <v>0.2167441267000743</v>
      </c>
      <c r="Q2515" s="33" t="n">
        <v>11.17934563207417</v>
      </c>
      <c r="R2515" s="31" t="n">
        <v>876.7051228625661</v>
      </c>
      <c r="S2515" s="31">
        <f>R2515*IF(A2515=4, 2.0, 3.0)</f>
        <v/>
      </c>
      <c r="T2515" s="30">
        <f>'Dashboard &amp; Optimisation'!$B$18*U2515</f>
        <v/>
      </c>
      <c r="U2515" s="34">
        <f>MIN(1, S2515/M2515)</f>
        <v/>
      </c>
      <c r="V2515" s="34">
        <f>N2515/(N2515+O2515)</f>
        <v/>
      </c>
      <c r="W2515" s="34">
        <f>U2515*V2515</f>
        <v/>
      </c>
      <c r="X2515" s="32">
        <f>T2515/N2515</f>
        <v/>
      </c>
      <c r="Y2515" s="35">
        <f>IF(W2515=MAXIFS(W$2:W$3601, A$2:A$3601, A2515, B$2:B$3601, B2515), "OPTIMAL", "")</f>
        <v/>
      </c>
    </row>
    <row r="2516" ht="20" customHeight="1">
      <c r="A2516" s="21" t="n">
        <v>-18</v>
      </c>
      <c r="B2516" s="21" t="n">
        <v>30</v>
      </c>
      <c r="C2516" s="22" t="n">
        <v>120</v>
      </c>
      <c r="D2516" s="22" t="n">
        <v>3</v>
      </c>
      <c r="E2516" s="23" t="n">
        <v>8</v>
      </c>
      <c r="F2516" s="22" t="n">
        <v>1.5</v>
      </c>
      <c r="G2516" s="23" t="inlineStr">
        <is>
          <t>Non</t>
        </is>
      </c>
      <c r="H2516" s="23" t="inlineStr">
        <is>
          <t>ON</t>
        </is>
      </c>
      <c r="I2516" s="24" t="n">
        <v>674.4931640486259</v>
      </c>
      <c r="J2516" s="24" t="n">
        <v>5144.556481985902</v>
      </c>
      <c r="K2516" s="24" t="n">
        <v>3782.407407407407</v>
      </c>
      <c r="L2516" s="24" t="n">
        <v>150</v>
      </c>
      <c r="M2516" s="24">
        <f>I2516+J2516+K2516+L2516</f>
        <v/>
      </c>
      <c r="N2516" s="24">
        <f>M2516*'Dashboard &amp; Optimisation'!$B$18/('Dashboard &amp; Optimisation'!$B$16/3.6)</f>
        <v/>
      </c>
      <c r="O2516" s="24" t="n">
        <v>938.8404029975709</v>
      </c>
      <c r="P2516" s="25" t="n">
        <v>0.04879592694010178</v>
      </c>
      <c r="Q2516" s="26" t="n">
        <v>11.17934563207417</v>
      </c>
      <c r="R2516" s="24" t="n">
        <v>3894.191547208096</v>
      </c>
      <c r="S2516" s="24">
        <f>R2516*IF(A2516=4, 2.0, 3.0)</f>
        <v/>
      </c>
      <c r="T2516" s="22">
        <f>'Dashboard &amp; Optimisation'!$B$18*U2516</f>
        <v/>
      </c>
      <c r="U2516" s="27">
        <f>MIN(1, S2516/M2516)</f>
        <v/>
      </c>
      <c r="V2516" s="27">
        <f>N2516/(N2516+O2516)</f>
        <v/>
      </c>
      <c r="W2516" s="27">
        <f>U2516*V2516</f>
        <v/>
      </c>
      <c r="X2516" s="25">
        <f>T2516/N2516</f>
        <v/>
      </c>
      <c r="Y2516" s="28">
        <f>IF(W2516=MAXIFS(W$2:W$3601, A$2:A$3601, A2516, B$2:B$3601, B2516), "OPTIMAL", "")</f>
        <v/>
      </c>
    </row>
    <row r="2517" ht="20" customHeight="1">
      <c r="A2517" s="29" t="n">
        <v>-18</v>
      </c>
      <c r="B2517" s="29" t="n">
        <v>30</v>
      </c>
      <c r="C2517" s="30" t="n">
        <v>120</v>
      </c>
      <c r="D2517" s="30" t="n">
        <v>3</v>
      </c>
      <c r="E2517" s="6" t="n">
        <v>8</v>
      </c>
      <c r="F2517" s="30" t="n">
        <v>1.5</v>
      </c>
      <c r="G2517" s="6" t="inlineStr">
        <is>
          <t>Non</t>
        </is>
      </c>
      <c r="H2517" s="6" t="inlineStr">
        <is>
          <t>OFF</t>
        </is>
      </c>
      <c r="I2517" s="31" t="n">
        <v>674.4931640486259</v>
      </c>
      <c r="J2517" s="31" t="n">
        <v>5144.556481985902</v>
      </c>
      <c r="K2517" s="31" t="n">
        <v>3782.407407407407</v>
      </c>
      <c r="L2517" s="31" t="n">
        <v>150</v>
      </c>
      <c r="M2517" s="31">
        <f>I2517+J2517+K2517+L2517</f>
        <v/>
      </c>
      <c r="N2517" s="31">
        <f>M2517*'Dashboard &amp; Optimisation'!$B$18/('Dashboard &amp; Optimisation'!$B$16/3.6)</f>
        <v/>
      </c>
      <c r="O2517" s="31" t="n">
        <v>938.8404029975709</v>
      </c>
      <c r="P2517" s="32" t="n">
        <v>0.2140915443152093</v>
      </c>
      <c r="Q2517" s="33" t="n">
        <v>11.17934563207417</v>
      </c>
      <c r="R2517" s="31" t="n">
        <v>887.5674508123435</v>
      </c>
      <c r="S2517" s="31">
        <f>R2517*IF(A2517=4, 2.0, 3.0)</f>
        <v/>
      </c>
      <c r="T2517" s="30">
        <f>'Dashboard &amp; Optimisation'!$B$18*U2517</f>
        <v/>
      </c>
      <c r="U2517" s="34">
        <f>MIN(1, S2517/M2517)</f>
        <v/>
      </c>
      <c r="V2517" s="34">
        <f>N2517/(N2517+O2517)</f>
        <v/>
      </c>
      <c r="W2517" s="34">
        <f>U2517*V2517</f>
        <v/>
      </c>
      <c r="X2517" s="32">
        <f>T2517/N2517</f>
        <v/>
      </c>
      <c r="Y2517" s="35">
        <f>IF(W2517=MAXIFS(W$2:W$3601, A$2:A$3601, A2517, B$2:B$3601, B2517), "OPTIMAL", "")</f>
        <v/>
      </c>
    </row>
    <row r="2518" ht="20" customHeight="1">
      <c r="A2518" s="21" t="n">
        <v>-18</v>
      </c>
      <c r="B2518" s="21" t="n">
        <v>30</v>
      </c>
      <c r="C2518" s="22" t="n">
        <v>120</v>
      </c>
      <c r="D2518" s="22" t="n">
        <v>3</v>
      </c>
      <c r="E2518" s="23" t="n">
        <v>8</v>
      </c>
      <c r="F2518" s="22" t="n">
        <v>2</v>
      </c>
      <c r="G2518" s="23" t="inlineStr">
        <is>
          <t>Oui</t>
        </is>
      </c>
      <c r="H2518" s="23" t="inlineStr">
        <is>
          <t>ON</t>
        </is>
      </c>
      <c r="I2518" s="24" t="n">
        <v>674.4931640486259</v>
      </c>
      <c r="J2518" s="24" t="n">
        <v>5144.556481985902</v>
      </c>
      <c r="K2518" s="24" t="n">
        <v>3782.407407407407</v>
      </c>
      <c r="L2518" s="24" t="n">
        <v>150</v>
      </c>
      <c r="M2518" s="24">
        <f>I2518+J2518+K2518+L2518</f>
        <v/>
      </c>
      <c r="N2518" s="24">
        <f>M2518*'Dashboard &amp; Optimisation'!$B$18/('Dashboard &amp; Optimisation'!$B$16/3.6)</f>
        <v/>
      </c>
      <c r="O2518" s="24" t="n">
        <v>1083.667284424091</v>
      </c>
      <c r="P2518" s="25" t="n">
        <v>0.04989331996011</v>
      </c>
      <c r="Q2518" s="26" t="n">
        <v>14.83912750943222</v>
      </c>
      <c r="R2518" s="24" t="n">
        <v>3881.83769441963</v>
      </c>
      <c r="S2518" s="24">
        <f>R2518*IF(A2518=4, 2.0, 3.0)</f>
        <v/>
      </c>
      <c r="T2518" s="22">
        <f>'Dashboard &amp; Optimisation'!$B$18*U2518</f>
        <v/>
      </c>
      <c r="U2518" s="27">
        <f>MIN(1, S2518/M2518)</f>
        <v/>
      </c>
      <c r="V2518" s="27">
        <f>N2518/(N2518+O2518)</f>
        <v/>
      </c>
      <c r="W2518" s="27">
        <f>U2518*V2518</f>
        <v/>
      </c>
      <c r="X2518" s="25">
        <f>T2518/N2518</f>
        <v/>
      </c>
      <c r="Y2518" s="28">
        <f>IF(W2518=MAXIFS(W$2:W$3601, A$2:A$3601, A2518, B$2:B$3601, B2518), "OPTIMAL", "")</f>
        <v/>
      </c>
    </row>
    <row r="2519" ht="20" customHeight="1">
      <c r="A2519" s="29" t="n">
        <v>-18</v>
      </c>
      <c r="B2519" s="29" t="n">
        <v>30</v>
      </c>
      <c r="C2519" s="30" t="n">
        <v>120</v>
      </c>
      <c r="D2519" s="30" t="n">
        <v>3</v>
      </c>
      <c r="E2519" s="6" t="n">
        <v>8</v>
      </c>
      <c r="F2519" s="30" t="n">
        <v>2</v>
      </c>
      <c r="G2519" s="6" t="inlineStr">
        <is>
          <t>Oui</t>
        </is>
      </c>
      <c r="H2519" s="6" t="inlineStr">
        <is>
          <t>OFF</t>
        </is>
      </c>
      <c r="I2519" s="31" t="n">
        <v>674.4931640486259</v>
      </c>
      <c r="J2519" s="31" t="n">
        <v>5144.556481985902</v>
      </c>
      <c r="K2519" s="31" t="n">
        <v>3782.407407407407</v>
      </c>
      <c r="L2519" s="31" t="n">
        <v>150</v>
      </c>
      <c r="M2519" s="31">
        <f>I2519+J2519+K2519+L2519</f>
        <v/>
      </c>
      <c r="N2519" s="31">
        <f>M2519*'Dashboard &amp; Optimisation'!$B$18/('Dashboard &amp; Optimisation'!$B$16/3.6)</f>
        <v/>
      </c>
      <c r="O2519" s="31" t="n">
        <v>1083.667284424091</v>
      </c>
      <c r="P2519" s="32" t="n">
        <v>0.2162873761903785</v>
      </c>
      <c r="Q2519" s="33" t="n">
        <v>14.83912750943222</v>
      </c>
      <c r="R2519" s="31" t="n">
        <v>895.4649759605808</v>
      </c>
      <c r="S2519" s="31">
        <f>R2519*IF(A2519=4, 2.0, 3.0)</f>
        <v/>
      </c>
      <c r="T2519" s="30">
        <f>'Dashboard &amp; Optimisation'!$B$18*U2519</f>
        <v/>
      </c>
      <c r="U2519" s="34">
        <f>MIN(1, S2519/M2519)</f>
        <v/>
      </c>
      <c r="V2519" s="34">
        <f>N2519/(N2519+O2519)</f>
        <v/>
      </c>
      <c r="W2519" s="34">
        <f>U2519*V2519</f>
        <v/>
      </c>
      <c r="X2519" s="32">
        <f>T2519/N2519</f>
        <v/>
      </c>
      <c r="Y2519" s="35">
        <f>IF(W2519=MAXIFS(W$2:W$3601, A$2:A$3601, A2519, B$2:B$3601, B2519), "OPTIMAL", "")</f>
        <v/>
      </c>
    </row>
    <row r="2520" ht="20" customHeight="1">
      <c r="A2520" s="21" t="n">
        <v>-18</v>
      </c>
      <c r="B2520" s="21" t="n">
        <v>30</v>
      </c>
      <c r="C2520" s="22" t="n">
        <v>120</v>
      </c>
      <c r="D2520" s="22" t="n">
        <v>3</v>
      </c>
      <c r="E2520" s="23" t="n">
        <v>8</v>
      </c>
      <c r="F2520" s="22" t="n">
        <v>2</v>
      </c>
      <c r="G2520" s="23" t="inlineStr">
        <is>
          <t>Non</t>
        </is>
      </c>
      <c r="H2520" s="23" t="inlineStr">
        <is>
          <t>ON</t>
        </is>
      </c>
      <c r="I2520" s="24" t="n">
        <v>674.4931640486259</v>
      </c>
      <c r="J2520" s="24" t="n">
        <v>5144.556481985902</v>
      </c>
      <c r="K2520" s="24" t="n">
        <v>3782.407407407407</v>
      </c>
      <c r="L2520" s="24" t="n">
        <v>150</v>
      </c>
      <c r="M2520" s="24">
        <f>I2520+J2520+K2520+L2520</f>
        <v/>
      </c>
      <c r="N2520" s="24">
        <f>M2520*'Dashboard &amp; Optimisation'!$B$18/('Dashboard &amp; Optimisation'!$B$16/3.6)</f>
        <v/>
      </c>
      <c r="O2520" s="24" t="n">
        <v>1083.667284424091</v>
      </c>
      <c r="P2520" s="25" t="n">
        <v>0.04724073757524508</v>
      </c>
      <c r="Q2520" s="26" t="n">
        <v>14.83912750943222</v>
      </c>
      <c r="R2520" s="24" t="n">
        <v>4099.804111068423</v>
      </c>
      <c r="S2520" s="24">
        <f>R2520*IF(A2520=4, 2.0, 3.0)</f>
        <v/>
      </c>
      <c r="T2520" s="22">
        <f>'Dashboard &amp; Optimisation'!$B$18*U2520</f>
        <v/>
      </c>
      <c r="U2520" s="27">
        <f>MIN(1, S2520/M2520)</f>
        <v/>
      </c>
      <c r="V2520" s="27">
        <f>N2520/(N2520+O2520)</f>
        <v/>
      </c>
      <c r="W2520" s="27">
        <f>U2520*V2520</f>
        <v/>
      </c>
      <c r="X2520" s="25">
        <f>T2520/N2520</f>
        <v/>
      </c>
      <c r="Y2520" s="28">
        <f>IF(W2520=MAXIFS(W$2:W$3601, A$2:A$3601, A2520, B$2:B$3601, B2520), "OPTIMAL", "")</f>
        <v/>
      </c>
    </row>
    <row r="2521" ht="20" customHeight="1">
      <c r="A2521" s="29" t="n">
        <v>-18</v>
      </c>
      <c r="B2521" s="29" t="n">
        <v>30</v>
      </c>
      <c r="C2521" s="30" t="n">
        <v>120</v>
      </c>
      <c r="D2521" s="30" t="n">
        <v>3</v>
      </c>
      <c r="E2521" s="6" t="n">
        <v>8</v>
      </c>
      <c r="F2521" s="30" t="n">
        <v>2</v>
      </c>
      <c r="G2521" s="6" t="inlineStr">
        <is>
          <t>Non</t>
        </is>
      </c>
      <c r="H2521" s="6" t="inlineStr">
        <is>
          <t>OFF</t>
        </is>
      </c>
      <c r="I2521" s="31" t="n">
        <v>674.4931640486259</v>
      </c>
      <c r="J2521" s="31" t="n">
        <v>5144.556481985902</v>
      </c>
      <c r="K2521" s="31" t="n">
        <v>3782.407407407407</v>
      </c>
      <c r="L2521" s="31" t="n">
        <v>150</v>
      </c>
      <c r="M2521" s="31">
        <f>I2521+J2521+K2521+L2521</f>
        <v/>
      </c>
      <c r="N2521" s="31">
        <f>M2521*'Dashboard &amp; Optimisation'!$B$18/('Dashboard &amp; Optimisation'!$B$16/3.6)</f>
        <v/>
      </c>
      <c r="O2521" s="31" t="n">
        <v>1083.667284424091</v>
      </c>
      <c r="P2521" s="32" t="n">
        <v>0.2136347938055135</v>
      </c>
      <c r="Q2521" s="33" t="n">
        <v>14.83912750943222</v>
      </c>
      <c r="R2521" s="31" t="n">
        <v>906.5834580167336</v>
      </c>
      <c r="S2521" s="31">
        <f>R2521*IF(A2521=4, 2.0, 3.0)</f>
        <v/>
      </c>
      <c r="T2521" s="30">
        <f>'Dashboard &amp; Optimisation'!$B$18*U2521</f>
        <v/>
      </c>
      <c r="U2521" s="34">
        <f>MIN(1, S2521/M2521)</f>
        <v/>
      </c>
      <c r="V2521" s="34">
        <f>N2521/(N2521+O2521)</f>
        <v/>
      </c>
      <c r="W2521" s="34">
        <f>U2521*V2521</f>
        <v/>
      </c>
      <c r="X2521" s="32">
        <f>T2521/N2521</f>
        <v/>
      </c>
      <c r="Y2521" s="35">
        <f>IF(W2521=MAXIFS(W$2:W$3601, A$2:A$3601, A2521, B$2:B$3601, B2521), "OPTIMAL", "")</f>
        <v/>
      </c>
    </row>
    <row r="2522" ht="20" customHeight="1">
      <c r="A2522" s="21" t="n">
        <v>-18</v>
      </c>
      <c r="B2522" s="21" t="n">
        <v>35</v>
      </c>
      <c r="C2522" s="22" t="n">
        <v>80</v>
      </c>
      <c r="D2522" s="22" t="n">
        <v>2</v>
      </c>
      <c r="E2522" s="23" t="n">
        <v>0</v>
      </c>
      <c r="F2522" s="22" t="n">
        <v>0</v>
      </c>
      <c r="G2522" s="23" t="inlineStr">
        <is>
          <t>Oui</t>
        </is>
      </c>
      <c r="H2522" s="23" t="inlineStr">
        <is>
          <t>ON</t>
        </is>
      </c>
      <c r="I2522" s="24" t="n">
        <v>744.7528686370244</v>
      </c>
      <c r="J2522" s="24" t="n">
        <v>6550.668683077564</v>
      </c>
      <c r="K2522" s="24" t="n">
        <v>4222.222222222223</v>
      </c>
      <c r="L2522" s="24" t="n">
        <v>150</v>
      </c>
      <c r="M2522" s="24">
        <f>I2522+J2522+K2522+L2522</f>
        <v/>
      </c>
      <c r="N2522" s="24">
        <f>M2522*'Dashboard &amp; Optimisation'!$B$18/('Dashboard &amp; Optimisation'!$B$16/3.6)</f>
        <v/>
      </c>
      <c r="O2522" s="24" t="n">
        <v>640.6272194990632</v>
      </c>
      <c r="P2522" s="25" t="n">
        <v>0.5013778930875155</v>
      </c>
      <c r="Q2522" s="26" t="n">
        <v>0.2</v>
      </c>
      <c r="R2522" s="24" t="n">
        <v>965.6104812549271</v>
      </c>
      <c r="S2522" s="24">
        <f>R2522*IF(A2522=4, 2.0, 3.0)</f>
        <v/>
      </c>
      <c r="T2522" s="22">
        <f>'Dashboard &amp; Optimisation'!$B$18*U2522</f>
        <v/>
      </c>
      <c r="U2522" s="27">
        <f>MIN(1, S2522/M2522)</f>
        <v/>
      </c>
      <c r="V2522" s="27">
        <f>N2522/(N2522+O2522)</f>
        <v/>
      </c>
      <c r="W2522" s="27">
        <f>U2522*V2522</f>
        <v/>
      </c>
      <c r="X2522" s="25">
        <f>T2522/N2522</f>
        <v/>
      </c>
      <c r="Y2522" s="28">
        <f>IF(W2522=MAXIFS(W$2:W$3601, A$2:A$3601, A2522, B$2:B$3601, B2522), "OPTIMAL", "")</f>
        <v/>
      </c>
    </row>
    <row r="2523" ht="20" customHeight="1">
      <c r="A2523" s="29" t="n">
        <v>-18</v>
      </c>
      <c r="B2523" s="29" t="n">
        <v>35</v>
      </c>
      <c r="C2523" s="30" t="n">
        <v>80</v>
      </c>
      <c r="D2523" s="30" t="n">
        <v>2</v>
      </c>
      <c r="E2523" s="6" t="n">
        <v>0</v>
      </c>
      <c r="F2523" s="30" t="n">
        <v>0</v>
      </c>
      <c r="G2523" s="6" t="inlineStr">
        <is>
          <t>Oui</t>
        </is>
      </c>
      <c r="H2523" s="6" t="inlineStr">
        <is>
          <t>OFF</t>
        </is>
      </c>
      <c r="I2523" s="31" t="n">
        <v>744.7528686370244</v>
      </c>
      <c r="J2523" s="31" t="n">
        <v>6550.668683077564</v>
      </c>
      <c r="K2523" s="31" t="n">
        <v>4222.222222222223</v>
      </c>
      <c r="L2523" s="31" t="n">
        <v>150</v>
      </c>
      <c r="M2523" s="31">
        <f>I2523+J2523+K2523+L2523</f>
        <v/>
      </c>
      <c r="N2523" s="31">
        <f>M2523*'Dashboard &amp; Optimisation'!$B$18/('Dashboard &amp; Optimisation'!$B$16/3.6)</f>
        <v/>
      </c>
      <c r="O2523" s="31" t="n">
        <v>640.6272194990632</v>
      </c>
      <c r="P2523" s="32" t="n">
        <v>0.8992652508172538</v>
      </c>
      <c r="Q2523" s="33" t="n">
        <v>0.2</v>
      </c>
      <c r="R2523" s="31" t="n">
        <v>538.3681268622731</v>
      </c>
      <c r="S2523" s="31">
        <f>R2523*IF(A2523=4, 2.0, 3.0)</f>
        <v/>
      </c>
      <c r="T2523" s="30">
        <f>'Dashboard &amp; Optimisation'!$B$18*U2523</f>
        <v/>
      </c>
      <c r="U2523" s="34">
        <f>MIN(1, S2523/M2523)</f>
        <v/>
      </c>
      <c r="V2523" s="34">
        <f>N2523/(N2523+O2523)</f>
        <v/>
      </c>
      <c r="W2523" s="34">
        <f>U2523*V2523</f>
        <v/>
      </c>
      <c r="X2523" s="32">
        <f>T2523/N2523</f>
        <v/>
      </c>
      <c r="Y2523" s="35">
        <f>IF(W2523=MAXIFS(W$2:W$3601, A$2:A$3601, A2523, B$2:B$3601, B2523), "OPTIMAL", "")</f>
        <v/>
      </c>
    </row>
    <row r="2524" ht="20" customHeight="1">
      <c r="A2524" s="21" t="n">
        <v>-18</v>
      </c>
      <c r="B2524" s="21" t="n">
        <v>35</v>
      </c>
      <c r="C2524" s="22" t="n">
        <v>80</v>
      </c>
      <c r="D2524" s="22" t="n">
        <v>2</v>
      </c>
      <c r="E2524" s="23" t="n">
        <v>0</v>
      </c>
      <c r="F2524" s="22" t="n">
        <v>0</v>
      </c>
      <c r="G2524" s="23" t="inlineStr">
        <is>
          <t>Non</t>
        </is>
      </c>
      <c r="H2524" s="23" t="inlineStr">
        <is>
          <t>ON</t>
        </is>
      </c>
      <c r="I2524" s="24" t="n">
        <v>744.7528686370244</v>
      </c>
      <c r="J2524" s="24" t="n">
        <v>6550.668683077564</v>
      </c>
      <c r="K2524" s="24" t="n">
        <v>4222.222222222223</v>
      </c>
      <c r="L2524" s="24" t="n">
        <v>150</v>
      </c>
      <c r="M2524" s="24">
        <f>I2524+J2524+K2524+L2524</f>
        <v/>
      </c>
      <c r="N2524" s="24">
        <f>M2524*'Dashboard &amp; Optimisation'!$B$18/('Dashboard &amp; Optimisation'!$B$16/3.6)</f>
        <v/>
      </c>
      <c r="O2524" s="24" t="n">
        <v>640.6272194990632</v>
      </c>
      <c r="P2524" s="25" t="n">
        <v>0.4973990195102181</v>
      </c>
      <c r="Q2524" s="26" t="n">
        <v>0.2</v>
      </c>
      <c r="R2524" s="24" t="n">
        <v>973.3347466417182</v>
      </c>
      <c r="S2524" s="24">
        <f>R2524*IF(A2524=4, 2.0, 3.0)</f>
        <v/>
      </c>
      <c r="T2524" s="22">
        <f>'Dashboard &amp; Optimisation'!$B$18*U2524</f>
        <v/>
      </c>
      <c r="U2524" s="27">
        <f>MIN(1, S2524/M2524)</f>
        <v/>
      </c>
      <c r="V2524" s="27">
        <f>N2524/(N2524+O2524)</f>
        <v/>
      </c>
      <c r="W2524" s="27">
        <f>U2524*V2524</f>
        <v/>
      </c>
      <c r="X2524" s="25">
        <f>T2524/N2524</f>
        <v/>
      </c>
      <c r="Y2524" s="28">
        <f>IF(W2524=MAXIFS(W$2:W$3601, A$2:A$3601, A2524, B$2:B$3601, B2524), "OPTIMAL", "")</f>
        <v/>
      </c>
    </row>
    <row r="2525" ht="20" customHeight="1">
      <c r="A2525" s="29" t="n">
        <v>-18</v>
      </c>
      <c r="B2525" s="29" t="n">
        <v>35</v>
      </c>
      <c r="C2525" s="30" t="n">
        <v>80</v>
      </c>
      <c r="D2525" s="30" t="n">
        <v>2</v>
      </c>
      <c r="E2525" s="6" t="n">
        <v>0</v>
      </c>
      <c r="F2525" s="30" t="n">
        <v>0</v>
      </c>
      <c r="G2525" s="6" t="inlineStr">
        <is>
          <t>Non</t>
        </is>
      </c>
      <c r="H2525" s="6" t="inlineStr">
        <is>
          <t>OFF</t>
        </is>
      </c>
      <c r="I2525" s="31" t="n">
        <v>744.7528686370244</v>
      </c>
      <c r="J2525" s="31" t="n">
        <v>6550.668683077564</v>
      </c>
      <c r="K2525" s="31" t="n">
        <v>4222.222222222223</v>
      </c>
      <c r="L2525" s="31" t="n">
        <v>150</v>
      </c>
      <c r="M2525" s="31">
        <f>I2525+J2525+K2525+L2525</f>
        <v/>
      </c>
      <c r="N2525" s="31">
        <f>M2525*'Dashboard &amp; Optimisation'!$B$18/('Dashboard &amp; Optimisation'!$B$16/3.6)</f>
        <v/>
      </c>
      <c r="O2525" s="31" t="n">
        <v>640.6272194990632</v>
      </c>
      <c r="P2525" s="32" t="n">
        <v>0.8952863772399564</v>
      </c>
      <c r="Q2525" s="33" t="n">
        <v>0.2</v>
      </c>
      <c r="R2525" s="31" t="n">
        <v>540.7607676633486</v>
      </c>
      <c r="S2525" s="31">
        <f>R2525*IF(A2525=4, 2.0, 3.0)</f>
        <v/>
      </c>
      <c r="T2525" s="30">
        <f>'Dashboard &amp; Optimisation'!$B$18*U2525</f>
        <v/>
      </c>
      <c r="U2525" s="34">
        <f>MIN(1, S2525/M2525)</f>
        <v/>
      </c>
      <c r="V2525" s="34">
        <f>N2525/(N2525+O2525)</f>
        <v/>
      </c>
      <c r="W2525" s="34">
        <f>U2525*V2525</f>
        <v/>
      </c>
      <c r="X2525" s="32">
        <f>T2525/N2525</f>
        <v/>
      </c>
      <c r="Y2525" s="35">
        <f>IF(W2525=MAXIFS(W$2:W$3601, A$2:A$3601, A2525, B$2:B$3601, B2525), "OPTIMAL", "")</f>
        <v/>
      </c>
    </row>
    <row r="2526" ht="20" customHeight="1">
      <c r="A2526" s="21" t="n">
        <v>-18</v>
      </c>
      <c r="B2526" s="21" t="n">
        <v>35</v>
      </c>
      <c r="C2526" s="22" t="n">
        <v>80</v>
      </c>
      <c r="D2526" s="22" t="n">
        <v>2</v>
      </c>
      <c r="E2526" s="23" t="n">
        <v>4</v>
      </c>
      <c r="F2526" s="22" t="n">
        <v>1.5</v>
      </c>
      <c r="G2526" s="23" t="inlineStr">
        <is>
          <t>Oui</t>
        </is>
      </c>
      <c r="H2526" s="23" t="inlineStr">
        <is>
          <t>ON</t>
        </is>
      </c>
      <c r="I2526" s="24" t="n">
        <v>744.7528686370244</v>
      </c>
      <c r="J2526" s="24" t="n">
        <v>6550.668683077564</v>
      </c>
      <c r="K2526" s="24" t="n">
        <v>4222.222222222223</v>
      </c>
      <c r="L2526" s="24" t="n">
        <v>150</v>
      </c>
      <c r="M2526" s="24">
        <f>I2526+J2526+K2526+L2526</f>
        <v/>
      </c>
      <c r="N2526" s="24">
        <f>M2526*'Dashboard &amp; Optimisation'!$B$18/('Dashboard &amp; Optimisation'!$B$16/3.6)</f>
        <v/>
      </c>
      <c r="O2526" s="24" t="n">
        <v>1038.453047881202</v>
      </c>
      <c r="P2526" s="25" t="n">
        <v>0.08231647342522849</v>
      </c>
      <c r="Q2526" s="26" t="n">
        <v>8.434509224055622</v>
      </c>
      <c r="R2526" s="24" t="n">
        <v>6127.778706919168</v>
      </c>
      <c r="S2526" s="24">
        <f>R2526*IF(A2526=4, 2.0, 3.0)</f>
        <v/>
      </c>
      <c r="T2526" s="22">
        <f>'Dashboard &amp; Optimisation'!$B$18*U2526</f>
        <v/>
      </c>
      <c r="U2526" s="27">
        <f>MIN(1, S2526/M2526)</f>
        <v/>
      </c>
      <c r="V2526" s="27">
        <f>N2526/(N2526+O2526)</f>
        <v/>
      </c>
      <c r="W2526" s="27">
        <f>U2526*V2526</f>
        <v/>
      </c>
      <c r="X2526" s="25">
        <f>T2526/N2526</f>
        <v/>
      </c>
      <c r="Y2526" s="28">
        <f>IF(W2526=MAXIFS(W$2:W$3601, A$2:A$3601, A2526, B$2:B$3601, B2526), "OPTIMAL", "")</f>
        <v/>
      </c>
    </row>
    <row r="2527" ht="20" customHeight="1">
      <c r="A2527" s="29" t="n">
        <v>-18</v>
      </c>
      <c r="B2527" s="29" t="n">
        <v>35</v>
      </c>
      <c r="C2527" s="30" t="n">
        <v>80</v>
      </c>
      <c r="D2527" s="30" t="n">
        <v>2</v>
      </c>
      <c r="E2527" s="6" t="n">
        <v>4</v>
      </c>
      <c r="F2527" s="30" t="n">
        <v>1.5</v>
      </c>
      <c r="G2527" s="6" t="inlineStr">
        <is>
          <t>Oui</t>
        </is>
      </c>
      <c r="H2527" s="6" t="inlineStr">
        <is>
          <t>OFF</t>
        </is>
      </c>
      <c r="I2527" s="31" t="n">
        <v>744.7528686370244</v>
      </c>
      <c r="J2527" s="31" t="n">
        <v>6550.668683077564</v>
      </c>
      <c r="K2527" s="31" t="n">
        <v>4222.222222222223</v>
      </c>
      <c r="L2527" s="31" t="n">
        <v>150</v>
      </c>
      <c r="M2527" s="31">
        <f>I2527+J2527+K2527+L2527</f>
        <v/>
      </c>
      <c r="N2527" s="31">
        <f>M2527*'Dashboard &amp; Optimisation'!$B$18/('Dashboard &amp; Optimisation'!$B$16/3.6)</f>
        <v/>
      </c>
      <c r="O2527" s="31" t="n">
        <v>1038.453047881202</v>
      </c>
      <c r="P2527" s="32" t="n">
        <v>0.3560493820000729</v>
      </c>
      <c r="Q2527" s="33" t="n">
        <v>8.434509224055622</v>
      </c>
      <c r="R2527" s="31" t="n">
        <v>1416.705543063376</v>
      </c>
      <c r="S2527" s="31">
        <f>R2527*IF(A2527=4, 2.0, 3.0)</f>
        <v/>
      </c>
      <c r="T2527" s="30">
        <f>'Dashboard &amp; Optimisation'!$B$18*U2527</f>
        <v/>
      </c>
      <c r="U2527" s="34">
        <f>MIN(1, S2527/M2527)</f>
        <v/>
      </c>
      <c r="V2527" s="34">
        <f>N2527/(N2527+O2527)</f>
        <v/>
      </c>
      <c r="W2527" s="34">
        <f>U2527*V2527</f>
        <v/>
      </c>
      <c r="X2527" s="32">
        <f>T2527/N2527</f>
        <v/>
      </c>
      <c r="Y2527" s="35">
        <f>IF(W2527=MAXIFS(W$2:W$3601, A$2:A$3601, A2527, B$2:B$3601, B2527), "OPTIMAL", "")</f>
        <v/>
      </c>
    </row>
    <row r="2528" ht="20" customHeight="1">
      <c r="A2528" s="21" t="n">
        <v>-18</v>
      </c>
      <c r="B2528" s="21" t="n">
        <v>35</v>
      </c>
      <c r="C2528" s="22" t="n">
        <v>80</v>
      </c>
      <c r="D2528" s="22" t="n">
        <v>2</v>
      </c>
      <c r="E2528" s="23" t="n">
        <v>4</v>
      </c>
      <c r="F2528" s="22" t="n">
        <v>1.5</v>
      </c>
      <c r="G2528" s="23" t="inlineStr">
        <is>
          <t>Non</t>
        </is>
      </c>
      <c r="H2528" s="23" t="inlineStr">
        <is>
          <t>ON</t>
        </is>
      </c>
      <c r="I2528" s="24" t="n">
        <v>744.7528686370244</v>
      </c>
      <c r="J2528" s="24" t="n">
        <v>6550.668683077564</v>
      </c>
      <c r="K2528" s="24" t="n">
        <v>4222.222222222223</v>
      </c>
      <c r="L2528" s="24" t="n">
        <v>150</v>
      </c>
      <c r="M2528" s="24">
        <f>I2528+J2528+K2528+L2528</f>
        <v/>
      </c>
      <c r="N2528" s="24">
        <f>M2528*'Dashboard &amp; Optimisation'!$B$18/('Dashboard &amp; Optimisation'!$B$16/3.6)</f>
        <v/>
      </c>
      <c r="O2528" s="24" t="n">
        <v>1038.453047881202</v>
      </c>
      <c r="P2528" s="25" t="n">
        <v>0.07833759984793112</v>
      </c>
      <c r="Q2528" s="26" t="n">
        <v>8.434509224055622</v>
      </c>
      <c r="R2528" s="24" t="n">
        <v>6439.016947965814</v>
      </c>
      <c r="S2528" s="24">
        <f>R2528*IF(A2528=4, 2.0, 3.0)</f>
        <v/>
      </c>
      <c r="T2528" s="22">
        <f>'Dashboard &amp; Optimisation'!$B$18*U2528</f>
        <v/>
      </c>
      <c r="U2528" s="27">
        <f>MIN(1, S2528/M2528)</f>
        <v/>
      </c>
      <c r="V2528" s="27">
        <f>N2528/(N2528+O2528)</f>
        <v/>
      </c>
      <c r="W2528" s="27">
        <f>U2528*V2528</f>
        <v/>
      </c>
      <c r="X2528" s="25">
        <f>T2528/N2528</f>
        <v/>
      </c>
      <c r="Y2528" s="28">
        <f>IF(W2528=MAXIFS(W$2:W$3601, A$2:A$3601, A2528, B$2:B$3601, B2528), "OPTIMAL", "")</f>
        <v/>
      </c>
    </row>
    <row r="2529" ht="20" customHeight="1">
      <c r="A2529" s="29" t="n">
        <v>-18</v>
      </c>
      <c r="B2529" s="29" t="n">
        <v>35</v>
      </c>
      <c r="C2529" s="30" t="n">
        <v>80</v>
      </c>
      <c r="D2529" s="30" t="n">
        <v>2</v>
      </c>
      <c r="E2529" s="6" t="n">
        <v>4</v>
      </c>
      <c r="F2529" s="30" t="n">
        <v>1.5</v>
      </c>
      <c r="G2529" s="6" t="inlineStr">
        <is>
          <t>Non</t>
        </is>
      </c>
      <c r="H2529" s="6" t="inlineStr">
        <is>
          <t>OFF</t>
        </is>
      </c>
      <c r="I2529" s="31" t="n">
        <v>744.7528686370244</v>
      </c>
      <c r="J2529" s="31" t="n">
        <v>6550.668683077564</v>
      </c>
      <c r="K2529" s="31" t="n">
        <v>4222.222222222223</v>
      </c>
      <c r="L2529" s="31" t="n">
        <v>150</v>
      </c>
      <c r="M2529" s="31">
        <f>I2529+J2529+K2529+L2529</f>
        <v/>
      </c>
      <c r="N2529" s="31">
        <f>M2529*'Dashboard &amp; Optimisation'!$B$18/('Dashboard &amp; Optimisation'!$B$16/3.6)</f>
        <v/>
      </c>
      <c r="O2529" s="31" t="n">
        <v>1038.453047881202</v>
      </c>
      <c r="P2529" s="32" t="n">
        <v>0.3520705084227755</v>
      </c>
      <c r="Q2529" s="33" t="n">
        <v>8.434509224055622</v>
      </c>
      <c r="R2529" s="31" t="n">
        <v>1432.716234436982</v>
      </c>
      <c r="S2529" s="31">
        <f>R2529*IF(A2529=4, 2.0, 3.0)</f>
        <v/>
      </c>
      <c r="T2529" s="30">
        <f>'Dashboard &amp; Optimisation'!$B$18*U2529</f>
        <v/>
      </c>
      <c r="U2529" s="34">
        <f>MIN(1, S2529/M2529)</f>
        <v/>
      </c>
      <c r="V2529" s="34">
        <f>N2529/(N2529+O2529)</f>
        <v/>
      </c>
      <c r="W2529" s="34">
        <f>U2529*V2529</f>
        <v/>
      </c>
      <c r="X2529" s="32">
        <f>T2529/N2529</f>
        <v/>
      </c>
      <c r="Y2529" s="35">
        <f>IF(W2529=MAXIFS(W$2:W$3601, A$2:A$3601, A2529, B$2:B$3601, B2529), "OPTIMAL", "")</f>
        <v/>
      </c>
    </row>
    <row r="2530" ht="20" customHeight="1">
      <c r="A2530" s="21" t="n">
        <v>-18</v>
      </c>
      <c r="B2530" s="21" t="n">
        <v>35</v>
      </c>
      <c r="C2530" s="22" t="n">
        <v>80</v>
      </c>
      <c r="D2530" s="22" t="n">
        <v>2</v>
      </c>
      <c r="E2530" s="23" t="n">
        <v>4</v>
      </c>
      <c r="F2530" s="22" t="n">
        <v>2</v>
      </c>
      <c r="G2530" s="23" t="inlineStr">
        <is>
          <t>Oui</t>
        </is>
      </c>
      <c r="H2530" s="23" t="inlineStr">
        <is>
          <t>ON</t>
        </is>
      </c>
      <c r="I2530" s="24" t="n">
        <v>744.7528686370244</v>
      </c>
      <c r="J2530" s="24" t="n">
        <v>6550.668683077564</v>
      </c>
      <c r="K2530" s="24" t="n">
        <v>4222.222222222223</v>
      </c>
      <c r="L2530" s="24" t="n">
        <v>150</v>
      </c>
      <c r="M2530" s="24">
        <f>I2530+J2530+K2530+L2530</f>
        <v/>
      </c>
      <c r="N2530" s="24">
        <f>M2530*'Dashboard &amp; Optimisation'!$B$18/('Dashboard &amp; Optimisation'!$B$16/3.6)</f>
        <v/>
      </c>
      <c r="O2530" s="24" t="n">
        <v>1178.573528364154</v>
      </c>
      <c r="P2530" s="25" t="n">
        <v>0.08027381372050572</v>
      </c>
      <c r="Q2530" s="26" t="n">
        <v>11.17934563207416</v>
      </c>
      <c r="R2530" s="24" t="n">
        <v>6372.695282137011</v>
      </c>
      <c r="S2530" s="24">
        <f>R2530*IF(A2530=4, 2.0, 3.0)</f>
        <v/>
      </c>
      <c r="T2530" s="22">
        <f>'Dashboard &amp; Optimisation'!$B$18*U2530</f>
        <v/>
      </c>
      <c r="U2530" s="27">
        <f>MIN(1, S2530/M2530)</f>
        <v/>
      </c>
      <c r="V2530" s="27">
        <f>N2530/(N2530+O2530)</f>
        <v/>
      </c>
      <c r="W2530" s="27">
        <f>U2530*V2530</f>
        <v/>
      </c>
      <c r="X2530" s="25">
        <f>T2530/N2530</f>
        <v/>
      </c>
      <c r="Y2530" s="28">
        <f>IF(W2530=MAXIFS(W$2:W$3601, A$2:A$3601, A2530, B$2:B$3601, B2530), "OPTIMAL", "")</f>
        <v/>
      </c>
    </row>
    <row r="2531" ht="20" customHeight="1">
      <c r="A2531" s="29" t="n">
        <v>-18</v>
      </c>
      <c r="B2531" s="29" t="n">
        <v>35</v>
      </c>
      <c r="C2531" s="30" t="n">
        <v>80</v>
      </c>
      <c r="D2531" s="30" t="n">
        <v>2</v>
      </c>
      <c r="E2531" s="6" t="n">
        <v>4</v>
      </c>
      <c r="F2531" s="30" t="n">
        <v>2</v>
      </c>
      <c r="G2531" s="6" t="inlineStr">
        <is>
          <t>Oui</t>
        </is>
      </c>
      <c r="H2531" s="6" t="inlineStr">
        <is>
          <t>OFF</t>
        </is>
      </c>
      <c r="I2531" s="31" t="n">
        <v>744.7528686370244</v>
      </c>
      <c r="J2531" s="31" t="n">
        <v>6550.668683077564</v>
      </c>
      <c r="K2531" s="31" t="n">
        <v>4222.222222222223</v>
      </c>
      <c r="L2531" s="31" t="n">
        <v>150</v>
      </c>
      <c r="M2531" s="31">
        <f>I2531+J2531+K2531+L2531</f>
        <v/>
      </c>
      <c r="N2531" s="31">
        <f>M2531*'Dashboard &amp; Optimisation'!$B$18/('Dashboard &amp; Optimisation'!$B$16/3.6)</f>
        <v/>
      </c>
      <c r="O2531" s="31" t="n">
        <v>1178.573528364154</v>
      </c>
      <c r="P2531" s="32" t="n">
        <v>0.355510990994127</v>
      </c>
      <c r="Q2531" s="33" t="n">
        <v>11.17934563207416</v>
      </c>
      <c r="R2531" s="31" t="n">
        <v>1438.944412225677</v>
      </c>
      <c r="S2531" s="31">
        <f>R2531*IF(A2531=4, 2.0, 3.0)</f>
        <v/>
      </c>
      <c r="T2531" s="30">
        <f>'Dashboard &amp; Optimisation'!$B$18*U2531</f>
        <v/>
      </c>
      <c r="U2531" s="34">
        <f>MIN(1, S2531/M2531)</f>
        <v/>
      </c>
      <c r="V2531" s="34">
        <f>N2531/(N2531+O2531)</f>
        <v/>
      </c>
      <c r="W2531" s="34">
        <f>U2531*V2531</f>
        <v/>
      </c>
      <c r="X2531" s="32">
        <f>T2531/N2531</f>
        <v/>
      </c>
      <c r="Y2531" s="35">
        <f>IF(W2531=MAXIFS(W$2:W$3601, A$2:A$3601, A2531, B$2:B$3601, B2531), "OPTIMAL", "")</f>
        <v/>
      </c>
    </row>
    <row r="2532" ht="20" customHeight="1">
      <c r="A2532" s="21" t="n">
        <v>-18</v>
      </c>
      <c r="B2532" s="21" t="n">
        <v>35</v>
      </c>
      <c r="C2532" s="22" t="n">
        <v>80</v>
      </c>
      <c r="D2532" s="22" t="n">
        <v>2</v>
      </c>
      <c r="E2532" s="23" t="n">
        <v>4</v>
      </c>
      <c r="F2532" s="22" t="n">
        <v>2</v>
      </c>
      <c r="G2532" s="23" t="inlineStr">
        <is>
          <t>Non</t>
        </is>
      </c>
      <c r="H2532" s="23" t="inlineStr">
        <is>
          <t>ON</t>
        </is>
      </c>
      <c r="I2532" s="24" t="n">
        <v>744.7528686370244</v>
      </c>
      <c r="J2532" s="24" t="n">
        <v>6550.668683077564</v>
      </c>
      <c r="K2532" s="24" t="n">
        <v>4222.222222222223</v>
      </c>
      <c r="L2532" s="24" t="n">
        <v>150</v>
      </c>
      <c r="M2532" s="24">
        <f>I2532+J2532+K2532+L2532</f>
        <v/>
      </c>
      <c r="N2532" s="24">
        <f>M2532*'Dashboard &amp; Optimisation'!$B$18/('Dashboard &amp; Optimisation'!$B$16/3.6)</f>
        <v/>
      </c>
      <c r="O2532" s="24" t="n">
        <v>1178.573528364154</v>
      </c>
      <c r="P2532" s="25" t="n">
        <v>0.07629494014320834</v>
      </c>
      <c r="Q2532" s="26" t="n">
        <v>11.17934563207416</v>
      </c>
      <c r="R2532" s="24" t="n">
        <v>6705.039063083274</v>
      </c>
      <c r="S2532" s="24">
        <f>R2532*IF(A2532=4, 2.0, 3.0)</f>
        <v/>
      </c>
      <c r="T2532" s="22">
        <f>'Dashboard &amp; Optimisation'!$B$18*U2532</f>
        <v/>
      </c>
      <c r="U2532" s="27">
        <f>MIN(1, S2532/M2532)</f>
        <v/>
      </c>
      <c r="V2532" s="27">
        <f>N2532/(N2532+O2532)</f>
        <v/>
      </c>
      <c r="W2532" s="27">
        <f>U2532*V2532</f>
        <v/>
      </c>
      <c r="X2532" s="25">
        <f>T2532/N2532</f>
        <v/>
      </c>
      <c r="Y2532" s="28">
        <f>IF(W2532=MAXIFS(W$2:W$3601, A$2:A$3601, A2532, B$2:B$3601, B2532), "OPTIMAL", "")</f>
        <v/>
      </c>
    </row>
    <row r="2533" ht="20" customHeight="1">
      <c r="A2533" s="29" t="n">
        <v>-18</v>
      </c>
      <c r="B2533" s="29" t="n">
        <v>35</v>
      </c>
      <c r="C2533" s="30" t="n">
        <v>80</v>
      </c>
      <c r="D2533" s="30" t="n">
        <v>2</v>
      </c>
      <c r="E2533" s="6" t="n">
        <v>4</v>
      </c>
      <c r="F2533" s="30" t="n">
        <v>2</v>
      </c>
      <c r="G2533" s="6" t="inlineStr">
        <is>
          <t>Non</t>
        </is>
      </c>
      <c r="H2533" s="6" t="inlineStr">
        <is>
          <t>OFF</t>
        </is>
      </c>
      <c r="I2533" s="31" t="n">
        <v>744.7528686370244</v>
      </c>
      <c r="J2533" s="31" t="n">
        <v>6550.668683077564</v>
      </c>
      <c r="K2533" s="31" t="n">
        <v>4222.222222222223</v>
      </c>
      <c r="L2533" s="31" t="n">
        <v>150</v>
      </c>
      <c r="M2533" s="31">
        <f>I2533+J2533+K2533+L2533</f>
        <v/>
      </c>
      <c r="N2533" s="31">
        <f>M2533*'Dashboard &amp; Optimisation'!$B$18/('Dashboard &amp; Optimisation'!$B$16/3.6)</f>
        <v/>
      </c>
      <c r="O2533" s="31" t="n">
        <v>1178.573528364154</v>
      </c>
      <c r="P2533" s="32" t="n">
        <v>0.3515321174168297</v>
      </c>
      <c r="Q2533" s="33" t="n">
        <v>11.17934563207416</v>
      </c>
      <c r="R2533" s="31" t="n">
        <v>1455.231339130326</v>
      </c>
      <c r="S2533" s="31">
        <f>R2533*IF(A2533=4, 2.0, 3.0)</f>
        <v/>
      </c>
      <c r="T2533" s="30">
        <f>'Dashboard &amp; Optimisation'!$B$18*U2533</f>
        <v/>
      </c>
      <c r="U2533" s="34">
        <f>MIN(1, S2533/M2533)</f>
        <v/>
      </c>
      <c r="V2533" s="34">
        <f>N2533/(N2533+O2533)</f>
        <v/>
      </c>
      <c r="W2533" s="34">
        <f>U2533*V2533</f>
        <v/>
      </c>
      <c r="X2533" s="32">
        <f>T2533/N2533</f>
        <v/>
      </c>
      <c r="Y2533" s="35">
        <f>IF(W2533=MAXIFS(W$2:W$3601, A$2:A$3601, A2533, B$2:B$3601, B2533), "OPTIMAL", "")</f>
        <v/>
      </c>
    </row>
    <row r="2534" ht="20" customHeight="1">
      <c r="A2534" s="21" t="n">
        <v>-18</v>
      </c>
      <c r="B2534" s="21" t="n">
        <v>35</v>
      </c>
      <c r="C2534" s="22" t="n">
        <v>80</v>
      </c>
      <c r="D2534" s="22" t="n">
        <v>2</v>
      </c>
      <c r="E2534" s="23" t="n">
        <v>8</v>
      </c>
      <c r="F2534" s="22" t="n">
        <v>1.5</v>
      </c>
      <c r="G2534" s="23" t="inlineStr">
        <is>
          <t>Oui</t>
        </is>
      </c>
      <c r="H2534" s="23" t="inlineStr">
        <is>
          <t>ON</t>
        </is>
      </c>
      <c r="I2534" s="24" t="n">
        <v>744.7528686370244</v>
      </c>
      <c r="J2534" s="24" t="n">
        <v>6550.668683077564</v>
      </c>
      <c r="K2534" s="24" t="n">
        <v>4222.222222222223</v>
      </c>
      <c r="L2534" s="24" t="n">
        <v>150</v>
      </c>
      <c r="M2534" s="24">
        <f>I2534+J2534+K2534+L2534</f>
        <v/>
      </c>
      <c r="N2534" s="24">
        <f>M2534*'Dashboard &amp; Optimisation'!$B$18/('Dashboard &amp; Optimisation'!$B$16/3.6)</f>
        <v/>
      </c>
      <c r="O2534" s="24" t="n">
        <v>1471.067634080946</v>
      </c>
      <c r="P2534" s="25" t="n">
        <v>0.06145178783543291</v>
      </c>
      <c r="Q2534" s="26" t="n">
        <v>16.66901844811125</v>
      </c>
      <c r="R2534" s="24" t="n">
        <v>8567.237610396533</v>
      </c>
      <c r="S2534" s="24">
        <f>R2534*IF(A2534=4, 2.0, 3.0)</f>
        <v/>
      </c>
      <c r="T2534" s="22">
        <f>'Dashboard &amp; Optimisation'!$B$18*U2534</f>
        <v/>
      </c>
      <c r="U2534" s="27">
        <f>MIN(1, S2534/M2534)</f>
        <v/>
      </c>
      <c r="V2534" s="27">
        <f>N2534/(N2534+O2534)</f>
        <v/>
      </c>
      <c r="W2534" s="27">
        <f>U2534*V2534</f>
        <v/>
      </c>
      <c r="X2534" s="25">
        <f>T2534/N2534</f>
        <v/>
      </c>
      <c r="Y2534" s="28">
        <f>IF(W2534=MAXIFS(W$2:W$3601, A$2:A$3601, A2534, B$2:B$3601, B2534), "OPTIMAL", "")</f>
        <v/>
      </c>
    </row>
    <row r="2535" ht="20" customHeight="1">
      <c r="A2535" s="29" t="n">
        <v>-18</v>
      </c>
      <c r="B2535" s="29" t="n">
        <v>35</v>
      </c>
      <c r="C2535" s="30" t="n">
        <v>80</v>
      </c>
      <c r="D2535" s="30" t="n">
        <v>2</v>
      </c>
      <c r="E2535" s="6" t="n">
        <v>8</v>
      </c>
      <c r="F2535" s="30" t="n">
        <v>1.5</v>
      </c>
      <c r="G2535" s="6" t="inlineStr">
        <is>
          <t>Oui</t>
        </is>
      </c>
      <c r="H2535" s="6" t="inlineStr">
        <is>
          <t>OFF</t>
        </is>
      </c>
      <c r="I2535" s="31" t="n">
        <v>744.7528686370244</v>
      </c>
      <c r="J2535" s="31" t="n">
        <v>6550.668683077564</v>
      </c>
      <c r="K2535" s="31" t="n">
        <v>4222.222222222223</v>
      </c>
      <c r="L2535" s="31" t="n">
        <v>150</v>
      </c>
      <c r="M2535" s="31">
        <f>I2535+J2535+K2535+L2535</f>
        <v/>
      </c>
      <c r="N2535" s="31">
        <f>M2535*'Dashboard &amp; Optimisation'!$B$18/('Dashboard &amp; Optimisation'!$B$16/3.6)</f>
        <v/>
      </c>
      <c r="O2535" s="31" t="n">
        <v>1471.067634080946</v>
      </c>
      <c r="P2535" s="32" t="n">
        <v>0.2700829218988253</v>
      </c>
      <c r="Q2535" s="33" t="n">
        <v>16.66901844811125</v>
      </c>
      <c r="R2535" s="31" t="n">
        <v>1949.29788328878</v>
      </c>
      <c r="S2535" s="31">
        <f>R2535*IF(A2535=4, 2.0, 3.0)</f>
        <v/>
      </c>
      <c r="T2535" s="30">
        <f>'Dashboard &amp; Optimisation'!$B$18*U2535</f>
        <v/>
      </c>
      <c r="U2535" s="34">
        <f>MIN(1, S2535/M2535)</f>
        <v/>
      </c>
      <c r="V2535" s="34">
        <f>N2535/(N2535+O2535)</f>
        <v/>
      </c>
      <c r="W2535" s="34">
        <f>U2535*V2535</f>
        <v/>
      </c>
      <c r="X2535" s="32">
        <f>T2535/N2535</f>
        <v/>
      </c>
      <c r="Y2535" s="35">
        <f>IF(W2535=MAXIFS(W$2:W$3601, A$2:A$3601, A2535, B$2:B$3601, B2535), "OPTIMAL", "")</f>
        <v/>
      </c>
    </row>
    <row r="2536" ht="20" customHeight="1">
      <c r="A2536" s="21" t="n">
        <v>-18</v>
      </c>
      <c r="B2536" s="21" t="n">
        <v>35</v>
      </c>
      <c r="C2536" s="22" t="n">
        <v>80</v>
      </c>
      <c r="D2536" s="22" t="n">
        <v>2</v>
      </c>
      <c r="E2536" s="23" t="n">
        <v>8</v>
      </c>
      <c r="F2536" s="22" t="n">
        <v>1.5</v>
      </c>
      <c r="G2536" s="23" t="inlineStr">
        <is>
          <t>Non</t>
        </is>
      </c>
      <c r="H2536" s="23" t="inlineStr">
        <is>
          <t>ON</t>
        </is>
      </c>
      <c r="I2536" s="24" t="n">
        <v>744.7528686370244</v>
      </c>
      <c r="J2536" s="24" t="n">
        <v>6550.668683077564</v>
      </c>
      <c r="K2536" s="24" t="n">
        <v>4222.222222222223</v>
      </c>
      <c r="L2536" s="24" t="n">
        <v>150</v>
      </c>
      <c r="M2536" s="24">
        <f>I2536+J2536+K2536+L2536</f>
        <v/>
      </c>
      <c r="N2536" s="24">
        <f>M2536*'Dashboard &amp; Optimisation'!$B$18/('Dashboard &amp; Optimisation'!$B$16/3.6)</f>
        <v/>
      </c>
      <c r="O2536" s="24" t="n">
        <v>1471.067634080946</v>
      </c>
      <c r="P2536" s="25" t="n">
        <v>0.05747291425813553</v>
      </c>
      <c r="Q2536" s="26" t="n">
        <v>16.66901844811125</v>
      </c>
      <c r="R2536" s="24" t="n">
        <v>9160.351006479625</v>
      </c>
      <c r="S2536" s="24">
        <f>R2536*IF(A2536=4, 2.0, 3.0)</f>
        <v/>
      </c>
      <c r="T2536" s="22">
        <f>'Dashboard &amp; Optimisation'!$B$18*U2536</f>
        <v/>
      </c>
      <c r="U2536" s="27">
        <f>MIN(1, S2536/M2536)</f>
        <v/>
      </c>
      <c r="V2536" s="27">
        <f>N2536/(N2536+O2536)</f>
        <v/>
      </c>
      <c r="W2536" s="27">
        <f>U2536*V2536</f>
        <v/>
      </c>
      <c r="X2536" s="25">
        <f>T2536/N2536</f>
        <v/>
      </c>
      <c r="Y2536" s="28">
        <f>IF(W2536=MAXIFS(W$2:W$3601, A$2:A$3601, A2536, B$2:B$3601, B2536), "OPTIMAL", "")</f>
        <v/>
      </c>
    </row>
    <row r="2537" ht="20" customHeight="1">
      <c r="A2537" s="29" t="n">
        <v>-18</v>
      </c>
      <c r="B2537" s="29" t="n">
        <v>35</v>
      </c>
      <c r="C2537" s="30" t="n">
        <v>80</v>
      </c>
      <c r="D2537" s="30" t="n">
        <v>2</v>
      </c>
      <c r="E2537" s="6" t="n">
        <v>8</v>
      </c>
      <c r="F2537" s="30" t="n">
        <v>1.5</v>
      </c>
      <c r="G2537" s="6" t="inlineStr">
        <is>
          <t>Non</t>
        </is>
      </c>
      <c r="H2537" s="6" t="inlineStr">
        <is>
          <t>OFF</t>
        </is>
      </c>
      <c r="I2537" s="31" t="n">
        <v>744.7528686370244</v>
      </c>
      <c r="J2537" s="31" t="n">
        <v>6550.668683077564</v>
      </c>
      <c r="K2537" s="31" t="n">
        <v>4222.222222222223</v>
      </c>
      <c r="L2537" s="31" t="n">
        <v>150</v>
      </c>
      <c r="M2537" s="31">
        <f>I2537+J2537+K2537+L2537</f>
        <v/>
      </c>
      <c r="N2537" s="31">
        <f>M2537*'Dashboard &amp; Optimisation'!$B$18/('Dashboard &amp; Optimisation'!$B$16/3.6)</f>
        <v/>
      </c>
      <c r="O2537" s="31" t="n">
        <v>1471.067634080946</v>
      </c>
      <c r="P2537" s="32" t="n">
        <v>0.2661040483215279</v>
      </c>
      <c r="Q2537" s="33" t="n">
        <v>16.66901844811125</v>
      </c>
      <c r="R2537" s="31" t="n">
        <v>1978.444414095136</v>
      </c>
      <c r="S2537" s="31">
        <f>R2537*IF(A2537=4, 2.0, 3.0)</f>
        <v/>
      </c>
      <c r="T2537" s="30">
        <f>'Dashboard &amp; Optimisation'!$B$18*U2537</f>
        <v/>
      </c>
      <c r="U2537" s="34">
        <f>MIN(1, S2537/M2537)</f>
        <v/>
      </c>
      <c r="V2537" s="34">
        <f>N2537/(N2537+O2537)</f>
        <v/>
      </c>
      <c r="W2537" s="34">
        <f>U2537*V2537</f>
        <v/>
      </c>
      <c r="X2537" s="32">
        <f>T2537/N2537</f>
        <v/>
      </c>
      <c r="Y2537" s="35">
        <f>IF(W2537=MAXIFS(W$2:W$3601, A$2:A$3601, A2537, B$2:B$3601, B2537), "OPTIMAL", "")</f>
        <v/>
      </c>
    </row>
    <row r="2538" ht="20" customHeight="1">
      <c r="A2538" s="21" t="n">
        <v>-18</v>
      </c>
      <c r="B2538" s="21" t="n">
        <v>35</v>
      </c>
      <c r="C2538" s="22" t="n">
        <v>80</v>
      </c>
      <c r="D2538" s="22" t="n">
        <v>2</v>
      </c>
      <c r="E2538" s="23" t="n">
        <v>8</v>
      </c>
      <c r="F2538" s="22" t="n">
        <v>2</v>
      </c>
      <c r="G2538" s="23" t="inlineStr">
        <is>
          <t>Oui</t>
        </is>
      </c>
      <c r="H2538" s="23" t="inlineStr">
        <is>
          <t>ON</t>
        </is>
      </c>
      <c r="I2538" s="24" t="n">
        <v>744.7528686370244</v>
      </c>
      <c r="J2538" s="24" t="n">
        <v>6550.668683077564</v>
      </c>
      <c r="K2538" s="24" t="n">
        <v>4222.222222222223</v>
      </c>
      <c r="L2538" s="24" t="n">
        <v>150</v>
      </c>
      <c r="M2538" s="24">
        <f>I2538+J2538+K2538+L2538</f>
        <v/>
      </c>
      <c r="N2538" s="24">
        <f>M2538*'Dashboard &amp; Optimisation'!$B$18/('Dashboard &amp; Optimisation'!$B$16/3.6)</f>
        <v/>
      </c>
      <c r="O2538" s="24" t="n">
        <v>1781.125570992189</v>
      </c>
      <c r="P2538" s="25" t="n">
        <v>0.06058998977604487</v>
      </c>
      <c r="Q2538" s="26" t="n">
        <v>22.15869126414833</v>
      </c>
      <c r="R2538" s="24" t="n">
        <v>8949.976686901304</v>
      </c>
      <c r="S2538" s="24">
        <f>R2538*IF(A2538=4, 2.0, 3.0)</f>
        <v/>
      </c>
      <c r="T2538" s="22">
        <f>'Dashboard &amp; Optimisation'!$B$18*U2538</f>
        <v/>
      </c>
      <c r="U2538" s="27">
        <f>MIN(1, S2538/M2538)</f>
        <v/>
      </c>
      <c r="V2538" s="27">
        <f>N2538/(N2538+O2538)</f>
        <v/>
      </c>
      <c r="W2538" s="27">
        <f>U2538*V2538</f>
        <v/>
      </c>
      <c r="X2538" s="25">
        <f>T2538/N2538</f>
        <v/>
      </c>
      <c r="Y2538" s="28">
        <f>IF(W2538=MAXIFS(W$2:W$3601, A$2:A$3601, A2538, B$2:B$3601, B2538), "OPTIMAL", "")</f>
        <v/>
      </c>
    </row>
    <row r="2539" ht="20" customHeight="1">
      <c r="A2539" s="29" t="n">
        <v>-18</v>
      </c>
      <c r="B2539" s="29" t="n">
        <v>35</v>
      </c>
      <c r="C2539" s="30" t="n">
        <v>80</v>
      </c>
      <c r="D2539" s="30" t="n">
        <v>2</v>
      </c>
      <c r="E2539" s="6" t="n">
        <v>8</v>
      </c>
      <c r="F2539" s="30" t="n">
        <v>2</v>
      </c>
      <c r="G2539" s="6" t="inlineStr">
        <is>
          <t>Oui</t>
        </is>
      </c>
      <c r="H2539" s="6" t="inlineStr">
        <is>
          <t>OFF</t>
        </is>
      </c>
      <c r="I2539" s="31" t="n">
        <v>744.7528686370244</v>
      </c>
      <c r="J2539" s="31" t="n">
        <v>6550.668683077564</v>
      </c>
      <c r="K2539" s="31" t="n">
        <v>4222.222222222223</v>
      </c>
      <c r="L2539" s="31" t="n">
        <v>150</v>
      </c>
      <c r="M2539" s="31">
        <f>I2539+J2539+K2539+L2539</f>
        <v/>
      </c>
      <c r="N2539" s="31">
        <f>M2539*'Dashboard &amp; Optimisation'!$B$18/('Dashboard &amp; Optimisation'!$B$16/3.6)</f>
        <v/>
      </c>
      <c r="O2539" s="31" t="n">
        <v>1781.125570992189</v>
      </c>
      <c r="P2539" s="32" t="n">
        <v>0.2709744149858122</v>
      </c>
      <c r="Q2539" s="33" t="n">
        <v>22.15869126414833</v>
      </c>
      <c r="R2539" s="31" t="n">
        <v>2001.218439695064</v>
      </c>
      <c r="S2539" s="31">
        <f>R2539*IF(A2539=4, 2.0, 3.0)</f>
        <v/>
      </c>
      <c r="T2539" s="30">
        <f>'Dashboard &amp; Optimisation'!$B$18*U2539</f>
        <v/>
      </c>
      <c r="U2539" s="34">
        <f>MIN(1, S2539/M2539)</f>
        <v/>
      </c>
      <c r="V2539" s="34">
        <f>N2539/(N2539+O2539)</f>
        <v/>
      </c>
      <c r="W2539" s="34">
        <f>U2539*V2539</f>
        <v/>
      </c>
      <c r="X2539" s="32">
        <f>T2539/N2539</f>
        <v/>
      </c>
      <c r="Y2539" s="35">
        <f>IF(W2539=MAXIFS(W$2:W$3601, A$2:A$3601, A2539, B$2:B$3601, B2539), "OPTIMAL", "")</f>
        <v/>
      </c>
    </row>
    <row r="2540" ht="20" customHeight="1">
      <c r="A2540" s="21" t="n">
        <v>-18</v>
      </c>
      <c r="B2540" s="21" t="n">
        <v>35</v>
      </c>
      <c r="C2540" s="22" t="n">
        <v>80</v>
      </c>
      <c r="D2540" s="22" t="n">
        <v>2</v>
      </c>
      <c r="E2540" s="23" t="n">
        <v>8</v>
      </c>
      <c r="F2540" s="22" t="n">
        <v>2</v>
      </c>
      <c r="G2540" s="23" t="inlineStr">
        <is>
          <t>Non</t>
        </is>
      </c>
      <c r="H2540" s="23" t="inlineStr">
        <is>
          <t>ON</t>
        </is>
      </c>
      <c r="I2540" s="24" t="n">
        <v>744.7528686370244</v>
      </c>
      <c r="J2540" s="24" t="n">
        <v>6550.668683077564</v>
      </c>
      <c r="K2540" s="24" t="n">
        <v>4222.222222222223</v>
      </c>
      <c r="L2540" s="24" t="n">
        <v>150</v>
      </c>
      <c r="M2540" s="24">
        <f>I2540+J2540+K2540+L2540</f>
        <v/>
      </c>
      <c r="N2540" s="24">
        <f>M2540*'Dashboard &amp; Optimisation'!$B$18/('Dashboard &amp; Optimisation'!$B$16/3.6)</f>
        <v/>
      </c>
      <c r="O2540" s="24" t="n">
        <v>1781.125570992189</v>
      </c>
      <c r="P2540" s="25" t="n">
        <v>0.05661111619874749</v>
      </c>
      <c r="Q2540" s="26" t="n">
        <v>22.15869126414833</v>
      </c>
      <c r="R2540" s="24" t="n">
        <v>9579.019676124808</v>
      </c>
      <c r="S2540" s="24">
        <f>R2540*IF(A2540=4, 2.0, 3.0)</f>
        <v/>
      </c>
      <c r="T2540" s="22">
        <f>'Dashboard &amp; Optimisation'!$B$18*U2540</f>
        <v/>
      </c>
      <c r="U2540" s="27">
        <f>MIN(1, S2540/M2540)</f>
        <v/>
      </c>
      <c r="V2540" s="27">
        <f>N2540/(N2540+O2540)</f>
        <v/>
      </c>
      <c r="W2540" s="27">
        <f>U2540*V2540</f>
        <v/>
      </c>
      <c r="X2540" s="25">
        <f>T2540/N2540</f>
        <v/>
      </c>
      <c r="Y2540" s="28">
        <f>IF(W2540=MAXIFS(W$2:W$3601, A$2:A$3601, A2540, B$2:B$3601, B2540), "OPTIMAL", "")</f>
        <v/>
      </c>
    </row>
    <row r="2541" ht="20" customHeight="1">
      <c r="A2541" s="29" t="n">
        <v>-18</v>
      </c>
      <c r="B2541" s="29" t="n">
        <v>35</v>
      </c>
      <c r="C2541" s="30" t="n">
        <v>80</v>
      </c>
      <c r="D2541" s="30" t="n">
        <v>2</v>
      </c>
      <c r="E2541" s="6" t="n">
        <v>8</v>
      </c>
      <c r="F2541" s="30" t="n">
        <v>2</v>
      </c>
      <c r="G2541" s="6" t="inlineStr">
        <is>
          <t>Non</t>
        </is>
      </c>
      <c r="H2541" s="6" t="inlineStr">
        <is>
          <t>OFF</t>
        </is>
      </c>
      <c r="I2541" s="31" t="n">
        <v>744.7528686370244</v>
      </c>
      <c r="J2541" s="31" t="n">
        <v>6550.668683077564</v>
      </c>
      <c r="K2541" s="31" t="n">
        <v>4222.222222222223</v>
      </c>
      <c r="L2541" s="31" t="n">
        <v>150</v>
      </c>
      <c r="M2541" s="31">
        <f>I2541+J2541+K2541+L2541</f>
        <v/>
      </c>
      <c r="N2541" s="31">
        <f>M2541*'Dashboard &amp; Optimisation'!$B$18/('Dashboard &amp; Optimisation'!$B$16/3.6)</f>
        <v/>
      </c>
      <c r="O2541" s="31" t="n">
        <v>1781.125570992189</v>
      </c>
      <c r="P2541" s="32" t="n">
        <v>0.2669955414085148</v>
      </c>
      <c r="Q2541" s="33" t="n">
        <v>22.15869126414833</v>
      </c>
      <c r="R2541" s="31" t="n">
        <v>2031.041391532001</v>
      </c>
      <c r="S2541" s="31">
        <f>R2541*IF(A2541=4, 2.0, 3.0)</f>
        <v/>
      </c>
      <c r="T2541" s="30">
        <f>'Dashboard &amp; Optimisation'!$B$18*U2541</f>
        <v/>
      </c>
      <c r="U2541" s="34">
        <f>MIN(1, S2541/M2541)</f>
        <v/>
      </c>
      <c r="V2541" s="34">
        <f>N2541/(N2541+O2541)</f>
        <v/>
      </c>
      <c r="W2541" s="34">
        <f>U2541*V2541</f>
        <v/>
      </c>
      <c r="X2541" s="32">
        <f>T2541/N2541</f>
        <v/>
      </c>
      <c r="Y2541" s="35">
        <f>IF(W2541=MAXIFS(W$2:W$3601, A$2:A$3601, A2541, B$2:B$3601, B2541), "OPTIMAL", "")</f>
        <v/>
      </c>
    </row>
    <row r="2542" ht="20" customHeight="1">
      <c r="A2542" s="21" t="n">
        <v>-18</v>
      </c>
      <c r="B2542" s="21" t="n">
        <v>35</v>
      </c>
      <c r="C2542" s="22" t="n">
        <v>80</v>
      </c>
      <c r="D2542" s="22" t="n">
        <v>3</v>
      </c>
      <c r="E2542" s="23" t="n">
        <v>0</v>
      </c>
      <c r="F2542" s="22" t="n">
        <v>0</v>
      </c>
      <c r="G2542" s="23" t="inlineStr">
        <is>
          <t>Oui</t>
        </is>
      </c>
      <c r="H2542" s="23" t="inlineStr">
        <is>
          <t>ON</t>
        </is>
      </c>
      <c r="I2542" s="24" t="n">
        <v>744.7528686370244</v>
      </c>
      <c r="J2542" s="24" t="n">
        <v>6550.668683077564</v>
      </c>
      <c r="K2542" s="24" t="n">
        <v>4222.222222222223</v>
      </c>
      <c r="L2542" s="24" t="n">
        <v>150</v>
      </c>
      <c r="M2542" s="24">
        <f>I2542+J2542+K2542+L2542</f>
        <v/>
      </c>
      <c r="N2542" s="24">
        <f>M2542*'Dashboard &amp; Optimisation'!$B$18/('Dashboard &amp; Optimisation'!$B$16/3.6)</f>
        <v/>
      </c>
      <c r="O2542" s="24" t="n">
        <v>1000.590819824435</v>
      </c>
      <c r="P2542" s="25" t="n">
        <v>0.5013985973965238</v>
      </c>
      <c r="Q2542" s="26" t="n">
        <v>0.2</v>
      </c>
      <c r="R2542" s="24" t="n">
        <v>1018.468924930141</v>
      </c>
      <c r="S2542" s="24">
        <f>R2542*IF(A2542=4, 2.0, 3.0)</f>
        <v/>
      </c>
      <c r="T2542" s="22">
        <f>'Dashboard &amp; Optimisation'!$B$18*U2542</f>
        <v/>
      </c>
      <c r="U2542" s="27">
        <f>MIN(1, S2542/M2542)</f>
        <v/>
      </c>
      <c r="V2542" s="27">
        <f>N2542/(N2542+O2542)</f>
        <v/>
      </c>
      <c r="W2542" s="27">
        <f>U2542*V2542</f>
        <v/>
      </c>
      <c r="X2542" s="25">
        <f>T2542/N2542</f>
        <v/>
      </c>
      <c r="Y2542" s="28">
        <f>IF(W2542=MAXIFS(W$2:W$3601, A$2:A$3601, A2542, B$2:B$3601, B2542), "OPTIMAL", "")</f>
        <v/>
      </c>
    </row>
    <row r="2543" ht="20" customHeight="1">
      <c r="A2543" s="29" t="n">
        <v>-18</v>
      </c>
      <c r="B2543" s="29" t="n">
        <v>35</v>
      </c>
      <c r="C2543" s="30" t="n">
        <v>80</v>
      </c>
      <c r="D2543" s="30" t="n">
        <v>3</v>
      </c>
      <c r="E2543" s="6" t="n">
        <v>0</v>
      </c>
      <c r="F2543" s="30" t="n">
        <v>0</v>
      </c>
      <c r="G2543" s="6" t="inlineStr">
        <is>
          <t>Oui</t>
        </is>
      </c>
      <c r="H2543" s="6" t="inlineStr">
        <is>
          <t>OFF</t>
        </is>
      </c>
      <c r="I2543" s="31" t="n">
        <v>744.7528686370244</v>
      </c>
      <c r="J2543" s="31" t="n">
        <v>6550.668683077564</v>
      </c>
      <c r="K2543" s="31" t="n">
        <v>4222.222222222223</v>
      </c>
      <c r="L2543" s="31" t="n">
        <v>150</v>
      </c>
      <c r="M2543" s="31">
        <f>I2543+J2543+K2543+L2543</f>
        <v/>
      </c>
      <c r="N2543" s="31">
        <f>M2543*'Dashboard &amp; Optimisation'!$B$18/('Dashboard &amp; Optimisation'!$B$16/3.6)</f>
        <v/>
      </c>
      <c r="O2543" s="31" t="n">
        <v>1000.590819824435</v>
      </c>
      <c r="P2543" s="32" t="n">
        <v>0.8992859551262622</v>
      </c>
      <c r="Q2543" s="33" t="n">
        <v>0.2</v>
      </c>
      <c r="R2543" s="31" t="n">
        <v>567.8492892510706</v>
      </c>
      <c r="S2543" s="31">
        <f>R2543*IF(A2543=4, 2.0, 3.0)</f>
        <v/>
      </c>
      <c r="T2543" s="30">
        <f>'Dashboard &amp; Optimisation'!$B$18*U2543</f>
        <v/>
      </c>
      <c r="U2543" s="34">
        <f>MIN(1, S2543/M2543)</f>
        <v/>
      </c>
      <c r="V2543" s="34">
        <f>N2543/(N2543+O2543)</f>
        <v/>
      </c>
      <c r="W2543" s="34">
        <f>U2543*V2543</f>
        <v/>
      </c>
      <c r="X2543" s="32">
        <f>T2543/N2543</f>
        <v/>
      </c>
      <c r="Y2543" s="35">
        <f>IF(W2543=MAXIFS(W$2:W$3601, A$2:A$3601, A2543, B$2:B$3601, B2543), "OPTIMAL", "")</f>
        <v/>
      </c>
    </row>
    <row r="2544" ht="20" customHeight="1">
      <c r="A2544" s="21" t="n">
        <v>-18</v>
      </c>
      <c r="B2544" s="21" t="n">
        <v>35</v>
      </c>
      <c r="C2544" s="22" t="n">
        <v>80</v>
      </c>
      <c r="D2544" s="22" t="n">
        <v>3</v>
      </c>
      <c r="E2544" s="23" t="n">
        <v>0</v>
      </c>
      <c r="F2544" s="22" t="n">
        <v>0</v>
      </c>
      <c r="G2544" s="23" t="inlineStr">
        <is>
          <t>Non</t>
        </is>
      </c>
      <c r="H2544" s="23" t="inlineStr">
        <is>
          <t>ON</t>
        </is>
      </c>
      <c r="I2544" s="24" t="n">
        <v>744.7528686370244</v>
      </c>
      <c r="J2544" s="24" t="n">
        <v>6550.668683077564</v>
      </c>
      <c r="K2544" s="24" t="n">
        <v>4222.222222222223</v>
      </c>
      <c r="L2544" s="24" t="n">
        <v>150</v>
      </c>
      <c r="M2544" s="24">
        <f>I2544+J2544+K2544+L2544</f>
        <v/>
      </c>
      <c r="N2544" s="24">
        <f>M2544*'Dashboard &amp; Optimisation'!$B$18/('Dashboard &amp; Optimisation'!$B$16/3.6)</f>
        <v/>
      </c>
      <c r="O2544" s="24" t="n">
        <v>1000.590819824435</v>
      </c>
      <c r="P2544" s="25" t="n">
        <v>0.4974197238192265</v>
      </c>
      <c r="Q2544" s="26" t="n">
        <v>0.2</v>
      </c>
      <c r="R2544" s="24" t="n">
        <v>1026.615684900953</v>
      </c>
      <c r="S2544" s="24">
        <f>R2544*IF(A2544=4, 2.0, 3.0)</f>
        <v/>
      </c>
      <c r="T2544" s="22">
        <f>'Dashboard &amp; Optimisation'!$B$18*U2544</f>
        <v/>
      </c>
      <c r="U2544" s="27">
        <f>MIN(1, S2544/M2544)</f>
        <v/>
      </c>
      <c r="V2544" s="27">
        <f>N2544/(N2544+O2544)</f>
        <v/>
      </c>
      <c r="W2544" s="27">
        <f>U2544*V2544</f>
        <v/>
      </c>
      <c r="X2544" s="25">
        <f>T2544/N2544</f>
        <v/>
      </c>
      <c r="Y2544" s="28">
        <f>IF(W2544=MAXIFS(W$2:W$3601, A$2:A$3601, A2544, B$2:B$3601, B2544), "OPTIMAL", "")</f>
        <v/>
      </c>
    </row>
    <row r="2545" ht="20" customHeight="1">
      <c r="A2545" s="29" t="n">
        <v>-18</v>
      </c>
      <c r="B2545" s="29" t="n">
        <v>35</v>
      </c>
      <c r="C2545" s="30" t="n">
        <v>80</v>
      </c>
      <c r="D2545" s="30" t="n">
        <v>3</v>
      </c>
      <c r="E2545" s="6" t="n">
        <v>0</v>
      </c>
      <c r="F2545" s="30" t="n">
        <v>0</v>
      </c>
      <c r="G2545" s="6" t="inlineStr">
        <is>
          <t>Non</t>
        </is>
      </c>
      <c r="H2545" s="6" t="inlineStr">
        <is>
          <t>OFF</t>
        </is>
      </c>
      <c r="I2545" s="31" t="n">
        <v>744.7528686370244</v>
      </c>
      <c r="J2545" s="31" t="n">
        <v>6550.668683077564</v>
      </c>
      <c r="K2545" s="31" t="n">
        <v>4222.222222222223</v>
      </c>
      <c r="L2545" s="31" t="n">
        <v>150</v>
      </c>
      <c r="M2545" s="31">
        <f>I2545+J2545+K2545+L2545</f>
        <v/>
      </c>
      <c r="N2545" s="31">
        <f>M2545*'Dashboard &amp; Optimisation'!$B$18/('Dashboard &amp; Optimisation'!$B$16/3.6)</f>
        <v/>
      </c>
      <c r="O2545" s="31" t="n">
        <v>1000.590819824435</v>
      </c>
      <c r="P2545" s="32" t="n">
        <v>0.8953070815489648</v>
      </c>
      <c r="Q2545" s="33" t="n">
        <v>0.2</v>
      </c>
      <c r="R2545" s="31" t="n">
        <v>570.372893251811</v>
      </c>
      <c r="S2545" s="31">
        <f>R2545*IF(A2545=4, 2.0, 3.0)</f>
        <v/>
      </c>
      <c r="T2545" s="30">
        <f>'Dashboard &amp; Optimisation'!$B$18*U2545</f>
        <v/>
      </c>
      <c r="U2545" s="34">
        <f>MIN(1, S2545/M2545)</f>
        <v/>
      </c>
      <c r="V2545" s="34">
        <f>N2545/(N2545+O2545)</f>
        <v/>
      </c>
      <c r="W2545" s="34">
        <f>U2545*V2545</f>
        <v/>
      </c>
      <c r="X2545" s="32">
        <f>T2545/N2545</f>
        <v/>
      </c>
      <c r="Y2545" s="35">
        <f>IF(W2545=MAXIFS(W$2:W$3601, A$2:A$3601, A2545, B$2:B$3601, B2545), "OPTIMAL", "")</f>
        <v/>
      </c>
    </row>
    <row r="2546" ht="20" customHeight="1">
      <c r="A2546" s="21" t="n">
        <v>-18</v>
      </c>
      <c r="B2546" s="21" t="n">
        <v>35</v>
      </c>
      <c r="C2546" s="22" t="n">
        <v>80</v>
      </c>
      <c r="D2546" s="22" t="n">
        <v>3</v>
      </c>
      <c r="E2546" s="23" t="n">
        <v>4</v>
      </c>
      <c r="F2546" s="22" t="n">
        <v>1.5</v>
      </c>
      <c r="G2546" s="23" t="inlineStr">
        <is>
          <t>Oui</t>
        </is>
      </c>
      <c r="H2546" s="23" t="inlineStr">
        <is>
          <t>ON</t>
        </is>
      </c>
      <c r="I2546" s="24" t="n">
        <v>744.7528686370244</v>
      </c>
      <c r="J2546" s="24" t="n">
        <v>6550.668683077564</v>
      </c>
      <c r="K2546" s="24" t="n">
        <v>4222.222222222223</v>
      </c>
      <c r="L2546" s="24" t="n">
        <v>150</v>
      </c>
      <c r="M2546" s="24">
        <f>I2546+J2546+K2546+L2546</f>
        <v/>
      </c>
      <c r="N2546" s="24">
        <f>M2546*'Dashboard &amp; Optimisation'!$B$18/('Dashboard &amp; Optimisation'!$B$16/3.6)</f>
        <v/>
      </c>
      <c r="O2546" s="24" t="n">
        <v>1428.54268811653</v>
      </c>
      <c r="P2546" s="25" t="n">
        <v>0.08209463084427607</v>
      </c>
      <c r="Q2546" s="26" t="n">
        <v>8.657063527408475</v>
      </c>
      <c r="R2546" s="24" t="n">
        <v>6488.298373880048</v>
      </c>
      <c r="S2546" s="24">
        <f>R2546*IF(A2546=4, 2.0, 3.0)</f>
        <v/>
      </c>
      <c r="T2546" s="22">
        <f>'Dashboard &amp; Optimisation'!$B$18*U2546</f>
        <v/>
      </c>
      <c r="U2546" s="27">
        <f>MIN(1, S2546/M2546)</f>
        <v/>
      </c>
      <c r="V2546" s="27">
        <f>N2546/(N2546+O2546)</f>
        <v/>
      </c>
      <c r="W2546" s="27">
        <f>U2546*V2546</f>
        <v/>
      </c>
      <c r="X2546" s="25">
        <f>T2546/N2546</f>
        <v/>
      </c>
      <c r="Y2546" s="28">
        <f>IF(W2546=MAXIFS(W$2:W$3601, A$2:A$3601, A2546, B$2:B$3601, B2546), "OPTIMAL", "")</f>
        <v/>
      </c>
    </row>
    <row r="2547" ht="20" customHeight="1">
      <c r="A2547" s="29" t="n">
        <v>-18</v>
      </c>
      <c r="B2547" s="29" t="n">
        <v>35</v>
      </c>
      <c r="C2547" s="30" t="n">
        <v>80</v>
      </c>
      <c r="D2547" s="30" t="n">
        <v>3</v>
      </c>
      <c r="E2547" s="6" t="n">
        <v>4</v>
      </c>
      <c r="F2547" s="30" t="n">
        <v>1.5</v>
      </c>
      <c r="G2547" s="6" t="inlineStr">
        <is>
          <t>Oui</t>
        </is>
      </c>
      <c r="H2547" s="6" t="inlineStr">
        <is>
          <t>OFF</t>
        </is>
      </c>
      <c r="I2547" s="31" t="n">
        <v>744.7528686370244</v>
      </c>
      <c r="J2547" s="31" t="n">
        <v>6550.668683077564</v>
      </c>
      <c r="K2547" s="31" t="n">
        <v>4222.222222222223</v>
      </c>
      <c r="L2547" s="31" t="n">
        <v>150</v>
      </c>
      <c r="M2547" s="31">
        <f>I2547+J2547+K2547+L2547</f>
        <v/>
      </c>
      <c r="N2547" s="31">
        <f>M2547*'Dashboard &amp; Optimisation'!$B$18/('Dashboard &amp; Optimisation'!$B$16/3.6)</f>
        <v/>
      </c>
      <c r="O2547" s="31" t="n">
        <v>1428.54268811653</v>
      </c>
      <c r="P2547" s="32" t="n">
        <v>0.3558275394191204</v>
      </c>
      <c r="Q2547" s="33" t="n">
        <v>8.657063527408475</v>
      </c>
      <c r="R2547" s="31" t="n">
        <v>1496.945572792776</v>
      </c>
      <c r="S2547" s="31">
        <f>R2547*IF(A2547=4, 2.0, 3.0)</f>
        <v/>
      </c>
      <c r="T2547" s="30">
        <f>'Dashboard &amp; Optimisation'!$B$18*U2547</f>
        <v/>
      </c>
      <c r="U2547" s="34">
        <f>MIN(1, S2547/M2547)</f>
        <v/>
      </c>
      <c r="V2547" s="34">
        <f>N2547/(N2547+O2547)</f>
        <v/>
      </c>
      <c r="W2547" s="34">
        <f>U2547*V2547</f>
        <v/>
      </c>
      <c r="X2547" s="32">
        <f>T2547/N2547</f>
        <v/>
      </c>
      <c r="Y2547" s="35">
        <f>IF(W2547=MAXIFS(W$2:W$3601, A$2:A$3601, A2547, B$2:B$3601, B2547), "OPTIMAL", "")</f>
        <v/>
      </c>
    </row>
    <row r="2548" ht="20" customHeight="1">
      <c r="A2548" s="21" t="n">
        <v>-18</v>
      </c>
      <c r="B2548" s="21" t="n">
        <v>35</v>
      </c>
      <c r="C2548" s="22" t="n">
        <v>80</v>
      </c>
      <c r="D2548" s="22" t="n">
        <v>3</v>
      </c>
      <c r="E2548" s="23" t="n">
        <v>4</v>
      </c>
      <c r="F2548" s="22" t="n">
        <v>1.5</v>
      </c>
      <c r="G2548" s="23" t="inlineStr">
        <is>
          <t>Non</t>
        </is>
      </c>
      <c r="H2548" s="23" t="inlineStr">
        <is>
          <t>ON</t>
        </is>
      </c>
      <c r="I2548" s="24" t="n">
        <v>744.7528686370244</v>
      </c>
      <c r="J2548" s="24" t="n">
        <v>6550.668683077564</v>
      </c>
      <c r="K2548" s="24" t="n">
        <v>4222.222222222223</v>
      </c>
      <c r="L2548" s="24" t="n">
        <v>150</v>
      </c>
      <c r="M2548" s="24">
        <f>I2548+J2548+K2548+L2548</f>
        <v/>
      </c>
      <c r="N2548" s="24">
        <f>M2548*'Dashboard &amp; Optimisation'!$B$18/('Dashboard &amp; Optimisation'!$B$16/3.6)</f>
        <v/>
      </c>
      <c r="O2548" s="24" t="n">
        <v>1428.54268811653</v>
      </c>
      <c r="P2548" s="25" t="n">
        <v>0.07811575726697868</v>
      </c>
      <c r="Q2548" s="26" t="n">
        <v>8.657063527408475</v>
      </c>
      <c r="R2548" s="24" t="n">
        <v>6818.783795319673</v>
      </c>
      <c r="S2548" s="24">
        <f>R2548*IF(A2548=4, 2.0, 3.0)</f>
        <v/>
      </c>
      <c r="T2548" s="22">
        <f>'Dashboard &amp; Optimisation'!$B$18*U2548</f>
        <v/>
      </c>
      <c r="U2548" s="27">
        <f>MIN(1, S2548/M2548)</f>
        <v/>
      </c>
      <c r="V2548" s="27">
        <f>N2548/(N2548+O2548)</f>
        <v/>
      </c>
      <c r="W2548" s="27">
        <f>U2548*V2548</f>
        <v/>
      </c>
      <c r="X2548" s="25">
        <f>T2548/N2548</f>
        <v/>
      </c>
      <c r="Y2548" s="28">
        <f>IF(W2548=MAXIFS(W$2:W$3601, A$2:A$3601, A2548, B$2:B$3601, B2548), "OPTIMAL", "")</f>
        <v/>
      </c>
    </row>
    <row r="2549" ht="20" customHeight="1">
      <c r="A2549" s="29" t="n">
        <v>-18</v>
      </c>
      <c r="B2549" s="29" t="n">
        <v>35</v>
      </c>
      <c r="C2549" s="30" t="n">
        <v>80</v>
      </c>
      <c r="D2549" s="30" t="n">
        <v>3</v>
      </c>
      <c r="E2549" s="6" t="n">
        <v>4</v>
      </c>
      <c r="F2549" s="30" t="n">
        <v>1.5</v>
      </c>
      <c r="G2549" s="6" t="inlineStr">
        <is>
          <t>Non</t>
        </is>
      </c>
      <c r="H2549" s="6" t="inlineStr">
        <is>
          <t>OFF</t>
        </is>
      </c>
      <c r="I2549" s="31" t="n">
        <v>744.7528686370244</v>
      </c>
      <c r="J2549" s="31" t="n">
        <v>6550.668683077564</v>
      </c>
      <c r="K2549" s="31" t="n">
        <v>4222.222222222223</v>
      </c>
      <c r="L2549" s="31" t="n">
        <v>150</v>
      </c>
      <c r="M2549" s="31">
        <f>I2549+J2549+K2549+L2549</f>
        <v/>
      </c>
      <c r="N2549" s="31">
        <f>M2549*'Dashboard &amp; Optimisation'!$B$18/('Dashboard &amp; Optimisation'!$B$16/3.6)</f>
        <v/>
      </c>
      <c r="O2549" s="31" t="n">
        <v>1428.54268811653</v>
      </c>
      <c r="P2549" s="32" t="n">
        <v>0.3518486658418231</v>
      </c>
      <c r="Q2549" s="33" t="n">
        <v>8.657063527408475</v>
      </c>
      <c r="R2549" s="31" t="n">
        <v>1513.873751764229</v>
      </c>
      <c r="S2549" s="31">
        <f>R2549*IF(A2549=4, 2.0, 3.0)</f>
        <v/>
      </c>
      <c r="T2549" s="30">
        <f>'Dashboard &amp; Optimisation'!$B$18*U2549</f>
        <v/>
      </c>
      <c r="U2549" s="34">
        <f>MIN(1, S2549/M2549)</f>
        <v/>
      </c>
      <c r="V2549" s="34">
        <f>N2549/(N2549+O2549)</f>
        <v/>
      </c>
      <c r="W2549" s="34">
        <f>U2549*V2549</f>
        <v/>
      </c>
      <c r="X2549" s="32">
        <f>T2549/N2549</f>
        <v/>
      </c>
      <c r="Y2549" s="35">
        <f>IF(W2549=MAXIFS(W$2:W$3601, A$2:A$3601, A2549, B$2:B$3601, B2549), "OPTIMAL", "")</f>
        <v/>
      </c>
    </row>
    <row r="2550" ht="20" customHeight="1">
      <c r="A2550" s="21" t="n">
        <v>-18</v>
      </c>
      <c r="B2550" s="21" t="n">
        <v>35</v>
      </c>
      <c r="C2550" s="22" t="n">
        <v>80</v>
      </c>
      <c r="D2550" s="22" t="n">
        <v>3</v>
      </c>
      <c r="E2550" s="23" t="n">
        <v>4</v>
      </c>
      <c r="F2550" s="22" t="n">
        <v>2</v>
      </c>
      <c r="G2550" s="23" t="inlineStr">
        <is>
          <t>Oui</t>
        </is>
      </c>
      <c r="H2550" s="23" t="inlineStr">
        <is>
          <t>ON</t>
        </is>
      </c>
      <c r="I2550" s="24" t="n">
        <v>744.7528686370244</v>
      </c>
      <c r="J2550" s="24" t="n">
        <v>6550.668683077564</v>
      </c>
      <c r="K2550" s="24" t="n">
        <v>4222.222222222223</v>
      </c>
      <c r="L2550" s="24" t="n">
        <v>150</v>
      </c>
      <c r="M2550" s="24">
        <f>I2550+J2550+K2550+L2550</f>
        <v/>
      </c>
      <c r="N2550" s="24">
        <f>M2550*'Dashboard &amp; Optimisation'!$B$18/('Dashboard &amp; Optimisation'!$B$16/3.6)</f>
        <v/>
      </c>
      <c r="O2550" s="24" t="n">
        <v>1579.505154420861</v>
      </c>
      <c r="P2550" s="25" t="n">
        <v>0.08011046001180847</v>
      </c>
      <c r="Q2550" s="26" t="n">
        <v>11.4760847032113</v>
      </c>
      <c r="R2550" s="24" t="n">
        <v>6745.854692100187</v>
      </c>
      <c r="S2550" s="24">
        <f>R2550*IF(A2550=4, 2.0, 3.0)</f>
        <v/>
      </c>
      <c r="T2550" s="22">
        <f>'Dashboard &amp; Optimisation'!$B$18*U2550</f>
        <v/>
      </c>
      <c r="U2550" s="27">
        <f>MIN(1, S2550/M2550)</f>
        <v/>
      </c>
      <c r="V2550" s="27">
        <f>N2550/(N2550+O2550)</f>
        <v/>
      </c>
      <c r="W2550" s="27">
        <f>U2550*V2550</f>
        <v/>
      </c>
      <c r="X2550" s="25">
        <f>T2550/N2550</f>
        <v/>
      </c>
      <c r="Y2550" s="28">
        <f>IF(W2550=MAXIFS(W$2:W$3601, A$2:A$3601, A2550, B$2:B$3601, B2550), "OPTIMAL", "")</f>
        <v/>
      </c>
    </row>
    <row r="2551" ht="20" customHeight="1">
      <c r="A2551" s="29" t="n">
        <v>-18</v>
      </c>
      <c r="B2551" s="29" t="n">
        <v>35</v>
      </c>
      <c r="C2551" s="30" t="n">
        <v>80</v>
      </c>
      <c r="D2551" s="30" t="n">
        <v>3</v>
      </c>
      <c r="E2551" s="6" t="n">
        <v>4</v>
      </c>
      <c r="F2551" s="30" t="n">
        <v>2</v>
      </c>
      <c r="G2551" s="6" t="inlineStr">
        <is>
          <t>Oui</t>
        </is>
      </c>
      <c r="H2551" s="6" t="inlineStr">
        <is>
          <t>OFF</t>
        </is>
      </c>
      <c r="I2551" s="31" t="n">
        <v>744.7528686370244</v>
      </c>
      <c r="J2551" s="31" t="n">
        <v>6550.668683077564</v>
      </c>
      <c r="K2551" s="31" t="n">
        <v>4222.222222222223</v>
      </c>
      <c r="L2551" s="31" t="n">
        <v>150</v>
      </c>
      <c r="M2551" s="31">
        <f>I2551+J2551+K2551+L2551</f>
        <v/>
      </c>
      <c r="N2551" s="31">
        <f>M2551*'Dashboard &amp; Optimisation'!$B$18/('Dashboard &amp; Optimisation'!$B$16/3.6)</f>
        <v/>
      </c>
      <c r="O2551" s="31" t="n">
        <v>1579.505154420861</v>
      </c>
      <c r="P2551" s="32" t="n">
        <v>0.3553476372854298</v>
      </c>
      <c r="Q2551" s="33" t="n">
        <v>11.4760847032113</v>
      </c>
      <c r="R2551" s="31" t="n">
        <v>1520.802351987725</v>
      </c>
      <c r="S2551" s="31">
        <f>R2551*IF(A2551=4, 2.0, 3.0)</f>
        <v/>
      </c>
      <c r="T2551" s="30">
        <f>'Dashboard &amp; Optimisation'!$B$18*U2551</f>
        <v/>
      </c>
      <c r="U2551" s="34">
        <f>MIN(1, S2551/M2551)</f>
        <v/>
      </c>
      <c r="V2551" s="34">
        <f>N2551/(N2551+O2551)</f>
        <v/>
      </c>
      <c r="W2551" s="34">
        <f>U2551*V2551</f>
        <v/>
      </c>
      <c r="X2551" s="32">
        <f>T2551/N2551</f>
        <v/>
      </c>
      <c r="Y2551" s="35">
        <f>IF(W2551=MAXIFS(W$2:W$3601, A$2:A$3601, A2551, B$2:B$3601, B2551), "OPTIMAL", "")</f>
        <v/>
      </c>
    </row>
    <row r="2552" ht="20" customHeight="1">
      <c r="A2552" s="21" t="n">
        <v>-18</v>
      </c>
      <c r="B2552" s="21" t="n">
        <v>35</v>
      </c>
      <c r="C2552" s="22" t="n">
        <v>80</v>
      </c>
      <c r="D2552" s="22" t="n">
        <v>3</v>
      </c>
      <c r="E2552" s="23" t="n">
        <v>4</v>
      </c>
      <c r="F2552" s="22" t="n">
        <v>2</v>
      </c>
      <c r="G2552" s="23" t="inlineStr">
        <is>
          <t>Non</t>
        </is>
      </c>
      <c r="H2552" s="23" t="inlineStr">
        <is>
          <t>ON</t>
        </is>
      </c>
      <c r="I2552" s="24" t="n">
        <v>744.7528686370244</v>
      </c>
      <c r="J2552" s="24" t="n">
        <v>6550.668683077564</v>
      </c>
      <c r="K2552" s="24" t="n">
        <v>4222.222222222223</v>
      </c>
      <c r="L2552" s="24" t="n">
        <v>150</v>
      </c>
      <c r="M2552" s="24">
        <f>I2552+J2552+K2552+L2552</f>
        <v/>
      </c>
      <c r="N2552" s="24">
        <f>M2552*'Dashboard &amp; Optimisation'!$B$18/('Dashboard &amp; Optimisation'!$B$16/3.6)</f>
        <v/>
      </c>
      <c r="O2552" s="24" t="n">
        <v>1579.505154420861</v>
      </c>
      <c r="P2552" s="25" t="n">
        <v>0.07613158643451108</v>
      </c>
      <c r="Q2552" s="26" t="n">
        <v>11.4760847032113</v>
      </c>
      <c r="R2552" s="24" t="n">
        <v>7098.414046866474</v>
      </c>
      <c r="S2552" s="24">
        <f>R2552*IF(A2552=4, 2.0, 3.0)</f>
        <v/>
      </c>
      <c r="T2552" s="22">
        <f>'Dashboard &amp; Optimisation'!$B$18*U2552</f>
        <v/>
      </c>
      <c r="U2552" s="27">
        <f>MIN(1, S2552/M2552)</f>
        <v/>
      </c>
      <c r="V2552" s="27">
        <f>N2552/(N2552+O2552)</f>
        <v/>
      </c>
      <c r="W2552" s="27">
        <f>U2552*V2552</f>
        <v/>
      </c>
      <c r="X2552" s="25">
        <f>T2552/N2552</f>
        <v/>
      </c>
      <c r="Y2552" s="28">
        <f>IF(W2552=MAXIFS(W$2:W$3601, A$2:A$3601, A2552, B$2:B$3601, B2552), "OPTIMAL", "")</f>
        <v/>
      </c>
    </row>
    <row r="2553" ht="20" customHeight="1">
      <c r="A2553" s="29" t="n">
        <v>-18</v>
      </c>
      <c r="B2553" s="29" t="n">
        <v>35</v>
      </c>
      <c r="C2553" s="30" t="n">
        <v>80</v>
      </c>
      <c r="D2553" s="30" t="n">
        <v>3</v>
      </c>
      <c r="E2553" s="6" t="n">
        <v>4</v>
      </c>
      <c r="F2553" s="30" t="n">
        <v>2</v>
      </c>
      <c r="G2553" s="6" t="inlineStr">
        <is>
          <t>Non</t>
        </is>
      </c>
      <c r="H2553" s="6" t="inlineStr">
        <is>
          <t>OFF</t>
        </is>
      </c>
      <c r="I2553" s="31" t="n">
        <v>744.7528686370244</v>
      </c>
      <c r="J2553" s="31" t="n">
        <v>6550.668683077564</v>
      </c>
      <c r="K2553" s="31" t="n">
        <v>4222.222222222223</v>
      </c>
      <c r="L2553" s="31" t="n">
        <v>150</v>
      </c>
      <c r="M2553" s="31">
        <f>I2553+J2553+K2553+L2553</f>
        <v/>
      </c>
      <c r="N2553" s="31">
        <f>M2553*'Dashboard &amp; Optimisation'!$B$18/('Dashboard &amp; Optimisation'!$B$16/3.6)</f>
        <v/>
      </c>
      <c r="O2553" s="31" t="n">
        <v>1579.505154420861</v>
      </c>
      <c r="P2553" s="32" t="n">
        <v>0.3513687637081325</v>
      </c>
      <c r="Q2553" s="33" t="n">
        <v>11.4760847032113</v>
      </c>
      <c r="R2553" s="31" t="n">
        <v>1538.023803976673</v>
      </c>
      <c r="S2553" s="31">
        <f>R2553*IF(A2553=4, 2.0, 3.0)</f>
        <v/>
      </c>
      <c r="T2553" s="30">
        <f>'Dashboard &amp; Optimisation'!$B$18*U2553</f>
        <v/>
      </c>
      <c r="U2553" s="34">
        <f>MIN(1, S2553/M2553)</f>
        <v/>
      </c>
      <c r="V2553" s="34">
        <f>N2553/(N2553+O2553)</f>
        <v/>
      </c>
      <c r="W2553" s="34">
        <f>U2553*V2553</f>
        <v/>
      </c>
      <c r="X2553" s="32">
        <f>T2553/N2553</f>
        <v/>
      </c>
      <c r="Y2553" s="35">
        <f>IF(W2553=MAXIFS(W$2:W$3601, A$2:A$3601, A2553, B$2:B$3601, B2553), "OPTIMAL", "")</f>
        <v/>
      </c>
    </row>
    <row r="2554" ht="20" customHeight="1">
      <c r="A2554" s="21" t="n">
        <v>-18</v>
      </c>
      <c r="B2554" s="21" t="n">
        <v>35</v>
      </c>
      <c r="C2554" s="22" t="n">
        <v>80</v>
      </c>
      <c r="D2554" s="22" t="n">
        <v>3</v>
      </c>
      <c r="E2554" s="23" t="n">
        <v>8</v>
      </c>
      <c r="F2554" s="22" t="n">
        <v>1.5</v>
      </c>
      <c r="G2554" s="23" t="inlineStr">
        <is>
          <t>Oui</t>
        </is>
      </c>
      <c r="H2554" s="23" t="inlineStr">
        <is>
          <t>ON</t>
        </is>
      </c>
      <c r="I2554" s="24" t="n">
        <v>744.7528686370244</v>
      </c>
      <c r="J2554" s="24" t="n">
        <v>6550.668683077564</v>
      </c>
      <c r="K2554" s="24" t="n">
        <v>4222.222222222223</v>
      </c>
      <c r="L2554" s="24" t="n">
        <v>150</v>
      </c>
      <c r="M2554" s="24">
        <f>I2554+J2554+K2554+L2554</f>
        <v/>
      </c>
      <c r="N2554" s="24">
        <f>M2554*'Dashboard &amp; Optimisation'!$B$18/('Dashboard &amp; Optimisation'!$B$16/3.6)</f>
        <v/>
      </c>
      <c r="O2554" s="24" t="n">
        <v>1895.020243093705</v>
      </c>
      <c r="P2554" s="25" t="n">
        <v>0.06134832938702932</v>
      </c>
      <c r="Q2554" s="26" t="n">
        <v>17.11412705481695</v>
      </c>
      <c r="R2554" s="24" t="n">
        <v>9073.273076875632</v>
      </c>
      <c r="S2554" s="24">
        <f>R2554*IF(A2554=4, 2.0, 3.0)</f>
        <v/>
      </c>
      <c r="T2554" s="22">
        <f>'Dashboard &amp; Optimisation'!$B$18*U2554</f>
        <v/>
      </c>
      <c r="U2554" s="27">
        <f>MIN(1, S2554/M2554)</f>
        <v/>
      </c>
      <c r="V2554" s="27">
        <f>N2554/(N2554+O2554)</f>
        <v/>
      </c>
      <c r="W2554" s="27">
        <f>U2554*V2554</f>
        <v/>
      </c>
      <c r="X2554" s="25">
        <f>T2554/N2554</f>
        <v/>
      </c>
      <c r="Y2554" s="28">
        <f>IF(W2554=MAXIFS(W$2:W$3601, A$2:A$3601, A2554, B$2:B$3601, B2554), "OPTIMAL", "")</f>
        <v/>
      </c>
    </row>
    <row r="2555" ht="20" customHeight="1">
      <c r="A2555" s="29" t="n">
        <v>-18</v>
      </c>
      <c r="B2555" s="29" t="n">
        <v>35</v>
      </c>
      <c r="C2555" s="30" t="n">
        <v>80</v>
      </c>
      <c r="D2555" s="30" t="n">
        <v>3</v>
      </c>
      <c r="E2555" s="6" t="n">
        <v>8</v>
      </c>
      <c r="F2555" s="30" t="n">
        <v>1.5</v>
      </c>
      <c r="G2555" s="6" t="inlineStr">
        <is>
          <t>Oui</t>
        </is>
      </c>
      <c r="H2555" s="6" t="inlineStr">
        <is>
          <t>OFF</t>
        </is>
      </c>
      <c r="I2555" s="31" t="n">
        <v>744.7528686370244</v>
      </c>
      <c r="J2555" s="31" t="n">
        <v>6550.668683077564</v>
      </c>
      <c r="K2555" s="31" t="n">
        <v>4222.222222222223</v>
      </c>
      <c r="L2555" s="31" t="n">
        <v>150</v>
      </c>
      <c r="M2555" s="31">
        <f>I2555+J2555+K2555+L2555</f>
        <v/>
      </c>
      <c r="N2555" s="31">
        <f>M2555*'Dashboard &amp; Optimisation'!$B$18/('Dashboard &amp; Optimisation'!$B$16/3.6)</f>
        <v/>
      </c>
      <c r="O2555" s="31" t="n">
        <v>1895.020243093705</v>
      </c>
      <c r="P2555" s="32" t="n">
        <v>0.2699794634504217</v>
      </c>
      <c r="Q2555" s="33" t="n">
        <v>17.11412705481695</v>
      </c>
      <c r="R2555" s="31" t="n">
        <v>2061.749950254455</v>
      </c>
      <c r="S2555" s="31">
        <f>R2555*IF(A2555=4, 2.0, 3.0)</f>
        <v/>
      </c>
      <c r="T2555" s="30">
        <f>'Dashboard &amp; Optimisation'!$B$18*U2555</f>
        <v/>
      </c>
      <c r="U2555" s="34">
        <f>MIN(1, S2555/M2555)</f>
        <v/>
      </c>
      <c r="V2555" s="34">
        <f>N2555/(N2555+O2555)</f>
        <v/>
      </c>
      <c r="W2555" s="34">
        <f>U2555*V2555</f>
        <v/>
      </c>
      <c r="X2555" s="32">
        <f>T2555/N2555</f>
        <v/>
      </c>
      <c r="Y2555" s="35">
        <f>IF(W2555=MAXIFS(W$2:W$3601, A$2:A$3601, A2555, B$2:B$3601, B2555), "OPTIMAL", "")</f>
        <v/>
      </c>
    </row>
    <row r="2556" ht="20" customHeight="1">
      <c r="A2556" s="21" t="n">
        <v>-18</v>
      </c>
      <c r="B2556" s="21" t="n">
        <v>35</v>
      </c>
      <c r="C2556" s="22" t="n">
        <v>80</v>
      </c>
      <c r="D2556" s="22" t="n">
        <v>3</v>
      </c>
      <c r="E2556" s="23" t="n">
        <v>8</v>
      </c>
      <c r="F2556" s="22" t="n">
        <v>1.5</v>
      </c>
      <c r="G2556" s="23" t="inlineStr">
        <is>
          <t>Non</t>
        </is>
      </c>
      <c r="H2556" s="23" t="inlineStr">
        <is>
          <t>ON</t>
        </is>
      </c>
      <c r="I2556" s="24" t="n">
        <v>744.7528686370244</v>
      </c>
      <c r="J2556" s="24" t="n">
        <v>6550.668683077564</v>
      </c>
      <c r="K2556" s="24" t="n">
        <v>4222.222222222223</v>
      </c>
      <c r="L2556" s="24" t="n">
        <v>150</v>
      </c>
      <c r="M2556" s="24">
        <f>I2556+J2556+K2556+L2556</f>
        <v/>
      </c>
      <c r="N2556" s="24">
        <f>M2556*'Dashboard &amp; Optimisation'!$B$18/('Dashboard &amp; Optimisation'!$B$16/3.6)</f>
        <v/>
      </c>
      <c r="O2556" s="24" t="n">
        <v>1895.020243093705</v>
      </c>
      <c r="P2556" s="25" t="n">
        <v>0.05736945580973193</v>
      </c>
      <c r="Q2556" s="26" t="n">
        <v>17.11412705481695</v>
      </c>
      <c r="R2556" s="24" t="n">
        <v>9702.552298643324</v>
      </c>
      <c r="S2556" s="24">
        <f>R2556*IF(A2556=4, 2.0, 3.0)</f>
        <v/>
      </c>
      <c r="T2556" s="22">
        <f>'Dashboard &amp; Optimisation'!$B$18*U2556</f>
        <v/>
      </c>
      <c r="U2556" s="27">
        <f>MIN(1, S2556/M2556)</f>
        <v/>
      </c>
      <c r="V2556" s="27">
        <f>N2556/(N2556+O2556)</f>
        <v/>
      </c>
      <c r="W2556" s="27">
        <f>U2556*V2556</f>
        <v/>
      </c>
      <c r="X2556" s="25">
        <f>T2556/N2556</f>
        <v/>
      </c>
      <c r="Y2556" s="28">
        <f>IF(W2556=MAXIFS(W$2:W$3601, A$2:A$3601, A2556, B$2:B$3601, B2556), "OPTIMAL", "")</f>
        <v/>
      </c>
    </row>
    <row r="2557" ht="20" customHeight="1">
      <c r="A2557" s="29" t="n">
        <v>-18</v>
      </c>
      <c r="B2557" s="29" t="n">
        <v>35</v>
      </c>
      <c r="C2557" s="30" t="n">
        <v>80</v>
      </c>
      <c r="D2557" s="30" t="n">
        <v>3</v>
      </c>
      <c r="E2557" s="6" t="n">
        <v>8</v>
      </c>
      <c r="F2557" s="30" t="n">
        <v>1.5</v>
      </c>
      <c r="G2557" s="6" t="inlineStr">
        <is>
          <t>Non</t>
        </is>
      </c>
      <c r="H2557" s="6" t="inlineStr">
        <is>
          <t>OFF</t>
        </is>
      </c>
      <c r="I2557" s="31" t="n">
        <v>744.7528686370244</v>
      </c>
      <c r="J2557" s="31" t="n">
        <v>6550.668683077564</v>
      </c>
      <c r="K2557" s="31" t="n">
        <v>4222.222222222223</v>
      </c>
      <c r="L2557" s="31" t="n">
        <v>150</v>
      </c>
      <c r="M2557" s="31">
        <f>I2557+J2557+K2557+L2557</f>
        <v/>
      </c>
      <c r="N2557" s="31">
        <f>M2557*'Dashboard &amp; Optimisation'!$B$18/('Dashboard &amp; Optimisation'!$B$16/3.6)</f>
        <v/>
      </c>
      <c r="O2557" s="31" t="n">
        <v>1895.020243093705</v>
      </c>
      <c r="P2557" s="32" t="n">
        <v>0.2660005898731243</v>
      </c>
      <c r="Q2557" s="33" t="n">
        <v>17.11412705481695</v>
      </c>
      <c r="R2557" s="31" t="n">
        <v>2092.589890887573</v>
      </c>
      <c r="S2557" s="31">
        <f>R2557*IF(A2557=4, 2.0, 3.0)</f>
        <v/>
      </c>
      <c r="T2557" s="30">
        <f>'Dashboard &amp; Optimisation'!$B$18*U2557</f>
        <v/>
      </c>
      <c r="U2557" s="34">
        <f>MIN(1, S2557/M2557)</f>
        <v/>
      </c>
      <c r="V2557" s="34">
        <f>N2557/(N2557+O2557)</f>
        <v/>
      </c>
      <c r="W2557" s="34">
        <f>U2557*V2557</f>
        <v/>
      </c>
      <c r="X2557" s="32">
        <f>T2557/N2557</f>
        <v/>
      </c>
      <c r="Y2557" s="35">
        <f>IF(W2557=MAXIFS(W$2:W$3601, A$2:A$3601, A2557, B$2:B$3601, B2557), "OPTIMAL", "")</f>
        <v/>
      </c>
    </row>
    <row r="2558" ht="20" customHeight="1">
      <c r="A2558" s="21" t="n">
        <v>-18</v>
      </c>
      <c r="B2558" s="21" t="n">
        <v>35</v>
      </c>
      <c r="C2558" s="22" t="n">
        <v>80</v>
      </c>
      <c r="D2558" s="22" t="n">
        <v>3</v>
      </c>
      <c r="E2558" s="23" t="n">
        <v>8</v>
      </c>
      <c r="F2558" s="22" t="n">
        <v>2</v>
      </c>
      <c r="G2558" s="23" t="inlineStr">
        <is>
          <t>Oui</t>
        </is>
      </c>
      <c r="H2558" s="23" t="inlineStr">
        <is>
          <t>ON</t>
        </is>
      </c>
      <c r="I2558" s="24" t="n">
        <v>744.7528686370244</v>
      </c>
      <c r="J2558" s="24" t="n">
        <v>6550.668683077564</v>
      </c>
      <c r="K2558" s="24" t="n">
        <v>4222.222222222223</v>
      </c>
      <c r="L2558" s="24" t="n">
        <v>150</v>
      </c>
      <c r="M2558" s="24">
        <f>I2558+J2558+K2558+L2558</f>
        <v/>
      </c>
      <c r="N2558" s="24">
        <f>M2558*'Dashboard &amp; Optimisation'!$B$18/('Dashboard &amp; Optimisation'!$B$16/3.6)</f>
        <v/>
      </c>
      <c r="O2558" s="24" t="n">
        <v>2230.056962577893</v>
      </c>
      <c r="P2558" s="25" t="n">
        <v>0.060517018169736</v>
      </c>
      <c r="Q2558" s="26" t="n">
        <v>22.7521694064226</v>
      </c>
      <c r="R2558" s="24" t="n">
        <v>9482.458728738169</v>
      </c>
      <c r="S2558" s="24">
        <f>R2558*IF(A2558=4, 2.0, 3.0)</f>
        <v/>
      </c>
      <c r="T2558" s="22">
        <f>'Dashboard &amp; Optimisation'!$B$18*U2558</f>
        <v/>
      </c>
      <c r="U2558" s="27">
        <f>MIN(1, S2558/M2558)</f>
        <v/>
      </c>
      <c r="V2558" s="27">
        <f>N2558/(N2558+O2558)</f>
        <v/>
      </c>
      <c r="W2558" s="27">
        <f>U2558*V2558</f>
        <v/>
      </c>
      <c r="X2558" s="25">
        <f>T2558/N2558</f>
        <v/>
      </c>
      <c r="Y2558" s="28">
        <f>IF(W2558=MAXIFS(W$2:W$3601, A$2:A$3601, A2558, B$2:B$3601, B2558), "OPTIMAL", "")</f>
        <v/>
      </c>
    </row>
    <row r="2559" ht="20" customHeight="1">
      <c r="A2559" s="29" t="n">
        <v>-18</v>
      </c>
      <c r="B2559" s="29" t="n">
        <v>35</v>
      </c>
      <c r="C2559" s="30" t="n">
        <v>80</v>
      </c>
      <c r="D2559" s="30" t="n">
        <v>3</v>
      </c>
      <c r="E2559" s="6" t="n">
        <v>8</v>
      </c>
      <c r="F2559" s="30" t="n">
        <v>2</v>
      </c>
      <c r="G2559" s="6" t="inlineStr">
        <is>
          <t>Oui</t>
        </is>
      </c>
      <c r="H2559" s="6" t="inlineStr">
        <is>
          <t>OFF</t>
        </is>
      </c>
      <c r="I2559" s="31" t="n">
        <v>744.7528686370244</v>
      </c>
      <c r="J2559" s="31" t="n">
        <v>6550.668683077564</v>
      </c>
      <c r="K2559" s="31" t="n">
        <v>4222.222222222223</v>
      </c>
      <c r="L2559" s="31" t="n">
        <v>150</v>
      </c>
      <c r="M2559" s="31">
        <f>I2559+J2559+K2559+L2559</f>
        <v/>
      </c>
      <c r="N2559" s="31">
        <f>M2559*'Dashboard &amp; Optimisation'!$B$18/('Dashboard &amp; Optimisation'!$B$16/3.6)</f>
        <v/>
      </c>
      <c r="O2559" s="31" t="n">
        <v>2230.056962577893</v>
      </c>
      <c r="P2559" s="32" t="n">
        <v>0.2709014433795033</v>
      </c>
      <c r="Q2559" s="33" t="n">
        <v>22.7521694064226</v>
      </c>
      <c r="R2559" s="31" t="n">
        <v>2118.298522230161</v>
      </c>
      <c r="S2559" s="31">
        <f>R2559*IF(A2559=4, 2.0, 3.0)</f>
        <v/>
      </c>
      <c r="T2559" s="30">
        <f>'Dashboard &amp; Optimisation'!$B$18*U2559</f>
        <v/>
      </c>
      <c r="U2559" s="34">
        <f>MIN(1, S2559/M2559)</f>
        <v/>
      </c>
      <c r="V2559" s="34">
        <f>N2559/(N2559+O2559)</f>
        <v/>
      </c>
      <c r="W2559" s="34">
        <f>U2559*V2559</f>
        <v/>
      </c>
      <c r="X2559" s="32">
        <f>T2559/N2559</f>
        <v/>
      </c>
      <c r="Y2559" s="35">
        <f>IF(W2559=MAXIFS(W$2:W$3601, A$2:A$3601, A2559, B$2:B$3601, B2559), "OPTIMAL", "")</f>
        <v/>
      </c>
    </row>
    <row r="2560" ht="20" customHeight="1">
      <c r="A2560" s="21" t="n">
        <v>-18</v>
      </c>
      <c r="B2560" s="21" t="n">
        <v>35</v>
      </c>
      <c r="C2560" s="22" t="n">
        <v>80</v>
      </c>
      <c r="D2560" s="22" t="n">
        <v>3</v>
      </c>
      <c r="E2560" s="23" t="n">
        <v>8</v>
      </c>
      <c r="F2560" s="22" t="n">
        <v>2</v>
      </c>
      <c r="G2560" s="23" t="inlineStr">
        <is>
          <t>Non</t>
        </is>
      </c>
      <c r="H2560" s="23" t="inlineStr">
        <is>
          <t>ON</t>
        </is>
      </c>
      <c r="I2560" s="24" t="n">
        <v>744.7528686370244</v>
      </c>
      <c r="J2560" s="24" t="n">
        <v>6550.668683077564</v>
      </c>
      <c r="K2560" s="24" t="n">
        <v>4222.222222222223</v>
      </c>
      <c r="L2560" s="24" t="n">
        <v>150</v>
      </c>
      <c r="M2560" s="24">
        <f>I2560+J2560+K2560+L2560</f>
        <v/>
      </c>
      <c r="N2560" s="24">
        <f>M2560*'Dashboard &amp; Optimisation'!$B$18/('Dashboard &amp; Optimisation'!$B$16/3.6)</f>
        <v/>
      </c>
      <c r="O2560" s="24" t="n">
        <v>2230.056962577893</v>
      </c>
      <c r="P2560" s="25" t="n">
        <v>0.05653814459243862</v>
      </c>
      <c r="Q2560" s="26" t="n">
        <v>22.7521694064226</v>
      </c>
      <c r="R2560" s="24" t="n">
        <v>10149.78703877675</v>
      </c>
      <c r="S2560" s="24">
        <f>R2560*IF(A2560=4, 2.0, 3.0)</f>
        <v/>
      </c>
      <c r="T2560" s="22">
        <f>'Dashboard &amp; Optimisation'!$B$18*U2560</f>
        <v/>
      </c>
      <c r="U2560" s="27">
        <f>MIN(1, S2560/M2560)</f>
        <v/>
      </c>
      <c r="V2560" s="27">
        <f>N2560/(N2560+O2560)</f>
        <v/>
      </c>
      <c r="W2560" s="27">
        <f>U2560*V2560</f>
        <v/>
      </c>
      <c r="X2560" s="25">
        <f>T2560/N2560</f>
        <v/>
      </c>
      <c r="Y2560" s="28">
        <f>IF(W2560=MAXIFS(W$2:W$3601, A$2:A$3601, A2560, B$2:B$3601, B2560), "OPTIMAL", "")</f>
        <v/>
      </c>
    </row>
    <row r="2561" ht="20" customHeight="1">
      <c r="A2561" s="29" t="n">
        <v>-18</v>
      </c>
      <c r="B2561" s="29" t="n">
        <v>35</v>
      </c>
      <c r="C2561" s="30" t="n">
        <v>80</v>
      </c>
      <c r="D2561" s="30" t="n">
        <v>3</v>
      </c>
      <c r="E2561" s="6" t="n">
        <v>8</v>
      </c>
      <c r="F2561" s="30" t="n">
        <v>2</v>
      </c>
      <c r="G2561" s="6" t="inlineStr">
        <is>
          <t>Non</t>
        </is>
      </c>
      <c r="H2561" s="6" t="inlineStr">
        <is>
          <t>OFF</t>
        </is>
      </c>
      <c r="I2561" s="31" t="n">
        <v>744.7528686370244</v>
      </c>
      <c r="J2561" s="31" t="n">
        <v>6550.668683077564</v>
      </c>
      <c r="K2561" s="31" t="n">
        <v>4222.222222222223</v>
      </c>
      <c r="L2561" s="31" t="n">
        <v>150</v>
      </c>
      <c r="M2561" s="31">
        <f>I2561+J2561+K2561+L2561</f>
        <v/>
      </c>
      <c r="N2561" s="31">
        <f>M2561*'Dashboard &amp; Optimisation'!$B$18/('Dashboard &amp; Optimisation'!$B$16/3.6)</f>
        <v/>
      </c>
      <c r="O2561" s="31" t="n">
        <v>2230.056962577893</v>
      </c>
      <c r="P2561" s="32" t="n">
        <v>0.266922569802206</v>
      </c>
      <c r="Q2561" s="33" t="n">
        <v>22.7521694064226</v>
      </c>
      <c r="R2561" s="31" t="n">
        <v>2149.874877969487</v>
      </c>
      <c r="S2561" s="31">
        <f>R2561*IF(A2561=4, 2.0, 3.0)</f>
        <v/>
      </c>
      <c r="T2561" s="30">
        <f>'Dashboard &amp; Optimisation'!$B$18*U2561</f>
        <v/>
      </c>
      <c r="U2561" s="34">
        <f>MIN(1, S2561/M2561)</f>
        <v/>
      </c>
      <c r="V2561" s="34">
        <f>N2561/(N2561+O2561)</f>
        <v/>
      </c>
      <c r="W2561" s="34">
        <f>U2561*V2561</f>
        <v/>
      </c>
      <c r="X2561" s="32">
        <f>T2561/N2561</f>
        <v/>
      </c>
      <c r="Y2561" s="35">
        <f>IF(W2561=MAXIFS(W$2:W$3601, A$2:A$3601, A2561, B$2:B$3601, B2561), "OPTIMAL", "")</f>
        <v/>
      </c>
    </row>
    <row r="2562" ht="20" customHeight="1">
      <c r="A2562" s="21" t="n">
        <v>-18</v>
      </c>
      <c r="B2562" s="21" t="n">
        <v>35</v>
      </c>
      <c r="C2562" s="22" t="n">
        <v>85</v>
      </c>
      <c r="D2562" s="22" t="n">
        <v>2</v>
      </c>
      <c r="E2562" s="23" t="n">
        <v>0</v>
      </c>
      <c r="F2562" s="22" t="n">
        <v>0</v>
      </c>
      <c r="G2562" s="23" t="inlineStr">
        <is>
          <t>Oui</t>
        </is>
      </c>
      <c r="H2562" s="23" t="inlineStr">
        <is>
          <t>ON</t>
        </is>
      </c>
      <c r="I2562" s="24" t="n">
        <v>744.7528686370244</v>
      </c>
      <c r="J2562" s="24" t="n">
        <v>6550.668683077564</v>
      </c>
      <c r="K2562" s="24" t="n">
        <v>4222.222222222223</v>
      </c>
      <c r="L2562" s="24" t="n">
        <v>150</v>
      </c>
      <c r="M2562" s="24">
        <f>I2562+J2562+K2562+L2562</f>
        <v/>
      </c>
      <c r="N2562" s="24">
        <f>M2562*'Dashboard &amp; Optimisation'!$B$18/('Dashboard &amp; Optimisation'!$B$16/3.6)</f>
        <v/>
      </c>
      <c r="O2562" s="24" t="n">
        <v>600.130948701549</v>
      </c>
      <c r="P2562" s="25" t="n">
        <v>0.4952901571326194</v>
      </c>
      <c r="Q2562" s="26" t="n">
        <v>0.2</v>
      </c>
      <c r="R2562" s="24" t="n">
        <v>860.5271986627582</v>
      </c>
      <c r="S2562" s="24">
        <f>R2562*IF(A2562=4, 2.0, 3.0)</f>
        <v/>
      </c>
      <c r="T2562" s="22">
        <f>'Dashboard &amp; Optimisation'!$B$18*U2562</f>
        <v/>
      </c>
      <c r="U2562" s="27">
        <f>MIN(1, S2562/M2562)</f>
        <v/>
      </c>
      <c r="V2562" s="27">
        <f>N2562/(N2562+O2562)</f>
        <v/>
      </c>
      <c r="W2562" s="27">
        <f>U2562*V2562</f>
        <v/>
      </c>
      <c r="X2562" s="25">
        <f>T2562/N2562</f>
        <v/>
      </c>
      <c r="Y2562" s="28">
        <f>IF(W2562=MAXIFS(W$2:W$3601, A$2:A$3601, A2562, B$2:B$3601, B2562), "OPTIMAL", "")</f>
        <v/>
      </c>
    </row>
    <row r="2563" ht="20" customHeight="1">
      <c r="A2563" s="29" t="n">
        <v>-18</v>
      </c>
      <c r="B2563" s="29" t="n">
        <v>35</v>
      </c>
      <c r="C2563" s="30" t="n">
        <v>85</v>
      </c>
      <c r="D2563" s="30" t="n">
        <v>2</v>
      </c>
      <c r="E2563" s="6" t="n">
        <v>0</v>
      </c>
      <c r="F2563" s="30" t="n">
        <v>0</v>
      </c>
      <c r="G2563" s="6" t="inlineStr">
        <is>
          <t>Oui</t>
        </is>
      </c>
      <c r="H2563" s="6" t="inlineStr">
        <is>
          <t>OFF</t>
        </is>
      </c>
      <c r="I2563" s="31" t="n">
        <v>744.7528686370244</v>
      </c>
      <c r="J2563" s="31" t="n">
        <v>6550.668683077564</v>
      </c>
      <c r="K2563" s="31" t="n">
        <v>4222.222222222223</v>
      </c>
      <c r="L2563" s="31" t="n">
        <v>150</v>
      </c>
      <c r="M2563" s="31">
        <f>I2563+J2563+K2563+L2563</f>
        <v/>
      </c>
      <c r="N2563" s="31">
        <f>M2563*'Dashboard &amp; Optimisation'!$B$18/('Dashboard &amp; Optimisation'!$B$16/3.6)</f>
        <v/>
      </c>
      <c r="O2563" s="31" t="n">
        <v>600.130948701549</v>
      </c>
      <c r="P2563" s="32" t="n">
        <v>0.869772376172373</v>
      </c>
      <c r="Q2563" s="33" t="n">
        <v>0.2</v>
      </c>
      <c r="R2563" s="31" t="n">
        <v>490.0255091087224</v>
      </c>
      <c r="S2563" s="31">
        <f>R2563*IF(A2563=4, 2.0, 3.0)</f>
        <v/>
      </c>
      <c r="T2563" s="30">
        <f>'Dashboard &amp; Optimisation'!$B$18*U2563</f>
        <v/>
      </c>
      <c r="U2563" s="34">
        <f>MIN(1, S2563/M2563)</f>
        <v/>
      </c>
      <c r="V2563" s="34">
        <f>N2563/(N2563+O2563)</f>
        <v/>
      </c>
      <c r="W2563" s="34">
        <f>U2563*V2563</f>
        <v/>
      </c>
      <c r="X2563" s="32">
        <f>T2563/N2563</f>
        <v/>
      </c>
      <c r="Y2563" s="35">
        <f>IF(W2563=MAXIFS(W$2:W$3601, A$2:A$3601, A2563, B$2:B$3601, B2563), "OPTIMAL", "")</f>
        <v/>
      </c>
    </row>
    <row r="2564" ht="20" customHeight="1">
      <c r="A2564" s="21" t="n">
        <v>-18</v>
      </c>
      <c r="B2564" s="21" t="n">
        <v>35</v>
      </c>
      <c r="C2564" s="22" t="n">
        <v>85</v>
      </c>
      <c r="D2564" s="22" t="n">
        <v>2</v>
      </c>
      <c r="E2564" s="23" t="n">
        <v>0</v>
      </c>
      <c r="F2564" s="22" t="n">
        <v>0</v>
      </c>
      <c r="G2564" s="23" t="inlineStr">
        <is>
          <t>Non</t>
        </is>
      </c>
      <c r="H2564" s="23" t="inlineStr">
        <is>
          <t>ON</t>
        </is>
      </c>
      <c r="I2564" s="24" t="n">
        <v>744.7528686370244</v>
      </c>
      <c r="J2564" s="24" t="n">
        <v>6550.668683077564</v>
      </c>
      <c r="K2564" s="24" t="n">
        <v>4222.222222222223</v>
      </c>
      <c r="L2564" s="24" t="n">
        <v>150</v>
      </c>
      <c r="M2564" s="24">
        <f>I2564+J2564+K2564+L2564</f>
        <v/>
      </c>
      <c r="N2564" s="24">
        <f>M2564*'Dashboard &amp; Optimisation'!$B$18/('Dashboard &amp; Optimisation'!$B$16/3.6)</f>
        <v/>
      </c>
      <c r="O2564" s="24" t="n">
        <v>600.130948701549</v>
      </c>
      <c r="P2564" s="25" t="n">
        <v>0.4915453349422219</v>
      </c>
      <c r="Q2564" s="26" t="n">
        <v>0.2</v>
      </c>
      <c r="R2564" s="24" t="n">
        <v>867.0830972135434</v>
      </c>
      <c r="S2564" s="24">
        <f>R2564*IF(A2564=4, 2.0, 3.0)</f>
        <v/>
      </c>
      <c r="T2564" s="22">
        <f>'Dashboard &amp; Optimisation'!$B$18*U2564</f>
        <v/>
      </c>
      <c r="U2564" s="27">
        <f>MIN(1, S2564/M2564)</f>
        <v/>
      </c>
      <c r="V2564" s="27">
        <f>N2564/(N2564+O2564)</f>
        <v/>
      </c>
      <c r="W2564" s="27">
        <f>U2564*V2564</f>
        <v/>
      </c>
      <c r="X2564" s="25">
        <f>T2564/N2564</f>
        <v/>
      </c>
      <c r="Y2564" s="28">
        <f>IF(W2564=MAXIFS(W$2:W$3601, A$2:A$3601, A2564, B$2:B$3601, B2564), "OPTIMAL", "")</f>
        <v/>
      </c>
    </row>
    <row r="2565" ht="20" customHeight="1">
      <c r="A2565" s="29" t="n">
        <v>-18</v>
      </c>
      <c r="B2565" s="29" t="n">
        <v>35</v>
      </c>
      <c r="C2565" s="30" t="n">
        <v>85</v>
      </c>
      <c r="D2565" s="30" t="n">
        <v>2</v>
      </c>
      <c r="E2565" s="6" t="n">
        <v>0</v>
      </c>
      <c r="F2565" s="30" t="n">
        <v>0</v>
      </c>
      <c r="G2565" s="6" t="inlineStr">
        <is>
          <t>Non</t>
        </is>
      </c>
      <c r="H2565" s="6" t="inlineStr">
        <is>
          <t>OFF</t>
        </is>
      </c>
      <c r="I2565" s="31" t="n">
        <v>744.7528686370244</v>
      </c>
      <c r="J2565" s="31" t="n">
        <v>6550.668683077564</v>
      </c>
      <c r="K2565" s="31" t="n">
        <v>4222.222222222223</v>
      </c>
      <c r="L2565" s="31" t="n">
        <v>150</v>
      </c>
      <c r="M2565" s="31">
        <f>I2565+J2565+K2565+L2565</f>
        <v/>
      </c>
      <c r="N2565" s="31">
        <f>M2565*'Dashboard &amp; Optimisation'!$B$18/('Dashboard &amp; Optimisation'!$B$16/3.6)</f>
        <v/>
      </c>
      <c r="O2565" s="31" t="n">
        <v>600.130948701549</v>
      </c>
      <c r="P2565" s="32" t="n">
        <v>0.8660275539819755</v>
      </c>
      <c r="Q2565" s="33" t="n">
        <v>0.2</v>
      </c>
      <c r="R2565" s="31" t="n">
        <v>492.1444467706173</v>
      </c>
      <c r="S2565" s="31">
        <f>R2565*IF(A2565=4, 2.0, 3.0)</f>
        <v/>
      </c>
      <c r="T2565" s="30">
        <f>'Dashboard &amp; Optimisation'!$B$18*U2565</f>
        <v/>
      </c>
      <c r="U2565" s="34">
        <f>MIN(1, S2565/M2565)</f>
        <v/>
      </c>
      <c r="V2565" s="34">
        <f>N2565/(N2565+O2565)</f>
        <v/>
      </c>
      <c r="W2565" s="34">
        <f>U2565*V2565</f>
        <v/>
      </c>
      <c r="X2565" s="32">
        <f>T2565/N2565</f>
        <v/>
      </c>
      <c r="Y2565" s="35">
        <f>IF(W2565=MAXIFS(W$2:W$3601, A$2:A$3601, A2565, B$2:B$3601, B2565), "OPTIMAL", "")</f>
        <v/>
      </c>
    </row>
    <row r="2566" ht="20" customHeight="1">
      <c r="A2566" s="21" t="n">
        <v>-18</v>
      </c>
      <c r="B2566" s="21" t="n">
        <v>35</v>
      </c>
      <c r="C2566" s="22" t="n">
        <v>85</v>
      </c>
      <c r="D2566" s="22" t="n">
        <v>2</v>
      </c>
      <c r="E2566" s="23" t="n">
        <v>4</v>
      </c>
      <c r="F2566" s="22" t="n">
        <v>1.5</v>
      </c>
      <c r="G2566" s="23" t="inlineStr">
        <is>
          <t>Oui</t>
        </is>
      </c>
      <c r="H2566" s="23" t="inlineStr">
        <is>
          <t>ON</t>
        </is>
      </c>
      <c r="I2566" s="24" t="n">
        <v>744.7528686370244</v>
      </c>
      <c r="J2566" s="24" t="n">
        <v>6550.668683077564</v>
      </c>
      <c r="K2566" s="24" t="n">
        <v>4222.222222222223</v>
      </c>
      <c r="L2566" s="24" t="n">
        <v>150</v>
      </c>
      <c r="M2566" s="24">
        <f>I2566+J2566+K2566+L2566</f>
        <v/>
      </c>
      <c r="N2566" s="24">
        <f>M2566*'Dashboard &amp; Optimisation'!$B$18/('Dashboard &amp; Optimisation'!$B$16/3.6)</f>
        <v/>
      </c>
      <c r="O2566" s="24" t="n">
        <v>963.7683381027089</v>
      </c>
      <c r="P2566" s="25" t="n">
        <v>0.07982907988340278</v>
      </c>
      <c r="Q2566" s="26" t="n">
        <v>7.926206185533672</v>
      </c>
      <c r="R2566" s="24" t="n">
        <v>5548.355125467999</v>
      </c>
      <c r="S2566" s="24">
        <f>R2566*IF(A2566=4, 2.0, 3.0)</f>
        <v/>
      </c>
      <c r="T2566" s="22">
        <f>'Dashboard &amp; Optimisation'!$B$18*U2566</f>
        <v/>
      </c>
      <c r="U2566" s="27">
        <f>MIN(1, S2566/M2566)</f>
        <v/>
      </c>
      <c r="V2566" s="27">
        <f>N2566/(N2566+O2566)</f>
        <v/>
      </c>
      <c r="W2566" s="27">
        <f>U2566*V2566</f>
        <v/>
      </c>
      <c r="X2566" s="25">
        <f>T2566/N2566</f>
        <v/>
      </c>
      <c r="Y2566" s="28">
        <f>IF(W2566=MAXIFS(W$2:W$3601, A$2:A$3601, A2566, B$2:B$3601, B2566), "OPTIMAL", "")</f>
        <v/>
      </c>
    </row>
    <row r="2567" ht="20" customHeight="1">
      <c r="A2567" s="29" t="n">
        <v>-18</v>
      </c>
      <c r="B2567" s="29" t="n">
        <v>35</v>
      </c>
      <c r="C2567" s="30" t="n">
        <v>85</v>
      </c>
      <c r="D2567" s="30" t="n">
        <v>2</v>
      </c>
      <c r="E2567" s="6" t="n">
        <v>4</v>
      </c>
      <c r="F2567" s="30" t="n">
        <v>1.5</v>
      </c>
      <c r="G2567" s="6" t="inlineStr">
        <is>
          <t>Oui</t>
        </is>
      </c>
      <c r="H2567" s="6" t="inlineStr">
        <is>
          <t>OFF</t>
        </is>
      </c>
      <c r="I2567" s="31" t="n">
        <v>744.7528686370244</v>
      </c>
      <c r="J2567" s="31" t="n">
        <v>6550.668683077564</v>
      </c>
      <c r="K2567" s="31" t="n">
        <v>4222.222222222223</v>
      </c>
      <c r="L2567" s="31" t="n">
        <v>150</v>
      </c>
      <c r="M2567" s="31">
        <f>I2567+J2567+K2567+L2567</f>
        <v/>
      </c>
      <c r="N2567" s="31">
        <f>M2567*'Dashboard &amp; Optimisation'!$B$18/('Dashboard &amp; Optimisation'!$B$16/3.6)</f>
        <v/>
      </c>
      <c r="O2567" s="31" t="n">
        <v>963.7683381027089</v>
      </c>
      <c r="P2567" s="32" t="n">
        <v>0.3422773582181225</v>
      </c>
      <c r="Q2567" s="33" t="n">
        <v>7.926206185533672</v>
      </c>
      <c r="R2567" s="31" t="n">
        <v>1294.038515542746</v>
      </c>
      <c r="S2567" s="31">
        <f>R2567*IF(A2567=4, 2.0, 3.0)</f>
        <v/>
      </c>
      <c r="T2567" s="30">
        <f>'Dashboard &amp; Optimisation'!$B$18*U2567</f>
        <v/>
      </c>
      <c r="U2567" s="34">
        <f>MIN(1, S2567/M2567)</f>
        <v/>
      </c>
      <c r="V2567" s="34">
        <f>N2567/(N2567+O2567)</f>
        <v/>
      </c>
      <c r="W2567" s="34">
        <f>U2567*V2567</f>
        <v/>
      </c>
      <c r="X2567" s="32">
        <f>T2567/N2567</f>
        <v/>
      </c>
      <c r="Y2567" s="35">
        <f>IF(W2567=MAXIFS(W$2:W$3601, A$2:A$3601, A2567, B$2:B$3601, B2567), "OPTIMAL", "")</f>
        <v/>
      </c>
    </row>
    <row r="2568" ht="20" customHeight="1">
      <c r="A2568" s="21" t="n">
        <v>-18</v>
      </c>
      <c r="B2568" s="21" t="n">
        <v>35</v>
      </c>
      <c r="C2568" s="22" t="n">
        <v>85</v>
      </c>
      <c r="D2568" s="22" t="n">
        <v>2</v>
      </c>
      <c r="E2568" s="23" t="n">
        <v>4</v>
      </c>
      <c r="F2568" s="22" t="n">
        <v>1.5</v>
      </c>
      <c r="G2568" s="23" t="inlineStr">
        <is>
          <t>Non</t>
        </is>
      </c>
      <c r="H2568" s="23" t="inlineStr">
        <is>
          <t>ON</t>
        </is>
      </c>
      <c r="I2568" s="24" t="n">
        <v>744.7528686370244</v>
      </c>
      <c r="J2568" s="24" t="n">
        <v>6550.668683077564</v>
      </c>
      <c r="K2568" s="24" t="n">
        <v>4222.222222222223</v>
      </c>
      <c r="L2568" s="24" t="n">
        <v>150</v>
      </c>
      <c r="M2568" s="24">
        <f>I2568+J2568+K2568+L2568</f>
        <v/>
      </c>
      <c r="N2568" s="24">
        <f>M2568*'Dashboard &amp; Optimisation'!$B$18/('Dashboard &amp; Optimisation'!$B$16/3.6)</f>
        <v/>
      </c>
      <c r="O2568" s="24" t="n">
        <v>963.7683381027089</v>
      </c>
      <c r="P2568" s="25" t="n">
        <v>0.07608425769300524</v>
      </c>
      <c r="Q2568" s="26" t="n">
        <v>7.926206185533672</v>
      </c>
      <c r="R2568" s="24" t="n">
        <v>5821.441885121943</v>
      </c>
      <c r="S2568" s="24">
        <f>R2568*IF(A2568=4, 2.0, 3.0)</f>
        <v/>
      </c>
      <c r="T2568" s="22">
        <f>'Dashboard &amp; Optimisation'!$B$18*U2568</f>
        <v/>
      </c>
      <c r="U2568" s="27">
        <f>MIN(1, S2568/M2568)</f>
        <v/>
      </c>
      <c r="V2568" s="27">
        <f>N2568/(N2568+O2568)</f>
        <v/>
      </c>
      <c r="W2568" s="27">
        <f>U2568*V2568</f>
        <v/>
      </c>
      <c r="X2568" s="25">
        <f>T2568/N2568</f>
        <v/>
      </c>
      <c r="Y2568" s="28">
        <f>IF(W2568=MAXIFS(W$2:W$3601, A$2:A$3601, A2568, B$2:B$3601, B2568), "OPTIMAL", "")</f>
        <v/>
      </c>
    </row>
    <row r="2569" ht="20" customHeight="1">
      <c r="A2569" s="29" t="n">
        <v>-18</v>
      </c>
      <c r="B2569" s="29" t="n">
        <v>35</v>
      </c>
      <c r="C2569" s="30" t="n">
        <v>85</v>
      </c>
      <c r="D2569" s="30" t="n">
        <v>2</v>
      </c>
      <c r="E2569" s="6" t="n">
        <v>4</v>
      </c>
      <c r="F2569" s="30" t="n">
        <v>1.5</v>
      </c>
      <c r="G2569" s="6" t="inlineStr">
        <is>
          <t>Non</t>
        </is>
      </c>
      <c r="H2569" s="6" t="inlineStr">
        <is>
          <t>OFF</t>
        </is>
      </c>
      <c r="I2569" s="31" t="n">
        <v>744.7528686370244</v>
      </c>
      <c r="J2569" s="31" t="n">
        <v>6550.668683077564</v>
      </c>
      <c r="K2569" s="31" t="n">
        <v>4222.222222222223</v>
      </c>
      <c r="L2569" s="31" t="n">
        <v>150</v>
      </c>
      <c r="M2569" s="31">
        <f>I2569+J2569+K2569+L2569</f>
        <v/>
      </c>
      <c r="N2569" s="31">
        <f>M2569*'Dashboard &amp; Optimisation'!$B$18/('Dashboard &amp; Optimisation'!$B$16/3.6)</f>
        <v/>
      </c>
      <c r="O2569" s="31" t="n">
        <v>963.7683381027089</v>
      </c>
      <c r="P2569" s="32" t="n">
        <v>0.338532536027725</v>
      </c>
      <c r="Q2569" s="33" t="n">
        <v>7.926206185533672</v>
      </c>
      <c r="R2569" s="31" t="n">
        <v>1308.353075097627</v>
      </c>
      <c r="S2569" s="31">
        <f>R2569*IF(A2569=4, 2.0, 3.0)</f>
        <v/>
      </c>
      <c r="T2569" s="30">
        <f>'Dashboard &amp; Optimisation'!$B$18*U2569</f>
        <v/>
      </c>
      <c r="U2569" s="34">
        <f>MIN(1, S2569/M2569)</f>
        <v/>
      </c>
      <c r="V2569" s="34">
        <f>N2569/(N2569+O2569)</f>
        <v/>
      </c>
      <c r="W2569" s="34">
        <f>U2569*V2569</f>
        <v/>
      </c>
      <c r="X2569" s="32">
        <f>T2569/N2569</f>
        <v/>
      </c>
      <c r="Y2569" s="35">
        <f>IF(W2569=MAXIFS(W$2:W$3601, A$2:A$3601, A2569, B$2:B$3601, B2569), "OPTIMAL", "")</f>
        <v/>
      </c>
    </row>
    <row r="2570" ht="20" customHeight="1">
      <c r="A2570" s="21" t="n">
        <v>-18</v>
      </c>
      <c r="B2570" s="21" t="n">
        <v>35</v>
      </c>
      <c r="C2570" s="22" t="n">
        <v>85</v>
      </c>
      <c r="D2570" s="22" t="n">
        <v>2</v>
      </c>
      <c r="E2570" s="23" t="n">
        <v>4</v>
      </c>
      <c r="F2570" s="22" t="n">
        <v>2</v>
      </c>
      <c r="G2570" s="23" t="inlineStr">
        <is>
          <t>Oui</t>
        </is>
      </c>
      <c r="H2570" s="23" t="inlineStr">
        <is>
          <t>ON</t>
        </is>
      </c>
      <c r="I2570" s="24" t="n">
        <v>744.7528686370244</v>
      </c>
      <c r="J2570" s="24" t="n">
        <v>6550.668683077564</v>
      </c>
      <c r="K2570" s="24" t="n">
        <v>4222.222222222223</v>
      </c>
      <c r="L2570" s="24" t="n">
        <v>150</v>
      </c>
      <c r="M2570" s="24">
        <f>I2570+J2570+K2570+L2570</f>
        <v/>
      </c>
      <c r="N2570" s="24">
        <f>M2570*'Dashboard &amp; Optimisation'!$B$18/('Dashboard &amp; Optimisation'!$B$16/3.6)</f>
        <v/>
      </c>
      <c r="O2570" s="24" t="n">
        <v>1091.400819924766</v>
      </c>
      <c r="P2570" s="25" t="n">
        <v>0.07761847907948814</v>
      </c>
      <c r="Q2570" s="26" t="n">
        <v>10.50160824737823</v>
      </c>
      <c r="R2570" s="24" t="n">
        <v>5781.933708989932</v>
      </c>
      <c r="S2570" s="24">
        <f>R2570*IF(A2570=4, 2.0, 3.0)</f>
        <v/>
      </c>
      <c r="T2570" s="22">
        <f>'Dashboard &amp; Optimisation'!$B$18*U2570</f>
        <v/>
      </c>
      <c r="U2570" s="27">
        <f>MIN(1, S2570/M2570)</f>
        <v/>
      </c>
      <c r="V2570" s="27">
        <f>N2570/(N2570+O2570)</f>
        <v/>
      </c>
      <c r="W2570" s="27">
        <f>U2570*V2570</f>
        <v/>
      </c>
      <c r="X2570" s="25">
        <f>T2570/N2570</f>
        <v/>
      </c>
      <c r="Y2570" s="28">
        <f>IF(W2570=MAXIFS(W$2:W$3601, A$2:A$3601, A2570, B$2:B$3601, B2570), "OPTIMAL", "")</f>
        <v/>
      </c>
    </row>
    <row r="2571" ht="20" customHeight="1">
      <c r="A2571" s="29" t="n">
        <v>-18</v>
      </c>
      <c r="B2571" s="29" t="n">
        <v>35</v>
      </c>
      <c r="C2571" s="30" t="n">
        <v>85</v>
      </c>
      <c r="D2571" s="30" t="n">
        <v>2</v>
      </c>
      <c r="E2571" s="6" t="n">
        <v>4</v>
      </c>
      <c r="F2571" s="30" t="n">
        <v>2</v>
      </c>
      <c r="G2571" s="6" t="inlineStr">
        <is>
          <t>Oui</t>
        </is>
      </c>
      <c r="H2571" s="6" t="inlineStr">
        <is>
          <t>OFF</t>
        </is>
      </c>
      <c r="I2571" s="31" t="n">
        <v>744.7528686370244</v>
      </c>
      <c r="J2571" s="31" t="n">
        <v>6550.668683077564</v>
      </c>
      <c r="K2571" s="31" t="n">
        <v>4222.222222222223</v>
      </c>
      <c r="L2571" s="31" t="n">
        <v>150</v>
      </c>
      <c r="M2571" s="31">
        <f>I2571+J2571+K2571+L2571</f>
        <v/>
      </c>
      <c r="N2571" s="31">
        <f>M2571*'Dashboard &amp; Optimisation'!$B$18/('Dashboard &amp; Optimisation'!$B$16/3.6)</f>
        <v/>
      </c>
      <c r="O2571" s="31" t="n">
        <v>1091.400819924766</v>
      </c>
      <c r="P2571" s="32" t="n">
        <v>0.3414492073746781</v>
      </c>
      <c r="Q2571" s="33" t="n">
        <v>10.50160824737823</v>
      </c>
      <c r="R2571" s="31" t="n">
        <v>1314.353323824714</v>
      </c>
      <c r="S2571" s="31">
        <f>R2571*IF(A2571=4, 2.0, 3.0)</f>
        <v/>
      </c>
      <c r="T2571" s="30">
        <f>'Dashboard &amp; Optimisation'!$B$18*U2571</f>
        <v/>
      </c>
      <c r="U2571" s="34">
        <f>MIN(1, S2571/M2571)</f>
        <v/>
      </c>
      <c r="V2571" s="34">
        <f>N2571/(N2571+O2571)</f>
        <v/>
      </c>
      <c r="W2571" s="34">
        <f>U2571*V2571</f>
        <v/>
      </c>
      <c r="X2571" s="32">
        <f>T2571/N2571</f>
        <v/>
      </c>
      <c r="Y2571" s="35">
        <f>IF(W2571=MAXIFS(W$2:W$3601, A$2:A$3601, A2571, B$2:B$3601, B2571), "OPTIMAL", "")</f>
        <v/>
      </c>
    </row>
    <row r="2572" ht="20" customHeight="1">
      <c r="A2572" s="21" t="n">
        <v>-18</v>
      </c>
      <c r="B2572" s="21" t="n">
        <v>35</v>
      </c>
      <c r="C2572" s="22" t="n">
        <v>85</v>
      </c>
      <c r="D2572" s="22" t="n">
        <v>2</v>
      </c>
      <c r="E2572" s="23" t="n">
        <v>4</v>
      </c>
      <c r="F2572" s="22" t="n">
        <v>2</v>
      </c>
      <c r="G2572" s="23" t="inlineStr">
        <is>
          <t>Non</t>
        </is>
      </c>
      <c r="H2572" s="23" t="inlineStr">
        <is>
          <t>ON</t>
        </is>
      </c>
      <c r="I2572" s="24" t="n">
        <v>744.7528686370244</v>
      </c>
      <c r="J2572" s="24" t="n">
        <v>6550.668683077564</v>
      </c>
      <c r="K2572" s="24" t="n">
        <v>4222.222222222223</v>
      </c>
      <c r="L2572" s="24" t="n">
        <v>150</v>
      </c>
      <c r="M2572" s="24">
        <f>I2572+J2572+K2572+L2572</f>
        <v/>
      </c>
      <c r="N2572" s="24">
        <f>M2572*'Dashboard &amp; Optimisation'!$B$18/('Dashboard &amp; Optimisation'!$B$16/3.6)</f>
        <v/>
      </c>
      <c r="O2572" s="24" t="n">
        <v>1091.400819924766</v>
      </c>
      <c r="P2572" s="25" t="n">
        <v>0.0738736568890906</v>
      </c>
      <c r="Q2572" s="26" t="n">
        <v>10.50160824737823</v>
      </c>
      <c r="R2572" s="24" t="n">
        <v>6075.032962074702</v>
      </c>
      <c r="S2572" s="24">
        <f>R2572*IF(A2572=4, 2.0, 3.0)</f>
        <v/>
      </c>
      <c r="T2572" s="22">
        <f>'Dashboard &amp; Optimisation'!$B$18*U2572</f>
        <v/>
      </c>
      <c r="U2572" s="27">
        <f>MIN(1, S2572/M2572)</f>
        <v/>
      </c>
      <c r="V2572" s="27">
        <f>N2572/(N2572+O2572)</f>
        <v/>
      </c>
      <c r="W2572" s="27">
        <f>U2572*V2572</f>
        <v/>
      </c>
      <c r="X2572" s="25">
        <f>T2572/N2572</f>
        <v/>
      </c>
      <c r="Y2572" s="28">
        <f>IF(W2572=MAXIFS(W$2:W$3601, A$2:A$3601, A2572, B$2:B$3601, B2572), "OPTIMAL", "")</f>
        <v/>
      </c>
    </row>
    <row r="2573" ht="20" customHeight="1">
      <c r="A2573" s="29" t="n">
        <v>-18</v>
      </c>
      <c r="B2573" s="29" t="n">
        <v>35</v>
      </c>
      <c r="C2573" s="30" t="n">
        <v>85</v>
      </c>
      <c r="D2573" s="30" t="n">
        <v>2</v>
      </c>
      <c r="E2573" s="6" t="n">
        <v>4</v>
      </c>
      <c r="F2573" s="30" t="n">
        <v>2</v>
      </c>
      <c r="G2573" s="6" t="inlineStr">
        <is>
          <t>Non</t>
        </is>
      </c>
      <c r="H2573" s="6" t="inlineStr">
        <is>
          <t>OFF</t>
        </is>
      </c>
      <c r="I2573" s="31" t="n">
        <v>744.7528686370244</v>
      </c>
      <c r="J2573" s="31" t="n">
        <v>6550.668683077564</v>
      </c>
      <c r="K2573" s="31" t="n">
        <v>4222.222222222223</v>
      </c>
      <c r="L2573" s="31" t="n">
        <v>150</v>
      </c>
      <c r="M2573" s="31">
        <f>I2573+J2573+K2573+L2573</f>
        <v/>
      </c>
      <c r="N2573" s="31">
        <f>M2573*'Dashboard &amp; Optimisation'!$B$18/('Dashboard &amp; Optimisation'!$B$16/3.6)</f>
        <v/>
      </c>
      <c r="O2573" s="31" t="n">
        <v>1091.400819924766</v>
      </c>
      <c r="P2573" s="32" t="n">
        <v>0.3377043851842806</v>
      </c>
      <c r="Q2573" s="33" t="n">
        <v>10.50160824737823</v>
      </c>
      <c r="R2573" s="31" t="n">
        <v>1328.928258912974</v>
      </c>
      <c r="S2573" s="31">
        <f>R2573*IF(A2573=4, 2.0, 3.0)</f>
        <v/>
      </c>
      <c r="T2573" s="30">
        <f>'Dashboard &amp; Optimisation'!$B$18*U2573</f>
        <v/>
      </c>
      <c r="U2573" s="34">
        <f>MIN(1, S2573/M2573)</f>
        <v/>
      </c>
      <c r="V2573" s="34">
        <f>N2573/(N2573+O2573)</f>
        <v/>
      </c>
      <c r="W2573" s="34">
        <f>U2573*V2573</f>
        <v/>
      </c>
      <c r="X2573" s="32">
        <f>T2573/N2573</f>
        <v/>
      </c>
      <c r="Y2573" s="35">
        <f>IF(W2573=MAXIFS(W$2:W$3601, A$2:A$3601, A2573, B$2:B$3601, B2573), "OPTIMAL", "")</f>
        <v/>
      </c>
    </row>
    <row r="2574" ht="20" customHeight="1">
      <c r="A2574" s="21" t="n">
        <v>-18</v>
      </c>
      <c r="B2574" s="21" t="n">
        <v>35</v>
      </c>
      <c r="C2574" s="22" t="n">
        <v>85</v>
      </c>
      <c r="D2574" s="22" t="n">
        <v>2</v>
      </c>
      <c r="E2574" s="23" t="n">
        <v>8</v>
      </c>
      <c r="F2574" s="22" t="n">
        <v>1.5</v>
      </c>
      <c r="G2574" s="23" t="inlineStr">
        <is>
          <t>Oui</t>
        </is>
      </c>
      <c r="H2574" s="23" t="inlineStr">
        <is>
          <t>ON</t>
        </is>
      </c>
      <c r="I2574" s="24" t="n">
        <v>744.7528686370244</v>
      </c>
      <c r="J2574" s="24" t="n">
        <v>6550.668683077564</v>
      </c>
      <c r="K2574" s="24" t="n">
        <v>4222.222222222223</v>
      </c>
      <c r="L2574" s="24" t="n">
        <v>150</v>
      </c>
      <c r="M2574" s="24">
        <f>I2574+J2574+K2574+L2574</f>
        <v/>
      </c>
      <c r="N2574" s="24">
        <f>M2574*'Dashboard &amp; Optimisation'!$B$18/('Dashboard &amp; Optimisation'!$B$16/3.6)</f>
        <v/>
      </c>
      <c r="O2574" s="24" t="n">
        <v>1357.081705766538</v>
      </c>
      <c r="P2574" s="25" t="n">
        <v>0.05983888553171247</v>
      </c>
      <c r="Q2574" s="26" t="n">
        <v>15.65241237106734</v>
      </c>
      <c r="R2574" s="24" t="n">
        <v>7703.906060510301</v>
      </c>
      <c r="S2574" s="24">
        <f>R2574*IF(A2574=4, 2.0, 3.0)</f>
        <v/>
      </c>
      <c r="T2574" s="22">
        <f>'Dashboard &amp; Optimisation'!$B$18*U2574</f>
        <v/>
      </c>
      <c r="U2574" s="27">
        <f>MIN(1, S2574/M2574)</f>
        <v/>
      </c>
      <c r="V2574" s="27">
        <f>N2574/(N2574+O2574)</f>
        <v/>
      </c>
      <c r="W2574" s="27">
        <f>U2574*V2574</f>
        <v/>
      </c>
      <c r="X2574" s="25">
        <f>T2574/N2574</f>
        <v/>
      </c>
      <c r="Y2574" s="28">
        <f>IF(W2574=MAXIFS(W$2:W$3601, A$2:A$3601, A2574, B$2:B$3601, B2574), "OPTIMAL", "")</f>
        <v/>
      </c>
    </row>
    <row r="2575" ht="20" customHeight="1">
      <c r="A2575" s="29" t="n">
        <v>-18</v>
      </c>
      <c r="B2575" s="29" t="n">
        <v>35</v>
      </c>
      <c r="C2575" s="30" t="n">
        <v>85</v>
      </c>
      <c r="D2575" s="30" t="n">
        <v>2</v>
      </c>
      <c r="E2575" s="6" t="n">
        <v>8</v>
      </c>
      <c r="F2575" s="30" t="n">
        <v>1.5</v>
      </c>
      <c r="G2575" s="6" t="inlineStr">
        <is>
          <t>Oui</t>
        </is>
      </c>
      <c r="H2575" s="6" t="inlineStr">
        <is>
          <t>OFF</t>
        </is>
      </c>
      <c r="I2575" s="31" t="n">
        <v>744.7528686370244</v>
      </c>
      <c r="J2575" s="31" t="n">
        <v>6550.668683077564</v>
      </c>
      <c r="K2575" s="31" t="n">
        <v>4222.222222222223</v>
      </c>
      <c r="L2575" s="31" t="n">
        <v>150</v>
      </c>
      <c r="M2575" s="31">
        <f>I2575+J2575+K2575+L2575</f>
        <v/>
      </c>
      <c r="N2575" s="31">
        <f>M2575*'Dashboard &amp; Optimisation'!$B$18/('Dashboard &amp; Optimisation'!$B$16/3.6)</f>
        <v/>
      </c>
      <c r="O2575" s="31" t="n">
        <v>1357.081705766538</v>
      </c>
      <c r="P2575" s="32" t="n">
        <v>0.261849893463025</v>
      </c>
      <c r="Q2575" s="33" t="n">
        <v>15.65241237106734</v>
      </c>
      <c r="R2575" s="31" t="n">
        <v>1760.524500526625</v>
      </c>
      <c r="S2575" s="31">
        <f>R2575*IF(A2575=4, 2.0, 3.0)</f>
        <v/>
      </c>
      <c r="T2575" s="30">
        <f>'Dashboard &amp; Optimisation'!$B$18*U2575</f>
        <v/>
      </c>
      <c r="U2575" s="34">
        <f>MIN(1, S2575/M2575)</f>
        <v/>
      </c>
      <c r="V2575" s="34">
        <f>N2575/(N2575+O2575)</f>
        <v/>
      </c>
      <c r="W2575" s="34">
        <f>U2575*V2575</f>
        <v/>
      </c>
      <c r="X2575" s="32">
        <f>T2575/N2575</f>
        <v/>
      </c>
      <c r="Y2575" s="35">
        <f>IF(W2575=MAXIFS(W$2:W$3601, A$2:A$3601, A2575, B$2:B$3601, B2575), "OPTIMAL", "")</f>
        <v/>
      </c>
    </row>
    <row r="2576" ht="20" customHeight="1">
      <c r="A2576" s="21" t="n">
        <v>-18</v>
      </c>
      <c r="B2576" s="21" t="n">
        <v>35</v>
      </c>
      <c r="C2576" s="22" t="n">
        <v>85</v>
      </c>
      <c r="D2576" s="22" t="n">
        <v>2</v>
      </c>
      <c r="E2576" s="23" t="n">
        <v>8</v>
      </c>
      <c r="F2576" s="22" t="n">
        <v>1.5</v>
      </c>
      <c r="G2576" s="23" t="inlineStr">
        <is>
          <t>Non</t>
        </is>
      </c>
      <c r="H2576" s="23" t="inlineStr">
        <is>
          <t>ON</t>
        </is>
      </c>
      <c r="I2576" s="24" t="n">
        <v>744.7528686370244</v>
      </c>
      <c r="J2576" s="24" t="n">
        <v>6550.668683077564</v>
      </c>
      <c r="K2576" s="24" t="n">
        <v>4222.222222222223</v>
      </c>
      <c r="L2576" s="24" t="n">
        <v>150</v>
      </c>
      <c r="M2576" s="24">
        <f>I2576+J2576+K2576+L2576</f>
        <v/>
      </c>
      <c r="N2576" s="24">
        <f>M2576*'Dashboard &amp; Optimisation'!$B$18/('Dashboard &amp; Optimisation'!$B$16/3.6)</f>
        <v/>
      </c>
      <c r="O2576" s="24" t="n">
        <v>1357.081705766538</v>
      </c>
      <c r="P2576" s="25" t="n">
        <v>0.05609406334131493</v>
      </c>
      <c r="Q2576" s="26" t="n">
        <v>15.65241237106734</v>
      </c>
      <c r="R2576" s="24" t="n">
        <v>8218.216428660942</v>
      </c>
      <c r="S2576" s="24">
        <f>R2576*IF(A2576=4, 2.0, 3.0)</f>
        <v/>
      </c>
      <c r="T2576" s="22">
        <f>'Dashboard &amp; Optimisation'!$B$18*U2576</f>
        <v/>
      </c>
      <c r="U2576" s="27">
        <f>MIN(1, S2576/M2576)</f>
        <v/>
      </c>
      <c r="V2576" s="27">
        <f>N2576/(N2576+O2576)</f>
        <v/>
      </c>
      <c r="W2576" s="27">
        <f>U2576*V2576</f>
        <v/>
      </c>
      <c r="X2576" s="25">
        <f>T2576/N2576</f>
        <v/>
      </c>
      <c r="Y2576" s="28">
        <f>IF(W2576=MAXIFS(W$2:W$3601, A$2:A$3601, A2576, B$2:B$3601, B2576), "OPTIMAL", "")</f>
        <v/>
      </c>
    </row>
    <row r="2577" ht="20" customHeight="1">
      <c r="A2577" s="29" t="n">
        <v>-18</v>
      </c>
      <c r="B2577" s="29" t="n">
        <v>35</v>
      </c>
      <c r="C2577" s="30" t="n">
        <v>85</v>
      </c>
      <c r="D2577" s="30" t="n">
        <v>2</v>
      </c>
      <c r="E2577" s="6" t="n">
        <v>8</v>
      </c>
      <c r="F2577" s="30" t="n">
        <v>1.5</v>
      </c>
      <c r="G2577" s="6" t="inlineStr">
        <is>
          <t>Non</t>
        </is>
      </c>
      <c r="H2577" s="6" t="inlineStr">
        <is>
          <t>OFF</t>
        </is>
      </c>
      <c r="I2577" s="31" t="n">
        <v>744.7528686370244</v>
      </c>
      <c r="J2577" s="31" t="n">
        <v>6550.668683077564</v>
      </c>
      <c r="K2577" s="31" t="n">
        <v>4222.222222222223</v>
      </c>
      <c r="L2577" s="31" t="n">
        <v>150</v>
      </c>
      <c r="M2577" s="31">
        <f>I2577+J2577+K2577+L2577</f>
        <v/>
      </c>
      <c r="N2577" s="31">
        <f>M2577*'Dashboard &amp; Optimisation'!$B$18/('Dashboard &amp; Optimisation'!$B$16/3.6)</f>
        <v/>
      </c>
      <c r="O2577" s="31" t="n">
        <v>1357.081705766538</v>
      </c>
      <c r="P2577" s="32" t="n">
        <v>0.2581050712726274</v>
      </c>
      <c r="Q2577" s="33" t="n">
        <v>15.65241237106734</v>
      </c>
      <c r="R2577" s="31" t="n">
        <v>1786.067784832522</v>
      </c>
      <c r="S2577" s="31">
        <f>R2577*IF(A2577=4, 2.0, 3.0)</f>
        <v/>
      </c>
      <c r="T2577" s="30">
        <f>'Dashboard &amp; Optimisation'!$B$18*U2577</f>
        <v/>
      </c>
      <c r="U2577" s="34">
        <f>MIN(1, S2577/M2577)</f>
        <v/>
      </c>
      <c r="V2577" s="34">
        <f>N2577/(N2577+O2577)</f>
        <v/>
      </c>
      <c r="W2577" s="34">
        <f>U2577*V2577</f>
        <v/>
      </c>
      <c r="X2577" s="32">
        <f>T2577/N2577</f>
        <v/>
      </c>
      <c r="Y2577" s="35">
        <f>IF(W2577=MAXIFS(W$2:W$3601, A$2:A$3601, A2577, B$2:B$3601, B2577), "OPTIMAL", "")</f>
        <v/>
      </c>
    </row>
    <row r="2578" ht="20" customHeight="1">
      <c r="A2578" s="21" t="n">
        <v>-18</v>
      </c>
      <c r="B2578" s="21" t="n">
        <v>35</v>
      </c>
      <c r="C2578" s="22" t="n">
        <v>85</v>
      </c>
      <c r="D2578" s="22" t="n">
        <v>2</v>
      </c>
      <c r="E2578" s="23" t="n">
        <v>8</v>
      </c>
      <c r="F2578" s="22" t="n">
        <v>2</v>
      </c>
      <c r="G2578" s="23" t="inlineStr">
        <is>
          <t>Oui</t>
        </is>
      </c>
      <c r="H2578" s="23" t="inlineStr">
        <is>
          <t>ON</t>
        </is>
      </c>
      <c r="I2578" s="24" t="n">
        <v>744.7528686370244</v>
      </c>
      <c r="J2578" s="24" t="n">
        <v>6550.668683077564</v>
      </c>
      <c r="K2578" s="24" t="n">
        <v>4222.222222222223</v>
      </c>
      <c r="L2578" s="24" t="n">
        <v>150</v>
      </c>
      <c r="M2578" s="24">
        <f>I2578+J2578+K2578+L2578</f>
        <v/>
      </c>
      <c r="N2578" s="24">
        <f>M2578*'Dashboard &amp; Optimisation'!$B$18/('Dashboard &amp; Optimisation'!$B$16/3.6)</f>
        <v/>
      </c>
      <c r="O2578" s="24" t="n">
        <v>1637.621376613535</v>
      </c>
      <c r="P2578" s="25" t="n">
        <v>0.0588807326139491</v>
      </c>
      <c r="Q2578" s="26" t="n">
        <v>20.80321649475646</v>
      </c>
      <c r="R2578" s="24" t="n">
        <v>8048.204520615271</v>
      </c>
      <c r="S2578" s="24">
        <f>R2578*IF(A2578=4, 2.0, 3.0)</f>
        <v/>
      </c>
      <c r="T2578" s="22">
        <f>'Dashboard &amp; Optimisation'!$B$18*U2578</f>
        <v/>
      </c>
      <c r="U2578" s="27">
        <f>MIN(1, S2578/M2578)</f>
        <v/>
      </c>
      <c r="V2578" s="27">
        <f>N2578/(N2578+O2578)</f>
        <v/>
      </c>
      <c r="W2578" s="27">
        <f>U2578*V2578</f>
        <v/>
      </c>
      <c r="X2578" s="25">
        <f>T2578/N2578</f>
        <v/>
      </c>
      <c r="Y2578" s="28">
        <f>IF(W2578=MAXIFS(W$2:W$3601, A$2:A$3601, A2578, B$2:B$3601, B2578), "OPTIMAL", "")</f>
        <v/>
      </c>
    </row>
    <row r="2579" ht="20" customHeight="1">
      <c r="A2579" s="29" t="n">
        <v>-18</v>
      </c>
      <c r="B2579" s="29" t="n">
        <v>35</v>
      </c>
      <c r="C2579" s="30" t="n">
        <v>85</v>
      </c>
      <c r="D2579" s="30" t="n">
        <v>2</v>
      </c>
      <c r="E2579" s="6" t="n">
        <v>8</v>
      </c>
      <c r="F2579" s="30" t="n">
        <v>2</v>
      </c>
      <c r="G2579" s="6" t="inlineStr">
        <is>
          <t>Oui</t>
        </is>
      </c>
      <c r="H2579" s="6" t="inlineStr">
        <is>
          <t>OFF</t>
        </is>
      </c>
      <c r="I2579" s="31" t="n">
        <v>744.7528686370244</v>
      </c>
      <c r="J2579" s="31" t="n">
        <v>6550.668683077564</v>
      </c>
      <c r="K2579" s="31" t="n">
        <v>4222.222222222223</v>
      </c>
      <c r="L2579" s="31" t="n">
        <v>150</v>
      </c>
      <c r="M2579" s="31">
        <f>I2579+J2579+K2579+L2579</f>
        <v/>
      </c>
      <c r="N2579" s="31">
        <f>M2579*'Dashboard &amp; Optimisation'!$B$18/('Dashboard &amp; Optimisation'!$B$16/3.6)</f>
        <v/>
      </c>
      <c r="O2579" s="31" t="n">
        <v>1637.621376613535</v>
      </c>
      <c r="P2579" s="32" t="n">
        <v>0.2625350412538471</v>
      </c>
      <c r="Q2579" s="33" t="n">
        <v>20.80321649475646</v>
      </c>
      <c r="R2579" s="31" t="n">
        <v>1805.032105952371</v>
      </c>
      <c r="S2579" s="31">
        <f>R2579*IF(A2579=4, 2.0, 3.0)</f>
        <v/>
      </c>
      <c r="T2579" s="30">
        <f>'Dashboard &amp; Optimisation'!$B$18*U2579</f>
        <v/>
      </c>
      <c r="U2579" s="34">
        <f>MIN(1, S2579/M2579)</f>
        <v/>
      </c>
      <c r="V2579" s="34">
        <f>N2579/(N2579+O2579)</f>
        <v/>
      </c>
      <c r="W2579" s="34">
        <f>U2579*V2579</f>
        <v/>
      </c>
      <c r="X2579" s="32">
        <f>T2579/N2579</f>
        <v/>
      </c>
      <c r="Y2579" s="35">
        <f>IF(W2579=MAXIFS(W$2:W$3601, A$2:A$3601, A2579, B$2:B$3601, B2579), "OPTIMAL", "")</f>
        <v/>
      </c>
    </row>
    <row r="2580" ht="20" customHeight="1">
      <c r="A2580" s="21" t="n">
        <v>-18</v>
      </c>
      <c r="B2580" s="21" t="n">
        <v>35</v>
      </c>
      <c r="C2580" s="22" t="n">
        <v>85</v>
      </c>
      <c r="D2580" s="22" t="n">
        <v>2</v>
      </c>
      <c r="E2580" s="23" t="n">
        <v>8</v>
      </c>
      <c r="F2580" s="22" t="n">
        <v>2</v>
      </c>
      <c r="G2580" s="23" t="inlineStr">
        <is>
          <t>Non</t>
        </is>
      </c>
      <c r="H2580" s="23" t="inlineStr">
        <is>
          <t>ON</t>
        </is>
      </c>
      <c r="I2580" s="24" t="n">
        <v>744.7528686370244</v>
      </c>
      <c r="J2580" s="24" t="n">
        <v>6550.668683077564</v>
      </c>
      <c r="K2580" s="24" t="n">
        <v>4222.222222222223</v>
      </c>
      <c r="L2580" s="24" t="n">
        <v>150</v>
      </c>
      <c r="M2580" s="24">
        <f>I2580+J2580+K2580+L2580</f>
        <v/>
      </c>
      <c r="N2580" s="24">
        <f>M2580*'Dashboard &amp; Optimisation'!$B$18/('Dashboard &amp; Optimisation'!$B$16/3.6)</f>
        <v/>
      </c>
      <c r="O2580" s="24" t="n">
        <v>1637.621376613535</v>
      </c>
      <c r="P2580" s="25" t="n">
        <v>0.05513591042355157</v>
      </c>
      <c r="Q2580" s="26" t="n">
        <v>20.80321649475646</v>
      </c>
      <c r="R2580" s="24" t="n">
        <v>8594.837280465079</v>
      </c>
      <c r="S2580" s="24">
        <f>R2580*IF(A2580=4, 2.0, 3.0)</f>
        <v/>
      </c>
      <c r="T2580" s="22">
        <f>'Dashboard &amp; Optimisation'!$B$18*U2580</f>
        <v/>
      </c>
      <c r="U2580" s="27">
        <f>MIN(1, S2580/M2580)</f>
        <v/>
      </c>
      <c r="V2580" s="27">
        <f>N2580/(N2580+O2580)</f>
        <v/>
      </c>
      <c r="W2580" s="27">
        <f>U2580*V2580</f>
        <v/>
      </c>
      <c r="X2580" s="25">
        <f>T2580/N2580</f>
        <v/>
      </c>
      <c r="Y2580" s="28">
        <f>IF(W2580=MAXIFS(W$2:W$3601, A$2:A$3601, A2580, B$2:B$3601, B2580), "OPTIMAL", "")</f>
        <v/>
      </c>
    </row>
    <row r="2581" ht="20" customHeight="1">
      <c r="A2581" s="29" t="n">
        <v>-18</v>
      </c>
      <c r="B2581" s="29" t="n">
        <v>35</v>
      </c>
      <c r="C2581" s="30" t="n">
        <v>85</v>
      </c>
      <c r="D2581" s="30" t="n">
        <v>2</v>
      </c>
      <c r="E2581" s="6" t="n">
        <v>8</v>
      </c>
      <c r="F2581" s="30" t="n">
        <v>2</v>
      </c>
      <c r="G2581" s="6" t="inlineStr">
        <is>
          <t>Non</t>
        </is>
      </c>
      <c r="H2581" s="6" t="inlineStr">
        <is>
          <t>OFF</t>
        </is>
      </c>
      <c r="I2581" s="31" t="n">
        <v>744.7528686370244</v>
      </c>
      <c r="J2581" s="31" t="n">
        <v>6550.668683077564</v>
      </c>
      <c r="K2581" s="31" t="n">
        <v>4222.222222222223</v>
      </c>
      <c r="L2581" s="31" t="n">
        <v>150</v>
      </c>
      <c r="M2581" s="31">
        <f>I2581+J2581+K2581+L2581</f>
        <v/>
      </c>
      <c r="N2581" s="31">
        <f>M2581*'Dashboard &amp; Optimisation'!$B$18/('Dashboard &amp; Optimisation'!$B$16/3.6)</f>
        <v/>
      </c>
      <c r="O2581" s="31" t="n">
        <v>1637.621376613535</v>
      </c>
      <c r="P2581" s="32" t="n">
        <v>0.2587902190634496</v>
      </c>
      <c r="Q2581" s="33" t="n">
        <v>20.80321649475646</v>
      </c>
      <c r="R2581" s="31" t="n">
        <v>1831.15181136169</v>
      </c>
      <c r="S2581" s="31">
        <f>R2581*IF(A2581=4, 2.0, 3.0)</f>
        <v/>
      </c>
      <c r="T2581" s="30">
        <f>'Dashboard &amp; Optimisation'!$B$18*U2581</f>
        <v/>
      </c>
      <c r="U2581" s="34">
        <f>MIN(1, S2581/M2581)</f>
        <v/>
      </c>
      <c r="V2581" s="34">
        <f>N2581/(N2581+O2581)</f>
        <v/>
      </c>
      <c r="W2581" s="34">
        <f>U2581*V2581</f>
        <v/>
      </c>
      <c r="X2581" s="32">
        <f>T2581/N2581</f>
        <v/>
      </c>
      <c r="Y2581" s="35">
        <f>IF(W2581=MAXIFS(W$2:W$3601, A$2:A$3601, A2581, B$2:B$3601, B2581), "OPTIMAL", "")</f>
        <v/>
      </c>
    </row>
    <row r="2582" ht="20" customHeight="1">
      <c r="A2582" s="21" t="n">
        <v>-18</v>
      </c>
      <c r="B2582" s="21" t="n">
        <v>35</v>
      </c>
      <c r="C2582" s="22" t="n">
        <v>85</v>
      </c>
      <c r="D2582" s="22" t="n">
        <v>3</v>
      </c>
      <c r="E2582" s="23" t="n">
        <v>0</v>
      </c>
      <c r="F2582" s="22" t="n">
        <v>0</v>
      </c>
      <c r="G2582" s="23" t="inlineStr">
        <is>
          <t>Oui</t>
        </is>
      </c>
      <c r="H2582" s="23" t="inlineStr">
        <is>
          <t>ON</t>
        </is>
      </c>
      <c r="I2582" s="24" t="n">
        <v>744.7528686370244</v>
      </c>
      <c r="J2582" s="24" t="n">
        <v>6550.668683077564</v>
      </c>
      <c r="K2582" s="24" t="n">
        <v>4222.222222222223</v>
      </c>
      <c r="L2582" s="24" t="n">
        <v>150</v>
      </c>
      <c r="M2582" s="24">
        <f>I2582+J2582+K2582+L2582</f>
        <v/>
      </c>
      <c r="N2582" s="24">
        <f>M2582*'Dashboard &amp; Optimisation'!$B$18/('Dashboard &amp; Optimisation'!$B$16/3.6)</f>
        <v/>
      </c>
      <c r="O2582" s="24" t="n">
        <v>934.9511025901313</v>
      </c>
      <c r="P2582" s="25" t="n">
        <v>0.4953095672830083</v>
      </c>
      <c r="Q2582" s="26" t="n">
        <v>0.2</v>
      </c>
      <c r="R2582" s="24" t="n">
        <v>904.6142763373051</v>
      </c>
      <c r="S2582" s="24">
        <f>R2582*IF(A2582=4, 2.0, 3.0)</f>
        <v/>
      </c>
      <c r="T2582" s="22">
        <f>'Dashboard &amp; Optimisation'!$B$18*U2582</f>
        <v/>
      </c>
      <c r="U2582" s="27">
        <f>MIN(1, S2582/M2582)</f>
        <v/>
      </c>
      <c r="V2582" s="27">
        <f>N2582/(N2582+O2582)</f>
        <v/>
      </c>
      <c r="W2582" s="27">
        <f>U2582*V2582</f>
        <v/>
      </c>
      <c r="X2582" s="25">
        <f>T2582/N2582</f>
        <v/>
      </c>
      <c r="Y2582" s="28">
        <f>IF(W2582=MAXIFS(W$2:W$3601, A$2:A$3601, A2582, B$2:B$3601, B2582), "OPTIMAL", "")</f>
        <v/>
      </c>
    </row>
    <row r="2583" ht="20" customHeight="1">
      <c r="A2583" s="29" t="n">
        <v>-18</v>
      </c>
      <c r="B2583" s="29" t="n">
        <v>35</v>
      </c>
      <c r="C2583" s="30" t="n">
        <v>85</v>
      </c>
      <c r="D2583" s="30" t="n">
        <v>3</v>
      </c>
      <c r="E2583" s="6" t="n">
        <v>0</v>
      </c>
      <c r="F2583" s="30" t="n">
        <v>0</v>
      </c>
      <c r="G2583" s="6" t="inlineStr">
        <is>
          <t>Oui</t>
        </is>
      </c>
      <c r="H2583" s="6" t="inlineStr">
        <is>
          <t>OFF</t>
        </is>
      </c>
      <c r="I2583" s="31" t="n">
        <v>744.7528686370244</v>
      </c>
      <c r="J2583" s="31" t="n">
        <v>6550.668683077564</v>
      </c>
      <c r="K2583" s="31" t="n">
        <v>4222.222222222223</v>
      </c>
      <c r="L2583" s="31" t="n">
        <v>150</v>
      </c>
      <c r="M2583" s="31">
        <f>I2583+J2583+K2583+L2583</f>
        <v/>
      </c>
      <c r="N2583" s="31">
        <f>M2583*'Dashboard &amp; Optimisation'!$B$18/('Dashboard &amp; Optimisation'!$B$16/3.6)</f>
        <v/>
      </c>
      <c r="O2583" s="31" t="n">
        <v>934.9511025901313</v>
      </c>
      <c r="P2583" s="32" t="n">
        <v>0.869791786322762</v>
      </c>
      <c r="Q2583" s="33" t="n">
        <v>0.2</v>
      </c>
      <c r="R2583" s="31" t="n">
        <v>515.1394998393268</v>
      </c>
      <c r="S2583" s="31">
        <f>R2583*IF(A2583=4, 2.0, 3.0)</f>
        <v/>
      </c>
      <c r="T2583" s="30">
        <f>'Dashboard &amp; Optimisation'!$B$18*U2583</f>
        <v/>
      </c>
      <c r="U2583" s="34">
        <f>MIN(1, S2583/M2583)</f>
        <v/>
      </c>
      <c r="V2583" s="34">
        <f>N2583/(N2583+O2583)</f>
        <v/>
      </c>
      <c r="W2583" s="34">
        <f>U2583*V2583</f>
        <v/>
      </c>
      <c r="X2583" s="32">
        <f>T2583/N2583</f>
        <v/>
      </c>
      <c r="Y2583" s="35">
        <f>IF(W2583=MAXIFS(W$2:W$3601, A$2:A$3601, A2583, B$2:B$3601, B2583), "OPTIMAL", "")</f>
        <v/>
      </c>
    </row>
    <row r="2584" ht="20" customHeight="1">
      <c r="A2584" s="21" t="n">
        <v>-18</v>
      </c>
      <c r="B2584" s="21" t="n">
        <v>35</v>
      </c>
      <c r="C2584" s="22" t="n">
        <v>85</v>
      </c>
      <c r="D2584" s="22" t="n">
        <v>3</v>
      </c>
      <c r="E2584" s="23" t="n">
        <v>0</v>
      </c>
      <c r="F2584" s="22" t="n">
        <v>0</v>
      </c>
      <c r="G2584" s="23" t="inlineStr">
        <is>
          <t>Non</t>
        </is>
      </c>
      <c r="H2584" s="23" t="inlineStr">
        <is>
          <t>ON</t>
        </is>
      </c>
      <c r="I2584" s="24" t="n">
        <v>744.7528686370244</v>
      </c>
      <c r="J2584" s="24" t="n">
        <v>6550.668683077564</v>
      </c>
      <c r="K2584" s="24" t="n">
        <v>4222.222222222223</v>
      </c>
      <c r="L2584" s="24" t="n">
        <v>150</v>
      </c>
      <c r="M2584" s="24">
        <f>I2584+J2584+K2584+L2584</f>
        <v/>
      </c>
      <c r="N2584" s="24">
        <f>M2584*'Dashboard &amp; Optimisation'!$B$18/('Dashboard &amp; Optimisation'!$B$16/3.6)</f>
        <v/>
      </c>
      <c r="O2584" s="24" t="n">
        <v>934.9511025901313</v>
      </c>
      <c r="P2584" s="25" t="n">
        <v>0.4915647450926108</v>
      </c>
      <c r="Q2584" s="26" t="n">
        <v>0.2</v>
      </c>
      <c r="R2584" s="24" t="n">
        <v>911.5057787275755</v>
      </c>
      <c r="S2584" s="24">
        <f>R2584*IF(A2584=4, 2.0, 3.0)</f>
        <v/>
      </c>
      <c r="T2584" s="22">
        <f>'Dashboard &amp; Optimisation'!$B$18*U2584</f>
        <v/>
      </c>
      <c r="U2584" s="27">
        <f>MIN(1, S2584/M2584)</f>
        <v/>
      </c>
      <c r="V2584" s="27">
        <f>N2584/(N2584+O2584)</f>
        <v/>
      </c>
      <c r="W2584" s="27">
        <f>U2584*V2584</f>
        <v/>
      </c>
      <c r="X2584" s="25">
        <f>T2584/N2584</f>
        <v/>
      </c>
      <c r="Y2584" s="28">
        <f>IF(W2584=MAXIFS(W$2:W$3601, A$2:A$3601, A2584, B$2:B$3601, B2584), "OPTIMAL", "")</f>
        <v/>
      </c>
    </row>
    <row r="2585" ht="20" customHeight="1">
      <c r="A2585" s="29" t="n">
        <v>-18</v>
      </c>
      <c r="B2585" s="29" t="n">
        <v>35</v>
      </c>
      <c r="C2585" s="30" t="n">
        <v>85</v>
      </c>
      <c r="D2585" s="30" t="n">
        <v>3</v>
      </c>
      <c r="E2585" s="6" t="n">
        <v>0</v>
      </c>
      <c r="F2585" s="30" t="n">
        <v>0</v>
      </c>
      <c r="G2585" s="6" t="inlineStr">
        <is>
          <t>Non</t>
        </is>
      </c>
      <c r="H2585" s="6" t="inlineStr">
        <is>
          <t>OFF</t>
        </is>
      </c>
      <c r="I2585" s="31" t="n">
        <v>744.7528686370244</v>
      </c>
      <c r="J2585" s="31" t="n">
        <v>6550.668683077564</v>
      </c>
      <c r="K2585" s="31" t="n">
        <v>4222.222222222223</v>
      </c>
      <c r="L2585" s="31" t="n">
        <v>150</v>
      </c>
      <c r="M2585" s="31">
        <f>I2585+J2585+K2585+L2585</f>
        <v/>
      </c>
      <c r="N2585" s="31">
        <f>M2585*'Dashboard &amp; Optimisation'!$B$18/('Dashboard &amp; Optimisation'!$B$16/3.6)</f>
        <v/>
      </c>
      <c r="O2585" s="31" t="n">
        <v>934.9511025901313</v>
      </c>
      <c r="P2585" s="32" t="n">
        <v>0.8660469641323645</v>
      </c>
      <c r="Q2585" s="33" t="n">
        <v>0.2</v>
      </c>
      <c r="R2585" s="31" t="n">
        <v>517.3669839251135</v>
      </c>
      <c r="S2585" s="31">
        <f>R2585*IF(A2585=4, 2.0, 3.0)</f>
        <v/>
      </c>
      <c r="T2585" s="30">
        <f>'Dashboard &amp; Optimisation'!$B$18*U2585</f>
        <v/>
      </c>
      <c r="U2585" s="34">
        <f>MIN(1, S2585/M2585)</f>
        <v/>
      </c>
      <c r="V2585" s="34">
        <f>N2585/(N2585+O2585)</f>
        <v/>
      </c>
      <c r="W2585" s="34">
        <f>U2585*V2585</f>
        <v/>
      </c>
      <c r="X2585" s="32">
        <f>T2585/N2585</f>
        <v/>
      </c>
      <c r="Y2585" s="35">
        <f>IF(W2585=MAXIFS(W$2:W$3601, A$2:A$3601, A2585, B$2:B$3601, B2585), "OPTIMAL", "")</f>
        <v/>
      </c>
    </row>
    <row r="2586" ht="20" customHeight="1">
      <c r="A2586" s="21" t="n">
        <v>-18</v>
      </c>
      <c r="B2586" s="21" t="n">
        <v>35</v>
      </c>
      <c r="C2586" s="22" t="n">
        <v>85</v>
      </c>
      <c r="D2586" s="22" t="n">
        <v>3</v>
      </c>
      <c r="E2586" s="23" t="n">
        <v>4</v>
      </c>
      <c r="F2586" s="22" t="n">
        <v>1.5</v>
      </c>
      <c r="G2586" s="23" t="inlineStr">
        <is>
          <t>Oui</t>
        </is>
      </c>
      <c r="H2586" s="23" t="inlineStr">
        <is>
          <t>ON</t>
        </is>
      </c>
      <c r="I2586" s="24" t="n">
        <v>744.7528686370244</v>
      </c>
      <c r="J2586" s="24" t="n">
        <v>6550.668683077564</v>
      </c>
      <c r="K2586" s="24" t="n">
        <v>4222.222222222223</v>
      </c>
      <c r="L2586" s="24" t="n">
        <v>150</v>
      </c>
      <c r="M2586" s="24">
        <f>I2586+J2586+K2586+L2586</f>
        <v/>
      </c>
      <c r="N2586" s="24">
        <f>M2586*'Dashboard &amp; Optimisation'!$B$18/('Dashboard &amp; Optimisation'!$B$16/3.6)</f>
        <v/>
      </c>
      <c r="O2586" s="24" t="n">
        <v>1324.433672283486</v>
      </c>
      <c r="P2586" s="25" t="n">
        <v>0.07960669836162382</v>
      </c>
      <c r="Q2586" s="26" t="n">
        <v>8.12180634212946</v>
      </c>
      <c r="R2586" s="24" t="n">
        <v>5854.945787328972</v>
      </c>
      <c r="S2586" s="24">
        <f>R2586*IF(A2586=4, 2.0, 3.0)</f>
        <v/>
      </c>
      <c r="T2586" s="22">
        <f>'Dashboard &amp; Optimisation'!$B$18*U2586</f>
        <v/>
      </c>
      <c r="U2586" s="27">
        <f>MIN(1, S2586/M2586)</f>
        <v/>
      </c>
      <c r="V2586" s="27">
        <f>N2586/(N2586+O2586)</f>
        <v/>
      </c>
      <c r="W2586" s="27">
        <f>U2586*V2586</f>
        <v/>
      </c>
      <c r="X2586" s="25">
        <f>T2586/N2586</f>
        <v/>
      </c>
      <c r="Y2586" s="28">
        <f>IF(W2586=MAXIFS(W$2:W$3601, A$2:A$3601, A2586, B$2:B$3601, B2586), "OPTIMAL", "")</f>
        <v/>
      </c>
    </row>
    <row r="2587" ht="20" customHeight="1">
      <c r="A2587" s="29" t="n">
        <v>-18</v>
      </c>
      <c r="B2587" s="29" t="n">
        <v>35</v>
      </c>
      <c r="C2587" s="30" t="n">
        <v>85</v>
      </c>
      <c r="D2587" s="30" t="n">
        <v>3</v>
      </c>
      <c r="E2587" s="6" t="n">
        <v>4</v>
      </c>
      <c r="F2587" s="30" t="n">
        <v>1.5</v>
      </c>
      <c r="G2587" s="6" t="inlineStr">
        <is>
          <t>Oui</t>
        </is>
      </c>
      <c r="H2587" s="6" t="inlineStr">
        <is>
          <t>OFF</t>
        </is>
      </c>
      <c r="I2587" s="31" t="n">
        <v>744.7528686370244</v>
      </c>
      <c r="J2587" s="31" t="n">
        <v>6550.668683077564</v>
      </c>
      <c r="K2587" s="31" t="n">
        <v>4222.222222222223</v>
      </c>
      <c r="L2587" s="31" t="n">
        <v>150</v>
      </c>
      <c r="M2587" s="31">
        <f>I2587+J2587+K2587+L2587</f>
        <v/>
      </c>
      <c r="N2587" s="31">
        <f>M2587*'Dashboard &amp; Optimisation'!$B$18/('Dashboard &amp; Optimisation'!$B$16/3.6)</f>
        <v/>
      </c>
      <c r="O2587" s="31" t="n">
        <v>1324.433672283486</v>
      </c>
      <c r="P2587" s="32" t="n">
        <v>0.3420549766963435</v>
      </c>
      <c r="Q2587" s="33" t="n">
        <v>8.12180634212946</v>
      </c>
      <c r="R2587" s="31" t="n">
        <v>1362.625703380214</v>
      </c>
      <c r="S2587" s="31">
        <f>R2587*IF(A2587=4, 2.0, 3.0)</f>
        <v/>
      </c>
      <c r="T2587" s="30">
        <f>'Dashboard &amp; Optimisation'!$B$18*U2587</f>
        <v/>
      </c>
      <c r="U2587" s="34">
        <f>MIN(1, S2587/M2587)</f>
        <v/>
      </c>
      <c r="V2587" s="34">
        <f>N2587/(N2587+O2587)</f>
        <v/>
      </c>
      <c r="W2587" s="34">
        <f>U2587*V2587</f>
        <v/>
      </c>
      <c r="X2587" s="32">
        <f>T2587/N2587</f>
        <v/>
      </c>
      <c r="Y2587" s="35">
        <f>IF(W2587=MAXIFS(W$2:W$3601, A$2:A$3601, A2587, B$2:B$3601, B2587), "OPTIMAL", "")</f>
        <v/>
      </c>
    </row>
    <row r="2588" ht="20" customHeight="1">
      <c r="A2588" s="21" t="n">
        <v>-18</v>
      </c>
      <c r="B2588" s="21" t="n">
        <v>35</v>
      </c>
      <c r="C2588" s="22" t="n">
        <v>85</v>
      </c>
      <c r="D2588" s="22" t="n">
        <v>3</v>
      </c>
      <c r="E2588" s="23" t="n">
        <v>4</v>
      </c>
      <c r="F2588" s="22" t="n">
        <v>1.5</v>
      </c>
      <c r="G2588" s="23" t="inlineStr">
        <is>
          <t>Non</t>
        </is>
      </c>
      <c r="H2588" s="23" t="inlineStr">
        <is>
          <t>ON</t>
        </is>
      </c>
      <c r="I2588" s="24" t="n">
        <v>744.7528686370244</v>
      </c>
      <c r="J2588" s="24" t="n">
        <v>6550.668683077564</v>
      </c>
      <c r="K2588" s="24" t="n">
        <v>4222.222222222223</v>
      </c>
      <c r="L2588" s="24" t="n">
        <v>150</v>
      </c>
      <c r="M2588" s="24">
        <f>I2588+J2588+K2588+L2588</f>
        <v/>
      </c>
      <c r="N2588" s="24">
        <f>M2588*'Dashboard &amp; Optimisation'!$B$18/('Dashboard &amp; Optimisation'!$B$16/3.6)</f>
        <v/>
      </c>
      <c r="O2588" s="24" t="n">
        <v>1324.433672283486</v>
      </c>
      <c r="P2588" s="25" t="n">
        <v>0.07586187617122628</v>
      </c>
      <c r="Q2588" s="26" t="n">
        <v>8.12180634212946</v>
      </c>
      <c r="R2588" s="24" t="n">
        <v>6143.967520175072</v>
      </c>
      <c r="S2588" s="24">
        <f>R2588*IF(A2588=4, 2.0, 3.0)</f>
        <v/>
      </c>
      <c r="T2588" s="22">
        <f>'Dashboard &amp; Optimisation'!$B$18*U2588</f>
        <v/>
      </c>
      <c r="U2588" s="27">
        <f>MIN(1, S2588/M2588)</f>
        <v/>
      </c>
      <c r="V2588" s="27">
        <f>N2588/(N2588+O2588)</f>
        <v/>
      </c>
      <c r="W2588" s="27">
        <f>U2588*V2588</f>
        <v/>
      </c>
      <c r="X2588" s="25">
        <f>T2588/N2588</f>
        <v/>
      </c>
      <c r="Y2588" s="28">
        <f>IF(W2588=MAXIFS(W$2:W$3601, A$2:A$3601, A2588, B$2:B$3601, B2588), "OPTIMAL", "")</f>
        <v/>
      </c>
    </row>
    <row r="2589" ht="20" customHeight="1">
      <c r="A2589" s="29" t="n">
        <v>-18</v>
      </c>
      <c r="B2589" s="29" t="n">
        <v>35</v>
      </c>
      <c r="C2589" s="30" t="n">
        <v>85</v>
      </c>
      <c r="D2589" s="30" t="n">
        <v>3</v>
      </c>
      <c r="E2589" s="6" t="n">
        <v>4</v>
      </c>
      <c r="F2589" s="30" t="n">
        <v>1.5</v>
      </c>
      <c r="G2589" s="6" t="inlineStr">
        <is>
          <t>Non</t>
        </is>
      </c>
      <c r="H2589" s="6" t="inlineStr">
        <is>
          <t>OFF</t>
        </is>
      </c>
      <c r="I2589" s="31" t="n">
        <v>744.7528686370244</v>
      </c>
      <c r="J2589" s="31" t="n">
        <v>6550.668683077564</v>
      </c>
      <c r="K2589" s="31" t="n">
        <v>4222.222222222223</v>
      </c>
      <c r="L2589" s="31" t="n">
        <v>150</v>
      </c>
      <c r="M2589" s="31">
        <f>I2589+J2589+K2589+L2589</f>
        <v/>
      </c>
      <c r="N2589" s="31">
        <f>M2589*'Dashboard &amp; Optimisation'!$B$18/('Dashboard &amp; Optimisation'!$B$16/3.6)</f>
        <v/>
      </c>
      <c r="O2589" s="31" t="n">
        <v>1324.433672283486</v>
      </c>
      <c r="P2589" s="32" t="n">
        <v>0.338310154505946</v>
      </c>
      <c r="Q2589" s="33" t="n">
        <v>8.12180634212946</v>
      </c>
      <c r="R2589" s="31" t="n">
        <v>1377.708877512767</v>
      </c>
      <c r="S2589" s="31">
        <f>R2589*IF(A2589=4, 2.0, 3.0)</f>
        <v/>
      </c>
      <c r="T2589" s="30">
        <f>'Dashboard &amp; Optimisation'!$B$18*U2589</f>
        <v/>
      </c>
      <c r="U2589" s="34">
        <f>MIN(1, S2589/M2589)</f>
        <v/>
      </c>
      <c r="V2589" s="34">
        <f>N2589/(N2589+O2589)</f>
        <v/>
      </c>
      <c r="W2589" s="34">
        <f>U2589*V2589</f>
        <v/>
      </c>
      <c r="X2589" s="32">
        <f>T2589/N2589</f>
        <v/>
      </c>
      <c r="Y2589" s="35">
        <f>IF(W2589=MAXIFS(W$2:W$3601, A$2:A$3601, A2589, B$2:B$3601, B2589), "OPTIMAL", "")</f>
        <v/>
      </c>
    </row>
    <row r="2590" ht="20" customHeight="1">
      <c r="A2590" s="21" t="n">
        <v>-18</v>
      </c>
      <c r="B2590" s="21" t="n">
        <v>35</v>
      </c>
      <c r="C2590" s="22" t="n">
        <v>85</v>
      </c>
      <c r="D2590" s="22" t="n">
        <v>3</v>
      </c>
      <c r="E2590" s="23" t="n">
        <v>4</v>
      </c>
      <c r="F2590" s="22" t="n">
        <v>2</v>
      </c>
      <c r="G2590" s="23" t="inlineStr">
        <is>
          <t>Oui</t>
        </is>
      </c>
      <c r="H2590" s="23" t="inlineStr">
        <is>
          <t>ON</t>
        </is>
      </c>
      <c r="I2590" s="24" t="n">
        <v>744.7528686370244</v>
      </c>
      <c r="J2590" s="24" t="n">
        <v>6550.668683077564</v>
      </c>
      <c r="K2590" s="24" t="n">
        <v>4222.222222222223</v>
      </c>
      <c r="L2590" s="24" t="n">
        <v>150</v>
      </c>
      <c r="M2590" s="24">
        <f>I2590+J2590+K2590+L2590</f>
        <v/>
      </c>
      <c r="N2590" s="24">
        <f>M2590*'Dashboard &amp; Optimisation'!$B$18/('Dashboard &amp; Optimisation'!$B$16/3.6)</f>
        <v/>
      </c>
      <c r="O2590" s="24" t="n">
        <v>1461.321061312574</v>
      </c>
      <c r="P2590" s="25" t="n">
        <v>0.07745426381627818</v>
      </c>
      <c r="Q2590" s="26" t="n">
        <v>10.76240845617261</v>
      </c>
      <c r="R2590" s="24" t="n">
        <v>6099.46146173764</v>
      </c>
      <c r="S2590" s="24">
        <f>R2590*IF(A2590=4, 2.0, 3.0)</f>
        <v/>
      </c>
      <c r="T2590" s="22">
        <f>'Dashboard &amp; Optimisation'!$B$18*U2590</f>
        <v/>
      </c>
      <c r="U2590" s="27">
        <f>MIN(1, S2590/M2590)</f>
        <v/>
      </c>
      <c r="V2590" s="27">
        <f>N2590/(N2590+O2590)</f>
        <v/>
      </c>
      <c r="W2590" s="27">
        <f>U2590*V2590</f>
        <v/>
      </c>
      <c r="X2590" s="25">
        <f>T2590/N2590</f>
        <v/>
      </c>
      <c r="Y2590" s="28">
        <f>IF(W2590=MAXIFS(W$2:W$3601, A$2:A$3601, A2590, B$2:B$3601, B2590), "OPTIMAL", "")</f>
        <v/>
      </c>
    </row>
    <row r="2591" ht="20" customHeight="1">
      <c r="A2591" s="29" t="n">
        <v>-18</v>
      </c>
      <c r="B2591" s="29" t="n">
        <v>35</v>
      </c>
      <c r="C2591" s="30" t="n">
        <v>85</v>
      </c>
      <c r="D2591" s="30" t="n">
        <v>3</v>
      </c>
      <c r="E2591" s="6" t="n">
        <v>4</v>
      </c>
      <c r="F2591" s="30" t="n">
        <v>2</v>
      </c>
      <c r="G2591" s="6" t="inlineStr">
        <is>
          <t>Oui</t>
        </is>
      </c>
      <c r="H2591" s="6" t="inlineStr">
        <is>
          <t>OFF</t>
        </is>
      </c>
      <c r="I2591" s="31" t="n">
        <v>744.7528686370244</v>
      </c>
      <c r="J2591" s="31" t="n">
        <v>6550.668683077564</v>
      </c>
      <c r="K2591" s="31" t="n">
        <v>4222.222222222223</v>
      </c>
      <c r="L2591" s="31" t="n">
        <v>150</v>
      </c>
      <c r="M2591" s="31">
        <f>I2591+J2591+K2591+L2591</f>
        <v/>
      </c>
      <c r="N2591" s="31">
        <f>M2591*'Dashboard &amp; Optimisation'!$B$18/('Dashboard &amp; Optimisation'!$B$16/3.6)</f>
        <v/>
      </c>
      <c r="O2591" s="31" t="n">
        <v>1461.321061312574</v>
      </c>
      <c r="P2591" s="32" t="n">
        <v>0.3412849921114681</v>
      </c>
      <c r="Q2591" s="33" t="n">
        <v>10.76240845617261</v>
      </c>
      <c r="R2591" s="31" t="n">
        <v>1384.266252880957</v>
      </c>
      <c r="S2591" s="31">
        <f>R2591*IF(A2591=4, 2.0, 3.0)</f>
        <v/>
      </c>
      <c r="T2591" s="30">
        <f>'Dashboard &amp; Optimisation'!$B$18*U2591</f>
        <v/>
      </c>
      <c r="U2591" s="34">
        <f>MIN(1, S2591/M2591)</f>
        <v/>
      </c>
      <c r="V2591" s="34">
        <f>N2591/(N2591+O2591)</f>
        <v/>
      </c>
      <c r="W2591" s="34">
        <f>U2591*V2591</f>
        <v/>
      </c>
      <c r="X2591" s="32">
        <f>T2591/N2591</f>
        <v/>
      </c>
      <c r="Y2591" s="35">
        <f>IF(W2591=MAXIFS(W$2:W$3601, A$2:A$3601, A2591, B$2:B$3601, B2591), "OPTIMAL", "")</f>
        <v/>
      </c>
    </row>
    <row r="2592" ht="20" customHeight="1">
      <c r="A2592" s="21" t="n">
        <v>-18</v>
      </c>
      <c r="B2592" s="21" t="n">
        <v>35</v>
      </c>
      <c r="C2592" s="22" t="n">
        <v>85</v>
      </c>
      <c r="D2592" s="22" t="n">
        <v>3</v>
      </c>
      <c r="E2592" s="23" t="n">
        <v>4</v>
      </c>
      <c r="F2592" s="22" t="n">
        <v>2</v>
      </c>
      <c r="G2592" s="23" t="inlineStr">
        <is>
          <t>Non</t>
        </is>
      </c>
      <c r="H2592" s="23" t="inlineStr">
        <is>
          <t>ON</t>
        </is>
      </c>
      <c r="I2592" s="24" t="n">
        <v>744.7528686370244</v>
      </c>
      <c r="J2592" s="24" t="n">
        <v>6550.668683077564</v>
      </c>
      <c r="K2592" s="24" t="n">
        <v>4222.222222222223</v>
      </c>
      <c r="L2592" s="24" t="n">
        <v>150</v>
      </c>
      <c r="M2592" s="24">
        <f>I2592+J2592+K2592+L2592</f>
        <v/>
      </c>
      <c r="N2592" s="24">
        <f>M2592*'Dashboard &amp; Optimisation'!$B$18/('Dashboard &amp; Optimisation'!$B$16/3.6)</f>
        <v/>
      </c>
      <c r="O2592" s="24" t="n">
        <v>1461.321061312574</v>
      </c>
      <c r="P2592" s="25" t="n">
        <v>0.07370944162588064</v>
      </c>
      <c r="Q2592" s="26" t="n">
        <v>10.76240845617261</v>
      </c>
      <c r="R2592" s="24" t="n">
        <v>6409.345760513412</v>
      </c>
      <c r="S2592" s="24">
        <f>R2592*IF(A2592=4, 2.0, 3.0)</f>
        <v/>
      </c>
      <c r="T2592" s="22">
        <f>'Dashboard &amp; Optimisation'!$B$18*U2592</f>
        <v/>
      </c>
      <c r="U2592" s="27">
        <f>MIN(1, S2592/M2592)</f>
        <v/>
      </c>
      <c r="V2592" s="27">
        <f>N2592/(N2592+O2592)</f>
        <v/>
      </c>
      <c r="W2592" s="27">
        <f>U2592*V2592</f>
        <v/>
      </c>
      <c r="X2592" s="25">
        <f>T2592/N2592</f>
        <v/>
      </c>
      <c r="Y2592" s="28">
        <f>IF(W2592=MAXIFS(W$2:W$3601, A$2:A$3601, A2592, B$2:B$3601, B2592), "OPTIMAL", "")</f>
        <v/>
      </c>
    </row>
    <row r="2593" ht="20" customHeight="1">
      <c r="A2593" s="29" t="n">
        <v>-18</v>
      </c>
      <c r="B2593" s="29" t="n">
        <v>35</v>
      </c>
      <c r="C2593" s="30" t="n">
        <v>85</v>
      </c>
      <c r="D2593" s="30" t="n">
        <v>3</v>
      </c>
      <c r="E2593" s="6" t="n">
        <v>4</v>
      </c>
      <c r="F2593" s="30" t="n">
        <v>2</v>
      </c>
      <c r="G2593" s="6" t="inlineStr">
        <is>
          <t>Non</t>
        </is>
      </c>
      <c r="H2593" s="6" t="inlineStr">
        <is>
          <t>OFF</t>
        </is>
      </c>
      <c r="I2593" s="31" t="n">
        <v>744.7528686370244</v>
      </c>
      <c r="J2593" s="31" t="n">
        <v>6550.668683077564</v>
      </c>
      <c r="K2593" s="31" t="n">
        <v>4222.222222222223</v>
      </c>
      <c r="L2593" s="31" t="n">
        <v>150</v>
      </c>
      <c r="M2593" s="31">
        <f>I2593+J2593+K2593+L2593</f>
        <v/>
      </c>
      <c r="N2593" s="31">
        <f>M2593*'Dashboard &amp; Optimisation'!$B$18/('Dashboard &amp; Optimisation'!$B$16/3.6)</f>
        <v/>
      </c>
      <c r="O2593" s="31" t="n">
        <v>1461.321061312574</v>
      </c>
      <c r="P2593" s="32" t="n">
        <v>0.3375401699210706</v>
      </c>
      <c r="Q2593" s="33" t="n">
        <v>10.76240845617261</v>
      </c>
      <c r="R2593" s="31" t="n">
        <v>1399.623924183958</v>
      </c>
      <c r="S2593" s="31">
        <f>R2593*IF(A2593=4, 2.0, 3.0)</f>
        <v/>
      </c>
      <c r="T2593" s="30">
        <f>'Dashboard &amp; Optimisation'!$B$18*U2593</f>
        <v/>
      </c>
      <c r="U2593" s="34">
        <f>MIN(1, S2593/M2593)</f>
        <v/>
      </c>
      <c r="V2593" s="34">
        <f>N2593/(N2593+O2593)</f>
        <v/>
      </c>
      <c r="W2593" s="34">
        <f>U2593*V2593</f>
        <v/>
      </c>
      <c r="X2593" s="32">
        <f>T2593/N2593</f>
        <v/>
      </c>
      <c r="Y2593" s="35">
        <f>IF(W2593=MAXIFS(W$2:W$3601, A$2:A$3601, A2593, B$2:B$3601, B2593), "OPTIMAL", "")</f>
        <v/>
      </c>
    </row>
    <row r="2594" ht="20" customHeight="1">
      <c r="A2594" s="21" t="n">
        <v>-18</v>
      </c>
      <c r="B2594" s="21" t="n">
        <v>35</v>
      </c>
      <c r="C2594" s="22" t="n">
        <v>85</v>
      </c>
      <c r="D2594" s="22" t="n">
        <v>3</v>
      </c>
      <c r="E2594" s="23" t="n">
        <v>8</v>
      </c>
      <c r="F2594" s="22" t="n">
        <v>1.5</v>
      </c>
      <c r="G2594" s="23" t="inlineStr">
        <is>
          <t>Oui</t>
        </is>
      </c>
      <c r="H2594" s="23" t="inlineStr">
        <is>
          <t>ON</t>
        </is>
      </c>
      <c r="I2594" s="24" t="n">
        <v>744.7528686370244</v>
      </c>
      <c r="J2594" s="24" t="n">
        <v>6550.668683077564</v>
      </c>
      <c r="K2594" s="24" t="n">
        <v>4222.222222222223</v>
      </c>
      <c r="L2594" s="24" t="n">
        <v>150</v>
      </c>
      <c r="M2594" s="24">
        <f>I2594+J2594+K2594+L2594</f>
        <v/>
      </c>
      <c r="N2594" s="24">
        <f>M2594*'Dashboard &amp; Optimisation'!$B$18/('Dashboard &amp; Optimisation'!$B$16/3.6)</f>
        <v/>
      </c>
      <c r="O2594" s="24" t="n">
        <v>1746.573571369893</v>
      </c>
      <c r="P2594" s="25" t="n">
        <v>0.05973432874252066</v>
      </c>
      <c r="Q2594" s="26" t="n">
        <v>16.04361268425892</v>
      </c>
      <c r="R2594" s="24" t="n">
        <v>8129.887608268363</v>
      </c>
      <c r="S2594" s="24">
        <f>R2594*IF(A2594=4, 2.0, 3.0)</f>
        <v/>
      </c>
      <c r="T2594" s="22">
        <f>'Dashboard &amp; Optimisation'!$B$18*U2594</f>
        <v/>
      </c>
      <c r="U2594" s="27">
        <f>MIN(1, S2594/M2594)</f>
        <v/>
      </c>
      <c r="V2594" s="27">
        <f>N2594/(N2594+O2594)</f>
        <v/>
      </c>
      <c r="W2594" s="27">
        <f>U2594*V2594</f>
        <v/>
      </c>
      <c r="X2594" s="25">
        <f>T2594/N2594</f>
        <v/>
      </c>
      <c r="Y2594" s="28">
        <f>IF(W2594=MAXIFS(W$2:W$3601, A$2:A$3601, A2594, B$2:B$3601, B2594), "OPTIMAL", "")</f>
        <v/>
      </c>
    </row>
    <row r="2595" ht="20" customHeight="1">
      <c r="A2595" s="29" t="n">
        <v>-18</v>
      </c>
      <c r="B2595" s="29" t="n">
        <v>35</v>
      </c>
      <c r="C2595" s="30" t="n">
        <v>85</v>
      </c>
      <c r="D2595" s="30" t="n">
        <v>3</v>
      </c>
      <c r="E2595" s="6" t="n">
        <v>8</v>
      </c>
      <c r="F2595" s="30" t="n">
        <v>1.5</v>
      </c>
      <c r="G2595" s="6" t="inlineStr">
        <is>
          <t>Oui</t>
        </is>
      </c>
      <c r="H2595" s="6" t="inlineStr">
        <is>
          <t>OFF</t>
        </is>
      </c>
      <c r="I2595" s="31" t="n">
        <v>744.7528686370244</v>
      </c>
      <c r="J2595" s="31" t="n">
        <v>6550.668683077564</v>
      </c>
      <c r="K2595" s="31" t="n">
        <v>4222.222222222223</v>
      </c>
      <c r="L2595" s="31" t="n">
        <v>150</v>
      </c>
      <c r="M2595" s="31">
        <f>I2595+J2595+K2595+L2595</f>
        <v/>
      </c>
      <c r="N2595" s="31">
        <f>M2595*'Dashboard &amp; Optimisation'!$B$18/('Dashboard &amp; Optimisation'!$B$16/3.6)</f>
        <v/>
      </c>
      <c r="O2595" s="31" t="n">
        <v>1746.573571369893</v>
      </c>
      <c r="P2595" s="32" t="n">
        <v>0.2617453366738331</v>
      </c>
      <c r="Q2595" s="33" t="n">
        <v>16.04361268425892</v>
      </c>
      <c r="R2595" s="31" t="n">
        <v>1855.365926298073</v>
      </c>
      <c r="S2595" s="31">
        <f>R2595*IF(A2595=4, 2.0, 3.0)</f>
        <v/>
      </c>
      <c r="T2595" s="30">
        <f>'Dashboard &amp; Optimisation'!$B$18*U2595</f>
        <v/>
      </c>
      <c r="U2595" s="34">
        <f>MIN(1, S2595/M2595)</f>
        <v/>
      </c>
      <c r="V2595" s="34">
        <f>N2595/(N2595+O2595)</f>
        <v/>
      </c>
      <c r="W2595" s="34">
        <f>U2595*V2595</f>
        <v/>
      </c>
      <c r="X2595" s="32">
        <f>T2595/N2595</f>
        <v/>
      </c>
      <c r="Y2595" s="35">
        <f>IF(W2595=MAXIFS(W$2:W$3601, A$2:A$3601, A2595, B$2:B$3601, B2595), "OPTIMAL", "")</f>
        <v/>
      </c>
    </row>
    <row r="2596" ht="20" customHeight="1">
      <c r="A2596" s="21" t="n">
        <v>-18</v>
      </c>
      <c r="B2596" s="21" t="n">
        <v>35</v>
      </c>
      <c r="C2596" s="22" t="n">
        <v>85</v>
      </c>
      <c r="D2596" s="22" t="n">
        <v>3</v>
      </c>
      <c r="E2596" s="23" t="n">
        <v>8</v>
      </c>
      <c r="F2596" s="22" t="n">
        <v>1.5</v>
      </c>
      <c r="G2596" s="23" t="inlineStr">
        <is>
          <t>Non</t>
        </is>
      </c>
      <c r="H2596" s="23" t="inlineStr">
        <is>
          <t>ON</t>
        </is>
      </c>
      <c r="I2596" s="24" t="n">
        <v>744.7528686370244</v>
      </c>
      <c r="J2596" s="24" t="n">
        <v>6550.668683077564</v>
      </c>
      <c r="K2596" s="24" t="n">
        <v>4222.222222222223</v>
      </c>
      <c r="L2596" s="24" t="n">
        <v>150</v>
      </c>
      <c r="M2596" s="24">
        <f>I2596+J2596+K2596+L2596</f>
        <v/>
      </c>
      <c r="N2596" s="24">
        <f>M2596*'Dashboard &amp; Optimisation'!$B$18/('Dashboard &amp; Optimisation'!$B$16/3.6)</f>
        <v/>
      </c>
      <c r="O2596" s="24" t="n">
        <v>1746.573571369893</v>
      </c>
      <c r="P2596" s="25" t="n">
        <v>0.05598950655212312</v>
      </c>
      <c r="Q2596" s="26" t="n">
        <v>16.04361268425892</v>
      </c>
      <c r="R2596" s="24" t="n">
        <v>8673.649920096183</v>
      </c>
      <c r="S2596" s="24">
        <f>R2596*IF(A2596=4, 2.0, 3.0)</f>
        <v/>
      </c>
      <c r="T2596" s="22">
        <f>'Dashboard &amp; Optimisation'!$B$18*U2596</f>
        <v/>
      </c>
      <c r="U2596" s="27">
        <f>MIN(1, S2596/M2596)</f>
        <v/>
      </c>
      <c r="V2596" s="27">
        <f>N2596/(N2596+O2596)</f>
        <v/>
      </c>
      <c r="W2596" s="27">
        <f>U2596*V2596</f>
        <v/>
      </c>
      <c r="X2596" s="25">
        <f>T2596/N2596</f>
        <v/>
      </c>
      <c r="Y2596" s="28">
        <f>IF(W2596=MAXIFS(W$2:W$3601, A$2:A$3601, A2596, B$2:B$3601, B2596), "OPTIMAL", "")</f>
        <v/>
      </c>
    </row>
    <row r="2597" ht="20" customHeight="1">
      <c r="A2597" s="29" t="n">
        <v>-18</v>
      </c>
      <c r="B2597" s="29" t="n">
        <v>35</v>
      </c>
      <c r="C2597" s="30" t="n">
        <v>85</v>
      </c>
      <c r="D2597" s="30" t="n">
        <v>3</v>
      </c>
      <c r="E2597" s="6" t="n">
        <v>8</v>
      </c>
      <c r="F2597" s="30" t="n">
        <v>1.5</v>
      </c>
      <c r="G2597" s="6" t="inlineStr">
        <is>
          <t>Non</t>
        </is>
      </c>
      <c r="H2597" s="6" t="inlineStr">
        <is>
          <t>OFF</t>
        </is>
      </c>
      <c r="I2597" s="31" t="n">
        <v>744.7528686370244</v>
      </c>
      <c r="J2597" s="31" t="n">
        <v>6550.668683077564</v>
      </c>
      <c r="K2597" s="31" t="n">
        <v>4222.222222222223</v>
      </c>
      <c r="L2597" s="31" t="n">
        <v>150</v>
      </c>
      <c r="M2597" s="31">
        <f>I2597+J2597+K2597+L2597</f>
        <v/>
      </c>
      <c r="N2597" s="31">
        <f>M2597*'Dashboard &amp; Optimisation'!$B$18/('Dashboard &amp; Optimisation'!$B$16/3.6)</f>
        <v/>
      </c>
      <c r="O2597" s="31" t="n">
        <v>1746.573571369893</v>
      </c>
      <c r="P2597" s="32" t="n">
        <v>0.2580005144834356</v>
      </c>
      <c r="Q2597" s="33" t="n">
        <v>16.04361268425892</v>
      </c>
      <c r="R2597" s="31" t="n">
        <v>1882.296165200967</v>
      </c>
      <c r="S2597" s="31">
        <f>R2597*IF(A2597=4, 2.0, 3.0)</f>
        <v/>
      </c>
      <c r="T2597" s="30">
        <f>'Dashboard &amp; Optimisation'!$B$18*U2597</f>
        <v/>
      </c>
      <c r="U2597" s="34">
        <f>MIN(1, S2597/M2597)</f>
        <v/>
      </c>
      <c r="V2597" s="34">
        <f>N2597/(N2597+O2597)</f>
        <v/>
      </c>
      <c r="W2597" s="34">
        <f>U2597*V2597</f>
        <v/>
      </c>
      <c r="X2597" s="32">
        <f>T2597/N2597</f>
        <v/>
      </c>
      <c r="Y2597" s="35">
        <f>IF(W2597=MAXIFS(W$2:W$3601, A$2:A$3601, A2597, B$2:B$3601, B2597), "OPTIMAL", "")</f>
        <v/>
      </c>
    </row>
    <row r="2598" ht="20" customHeight="1">
      <c r="A2598" s="21" t="n">
        <v>-18</v>
      </c>
      <c r="B2598" s="21" t="n">
        <v>35</v>
      </c>
      <c r="C2598" s="22" t="n">
        <v>85</v>
      </c>
      <c r="D2598" s="22" t="n">
        <v>3</v>
      </c>
      <c r="E2598" s="23" t="n">
        <v>8</v>
      </c>
      <c r="F2598" s="22" t="n">
        <v>2</v>
      </c>
      <c r="G2598" s="23" t="inlineStr">
        <is>
          <t>Oui</t>
        </is>
      </c>
      <c r="H2598" s="23" t="inlineStr">
        <is>
          <t>ON</t>
        </is>
      </c>
      <c r="I2598" s="24" t="n">
        <v>744.7528686370244</v>
      </c>
      <c r="J2598" s="24" t="n">
        <v>6550.668683077564</v>
      </c>
      <c r="K2598" s="24" t="n">
        <v>4222.222222222223</v>
      </c>
      <c r="L2598" s="24" t="n">
        <v>150</v>
      </c>
      <c r="M2598" s="24">
        <f>I2598+J2598+K2598+L2598</f>
        <v/>
      </c>
      <c r="N2598" s="24">
        <f>M2598*'Dashboard &amp; Optimisation'!$B$18/('Dashboard &amp; Optimisation'!$B$16/3.6)</f>
        <v/>
      </c>
      <c r="O2598" s="24" t="n">
        <v>2048.229786455432</v>
      </c>
      <c r="P2598" s="25" t="n">
        <v>0.05880657801325698</v>
      </c>
      <c r="Q2598" s="26" t="n">
        <v>21.32481691234523</v>
      </c>
      <c r="R2598" s="24" t="n">
        <v>8495.593358484522</v>
      </c>
      <c r="S2598" s="24">
        <f>R2598*IF(A2598=4, 2.0, 3.0)</f>
        <v/>
      </c>
      <c r="T2598" s="22">
        <f>'Dashboard &amp; Optimisation'!$B$18*U2598</f>
        <v/>
      </c>
      <c r="U2598" s="27">
        <f>MIN(1, S2598/M2598)</f>
        <v/>
      </c>
      <c r="V2598" s="27">
        <f>N2598/(N2598+O2598)</f>
        <v/>
      </c>
      <c r="W2598" s="27">
        <f>U2598*V2598</f>
        <v/>
      </c>
      <c r="X2598" s="25">
        <f>T2598/N2598</f>
        <v/>
      </c>
      <c r="Y2598" s="28">
        <f>IF(W2598=MAXIFS(W$2:W$3601, A$2:A$3601, A2598, B$2:B$3601, B2598), "OPTIMAL", "")</f>
        <v/>
      </c>
    </row>
    <row r="2599" ht="20" customHeight="1">
      <c r="A2599" s="29" t="n">
        <v>-18</v>
      </c>
      <c r="B2599" s="29" t="n">
        <v>35</v>
      </c>
      <c r="C2599" s="30" t="n">
        <v>85</v>
      </c>
      <c r="D2599" s="30" t="n">
        <v>3</v>
      </c>
      <c r="E2599" s="6" t="n">
        <v>8</v>
      </c>
      <c r="F2599" s="30" t="n">
        <v>2</v>
      </c>
      <c r="G2599" s="6" t="inlineStr">
        <is>
          <t>Oui</t>
        </is>
      </c>
      <c r="H2599" s="6" t="inlineStr">
        <is>
          <t>OFF</t>
        </is>
      </c>
      <c r="I2599" s="31" t="n">
        <v>744.7528686370244</v>
      </c>
      <c r="J2599" s="31" t="n">
        <v>6550.668683077564</v>
      </c>
      <c r="K2599" s="31" t="n">
        <v>4222.222222222223</v>
      </c>
      <c r="L2599" s="31" t="n">
        <v>150</v>
      </c>
      <c r="M2599" s="31">
        <f>I2599+J2599+K2599+L2599</f>
        <v/>
      </c>
      <c r="N2599" s="31">
        <f>M2599*'Dashboard &amp; Optimisation'!$B$18/('Dashboard &amp; Optimisation'!$B$16/3.6)</f>
        <v/>
      </c>
      <c r="O2599" s="31" t="n">
        <v>2048.229786455432</v>
      </c>
      <c r="P2599" s="32" t="n">
        <v>0.2624608866531549</v>
      </c>
      <c r="Q2599" s="33" t="n">
        <v>21.32481691234523</v>
      </c>
      <c r="R2599" s="31" t="n">
        <v>1903.509433254528</v>
      </c>
      <c r="S2599" s="31">
        <f>R2599*IF(A2599=4, 2.0, 3.0)</f>
        <v/>
      </c>
      <c r="T2599" s="30">
        <f>'Dashboard &amp; Optimisation'!$B$18*U2599</f>
        <v/>
      </c>
      <c r="U2599" s="34">
        <f>MIN(1, S2599/M2599)</f>
        <v/>
      </c>
      <c r="V2599" s="34">
        <f>N2599/(N2599+O2599)</f>
        <v/>
      </c>
      <c r="W2599" s="34">
        <f>U2599*V2599</f>
        <v/>
      </c>
      <c r="X2599" s="32">
        <f>T2599/N2599</f>
        <v/>
      </c>
      <c r="Y2599" s="35">
        <f>IF(W2599=MAXIFS(W$2:W$3601, A$2:A$3601, A2599, B$2:B$3601, B2599), "OPTIMAL", "")</f>
        <v/>
      </c>
    </row>
    <row r="2600" ht="20" customHeight="1">
      <c r="A2600" s="21" t="n">
        <v>-18</v>
      </c>
      <c r="B2600" s="21" t="n">
        <v>35</v>
      </c>
      <c r="C2600" s="22" t="n">
        <v>85</v>
      </c>
      <c r="D2600" s="22" t="n">
        <v>3</v>
      </c>
      <c r="E2600" s="23" t="n">
        <v>8</v>
      </c>
      <c r="F2600" s="22" t="n">
        <v>2</v>
      </c>
      <c r="G2600" s="23" t="inlineStr">
        <is>
          <t>Non</t>
        </is>
      </c>
      <c r="H2600" s="23" t="inlineStr">
        <is>
          <t>ON</t>
        </is>
      </c>
      <c r="I2600" s="24" t="n">
        <v>744.7528686370244</v>
      </c>
      <c r="J2600" s="24" t="n">
        <v>6550.668683077564</v>
      </c>
      <c r="K2600" s="24" t="n">
        <v>4222.222222222223</v>
      </c>
      <c r="L2600" s="24" t="n">
        <v>150</v>
      </c>
      <c r="M2600" s="24">
        <f>I2600+J2600+K2600+L2600</f>
        <v/>
      </c>
      <c r="N2600" s="24">
        <f>M2600*'Dashboard &amp; Optimisation'!$B$18/('Dashboard &amp; Optimisation'!$B$16/3.6)</f>
        <v/>
      </c>
      <c r="O2600" s="24" t="n">
        <v>2048.229786455432</v>
      </c>
      <c r="P2600" s="25" t="n">
        <v>0.05506175582285944</v>
      </c>
      <c r="Q2600" s="26" t="n">
        <v>21.32481691234523</v>
      </c>
      <c r="R2600" s="24" t="n">
        <v>9073.389799117436</v>
      </c>
      <c r="S2600" s="24">
        <f>R2600*IF(A2600=4, 2.0, 3.0)</f>
        <v/>
      </c>
      <c r="T2600" s="22">
        <f>'Dashboard &amp; Optimisation'!$B$18*U2600</f>
        <v/>
      </c>
      <c r="U2600" s="27">
        <f>MIN(1, S2600/M2600)</f>
        <v/>
      </c>
      <c r="V2600" s="27">
        <f>N2600/(N2600+O2600)</f>
        <v/>
      </c>
      <c r="W2600" s="27">
        <f>U2600*V2600</f>
        <v/>
      </c>
      <c r="X2600" s="25">
        <f>T2600/N2600</f>
        <v/>
      </c>
      <c r="Y2600" s="28">
        <f>IF(W2600=MAXIFS(W$2:W$3601, A$2:A$3601, A2600, B$2:B$3601, B2600), "OPTIMAL", "")</f>
        <v/>
      </c>
    </row>
    <row r="2601" ht="20" customHeight="1">
      <c r="A2601" s="29" t="n">
        <v>-18</v>
      </c>
      <c r="B2601" s="29" t="n">
        <v>35</v>
      </c>
      <c r="C2601" s="30" t="n">
        <v>85</v>
      </c>
      <c r="D2601" s="30" t="n">
        <v>3</v>
      </c>
      <c r="E2601" s="6" t="n">
        <v>8</v>
      </c>
      <c r="F2601" s="30" t="n">
        <v>2</v>
      </c>
      <c r="G2601" s="6" t="inlineStr">
        <is>
          <t>Non</t>
        </is>
      </c>
      <c r="H2601" s="6" t="inlineStr">
        <is>
          <t>OFF</t>
        </is>
      </c>
      <c r="I2601" s="31" t="n">
        <v>744.7528686370244</v>
      </c>
      <c r="J2601" s="31" t="n">
        <v>6550.668683077564</v>
      </c>
      <c r="K2601" s="31" t="n">
        <v>4222.222222222223</v>
      </c>
      <c r="L2601" s="31" t="n">
        <v>150</v>
      </c>
      <c r="M2601" s="31">
        <f>I2601+J2601+K2601+L2601</f>
        <v/>
      </c>
      <c r="N2601" s="31">
        <f>M2601*'Dashboard &amp; Optimisation'!$B$18/('Dashboard &amp; Optimisation'!$B$16/3.6)</f>
        <v/>
      </c>
      <c r="O2601" s="31" t="n">
        <v>2048.229786455432</v>
      </c>
      <c r="P2601" s="32" t="n">
        <v>0.2587160644627574</v>
      </c>
      <c r="Q2601" s="33" t="n">
        <v>21.32481691234523</v>
      </c>
      <c r="R2601" s="31" t="n">
        <v>1931.062049208567</v>
      </c>
      <c r="S2601" s="31">
        <f>R2601*IF(A2601=4, 2.0, 3.0)</f>
        <v/>
      </c>
      <c r="T2601" s="30">
        <f>'Dashboard &amp; Optimisation'!$B$18*U2601</f>
        <v/>
      </c>
      <c r="U2601" s="34">
        <f>MIN(1, S2601/M2601)</f>
        <v/>
      </c>
      <c r="V2601" s="34">
        <f>N2601/(N2601+O2601)</f>
        <v/>
      </c>
      <c r="W2601" s="34">
        <f>U2601*V2601</f>
        <v/>
      </c>
      <c r="X2601" s="32">
        <f>T2601/N2601</f>
        <v/>
      </c>
      <c r="Y2601" s="35">
        <f>IF(W2601=MAXIFS(W$2:W$3601, A$2:A$3601, A2601, B$2:B$3601, B2601), "OPTIMAL", "")</f>
        <v/>
      </c>
    </row>
    <row r="2602" ht="20" customHeight="1">
      <c r="A2602" s="21" t="n">
        <v>-18</v>
      </c>
      <c r="B2602" s="21" t="n">
        <v>35</v>
      </c>
      <c r="C2602" s="22" t="n">
        <v>90</v>
      </c>
      <c r="D2602" s="22" t="n">
        <v>2</v>
      </c>
      <c r="E2602" s="23" t="n">
        <v>0</v>
      </c>
      <c r="F2602" s="22" t="n">
        <v>0</v>
      </c>
      <c r="G2602" s="23" t="inlineStr">
        <is>
          <t>Oui</t>
        </is>
      </c>
      <c r="H2602" s="23" t="inlineStr">
        <is>
          <t>ON</t>
        </is>
      </c>
      <c r="I2602" s="24" t="n">
        <v>744.7528686370244</v>
      </c>
      <c r="J2602" s="24" t="n">
        <v>6550.668683077564</v>
      </c>
      <c r="K2602" s="24" t="n">
        <v>4222.222222222223</v>
      </c>
      <c r="L2602" s="24" t="n">
        <v>150</v>
      </c>
      <c r="M2602" s="24">
        <f>I2602+J2602+K2602+L2602</f>
        <v/>
      </c>
      <c r="N2602" s="24">
        <f>M2602*'Dashboard &amp; Optimisation'!$B$18/('Dashboard &amp; Optimisation'!$B$16/3.6)</f>
        <v/>
      </c>
      <c r="O2602" s="24" t="n">
        <v>564.4477405401741</v>
      </c>
      <c r="P2602" s="25" t="n">
        <v>0.4898788424939614</v>
      </c>
      <c r="Q2602" s="26" t="n">
        <v>0.2</v>
      </c>
      <c r="R2602" s="24" t="n">
        <v>771.8070677194204</v>
      </c>
      <c r="S2602" s="24">
        <f>R2602*IF(A2602=4, 2.0, 3.0)</f>
        <v/>
      </c>
      <c r="T2602" s="22">
        <f>'Dashboard &amp; Optimisation'!$B$18*U2602</f>
        <v/>
      </c>
      <c r="U2602" s="27">
        <f>MIN(1, S2602/M2602)</f>
        <v/>
      </c>
      <c r="V2602" s="27">
        <f>N2602/(N2602+O2602)</f>
        <v/>
      </c>
      <c r="W2602" s="27">
        <f>U2602*V2602</f>
        <v/>
      </c>
      <c r="X2602" s="25">
        <f>T2602/N2602</f>
        <v/>
      </c>
      <c r="Y2602" s="28">
        <f>IF(W2602=MAXIFS(W$2:W$3601, A$2:A$3601, A2602, B$2:B$3601, B2602), "OPTIMAL", "")</f>
        <v/>
      </c>
    </row>
    <row r="2603" ht="20" customHeight="1">
      <c r="A2603" s="29" t="n">
        <v>-18</v>
      </c>
      <c r="B2603" s="29" t="n">
        <v>35</v>
      </c>
      <c r="C2603" s="30" t="n">
        <v>90</v>
      </c>
      <c r="D2603" s="30" t="n">
        <v>2</v>
      </c>
      <c r="E2603" s="6" t="n">
        <v>0</v>
      </c>
      <c r="F2603" s="30" t="n">
        <v>0</v>
      </c>
      <c r="G2603" s="6" t="inlineStr">
        <is>
          <t>Oui</t>
        </is>
      </c>
      <c r="H2603" s="6" t="inlineStr">
        <is>
          <t>OFF</t>
        </is>
      </c>
      <c r="I2603" s="31" t="n">
        <v>744.7528686370244</v>
      </c>
      <c r="J2603" s="31" t="n">
        <v>6550.668683077564</v>
      </c>
      <c r="K2603" s="31" t="n">
        <v>4222.222222222223</v>
      </c>
      <c r="L2603" s="31" t="n">
        <v>150</v>
      </c>
      <c r="M2603" s="31">
        <f>I2603+J2603+K2603+L2603</f>
        <v/>
      </c>
      <c r="N2603" s="31">
        <f>M2603*'Dashboard &amp; Optimisation'!$B$18/('Dashboard &amp; Optimisation'!$B$16/3.6)</f>
        <v/>
      </c>
      <c r="O2603" s="31" t="n">
        <v>564.4477405401741</v>
      </c>
      <c r="P2603" s="32" t="n">
        <v>0.8435564938092843</v>
      </c>
      <c r="Q2603" s="33" t="n">
        <v>0.2</v>
      </c>
      <c r="R2603" s="31" t="n">
        <v>448.2117744784135</v>
      </c>
      <c r="S2603" s="31">
        <f>R2603*IF(A2603=4, 2.0, 3.0)</f>
        <v/>
      </c>
      <c r="T2603" s="30">
        <f>'Dashboard &amp; Optimisation'!$B$18*U2603</f>
        <v/>
      </c>
      <c r="U2603" s="34">
        <f>MIN(1, S2603/M2603)</f>
        <v/>
      </c>
      <c r="V2603" s="34">
        <f>N2603/(N2603+O2603)</f>
        <v/>
      </c>
      <c r="W2603" s="34">
        <f>U2603*V2603</f>
        <v/>
      </c>
      <c r="X2603" s="32">
        <f>T2603/N2603</f>
        <v/>
      </c>
      <c r="Y2603" s="35">
        <f>IF(W2603=MAXIFS(W$2:W$3601, A$2:A$3601, A2603, B$2:B$3601, B2603), "OPTIMAL", "")</f>
        <v/>
      </c>
    </row>
    <row r="2604" ht="20" customHeight="1">
      <c r="A2604" s="21" t="n">
        <v>-18</v>
      </c>
      <c r="B2604" s="21" t="n">
        <v>35</v>
      </c>
      <c r="C2604" s="22" t="n">
        <v>90</v>
      </c>
      <c r="D2604" s="22" t="n">
        <v>2</v>
      </c>
      <c r="E2604" s="23" t="n">
        <v>0</v>
      </c>
      <c r="F2604" s="22" t="n">
        <v>0</v>
      </c>
      <c r="G2604" s="23" t="inlineStr">
        <is>
          <t>Non</t>
        </is>
      </c>
      <c r="H2604" s="23" t="inlineStr">
        <is>
          <t>ON</t>
        </is>
      </c>
      <c r="I2604" s="24" t="n">
        <v>744.7528686370244</v>
      </c>
      <c r="J2604" s="24" t="n">
        <v>6550.668683077564</v>
      </c>
      <c r="K2604" s="24" t="n">
        <v>4222.222222222223</v>
      </c>
      <c r="L2604" s="24" t="n">
        <v>150</v>
      </c>
      <c r="M2604" s="24">
        <f>I2604+J2604+K2604+L2604</f>
        <v/>
      </c>
      <c r="N2604" s="24">
        <f>M2604*'Dashboard &amp; Optimisation'!$B$18/('Dashboard &amp; Optimisation'!$B$16/3.6)</f>
        <v/>
      </c>
      <c r="O2604" s="24" t="n">
        <v>564.4477405401741</v>
      </c>
      <c r="P2604" s="25" t="n">
        <v>0.4863420659808082</v>
      </c>
      <c r="Q2604" s="26" t="n">
        <v>0.2</v>
      </c>
      <c r="R2604" s="24" t="n">
        <v>777.4198026661511</v>
      </c>
      <c r="S2604" s="24">
        <f>R2604*IF(A2604=4, 2.0, 3.0)</f>
        <v/>
      </c>
      <c r="T2604" s="22">
        <f>'Dashboard &amp; Optimisation'!$B$18*U2604</f>
        <v/>
      </c>
      <c r="U2604" s="27">
        <f>MIN(1, S2604/M2604)</f>
        <v/>
      </c>
      <c r="V2604" s="27">
        <f>N2604/(N2604+O2604)</f>
        <v/>
      </c>
      <c r="W2604" s="27">
        <f>U2604*V2604</f>
        <v/>
      </c>
      <c r="X2604" s="25">
        <f>T2604/N2604</f>
        <v/>
      </c>
      <c r="Y2604" s="28">
        <f>IF(W2604=MAXIFS(W$2:W$3601, A$2:A$3601, A2604, B$2:B$3601, B2604), "OPTIMAL", "")</f>
        <v/>
      </c>
    </row>
    <row r="2605" ht="20" customHeight="1">
      <c r="A2605" s="29" t="n">
        <v>-18</v>
      </c>
      <c r="B2605" s="29" t="n">
        <v>35</v>
      </c>
      <c r="C2605" s="30" t="n">
        <v>90</v>
      </c>
      <c r="D2605" s="30" t="n">
        <v>2</v>
      </c>
      <c r="E2605" s="6" t="n">
        <v>0</v>
      </c>
      <c r="F2605" s="30" t="n">
        <v>0</v>
      </c>
      <c r="G2605" s="6" t="inlineStr">
        <is>
          <t>Non</t>
        </is>
      </c>
      <c r="H2605" s="6" t="inlineStr">
        <is>
          <t>OFF</t>
        </is>
      </c>
      <c r="I2605" s="31" t="n">
        <v>744.7528686370244</v>
      </c>
      <c r="J2605" s="31" t="n">
        <v>6550.668683077564</v>
      </c>
      <c r="K2605" s="31" t="n">
        <v>4222.222222222223</v>
      </c>
      <c r="L2605" s="31" t="n">
        <v>150</v>
      </c>
      <c r="M2605" s="31">
        <f>I2605+J2605+K2605+L2605</f>
        <v/>
      </c>
      <c r="N2605" s="31">
        <f>M2605*'Dashboard &amp; Optimisation'!$B$18/('Dashboard &amp; Optimisation'!$B$16/3.6)</f>
        <v/>
      </c>
      <c r="O2605" s="31" t="n">
        <v>564.4477405401741</v>
      </c>
      <c r="P2605" s="32" t="n">
        <v>0.8400197172961312</v>
      </c>
      <c r="Q2605" s="33" t="n">
        <v>0.2</v>
      </c>
      <c r="R2605" s="31" t="n">
        <v>450.0989026544002</v>
      </c>
      <c r="S2605" s="31">
        <f>R2605*IF(A2605=4, 2.0, 3.0)</f>
        <v/>
      </c>
      <c r="T2605" s="30">
        <f>'Dashboard &amp; Optimisation'!$B$18*U2605</f>
        <v/>
      </c>
      <c r="U2605" s="34">
        <f>MIN(1, S2605/M2605)</f>
        <v/>
      </c>
      <c r="V2605" s="34">
        <f>N2605/(N2605+O2605)</f>
        <v/>
      </c>
      <c r="W2605" s="34">
        <f>U2605*V2605</f>
        <v/>
      </c>
      <c r="X2605" s="32">
        <f>T2605/N2605</f>
        <v/>
      </c>
      <c r="Y2605" s="35">
        <f>IF(W2605=MAXIFS(W$2:W$3601, A$2:A$3601, A2605, B$2:B$3601, B2605), "OPTIMAL", "")</f>
        <v/>
      </c>
    </row>
    <row r="2606" ht="20" customHeight="1">
      <c r="A2606" s="21" t="n">
        <v>-18</v>
      </c>
      <c r="B2606" s="21" t="n">
        <v>35</v>
      </c>
      <c r="C2606" s="22" t="n">
        <v>90</v>
      </c>
      <c r="D2606" s="22" t="n">
        <v>2</v>
      </c>
      <c r="E2606" s="23" t="n">
        <v>4</v>
      </c>
      <c r="F2606" s="22" t="n">
        <v>1.5</v>
      </c>
      <c r="G2606" s="23" t="inlineStr">
        <is>
          <t>Oui</t>
        </is>
      </c>
      <c r="H2606" s="23" t="inlineStr">
        <is>
          <t>ON</t>
        </is>
      </c>
      <c r="I2606" s="24" t="n">
        <v>744.7528686370244</v>
      </c>
      <c r="J2606" s="24" t="n">
        <v>6550.668683077564</v>
      </c>
      <c r="K2606" s="24" t="n">
        <v>4222.222222222223</v>
      </c>
      <c r="L2606" s="24" t="n">
        <v>150</v>
      </c>
      <c r="M2606" s="24">
        <f>I2606+J2606+K2606+L2606</f>
        <v/>
      </c>
      <c r="N2606" s="24">
        <f>M2606*'Dashboard &amp; Optimisation'!$B$18/('Dashboard &amp; Optimisation'!$B$16/3.6)</f>
        <v/>
      </c>
      <c r="O2606" s="24" t="n">
        <v>898.9695957887778</v>
      </c>
      <c r="P2606" s="25" t="n">
        <v>0.07759354469391215</v>
      </c>
      <c r="Q2606" s="26" t="n">
        <v>7.477008151491015</v>
      </c>
      <c r="R2606" s="24" t="n">
        <v>5052.241934640863</v>
      </c>
      <c r="S2606" s="24">
        <f>R2606*IF(A2606=4, 2.0, 3.0)</f>
        <v/>
      </c>
      <c r="T2606" s="22">
        <f>'Dashboard &amp; Optimisation'!$B$18*U2606</f>
        <v/>
      </c>
      <c r="U2606" s="27">
        <f>MIN(1, S2606/M2606)</f>
        <v/>
      </c>
      <c r="V2606" s="27">
        <f>N2606/(N2606+O2606)</f>
        <v/>
      </c>
      <c r="W2606" s="27">
        <f>U2606*V2606</f>
        <v/>
      </c>
      <c r="X2606" s="25">
        <f>T2606/N2606</f>
        <v/>
      </c>
      <c r="Y2606" s="28">
        <f>IF(W2606=MAXIFS(W$2:W$3601, A$2:A$3601, A2606, B$2:B$3601, B2606), "OPTIMAL", "")</f>
        <v/>
      </c>
    </row>
    <row r="2607" ht="20" customHeight="1">
      <c r="A2607" s="29" t="n">
        <v>-18</v>
      </c>
      <c r="B2607" s="29" t="n">
        <v>35</v>
      </c>
      <c r="C2607" s="30" t="n">
        <v>90</v>
      </c>
      <c r="D2607" s="30" t="n">
        <v>2</v>
      </c>
      <c r="E2607" s="6" t="n">
        <v>4</v>
      </c>
      <c r="F2607" s="30" t="n">
        <v>1.5</v>
      </c>
      <c r="G2607" s="6" t="inlineStr">
        <is>
          <t>Oui</t>
        </is>
      </c>
      <c r="H2607" s="6" t="inlineStr">
        <is>
          <t>OFF</t>
        </is>
      </c>
      <c r="I2607" s="31" t="n">
        <v>744.7528686370244</v>
      </c>
      <c r="J2607" s="31" t="n">
        <v>6550.668683077564</v>
      </c>
      <c r="K2607" s="31" t="n">
        <v>4222.222222222223</v>
      </c>
      <c r="L2607" s="31" t="n">
        <v>150</v>
      </c>
      <c r="M2607" s="31">
        <f>I2607+J2607+K2607+L2607</f>
        <v/>
      </c>
      <c r="N2607" s="31">
        <f>M2607*'Dashboard &amp; Optimisation'!$B$18/('Dashboard &amp; Optimisation'!$B$16/3.6)</f>
        <v/>
      </c>
      <c r="O2607" s="31" t="n">
        <v>898.9695957887778</v>
      </c>
      <c r="P2607" s="32" t="n">
        <v>0.3296507660240217</v>
      </c>
      <c r="Q2607" s="33" t="n">
        <v>7.477008151491015</v>
      </c>
      <c r="R2607" s="31" t="n">
        <v>1189.202030646719</v>
      </c>
      <c r="S2607" s="31">
        <f>R2607*IF(A2607=4, 2.0, 3.0)</f>
        <v/>
      </c>
      <c r="T2607" s="30">
        <f>'Dashboard &amp; Optimisation'!$B$18*U2607</f>
        <v/>
      </c>
      <c r="U2607" s="34">
        <f>MIN(1, S2607/M2607)</f>
        <v/>
      </c>
      <c r="V2607" s="34">
        <f>N2607/(N2607+O2607)</f>
        <v/>
      </c>
      <c r="W2607" s="34">
        <f>U2607*V2607</f>
        <v/>
      </c>
      <c r="X2607" s="32">
        <f>T2607/N2607</f>
        <v/>
      </c>
      <c r="Y2607" s="35">
        <f>IF(W2607=MAXIFS(W$2:W$3601, A$2:A$3601, A2607, B$2:B$3601, B2607), "OPTIMAL", "")</f>
        <v/>
      </c>
    </row>
    <row r="2608" ht="20" customHeight="1">
      <c r="A2608" s="21" t="n">
        <v>-18</v>
      </c>
      <c r="B2608" s="21" t="n">
        <v>35</v>
      </c>
      <c r="C2608" s="22" t="n">
        <v>90</v>
      </c>
      <c r="D2608" s="22" t="n">
        <v>2</v>
      </c>
      <c r="E2608" s="23" t="n">
        <v>4</v>
      </c>
      <c r="F2608" s="22" t="n">
        <v>1.5</v>
      </c>
      <c r="G2608" s="23" t="inlineStr">
        <is>
          <t>Non</t>
        </is>
      </c>
      <c r="H2608" s="23" t="inlineStr">
        <is>
          <t>ON</t>
        </is>
      </c>
      <c r="I2608" s="24" t="n">
        <v>744.7528686370244</v>
      </c>
      <c r="J2608" s="24" t="n">
        <v>6550.668683077564</v>
      </c>
      <c r="K2608" s="24" t="n">
        <v>4222.222222222223</v>
      </c>
      <c r="L2608" s="24" t="n">
        <v>150</v>
      </c>
      <c r="M2608" s="24">
        <f>I2608+J2608+K2608+L2608</f>
        <v/>
      </c>
      <c r="N2608" s="24">
        <f>M2608*'Dashboard &amp; Optimisation'!$B$18/('Dashboard &amp; Optimisation'!$B$16/3.6)</f>
        <v/>
      </c>
      <c r="O2608" s="24" t="n">
        <v>898.9695957887778</v>
      </c>
      <c r="P2608" s="25" t="n">
        <v>0.07405676818075892</v>
      </c>
      <c r="Q2608" s="26" t="n">
        <v>7.477008151491015</v>
      </c>
      <c r="R2608" s="24" t="n">
        <v>5293.525088796221</v>
      </c>
      <c r="S2608" s="24">
        <f>R2608*IF(A2608=4, 2.0, 3.0)</f>
        <v/>
      </c>
      <c r="T2608" s="22">
        <f>'Dashboard &amp; Optimisation'!$B$18*U2608</f>
        <v/>
      </c>
      <c r="U2608" s="27">
        <f>MIN(1, S2608/M2608)</f>
        <v/>
      </c>
      <c r="V2608" s="27">
        <f>N2608/(N2608+O2608)</f>
        <v/>
      </c>
      <c r="W2608" s="27">
        <f>U2608*V2608</f>
        <v/>
      </c>
      <c r="X2608" s="25">
        <f>T2608/N2608</f>
        <v/>
      </c>
      <c r="Y2608" s="28">
        <f>IF(W2608=MAXIFS(W$2:W$3601, A$2:A$3601, A2608, B$2:B$3601, B2608), "OPTIMAL", "")</f>
        <v/>
      </c>
    </row>
    <row r="2609" ht="20" customHeight="1">
      <c r="A2609" s="29" t="n">
        <v>-18</v>
      </c>
      <c r="B2609" s="29" t="n">
        <v>35</v>
      </c>
      <c r="C2609" s="30" t="n">
        <v>90</v>
      </c>
      <c r="D2609" s="30" t="n">
        <v>2</v>
      </c>
      <c r="E2609" s="6" t="n">
        <v>4</v>
      </c>
      <c r="F2609" s="30" t="n">
        <v>1.5</v>
      </c>
      <c r="G2609" s="6" t="inlineStr">
        <is>
          <t>Non</t>
        </is>
      </c>
      <c r="H2609" s="6" t="inlineStr">
        <is>
          <t>OFF</t>
        </is>
      </c>
      <c r="I2609" s="31" t="n">
        <v>744.7528686370244</v>
      </c>
      <c r="J2609" s="31" t="n">
        <v>6550.668683077564</v>
      </c>
      <c r="K2609" s="31" t="n">
        <v>4222.222222222223</v>
      </c>
      <c r="L2609" s="31" t="n">
        <v>150</v>
      </c>
      <c r="M2609" s="31">
        <f>I2609+J2609+K2609+L2609</f>
        <v/>
      </c>
      <c r="N2609" s="31">
        <f>M2609*'Dashboard &amp; Optimisation'!$B$18/('Dashboard &amp; Optimisation'!$B$16/3.6)</f>
        <v/>
      </c>
      <c r="O2609" s="31" t="n">
        <v>898.9695957887778</v>
      </c>
      <c r="P2609" s="32" t="n">
        <v>0.3261139895108685</v>
      </c>
      <c r="Q2609" s="33" t="n">
        <v>7.477008151491015</v>
      </c>
      <c r="R2609" s="31" t="n">
        <v>1202.099183012656</v>
      </c>
      <c r="S2609" s="31">
        <f>R2609*IF(A2609=4, 2.0, 3.0)</f>
        <v/>
      </c>
      <c r="T2609" s="30">
        <f>'Dashboard &amp; Optimisation'!$B$18*U2609</f>
        <v/>
      </c>
      <c r="U2609" s="34">
        <f>MIN(1, S2609/M2609)</f>
        <v/>
      </c>
      <c r="V2609" s="34">
        <f>N2609/(N2609+O2609)</f>
        <v/>
      </c>
      <c r="W2609" s="34">
        <f>U2609*V2609</f>
        <v/>
      </c>
      <c r="X2609" s="32">
        <f>T2609/N2609</f>
        <v/>
      </c>
      <c r="Y2609" s="35">
        <f>IF(W2609=MAXIFS(W$2:W$3601, A$2:A$3601, A2609, B$2:B$3601, B2609), "OPTIMAL", "")</f>
        <v/>
      </c>
    </row>
    <row r="2610" ht="20" customHeight="1">
      <c r="A2610" s="21" t="n">
        <v>-18</v>
      </c>
      <c r="B2610" s="21" t="n">
        <v>35</v>
      </c>
      <c r="C2610" s="22" t="n">
        <v>90</v>
      </c>
      <c r="D2610" s="22" t="n">
        <v>2</v>
      </c>
      <c r="E2610" s="23" t="n">
        <v>4</v>
      </c>
      <c r="F2610" s="22" t="n">
        <v>2</v>
      </c>
      <c r="G2610" s="23" t="inlineStr">
        <is>
          <t>Oui</t>
        </is>
      </c>
      <c r="H2610" s="23" t="inlineStr">
        <is>
          <t>ON</t>
        </is>
      </c>
      <c r="I2610" s="24" t="n">
        <v>744.7528686370244</v>
      </c>
      <c r="J2610" s="24" t="n">
        <v>6550.668683077564</v>
      </c>
      <c r="K2610" s="24" t="n">
        <v>4222.222222222223</v>
      </c>
      <c r="L2610" s="24" t="n">
        <v>150</v>
      </c>
      <c r="M2610" s="24">
        <f>I2610+J2610+K2610+L2610</f>
        <v/>
      </c>
      <c r="N2610" s="24">
        <f>M2610*'Dashboard &amp; Optimisation'!$B$18/('Dashboard &amp; Optimisation'!$B$16/3.6)</f>
        <v/>
      </c>
      <c r="O2610" s="24" t="n">
        <v>1016.022416896078</v>
      </c>
      <c r="P2610" s="25" t="n">
        <v>0.07521841927673642</v>
      </c>
      <c r="Q2610" s="26" t="n">
        <v>9.902677535321354</v>
      </c>
      <c r="R2610" s="24" t="n">
        <v>5276.572078025411</v>
      </c>
      <c r="S2610" s="24">
        <f>R2610*IF(A2610=4, 2.0, 3.0)</f>
        <v/>
      </c>
      <c r="T2610" s="22">
        <f>'Dashboard &amp; Optimisation'!$B$18*U2610</f>
        <v/>
      </c>
      <c r="U2610" s="27">
        <f>MIN(1, S2610/M2610)</f>
        <v/>
      </c>
      <c r="V2610" s="27">
        <f>N2610/(N2610+O2610)</f>
        <v/>
      </c>
      <c r="W2610" s="27">
        <f>U2610*V2610</f>
        <v/>
      </c>
      <c r="X2610" s="25">
        <f>T2610/N2610</f>
        <v/>
      </c>
      <c r="Y2610" s="28">
        <f>IF(W2610=MAXIFS(W$2:W$3601, A$2:A$3601, A2610, B$2:B$3601, B2610), "OPTIMAL", "")</f>
        <v/>
      </c>
    </row>
    <row r="2611" ht="20" customHeight="1">
      <c r="A2611" s="29" t="n">
        <v>-18</v>
      </c>
      <c r="B2611" s="29" t="n">
        <v>35</v>
      </c>
      <c r="C2611" s="30" t="n">
        <v>90</v>
      </c>
      <c r="D2611" s="30" t="n">
        <v>2</v>
      </c>
      <c r="E2611" s="6" t="n">
        <v>4</v>
      </c>
      <c r="F2611" s="30" t="n">
        <v>2</v>
      </c>
      <c r="G2611" s="6" t="inlineStr">
        <is>
          <t>Oui</t>
        </is>
      </c>
      <c r="H2611" s="6" t="inlineStr">
        <is>
          <t>OFF</t>
        </is>
      </c>
      <c r="I2611" s="31" t="n">
        <v>744.7528686370244</v>
      </c>
      <c r="J2611" s="31" t="n">
        <v>6550.668683077564</v>
      </c>
      <c r="K2611" s="31" t="n">
        <v>4222.222222222223</v>
      </c>
      <c r="L2611" s="31" t="n">
        <v>150</v>
      </c>
      <c r="M2611" s="31">
        <f>I2611+J2611+K2611+L2611</f>
        <v/>
      </c>
      <c r="N2611" s="31">
        <f>M2611*'Dashboard &amp; Optimisation'!$B$18/('Dashboard &amp; Optimisation'!$B$16/3.6)</f>
        <v/>
      </c>
      <c r="O2611" s="31" t="n">
        <v>1016.022416896078</v>
      </c>
      <c r="P2611" s="32" t="n">
        <v>0.328550491855213</v>
      </c>
      <c r="Q2611" s="33" t="n">
        <v>9.902677535321354</v>
      </c>
      <c r="R2611" s="31" t="n">
        <v>1208.019530476738</v>
      </c>
      <c r="S2611" s="31">
        <f>R2611*IF(A2611=4, 2.0, 3.0)</f>
        <v/>
      </c>
      <c r="T2611" s="30">
        <f>'Dashboard &amp; Optimisation'!$B$18*U2611</f>
        <v/>
      </c>
      <c r="U2611" s="34">
        <f>MIN(1, S2611/M2611)</f>
        <v/>
      </c>
      <c r="V2611" s="34">
        <f>N2611/(N2611+O2611)</f>
        <v/>
      </c>
      <c r="W2611" s="34">
        <f>U2611*V2611</f>
        <v/>
      </c>
      <c r="X2611" s="32">
        <f>T2611/N2611</f>
        <v/>
      </c>
      <c r="Y2611" s="35">
        <f>IF(W2611=MAXIFS(W$2:W$3601, A$2:A$3601, A2611, B$2:B$3601, B2611), "OPTIMAL", "")</f>
        <v/>
      </c>
    </row>
    <row r="2612" ht="20" customHeight="1">
      <c r="A2612" s="21" t="n">
        <v>-18</v>
      </c>
      <c r="B2612" s="21" t="n">
        <v>35</v>
      </c>
      <c r="C2612" s="22" t="n">
        <v>90</v>
      </c>
      <c r="D2612" s="22" t="n">
        <v>2</v>
      </c>
      <c r="E2612" s="23" t="n">
        <v>4</v>
      </c>
      <c r="F2612" s="22" t="n">
        <v>2</v>
      </c>
      <c r="G2612" s="23" t="inlineStr">
        <is>
          <t>Non</t>
        </is>
      </c>
      <c r="H2612" s="23" t="inlineStr">
        <is>
          <t>ON</t>
        </is>
      </c>
      <c r="I2612" s="24" t="n">
        <v>744.7528686370244</v>
      </c>
      <c r="J2612" s="24" t="n">
        <v>6550.668683077564</v>
      </c>
      <c r="K2612" s="24" t="n">
        <v>4222.222222222223</v>
      </c>
      <c r="L2612" s="24" t="n">
        <v>150</v>
      </c>
      <c r="M2612" s="24">
        <f>I2612+J2612+K2612+L2612</f>
        <v/>
      </c>
      <c r="N2612" s="24">
        <f>M2612*'Dashboard &amp; Optimisation'!$B$18/('Dashboard &amp; Optimisation'!$B$16/3.6)</f>
        <v/>
      </c>
      <c r="O2612" s="24" t="n">
        <v>1016.022416896078</v>
      </c>
      <c r="P2612" s="25" t="n">
        <v>0.07168164276358319</v>
      </c>
      <c r="Q2612" s="26" t="n">
        <v>9.902677535321354</v>
      </c>
      <c r="R2612" s="24" t="n">
        <v>5536.918457879883</v>
      </c>
      <c r="S2612" s="24">
        <f>R2612*IF(A2612=4, 2.0, 3.0)</f>
        <v/>
      </c>
      <c r="T2612" s="22">
        <f>'Dashboard &amp; Optimisation'!$B$18*U2612</f>
        <v/>
      </c>
      <c r="U2612" s="27">
        <f>MIN(1, S2612/M2612)</f>
        <v/>
      </c>
      <c r="V2612" s="27">
        <f>N2612/(N2612+O2612)</f>
        <v/>
      </c>
      <c r="W2612" s="27">
        <f>U2612*V2612</f>
        <v/>
      </c>
      <c r="X2612" s="25">
        <f>T2612/N2612</f>
        <v/>
      </c>
      <c r="Y2612" s="28">
        <f>IF(W2612=MAXIFS(W$2:W$3601, A$2:A$3601, A2612, B$2:B$3601, B2612), "OPTIMAL", "")</f>
        <v/>
      </c>
    </row>
    <row r="2613" ht="20" customHeight="1">
      <c r="A2613" s="29" t="n">
        <v>-18</v>
      </c>
      <c r="B2613" s="29" t="n">
        <v>35</v>
      </c>
      <c r="C2613" s="30" t="n">
        <v>90</v>
      </c>
      <c r="D2613" s="30" t="n">
        <v>2</v>
      </c>
      <c r="E2613" s="6" t="n">
        <v>4</v>
      </c>
      <c r="F2613" s="30" t="n">
        <v>2</v>
      </c>
      <c r="G2613" s="6" t="inlineStr">
        <is>
          <t>Non</t>
        </is>
      </c>
      <c r="H2613" s="6" t="inlineStr">
        <is>
          <t>OFF</t>
        </is>
      </c>
      <c r="I2613" s="31" t="n">
        <v>744.7528686370244</v>
      </c>
      <c r="J2613" s="31" t="n">
        <v>6550.668683077564</v>
      </c>
      <c r="K2613" s="31" t="n">
        <v>4222.222222222223</v>
      </c>
      <c r="L2613" s="31" t="n">
        <v>150</v>
      </c>
      <c r="M2613" s="31">
        <f>I2613+J2613+K2613+L2613</f>
        <v/>
      </c>
      <c r="N2613" s="31">
        <f>M2613*'Dashboard &amp; Optimisation'!$B$18/('Dashboard &amp; Optimisation'!$B$16/3.6)</f>
        <v/>
      </c>
      <c r="O2613" s="31" t="n">
        <v>1016.022416896078</v>
      </c>
      <c r="P2613" s="32" t="n">
        <v>0.3250137153420598</v>
      </c>
      <c r="Q2613" s="33" t="n">
        <v>9.902677535321354</v>
      </c>
      <c r="R2613" s="31" t="n">
        <v>1221.165114497166</v>
      </c>
      <c r="S2613" s="31">
        <f>R2613*IF(A2613=4, 2.0, 3.0)</f>
        <v/>
      </c>
      <c r="T2613" s="30">
        <f>'Dashboard &amp; Optimisation'!$B$18*U2613</f>
        <v/>
      </c>
      <c r="U2613" s="34">
        <f>MIN(1, S2613/M2613)</f>
        <v/>
      </c>
      <c r="V2613" s="34">
        <f>N2613/(N2613+O2613)</f>
        <v/>
      </c>
      <c r="W2613" s="34">
        <f>U2613*V2613</f>
        <v/>
      </c>
      <c r="X2613" s="32">
        <f>T2613/N2613</f>
        <v/>
      </c>
      <c r="Y2613" s="35">
        <f>IF(W2613=MAXIFS(W$2:W$3601, A$2:A$3601, A2613, B$2:B$3601, B2613), "OPTIMAL", "")</f>
        <v/>
      </c>
    </row>
    <row r="2614" ht="20" customHeight="1">
      <c r="A2614" s="21" t="n">
        <v>-18</v>
      </c>
      <c r="B2614" s="21" t="n">
        <v>35</v>
      </c>
      <c r="C2614" s="22" t="n">
        <v>90</v>
      </c>
      <c r="D2614" s="22" t="n">
        <v>2</v>
      </c>
      <c r="E2614" s="23" t="n">
        <v>8</v>
      </c>
      <c r="F2614" s="22" t="n">
        <v>1.5</v>
      </c>
      <c r="G2614" s="23" t="inlineStr">
        <is>
          <t>Oui</t>
        </is>
      </c>
      <c r="H2614" s="23" t="inlineStr">
        <is>
          <t>ON</t>
        </is>
      </c>
      <c r="I2614" s="24" t="n">
        <v>744.7528686370244</v>
      </c>
      <c r="J2614" s="24" t="n">
        <v>6550.668683077564</v>
      </c>
      <c r="K2614" s="24" t="n">
        <v>4222.222222222223</v>
      </c>
      <c r="L2614" s="24" t="n">
        <v>150</v>
      </c>
      <c r="M2614" s="24">
        <f>I2614+J2614+K2614+L2614</f>
        <v/>
      </c>
      <c r="N2614" s="24">
        <f>M2614*'Dashboard &amp; Optimisation'!$B$18/('Dashboard &amp; Optimisation'!$B$16/3.6)</f>
        <v/>
      </c>
      <c r="O2614" s="24" t="n">
        <v>1259.082722087527</v>
      </c>
      <c r="P2614" s="25" t="n">
        <v>0.05835644876127537</v>
      </c>
      <c r="Q2614" s="26" t="n">
        <v>14.75401630298203</v>
      </c>
      <c r="R2614" s="24" t="n">
        <v>6974.659880783533</v>
      </c>
      <c r="S2614" s="24">
        <f>R2614*IF(A2614=4, 2.0, 3.0)</f>
        <v/>
      </c>
      <c r="T2614" s="22">
        <f>'Dashboard &amp; Optimisation'!$B$18*U2614</f>
        <v/>
      </c>
      <c r="U2614" s="27">
        <f>MIN(1, S2614/M2614)</f>
        <v/>
      </c>
      <c r="V2614" s="27">
        <f>N2614/(N2614+O2614)</f>
        <v/>
      </c>
      <c r="W2614" s="27">
        <f>U2614*V2614</f>
        <v/>
      </c>
      <c r="X2614" s="25">
        <f>T2614/N2614</f>
        <v/>
      </c>
      <c r="Y2614" s="28">
        <f>IF(W2614=MAXIFS(W$2:W$3601, A$2:A$3601, A2614, B$2:B$3601, B2614), "OPTIMAL", "")</f>
        <v/>
      </c>
    </row>
    <row r="2615" ht="20" customHeight="1">
      <c r="A2615" s="29" t="n">
        <v>-18</v>
      </c>
      <c r="B2615" s="29" t="n">
        <v>35</v>
      </c>
      <c r="C2615" s="30" t="n">
        <v>90</v>
      </c>
      <c r="D2615" s="30" t="n">
        <v>2</v>
      </c>
      <c r="E2615" s="6" t="n">
        <v>8</v>
      </c>
      <c r="F2615" s="30" t="n">
        <v>1.5</v>
      </c>
      <c r="G2615" s="6" t="inlineStr">
        <is>
          <t>Oui</t>
        </is>
      </c>
      <c r="H2615" s="6" t="inlineStr">
        <is>
          <t>OFF</t>
        </is>
      </c>
      <c r="I2615" s="31" t="n">
        <v>744.7528686370244</v>
      </c>
      <c r="J2615" s="31" t="n">
        <v>6550.668683077564</v>
      </c>
      <c r="K2615" s="31" t="n">
        <v>4222.222222222223</v>
      </c>
      <c r="L2615" s="31" t="n">
        <v>150</v>
      </c>
      <c r="M2615" s="31">
        <f>I2615+J2615+K2615+L2615</f>
        <v/>
      </c>
      <c r="N2615" s="31">
        <f>M2615*'Dashboard &amp; Optimisation'!$B$18/('Dashboard &amp; Optimisation'!$B$16/3.6)</f>
        <v/>
      </c>
      <c r="O2615" s="31" t="n">
        <v>1259.082722087527</v>
      </c>
      <c r="P2615" s="32" t="n">
        <v>0.2541545323509655</v>
      </c>
      <c r="Q2615" s="33" t="n">
        <v>14.75401630298203</v>
      </c>
      <c r="R2615" s="31" t="n">
        <v>1601.452384875091</v>
      </c>
      <c r="S2615" s="31">
        <f>R2615*IF(A2615=4, 2.0, 3.0)</f>
        <v/>
      </c>
      <c r="T2615" s="30">
        <f>'Dashboard &amp; Optimisation'!$B$18*U2615</f>
        <v/>
      </c>
      <c r="U2615" s="34">
        <f>MIN(1, S2615/M2615)</f>
        <v/>
      </c>
      <c r="V2615" s="34">
        <f>N2615/(N2615+O2615)</f>
        <v/>
      </c>
      <c r="W2615" s="34">
        <f>U2615*V2615</f>
        <v/>
      </c>
      <c r="X2615" s="32">
        <f>T2615/N2615</f>
        <v/>
      </c>
      <c r="Y2615" s="35">
        <f>IF(W2615=MAXIFS(W$2:W$3601, A$2:A$3601, A2615, B$2:B$3601, B2615), "OPTIMAL", "")</f>
        <v/>
      </c>
    </row>
    <row r="2616" ht="20" customHeight="1">
      <c r="A2616" s="21" t="n">
        <v>-18</v>
      </c>
      <c r="B2616" s="21" t="n">
        <v>35</v>
      </c>
      <c r="C2616" s="22" t="n">
        <v>90</v>
      </c>
      <c r="D2616" s="22" t="n">
        <v>2</v>
      </c>
      <c r="E2616" s="23" t="n">
        <v>8</v>
      </c>
      <c r="F2616" s="22" t="n">
        <v>1.5</v>
      </c>
      <c r="G2616" s="23" t="inlineStr">
        <is>
          <t>Non</t>
        </is>
      </c>
      <c r="H2616" s="23" t="inlineStr">
        <is>
          <t>ON</t>
        </is>
      </c>
      <c r="I2616" s="24" t="n">
        <v>744.7528686370244</v>
      </c>
      <c r="J2616" s="24" t="n">
        <v>6550.668683077564</v>
      </c>
      <c r="K2616" s="24" t="n">
        <v>4222.222222222223</v>
      </c>
      <c r="L2616" s="24" t="n">
        <v>150</v>
      </c>
      <c r="M2616" s="24">
        <f>I2616+J2616+K2616+L2616</f>
        <v/>
      </c>
      <c r="N2616" s="24">
        <f>M2616*'Dashboard &amp; Optimisation'!$B$18/('Dashboard &amp; Optimisation'!$B$16/3.6)</f>
        <v/>
      </c>
      <c r="O2616" s="24" t="n">
        <v>1259.082722087527</v>
      </c>
      <c r="P2616" s="25" t="n">
        <v>0.05481967224812215</v>
      </c>
      <c r="Q2616" s="26" t="n">
        <v>14.75401630298203</v>
      </c>
      <c r="R2616" s="24" t="n">
        <v>7424.64092302576</v>
      </c>
      <c r="S2616" s="24">
        <f>R2616*IF(A2616=4, 2.0, 3.0)</f>
        <v/>
      </c>
      <c r="T2616" s="22">
        <f>'Dashboard &amp; Optimisation'!$B$18*U2616</f>
        <v/>
      </c>
      <c r="U2616" s="27">
        <f>MIN(1, S2616/M2616)</f>
        <v/>
      </c>
      <c r="V2616" s="27">
        <f>N2616/(N2616+O2616)</f>
        <v/>
      </c>
      <c r="W2616" s="27">
        <f>U2616*V2616</f>
        <v/>
      </c>
      <c r="X2616" s="25">
        <f>T2616/N2616</f>
        <v/>
      </c>
      <c r="Y2616" s="28">
        <f>IF(W2616=MAXIFS(W$2:W$3601, A$2:A$3601, A2616, B$2:B$3601, B2616), "OPTIMAL", "")</f>
        <v/>
      </c>
    </row>
    <row r="2617" ht="20" customHeight="1">
      <c r="A2617" s="29" t="n">
        <v>-18</v>
      </c>
      <c r="B2617" s="29" t="n">
        <v>35</v>
      </c>
      <c r="C2617" s="30" t="n">
        <v>90</v>
      </c>
      <c r="D2617" s="30" t="n">
        <v>2</v>
      </c>
      <c r="E2617" s="6" t="n">
        <v>8</v>
      </c>
      <c r="F2617" s="30" t="n">
        <v>1.5</v>
      </c>
      <c r="G2617" s="6" t="inlineStr">
        <is>
          <t>Non</t>
        </is>
      </c>
      <c r="H2617" s="6" t="inlineStr">
        <is>
          <t>OFF</t>
        </is>
      </c>
      <c r="I2617" s="31" t="n">
        <v>744.7528686370244</v>
      </c>
      <c r="J2617" s="31" t="n">
        <v>6550.668683077564</v>
      </c>
      <c r="K2617" s="31" t="n">
        <v>4222.222222222223</v>
      </c>
      <c r="L2617" s="31" t="n">
        <v>150</v>
      </c>
      <c r="M2617" s="31">
        <f>I2617+J2617+K2617+L2617</f>
        <v/>
      </c>
      <c r="N2617" s="31">
        <f>M2617*'Dashboard &amp; Optimisation'!$B$18/('Dashboard &amp; Optimisation'!$B$16/3.6)</f>
        <v/>
      </c>
      <c r="O2617" s="31" t="n">
        <v>1259.082722087527</v>
      </c>
      <c r="P2617" s="32" t="n">
        <v>0.2506177558378123</v>
      </c>
      <c r="Q2617" s="33" t="n">
        <v>14.75401630298203</v>
      </c>
      <c r="R2617" s="31" t="n">
        <v>1624.052456297904</v>
      </c>
      <c r="S2617" s="31">
        <f>R2617*IF(A2617=4, 2.0, 3.0)</f>
        <v/>
      </c>
      <c r="T2617" s="30">
        <f>'Dashboard &amp; Optimisation'!$B$18*U2617</f>
        <v/>
      </c>
      <c r="U2617" s="34">
        <f>MIN(1, S2617/M2617)</f>
        <v/>
      </c>
      <c r="V2617" s="34">
        <f>N2617/(N2617+O2617)</f>
        <v/>
      </c>
      <c r="W2617" s="34">
        <f>U2617*V2617</f>
        <v/>
      </c>
      <c r="X2617" s="32">
        <f>T2617/N2617</f>
        <v/>
      </c>
      <c r="Y2617" s="35">
        <f>IF(W2617=MAXIFS(W$2:W$3601, A$2:A$3601, A2617, B$2:B$3601, B2617), "OPTIMAL", "")</f>
        <v/>
      </c>
    </row>
    <row r="2618" ht="20" customHeight="1">
      <c r="A2618" s="21" t="n">
        <v>-18</v>
      </c>
      <c r="B2618" s="21" t="n">
        <v>35</v>
      </c>
      <c r="C2618" s="22" t="n">
        <v>90</v>
      </c>
      <c r="D2618" s="22" t="n">
        <v>2</v>
      </c>
      <c r="E2618" s="23" t="n">
        <v>8</v>
      </c>
      <c r="F2618" s="22" t="n">
        <v>2</v>
      </c>
      <c r="G2618" s="23" t="inlineStr">
        <is>
          <t>Oui</t>
        </is>
      </c>
      <c r="H2618" s="23" t="inlineStr">
        <is>
          <t>ON</t>
        </is>
      </c>
      <c r="I2618" s="24" t="n">
        <v>744.7528686370244</v>
      </c>
      <c r="J2618" s="24" t="n">
        <v>6550.668683077564</v>
      </c>
      <c r="K2618" s="24" t="n">
        <v>4222.222222222223</v>
      </c>
      <c r="L2618" s="24" t="n">
        <v>150</v>
      </c>
      <c r="M2618" s="24">
        <f>I2618+J2618+K2618+L2618</f>
        <v/>
      </c>
      <c r="N2618" s="24">
        <f>M2618*'Dashboard &amp; Optimisation'!$B$18/('Dashboard &amp; Optimisation'!$B$16/3.6)</f>
        <v/>
      </c>
      <c r="O2618" s="24" t="n">
        <v>1514.863652320805</v>
      </c>
      <c r="P2618" s="25" t="n">
        <v>0.05730401653259074</v>
      </c>
      <c r="Q2618" s="26" t="n">
        <v>19.60535507064271</v>
      </c>
      <c r="R2618" s="24" t="n">
        <v>7288.617133108182</v>
      </c>
      <c r="S2618" s="24">
        <f>R2618*IF(A2618=4, 2.0, 3.0)</f>
        <v/>
      </c>
      <c r="T2618" s="22">
        <f>'Dashboard &amp; Optimisation'!$B$18*U2618</f>
        <v/>
      </c>
      <c r="U2618" s="27">
        <f>MIN(1, S2618/M2618)</f>
        <v/>
      </c>
      <c r="V2618" s="27">
        <f>N2618/(N2618+O2618)</f>
        <v/>
      </c>
      <c r="W2618" s="27">
        <f>U2618*V2618</f>
        <v/>
      </c>
      <c r="X2618" s="25">
        <f>T2618/N2618</f>
        <v/>
      </c>
      <c r="Y2618" s="28">
        <f>IF(W2618=MAXIFS(W$2:W$3601, A$2:A$3601, A2618, B$2:B$3601, B2618), "OPTIMAL", "")</f>
        <v/>
      </c>
    </row>
    <row r="2619" ht="20" customHeight="1">
      <c r="A2619" s="29" t="n">
        <v>-18</v>
      </c>
      <c r="B2619" s="29" t="n">
        <v>35</v>
      </c>
      <c r="C2619" s="30" t="n">
        <v>90</v>
      </c>
      <c r="D2619" s="30" t="n">
        <v>2</v>
      </c>
      <c r="E2619" s="6" t="n">
        <v>8</v>
      </c>
      <c r="F2619" s="30" t="n">
        <v>2</v>
      </c>
      <c r="G2619" s="6" t="inlineStr">
        <is>
          <t>Oui</t>
        </is>
      </c>
      <c r="H2619" s="6" t="inlineStr">
        <is>
          <t>OFF</t>
        </is>
      </c>
      <c r="I2619" s="31" t="n">
        <v>744.7528686370244</v>
      </c>
      <c r="J2619" s="31" t="n">
        <v>6550.668683077564</v>
      </c>
      <c r="K2619" s="31" t="n">
        <v>4222.222222222223</v>
      </c>
      <c r="L2619" s="31" t="n">
        <v>150</v>
      </c>
      <c r="M2619" s="31">
        <f>I2619+J2619+K2619+L2619</f>
        <v/>
      </c>
      <c r="N2619" s="31">
        <f>M2619*'Dashboard &amp; Optimisation'!$B$18/('Dashboard &amp; Optimisation'!$B$16/3.6)</f>
        <v/>
      </c>
      <c r="O2619" s="31" t="n">
        <v>1514.863652320805</v>
      </c>
      <c r="P2619" s="32" t="n">
        <v>0.2546454449662799</v>
      </c>
      <c r="Q2619" s="33" t="n">
        <v>19.60535507064271</v>
      </c>
      <c r="R2619" s="31" t="n">
        <v>1640.190488192957</v>
      </c>
      <c r="S2619" s="31">
        <f>R2619*IF(A2619=4, 2.0, 3.0)</f>
        <v/>
      </c>
      <c r="T2619" s="30">
        <f>'Dashboard &amp; Optimisation'!$B$18*U2619</f>
        <v/>
      </c>
      <c r="U2619" s="34">
        <f>MIN(1, S2619/M2619)</f>
        <v/>
      </c>
      <c r="V2619" s="34">
        <f>N2619/(N2619+O2619)</f>
        <v/>
      </c>
      <c r="W2619" s="34">
        <f>U2619*V2619</f>
        <v/>
      </c>
      <c r="X2619" s="32">
        <f>T2619/N2619</f>
        <v/>
      </c>
      <c r="Y2619" s="35">
        <f>IF(W2619=MAXIFS(W$2:W$3601, A$2:A$3601, A2619, B$2:B$3601, B2619), "OPTIMAL", "")</f>
        <v/>
      </c>
    </row>
    <row r="2620" ht="20" customHeight="1">
      <c r="A2620" s="21" t="n">
        <v>-18</v>
      </c>
      <c r="B2620" s="21" t="n">
        <v>35</v>
      </c>
      <c r="C2620" s="22" t="n">
        <v>90</v>
      </c>
      <c r="D2620" s="22" t="n">
        <v>2</v>
      </c>
      <c r="E2620" s="23" t="n">
        <v>8</v>
      </c>
      <c r="F2620" s="22" t="n">
        <v>2</v>
      </c>
      <c r="G2620" s="23" t="inlineStr">
        <is>
          <t>Non</t>
        </is>
      </c>
      <c r="H2620" s="23" t="inlineStr">
        <is>
          <t>ON</t>
        </is>
      </c>
      <c r="I2620" s="24" t="n">
        <v>744.7528686370244</v>
      </c>
      <c r="J2620" s="24" t="n">
        <v>6550.668683077564</v>
      </c>
      <c r="K2620" s="24" t="n">
        <v>4222.222222222223</v>
      </c>
      <c r="L2620" s="24" t="n">
        <v>150</v>
      </c>
      <c r="M2620" s="24">
        <f>I2620+J2620+K2620+L2620</f>
        <v/>
      </c>
      <c r="N2620" s="24">
        <f>M2620*'Dashboard &amp; Optimisation'!$B$18/('Dashboard &amp; Optimisation'!$B$16/3.6)</f>
        <v/>
      </c>
      <c r="O2620" s="24" t="n">
        <v>1514.863652320805</v>
      </c>
      <c r="P2620" s="25" t="n">
        <v>0.05376724001943751</v>
      </c>
      <c r="Q2620" s="26" t="n">
        <v>19.60535507064271</v>
      </c>
      <c r="R2620" s="24" t="n">
        <v>7768.057957677644</v>
      </c>
      <c r="S2620" s="24">
        <f>R2620*IF(A2620=4, 2.0, 3.0)</f>
        <v/>
      </c>
      <c r="T2620" s="22">
        <f>'Dashboard &amp; Optimisation'!$B$18*U2620</f>
        <v/>
      </c>
      <c r="U2620" s="27">
        <f>MIN(1, S2620/M2620)</f>
        <v/>
      </c>
      <c r="V2620" s="27">
        <f>N2620/(N2620+O2620)</f>
        <v/>
      </c>
      <c r="W2620" s="27">
        <f>U2620*V2620</f>
        <v/>
      </c>
      <c r="X2620" s="25">
        <f>T2620/N2620</f>
        <v/>
      </c>
      <c r="Y2620" s="28">
        <f>IF(W2620=MAXIFS(W$2:W$3601, A$2:A$3601, A2620, B$2:B$3601, B2620), "OPTIMAL", "")</f>
        <v/>
      </c>
    </row>
    <row r="2621" ht="20" customHeight="1">
      <c r="A2621" s="29" t="n">
        <v>-18</v>
      </c>
      <c r="B2621" s="29" t="n">
        <v>35</v>
      </c>
      <c r="C2621" s="30" t="n">
        <v>90</v>
      </c>
      <c r="D2621" s="30" t="n">
        <v>2</v>
      </c>
      <c r="E2621" s="6" t="n">
        <v>8</v>
      </c>
      <c r="F2621" s="30" t="n">
        <v>2</v>
      </c>
      <c r="G2621" s="6" t="inlineStr">
        <is>
          <t>Non</t>
        </is>
      </c>
      <c r="H2621" s="6" t="inlineStr">
        <is>
          <t>OFF</t>
        </is>
      </c>
      <c r="I2621" s="31" t="n">
        <v>744.7528686370244</v>
      </c>
      <c r="J2621" s="31" t="n">
        <v>6550.668683077564</v>
      </c>
      <c r="K2621" s="31" t="n">
        <v>4222.222222222223</v>
      </c>
      <c r="L2621" s="31" t="n">
        <v>150</v>
      </c>
      <c r="M2621" s="31">
        <f>I2621+J2621+K2621+L2621</f>
        <v/>
      </c>
      <c r="N2621" s="31">
        <f>M2621*'Dashboard &amp; Optimisation'!$B$18/('Dashboard &amp; Optimisation'!$B$16/3.6)</f>
        <v/>
      </c>
      <c r="O2621" s="31" t="n">
        <v>1514.863652320805</v>
      </c>
      <c r="P2621" s="32" t="n">
        <v>0.2511086684531266</v>
      </c>
      <c r="Q2621" s="33" t="n">
        <v>19.60535507064271</v>
      </c>
      <c r="R2621" s="31" t="n">
        <v>1663.291989353683</v>
      </c>
      <c r="S2621" s="31">
        <f>R2621*IF(A2621=4, 2.0, 3.0)</f>
        <v/>
      </c>
      <c r="T2621" s="30">
        <f>'Dashboard &amp; Optimisation'!$B$18*U2621</f>
        <v/>
      </c>
      <c r="U2621" s="34">
        <f>MIN(1, S2621/M2621)</f>
        <v/>
      </c>
      <c r="V2621" s="34">
        <f>N2621/(N2621+O2621)</f>
        <v/>
      </c>
      <c r="W2621" s="34">
        <f>U2621*V2621</f>
        <v/>
      </c>
      <c r="X2621" s="32">
        <f>T2621/N2621</f>
        <v/>
      </c>
      <c r="Y2621" s="35">
        <f>IF(W2621=MAXIFS(W$2:W$3601, A$2:A$3601, A2621, B$2:B$3601, B2621), "OPTIMAL", "")</f>
        <v/>
      </c>
    </row>
    <row r="2622" ht="20" customHeight="1">
      <c r="A2622" s="21" t="n">
        <v>-18</v>
      </c>
      <c r="B2622" s="21" t="n">
        <v>35</v>
      </c>
      <c r="C2622" s="22" t="n">
        <v>90</v>
      </c>
      <c r="D2622" s="22" t="n">
        <v>3</v>
      </c>
      <c r="E2622" s="23" t="n">
        <v>0</v>
      </c>
      <c r="F2622" s="22" t="n">
        <v>0</v>
      </c>
      <c r="G2622" s="23" t="inlineStr">
        <is>
          <t>Oui</t>
        </is>
      </c>
      <c r="H2622" s="23" t="inlineStr">
        <is>
          <t>ON</t>
        </is>
      </c>
      <c r="I2622" s="24" t="n">
        <v>744.7528686370244</v>
      </c>
      <c r="J2622" s="24" t="n">
        <v>6550.668683077564</v>
      </c>
      <c r="K2622" s="24" t="n">
        <v>4222.222222222223</v>
      </c>
      <c r="L2622" s="24" t="n">
        <v>150</v>
      </c>
      <c r="M2622" s="24">
        <f>I2622+J2622+K2622+L2622</f>
        <v/>
      </c>
      <c r="N2622" s="24">
        <f>M2622*'Dashboard &amp; Optimisation'!$B$18/('Dashboard &amp; Optimisation'!$B$16/3.6)</f>
        <v/>
      </c>
      <c r="O2622" s="24" t="n">
        <v>877.3844009596669</v>
      </c>
      <c r="P2622" s="25" t="n">
        <v>0.4898971107621382</v>
      </c>
      <c r="Q2622" s="26" t="n">
        <v>0.2</v>
      </c>
      <c r="R2622" s="24" t="n">
        <v>808.9671500630923</v>
      </c>
      <c r="S2622" s="24">
        <f>R2622*IF(A2622=4, 2.0, 3.0)</f>
        <v/>
      </c>
      <c r="T2622" s="22">
        <f>'Dashboard &amp; Optimisation'!$B$18*U2622</f>
        <v/>
      </c>
      <c r="U2622" s="27">
        <f>MIN(1, S2622/M2622)</f>
        <v/>
      </c>
      <c r="V2622" s="27">
        <f>N2622/(N2622+O2622)</f>
        <v/>
      </c>
      <c r="W2622" s="27">
        <f>U2622*V2622</f>
        <v/>
      </c>
      <c r="X2622" s="25">
        <f>T2622/N2622</f>
        <v/>
      </c>
      <c r="Y2622" s="28">
        <f>IF(W2622=MAXIFS(W$2:W$3601, A$2:A$3601, A2622, B$2:B$3601, B2622), "OPTIMAL", "")</f>
        <v/>
      </c>
    </row>
    <row r="2623" ht="20" customHeight="1">
      <c r="A2623" s="29" t="n">
        <v>-18</v>
      </c>
      <c r="B2623" s="29" t="n">
        <v>35</v>
      </c>
      <c r="C2623" s="30" t="n">
        <v>90</v>
      </c>
      <c r="D2623" s="30" t="n">
        <v>3</v>
      </c>
      <c r="E2623" s="6" t="n">
        <v>0</v>
      </c>
      <c r="F2623" s="30" t="n">
        <v>0</v>
      </c>
      <c r="G2623" s="6" t="inlineStr">
        <is>
          <t>Oui</t>
        </is>
      </c>
      <c r="H2623" s="6" t="inlineStr">
        <is>
          <t>OFF</t>
        </is>
      </c>
      <c r="I2623" s="31" t="n">
        <v>744.7528686370244</v>
      </c>
      <c r="J2623" s="31" t="n">
        <v>6550.668683077564</v>
      </c>
      <c r="K2623" s="31" t="n">
        <v>4222.222222222223</v>
      </c>
      <c r="L2623" s="31" t="n">
        <v>150</v>
      </c>
      <c r="M2623" s="31">
        <f>I2623+J2623+K2623+L2623</f>
        <v/>
      </c>
      <c r="N2623" s="31">
        <f>M2623*'Dashboard &amp; Optimisation'!$B$18/('Dashboard &amp; Optimisation'!$B$16/3.6)</f>
        <v/>
      </c>
      <c r="O2623" s="31" t="n">
        <v>877.3844009596669</v>
      </c>
      <c r="P2623" s="32" t="n">
        <v>0.8435747620774612</v>
      </c>
      <c r="Q2623" s="33" t="n">
        <v>0.2</v>
      </c>
      <c r="R2623" s="31" t="n">
        <v>469.7991065325385</v>
      </c>
      <c r="S2623" s="31">
        <f>R2623*IF(A2623=4, 2.0, 3.0)</f>
        <v/>
      </c>
      <c r="T2623" s="30">
        <f>'Dashboard &amp; Optimisation'!$B$18*U2623</f>
        <v/>
      </c>
      <c r="U2623" s="34">
        <f>MIN(1, S2623/M2623)</f>
        <v/>
      </c>
      <c r="V2623" s="34">
        <f>N2623/(N2623+O2623)</f>
        <v/>
      </c>
      <c r="W2623" s="34">
        <f>U2623*V2623</f>
        <v/>
      </c>
      <c r="X2623" s="32">
        <f>T2623/N2623</f>
        <v/>
      </c>
      <c r="Y2623" s="35">
        <f>IF(W2623=MAXIFS(W$2:W$3601, A$2:A$3601, A2623, B$2:B$3601, B2623), "OPTIMAL", "")</f>
        <v/>
      </c>
    </row>
    <row r="2624" ht="20" customHeight="1">
      <c r="A2624" s="21" t="n">
        <v>-18</v>
      </c>
      <c r="B2624" s="21" t="n">
        <v>35</v>
      </c>
      <c r="C2624" s="22" t="n">
        <v>90</v>
      </c>
      <c r="D2624" s="22" t="n">
        <v>3</v>
      </c>
      <c r="E2624" s="23" t="n">
        <v>0</v>
      </c>
      <c r="F2624" s="22" t="n">
        <v>0</v>
      </c>
      <c r="G2624" s="23" t="inlineStr">
        <is>
          <t>Non</t>
        </is>
      </c>
      <c r="H2624" s="23" t="inlineStr">
        <is>
          <t>ON</t>
        </is>
      </c>
      <c r="I2624" s="24" t="n">
        <v>744.7528686370244</v>
      </c>
      <c r="J2624" s="24" t="n">
        <v>6550.668683077564</v>
      </c>
      <c r="K2624" s="24" t="n">
        <v>4222.222222222223</v>
      </c>
      <c r="L2624" s="24" t="n">
        <v>150</v>
      </c>
      <c r="M2624" s="24">
        <f>I2624+J2624+K2624+L2624</f>
        <v/>
      </c>
      <c r="N2624" s="24">
        <f>M2624*'Dashboard &amp; Optimisation'!$B$18/('Dashboard &amp; Optimisation'!$B$16/3.6)</f>
        <v/>
      </c>
      <c r="O2624" s="24" t="n">
        <v>877.3844009596669</v>
      </c>
      <c r="P2624" s="25" t="n">
        <v>0.486360334248985</v>
      </c>
      <c r="Q2624" s="26" t="n">
        <v>0.2</v>
      </c>
      <c r="R2624" s="24" t="n">
        <v>814.8498995695331</v>
      </c>
      <c r="S2624" s="24">
        <f>R2624*IF(A2624=4, 2.0, 3.0)</f>
        <v/>
      </c>
      <c r="T2624" s="22">
        <f>'Dashboard &amp; Optimisation'!$B$18*U2624</f>
        <v/>
      </c>
      <c r="U2624" s="27">
        <f>MIN(1, S2624/M2624)</f>
        <v/>
      </c>
      <c r="V2624" s="27">
        <f>N2624/(N2624+O2624)</f>
        <v/>
      </c>
      <c r="W2624" s="27">
        <f>U2624*V2624</f>
        <v/>
      </c>
      <c r="X2624" s="25">
        <f>T2624/N2624</f>
        <v/>
      </c>
      <c r="Y2624" s="28">
        <f>IF(W2624=MAXIFS(W$2:W$3601, A$2:A$3601, A2624, B$2:B$3601, B2624), "OPTIMAL", "")</f>
        <v/>
      </c>
    </row>
    <row r="2625" ht="20" customHeight="1">
      <c r="A2625" s="29" t="n">
        <v>-18</v>
      </c>
      <c r="B2625" s="29" t="n">
        <v>35</v>
      </c>
      <c r="C2625" s="30" t="n">
        <v>90</v>
      </c>
      <c r="D2625" s="30" t="n">
        <v>3</v>
      </c>
      <c r="E2625" s="6" t="n">
        <v>0</v>
      </c>
      <c r="F2625" s="30" t="n">
        <v>0</v>
      </c>
      <c r="G2625" s="6" t="inlineStr">
        <is>
          <t>Non</t>
        </is>
      </c>
      <c r="H2625" s="6" t="inlineStr">
        <is>
          <t>OFF</t>
        </is>
      </c>
      <c r="I2625" s="31" t="n">
        <v>744.7528686370244</v>
      </c>
      <c r="J2625" s="31" t="n">
        <v>6550.668683077564</v>
      </c>
      <c r="K2625" s="31" t="n">
        <v>4222.222222222223</v>
      </c>
      <c r="L2625" s="31" t="n">
        <v>150</v>
      </c>
      <c r="M2625" s="31">
        <f>I2625+J2625+K2625+L2625</f>
        <v/>
      </c>
      <c r="N2625" s="31">
        <f>M2625*'Dashboard &amp; Optimisation'!$B$18/('Dashboard &amp; Optimisation'!$B$16/3.6)</f>
        <v/>
      </c>
      <c r="O2625" s="31" t="n">
        <v>877.3844009596669</v>
      </c>
      <c r="P2625" s="32" t="n">
        <v>0.840037985564308</v>
      </c>
      <c r="Q2625" s="33" t="n">
        <v>0.2</v>
      </c>
      <c r="R2625" s="31" t="n">
        <v>471.7770819032218</v>
      </c>
      <c r="S2625" s="31">
        <f>R2625*IF(A2625=4, 2.0, 3.0)</f>
        <v/>
      </c>
      <c r="T2625" s="30">
        <f>'Dashboard &amp; Optimisation'!$B$18*U2625</f>
        <v/>
      </c>
      <c r="U2625" s="34">
        <f>MIN(1, S2625/M2625)</f>
        <v/>
      </c>
      <c r="V2625" s="34">
        <f>N2625/(N2625+O2625)</f>
        <v/>
      </c>
      <c r="W2625" s="34">
        <f>U2625*V2625</f>
        <v/>
      </c>
      <c r="X2625" s="32">
        <f>T2625/N2625</f>
        <v/>
      </c>
      <c r="Y2625" s="35">
        <f>IF(W2625=MAXIFS(W$2:W$3601, A$2:A$3601, A2625, B$2:B$3601, B2625), "OPTIMAL", "")</f>
        <v/>
      </c>
    </row>
    <row r="2626" ht="20" customHeight="1">
      <c r="A2626" s="21" t="n">
        <v>-18</v>
      </c>
      <c r="B2626" s="21" t="n">
        <v>35</v>
      </c>
      <c r="C2626" s="22" t="n">
        <v>90</v>
      </c>
      <c r="D2626" s="22" t="n">
        <v>3</v>
      </c>
      <c r="E2626" s="23" t="n">
        <v>4</v>
      </c>
      <c r="F2626" s="22" t="n">
        <v>1.5</v>
      </c>
      <c r="G2626" s="23" t="inlineStr">
        <is>
          <t>Oui</t>
        </is>
      </c>
      <c r="H2626" s="23" t="inlineStr">
        <is>
          <t>ON</t>
        </is>
      </c>
      <c r="I2626" s="24" t="n">
        <v>744.7528686370244</v>
      </c>
      <c r="J2626" s="24" t="n">
        <v>6550.668683077564</v>
      </c>
      <c r="K2626" s="24" t="n">
        <v>4222.222222222223</v>
      </c>
      <c r="L2626" s="24" t="n">
        <v>150</v>
      </c>
      <c r="M2626" s="24">
        <f>I2626+J2626+K2626+L2626</f>
        <v/>
      </c>
      <c r="N2626" s="24">
        <f>M2626*'Dashboard &amp; Optimisation'!$B$18/('Dashboard &amp; Optimisation'!$B$16/3.6)</f>
        <v/>
      </c>
      <c r="O2626" s="24" t="n">
        <v>1234.309774879224</v>
      </c>
      <c r="P2626" s="25" t="n">
        <v>0.07737077298591719</v>
      </c>
      <c r="Q2626" s="26" t="n">
        <v>7.65027025033604</v>
      </c>
      <c r="R2626" s="24" t="n">
        <v>5315.599417197764</v>
      </c>
      <c r="S2626" s="24">
        <f>R2626*IF(A2626=4, 2.0, 3.0)</f>
        <v/>
      </c>
      <c r="T2626" s="22">
        <f>'Dashboard &amp; Optimisation'!$B$18*U2626</f>
        <v/>
      </c>
      <c r="U2626" s="27">
        <f>MIN(1, S2626/M2626)</f>
        <v/>
      </c>
      <c r="V2626" s="27">
        <f>N2626/(N2626+O2626)</f>
        <v/>
      </c>
      <c r="W2626" s="27">
        <f>U2626*V2626</f>
        <v/>
      </c>
      <c r="X2626" s="25">
        <f>T2626/N2626</f>
        <v/>
      </c>
      <c r="Y2626" s="28">
        <f>IF(W2626=MAXIFS(W$2:W$3601, A$2:A$3601, A2626, B$2:B$3601, B2626), "OPTIMAL", "")</f>
        <v/>
      </c>
    </row>
    <row r="2627" ht="20" customHeight="1">
      <c r="A2627" s="29" t="n">
        <v>-18</v>
      </c>
      <c r="B2627" s="29" t="n">
        <v>35</v>
      </c>
      <c r="C2627" s="30" t="n">
        <v>90</v>
      </c>
      <c r="D2627" s="30" t="n">
        <v>3</v>
      </c>
      <c r="E2627" s="6" t="n">
        <v>4</v>
      </c>
      <c r="F2627" s="30" t="n">
        <v>1.5</v>
      </c>
      <c r="G2627" s="6" t="inlineStr">
        <is>
          <t>Oui</t>
        </is>
      </c>
      <c r="H2627" s="6" t="inlineStr">
        <is>
          <t>OFF</t>
        </is>
      </c>
      <c r="I2627" s="31" t="n">
        <v>744.7528686370244</v>
      </c>
      <c r="J2627" s="31" t="n">
        <v>6550.668683077564</v>
      </c>
      <c r="K2627" s="31" t="n">
        <v>4222.222222222223</v>
      </c>
      <c r="L2627" s="31" t="n">
        <v>150</v>
      </c>
      <c r="M2627" s="31">
        <f>I2627+J2627+K2627+L2627</f>
        <v/>
      </c>
      <c r="N2627" s="31">
        <f>M2627*'Dashboard &amp; Optimisation'!$B$18/('Dashboard &amp; Optimisation'!$B$16/3.6)</f>
        <v/>
      </c>
      <c r="O2627" s="31" t="n">
        <v>1234.309774879224</v>
      </c>
      <c r="P2627" s="32" t="n">
        <v>0.3294279943160268</v>
      </c>
      <c r="Q2627" s="33" t="n">
        <v>7.65027025033604</v>
      </c>
      <c r="R2627" s="31" t="n">
        <v>1248.442885511243</v>
      </c>
      <c r="S2627" s="31">
        <f>R2627*IF(A2627=4, 2.0, 3.0)</f>
        <v/>
      </c>
      <c r="T2627" s="30">
        <f>'Dashboard &amp; Optimisation'!$B$18*U2627</f>
        <v/>
      </c>
      <c r="U2627" s="34">
        <f>MIN(1, S2627/M2627)</f>
        <v/>
      </c>
      <c r="V2627" s="34">
        <f>N2627/(N2627+O2627)</f>
        <v/>
      </c>
      <c r="W2627" s="34">
        <f>U2627*V2627</f>
        <v/>
      </c>
      <c r="X2627" s="32">
        <f>T2627/N2627</f>
        <v/>
      </c>
      <c r="Y2627" s="35">
        <f>IF(W2627=MAXIFS(W$2:W$3601, A$2:A$3601, A2627, B$2:B$3601, B2627), "OPTIMAL", "")</f>
        <v/>
      </c>
    </row>
    <row r="2628" ht="20" customHeight="1">
      <c r="A2628" s="21" t="n">
        <v>-18</v>
      </c>
      <c r="B2628" s="21" t="n">
        <v>35</v>
      </c>
      <c r="C2628" s="22" t="n">
        <v>90</v>
      </c>
      <c r="D2628" s="22" t="n">
        <v>3</v>
      </c>
      <c r="E2628" s="23" t="n">
        <v>4</v>
      </c>
      <c r="F2628" s="22" t="n">
        <v>1.5</v>
      </c>
      <c r="G2628" s="23" t="inlineStr">
        <is>
          <t>Non</t>
        </is>
      </c>
      <c r="H2628" s="23" t="inlineStr">
        <is>
          <t>ON</t>
        </is>
      </c>
      <c r="I2628" s="24" t="n">
        <v>744.7528686370244</v>
      </c>
      <c r="J2628" s="24" t="n">
        <v>6550.668683077564</v>
      </c>
      <c r="K2628" s="24" t="n">
        <v>4222.222222222223</v>
      </c>
      <c r="L2628" s="24" t="n">
        <v>150</v>
      </c>
      <c r="M2628" s="24">
        <f>I2628+J2628+K2628+L2628</f>
        <v/>
      </c>
      <c r="N2628" s="24">
        <f>M2628*'Dashboard &amp; Optimisation'!$B$18/('Dashboard &amp; Optimisation'!$B$16/3.6)</f>
        <v/>
      </c>
      <c r="O2628" s="24" t="n">
        <v>1234.309774879224</v>
      </c>
      <c r="P2628" s="25" t="n">
        <v>0.07383399647276395</v>
      </c>
      <c r="Q2628" s="26" t="n">
        <v>7.65027025033604</v>
      </c>
      <c r="R2628" s="24" t="n">
        <v>5570.225850415571</v>
      </c>
      <c r="S2628" s="24">
        <f>R2628*IF(A2628=4, 2.0, 3.0)</f>
        <v/>
      </c>
      <c r="T2628" s="22">
        <f>'Dashboard &amp; Optimisation'!$B$18*U2628</f>
        <v/>
      </c>
      <c r="U2628" s="27">
        <f>MIN(1, S2628/M2628)</f>
        <v/>
      </c>
      <c r="V2628" s="27">
        <f>N2628/(N2628+O2628)</f>
        <v/>
      </c>
      <c r="W2628" s="27">
        <f>U2628*V2628</f>
        <v/>
      </c>
      <c r="X2628" s="25">
        <f>T2628/N2628</f>
        <v/>
      </c>
      <c r="Y2628" s="28">
        <f>IF(W2628=MAXIFS(W$2:W$3601, A$2:A$3601, A2628, B$2:B$3601, B2628), "OPTIMAL", "")</f>
        <v/>
      </c>
    </row>
    <row r="2629" ht="20" customHeight="1">
      <c r="A2629" s="29" t="n">
        <v>-18</v>
      </c>
      <c r="B2629" s="29" t="n">
        <v>35</v>
      </c>
      <c r="C2629" s="30" t="n">
        <v>90</v>
      </c>
      <c r="D2629" s="30" t="n">
        <v>3</v>
      </c>
      <c r="E2629" s="6" t="n">
        <v>4</v>
      </c>
      <c r="F2629" s="30" t="n">
        <v>1.5</v>
      </c>
      <c r="G2629" s="6" t="inlineStr">
        <is>
          <t>Non</t>
        </is>
      </c>
      <c r="H2629" s="6" t="inlineStr">
        <is>
          <t>OFF</t>
        </is>
      </c>
      <c r="I2629" s="31" t="n">
        <v>744.7528686370244</v>
      </c>
      <c r="J2629" s="31" t="n">
        <v>6550.668683077564</v>
      </c>
      <c r="K2629" s="31" t="n">
        <v>4222.222222222223</v>
      </c>
      <c r="L2629" s="31" t="n">
        <v>150</v>
      </c>
      <c r="M2629" s="31">
        <f>I2629+J2629+K2629+L2629</f>
        <v/>
      </c>
      <c r="N2629" s="31">
        <f>M2629*'Dashboard &amp; Optimisation'!$B$18/('Dashboard &amp; Optimisation'!$B$16/3.6)</f>
        <v/>
      </c>
      <c r="O2629" s="31" t="n">
        <v>1234.309774879224</v>
      </c>
      <c r="P2629" s="32" t="n">
        <v>0.3258912178028736</v>
      </c>
      <c r="Q2629" s="33" t="n">
        <v>7.65027025033604</v>
      </c>
      <c r="R2629" s="31" t="n">
        <v>1261.991773097899</v>
      </c>
      <c r="S2629" s="31">
        <f>R2629*IF(A2629=4, 2.0, 3.0)</f>
        <v/>
      </c>
      <c r="T2629" s="30">
        <f>'Dashboard &amp; Optimisation'!$B$18*U2629</f>
        <v/>
      </c>
      <c r="U2629" s="34">
        <f>MIN(1, S2629/M2629)</f>
        <v/>
      </c>
      <c r="V2629" s="34">
        <f>N2629/(N2629+O2629)</f>
        <v/>
      </c>
      <c r="W2629" s="34">
        <f>U2629*V2629</f>
        <v/>
      </c>
      <c r="X2629" s="32">
        <f>T2629/N2629</f>
        <v/>
      </c>
      <c r="Y2629" s="35">
        <f>IF(W2629=MAXIFS(W$2:W$3601, A$2:A$3601, A2629, B$2:B$3601, B2629), "OPTIMAL", "")</f>
        <v/>
      </c>
    </row>
    <row r="2630" ht="20" customHeight="1">
      <c r="A2630" s="21" t="n">
        <v>-18</v>
      </c>
      <c r="B2630" s="21" t="n">
        <v>35</v>
      </c>
      <c r="C2630" s="22" t="n">
        <v>90</v>
      </c>
      <c r="D2630" s="22" t="n">
        <v>3</v>
      </c>
      <c r="E2630" s="23" t="n">
        <v>4</v>
      </c>
      <c r="F2630" s="22" t="n">
        <v>2</v>
      </c>
      <c r="G2630" s="23" t="inlineStr">
        <is>
          <t>Oui</t>
        </is>
      </c>
      <c r="H2630" s="23" t="inlineStr">
        <is>
          <t>ON</t>
        </is>
      </c>
      <c r="I2630" s="24" t="n">
        <v>744.7528686370244</v>
      </c>
      <c r="J2630" s="24" t="n">
        <v>6550.668683077564</v>
      </c>
      <c r="K2630" s="24" t="n">
        <v>4222.222222222223</v>
      </c>
      <c r="L2630" s="24" t="n">
        <v>150</v>
      </c>
      <c r="M2630" s="24">
        <f>I2630+J2630+K2630+L2630</f>
        <v/>
      </c>
      <c r="N2630" s="24">
        <f>M2630*'Dashboard &amp; Optimisation'!$B$18/('Dashboard &amp; Optimisation'!$B$16/3.6)</f>
        <v/>
      </c>
      <c r="O2630" s="24" t="n">
        <v>1359.349890765742</v>
      </c>
      <c r="P2630" s="25" t="n">
        <v>0.07505349321204312</v>
      </c>
      <c r="Q2630" s="26" t="n">
        <v>10.13369366711472</v>
      </c>
      <c r="R2630" s="24" t="n">
        <v>5549.553637369268</v>
      </c>
      <c r="S2630" s="24">
        <f>R2630*IF(A2630=4, 2.0, 3.0)</f>
        <v/>
      </c>
      <c r="T2630" s="22">
        <f>'Dashboard &amp; Optimisation'!$B$18*U2630</f>
        <v/>
      </c>
      <c r="U2630" s="27">
        <f>MIN(1, S2630/M2630)</f>
        <v/>
      </c>
      <c r="V2630" s="27">
        <f>N2630/(N2630+O2630)</f>
        <v/>
      </c>
      <c r="W2630" s="27">
        <f>U2630*V2630</f>
        <v/>
      </c>
      <c r="X2630" s="25">
        <f>T2630/N2630</f>
        <v/>
      </c>
      <c r="Y2630" s="28">
        <f>IF(W2630=MAXIFS(W$2:W$3601, A$2:A$3601, A2630, B$2:B$3601, B2630), "OPTIMAL", "")</f>
        <v/>
      </c>
    </row>
    <row r="2631" ht="20" customHeight="1">
      <c r="A2631" s="29" t="n">
        <v>-18</v>
      </c>
      <c r="B2631" s="29" t="n">
        <v>35</v>
      </c>
      <c r="C2631" s="30" t="n">
        <v>90</v>
      </c>
      <c r="D2631" s="30" t="n">
        <v>3</v>
      </c>
      <c r="E2631" s="6" t="n">
        <v>4</v>
      </c>
      <c r="F2631" s="30" t="n">
        <v>2</v>
      </c>
      <c r="G2631" s="6" t="inlineStr">
        <is>
          <t>Oui</t>
        </is>
      </c>
      <c r="H2631" s="6" t="inlineStr">
        <is>
          <t>OFF</t>
        </is>
      </c>
      <c r="I2631" s="31" t="n">
        <v>744.7528686370244</v>
      </c>
      <c r="J2631" s="31" t="n">
        <v>6550.668683077564</v>
      </c>
      <c r="K2631" s="31" t="n">
        <v>4222.222222222223</v>
      </c>
      <c r="L2631" s="31" t="n">
        <v>150</v>
      </c>
      <c r="M2631" s="31">
        <f>I2631+J2631+K2631+L2631</f>
        <v/>
      </c>
      <c r="N2631" s="31">
        <f>M2631*'Dashboard &amp; Optimisation'!$B$18/('Dashboard &amp; Optimisation'!$B$16/3.6)</f>
        <v/>
      </c>
      <c r="O2631" s="31" t="n">
        <v>1359.349890765742</v>
      </c>
      <c r="P2631" s="32" t="n">
        <v>0.3283855657905198</v>
      </c>
      <c r="Q2631" s="33" t="n">
        <v>10.13369366711472</v>
      </c>
      <c r="R2631" s="31" t="n">
        <v>1268.366912685381</v>
      </c>
      <c r="S2631" s="31">
        <f>R2631*IF(A2631=4, 2.0, 3.0)</f>
        <v/>
      </c>
      <c r="T2631" s="30">
        <f>'Dashboard &amp; Optimisation'!$B$18*U2631</f>
        <v/>
      </c>
      <c r="U2631" s="34">
        <f>MIN(1, S2631/M2631)</f>
        <v/>
      </c>
      <c r="V2631" s="34">
        <f>N2631/(N2631+O2631)</f>
        <v/>
      </c>
      <c r="W2631" s="34">
        <f>U2631*V2631</f>
        <v/>
      </c>
      <c r="X2631" s="32">
        <f>T2631/N2631</f>
        <v/>
      </c>
      <c r="Y2631" s="35">
        <f>IF(W2631=MAXIFS(W$2:W$3601, A$2:A$3601, A2631, B$2:B$3601, B2631), "OPTIMAL", "")</f>
        <v/>
      </c>
    </row>
    <row r="2632" ht="20" customHeight="1">
      <c r="A2632" s="21" t="n">
        <v>-18</v>
      </c>
      <c r="B2632" s="21" t="n">
        <v>35</v>
      </c>
      <c r="C2632" s="22" t="n">
        <v>90</v>
      </c>
      <c r="D2632" s="22" t="n">
        <v>3</v>
      </c>
      <c r="E2632" s="23" t="n">
        <v>4</v>
      </c>
      <c r="F2632" s="22" t="n">
        <v>2</v>
      </c>
      <c r="G2632" s="23" t="inlineStr">
        <is>
          <t>Non</t>
        </is>
      </c>
      <c r="H2632" s="23" t="inlineStr">
        <is>
          <t>ON</t>
        </is>
      </c>
      <c r="I2632" s="24" t="n">
        <v>744.7528686370244</v>
      </c>
      <c r="J2632" s="24" t="n">
        <v>6550.668683077564</v>
      </c>
      <c r="K2632" s="24" t="n">
        <v>4222.222222222223</v>
      </c>
      <c r="L2632" s="24" t="n">
        <v>150</v>
      </c>
      <c r="M2632" s="24">
        <f>I2632+J2632+K2632+L2632</f>
        <v/>
      </c>
      <c r="N2632" s="24">
        <f>M2632*'Dashboard &amp; Optimisation'!$B$18/('Dashboard &amp; Optimisation'!$B$16/3.6)</f>
        <v/>
      </c>
      <c r="O2632" s="24" t="n">
        <v>1359.349890765742</v>
      </c>
      <c r="P2632" s="25" t="n">
        <v>0.07151671669888988</v>
      </c>
      <c r="Q2632" s="26" t="n">
        <v>10.13369366711472</v>
      </c>
      <c r="R2632" s="24" t="n">
        <v>5824.000394283045</v>
      </c>
      <c r="S2632" s="24">
        <f>R2632*IF(A2632=4, 2.0, 3.0)</f>
        <v/>
      </c>
      <c r="T2632" s="22">
        <f>'Dashboard &amp; Optimisation'!$B$18*U2632</f>
        <v/>
      </c>
      <c r="U2632" s="27">
        <f>MIN(1, S2632/M2632)</f>
        <v/>
      </c>
      <c r="V2632" s="27">
        <f>N2632/(N2632+O2632)</f>
        <v/>
      </c>
      <c r="W2632" s="27">
        <f>U2632*V2632</f>
        <v/>
      </c>
      <c r="X2632" s="25">
        <f>T2632/N2632</f>
        <v/>
      </c>
      <c r="Y2632" s="28">
        <f>IF(W2632=MAXIFS(W$2:W$3601, A$2:A$3601, A2632, B$2:B$3601, B2632), "OPTIMAL", "")</f>
        <v/>
      </c>
    </row>
    <row r="2633" ht="20" customHeight="1">
      <c r="A2633" s="29" t="n">
        <v>-18</v>
      </c>
      <c r="B2633" s="29" t="n">
        <v>35</v>
      </c>
      <c r="C2633" s="30" t="n">
        <v>90</v>
      </c>
      <c r="D2633" s="30" t="n">
        <v>3</v>
      </c>
      <c r="E2633" s="6" t="n">
        <v>4</v>
      </c>
      <c r="F2633" s="30" t="n">
        <v>2</v>
      </c>
      <c r="G2633" s="6" t="inlineStr">
        <is>
          <t>Non</t>
        </is>
      </c>
      <c r="H2633" s="6" t="inlineStr">
        <is>
          <t>OFF</t>
        </is>
      </c>
      <c r="I2633" s="31" t="n">
        <v>744.7528686370244</v>
      </c>
      <c r="J2633" s="31" t="n">
        <v>6550.668683077564</v>
      </c>
      <c r="K2633" s="31" t="n">
        <v>4222.222222222223</v>
      </c>
      <c r="L2633" s="31" t="n">
        <v>150</v>
      </c>
      <c r="M2633" s="31">
        <f>I2633+J2633+K2633+L2633</f>
        <v/>
      </c>
      <c r="N2633" s="31">
        <f>M2633*'Dashboard &amp; Optimisation'!$B$18/('Dashboard &amp; Optimisation'!$B$16/3.6)</f>
        <v/>
      </c>
      <c r="O2633" s="31" t="n">
        <v>1359.349890765742</v>
      </c>
      <c r="P2633" s="32" t="n">
        <v>0.3248487892773665</v>
      </c>
      <c r="Q2633" s="33" t="n">
        <v>10.13369366711472</v>
      </c>
      <c r="R2633" s="31" t="n">
        <v>1282.176200129011</v>
      </c>
      <c r="S2633" s="31">
        <f>R2633*IF(A2633=4, 2.0, 3.0)</f>
        <v/>
      </c>
      <c r="T2633" s="30">
        <f>'Dashboard &amp; Optimisation'!$B$18*U2633</f>
        <v/>
      </c>
      <c r="U2633" s="34">
        <f>MIN(1, S2633/M2633)</f>
        <v/>
      </c>
      <c r="V2633" s="34">
        <f>N2633/(N2633+O2633)</f>
        <v/>
      </c>
      <c r="W2633" s="34">
        <f>U2633*V2633</f>
        <v/>
      </c>
      <c r="X2633" s="32">
        <f>T2633/N2633</f>
        <v/>
      </c>
      <c r="Y2633" s="35">
        <f>IF(W2633=MAXIFS(W$2:W$3601, A$2:A$3601, A2633, B$2:B$3601, B2633), "OPTIMAL", "")</f>
        <v/>
      </c>
    </row>
    <row r="2634" ht="20" customHeight="1">
      <c r="A2634" s="21" t="n">
        <v>-18</v>
      </c>
      <c r="B2634" s="21" t="n">
        <v>35</v>
      </c>
      <c r="C2634" s="22" t="n">
        <v>90</v>
      </c>
      <c r="D2634" s="22" t="n">
        <v>3</v>
      </c>
      <c r="E2634" s="23" t="n">
        <v>8</v>
      </c>
      <c r="F2634" s="22" t="n">
        <v>1.5</v>
      </c>
      <c r="G2634" s="23" t="inlineStr">
        <is>
          <t>Oui</t>
        </is>
      </c>
      <c r="H2634" s="23" t="inlineStr">
        <is>
          <t>ON</t>
        </is>
      </c>
      <c r="I2634" s="24" t="n">
        <v>744.7528686370244</v>
      </c>
      <c r="J2634" s="24" t="n">
        <v>6550.668683077564</v>
      </c>
      <c r="K2634" s="24" t="n">
        <v>4222.222222222223</v>
      </c>
      <c r="L2634" s="24" t="n">
        <v>150</v>
      </c>
      <c r="M2634" s="24">
        <f>I2634+J2634+K2634+L2634</f>
        <v/>
      </c>
      <c r="N2634" s="24">
        <f>M2634*'Dashboard &amp; Optimisation'!$B$18/('Dashboard &amp; Optimisation'!$B$16/3.6)</f>
        <v/>
      </c>
      <c r="O2634" s="24" t="n">
        <v>1619.241447520367</v>
      </c>
      <c r="P2634" s="25" t="n">
        <v>0.05825094544482953</v>
      </c>
      <c r="Q2634" s="26" t="n">
        <v>15.10054050067208</v>
      </c>
      <c r="R2634" s="24" t="n">
        <v>7337.346178059545</v>
      </c>
      <c r="S2634" s="24">
        <f>R2634*IF(A2634=4, 2.0, 3.0)</f>
        <v/>
      </c>
      <c r="T2634" s="22">
        <f>'Dashboard &amp; Optimisation'!$B$18*U2634</f>
        <v/>
      </c>
      <c r="U2634" s="27">
        <f>MIN(1, S2634/M2634)</f>
        <v/>
      </c>
      <c r="V2634" s="27">
        <f>N2634/(N2634+O2634)</f>
        <v/>
      </c>
      <c r="W2634" s="27">
        <f>U2634*V2634</f>
        <v/>
      </c>
      <c r="X2634" s="25">
        <f>T2634/N2634</f>
        <v/>
      </c>
      <c r="Y2634" s="28">
        <f>IF(W2634=MAXIFS(W$2:W$3601, A$2:A$3601, A2634, B$2:B$3601, B2634), "OPTIMAL", "")</f>
        <v/>
      </c>
    </row>
    <row r="2635" ht="20" customHeight="1">
      <c r="A2635" s="29" t="n">
        <v>-18</v>
      </c>
      <c r="B2635" s="29" t="n">
        <v>35</v>
      </c>
      <c r="C2635" s="30" t="n">
        <v>90</v>
      </c>
      <c r="D2635" s="30" t="n">
        <v>3</v>
      </c>
      <c r="E2635" s="6" t="n">
        <v>8</v>
      </c>
      <c r="F2635" s="30" t="n">
        <v>1.5</v>
      </c>
      <c r="G2635" s="6" t="inlineStr">
        <is>
          <t>Oui</t>
        </is>
      </c>
      <c r="H2635" s="6" t="inlineStr">
        <is>
          <t>OFF</t>
        </is>
      </c>
      <c r="I2635" s="31" t="n">
        <v>744.7528686370244</v>
      </c>
      <c r="J2635" s="31" t="n">
        <v>6550.668683077564</v>
      </c>
      <c r="K2635" s="31" t="n">
        <v>4222.222222222223</v>
      </c>
      <c r="L2635" s="31" t="n">
        <v>150</v>
      </c>
      <c r="M2635" s="31">
        <f>I2635+J2635+K2635+L2635</f>
        <v/>
      </c>
      <c r="N2635" s="31">
        <f>M2635*'Dashboard &amp; Optimisation'!$B$18/('Dashboard &amp; Optimisation'!$B$16/3.6)</f>
        <v/>
      </c>
      <c r="O2635" s="31" t="n">
        <v>1619.241447520367</v>
      </c>
      <c r="P2635" s="32" t="n">
        <v>0.2540490290345196</v>
      </c>
      <c r="Q2635" s="33" t="n">
        <v>15.10054050067208</v>
      </c>
      <c r="R2635" s="31" t="n">
        <v>1682.381363755969</v>
      </c>
      <c r="S2635" s="31">
        <f>R2635*IF(A2635=4, 2.0, 3.0)</f>
        <v/>
      </c>
      <c r="T2635" s="30">
        <f>'Dashboard &amp; Optimisation'!$B$18*U2635</f>
        <v/>
      </c>
      <c r="U2635" s="34">
        <f>MIN(1, S2635/M2635)</f>
        <v/>
      </c>
      <c r="V2635" s="34">
        <f>N2635/(N2635+O2635)</f>
        <v/>
      </c>
      <c r="W2635" s="34">
        <f>U2635*V2635</f>
        <v/>
      </c>
      <c r="X2635" s="32">
        <f>T2635/N2635</f>
        <v/>
      </c>
      <c r="Y2635" s="35">
        <f>IF(W2635=MAXIFS(W$2:W$3601, A$2:A$3601, A2635, B$2:B$3601, B2635), "OPTIMAL", "")</f>
        <v/>
      </c>
    </row>
    <row r="2636" ht="20" customHeight="1">
      <c r="A2636" s="21" t="n">
        <v>-18</v>
      </c>
      <c r="B2636" s="21" t="n">
        <v>35</v>
      </c>
      <c r="C2636" s="22" t="n">
        <v>90</v>
      </c>
      <c r="D2636" s="22" t="n">
        <v>3</v>
      </c>
      <c r="E2636" s="23" t="n">
        <v>8</v>
      </c>
      <c r="F2636" s="22" t="n">
        <v>1.5</v>
      </c>
      <c r="G2636" s="23" t="inlineStr">
        <is>
          <t>Non</t>
        </is>
      </c>
      <c r="H2636" s="23" t="inlineStr">
        <is>
          <t>ON</t>
        </is>
      </c>
      <c r="I2636" s="24" t="n">
        <v>744.7528686370244</v>
      </c>
      <c r="J2636" s="24" t="n">
        <v>6550.668683077564</v>
      </c>
      <c r="K2636" s="24" t="n">
        <v>4222.222222222223</v>
      </c>
      <c r="L2636" s="24" t="n">
        <v>150</v>
      </c>
      <c r="M2636" s="24">
        <f>I2636+J2636+K2636+L2636</f>
        <v/>
      </c>
      <c r="N2636" s="24">
        <f>M2636*'Dashboard &amp; Optimisation'!$B$18/('Dashboard &amp; Optimisation'!$B$16/3.6)</f>
        <v/>
      </c>
      <c r="O2636" s="24" t="n">
        <v>1619.241447520367</v>
      </c>
      <c r="P2636" s="25" t="n">
        <v>0.0547141689316763</v>
      </c>
      <c r="Q2636" s="26" t="n">
        <v>15.10054050067208</v>
      </c>
      <c r="R2636" s="24" t="n">
        <v>7811.639293318978</v>
      </c>
      <c r="S2636" s="24">
        <f>R2636*IF(A2636=4, 2.0, 3.0)</f>
        <v/>
      </c>
      <c r="T2636" s="22">
        <f>'Dashboard &amp; Optimisation'!$B$18*U2636</f>
        <v/>
      </c>
      <c r="U2636" s="27">
        <f>MIN(1, S2636/M2636)</f>
        <v/>
      </c>
      <c r="V2636" s="27">
        <f>N2636/(N2636+O2636)</f>
        <v/>
      </c>
      <c r="W2636" s="27">
        <f>U2636*V2636</f>
        <v/>
      </c>
      <c r="X2636" s="25">
        <f>T2636/N2636</f>
        <v/>
      </c>
      <c r="Y2636" s="28">
        <f>IF(W2636=MAXIFS(W$2:W$3601, A$2:A$3601, A2636, B$2:B$3601, B2636), "OPTIMAL", "")</f>
        <v/>
      </c>
    </row>
    <row r="2637" ht="20" customHeight="1">
      <c r="A2637" s="29" t="n">
        <v>-18</v>
      </c>
      <c r="B2637" s="29" t="n">
        <v>35</v>
      </c>
      <c r="C2637" s="30" t="n">
        <v>90</v>
      </c>
      <c r="D2637" s="30" t="n">
        <v>3</v>
      </c>
      <c r="E2637" s="6" t="n">
        <v>8</v>
      </c>
      <c r="F2637" s="30" t="n">
        <v>1.5</v>
      </c>
      <c r="G2637" s="6" t="inlineStr">
        <is>
          <t>Non</t>
        </is>
      </c>
      <c r="H2637" s="6" t="inlineStr">
        <is>
          <t>OFF</t>
        </is>
      </c>
      <c r="I2637" s="31" t="n">
        <v>744.7528686370244</v>
      </c>
      <c r="J2637" s="31" t="n">
        <v>6550.668683077564</v>
      </c>
      <c r="K2637" s="31" t="n">
        <v>4222.222222222223</v>
      </c>
      <c r="L2637" s="31" t="n">
        <v>150</v>
      </c>
      <c r="M2637" s="31">
        <f>I2637+J2637+K2637+L2637</f>
        <v/>
      </c>
      <c r="N2637" s="31">
        <f>M2637*'Dashboard &amp; Optimisation'!$B$18/('Dashboard &amp; Optimisation'!$B$16/3.6)</f>
        <v/>
      </c>
      <c r="O2637" s="31" t="n">
        <v>1619.241447520367</v>
      </c>
      <c r="P2637" s="32" t="n">
        <v>0.2505122525213664</v>
      </c>
      <c r="Q2637" s="33" t="n">
        <v>15.10054050067208</v>
      </c>
      <c r="R2637" s="31" t="n">
        <v>1706.133522916293</v>
      </c>
      <c r="S2637" s="31">
        <f>R2637*IF(A2637=4, 2.0, 3.0)</f>
        <v/>
      </c>
      <c r="T2637" s="30">
        <f>'Dashboard &amp; Optimisation'!$B$18*U2637</f>
        <v/>
      </c>
      <c r="U2637" s="34">
        <f>MIN(1, S2637/M2637)</f>
        <v/>
      </c>
      <c r="V2637" s="34">
        <f>N2637/(N2637+O2637)</f>
        <v/>
      </c>
      <c r="W2637" s="34">
        <f>U2637*V2637</f>
        <v/>
      </c>
      <c r="X2637" s="32">
        <f>T2637/N2637</f>
        <v/>
      </c>
      <c r="Y2637" s="35">
        <f>IF(W2637=MAXIFS(W$2:W$3601, A$2:A$3601, A2637, B$2:B$3601, B2637), "OPTIMAL", "")</f>
        <v/>
      </c>
    </row>
    <row r="2638" ht="20" customHeight="1">
      <c r="A2638" s="21" t="n">
        <v>-18</v>
      </c>
      <c r="B2638" s="21" t="n">
        <v>35</v>
      </c>
      <c r="C2638" s="22" t="n">
        <v>90</v>
      </c>
      <c r="D2638" s="22" t="n">
        <v>3</v>
      </c>
      <c r="E2638" s="23" t="n">
        <v>8</v>
      </c>
      <c r="F2638" s="22" t="n">
        <v>2</v>
      </c>
      <c r="G2638" s="23" t="inlineStr">
        <is>
          <t>Oui</t>
        </is>
      </c>
      <c r="H2638" s="23" t="inlineStr">
        <is>
          <t>ON</t>
        </is>
      </c>
      <c r="I2638" s="24" t="n">
        <v>744.7528686370244</v>
      </c>
      <c r="J2638" s="24" t="n">
        <v>6550.668683077564</v>
      </c>
      <c r="K2638" s="24" t="n">
        <v>4222.222222222223</v>
      </c>
      <c r="L2638" s="24" t="n">
        <v>150</v>
      </c>
      <c r="M2638" s="24">
        <f>I2638+J2638+K2638+L2638</f>
        <v/>
      </c>
      <c r="N2638" s="24">
        <f>M2638*'Dashboard &amp; Optimisation'!$B$18/('Dashboard &amp; Optimisation'!$B$16/3.6)</f>
        <v/>
      </c>
      <c r="O2638" s="24" t="n">
        <v>1893.093133179544</v>
      </c>
      <c r="P2638" s="25" t="n">
        <v>0.05722883101616391</v>
      </c>
      <c r="Q2638" s="26" t="n">
        <v>20.06738733422944</v>
      </c>
      <c r="R2638" s="24" t="n">
        <v>7668.975260159526</v>
      </c>
      <c r="S2638" s="24">
        <f>R2638*IF(A2638=4, 2.0, 3.0)</f>
        <v/>
      </c>
      <c r="T2638" s="22">
        <f>'Dashboard &amp; Optimisation'!$B$18*U2638</f>
        <v/>
      </c>
      <c r="U2638" s="27">
        <f>MIN(1, S2638/M2638)</f>
        <v/>
      </c>
      <c r="V2638" s="27">
        <f>N2638/(N2638+O2638)</f>
        <v/>
      </c>
      <c r="W2638" s="27">
        <f>U2638*V2638</f>
        <v/>
      </c>
      <c r="X2638" s="25">
        <f>T2638/N2638</f>
        <v/>
      </c>
      <c r="Y2638" s="28">
        <f>IF(W2638=MAXIFS(W$2:W$3601, A$2:A$3601, A2638, B$2:B$3601, B2638), "OPTIMAL", "")</f>
        <v/>
      </c>
    </row>
    <row r="2639" ht="20" customHeight="1">
      <c r="A2639" s="29" t="n">
        <v>-18</v>
      </c>
      <c r="B2639" s="29" t="n">
        <v>35</v>
      </c>
      <c r="C2639" s="30" t="n">
        <v>90</v>
      </c>
      <c r="D2639" s="30" t="n">
        <v>3</v>
      </c>
      <c r="E2639" s="6" t="n">
        <v>8</v>
      </c>
      <c r="F2639" s="30" t="n">
        <v>2</v>
      </c>
      <c r="G2639" s="6" t="inlineStr">
        <is>
          <t>Oui</t>
        </is>
      </c>
      <c r="H2639" s="6" t="inlineStr">
        <is>
          <t>OFF</t>
        </is>
      </c>
      <c r="I2639" s="31" t="n">
        <v>744.7528686370244</v>
      </c>
      <c r="J2639" s="31" t="n">
        <v>6550.668683077564</v>
      </c>
      <c r="K2639" s="31" t="n">
        <v>4222.222222222223</v>
      </c>
      <c r="L2639" s="31" t="n">
        <v>150</v>
      </c>
      <c r="M2639" s="31">
        <f>I2639+J2639+K2639+L2639</f>
        <v/>
      </c>
      <c r="N2639" s="31">
        <f>M2639*'Dashboard &amp; Optimisation'!$B$18/('Dashboard &amp; Optimisation'!$B$16/3.6)</f>
        <v/>
      </c>
      <c r="O2639" s="31" t="n">
        <v>1893.093133179544</v>
      </c>
      <c r="P2639" s="32" t="n">
        <v>0.2545702594498531</v>
      </c>
      <c r="Q2639" s="33" t="n">
        <v>20.06738733422944</v>
      </c>
      <c r="R2639" s="31" t="n">
        <v>1724.028919086151</v>
      </c>
      <c r="S2639" s="31">
        <f>R2639*IF(A2639=4, 2.0, 3.0)</f>
        <v/>
      </c>
      <c r="T2639" s="30">
        <f>'Dashboard &amp; Optimisation'!$B$18*U2639</f>
        <v/>
      </c>
      <c r="U2639" s="34">
        <f>MIN(1, S2639/M2639)</f>
        <v/>
      </c>
      <c r="V2639" s="34">
        <f>N2639/(N2639+O2639)</f>
        <v/>
      </c>
      <c r="W2639" s="34">
        <f>U2639*V2639</f>
        <v/>
      </c>
      <c r="X2639" s="32">
        <f>T2639/N2639</f>
        <v/>
      </c>
      <c r="Y2639" s="35">
        <f>IF(W2639=MAXIFS(W$2:W$3601, A$2:A$3601, A2639, B$2:B$3601, B2639), "OPTIMAL", "")</f>
        <v/>
      </c>
    </row>
    <row r="2640" ht="20" customHeight="1">
      <c r="A2640" s="21" t="n">
        <v>-18</v>
      </c>
      <c r="B2640" s="21" t="n">
        <v>35</v>
      </c>
      <c r="C2640" s="22" t="n">
        <v>90</v>
      </c>
      <c r="D2640" s="22" t="n">
        <v>3</v>
      </c>
      <c r="E2640" s="23" t="n">
        <v>8</v>
      </c>
      <c r="F2640" s="22" t="n">
        <v>2</v>
      </c>
      <c r="G2640" s="23" t="inlineStr">
        <is>
          <t>Non</t>
        </is>
      </c>
      <c r="H2640" s="23" t="inlineStr">
        <is>
          <t>ON</t>
        </is>
      </c>
      <c r="I2640" s="24" t="n">
        <v>744.7528686370244</v>
      </c>
      <c r="J2640" s="24" t="n">
        <v>6550.668683077564</v>
      </c>
      <c r="K2640" s="24" t="n">
        <v>4222.222222222223</v>
      </c>
      <c r="L2640" s="24" t="n">
        <v>150</v>
      </c>
      <c r="M2640" s="24">
        <f>I2640+J2640+K2640+L2640</f>
        <v/>
      </c>
      <c r="N2640" s="24">
        <f>M2640*'Dashboard &amp; Optimisation'!$B$18/('Dashboard &amp; Optimisation'!$B$16/3.6)</f>
        <v/>
      </c>
      <c r="O2640" s="24" t="n">
        <v>1893.093133179544</v>
      </c>
      <c r="P2640" s="25" t="n">
        <v>0.05369205450301068</v>
      </c>
      <c r="Q2640" s="26" t="n">
        <v>20.06738733422944</v>
      </c>
      <c r="R2640" s="24" t="n">
        <v>8174.142213280392</v>
      </c>
      <c r="S2640" s="24">
        <f>R2640*IF(A2640=4, 2.0, 3.0)</f>
        <v/>
      </c>
      <c r="T2640" s="22">
        <f>'Dashboard &amp; Optimisation'!$B$18*U2640</f>
        <v/>
      </c>
      <c r="U2640" s="27">
        <f>MIN(1, S2640/M2640)</f>
        <v/>
      </c>
      <c r="V2640" s="27">
        <f>N2640/(N2640+O2640)</f>
        <v/>
      </c>
      <c r="W2640" s="27">
        <f>U2640*V2640</f>
        <v/>
      </c>
      <c r="X2640" s="25">
        <f>T2640/N2640</f>
        <v/>
      </c>
      <c r="Y2640" s="28">
        <f>IF(W2640=MAXIFS(W$2:W$3601, A$2:A$3601, A2640, B$2:B$3601, B2640), "OPTIMAL", "")</f>
        <v/>
      </c>
    </row>
    <row r="2641" ht="20" customHeight="1">
      <c r="A2641" s="29" t="n">
        <v>-18</v>
      </c>
      <c r="B2641" s="29" t="n">
        <v>35</v>
      </c>
      <c r="C2641" s="30" t="n">
        <v>90</v>
      </c>
      <c r="D2641" s="30" t="n">
        <v>3</v>
      </c>
      <c r="E2641" s="6" t="n">
        <v>8</v>
      </c>
      <c r="F2641" s="30" t="n">
        <v>2</v>
      </c>
      <c r="G2641" s="6" t="inlineStr">
        <is>
          <t>Non</t>
        </is>
      </c>
      <c r="H2641" s="6" t="inlineStr">
        <is>
          <t>OFF</t>
        </is>
      </c>
      <c r="I2641" s="31" t="n">
        <v>744.7528686370244</v>
      </c>
      <c r="J2641" s="31" t="n">
        <v>6550.668683077564</v>
      </c>
      <c r="K2641" s="31" t="n">
        <v>4222.222222222223</v>
      </c>
      <c r="L2641" s="31" t="n">
        <v>150</v>
      </c>
      <c r="M2641" s="31">
        <f>I2641+J2641+K2641+L2641</f>
        <v/>
      </c>
      <c r="N2641" s="31">
        <f>M2641*'Dashboard &amp; Optimisation'!$B$18/('Dashboard &amp; Optimisation'!$B$16/3.6)</f>
        <v/>
      </c>
      <c r="O2641" s="31" t="n">
        <v>1893.093133179544</v>
      </c>
      <c r="P2641" s="32" t="n">
        <v>0.2510334829366998</v>
      </c>
      <c r="Q2641" s="33" t="n">
        <v>20.06738733422944</v>
      </c>
      <c r="R2641" s="31" t="n">
        <v>1748.318527459064</v>
      </c>
      <c r="S2641" s="31">
        <f>R2641*IF(A2641=4, 2.0, 3.0)</f>
        <v/>
      </c>
      <c r="T2641" s="30">
        <f>'Dashboard &amp; Optimisation'!$B$18*U2641</f>
        <v/>
      </c>
      <c r="U2641" s="34">
        <f>MIN(1, S2641/M2641)</f>
        <v/>
      </c>
      <c r="V2641" s="34">
        <f>N2641/(N2641+O2641)</f>
        <v/>
      </c>
      <c r="W2641" s="34">
        <f>U2641*V2641</f>
        <v/>
      </c>
      <c r="X2641" s="32">
        <f>T2641/N2641</f>
        <v/>
      </c>
      <c r="Y2641" s="35">
        <f>IF(W2641=MAXIFS(W$2:W$3601, A$2:A$3601, A2641, B$2:B$3601, B2641), "OPTIMAL", "")</f>
        <v/>
      </c>
    </row>
    <row r="2642" ht="20" customHeight="1">
      <c r="A2642" s="21" t="n">
        <v>-18</v>
      </c>
      <c r="B2642" s="21" t="n">
        <v>35</v>
      </c>
      <c r="C2642" s="22" t="n">
        <v>95</v>
      </c>
      <c r="D2642" s="22" t="n">
        <v>2</v>
      </c>
      <c r="E2642" s="23" t="n">
        <v>0</v>
      </c>
      <c r="F2642" s="22" t="n">
        <v>0</v>
      </c>
      <c r="G2642" s="23" t="inlineStr">
        <is>
          <t>Oui</t>
        </is>
      </c>
      <c r="H2642" s="23" t="inlineStr">
        <is>
          <t>ON</t>
        </is>
      </c>
      <c r="I2642" s="24" t="n">
        <v>744.7528686370244</v>
      </c>
      <c r="J2642" s="24" t="n">
        <v>6550.668683077564</v>
      </c>
      <c r="K2642" s="24" t="n">
        <v>4222.222222222223</v>
      </c>
      <c r="L2642" s="24" t="n">
        <v>150</v>
      </c>
      <c r="M2642" s="24">
        <f>I2642+J2642+K2642+L2642</f>
        <v/>
      </c>
      <c r="N2642" s="24">
        <f>M2642*'Dashboard &amp; Optimisation'!$B$18/('Dashboard &amp; Optimisation'!$B$16/3.6)</f>
        <v/>
      </c>
      <c r="O2642" s="24" t="n">
        <v>532.7680018885873</v>
      </c>
      <c r="P2642" s="25" t="n">
        <v>0.4850371448496216</v>
      </c>
      <c r="Q2642" s="26" t="n">
        <v>0.2</v>
      </c>
      <c r="R2642" s="24" t="n">
        <v>696.2040627549867</v>
      </c>
      <c r="S2642" s="24">
        <f>R2642*IF(A2642=4, 2.0, 3.0)</f>
        <v/>
      </c>
      <c r="T2642" s="22">
        <f>'Dashboard &amp; Optimisation'!$B$18*U2642</f>
        <v/>
      </c>
      <c r="U2642" s="27">
        <f>MIN(1, S2642/M2642)</f>
        <v/>
      </c>
      <c r="V2642" s="27">
        <f>N2642/(N2642+O2642)</f>
        <v/>
      </c>
      <c r="W2642" s="27">
        <f>U2642*V2642</f>
        <v/>
      </c>
      <c r="X2642" s="25">
        <f>T2642/N2642</f>
        <v/>
      </c>
      <c r="Y2642" s="28">
        <f>IF(W2642=MAXIFS(W$2:W$3601, A$2:A$3601, A2642, B$2:B$3601, B2642), "OPTIMAL", "")</f>
        <v/>
      </c>
    </row>
    <row r="2643" ht="20" customHeight="1">
      <c r="A2643" s="29" t="n">
        <v>-18</v>
      </c>
      <c r="B2643" s="29" t="n">
        <v>35</v>
      </c>
      <c r="C2643" s="30" t="n">
        <v>95</v>
      </c>
      <c r="D2643" s="30" t="n">
        <v>2</v>
      </c>
      <c r="E2643" s="6" t="n">
        <v>0</v>
      </c>
      <c r="F2643" s="30" t="n">
        <v>0</v>
      </c>
      <c r="G2643" s="6" t="inlineStr">
        <is>
          <t>Oui</t>
        </is>
      </c>
      <c r="H2643" s="6" t="inlineStr">
        <is>
          <t>OFF</t>
        </is>
      </c>
      <c r="I2643" s="31" t="n">
        <v>744.7528686370244</v>
      </c>
      <c r="J2643" s="31" t="n">
        <v>6550.668683077564</v>
      </c>
      <c r="K2643" s="31" t="n">
        <v>4222.222222222223</v>
      </c>
      <c r="L2643" s="31" t="n">
        <v>150</v>
      </c>
      <c r="M2643" s="31">
        <f>I2643+J2643+K2643+L2643</f>
        <v/>
      </c>
      <c r="N2643" s="31">
        <f>M2643*'Dashboard &amp; Optimisation'!$B$18/('Dashboard &amp; Optimisation'!$B$16/3.6)</f>
        <v/>
      </c>
      <c r="O2643" s="31" t="n">
        <v>532.7680018885873</v>
      </c>
      <c r="P2643" s="32" t="n">
        <v>0.8201001829378223</v>
      </c>
      <c r="Q2643" s="33" t="n">
        <v>0.2</v>
      </c>
      <c r="R2643" s="31" t="n">
        <v>411.7604627543265</v>
      </c>
      <c r="S2643" s="31">
        <f>R2643*IF(A2643=4, 2.0, 3.0)</f>
        <v/>
      </c>
      <c r="T2643" s="30">
        <f>'Dashboard &amp; Optimisation'!$B$18*U2643</f>
        <v/>
      </c>
      <c r="U2643" s="34">
        <f>MIN(1, S2643/M2643)</f>
        <v/>
      </c>
      <c r="V2643" s="34">
        <f>N2643/(N2643+O2643)</f>
        <v/>
      </c>
      <c r="W2643" s="34">
        <f>U2643*V2643</f>
        <v/>
      </c>
      <c r="X2643" s="32">
        <f>T2643/N2643</f>
        <v/>
      </c>
      <c r="Y2643" s="35">
        <f>IF(W2643=MAXIFS(W$2:W$3601, A$2:A$3601, A2643, B$2:B$3601, B2643), "OPTIMAL", "")</f>
        <v/>
      </c>
    </row>
    <row r="2644" ht="20" customHeight="1">
      <c r="A2644" s="21" t="n">
        <v>-18</v>
      </c>
      <c r="B2644" s="21" t="n">
        <v>35</v>
      </c>
      <c r="C2644" s="22" t="n">
        <v>95</v>
      </c>
      <c r="D2644" s="22" t="n">
        <v>2</v>
      </c>
      <c r="E2644" s="23" t="n">
        <v>0</v>
      </c>
      <c r="F2644" s="22" t="n">
        <v>0</v>
      </c>
      <c r="G2644" s="23" t="inlineStr">
        <is>
          <t>Non</t>
        </is>
      </c>
      <c r="H2644" s="23" t="inlineStr">
        <is>
          <t>ON</t>
        </is>
      </c>
      <c r="I2644" s="24" t="n">
        <v>744.7528686370244</v>
      </c>
      <c r="J2644" s="24" t="n">
        <v>6550.668683077564</v>
      </c>
      <c r="K2644" s="24" t="n">
        <v>4222.222222222223</v>
      </c>
      <c r="L2644" s="24" t="n">
        <v>150</v>
      </c>
      <c r="M2644" s="24">
        <f>I2644+J2644+K2644+L2644</f>
        <v/>
      </c>
      <c r="N2644" s="24">
        <f>M2644*'Dashboard &amp; Optimisation'!$B$18/('Dashboard &amp; Optimisation'!$B$16/3.6)</f>
        <v/>
      </c>
      <c r="O2644" s="24" t="n">
        <v>532.7680018885873</v>
      </c>
      <c r="P2644" s="25" t="n">
        <v>0.4816865144687396</v>
      </c>
      <c r="Q2644" s="26" t="n">
        <v>0.2</v>
      </c>
      <c r="R2644" s="24" t="n">
        <v>701.046885657208</v>
      </c>
      <c r="S2644" s="24">
        <f>R2644*IF(A2644=4, 2.0, 3.0)</f>
        <v/>
      </c>
      <c r="T2644" s="22">
        <f>'Dashboard &amp; Optimisation'!$B$18*U2644</f>
        <v/>
      </c>
      <c r="U2644" s="27">
        <f>MIN(1, S2644/M2644)</f>
        <v/>
      </c>
      <c r="V2644" s="27">
        <f>N2644/(N2644+O2644)</f>
        <v/>
      </c>
      <c r="W2644" s="27">
        <f>U2644*V2644</f>
        <v/>
      </c>
      <c r="X2644" s="25">
        <f>T2644/N2644</f>
        <v/>
      </c>
      <c r="Y2644" s="28">
        <f>IF(W2644=MAXIFS(W$2:W$3601, A$2:A$3601, A2644, B$2:B$3601, B2644), "OPTIMAL", "")</f>
        <v/>
      </c>
    </row>
    <row r="2645" ht="20" customHeight="1">
      <c r="A2645" s="29" t="n">
        <v>-18</v>
      </c>
      <c r="B2645" s="29" t="n">
        <v>35</v>
      </c>
      <c r="C2645" s="30" t="n">
        <v>95</v>
      </c>
      <c r="D2645" s="30" t="n">
        <v>2</v>
      </c>
      <c r="E2645" s="6" t="n">
        <v>0</v>
      </c>
      <c r="F2645" s="30" t="n">
        <v>0</v>
      </c>
      <c r="G2645" s="6" t="inlineStr">
        <is>
          <t>Non</t>
        </is>
      </c>
      <c r="H2645" s="6" t="inlineStr">
        <is>
          <t>OFF</t>
        </is>
      </c>
      <c r="I2645" s="31" t="n">
        <v>744.7528686370244</v>
      </c>
      <c r="J2645" s="31" t="n">
        <v>6550.668683077564</v>
      </c>
      <c r="K2645" s="31" t="n">
        <v>4222.222222222223</v>
      </c>
      <c r="L2645" s="31" t="n">
        <v>150</v>
      </c>
      <c r="M2645" s="31">
        <f>I2645+J2645+K2645+L2645</f>
        <v/>
      </c>
      <c r="N2645" s="31">
        <f>M2645*'Dashboard &amp; Optimisation'!$B$18/('Dashboard &amp; Optimisation'!$B$16/3.6)</f>
        <v/>
      </c>
      <c r="O2645" s="31" t="n">
        <v>532.7680018885873</v>
      </c>
      <c r="P2645" s="32" t="n">
        <v>0.8167495525569404</v>
      </c>
      <c r="Q2645" s="33" t="n">
        <v>0.2</v>
      </c>
      <c r="R2645" s="31" t="n">
        <v>413.4496673725983</v>
      </c>
      <c r="S2645" s="31">
        <f>R2645*IF(A2645=4, 2.0, 3.0)</f>
        <v/>
      </c>
      <c r="T2645" s="30">
        <f>'Dashboard &amp; Optimisation'!$B$18*U2645</f>
        <v/>
      </c>
      <c r="U2645" s="34">
        <f>MIN(1, S2645/M2645)</f>
        <v/>
      </c>
      <c r="V2645" s="34">
        <f>N2645/(N2645+O2645)</f>
        <v/>
      </c>
      <c r="W2645" s="34">
        <f>U2645*V2645</f>
        <v/>
      </c>
      <c r="X2645" s="32">
        <f>T2645/N2645</f>
        <v/>
      </c>
      <c r="Y2645" s="35">
        <f>IF(W2645=MAXIFS(W$2:W$3601, A$2:A$3601, A2645, B$2:B$3601, B2645), "OPTIMAL", "")</f>
        <v/>
      </c>
    </row>
    <row r="2646" ht="20" customHeight="1">
      <c r="A2646" s="21" t="n">
        <v>-18</v>
      </c>
      <c r="B2646" s="21" t="n">
        <v>35</v>
      </c>
      <c r="C2646" s="22" t="n">
        <v>95</v>
      </c>
      <c r="D2646" s="22" t="n">
        <v>2</v>
      </c>
      <c r="E2646" s="23" t="n">
        <v>4</v>
      </c>
      <c r="F2646" s="22" t="n">
        <v>1.5</v>
      </c>
      <c r="G2646" s="23" t="inlineStr">
        <is>
          <t>Oui</t>
        </is>
      </c>
      <c r="H2646" s="23" t="inlineStr">
        <is>
          <t>ON</t>
        </is>
      </c>
      <c r="I2646" s="24" t="n">
        <v>744.7528686370244</v>
      </c>
      <c r="J2646" s="24" t="n">
        <v>6550.668683077564</v>
      </c>
      <c r="K2646" s="24" t="n">
        <v>4222.222222222223</v>
      </c>
      <c r="L2646" s="24" t="n">
        <v>150</v>
      </c>
      <c r="M2646" s="24">
        <f>I2646+J2646+K2646+L2646</f>
        <v/>
      </c>
      <c r="N2646" s="24">
        <f>M2646*'Dashboard &amp; Optimisation'!$B$18/('Dashboard &amp; Optimisation'!$B$16/3.6)</f>
        <v/>
      </c>
      <c r="O2646" s="24" t="n">
        <v>842.2335627277212</v>
      </c>
      <c r="P2646" s="25" t="n">
        <v>0.07557959322797822</v>
      </c>
      <c r="Q2646" s="26" t="n">
        <v>7.077172538771729</v>
      </c>
      <c r="R2646" s="24" t="n">
        <v>4623.182820860119</v>
      </c>
      <c r="S2646" s="24">
        <f>R2646*IF(A2646=4, 2.0, 3.0)</f>
        <v/>
      </c>
      <c r="T2646" s="22">
        <f>'Dashboard &amp; Optimisation'!$B$18*U2646</f>
        <v/>
      </c>
      <c r="U2646" s="27">
        <f>MIN(1, S2646/M2646)</f>
        <v/>
      </c>
      <c r="V2646" s="27">
        <f>N2646/(N2646+O2646)</f>
        <v/>
      </c>
      <c r="W2646" s="27">
        <f>U2646*V2646</f>
        <v/>
      </c>
      <c r="X2646" s="25">
        <f>T2646/N2646</f>
        <v/>
      </c>
      <c r="Y2646" s="28">
        <f>IF(W2646=MAXIFS(W$2:W$3601, A$2:A$3601, A2646, B$2:B$3601, B2646), "OPTIMAL", "")</f>
        <v/>
      </c>
    </row>
    <row r="2647" ht="20" customHeight="1">
      <c r="A2647" s="29" t="n">
        <v>-18</v>
      </c>
      <c r="B2647" s="29" t="n">
        <v>35</v>
      </c>
      <c r="C2647" s="30" t="n">
        <v>95</v>
      </c>
      <c r="D2647" s="30" t="n">
        <v>2</v>
      </c>
      <c r="E2647" s="6" t="n">
        <v>4</v>
      </c>
      <c r="F2647" s="30" t="n">
        <v>1.5</v>
      </c>
      <c r="G2647" s="6" t="inlineStr">
        <is>
          <t>Oui</t>
        </is>
      </c>
      <c r="H2647" s="6" t="inlineStr">
        <is>
          <t>OFF</t>
        </is>
      </c>
      <c r="I2647" s="31" t="n">
        <v>744.7528686370244</v>
      </c>
      <c r="J2647" s="31" t="n">
        <v>6550.668683077564</v>
      </c>
      <c r="K2647" s="31" t="n">
        <v>4222.222222222223</v>
      </c>
      <c r="L2647" s="31" t="n">
        <v>150</v>
      </c>
      <c r="M2647" s="31">
        <f>I2647+J2647+K2647+L2647</f>
        <v/>
      </c>
      <c r="N2647" s="31">
        <f>M2647*'Dashboard &amp; Optimisation'!$B$18/('Dashboard &amp; Optimisation'!$B$16/3.6)</f>
        <v/>
      </c>
      <c r="O2647" s="31" t="n">
        <v>842.2335627277212</v>
      </c>
      <c r="P2647" s="32" t="n">
        <v>0.3180372372232345</v>
      </c>
      <c r="Q2647" s="33" t="n">
        <v>7.077172538771729</v>
      </c>
      <c r="R2647" s="31" t="n">
        <v>1098.670960891046</v>
      </c>
      <c r="S2647" s="31">
        <f>R2647*IF(A2647=4, 2.0, 3.0)</f>
        <v/>
      </c>
      <c r="T2647" s="30">
        <f>'Dashboard &amp; Optimisation'!$B$18*U2647</f>
        <v/>
      </c>
      <c r="U2647" s="34">
        <f>MIN(1, S2647/M2647)</f>
        <v/>
      </c>
      <c r="V2647" s="34">
        <f>N2647/(N2647+O2647)</f>
        <v/>
      </c>
      <c r="W2647" s="34">
        <f>U2647*V2647</f>
        <v/>
      </c>
      <c r="X2647" s="32">
        <f>T2647/N2647</f>
        <v/>
      </c>
      <c r="Y2647" s="35">
        <f>IF(W2647=MAXIFS(W$2:W$3601, A$2:A$3601, A2647, B$2:B$3601, B2647), "OPTIMAL", "")</f>
        <v/>
      </c>
    </row>
    <row r="2648" ht="20" customHeight="1">
      <c r="A2648" s="21" t="n">
        <v>-18</v>
      </c>
      <c r="B2648" s="21" t="n">
        <v>35</v>
      </c>
      <c r="C2648" s="22" t="n">
        <v>95</v>
      </c>
      <c r="D2648" s="22" t="n">
        <v>2</v>
      </c>
      <c r="E2648" s="23" t="n">
        <v>4</v>
      </c>
      <c r="F2648" s="22" t="n">
        <v>1.5</v>
      </c>
      <c r="G2648" s="23" t="inlineStr">
        <is>
          <t>Non</t>
        </is>
      </c>
      <c r="H2648" s="23" t="inlineStr">
        <is>
          <t>ON</t>
        </is>
      </c>
      <c r="I2648" s="24" t="n">
        <v>744.7528686370244</v>
      </c>
      <c r="J2648" s="24" t="n">
        <v>6550.668683077564</v>
      </c>
      <c r="K2648" s="24" t="n">
        <v>4222.222222222223</v>
      </c>
      <c r="L2648" s="24" t="n">
        <v>150</v>
      </c>
      <c r="M2648" s="24">
        <f>I2648+J2648+K2648+L2648</f>
        <v/>
      </c>
      <c r="N2648" s="24">
        <f>M2648*'Dashboard &amp; Optimisation'!$B$18/('Dashboard &amp; Optimisation'!$B$16/3.6)</f>
        <v/>
      </c>
      <c r="O2648" s="24" t="n">
        <v>842.2335627277212</v>
      </c>
      <c r="P2648" s="25" t="n">
        <v>0.07222896284709622</v>
      </c>
      <c r="Q2648" s="26" t="n">
        <v>7.077172538771729</v>
      </c>
      <c r="R2648" s="24" t="n">
        <v>4837.647714240053</v>
      </c>
      <c r="S2648" s="24">
        <f>R2648*IF(A2648=4, 2.0, 3.0)</f>
        <v/>
      </c>
      <c r="T2648" s="22">
        <f>'Dashboard &amp; Optimisation'!$B$18*U2648</f>
        <v/>
      </c>
      <c r="U2648" s="27">
        <f>MIN(1, S2648/M2648)</f>
        <v/>
      </c>
      <c r="V2648" s="27">
        <f>N2648/(N2648+O2648)</f>
        <v/>
      </c>
      <c r="W2648" s="27">
        <f>U2648*V2648</f>
        <v/>
      </c>
      <c r="X2648" s="25">
        <f>T2648/N2648</f>
        <v/>
      </c>
      <c r="Y2648" s="28">
        <f>IF(W2648=MAXIFS(W$2:W$3601, A$2:A$3601, A2648, B$2:B$3601, B2648), "OPTIMAL", "")</f>
        <v/>
      </c>
    </row>
    <row r="2649" ht="20" customHeight="1">
      <c r="A2649" s="29" t="n">
        <v>-18</v>
      </c>
      <c r="B2649" s="29" t="n">
        <v>35</v>
      </c>
      <c r="C2649" s="30" t="n">
        <v>95</v>
      </c>
      <c r="D2649" s="30" t="n">
        <v>2</v>
      </c>
      <c r="E2649" s="6" t="n">
        <v>4</v>
      </c>
      <c r="F2649" s="30" t="n">
        <v>1.5</v>
      </c>
      <c r="G2649" s="6" t="inlineStr">
        <is>
          <t>Non</t>
        </is>
      </c>
      <c r="H2649" s="6" t="inlineStr">
        <is>
          <t>OFF</t>
        </is>
      </c>
      <c r="I2649" s="31" t="n">
        <v>744.7528686370244</v>
      </c>
      <c r="J2649" s="31" t="n">
        <v>6550.668683077564</v>
      </c>
      <c r="K2649" s="31" t="n">
        <v>4222.222222222223</v>
      </c>
      <c r="L2649" s="31" t="n">
        <v>150</v>
      </c>
      <c r="M2649" s="31">
        <f>I2649+J2649+K2649+L2649</f>
        <v/>
      </c>
      <c r="N2649" s="31">
        <f>M2649*'Dashboard &amp; Optimisation'!$B$18/('Dashboard &amp; Optimisation'!$B$16/3.6)</f>
        <v/>
      </c>
      <c r="O2649" s="31" t="n">
        <v>842.2335627277212</v>
      </c>
      <c r="P2649" s="32" t="n">
        <v>0.3146866068423525</v>
      </c>
      <c r="Q2649" s="33" t="n">
        <v>7.077172538771729</v>
      </c>
      <c r="R2649" s="31" t="n">
        <v>1110.369076476876</v>
      </c>
      <c r="S2649" s="31">
        <f>R2649*IF(A2649=4, 2.0, 3.0)</f>
        <v/>
      </c>
      <c r="T2649" s="30">
        <f>'Dashboard &amp; Optimisation'!$B$18*U2649</f>
        <v/>
      </c>
      <c r="U2649" s="34">
        <f>MIN(1, S2649/M2649)</f>
        <v/>
      </c>
      <c r="V2649" s="34">
        <f>N2649/(N2649+O2649)</f>
        <v/>
      </c>
      <c r="W2649" s="34">
        <f>U2649*V2649</f>
        <v/>
      </c>
      <c r="X2649" s="32">
        <f>T2649/N2649</f>
        <v/>
      </c>
      <c r="Y2649" s="35">
        <f>IF(W2649=MAXIFS(W$2:W$3601, A$2:A$3601, A2649, B$2:B$3601, B2649), "OPTIMAL", "")</f>
        <v/>
      </c>
    </row>
    <row r="2650" ht="20" customHeight="1">
      <c r="A2650" s="21" t="n">
        <v>-18</v>
      </c>
      <c r="B2650" s="21" t="n">
        <v>35</v>
      </c>
      <c r="C2650" s="22" t="n">
        <v>95</v>
      </c>
      <c r="D2650" s="22" t="n">
        <v>2</v>
      </c>
      <c r="E2650" s="23" t="n">
        <v>4</v>
      </c>
      <c r="F2650" s="22" t="n">
        <v>2</v>
      </c>
      <c r="G2650" s="23" t="inlineStr">
        <is>
          <t>Oui</t>
        </is>
      </c>
      <c r="H2650" s="23" t="inlineStr">
        <is>
          <t>ON</t>
        </is>
      </c>
      <c r="I2650" s="24" t="n">
        <v>744.7528686370244</v>
      </c>
      <c r="J2650" s="24" t="n">
        <v>6550.668683077564</v>
      </c>
      <c r="K2650" s="24" t="n">
        <v>4222.222222222223</v>
      </c>
      <c r="L2650" s="24" t="n">
        <v>150</v>
      </c>
      <c r="M2650" s="24">
        <f>I2650+J2650+K2650+L2650</f>
        <v/>
      </c>
      <c r="N2650" s="24">
        <f>M2650*'Dashboard &amp; Optimisation'!$B$18/('Dashboard &amp; Optimisation'!$B$16/3.6)</f>
        <v/>
      </c>
      <c r="O2650" s="24" t="n">
        <v>950.2238256549446</v>
      </c>
      <c r="P2650" s="25" t="n">
        <v>0.07304296145994044</v>
      </c>
      <c r="Q2650" s="26" t="n">
        <v>9.36956338502897</v>
      </c>
      <c r="R2650" s="24" t="n">
        <v>4839.79211024962</v>
      </c>
      <c r="S2650" s="24">
        <f>R2650*IF(A2650=4, 2.0, 3.0)</f>
        <v/>
      </c>
      <c r="T2650" s="22">
        <f>'Dashboard &amp; Optimisation'!$B$18*U2650</f>
        <v/>
      </c>
      <c r="U2650" s="27">
        <f>MIN(1, S2650/M2650)</f>
        <v/>
      </c>
      <c r="V2650" s="27">
        <f>N2650/(N2650+O2650)</f>
        <v/>
      </c>
      <c r="W2650" s="27">
        <f>U2650*V2650</f>
        <v/>
      </c>
      <c r="X2650" s="25">
        <f>T2650/N2650</f>
        <v/>
      </c>
      <c r="Y2650" s="28">
        <f>IF(W2650=MAXIFS(W$2:W$3601, A$2:A$3601, A2650, B$2:B$3601, B2650), "OPTIMAL", "")</f>
        <v/>
      </c>
    </row>
    <row r="2651" ht="20" customHeight="1">
      <c r="A2651" s="29" t="n">
        <v>-18</v>
      </c>
      <c r="B2651" s="29" t="n">
        <v>35</v>
      </c>
      <c r="C2651" s="30" t="n">
        <v>95</v>
      </c>
      <c r="D2651" s="30" t="n">
        <v>2</v>
      </c>
      <c r="E2651" s="6" t="n">
        <v>4</v>
      </c>
      <c r="F2651" s="30" t="n">
        <v>2</v>
      </c>
      <c r="G2651" s="6" t="inlineStr">
        <is>
          <t>Oui</t>
        </is>
      </c>
      <c r="H2651" s="6" t="inlineStr">
        <is>
          <t>OFF</t>
        </is>
      </c>
      <c r="I2651" s="31" t="n">
        <v>744.7528686370244</v>
      </c>
      <c r="J2651" s="31" t="n">
        <v>6550.668683077564</v>
      </c>
      <c r="K2651" s="31" t="n">
        <v>4222.222222222223</v>
      </c>
      <c r="L2651" s="31" t="n">
        <v>150</v>
      </c>
      <c r="M2651" s="31">
        <f>I2651+J2651+K2651+L2651</f>
        <v/>
      </c>
      <c r="N2651" s="31">
        <f>M2651*'Dashboard &amp; Optimisation'!$B$18/('Dashboard &amp; Optimisation'!$B$16/3.6)</f>
        <v/>
      </c>
      <c r="O2651" s="31" t="n">
        <v>950.2238256549446</v>
      </c>
      <c r="P2651" s="32" t="n">
        <v>0.316679947936384</v>
      </c>
      <c r="Q2651" s="33" t="n">
        <v>9.36956338502897</v>
      </c>
      <c r="R2651" s="31" t="n">
        <v>1116.30922919724</v>
      </c>
      <c r="S2651" s="31">
        <f>R2651*IF(A2651=4, 2.0, 3.0)</f>
        <v/>
      </c>
      <c r="T2651" s="30">
        <f>'Dashboard &amp; Optimisation'!$B$18*U2651</f>
        <v/>
      </c>
      <c r="U2651" s="34">
        <f>MIN(1, S2651/M2651)</f>
        <v/>
      </c>
      <c r="V2651" s="34">
        <f>N2651/(N2651+O2651)</f>
        <v/>
      </c>
      <c r="W2651" s="34">
        <f>U2651*V2651</f>
        <v/>
      </c>
      <c r="X2651" s="32">
        <f>T2651/N2651</f>
        <v/>
      </c>
      <c r="Y2651" s="35">
        <f>IF(W2651=MAXIFS(W$2:W$3601, A$2:A$3601, A2651, B$2:B$3601, B2651), "OPTIMAL", "")</f>
        <v/>
      </c>
    </row>
    <row r="2652" ht="20" customHeight="1">
      <c r="A2652" s="21" t="n">
        <v>-18</v>
      </c>
      <c r="B2652" s="21" t="n">
        <v>35</v>
      </c>
      <c r="C2652" s="22" t="n">
        <v>95</v>
      </c>
      <c r="D2652" s="22" t="n">
        <v>2</v>
      </c>
      <c r="E2652" s="23" t="n">
        <v>4</v>
      </c>
      <c r="F2652" s="22" t="n">
        <v>2</v>
      </c>
      <c r="G2652" s="23" t="inlineStr">
        <is>
          <t>Non</t>
        </is>
      </c>
      <c r="H2652" s="23" t="inlineStr">
        <is>
          <t>ON</t>
        </is>
      </c>
      <c r="I2652" s="24" t="n">
        <v>744.7528686370244</v>
      </c>
      <c r="J2652" s="24" t="n">
        <v>6550.668683077564</v>
      </c>
      <c r="K2652" s="24" t="n">
        <v>4222.222222222223</v>
      </c>
      <c r="L2652" s="24" t="n">
        <v>150</v>
      </c>
      <c r="M2652" s="24">
        <f>I2652+J2652+K2652+L2652</f>
        <v/>
      </c>
      <c r="N2652" s="24">
        <f>M2652*'Dashboard &amp; Optimisation'!$B$18/('Dashboard &amp; Optimisation'!$B$16/3.6)</f>
        <v/>
      </c>
      <c r="O2652" s="24" t="n">
        <v>950.2238256549446</v>
      </c>
      <c r="P2652" s="25" t="n">
        <v>0.06969233107905842</v>
      </c>
      <c r="Q2652" s="26" t="n">
        <v>9.36956338502897</v>
      </c>
      <c r="R2652" s="24" t="n">
        <v>5072.477030249782</v>
      </c>
      <c r="S2652" s="24">
        <f>R2652*IF(A2652=4, 2.0, 3.0)</f>
        <v/>
      </c>
      <c r="T2652" s="22">
        <f>'Dashboard &amp; Optimisation'!$B$18*U2652</f>
        <v/>
      </c>
      <c r="U2652" s="27">
        <f>MIN(1, S2652/M2652)</f>
        <v/>
      </c>
      <c r="V2652" s="27">
        <f>N2652/(N2652+O2652)</f>
        <v/>
      </c>
      <c r="W2652" s="27">
        <f>U2652*V2652</f>
        <v/>
      </c>
      <c r="X2652" s="25">
        <f>T2652/N2652</f>
        <v/>
      </c>
      <c r="Y2652" s="28">
        <f>IF(W2652=MAXIFS(W$2:W$3601, A$2:A$3601, A2652, B$2:B$3601, B2652), "OPTIMAL", "")</f>
        <v/>
      </c>
    </row>
    <row r="2653" ht="20" customHeight="1">
      <c r="A2653" s="29" t="n">
        <v>-18</v>
      </c>
      <c r="B2653" s="29" t="n">
        <v>35</v>
      </c>
      <c r="C2653" s="30" t="n">
        <v>95</v>
      </c>
      <c r="D2653" s="30" t="n">
        <v>2</v>
      </c>
      <c r="E2653" s="6" t="n">
        <v>4</v>
      </c>
      <c r="F2653" s="30" t="n">
        <v>2</v>
      </c>
      <c r="G2653" s="6" t="inlineStr">
        <is>
          <t>Non</t>
        </is>
      </c>
      <c r="H2653" s="6" t="inlineStr">
        <is>
          <t>OFF</t>
        </is>
      </c>
      <c r="I2653" s="31" t="n">
        <v>744.7528686370244</v>
      </c>
      <c r="J2653" s="31" t="n">
        <v>6550.668683077564</v>
      </c>
      <c r="K2653" s="31" t="n">
        <v>4222.222222222223</v>
      </c>
      <c r="L2653" s="31" t="n">
        <v>150</v>
      </c>
      <c r="M2653" s="31">
        <f>I2653+J2653+K2653+L2653</f>
        <v/>
      </c>
      <c r="N2653" s="31">
        <f>M2653*'Dashboard &amp; Optimisation'!$B$18/('Dashboard &amp; Optimisation'!$B$16/3.6)</f>
        <v/>
      </c>
      <c r="O2653" s="31" t="n">
        <v>950.2238256549446</v>
      </c>
      <c r="P2653" s="32" t="n">
        <v>0.313329317555502</v>
      </c>
      <c r="Q2653" s="33" t="n">
        <v>9.36956338502897</v>
      </c>
      <c r="R2653" s="31" t="n">
        <v>1128.246636290161</v>
      </c>
      <c r="S2653" s="31">
        <f>R2653*IF(A2653=4, 2.0, 3.0)</f>
        <v/>
      </c>
      <c r="T2653" s="30">
        <f>'Dashboard &amp; Optimisation'!$B$18*U2653</f>
        <v/>
      </c>
      <c r="U2653" s="34">
        <f>MIN(1, S2653/M2653)</f>
        <v/>
      </c>
      <c r="V2653" s="34">
        <f>N2653/(N2653+O2653)</f>
        <v/>
      </c>
      <c r="W2653" s="34">
        <f>U2653*V2653</f>
        <v/>
      </c>
      <c r="X2653" s="32">
        <f>T2653/N2653</f>
        <v/>
      </c>
      <c r="Y2653" s="35">
        <f>IF(W2653=MAXIFS(W$2:W$3601, A$2:A$3601, A2653, B$2:B$3601, B2653), "OPTIMAL", "")</f>
        <v/>
      </c>
    </row>
    <row r="2654" ht="20" customHeight="1">
      <c r="A2654" s="21" t="n">
        <v>-18</v>
      </c>
      <c r="B2654" s="21" t="n">
        <v>35</v>
      </c>
      <c r="C2654" s="22" t="n">
        <v>95</v>
      </c>
      <c r="D2654" s="22" t="n">
        <v>2</v>
      </c>
      <c r="E2654" s="23" t="n">
        <v>8</v>
      </c>
      <c r="F2654" s="22" t="n">
        <v>1.5</v>
      </c>
      <c r="G2654" s="23" t="inlineStr">
        <is>
          <t>Oui</t>
        </is>
      </c>
      <c r="H2654" s="23" t="inlineStr">
        <is>
          <t>ON</t>
        </is>
      </c>
      <c r="I2654" s="24" t="n">
        <v>744.7528686370244</v>
      </c>
      <c r="J2654" s="24" t="n">
        <v>6550.668683077564</v>
      </c>
      <c r="K2654" s="24" t="n">
        <v>4222.222222222223</v>
      </c>
      <c r="L2654" s="24" t="n">
        <v>150</v>
      </c>
      <c r="M2654" s="24">
        <f>I2654+J2654+K2654+L2654</f>
        <v/>
      </c>
      <c r="N2654" s="24">
        <f>M2654*'Dashboard &amp; Optimisation'!$B$18/('Dashboard &amp; Optimisation'!$B$16/3.6)</f>
        <v/>
      </c>
      <c r="O2654" s="24" t="n">
        <v>1173.979117922784</v>
      </c>
      <c r="P2654" s="25" t="n">
        <v>0.05699087655301123</v>
      </c>
      <c r="Q2654" s="26" t="n">
        <v>13.95434507754346</v>
      </c>
      <c r="R2654" s="24" t="n">
        <v>6351.832001325252</v>
      </c>
      <c r="S2654" s="24">
        <f>R2654*IF(A2654=4, 2.0, 3.0)</f>
        <v/>
      </c>
      <c r="T2654" s="22">
        <f>'Dashboard &amp; Optimisation'!$B$18*U2654</f>
        <v/>
      </c>
      <c r="U2654" s="27">
        <f>MIN(1, S2654/M2654)</f>
        <v/>
      </c>
      <c r="V2654" s="27">
        <f>N2654/(N2654+O2654)</f>
        <v/>
      </c>
      <c r="W2654" s="27">
        <f>U2654*V2654</f>
        <v/>
      </c>
      <c r="X2654" s="25">
        <f>T2654/N2654</f>
        <v/>
      </c>
      <c r="Y2654" s="28">
        <f>IF(W2654=MAXIFS(W$2:W$3601, A$2:A$3601, A2654, B$2:B$3601, B2654), "OPTIMAL", "")</f>
        <v/>
      </c>
    </row>
    <row r="2655" ht="20" customHeight="1">
      <c r="A2655" s="29" t="n">
        <v>-18</v>
      </c>
      <c r="B2655" s="29" t="n">
        <v>35</v>
      </c>
      <c r="C2655" s="30" t="n">
        <v>95</v>
      </c>
      <c r="D2655" s="30" t="n">
        <v>2</v>
      </c>
      <c r="E2655" s="6" t="n">
        <v>8</v>
      </c>
      <c r="F2655" s="30" t="n">
        <v>1.5</v>
      </c>
      <c r="G2655" s="6" t="inlineStr">
        <is>
          <t>Oui</t>
        </is>
      </c>
      <c r="H2655" s="6" t="inlineStr">
        <is>
          <t>OFF</t>
        </is>
      </c>
      <c r="I2655" s="31" t="n">
        <v>744.7528686370244</v>
      </c>
      <c r="J2655" s="31" t="n">
        <v>6550.668683077564</v>
      </c>
      <c r="K2655" s="31" t="n">
        <v>4222.222222222223</v>
      </c>
      <c r="L2655" s="31" t="n">
        <v>150</v>
      </c>
      <c r="M2655" s="31">
        <f>I2655+J2655+K2655+L2655</f>
        <v/>
      </c>
      <c r="N2655" s="31">
        <f>M2655*'Dashboard &amp; Optimisation'!$B$18/('Dashboard &amp; Optimisation'!$B$16/3.6)</f>
        <v/>
      </c>
      <c r="O2655" s="31" t="n">
        <v>1173.979117922784</v>
      </c>
      <c r="P2655" s="32" t="n">
        <v>0.2469467888801933</v>
      </c>
      <c r="Q2655" s="33" t="n">
        <v>13.95434507754346</v>
      </c>
      <c r="R2655" s="31" t="n">
        <v>1465.888562934977</v>
      </c>
      <c r="S2655" s="31">
        <f>R2655*IF(A2655=4, 2.0, 3.0)</f>
        <v/>
      </c>
      <c r="T2655" s="30">
        <f>'Dashboard &amp; Optimisation'!$B$18*U2655</f>
        <v/>
      </c>
      <c r="U2655" s="34">
        <f>MIN(1, S2655/M2655)</f>
        <v/>
      </c>
      <c r="V2655" s="34">
        <f>N2655/(N2655+O2655)</f>
        <v/>
      </c>
      <c r="W2655" s="34">
        <f>U2655*V2655</f>
        <v/>
      </c>
      <c r="X2655" s="32">
        <f>T2655/N2655</f>
        <v/>
      </c>
      <c r="Y2655" s="35">
        <f>IF(W2655=MAXIFS(W$2:W$3601, A$2:A$3601, A2655, B$2:B$3601, B2655), "OPTIMAL", "")</f>
        <v/>
      </c>
    </row>
    <row r="2656" ht="20" customHeight="1">
      <c r="A2656" s="21" t="n">
        <v>-18</v>
      </c>
      <c r="B2656" s="21" t="n">
        <v>35</v>
      </c>
      <c r="C2656" s="22" t="n">
        <v>95</v>
      </c>
      <c r="D2656" s="22" t="n">
        <v>2</v>
      </c>
      <c r="E2656" s="23" t="n">
        <v>8</v>
      </c>
      <c r="F2656" s="22" t="n">
        <v>1.5</v>
      </c>
      <c r="G2656" s="23" t="inlineStr">
        <is>
          <t>Non</t>
        </is>
      </c>
      <c r="H2656" s="23" t="inlineStr">
        <is>
          <t>ON</t>
        </is>
      </c>
      <c r="I2656" s="24" t="n">
        <v>744.7528686370244</v>
      </c>
      <c r="J2656" s="24" t="n">
        <v>6550.668683077564</v>
      </c>
      <c r="K2656" s="24" t="n">
        <v>4222.222222222223</v>
      </c>
      <c r="L2656" s="24" t="n">
        <v>150</v>
      </c>
      <c r="M2656" s="24">
        <f>I2656+J2656+K2656+L2656</f>
        <v/>
      </c>
      <c r="N2656" s="24">
        <f>M2656*'Dashboard &amp; Optimisation'!$B$18/('Dashboard &amp; Optimisation'!$B$16/3.6)</f>
        <v/>
      </c>
      <c r="O2656" s="24" t="n">
        <v>1173.979117922784</v>
      </c>
      <c r="P2656" s="25" t="n">
        <v>0.05364024617212922</v>
      </c>
      <c r="Q2656" s="26" t="n">
        <v>13.95434507754346</v>
      </c>
      <c r="R2656" s="24" t="n">
        <v>6748.59828777375</v>
      </c>
      <c r="S2656" s="24">
        <f>R2656*IF(A2656=4, 2.0, 3.0)</f>
        <v/>
      </c>
      <c r="T2656" s="22">
        <f>'Dashboard &amp; Optimisation'!$B$18*U2656</f>
        <v/>
      </c>
      <c r="U2656" s="27">
        <f>MIN(1, S2656/M2656)</f>
        <v/>
      </c>
      <c r="V2656" s="27">
        <f>N2656/(N2656+O2656)</f>
        <v/>
      </c>
      <c r="W2656" s="27">
        <f>U2656*V2656</f>
        <v/>
      </c>
      <c r="X2656" s="25">
        <f>T2656/N2656</f>
        <v/>
      </c>
      <c r="Y2656" s="28">
        <f>IF(W2656=MAXIFS(W$2:W$3601, A$2:A$3601, A2656, B$2:B$3601, B2656), "OPTIMAL", "")</f>
        <v/>
      </c>
    </row>
    <row r="2657" ht="20" customHeight="1">
      <c r="A2657" s="29" t="n">
        <v>-18</v>
      </c>
      <c r="B2657" s="29" t="n">
        <v>35</v>
      </c>
      <c r="C2657" s="30" t="n">
        <v>95</v>
      </c>
      <c r="D2657" s="30" t="n">
        <v>2</v>
      </c>
      <c r="E2657" s="6" t="n">
        <v>8</v>
      </c>
      <c r="F2657" s="30" t="n">
        <v>1.5</v>
      </c>
      <c r="G2657" s="6" t="inlineStr">
        <is>
          <t>Non</t>
        </is>
      </c>
      <c r="H2657" s="6" t="inlineStr">
        <is>
          <t>OFF</t>
        </is>
      </c>
      <c r="I2657" s="31" t="n">
        <v>744.7528686370244</v>
      </c>
      <c r="J2657" s="31" t="n">
        <v>6550.668683077564</v>
      </c>
      <c r="K2657" s="31" t="n">
        <v>4222.222222222223</v>
      </c>
      <c r="L2657" s="31" t="n">
        <v>150</v>
      </c>
      <c r="M2657" s="31">
        <f>I2657+J2657+K2657+L2657</f>
        <v/>
      </c>
      <c r="N2657" s="31">
        <f>M2657*'Dashboard &amp; Optimisation'!$B$18/('Dashboard &amp; Optimisation'!$B$16/3.6)</f>
        <v/>
      </c>
      <c r="O2657" s="31" t="n">
        <v>1173.979117922784</v>
      </c>
      <c r="P2657" s="32" t="n">
        <v>0.2435961584993113</v>
      </c>
      <c r="Q2657" s="33" t="n">
        <v>13.95434507754346</v>
      </c>
      <c r="R2657" s="31" t="n">
        <v>1486.051650826904</v>
      </c>
      <c r="S2657" s="31">
        <f>R2657*IF(A2657=4, 2.0, 3.0)</f>
        <v/>
      </c>
      <c r="T2657" s="30">
        <f>'Dashboard &amp; Optimisation'!$B$18*U2657</f>
        <v/>
      </c>
      <c r="U2657" s="34">
        <f>MIN(1, S2657/M2657)</f>
        <v/>
      </c>
      <c r="V2657" s="34">
        <f>N2657/(N2657+O2657)</f>
        <v/>
      </c>
      <c r="W2657" s="34">
        <f>U2657*V2657</f>
        <v/>
      </c>
      <c r="X2657" s="32">
        <f>T2657/N2657</f>
        <v/>
      </c>
      <c r="Y2657" s="35">
        <f>IF(W2657=MAXIFS(W$2:W$3601, A$2:A$3601, A2657, B$2:B$3601, B2657), "OPTIMAL", "")</f>
        <v/>
      </c>
    </row>
    <row r="2658" ht="20" customHeight="1">
      <c r="A2658" s="21" t="n">
        <v>-18</v>
      </c>
      <c r="B2658" s="21" t="n">
        <v>35</v>
      </c>
      <c r="C2658" s="22" t="n">
        <v>95</v>
      </c>
      <c r="D2658" s="22" t="n">
        <v>2</v>
      </c>
      <c r="E2658" s="23" t="n">
        <v>8</v>
      </c>
      <c r="F2658" s="22" t="n">
        <v>2</v>
      </c>
      <c r="G2658" s="23" t="inlineStr">
        <is>
          <t>Oui</t>
        </is>
      </c>
      <c r="H2658" s="23" t="inlineStr">
        <is>
          <t>ON</t>
        </is>
      </c>
      <c r="I2658" s="24" t="n">
        <v>744.7528686370244</v>
      </c>
      <c r="J2658" s="24" t="n">
        <v>6550.668683077564</v>
      </c>
      <c r="K2658" s="24" t="n">
        <v>4222.222222222223</v>
      </c>
      <c r="L2658" s="24" t="n">
        <v>150</v>
      </c>
      <c r="M2658" s="24">
        <f>I2658+J2658+K2658+L2658</f>
        <v/>
      </c>
      <c r="N2658" s="24">
        <f>M2658*'Dashboard &amp; Optimisation'!$B$18/('Dashboard &amp; Optimisation'!$B$16/3.6)</f>
        <v/>
      </c>
      <c r="O2658" s="24" t="n">
        <v>1408.737996624842</v>
      </c>
      <c r="P2658" s="25" t="n">
        <v>0.05584601824581075</v>
      </c>
      <c r="Q2658" s="26" t="n">
        <v>18.53912677005794</v>
      </c>
      <c r="R2658" s="24" t="n">
        <v>6641.429650791164</v>
      </c>
      <c r="S2658" s="24">
        <f>R2658*IF(A2658=4, 2.0, 3.0)</f>
        <v/>
      </c>
      <c r="T2658" s="22">
        <f>'Dashboard &amp; Optimisation'!$B$18*U2658</f>
        <v/>
      </c>
      <c r="U2658" s="27">
        <f>MIN(1, S2658/M2658)</f>
        <v/>
      </c>
      <c r="V2658" s="27">
        <f>N2658/(N2658+O2658)</f>
        <v/>
      </c>
      <c r="W2658" s="27">
        <f>U2658*V2658</f>
        <v/>
      </c>
      <c r="X2658" s="25">
        <f>T2658/N2658</f>
        <v/>
      </c>
      <c r="Y2658" s="28">
        <f>IF(W2658=MAXIFS(W$2:W$3601, A$2:A$3601, A2658, B$2:B$3601, B2658), "OPTIMAL", "")</f>
        <v/>
      </c>
    </row>
    <row r="2659" ht="20" customHeight="1">
      <c r="A2659" s="29" t="n">
        <v>-18</v>
      </c>
      <c r="B2659" s="29" t="n">
        <v>35</v>
      </c>
      <c r="C2659" s="30" t="n">
        <v>95</v>
      </c>
      <c r="D2659" s="30" t="n">
        <v>2</v>
      </c>
      <c r="E2659" s="6" t="n">
        <v>8</v>
      </c>
      <c r="F2659" s="30" t="n">
        <v>2</v>
      </c>
      <c r="G2659" s="6" t="inlineStr">
        <is>
          <t>Oui</t>
        </is>
      </c>
      <c r="H2659" s="6" t="inlineStr">
        <is>
          <t>OFF</t>
        </is>
      </c>
      <c r="I2659" s="31" t="n">
        <v>744.7528686370244</v>
      </c>
      <c r="J2659" s="31" t="n">
        <v>6550.668683077564</v>
      </c>
      <c r="K2659" s="31" t="n">
        <v>4222.222222222223</v>
      </c>
      <c r="L2659" s="31" t="n">
        <v>150</v>
      </c>
      <c r="M2659" s="31">
        <f>I2659+J2659+K2659+L2659</f>
        <v/>
      </c>
      <c r="N2659" s="31">
        <f>M2659*'Dashboard &amp; Optimisation'!$B$18/('Dashboard &amp; Optimisation'!$B$16/3.6)</f>
        <v/>
      </c>
      <c r="O2659" s="31" t="n">
        <v>1408.737996624842</v>
      </c>
      <c r="P2659" s="32" t="n">
        <v>0.2472541696165357</v>
      </c>
      <c r="Q2659" s="33" t="n">
        <v>18.53912677005794</v>
      </c>
      <c r="R2659" s="31" t="n">
        <v>1500.065305396359</v>
      </c>
      <c r="S2659" s="31">
        <f>R2659*IF(A2659=4, 2.0, 3.0)</f>
        <v/>
      </c>
      <c r="T2659" s="30">
        <f>'Dashboard &amp; Optimisation'!$B$18*U2659</f>
        <v/>
      </c>
      <c r="U2659" s="34">
        <f>MIN(1, S2659/M2659)</f>
        <v/>
      </c>
      <c r="V2659" s="34">
        <f>N2659/(N2659+O2659)</f>
        <v/>
      </c>
      <c r="W2659" s="34">
        <f>U2659*V2659</f>
        <v/>
      </c>
      <c r="X2659" s="32">
        <f>T2659/N2659</f>
        <v/>
      </c>
      <c r="Y2659" s="35">
        <f>IF(W2659=MAXIFS(W$2:W$3601, A$2:A$3601, A2659, B$2:B$3601, B2659), "OPTIMAL", "")</f>
        <v/>
      </c>
    </row>
    <row r="2660" ht="20" customHeight="1">
      <c r="A2660" s="21" t="n">
        <v>-18</v>
      </c>
      <c r="B2660" s="21" t="n">
        <v>35</v>
      </c>
      <c r="C2660" s="22" t="n">
        <v>95</v>
      </c>
      <c r="D2660" s="22" t="n">
        <v>2</v>
      </c>
      <c r="E2660" s="23" t="n">
        <v>8</v>
      </c>
      <c r="F2660" s="22" t="n">
        <v>2</v>
      </c>
      <c r="G2660" s="23" t="inlineStr">
        <is>
          <t>Non</t>
        </is>
      </c>
      <c r="H2660" s="23" t="inlineStr">
        <is>
          <t>ON</t>
        </is>
      </c>
      <c r="I2660" s="24" t="n">
        <v>744.7528686370244</v>
      </c>
      <c r="J2660" s="24" t="n">
        <v>6550.668683077564</v>
      </c>
      <c r="K2660" s="24" t="n">
        <v>4222.222222222223</v>
      </c>
      <c r="L2660" s="24" t="n">
        <v>150</v>
      </c>
      <c r="M2660" s="24">
        <f>I2660+J2660+K2660+L2660</f>
        <v/>
      </c>
      <c r="N2660" s="24">
        <f>M2660*'Dashboard &amp; Optimisation'!$B$18/('Dashboard &amp; Optimisation'!$B$16/3.6)</f>
        <v/>
      </c>
      <c r="O2660" s="24" t="n">
        <v>1408.737996624842</v>
      </c>
      <c r="P2660" s="25" t="n">
        <v>0.05249538786492874</v>
      </c>
      <c r="Q2660" s="26" t="n">
        <v>18.53912677005794</v>
      </c>
      <c r="R2660" s="24" t="n">
        <v>7065.33309956058</v>
      </c>
      <c r="S2660" s="24">
        <f>R2660*IF(A2660=4, 2.0, 3.0)</f>
        <v/>
      </c>
      <c r="T2660" s="22">
        <f>'Dashboard &amp; Optimisation'!$B$18*U2660</f>
        <v/>
      </c>
      <c r="U2660" s="27">
        <f>MIN(1, S2660/M2660)</f>
        <v/>
      </c>
      <c r="V2660" s="27">
        <f>N2660/(N2660+O2660)</f>
        <v/>
      </c>
      <c r="W2660" s="27">
        <f>U2660*V2660</f>
        <v/>
      </c>
      <c r="X2660" s="25">
        <f>T2660/N2660</f>
        <v/>
      </c>
      <c r="Y2660" s="28">
        <f>IF(W2660=MAXIFS(W$2:W$3601, A$2:A$3601, A2660, B$2:B$3601, B2660), "OPTIMAL", "")</f>
        <v/>
      </c>
    </row>
    <row r="2661" ht="20" customHeight="1">
      <c r="A2661" s="29" t="n">
        <v>-18</v>
      </c>
      <c r="B2661" s="29" t="n">
        <v>35</v>
      </c>
      <c r="C2661" s="30" t="n">
        <v>95</v>
      </c>
      <c r="D2661" s="30" t="n">
        <v>2</v>
      </c>
      <c r="E2661" s="6" t="n">
        <v>8</v>
      </c>
      <c r="F2661" s="30" t="n">
        <v>2</v>
      </c>
      <c r="G2661" s="6" t="inlineStr">
        <is>
          <t>Non</t>
        </is>
      </c>
      <c r="H2661" s="6" t="inlineStr">
        <is>
          <t>OFF</t>
        </is>
      </c>
      <c r="I2661" s="31" t="n">
        <v>744.7528686370244</v>
      </c>
      <c r="J2661" s="31" t="n">
        <v>6550.668683077564</v>
      </c>
      <c r="K2661" s="31" t="n">
        <v>4222.222222222223</v>
      </c>
      <c r="L2661" s="31" t="n">
        <v>150</v>
      </c>
      <c r="M2661" s="31">
        <f>I2661+J2661+K2661+L2661</f>
        <v/>
      </c>
      <c r="N2661" s="31">
        <f>M2661*'Dashboard &amp; Optimisation'!$B$18/('Dashboard &amp; Optimisation'!$B$16/3.6)</f>
        <v/>
      </c>
      <c r="O2661" s="31" t="n">
        <v>1408.737996624842</v>
      </c>
      <c r="P2661" s="32" t="n">
        <v>0.2439035392356537</v>
      </c>
      <c r="Q2661" s="33" t="n">
        <v>18.53912677005794</v>
      </c>
      <c r="R2661" s="31" t="n">
        <v>1520.672486420953</v>
      </c>
      <c r="S2661" s="31">
        <f>R2661*IF(A2661=4, 2.0, 3.0)</f>
        <v/>
      </c>
      <c r="T2661" s="30">
        <f>'Dashboard &amp; Optimisation'!$B$18*U2661</f>
        <v/>
      </c>
      <c r="U2661" s="34">
        <f>MIN(1, S2661/M2661)</f>
        <v/>
      </c>
      <c r="V2661" s="34">
        <f>N2661/(N2661+O2661)</f>
        <v/>
      </c>
      <c r="W2661" s="34">
        <f>U2661*V2661</f>
        <v/>
      </c>
      <c r="X2661" s="32">
        <f>T2661/N2661</f>
        <v/>
      </c>
      <c r="Y2661" s="35">
        <f>IF(W2661=MAXIFS(W$2:W$3601, A$2:A$3601, A2661, B$2:B$3601, B2661), "OPTIMAL", "")</f>
        <v/>
      </c>
    </row>
    <row r="2662" ht="20" customHeight="1">
      <c r="A2662" s="21" t="n">
        <v>-18</v>
      </c>
      <c r="B2662" s="21" t="n">
        <v>35</v>
      </c>
      <c r="C2662" s="22" t="n">
        <v>95</v>
      </c>
      <c r="D2662" s="22" t="n">
        <v>3</v>
      </c>
      <c r="E2662" s="23" t="n">
        <v>0</v>
      </c>
      <c r="F2662" s="22" t="n">
        <v>0</v>
      </c>
      <c r="G2662" s="23" t="inlineStr">
        <is>
          <t>Oui</t>
        </is>
      </c>
      <c r="H2662" s="23" t="inlineStr">
        <is>
          <t>ON</t>
        </is>
      </c>
      <c r="I2662" s="24" t="n">
        <v>744.7528686370244</v>
      </c>
      <c r="J2662" s="24" t="n">
        <v>6550.668683077564</v>
      </c>
      <c r="K2662" s="24" t="n">
        <v>4222.222222222223</v>
      </c>
      <c r="L2662" s="24" t="n">
        <v>150</v>
      </c>
      <c r="M2662" s="24">
        <f>I2662+J2662+K2662+L2662</f>
        <v/>
      </c>
      <c r="N2662" s="24">
        <f>M2662*'Dashboard &amp; Optimisation'!$B$18/('Dashboard &amp; Optimisation'!$B$16/3.6)</f>
        <v/>
      </c>
      <c r="O2662" s="24" t="n">
        <v>826.4889325940933</v>
      </c>
      <c r="P2662" s="25" t="n">
        <v>0.4850543981280133</v>
      </c>
      <c r="Q2662" s="26" t="n">
        <v>0.2</v>
      </c>
      <c r="R2662" s="24" t="n">
        <v>727.8198175021357</v>
      </c>
      <c r="S2662" s="24">
        <f>R2662*IF(A2662=4, 2.0, 3.0)</f>
        <v/>
      </c>
      <c r="T2662" s="22">
        <f>'Dashboard &amp; Optimisation'!$B$18*U2662</f>
        <v/>
      </c>
      <c r="U2662" s="27">
        <f>MIN(1, S2662/M2662)</f>
        <v/>
      </c>
      <c r="V2662" s="27">
        <f>N2662/(N2662+O2662)</f>
        <v/>
      </c>
      <c r="W2662" s="27">
        <f>U2662*V2662</f>
        <v/>
      </c>
      <c r="X2662" s="25">
        <f>T2662/N2662</f>
        <v/>
      </c>
      <c r="Y2662" s="28">
        <f>IF(W2662=MAXIFS(W$2:W$3601, A$2:A$3601, A2662, B$2:B$3601, B2662), "OPTIMAL", "")</f>
        <v/>
      </c>
    </row>
    <row r="2663" ht="20" customHeight="1">
      <c r="A2663" s="29" t="n">
        <v>-18</v>
      </c>
      <c r="B2663" s="29" t="n">
        <v>35</v>
      </c>
      <c r="C2663" s="30" t="n">
        <v>95</v>
      </c>
      <c r="D2663" s="30" t="n">
        <v>3</v>
      </c>
      <c r="E2663" s="6" t="n">
        <v>0</v>
      </c>
      <c r="F2663" s="30" t="n">
        <v>0</v>
      </c>
      <c r="G2663" s="6" t="inlineStr">
        <is>
          <t>Oui</t>
        </is>
      </c>
      <c r="H2663" s="6" t="inlineStr">
        <is>
          <t>OFF</t>
        </is>
      </c>
      <c r="I2663" s="31" t="n">
        <v>744.7528686370244</v>
      </c>
      <c r="J2663" s="31" t="n">
        <v>6550.668683077564</v>
      </c>
      <c r="K2663" s="31" t="n">
        <v>4222.222222222223</v>
      </c>
      <c r="L2663" s="31" t="n">
        <v>150</v>
      </c>
      <c r="M2663" s="31">
        <f>I2663+J2663+K2663+L2663</f>
        <v/>
      </c>
      <c r="N2663" s="31">
        <f>M2663*'Dashboard &amp; Optimisation'!$B$18/('Dashboard &amp; Optimisation'!$B$16/3.6)</f>
        <v/>
      </c>
      <c r="O2663" s="31" t="n">
        <v>826.4889325940933</v>
      </c>
      <c r="P2663" s="32" t="n">
        <v>0.820117436216214</v>
      </c>
      <c r="Q2663" s="33" t="n">
        <v>0.2</v>
      </c>
      <c r="R2663" s="31" t="n">
        <v>430.465428406117</v>
      </c>
      <c r="S2663" s="31">
        <f>R2663*IF(A2663=4, 2.0, 3.0)</f>
        <v/>
      </c>
      <c r="T2663" s="30">
        <f>'Dashboard &amp; Optimisation'!$B$18*U2663</f>
        <v/>
      </c>
      <c r="U2663" s="34">
        <f>MIN(1, S2663/M2663)</f>
        <v/>
      </c>
      <c r="V2663" s="34">
        <f>N2663/(N2663+O2663)</f>
        <v/>
      </c>
      <c r="W2663" s="34">
        <f>U2663*V2663</f>
        <v/>
      </c>
      <c r="X2663" s="32">
        <f>T2663/N2663</f>
        <v/>
      </c>
      <c r="Y2663" s="35">
        <f>IF(W2663=MAXIFS(W$2:W$3601, A$2:A$3601, A2663, B$2:B$3601, B2663), "OPTIMAL", "")</f>
        <v/>
      </c>
    </row>
    <row r="2664" ht="20" customHeight="1">
      <c r="A2664" s="21" t="n">
        <v>-18</v>
      </c>
      <c r="B2664" s="21" t="n">
        <v>35</v>
      </c>
      <c r="C2664" s="22" t="n">
        <v>95</v>
      </c>
      <c r="D2664" s="22" t="n">
        <v>3</v>
      </c>
      <c r="E2664" s="23" t="n">
        <v>0</v>
      </c>
      <c r="F2664" s="22" t="n">
        <v>0</v>
      </c>
      <c r="G2664" s="23" t="inlineStr">
        <is>
          <t>Non</t>
        </is>
      </c>
      <c r="H2664" s="23" t="inlineStr">
        <is>
          <t>ON</t>
        </is>
      </c>
      <c r="I2664" s="24" t="n">
        <v>744.7528686370244</v>
      </c>
      <c r="J2664" s="24" t="n">
        <v>6550.668683077564</v>
      </c>
      <c r="K2664" s="24" t="n">
        <v>4222.222222222223</v>
      </c>
      <c r="L2664" s="24" t="n">
        <v>150</v>
      </c>
      <c r="M2664" s="24">
        <f>I2664+J2664+K2664+L2664</f>
        <v/>
      </c>
      <c r="N2664" s="24">
        <f>M2664*'Dashboard &amp; Optimisation'!$B$18/('Dashboard &amp; Optimisation'!$B$16/3.6)</f>
        <v/>
      </c>
      <c r="O2664" s="24" t="n">
        <v>826.4889325940933</v>
      </c>
      <c r="P2664" s="25" t="n">
        <v>0.4817037677471313</v>
      </c>
      <c r="Q2664" s="26" t="n">
        <v>0.2</v>
      </c>
      <c r="R2664" s="24" t="n">
        <v>732.8823795072783</v>
      </c>
      <c r="S2664" s="24">
        <f>R2664*IF(A2664=4, 2.0, 3.0)</f>
        <v/>
      </c>
      <c r="T2664" s="22">
        <f>'Dashboard &amp; Optimisation'!$B$18*U2664</f>
        <v/>
      </c>
      <c r="U2664" s="27">
        <f>MIN(1, S2664/M2664)</f>
        <v/>
      </c>
      <c r="V2664" s="27">
        <f>N2664/(N2664+O2664)</f>
        <v/>
      </c>
      <c r="W2664" s="27">
        <f>U2664*V2664</f>
        <v/>
      </c>
      <c r="X2664" s="25">
        <f>T2664/N2664</f>
        <v/>
      </c>
      <c r="Y2664" s="28">
        <f>IF(W2664=MAXIFS(W$2:W$3601, A$2:A$3601, A2664, B$2:B$3601, B2664), "OPTIMAL", "")</f>
        <v/>
      </c>
    </row>
    <row r="2665" ht="20" customHeight="1">
      <c r="A2665" s="29" t="n">
        <v>-18</v>
      </c>
      <c r="B2665" s="29" t="n">
        <v>35</v>
      </c>
      <c r="C2665" s="30" t="n">
        <v>95</v>
      </c>
      <c r="D2665" s="30" t="n">
        <v>3</v>
      </c>
      <c r="E2665" s="6" t="n">
        <v>0</v>
      </c>
      <c r="F2665" s="30" t="n">
        <v>0</v>
      </c>
      <c r="G2665" s="6" t="inlineStr">
        <is>
          <t>Non</t>
        </is>
      </c>
      <c r="H2665" s="6" t="inlineStr">
        <is>
          <t>OFF</t>
        </is>
      </c>
      <c r="I2665" s="31" t="n">
        <v>744.7528686370244</v>
      </c>
      <c r="J2665" s="31" t="n">
        <v>6550.668683077564</v>
      </c>
      <c r="K2665" s="31" t="n">
        <v>4222.222222222223</v>
      </c>
      <c r="L2665" s="31" t="n">
        <v>150</v>
      </c>
      <c r="M2665" s="31">
        <f>I2665+J2665+K2665+L2665</f>
        <v/>
      </c>
      <c r="N2665" s="31">
        <f>M2665*'Dashboard &amp; Optimisation'!$B$18/('Dashboard &amp; Optimisation'!$B$16/3.6)</f>
        <v/>
      </c>
      <c r="O2665" s="31" t="n">
        <v>826.4889325940933</v>
      </c>
      <c r="P2665" s="32" t="n">
        <v>0.816766805835332</v>
      </c>
      <c r="Q2665" s="33" t="n">
        <v>0.2</v>
      </c>
      <c r="R2665" s="31" t="n">
        <v>432.2313309036625</v>
      </c>
      <c r="S2665" s="31">
        <f>R2665*IF(A2665=4, 2.0, 3.0)</f>
        <v/>
      </c>
      <c r="T2665" s="30">
        <f>'Dashboard &amp; Optimisation'!$B$18*U2665</f>
        <v/>
      </c>
      <c r="U2665" s="34">
        <f>MIN(1, S2665/M2665)</f>
        <v/>
      </c>
      <c r="V2665" s="34">
        <f>N2665/(N2665+O2665)</f>
        <v/>
      </c>
      <c r="W2665" s="34">
        <f>U2665*V2665</f>
        <v/>
      </c>
      <c r="X2665" s="32">
        <f>T2665/N2665</f>
        <v/>
      </c>
      <c r="Y2665" s="35">
        <f>IF(W2665=MAXIFS(W$2:W$3601, A$2:A$3601, A2665, B$2:B$3601, B2665), "OPTIMAL", "")</f>
        <v/>
      </c>
    </row>
    <row r="2666" ht="20" customHeight="1">
      <c r="A2666" s="21" t="n">
        <v>-18</v>
      </c>
      <c r="B2666" s="21" t="n">
        <v>35</v>
      </c>
      <c r="C2666" s="22" t="n">
        <v>95</v>
      </c>
      <c r="D2666" s="22" t="n">
        <v>3</v>
      </c>
      <c r="E2666" s="23" t="n">
        <v>4</v>
      </c>
      <c r="F2666" s="22" t="n">
        <v>1.5</v>
      </c>
      <c r="G2666" s="23" t="inlineStr">
        <is>
          <t>Oui</t>
        </is>
      </c>
      <c r="H2666" s="23" t="inlineStr">
        <is>
          <t>ON</t>
        </is>
      </c>
      <c r="I2666" s="24" t="n">
        <v>744.7528686370244</v>
      </c>
      <c r="J2666" s="24" t="n">
        <v>6550.668683077564</v>
      </c>
      <c r="K2666" s="24" t="n">
        <v>4222.222222222223</v>
      </c>
      <c r="L2666" s="24" t="n">
        <v>150</v>
      </c>
      <c r="M2666" s="24">
        <f>I2666+J2666+K2666+L2666</f>
        <v/>
      </c>
      <c r="N2666" s="24">
        <f>M2666*'Dashboard &amp; Optimisation'!$B$18/('Dashboard &amp; Optimisation'!$B$16/3.6)</f>
        <v/>
      </c>
      <c r="O2666" s="24" t="n">
        <v>1155.551842424653</v>
      </c>
      <c r="P2666" s="25" t="n">
        <v>0.07535655472626097</v>
      </c>
      <c r="Q2666" s="26" t="n">
        <v>7.231715741890194</v>
      </c>
      <c r="R2666" s="24" t="n">
        <v>4851.394544228392</v>
      </c>
      <c r="S2666" s="24">
        <f>R2666*IF(A2666=4, 2.0, 3.0)</f>
        <v/>
      </c>
      <c r="T2666" s="22">
        <f>'Dashboard &amp; Optimisation'!$B$18*U2666</f>
        <v/>
      </c>
      <c r="U2666" s="27">
        <f>MIN(1, S2666/M2666)</f>
        <v/>
      </c>
      <c r="V2666" s="27">
        <f>N2666/(N2666+O2666)</f>
        <v/>
      </c>
      <c r="W2666" s="27">
        <f>U2666*V2666</f>
        <v/>
      </c>
      <c r="X2666" s="25">
        <f>T2666/N2666</f>
        <v/>
      </c>
      <c r="Y2666" s="28">
        <f>IF(W2666=MAXIFS(W$2:W$3601, A$2:A$3601, A2666, B$2:B$3601, B2666), "OPTIMAL", "")</f>
        <v/>
      </c>
    </row>
    <row r="2667" ht="20" customHeight="1">
      <c r="A2667" s="29" t="n">
        <v>-18</v>
      </c>
      <c r="B2667" s="29" t="n">
        <v>35</v>
      </c>
      <c r="C2667" s="30" t="n">
        <v>95</v>
      </c>
      <c r="D2667" s="30" t="n">
        <v>3</v>
      </c>
      <c r="E2667" s="6" t="n">
        <v>4</v>
      </c>
      <c r="F2667" s="30" t="n">
        <v>1.5</v>
      </c>
      <c r="G2667" s="6" t="inlineStr">
        <is>
          <t>Oui</t>
        </is>
      </c>
      <c r="H2667" s="6" t="inlineStr">
        <is>
          <t>OFF</t>
        </is>
      </c>
      <c r="I2667" s="31" t="n">
        <v>744.7528686370244</v>
      </c>
      <c r="J2667" s="31" t="n">
        <v>6550.668683077564</v>
      </c>
      <c r="K2667" s="31" t="n">
        <v>4222.222222222223</v>
      </c>
      <c r="L2667" s="31" t="n">
        <v>150</v>
      </c>
      <c r="M2667" s="31">
        <f>I2667+J2667+K2667+L2667</f>
        <v/>
      </c>
      <c r="N2667" s="31">
        <f>M2667*'Dashboard &amp; Optimisation'!$B$18/('Dashboard &amp; Optimisation'!$B$16/3.6)</f>
        <v/>
      </c>
      <c r="O2667" s="31" t="n">
        <v>1155.551842424653</v>
      </c>
      <c r="P2667" s="32" t="n">
        <v>0.3178141987215173</v>
      </c>
      <c r="Q2667" s="33" t="n">
        <v>7.231715741890194</v>
      </c>
      <c r="R2667" s="31" t="n">
        <v>1150.308513406513</v>
      </c>
      <c r="S2667" s="31">
        <f>R2667*IF(A2667=4, 2.0, 3.0)</f>
        <v/>
      </c>
      <c r="T2667" s="30">
        <f>'Dashboard &amp; Optimisation'!$B$18*U2667</f>
        <v/>
      </c>
      <c r="U2667" s="34">
        <f>MIN(1, S2667/M2667)</f>
        <v/>
      </c>
      <c r="V2667" s="34">
        <f>N2667/(N2667+O2667)</f>
        <v/>
      </c>
      <c r="W2667" s="34">
        <f>U2667*V2667</f>
        <v/>
      </c>
      <c r="X2667" s="32">
        <f>T2667/N2667</f>
        <v/>
      </c>
      <c r="Y2667" s="35">
        <f>IF(W2667=MAXIFS(W$2:W$3601, A$2:A$3601, A2667, B$2:B$3601, B2667), "OPTIMAL", "")</f>
        <v/>
      </c>
    </row>
    <row r="2668" ht="20" customHeight="1">
      <c r="A2668" s="21" t="n">
        <v>-18</v>
      </c>
      <c r="B2668" s="21" t="n">
        <v>35</v>
      </c>
      <c r="C2668" s="22" t="n">
        <v>95</v>
      </c>
      <c r="D2668" s="22" t="n">
        <v>3</v>
      </c>
      <c r="E2668" s="23" t="n">
        <v>4</v>
      </c>
      <c r="F2668" s="22" t="n">
        <v>1.5</v>
      </c>
      <c r="G2668" s="23" t="inlineStr">
        <is>
          <t>Non</t>
        </is>
      </c>
      <c r="H2668" s="23" t="inlineStr">
        <is>
          <t>ON</t>
        </is>
      </c>
      <c r="I2668" s="24" t="n">
        <v>744.7528686370244</v>
      </c>
      <c r="J2668" s="24" t="n">
        <v>6550.668683077564</v>
      </c>
      <c r="K2668" s="24" t="n">
        <v>4222.222222222223</v>
      </c>
      <c r="L2668" s="24" t="n">
        <v>150</v>
      </c>
      <c r="M2668" s="24">
        <f>I2668+J2668+K2668+L2668</f>
        <v/>
      </c>
      <c r="N2668" s="24">
        <f>M2668*'Dashboard &amp; Optimisation'!$B$18/('Dashboard &amp; Optimisation'!$B$16/3.6)</f>
        <v/>
      </c>
      <c r="O2668" s="24" t="n">
        <v>1155.551842424653</v>
      </c>
      <c r="P2668" s="25" t="n">
        <v>0.07200592434537897</v>
      </c>
      <c r="Q2668" s="26" t="n">
        <v>7.231715741890194</v>
      </c>
      <c r="R2668" s="24" t="n">
        <v>5077.143051692417</v>
      </c>
      <c r="S2668" s="24">
        <f>R2668*IF(A2668=4, 2.0, 3.0)</f>
        <v/>
      </c>
      <c r="T2668" s="22">
        <f>'Dashboard &amp; Optimisation'!$B$18*U2668</f>
        <v/>
      </c>
      <c r="U2668" s="27">
        <f>MIN(1, S2668/M2668)</f>
        <v/>
      </c>
      <c r="V2668" s="27">
        <f>N2668/(N2668+O2668)</f>
        <v/>
      </c>
      <c r="W2668" s="27">
        <f>U2668*V2668</f>
        <v/>
      </c>
      <c r="X2668" s="25">
        <f>T2668/N2668</f>
        <v/>
      </c>
      <c r="Y2668" s="28">
        <f>IF(W2668=MAXIFS(W$2:W$3601, A$2:A$3601, A2668, B$2:B$3601, B2668), "OPTIMAL", "")</f>
        <v/>
      </c>
    </row>
    <row r="2669" ht="20" customHeight="1">
      <c r="A2669" s="29" t="n">
        <v>-18</v>
      </c>
      <c r="B2669" s="29" t="n">
        <v>35</v>
      </c>
      <c r="C2669" s="30" t="n">
        <v>95</v>
      </c>
      <c r="D2669" s="30" t="n">
        <v>3</v>
      </c>
      <c r="E2669" s="6" t="n">
        <v>4</v>
      </c>
      <c r="F2669" s="30" t="n">
        <v>1.5</v>
      </c>
      <c r="G2669" s="6" t="inlineStr">
        <is>
          <t>Non</t>
        </is>
      </c>
      <c r="H2669" s="6" t="inlineStr">
        <is>
          <t>OFF</t>
        </is>
      </c>
      <c r="I2669" s="31" t="n">
        <v>744.7528686370244</v>
      </c>
      <c r="J2669" s="31" t="n">
        <v>6550.668683077564</v>
      </c>
      <c r="K2669" s="31" t="n">
        <v>4222.222222222223</v>
      </c>
      <c r="L2669" s="31" t="n">
        <v>150</v>
      </c>
      <c r="M2669" s="31">
        <f>I2669+J2669+K2669+L2669</f>
        <v/>
      </c>
      <c r="N2669" s="31">
        <f>M2669*'Dashboard &amp; Optimisation'!$B$18/('Dashboard &amp; Optimisation'!$B$16/3.6)</f>
        <v/>
      </c>
      <c r="O2669" s="31" t="n">
        <v>1155.551842424653</v>
      </c>
      <c r="P2669" s="32" t="n">
        <v>0.3144635683406353</v>
      </c>
      <c r="Q2669" s="33" t="n">
        <v>7.231715741890194</v>
      </c>
      <c r="R2669" s="31" t="n">
        <v>1162.56512765517</v>
      </c>
      <c r="S2669" s="31">
        <f>R2669*IF(A2669=4, 2.0, 3.0)</f>
        <v/>
      </c>
      <c r="T2669" s="30">
        <f>'Dashboard &amp; Optimisation'!$B$18*U2669</f>
        <v/>
      </c>
      <c r="U2669" s="34">
        <f>MIN(1, S2669/M2669)</f>
        <v/>
      </c>
      <c r="V2669" s="34">
        <f>N2669/(N2669+O2669)</f>
        <v/>
      </c>
      <c r="W2669" s="34">
        <f>U2669*V2669</f>
        <v/>
      </c>
      <c r="X2669" s="32">
        <f>T2669/N2669</f>
        <v/>
      </c>
      <c r="Y2669" s="35">
        <f>IF(W2669=MAXIFS(W$2:W$3601, A$2:A$3601, A2669, B$2:B$3601, B2669), "OPTIMAL", "")</f>
        <v/>
      </c>
    </row>
    <row r="2670" ht="20" customHeight="1">
      <c r="A2670" s="21" t="n">
        <v>-18</v>
      </c>
      <c r="B2670" s="21" t="n">
        <v>35</v>
      </c>
      <c r="C2670" s="22" t="n">
        <v>95</v>
      </c>
      <c r="D2670" s="22" t="n">
        <v>3</v>
      </c>
      <c r="E2670" s="23" t="n">
        <v>4</v>
      </c>
      <c r="F2670" s="22" t="n">
        <v>2</v>
      </c>
      <c r="G2670" s="23" t="inlineStr">
        <is>
          <t>Oui</t>
        </is>
      </c>
      <c r="H2670" s="23" t="inlineStr">
        <is>
          <t>ON</t>
        </is>
      </c>
      <c r="I2670" s="24" t="n">
        <v>744.7528686370244</v>
      </c>
      <c r="J2670" s="24" t="n">
        <v>6550.668683077564</v>
      </c>
      <c r="K2670" s="24" t="n">
        <v>4222.222222222223</v>
      </c>
      <c r="L2670" s="24" t="n">
        <v>150</v>
      </c>
      <c r="M2670" s="24">
        <f>I2670+J2670+K2670+L2670</f>
        <v/>
      </c>
      <c r="N2670" s="24">
        <f>M2670*'Dashboard &amp; Optimisation'!$B$18/('Dashboard &amp; Optimisation'!$B$16/3.6)</f>
        <v/>
      </c>
      <c r="O2670" s="24" t="n">
        <v>1270.501819963142</v>
      </c>
      <c r="P2670" s="25" t="n">
        <v>0.072877449969957</v>
      </c>
      <c r="Q2670" s="26" t="n">
        <v>9.575620989186925</v>
      </c>
      <c r="R2670" s="24" t="n">
        <v>5076.593240530109</v>
      </c>
      <c r="S2670" s="24">
        <f>R2670*IF(A2670=4, 2.0, 3.0)</f>
        <v/>
      </c>
      <c r="T2670" s="22">
        <f>'Dashboard &amp; Optimisation'!$B$18*U2670</f>
        <v/>
      </c>
      <c r="U2670" s="27">
        <f>MIN(1, S2670/M2670)</f>
        <v/>
      </c>
      <c r="V2670" s="27">
        <f>N2670/(N2670+O2670)</f>
        <v/>
      </c>
      <c r="W2670" s="27">
        <f>U2670*V2670</f>
        <v/>
      </c>
      <c r="X2670" s="25">
        <f>T2670/N2670</f>
        <v/>
      </c>
      <c r="Y2670" s="28">
        <f>IF(W2670=MAXIFS(W$2:W$3601, A$2:A$3601, A2670, B$2:B$3601, B2670), "OPTIMAL", "")</f>
        <v/>
      </c>
    </row>
    <row r="2671" ht="20" customHeight="1">
      <c r="A2671" s="29" t="n">
        <v>-18</v>
      </c>
      <c r="B2671" s="29" t="n">
        <v>35</v>
      </c>
      <c r="C2671" s="30" t="n">
        <v>95</v>
      </c>
      <c r="D2671" s="30" t="n">
        <v>3</v>
      </c>
      <c r="E2671" s="6" t="n">
        <v>4</v>
      </c>
      <c r="F2671" s="30" t="n">
        <v>2</v>
      </c>
      <c r="G2671" s="6" t="inlineStr">
        <is>
          <t>Oui</t>
        </is>
      </c>
      <c r="H2671" s="6" t="inlineStr">
        <is>
          <t>OFF</t>
        </is>
      </c>
      <c r="I2671" s="31" t="n">
        <v>744.7528686370244</v>
      </c>
      <c r="J2671" s="31" t="n">
        <v>6550.668683077564</v>
      </c>
      <c r="K2671" s="31" t="n">
        <v>4222.222222222223</v>
      </c>
      <c r="L2671" s="31" t="n">
        <v>150</v>
      </c>
      <c r="M2671" s="31">
        <f>I2671+J2671+K2671+L2671</f>
        <v/>
      </c>
      <c r="N2671" s="31">
        <f>M2671*'Dashboard &amp; Optimisation'!$B$18/('Dashboard &amp; Optimisation'!$B$16/3.6)</f>
        <v/>
      </c>
      <c r="O2671" s="31" t="n">
        <v>1270.501819963142</v>
      </c>
      <c r="P2671" s="32" t="n">
        <v>0.3165144364464006</v>
      </c>
      <c r="Q2671" s="33" t="n">
        <v>9.575620989186925</v>
      </c>
      <c r="R2671" s="31" t="n">
        <v>1168.885609321035</v>
      </c>
      <c r="S2671" s="31">
        <f>R2671*IF(A2671=4, 2.0, 3.0)</f>
        <v/>
      </c>
      <c r="T2671" s="30">
        <f>'Dashboard &amp; Optimisation'!$B$18*U2671</f>
        <v/>
      </c>
      <c r="U2671" s="34">
        <f>MIN(1, S2671/M2671)</f>
        <v/>
      </c>
      <c r="V2671" s="34">
        <f>N2671/(N2671+O2671)</f>
        <v/>
      </c>
      <c r="W2671" s="34">
        <f>U2671*V2671</f>
        <v/>
      </c>
      <c r="X2671" s="32">
        <f>T2671/N2671</f>
        <v/>
      </c>
      <c r="Y2671" s="35">
        <f>IF(W2671=MAXIFS(W$2:W$3601, A$2:A$3601, A2671, B$2:B$3601, B2671), "OPTIMAL", "")</f>
        <v/>
      </c>
    </row>
    <row r="2672" ht="20" customHeight="1">
      <c r="A2672" s="21" t="n">
        <v>-18</v>
      </c>
      <c r="B2672" s="21" t="n">
        <v>35</v>
      </c>
      <c r="C2672" s="22" t="n">
        <v>95</v>
      </c>
      <c r="D2672" s="22" t="n">
        <v>3</v>
      </c>
      <c r="E2672" s="23" t="n">
        <v>4</v>
      </c>
      <c r="F2672" s="22" t="n">
        <v>2</v>
      </c>
      <c r="G2672" s="23" t="inlineStr">
        <is>
          <t>Non</t>
        </is>
      </c>
      <c r="H2672" s="23" t="inlineStr">
        <is>
          <t>ON</t>
        </is>
      </c>
      <c r="I2672" s="24" t="n">
        <v>744.7528686370244</v>
      </c>
      <c r="J2672" s="24" t="n">
        <v>6550.668683077564</v>
      </c>
      <c r="K2672" s="24" t="n">
        <v>4222.222222222223</v>
      </c>
      <c r="L2672" s="24" t="n">
        <v>150</v>
      </c>
      <c r="M2672" s="24">
        <f>I2672+J2672+K2672+L2672</f>
        <v/>
      </c>
      <c r="N2672" s="24">
        <f>M2672*'Dashboard &amp; Optimisation'!$B$18/('Dashboard &amp; Optimisation'!$B$16/3.6)</f>
        <v/>
      </c>
      <c r="O2672" s="24" t="n">
        <v>1270.501819963142</v>
      </c>
      <c r="P2672" s="25" t="n">
        <v>0.06952681958907499</v>
      </c>
      <c r="Q2672" s="26" t="n">
        <v>9.575620989186925</v>
      </c>
      <c r="R2672" s="24" t="n">
        <v>5321.243975938884</v>
      </c>
      <c r="S2672" s="24">
        <f>R2672*IF(A2672=4, 2.0, 3.0)</f>
        <v/>
      </c>
      <c r="T2672" s="22">
        <f>'Dashboard &amp; Optimisation'!$B$18*U2672</f>
        <v/>
      </c>
      <c r="U2672" s="27">
        <f>MIN(1, S2672/M2672)</f>
        <v/>
      </c>
      <c r="V2672" s="27">
        <f>N2672/(N2672+O2672)</f>
        <v/>
      </c>
      <c r="W2672" s="27">
        <f>U2672*V2672</f>
        <v/>
      </c>
      <c r="X2672" s="25">
        <f>T2672/N2672</f>
        <v/>
      </c>
      <c r="Y2672" s="28">
        <f>IF(W2672=MAXIFS(W$2:W$3601, A$2:A$3601, A2672, B$2:B$3601, B2672), "OPTIMAL", "")</f>
        <v/>
      </c>
    </row>
    <row r="2673" ht="20" customHeight="1">
      <c r="A2673" s="29" t="n">
        <v>-18</v>
      </c>
      <c r="B2673" s="29" t="n">
        <v>35</v>
      </c>
      <c r="C2673" s="30" t="n">
        <v>95</v>
      </c>
      <c r="D2673" s="30" t="n">
        <v>3</v>
      </c>
      <c r="E2673" s="6" t="n">
        <v>4</v>
      </c>
      <c r="F2673" s="30" t="n">
        <v>2</v>
      </c>
      <c r="G2673" s="6" t="inlineStr">
        <is>
          <t>Non</t>
        </is>
      </c>
      <c r="H2673" s="6" t="inlineStr">
        <is>
          <t>OFF</t>
        </is>
      </c>
      <c r="I2673" s="31" t="n">
        <v>744.7528686370244</v>
      </c>
      <c r="J2673" s="31" t="n">
        <v>6550.668683077564</v>
      </c>
      <c r="K2673" s="31" t="n">
        <v>4222.222222222223</v>
      </c>
      <c r="L2673" s="31" t="n">
        <v>150</v>
      </c>
      <c r="M2673" s="31">
        <f>I2673+J2673+K2673+L2673</f>
        <v/>
      </c>
      <c r="N2673" s="31">
        <f>M2673*'Dashboard &amp; Optimisation'!$B$18/('Dashboard &amp; Optimisation'!$B$16/3.6)</f>
        <v/>
      </c>
      <c r="O2673" s="31" t="n">
        <v>1270.501819963142</v>
      </c>
      <c r="P2673" s="32" t="n">
        <v>0.3131638060655186</v>
      </c>
      <c r="Q2673" s="33" t="n">
        <v>9.575620989186925</v>
      </c>
      <c r="R2673" s="31" t="n">
        <v>1181.39185544051</v>
      </c>
      <c r="S2673" s="31">
        <f>R2673*IF(A2673=4, 2.0, 3.0)</f>
        <v/>
      </c>
      <c r="T2673" s="30">
        <f>'Dashboard &amp; Optimisation'!$B$18*U2673</f>
        <v/>
      </c>
      <c r="U2673" s="34">
        <f>MIN(1, S2673/M2673)</f>
        <v/>
      </c>
      <c r="V2673" s="34">
        <f>N2673/(N2673+O2673)</f>
        <v/>
      </c>
      <c r="W2673" s="34">
        <f>U2673*V2673</f>
        <v/>
      </c>
      <c r="X2673" s="32">
        <f>T2673/N2673</f>
        <v/>
      </c>
      <c r="Y2673" s="35">
        <f>IF(W2673=MAXIFS(W$2:W$3601, A$2:A$3601, A2673, B$2:B$3601, B2673), "OPTIMAL", "")</f>
        <v/>
      </c>
    </row>
    <row r="2674" ht="20" customHeight="1">
      <c r="A2674" s="21" t="n">
        <v>-18</v>
      </c>
      <c r="B2674" s="21" t="n">
        <v>35</v>
      </c>
      <c r="C2674" s="22" t="n">
        <v>95</v>
      </c>
      <c r="D2674" s="22" t="n">
        <v>3</v>
      </c>
      <c r="E2674" s="23" t="n">
        <v>8</v>
      </c>
      <c r="F2674" s="22" t="n">
        <v>1.5</v>
      </c>
      <c r="G2674" s="23" t="inlineStr">
        <is>
          <t>Oui</t>
        </is>
      </c>
      <c r="H2674" s="23" t="inlineStr">
        <is>
          <t>ON</t>
        </is>
      </c>
      <c r="I2674" s="24" t="n">
        <v>744.7528686370244</v>
      </c>
      <c r="J2674" s="24" t="n">
        <v>6550.668683077564</v>
      </c>
      <c r="K2674" s="24" t="n">
        <v>4222.222222222223</v>
      </c>
      <c r="L2674" s="24" t="n">
        <v>150</v>
      </c>
      <c r="M2674" s="24">
        <f>I2674+J2674+K2674+L2674</f>
        <v/>
      </c>
      <c r="N2674" s="24">
        <f>M2674*'Dashboard &amp; Optimisation'!$B$18/('Dashboard &amp; Optimisation'!$B$16/3.6)</f>
        <v/>
      </c>
      <c r="O2674" s="24" t="n">
        <v>1508.877292586391</v>
      </c>
      <c r="P2674" s="25" t="n">
        <v>0.05688455314032285</v>
      </c>
      <c r="Q2674" s="26" t="n">
        <v>14.26343148378039</v>
      </c>
      <c r="R2674" s="24" t="n">
        <v>6663.708023919296</v>
      </c>
      <c r="S2674" s="24">
        <f>R2674*IF(A2674=4, 2.0, 3.0)</f>
        <v/>
      </c>
      <c r="T2674" s="22">
        <f>'Dashboard &amp; Optimisation'!$B$18*U2674</f>
        <v/>
      </c>
      <c r="U2674" s="27">
        <f>MIN(1, S2674/M2674)</f>
        <v/>
      </c>
      <c r="V2674" s="27">
        <f>N2674/(N2674+O2674)</f>
        <v/>
      </c>
      <c r="W2674" s="27">
        <f>U2674*V2674</f>
        <v/>
      </c>
      <c r="X2674" s="25">
        <f>T2674/N2674</f>
        <v/>
      </c>
      <c r="Y2674" s="28">
        <f>IF(W2674=MAXIFS(W$2:W$3601, A$2:A$3601, A2674, B$2:B$3601, B2674), "OPTIMAL", "")</f>
        <v/>
      </c>
    </row>
    <row r="2675" ht="20" customHeight="1">
      <c r="A2675" s="29" t="n">
        <v>-18</v>
      </c>
      <c r="B2675" s="29" t="n">
        <v>35</v>
      </c>
      <c r="C2675" s="30" t="n">
        <v>95</v>
      </c>
      <c r="D2675" s="30" t="n">
        <v>3</v>
      </c>
      <c r="E2675" s="6" t="n">
        <v>8</v>
      </c>
      <c r="F2675" s="30" t="n">
        <v>1.5</v>
      </c>
      <c r="G2675" s="6" t="inlineStr">
        <is>
          <t>Oui</t>
        </is>
      </c>
      <c r="H2675" s="6" t="inlineStr">
        <is>
          <t>OFF</t>
        </is>
      </c>
      <c r="I2675" s="31" t="n">
        <v>744.7528686370244</v>
      </c>
      <c r="J2675" s="31" t="n">
        <v>6550.668683077564</v>
      </c>
      <c r="K2675" s="31" t="n">
        <v>4222.222222222223</v>
      </c>
      <c r="L2675" s="31" t="n">
        <v>150</v>
      </c>
      <c r="M2675" s="31">
        <f>I2675+J2675+K2675+L2675</f>
        <v/>
      </c>
      <c r="N2675" s="31">
        <f>M2675*'Dashboard &amp; Optimisation'!$B$18/('Dashboard &amp; Optimisation'!$B$16/3.6)</f>
        <v/>
      </c>
      <c r="O2675" s="31" t="n">
        <v>1508.877292586391</v>
      </c>
      <c r="P2675" s="32" t="n">
        <v>0.246840465467505</v>
      </c>
      <c r="Q2675" s="33" t="n">
        <v>14.26343148378039</v>
      </c>
      <c r="R2675" s="31" t="n">
        <v>1535.656046022706</v>
      </c>
      <c r="S2675" s="31">
        <f>R2675*IF(A2675=4, 2.0, 3.0)</f>
        <v/>
      </c>
      <c r="T2675" s="30">
        <f>'Dashboard &amp; Optimisation'!$B$18*U2675</f>
        <v/>
      </c>
      <c r="U2675" s="34">
        <f>MIN(1, S2675/M2675)</f>
        <v/>
      </c>
      <c r="V2675" s="34">
        <f>N2675/(N2675+O2675)</f>
        <v/>
      </c>
      <c r="W2675" s="34">
        <f>U2675*V2675</f>
        <v/>
      </c>
      <c r="X2675" s="32">
        <f>T2675/N2675</f>
        <v/>
      </c>
      <c r="Y2675" s="35">
        <f>IF(W2675=MAXIFS(W$2:W$3601, A$2:A$3601, A2675, B$2:B$3601, B2675), "OPTIMAL", "")</f>
        <v/>
      </c>
    </row>
    <row r="2676" ht="20" customHeight="1">
      <c r="A2676" s="21" t="n">
        <v>-18</v>
      </c>
      <c r="B2676" s="21" t="n">
        <v>35</v>
      </c>
      <c r="C2676" s="22" t="n">
        <v>95</v>
      </c>
      <c r="D2676" s="22" t="n">
        <v>3</v>
      </c>
      <c r="E2676" s="23" t="n">
        <v>8</v>
      </c>
      <c r="F2676" s="22" t="n">
        <v>1.5</v>
      </c>
      <c r="G2676" s="23" t="inlineStr">
        <is>
          <t>Non</t>
        </is>
      </c>
      <c r="H2676" s="23" t="inlineStr">
        <is>
          <t>ON</t>
        </is>
      </c>
      <c r="I2676" s="24" t="n">
        <v>744.7528686370244</v>
      </c>
      <c r="J2676" s="24" t="n">
        <v>6550.668683077564</v>
      </c>
      <c r="K2676" s="24" t="n">
        <v>4222.222222222223</v>
      </c>
      <c r="L2676" s="24" t="n">
        <v>150</v>
      </c>
      <c r="M2676" s="24">
        <f>I2676+J2676+K2676+L2676</f>
        <v/>
      </c>
      <c r="N2676" s="24">
        <f>M2676*'Dashboard &amp; Optimisation'!$B$18/('Dashboard &amp; Optimisation'!$B$16/3.6)</f>
        <v/>
      </c>
      <c r="O2676" s="24" t="n">
        <v>1508.877292586391</v>
      </c>
      <c r="P2676" s="25" t="n">
        <v>0.05353392275944084</v>
      </c>
      <c r="Q2676" s="26" t="n">
        <v>14.26343148378039</v>
      </c>
      <c r="R2676" s="24" t="n">
        <v>7080.782308847046</v>
      </c>
      <c r="S2676" s="24">
        <f>R2676*IF(A2676=4, 2.0, 3.0)</f>
        <v/>
      </c>
      <c r="T2676" s="22">
        <f>'Dashboard &amp; Optimisation'!$B$18*U2676</f>
        <v/>
      </c>
      <c r="U2676" s="27">
        <f>MIN(1, S2676/M2676)</f>
        <v/>
      </c>
      <c r="V2676" s="27">
        <f>N2676/(N2676+O2676)</f>
        <v/>
      </c>
      <c r="W2676" s="27">
        <f>U2676*V2676</f>
        <v/>
      </c>
      <c r="X2676" s="25">
        <f>T2676/N2676</f>
        <v/>
      </c>
      <c r="Y2676" s="28">
        <f>IF(W2676=MAXIFS(W$2:W$3601, A$2:A$3601, A2676, B$2:B$3601, B2676), "OPTIMAL", "")</f>
        <v/>
      </c>
    </row>
    <row r="2677" ht="20" customHeight="1">
      <c r="A2677" s="29" t="n">
        <v>-18</v>
      </c>
      <c r="B2677" s="29" t="n">
        <v>35</v>
      </c>
      <c r="C2677" s="30" t="n">
        <v>95</v>
      </c>
      <c r="D2677" s="30" t="n">
        <v>3</v>
      </c>
      <c r="E2677" s="6" t="n">
        <v>8</v>
      </c>
      <c r="F2677" s="30" t="n">
        <v>1.5</v>
      </c>
      <c r="G2677" s="6" t="inlineStr">
        <is>
          <t>Non</t>
        </is>
      </c>
      <c r="H2677" s="6" t="inlineStr">
        <is>
          <t>OFF</t>
        </is>
      </c>
      <c r="I2677" s="31" t="n">
        <v>744.7528686370244</v>
      </c>
      <c r="J2677" s="31" t="n">
        <v>6550.668683077564</v>
      </c>
      <c r="K2677" s="31" t="n">
        <v>4222.222222222223</v>
      </c>
      <c r="L2677" s="31" t="n">
        <v>150</v>
      </c>
      <c r="M2677" s="31">
        <f>I2677+J2677+K2677+L2677</f>
        <v/>
      </c>
      <c r="N2677" s="31">
        <f>M2677*'Dashboard &amp; Optimisation'!$B$18/('Dashboard &amp; Optimisation'!$B$16/3.6)</f>
        <v/>
      </c>
      <c r="O2677" s="31" t="n">
        <v>1508.877292586391</v>
      </c>
      <c r="P2677" s="32" t="n">
        <v>0.2434898350866229</v>
      </c>
      <c r="Q2677" s="33" t="n">
        <v>14.26343148378039</v>
      </c>
      <c r="R2677" s="31" t="n">
        <v>1556.787999233641</v>
      </c>
      <c r="S2677" s="31">
        <f>R2677*IF(A2677=4, 2.0, 3.0)</f>
        <v/>
      </c>
      <c r="T2677" s="30">
        <f>'Dashboard &amp; Optimisation'!$B$18*U2677</f>
        <v/>
      </c>
      <c r="U2677" s="34">
        <f>MIN(1, S2677/M2677)</f>
        <v/>
      </c>
      <c r="V2677" s="34">
        <f>N2677/(N2677+O2677)</f>
        <v/>
      </c>
      <c r="W2677" s="34">
        <f>U2677*V2677</f>
        <v/>
      </c>
      <c r="X2677" s="32">
        <f>T2677/N2677</f>
        <v/>
      </c>
      <c r="Y2677" s="35">
        <f>IF(W2677=MAXIFS(W$2:W$3601, A$2:A$3601, A2677, B$2:B$3601, B2677), "OPTIMAL", "")</f>
        <v/>
      </c>
    </row>
    <row r="2678" ht="20" customHeight="1">
      <c r="A2678" s="21" t="n">
        <v>-18</v>
      </c>
      <c r="B2678" s="21" t="n">
        <v>35</v>
      </c>
      <c r="C2678" s="22" t="n">
        <v>95</v>
      </c>
      <c r="D2678" s="22" t="n">
        <v>3</v>
      </c>
      <c r="E2678" s="23" t="n">
        <v>8</v>
      </c>
      <c r="F2678" s="22" t="n">
        <v>2</v>
      </c>
      <c r="G2678" s="23" t="inlineStr">
        <is>
          <t>Oui</t>
        </is>
      </c>
      <c r="H2678" s="23" t="inlineStr">
        <is>
          <t>ON</t>
        </is>
      </c>
      <c r="I2678" s="24" t="n">
        <v>744.7528686370244</v>
      </c>
      <c r="J2678" s="24" t="n">
        <v>6550.668683077564</v>
      </c>
      <c r="K2678" s="24" t="n">
        <v>4222.222222222223</v>
      </c>
      <c r="L2678" s="24" t="n">
        <v>150</v>
      </c>
      <c r="M2678" s="24">
        <f>I2678+J2678+K2678+L2678</f>
        <v/>
      </c>
      <c r="N2678" s="24">
        <f>M2678*'Dashboard &amp; Optimisation'!$B$18/('Dashboard &amp; Optimisation'!$B$16/3.6)</f>
        <v/>
      </c>
      <c r="O2678" s="24" t="n">
        <v>1759.265304869669</v>
      </c>
      <c r="P2678" s="25" t="n">
        <v>0.0557699285087862</v>
      </c>
      <c r="Q2678" s="26" t="n">
        <v>18.95124197837385</v>
      </c>
      <c r="R2678" s="24" t="n">
        <v>6968.148745619432</v>
      </c>
      <c r="S2678" s="24">
        <f>R2678*IF(A2678=4, 2.0, 3.0)</f>
        <v/>
      </c>
      <c r="T2678" s="22">
        <f>'Dashboard &amp; Optimisation'!$B$18*U2678</f>
        <v/>
      </c>
      <c r="U2678" s="27">
        <f>MIN(1, S2678/M2678)</f>
        <v/>
      </c>
      <c r="V2678" s="27">
        <f>N2678/(N2678+O2678)</f>
        <v/>
      </c>
      <c r="W2678" s="27">
        <f>U2678*V2678</f>
        <v/>
      </c>
      <c r="X2678" s="25">
        <f>T2678/N2678</f>
        <v/>
      </c>
      <c r="Y2678" s="28">
        <f>IF(W2678=MAXIFS(W$2:W$3601, A$2:A$3601, A2678, B$2:B$3601, B2678), "OPTIMAL", "")</f>
        <v/>
      </c>
    </row>
    <row r="2679" ht="20" customHeight="1">
      <c r="A2679" s="29" t="n">
        <v>-18</v>
      </c>
      <c r="B2679" s="29" t="n">
        <v>35</v>
      </c>
      <c r="C2679" s="30" t="n">
        <v>95</v>
      </c>
      <c r="D2679" s="30" t="n">
        <v>3</v>
      </c>
      <c r="E2679" s="6" t="n">
        <v>8</v>
      </c>
      <c r="F2679" s="30" t="n">
        <v>2</v>
      </c>
      <c r="G2679" s="6" t="inlineStr">
        <is>
          <t>Oui</t>
        </is>
      </c>
      <c r="H2679" s="6" t="inlineStr">
        <is>
          <t>OFF</t>
        </is>
      </c>
      <c r="I2679" s="31" t="n">
        <v>744.7528686370244</v>
      </c>
      <c r="J2679" s="31" t="n">
        <v>6550.668683077564</v>
      </c>
      <c r="K2679" s="31" t="n">
        <v>4222.222222222223</v>
      </c>
      <c r="L2679" s="31" t="n">
        <v>150</v>
      </c>
      <c r="M2679" s="31">
        <f>I2679+J2679+K2679+L2679</f>
        <v/>
      </c>
      <c r="N2679" s="31">
        <f>M2679*'Dashboard &amp; Optimisation'!$B$18/('Dashboard &amp; Optimisation'!$B$16/3.6)</f>
        <v/>
      </c>
      <c r="O2679" s="31" t="n">
        <v>1759.265304869669</v>
      </c>
      <c r="P2679" s="32" t="n">
        <v>0.2471780798795112</v>
      </c>
      <c r="Q2679" s="33" t="n">
        <v>18.95124197837385</v>
      </c>
      <c r="R2679" s="31" t="n">
        <v>1572.199110743219</v>
      </c>
      <c r="S2679" s="31">
        <f>R2679*IF(A2679=4, 2.0, 3.0)</f>
        <v/>
      </c>
      <c r="T2679" s="30">
        <f>'Dashboard &amp; Optimisation'!$B$18*U2679</f>
        <v/>
      </c>
      <c r="U2679" s="34">
        <f>MIN(1, S2679/M2679)</f>
        <v/>
      </c>
      <c r="V2679" s="34">
        <f>N2679/(N2679+O2679)</f>
        <v/>
      </c>
      <c r="W2679" s="34">
        <f>U2679*V2679</f>
        <v/>
      </c>
      <c r="X2679" s="32">
        <f>T2679/N2679</f>
        <v/>
      </c>
      <c r="Y2679" s="35">
        <f>IF(W2679=MAXIFS(W$2:W$3601, A$2:A$3601, A2679, B$2:B$3601, B2679), "OPTIMAL", "")</f>
        <v/>
      </c>
    </row>
    <row r="2680" ht="20" customHeight="1">
      <c r="A2680" s="21" t="n">
        <v>-18</v>
      </c>
      <c r="B2680" s="21" t="n">
        <v>35</v>
      </c>
      <c r="C2680" s="22" t="n">
        <v>95</v>
      </c>
      <c r="D2680" s="22" t="n">
        <v>3</v>
      </c>
      <c r="E2680" s="23" t="n">
        <v>8</v>
      </c>
      <c r="F2680" s="22" t="n">
        <v>2</v>
      </c>
      <c r="G2680" s="23" t="inlineStr">
        <is>
          <t>Non</t>
        </is>
      </c>
      <c r="H2680" s="23" t="inlineStr">
        <is>
          <t>ON</t>
        </is>
      </c>
      <c r="I2680" s="24" t="n">
        <v>744.7528686370244</v>
      </c>
      <c r="J2680" s="24" t="n">
        <v>6550.668683077564</v>
      </c>
      <c r="K2680" s="24" t="n">
        <v>4222.222222222223</v>
      </c>
      <c r="L2680" s="24" t="n">
        <v>150</v>
      </c>
      <c r="M2680" s="24">
        <f>I2680+J2680+K2680+L2680</f>
        <v/>
      </c>
      <c r="N2680" s="24">
        <f>M2680*'Dashboard &amp; Optimisation'!$B$18/('Dashboard &amp; Optimisation'!$B$16/3.6)</f>
        <v/>
      </c>
      <c r="O2680" s="24" t="n">
        <v>1759.265304869669</v>
      </c>
      <c r="P2680" s="25" t="n">
        <v>0.05241929812790419</v>
      </c>
      <c r="Q2680" s="26" t="n">
        <v>18.95124197837385</v>
      </c>
      <c r="R2680" s="24" t="n">
        <v>7413.551330534027</v>
      </c>
      <c r="S2680" s="24">
        <f>R2680*IF(A2680=4, 2.0, 3.0)</f>
        <v/>
      </c>
      <c r="T2680" s="22">
        <f>'Dashboard &amp; Optimisation'!$B$18*U2680</f>
        <v/>
      </c>
      <c r="U2680" s="27">
        <f>MIN(1, S2680/M2680)</f>
        <v/>
      </c>
      <c r="V2680" s="27">
        <f>N2680/(N2680+O2680)</f>
        <v/>
      </c>
      <c r="W2680" s="27">
        <f>U2680*V2680</f>
        <v/>
      </c>
      <c r="X2680" s="25">
        <f>T2680/N2680</f>
        <v/>
      </c>
      <c r="Y2680" s="28">
        <f>IF(W2680=MAXIFS(W$2:W$3601, A$2:A$3601, A2680, B$2:B$3601, B2680), "OPTIMAL", "")</f>
        <v/>
      </c>
    </row>
    <row r="2681" ht="20" customHeight="1">
      <c r="A2681" s="29" t="n">
        <v>-18</v>
      </c>
      <c r="B2681" s="29" t="n">
        <v>35</v>
      </c>
      <c r="C2681" s="30" t="n">
        <v>95</v>
      </c>
      <c r="D2681" s="30" t="n">
        <v>3</v>
      </c>
      <c r="E2681" s="6" t="n">
        <v>8</v>
      </c>
      <c r="F2681" s="30" t="n">
        <v>2</v>
      </c>
      <c r="G2681" s="6" t="inlineStr">
        <is>
          <t>Non</t>
        </is>
      </c>
      <c r="H2681" s="6" t="inlineStr">
        <is>
          <t>OFF</t>
        </is>
      </c>
      <c r="I2681" s="31" t="n">
        <v>744.7528686370244</v>
      </c>
      <c r="J2681" s="31" t="n">
        <v>6550.668683077564</v>
      </c>
      <c r="K2681" s="31" t="n">
        <v>4222.222222222223</v>
      </c>
      <c r="L2681" s="31" t="n">
        <v>150</v>
      </c>
      <c r="M2681" s="31">
        <f>I2681+J2681+K2681+L2681</f>
        <v/>
      </c>
      <c r="N2681" s="31">
        <f>M2681*'Dashboard &amp; Optimisation'!$B$18/('Dashboard &amp; Optimisation'!$B$16/3.6)</f>
        <v/>
      </c>
      <c r="O2681" s="31" t="n">
        <v>1759.265304869669</v>
      </c>
      <c r="P2681" s="32" t="n">
        <v>0.2438274494986292</v>
      </c>
      <c r="Q2681" s="33" t="n">
        <v>18.95124197837385</v>
      </c>
      <c r="R2681" s="31" t="n">
        <v>1593.803971541641</v>
      </c>
      <c r="S2681" s="31">
        <f>R2681*IF(A2681=4, 2.0, 3.0)</f>
        <v/>
      </c>
      <c r="T2681" s="30">
        <f>'Dashboard &amp; Optimisation'!$B$18*U2681</f>
        <v/>
      </c>
      <c r="U2681" s="34">
        <f>MIN(1, S2681/M2681)</f>
        <v/>
      </c>
      <c r="V2681" s="34">
        <f>N2681/(N2681+O2681)</f>
        <v/>
      </c>
      <c r="W2681" s="34">
        <f>U2681*V2681</f>
        <v/>
      </c>
      <c r="X2681" s="32">
        <f>T2681/N2681</f>
        <v/>
      </c>
      <c r="Y2681" s="35">
        <f>IF(W2681=MAXIFS(W$2:W$3601, A$2:A$3601, A2681, B$2:B$3601, B2681), "OPTIMAL", "")</f>
        <v/>
      </c>
    </row>
    <row r="2682" ht="20" customHeight="1">
      <c r="A2682" s="21" t="n">
        <v>-18</v>
      </c>
      <c r="B2682" s="21" t="n">
        <v>35</v>
      </c>
      <c r="C2682" s="22" t="n">
        <v>100</v>
      </c>
      <c r="D2682" s="22" t="n">
        <v>2</v>
      </c>
      <c r="E2682" s="23" t="n">
        <v>0</v>
      </c>
      <c r="F2682" s="22" t="n">
        <v>0</v>
      </c>
      <c r="G2682" s="23" t="inlineStr">
        <is>
          <t>Oui</t>
        </is>
      </c>
      <c r="H2682" s="23" t="inlineStr">
        <is>
          <t>ON</t>
        </is>
      </c>
      <c r="I2682" s="24" t="n">
        <v>744.7528686370244</v>
      </c>
      <c r="J2682" s="24" t="n">
        <v>6550.668683077564</v>
      </c>
      <c r="K2682" s="24" t="n">
        <v>4222.222222222223</v>
      </c>
      <c r="L2682" s="24" t="n">
        <v>150</v>
      </c>
      <c r="M2682" s="24">
        <f>I2682+J2682+K2682+L2682</f>
        <v/>
      </c>
      <c r="N2682" s="24">
        <f>M2682*'Dashboard &amp; Optimisation'!$B$18/('Dashboard &amp; Optimisation'!$B$16/3.6)</f>
        <v/>
      </c>
      <c r="O2682" s="24" t="n">
        <v>504.4540102260927</v>
      </c>
      <c r="P2682" s="25" t="n">
        <v>0.4806796209288155</v>
      </c>
      <c r="Q2682" s="26" t="n">
        <v>0.2</v>
      </c>
      <c r="R2682" s="24" t="n">
        <v>631.2423975098924</v>
      </c>
      <c r="S2682" s="24">
        <f>R2682*IF(A2682=4, 2.0, 3.0)</f>
        <v/>
      </c>
      <c r="T2682" s="22">
        <f>'Dashboard &amp; Optimisation'!$B$18*U2682</f>
        <v/>
      </c>
      <c r="U2682" s="27">
        <f>MIN(1, S2682/M2682)</f>
        <v/>
      </c>
      <c r="V2682" s="27">
        <f>N2682/(N2682+O2682)</f>
        <v/>
      </c>
      <c r="W2682" s="27">
        <f>U2682*V2682</f>
        <v/>
      </c>
      <c r="X2682" s="25">
        <f>T2682/N2682</f>
        <v/>
      </c>
      <c r="Y2682" s="28">
        <f>IF(W2682=MAXIFS(W$2:W$3601, A$2:A$3601, A2682, B$2:B$3601, B2682), "OPTIMAL", "")</f>
        <v/>
      </c>
    </row>
    <row r="2683" ht="20" customHeight="1">
      <c r="A2683" s="29" t="n">
        <v>-18</v>
      </c>
      <c r="B2683" s="29" t="n">
        <v>35</v>
      </c>
      <c r="C2683" s="30" t="n">
        <v>100</v>
      </c>
      <c r="D2683" s="30" t="n">
        <v>2</v>
      </c>
      <c r="E2683" s="6" t="n">
        <v>0</v>
      </c>
      <c r="F2683" s="30" t="n">
        <v>0</v>
      </c>
      <c r="G2683" s="6" t="inlineStr">
        <is>
          <t>Oui</t>
        </is>
      </c>
      <c r="H2683" s="6" t="inlineStr">
        <is>
          <t>OFF</t>
        </is>
      </c>
      <c r="I2683" s="31" t="n">
        <v>744.7528686370244</v>
      </c>
      <c r="J2683" s="31" t="n">
        <v>6550.668683077564</v>
      </c>
      <c r="K2683" s="31" t="n">
        <v>4222.222222222223</v>
      </c>
      <c r="L2683" s="31" t="n">
        <v>150</v>
      </c>
      <c r="M2683" s="31">
        <f>I2683+J2683+K2683+L2683</f>
        <v/>
      </c>
      <c r="N2683" s="31">
        <f>M2683*'Dashboard &amp; Optimisation'!$B$18/('Dashboard &amp; Optimisation'!$B$16/3.6)</f>
        <v/>
      </c>
      <c r="O2683" s="31" t="n">
        <v>504.4540102260927</v>
      </c>
      <c r="P2683" s="32" t="n">
        <v>0.7989895071126063</v>
      </c>
      <c r="Q2683" s="33" t="n">
        <v>0.2</v>
      </c>
      <c r="R2683" s="31" t="n">
        <v>379.7613781509751</v>
      </c>
      <c r="S2683" s="31">
        <f>R2683*IF(A2683=4, 2.0, 3.0)</f>
        <v/>
      </c>
      <c r="T2683" s="30">
        <f>'Dashboard &amp; Optimisation'!$B$18*U2683</f>
        <v/>
      </c>
      <c r="U2683" s="34">
        <f>MIN(1, S2683/M2683)</f>
        <v/>
      </c>
      <c r="V2683" s="34">
        <f>N2683/(N2683+O2683)</f>
        <v/>
      </c>
      <c r="W2683" s="34">
        <f>U2683*V2683</f>
        <v/>
      </c>
      <c r="X2683" s="32">
        <f>T2683/N2683</f>
        <v/>
      </c>
      <c r="Y2683" s="35">
        <f>IF(W2683=MAXIFS(W$2:W$3601, A$2:A$3601, A2683, B$2:B$3601, B2683), "OPTIMAL", "")</f>
        <v/>
      </c>
    </row>
    <row r="2684" ht="20" customHeight="1">
      <c r="A2684" s="21" t="n">
        <v>-18</v>
      </c>
      <c r="B2684" s="21" t="n">
        <v>35</v>
      </c>
      <c r="C2684" s="22" t="n">
        <v>100</v>
      </c>
      <c r="D2684" s="22" t="n">
        <v>2</v>
      </c>
      <c r="E2684" s="23" t="n">
        <v>0</v>
      </c>
      <c r="F2684" s="22" t="n">
        <v>0</v>
      </c>
      <c r="G2684" s="23" t="inlineStr">
        <is>
          <t>Non</t>
        </is>
      </c>
      <c r="H2684" s="23" t="inlineStr">
        <is>
          <t>ON</t>
        </is>
      </c>
      <c r="I2684" s="24" t="n">
        <v>744.7528686370244</v>
      </c>
      <c r="J2684" s="24" t="n">
        <v>6550.668683077564</v>
      </c>
      <c r="K2684" s="24" t="n">
        <v>4222.222222222223</v>
      </c>
      <c r="L2684" s="24" t="n">
        <v>150</v>
      </c>
      <c r="M2684" s="24">
        <f>I2684+J2684+K2684+L2684</f>
        <v/>
      </c>
      <c r="N2684" s="24">
        <f>M2684*'Dashboard &amp; Optimisation'!$B$18/('Dashboard &amp; Optimisation'!$B$16/3.6)</f>
        <v/>
      </c>
      <c r="O2684" s="24" t="n">
        <v>504.4540102260927</v>
      </c>
      <c r="P2684" s="25" t="n">
        <v>0.4774965220669776</v>
      </c>
      <c r="Q2684" s="26" t="n">
        <v>0.2</v>
      </c>
      <c r="R2684" s="24" t="n">
        <v>635.4504008443663</v>
      </c>
      <c r="S2684" s="24">
        <f>R2684*IF(A2684=4, 2.0, 3.0)</f>
        <v/>
      </c>
      <c r="T2684" s="22">
        <f>'Dashboard &amp; Optimisation'!$B$18*U2684</f>
        <v/>
      </c>
      <c r="U2684" s="27">
        <f>MIN(1, S2684/M2684)</f>
        <v/>
      </c>
      <c r="V2684" s="27">
        <f>N2684/(N2684+O2684)</f>
        <v/>
      </c>
      <c r="W2684" s="27">
        <f>U2684*V2684</f>
        <v/>
      </c>
      <c r="X2684" s="25">
        <f>T2684/N2684</f>
        <v/>
      </c>
      <c r="Y2684" s="28">
        <f>IF(W2684=MAXIFS(W$2:W$3601, A$2:A$3601, A2684, B$2:B$3601, B2684), "OPTIMAL", "")</f>
        <v/>
      </c>
    </row>
    <row r="2685" ht="20" customHeight="1">
      <c r="A2685" s="29" t="n">
        <v>-18</v>
      </c>
      <c r="B2685" s="29" t="n">
        <v>35</v>
      </c>
      <c r="C2685" s="30" t="n">
        <v>100</v>
      </c>
      <c r="D2685" s="30" t="n">
        <v>2</v>
      </c>
      <c r="E2685" s="6" t="n">
        <v>0</v>
      </c>
      <c r="F2685" s="30" t="n">
        <v>0</v>
      </c>
      <c r="G2685" s="6" t="inlineStr">
        <is>
          <t>Non</t>
        </is>
      </c>
      <c r="H2685" s="6" t="inlineStr">
        <is>
          <t>OFF</t>
        </is>
      </c>
      <c r="I2685" s="31" t="n">
        <v>744.7528686370244</v>
      </c>
      <c r="J2685" s="31" t="n">
        <v>6550.668683077564</v>
      </c>
      <c r="K2685" s="31" t="n">
        <v>4222.222222222223</v>
      </c>
      <c r="L2685" s="31" t="n">
        <v>150</v>
      </c>
      <c r="M2685" s="31">
        <f>I2685+J2685+K2685+L2685</f>
        <v/>
      </c>
      <c r="N2685" s="31">
        <f>M2685*'Dashboard &amp; Optimisation'!$B$18/('Dashboard &amp; Optimisation'!$B$16/3.6)</f>
        <v/>
      </c>
      <c r="O2685" s="31" t="n">
        <v>504.4540102260927</v>
      </c>
      <c r="P2685" s="32" t="n">
        <v>0.7958064082507683</v>
      </c>
      <c r="Q2685" s="33" t="n">
        <v>0.2</v>
      </c>
      <c r="R2685" s="31" t="n">
        <v>381.2803631679712</v>
      </c>
      <c r="S2685" s="31">
        <f>R2685*IF(A2685=4, 2.0, 3.0)</f>
        <v/>
      </c>
      <c r="T2685" s="30">
        <f>'Dashboard &amp; Optimisation'!$B$18*U2685</f>
        <v/>
      </c>
      <c r="U2685" s="34">
        <f>MIN(1, S2685/M2685)</f>
        <v/>
      </c>
      <c r="V2685" s="34">
        <f>N2685/(N2685+O2685)</f>
        <v/>
      </c>
      <c r="W2685" s="34">
        <f>U2685*V2685</f>
        <v/>
      </c>
      <c r="X2685" s="32">
        <f>T2685/N2685</f>
        <v/>
      </c>
      <c r="Y2685" s="35">
        <f>IF(W2685=MAXIFS(W$2:W$3601, A$2:A$3601, A2685, B$2:B$3601, B2685), "OPTIMAL", "")</f>
        <v/>
      </c>
    </row>
    <row r="2686" ht="20" customHeight="1">
      <c r="A2686" s="21" t="n">
        <v>-18</v>
      </c>
      <c r="B2686" s="21" t="n">
        <v>35</v>
      </c>
      <c r="C2686" s="22" t="n">
        <v>100</v>
      </c>
      <c r="D2686" s="22" t="n">
        <v>2</v>
      </c>
      <c r="E2686" s="23" t="n">
        <v>4</v>
      </c>
      <c r="F2686" s="22" t="n">
        <v>1.5</v>
      </c>
      <c r="G2686" s="23" t="inlineStr">
        <is>
          <t>Oui</t>
        </is>
      </c>
      <c r="H2686" s="23" t="inlineStr">
        <is>
          <t>ON</t>
        </is>
      </c>
      <c r="I2686" s="24" t="n">
        <v>744.7528686370244</v>
      </c>
      <c r="J2686" s="24" t="n">
        <v>6550.668683077564</v>
      </c>
      <c r="K2686" s="24" t="n">
        <v>4222.222222222223</v>
      </c>
      <c r="L2686" s="24" t="n">
        <v>150</v>
      </c>
      <c r="M2686" s="24">
        <f>I2686+J2686+K2686+L2686</f>
        <v/>
      </c>
      <c r="N2686" s="24">
        <f>M2686*'Dashboard &amp; Optimisation'!$B$18/('Dashboard &amp; Optimisation'!$B$16/3.6)</f>
        <v/>
      </c>
      <c r="O2686" s="24" t="n">
        <v>792.1563368385895</v>
      </c>
      <c r="P2686" s="25" t="n">
        <v>0.07376163664698646</v>
      </c>
      <c r="Q2686" s="26" t="n">
        <v>6.718986469044035</v>
      </c>
      <c r="R2686" s="24" t="n">
        <v>4248.837763004442</v>
      </c>
      <c r="S2686" s="24">
        <f>R2686*IF(A2686=4, 2.0, 3.0)</f>
        <v/>
      </c>
      <c r="T2686" s="22">
        <f>'Dashboard &amp; Optimisation'!$B$18*U2686</f>
        <v/>
      </c>
      <c r="U2686" s="27">
        <f>MIN(1, S2686/M2686)</f>
        <v/>
      </c>
      <c r="V2686" s="27">
        <f>N2686/(N2686+O2686)</f>
        <v/>
      </c>
      <c r="W2686" s="27">
        <f>U2686*V2686</f>
        <v/>
      </c>
      <c r="X2686" s="25">
        <f>T2686/N2686</f>
        <v/>
      </c>
      <c r="Y2686" s="28">
        <f>IF(W2686=MAXIFS(W$2:W$3601, A$2:A$3601, A2686, B$2:B$3601, B2686), "OPTIMAL", "")</f>
        <v/>
      </c>
    </row>
    <row r="2687" ht="20" customHeight="1">
      <c r="A2687" s="29" t="n">
        <v>-18</v>
      </c>
      <c r="B2687" s="29" t="n">
        <v>35</v>
      </c>
      <c r="C2687" s="30" t="n">
        <v>100</v>
      </c>
      <c r="D2687" s="30" t="n">
        <v>2</v>
      </c>
      <c r="E2687" s="6" t="n">
        <v>4</v>
      </c>
      <c r="F2687" s="30" t="n">
        <v>1.5</v>
      </c>
      <c r="G2687" s="6" t="inlineStr">
        <is>
          <t>Oui</t>
        </is>
      </c>
      <c r="H2687" s="6" t="inlineStr">
        <is>
          <t>OFF</t>
        </is>
      </c>
      <c r="I2687" s="31" t="n">
        <v>744.7528686370244</v>
      </c>
      <c r="J2687" s="31" t="n">
        <v>6550.668683077564</v>
      </c>
      <c r="K2687" s="31" t="n">
        <v>4222.222222222223</v>
      </c>
      <c r="L2687" s="31" t="n">
        <v>150</v>
      </c>
      <c r="M2687" s="31">
        <f>I2687+J2687+K2687+L2687</f>
        <v/>
      </c>
      <c r="N2687" s="31">
        <f>M2687*'Dashboard &amp; Optimisation'!$B$18/('Dashboard &amp; Optimisation'!$B$16/3.6)</f>
        <v/>
      </c>
      <c r="O2687" s="31" t="n">
        <v>792.1563368385895</v>
      </c>
      <c r="P2687" s="32" t="n">
        <v>0.3073240714228834</v>
      </c>
      <c r="Q2687" s="33" t="n">
        <v>6.718986469044035</v>
      </c>
      <c r="R2687" s="31" t="n">
        <v>1019.77442182029</v>
      </c>
      <c r="S2687" s="31">
        <f>R2687*IF(A2687=4, 2.0, 3.0)</f>
        <v/>
      </c>
      <c r="T2687" s="30">
        <f>'Dashboard &amp; Optimisation'!$B$18*U2687</f>
        <v/>
      </c>
      <c r="U2687" s="34">
        <f>MIN(1, S2687/M2687)</f>
        <v/>
      </c>
      <c r="V2687" s="34">
        <f>N2687/(N2687+O2687)</f>
        <v/>
      </c>
      <c r="W2687" s="34">
        <f>U2687*V2687</f>
        <v/>
      </c>
      <c r="X2687" s="32">
        <f>T2687/N2687</f>
        <v/>
      </c>
      <c r="Y2687" s="35">
        <f>IF(W2687=MAXIFS(W$2:W$3601, A$2:A$3601, A2687, B$2:B$3601, B2687), "OPTIMAL", "")</f>
        <v/>
      </c>
    </row>
    <row r="2688" ht="20" customHeight="1">
      <c r="A2688" s="21" t="n">
        <v>-18</v>
      </c>
      <c r="B2688" s="21" t="n">
        <v>35</v>
      </c>
      <c r="C2688" s="22" t="n">
        <v>100</v>
      </c>
      <c r="D2688" s="22" t="n">
        <v>2</v>
      </c>
      <c r="E2688" s="23" t="n">
        <v>4</v>
      </c>
      <c r="F2688" s="22" t="n">
        <v>1.5</v>
      </c>
      <c r="G2688" s="23" t="inlineStr">
        <is>
          <t>Non</t>
        </is>
      </c>
      <c r="H2688" s="23" t="inlineStr">
        <is>
          <t>ON</t>
        </is>
      </c>
      <c r="I2688" s="24" t="n">
        <v>744.7528686370244</v>
      </c>
      <c r="J2688" s="24" t="n">
        <v>6550.668683077564</v>
      </c>
      <c r="K2688" s="24" t="n">
        <v>4222.222222222223</v>
      </c>
      <c r="L2688" s="24" t="n">
        <v>150</v>
      </c>
      <c r="M2688" s="24">
        <f>I2688+J2688+K2688+L2688</f>
        <v/>
      </c>
      <c r="N2688" s="24">
        <f>M2688*'Dashboard &amp; Optimisation'!$B$18/('Dashboard &amp; Optimisation'!$B$16/3.6)</f>
        <v/>
      </c>
      <c r="O2688" s="24" t="n">
        <v>792.1563368385895</v>
      </c>
      <c r="P2688" s="25" t="n">
        <v>0.07057853778514854</v>
      </c>
      <c r="Q2688" s="26" t="n">
        <v>6.718986469044035</v>
      </c>
      <c r="R2688" s="24" t="n">
        <v>4440.460755942095</v>
      </c>
      <c r="S2688" s="24">
        <f>R2688*IF(A2688=4, 2.0, 3.0)</f>
        <v/>
      </c>
      <c r="T2688" s="22">
        <f>'Dashboard &amp; Optimisation'!$B$18*U2688</f>
        <v/>
      </c>
      <c r="U2688" s="27">
        <f>MIN(1, S2688/M2688)</f>
        <v/>
      </c>
      <c r="V2688" s="27">
        <f>N2688/(N2688+O2688)</f>
        <v/>
      </c>
      <c r="W2688" s="27">
        <f>U2688*V2688</f>
        <v/>
      </c>
      <c r="X2688" s="25">
        <f>T2688/N2688</f>
        <v/>
      </c>
      <c r="Y2688" s="28">
        <f>IF(W2688=MAXIFS(W$2:W$3601, A$2:A$3601, A2688, B$2:B$3601, B2688), "OPTIMAL", "")</f>
        <v/>
      </c>
    </row>
    <row r="2689" ht="20" customHeight="1">
      <c r="A2689" s="29" t="n">
        <v>-18</v>
      </c>
      <c r="B2689" s="29" t="n">
        <v>35</v>
      </c>
      <c r="C2689" s="30" t="n">
        <v>100</v>
      </c>
      <c r="D2689" s="30" t="n">
        <v>2</v>
      </c>
      <c r="E2689" s="6" t="n">
        <v>4</v>
      </c>
      <c r="F2689" s="30" t="n">
        <v>1.5</v>
      </c>
      <c r="G2689" s="6" t="inlineStr">
        <is>
          <t>Non</t>
        </is>
      </c>
      <c r="H2689" s="6" t="inlineStr">
        <is>
          <t>OFF</t>
        </is>
      </c>
      <c r="I2689" s="31" t="n">
        <v>744.7528686370244</v>
      </c>
      <c r="J2689" s="31" t="n">
        <v>6550.668683077564</v>
      </c>
      <c r="K2689" s="31" t="n">
        <v>4222.222222222223</v>
      </c>
      <c r="L2689" s="31" t="n">
        <v>150</v>
      </c>
      <c r="M2689" s="31">
        <f>I2689+J2689+K2689+L2689</f>
        <v/>
      </c>
      <c r="N2689" s="31">
        <f>M2689*'Dashboard &amp; Optimisation'!$B$18/('Dashboard &amp; Optimisation'!$B$16/3.6)</f>
        <v/>
      </c>
      <c r="O2689" s="31" t="n">
        <v>792.1563368385895</v>
      </c>
      <c r="P2689" s="32" t="n">
        <v>0.3041409725610454</v>
      </c>
      <c r="Q2689" s="33" t="n">
        <v>6.718986469044035</v>
      </c>
      <c r="R2689" s="31" t="n">
        <v>1030.447244932855</v>
      </c>
      <c r="S2689" s="31">
        <f>R2689*IF(A2689=4, 2.0, 3.0)</f>
        <v/>
      </c>
      <c r="T2689" s="30">
        <f>'Dashboard &amp; Optimisation'!$B$18*U2689</f>
        <v/>
      </c>
      <c r="U2689" s="34">
        <f>MIN(1, S2689/M2689)</f>
        <v/>
      </c>
      <c r="V2689" s="34">
        <f>N2689/(N2689+O2689)</f>
        <v/>
      </c>
      <c r="W2689" s="34">
        <f>U2689*V2689</f>
        <v/>
      </c>
      <c r="X2689" s="32">
        <f>T2689/N2689</f>
        <v/>
      </c>
      <c r="Y2689" s="35">
        <f>IF(W2689=MAXIFS(W$2:W$3601, A$2:A$3601, A2689, B$2:B$3601, B2689), "OPTIMAL", "")</f>
        <v/>
      </c>
    </row>
    <row r="2690" ht="20" customHeight="1">
      <c r="A2690" s="21" t="n">
        <v>-18</v>
      </c>
      <c r="B2690" s="21" t="n">
        <v>35</v>
      </c>
      <c r="C2690" s="22" t="n">
        <v>100</v>
      </c>
      <c r="D2690" s="22" t="n">
        <v>2</v>
      </c>
      <c r="E2690" s="23" t="n">
        <v>4</v>
      </c>
      <c r="F2690" s="22" t="n">
        <v>2</v>
      </c>
      <c r="G2690" s="23" t="inlineStr">
        <is>
          <t>Oui</t>
        </is>
      </c>
      <c r="H2690" s="23" t="inlineStr">
        <is>
          <t>ON</t>
        </is>
      </c>
      <c r="I2690" s="24" t="n">
        <v>744.7528686370244</v>
      </c>
      <c r="J2690" s="24" t="n">
        <v>6550.668683077564</v>
      </c>
      <c r="K2690" s="24" t="n">
        <v>4222.222222222223</v>
      </c>
      <c r="L2690" s="24" t="n">
        <v>150</v>
      </c>
      <c r="M2690" s="24">
        <f>I2690+J2690+K2690+L2690</f>
        <v/>
      </c>
      <c r="N2690" s="24">
        <f>M2690*'Dashboard &amp; Optimisation'!$B$18/('Dashboard &amp; Optimisation'!$B$16/3.6)</f>
        <v/>
      </c>
      <c r="O2690" s="24" t="n">
        <v>892.3076668364585</v>
      </c>
      <c r="P2690" s="25" t="n">
        <v>0.07106618988155999</v>
      </c>
      <c r="Q2690" s="26" t="n">
        <v>8.891981958725379</v>
      </c>
      <c r="R2690" s="24" t="n">
        <v>4458.855933989934</v>
      </c>
      <c r="S2690" s="24">
        <f>R2690*IF(A2690=4, 2.0, 3.0)</f>
        <v/>
      </c>
      <c r="T2690" s="22">
        <f>'Dashboard &amp; Optimisation'!$B$18*U2690</f>
        <v/>
      </c>
      <c r="U2690" s="27">
        <f>MIN(1, S2690/M2690)</f>
        <v/>
      </c>
      <c r="V2690" s="27">
        <f>N2690/(N2690+O2690)</f>
        <v/>
      </c>
      <c r="W2690" s="27">
        <f>U2690*V2690</f>
        <v/>
      </c>
      <c r="X2690" s="25">
        <f>T2690/N2690</f>
        <v/>
      </c>
      <c r="Y2690" s="28">
        <f>IF(W2690=MAXIFS(W$2:W$3601, A$2:A$3601, A2690, B$2:B$3601, B2690), "OPTIMAL", "")</f>
        <v/>
      </c>
    </row>
    <row r="2691" ht="20" customHeight="1">
      <c r="A2691" s="29" t="n">
        <v>-18</v>
      </c>
      <c r="B2691" s="29" t="n">
        <v>35</v>
      </c>
      <c r="C2691" s="30" t="n">
        <v>100</v>
      </c>
      <c r="D2691" s="30" t="n">
        <v>2</v>
      </c>
      <c r="E2691" s="6" t="n">
        <v>4</v>
      </c>
      <c r="F2691" s="30" t="n">
        <v>2</v>
      </c>
      <c r="G2691" s="6" t="inlineStr">
        <is>
          <t>Oui</t>
        </is>
      </c>
      <c r="H2691" s="6" t="inlineStr">
        <is>
          <t>OFF</t>
        </is>
      </c>
      <c r="I2691" s="31" t="n">
        <v>744.7528686370244</v>
      </c>
      <c r="J2691" s="31" t="n">
        <v>6550.668683077564</v>
      </c>
      <c r="K2691" s="31" t="n">
        <v>4222.222222222223</v>
      </c>
      <c r="L2691" s="31" t="n">
        <v>150</v>
      </c>
      <c r="M2691" s="31">
        <f>I2691+J2691+K2691+L2691</f>
        <v/>
      </c>
      <c r="N2691" s="31">
        <f>M2691*'Dashboard &amp; Optimisation'!$B$18/('Dashboard &amp; Optimisation'!$B$16/3.6)</f>
        <v/>
      </c>
      <c r="O2691" s="31" t="n">
        <v>892.3076668364585</v>
      </c>
      <c r="P2691" s="32" t="n">
        <v>0.3057228026390766</v>
      </c>
      <c r="Q2691" s="33" t="n">
        <v>8.891981958725379</v>
      </c>
      <c r="R2691" s="31" t="n">
        <v>1036.474544012136</v>
      </c>
      <c r="S2691" s="31">
        <f>R2691*IF(A2691=4, 2.0, 3.0)</f>
        <v/>
      </c>
      <c r="T2691" s="30">
        <f>'Dashboard &amp; Optimisation'!$B$18*U2691</f>
        <v/>
      </c>
      <c r="U2691" s="34">
        <f>MIN(1, S2691/M2691)</f>
        <v/>
      </c>
      <c r="V2691" s="34">
        <f>N2691/(N2691+O2691)</f>
        <v/>
      </c>
      <c r="W2691" s="34">
        <f>U2691*V2691</f>
        <v/>
      </c>
      <c r="X2691" s="32">
        <f>T2691/N2691</f>
        <v/>
      </c>
      <c r="Y2691" s="35">
        <f>IF(W2691=MAXIFS(W$2:W$3601, A$2:A$3601, A2691, B$2:B$3601, B2691), "OPTIMAL", "")</f>
        <v/>
      </c>
    </row>
    <row r="2692" ht="20" customHeight="1">
      <c r="A2692" s="21" t="n">
        <v>-18</v>
      </c>
      <c r="B2692" s="21" t="n">
        <v>35</v>
      </c>
      <c r="C2692" s="22" t="n">
        <v>100</v>
      </c>
      <c r="D2692" s="22" t="n">
        <v>2</v>
      </c>
      <c r="E2692" s="23" t="n">
        <v>4</v>
      </c>
      <c r="F2692" s="22" t="n">
        <v>2</v>
      </c>
      <c r="G2692" s="23" t="inlineStr">
        <is>
          <t>Non</t>
        </is>
      </c>
      <c r="H2692" s="23" t="inlineStr">
        <is>
          <t>ON</t>
        </is>
      </c>
      <c r="I2692" s="24" t="n">
        <v>744.7528686370244</v>
      </c>
      <c r="J2692" s="24" t="n">
        <v>6550.668683077564</v>
      </c>
      <c r="K2692" s="24" t="n">
        <v>4222.222222222223</v>
      </c>
      <c r="L2692" s="24" t="n">
        <v>150</v>
      </c>
      <c r="M2692" s="24">
        <f>I2692+J2692+K2692+L2692</f>
        <v/>
      </c>
      <c r="N2692" s="24">
        <f>M2692*'Dashboard &amp; Optimisation'!$B$18/('Dashboard &amp; Optimisation'!$B$16/3.6)</f>
        <v/>
      </c>
      <c r="O2692" s="24" t="n">
        <v>892.3076668364585</v>
      </c>
      <c r="P2692" s="25" t="n">
        <v>0.06788309101972209</v>
      </c>
      <c r="Q2692" s="26" t="n">
        <v>8.891981958725379</v>
      </c>
      <c r="R2692" s="24" t="n">
        <v>4667.935677345448</v>
      </c>
      <c r="S2692" s="24">
        <f>R2692*IF(A2692=4, 2.0, 3.0)</f>
        <v/>
      </c>
      <c r="T2692" s="22">
        <f>'Dashboard &amp; Optimisation'!$B$18*U2692</f>
        <v/>
      </c>
      <c r="U2692" s="27">
        <f>MIN(1, S2692/M2692)</f>
        <v/>
      </c>
      <c r="V2692" s="27">
        <f>N2692/(N2692+O2692)</f>
        <v/>
      </c>
      <c r="W2692" s="27">
        <f>U2692*V2692</f>
        <v/>
      </c>
      <c r="X2692" s="25">
        <f>T2692/N2692</f>
        <v/>
      </c>
      <c r="Y2692" s="28">
        <f>IF(W2692=MAXIFS(W$2:W$3601, A$2:A$3601, A2692, B$2:B$3601, B2692), "OPTIMAL", "")</f>
        <v/>
      </c>
    </row>
    <row r="2693" ht="20" customHeight="1">
      <c r="A2693" s="29" t="n">
        <v>-18</v>
      </c>
      <c r="B2693" s="29" t="n">
        <v>35</v>
      </c>
      <c r="C2693" s="30" t="n">
        <v>100</v>
      </c>
      <c r="D2693" s="30" t="n">
        <v>2</v>
      </c>
      <c r="E2693" s="6" t="n">
        <v>4</v>
      </c>
      <c r="F2693" s="30" t="n">
        <v>2</v>
      </c>
      <c r="G2693" s="6" t="inlineStr">
        <is>
          <t>Non</t>
        </is>
      </c>
      <c r="H2693" s="6" t="inlineStr">
        <is>
          <t>OFF</t>
        </is>
      </c>
      <c r="I2693" s="31" t="n">
        <v>744.7528686370244</v>
      </c>
      <c r="J2693" s="31" t="n">
        <v>6550.668683077564</v>
      </c>
      <c r="K2693" s="31" t="n">
        <v>4222.222222222223</v>
      </c>
      <c r="L2693" s="31" t="n">
        <v>150</v>
      </c>
      <c r="M2693" s="31">
        <f>I2693+J2693+K2693+L2693</f>
        <v/>
      </c>
      <c r="N2693" s="31">
        <f>M2693*'Dashboard &amp; Optimisation'!$B$18/('Dashboard &amp; Optimisation'!$B$16/3.6)</f>
        <v/>
      </c>
      <c r="O2693" s="31" t="n">
        <v>892.3076668364585</v>
      </c>
      <c r="P2693" s="32" t="n">
        <v>0.3025397037772387</v>
      </c>
      <c r="Q2693" s="33" t="n">
        <v>8.891981958725379</v>
      </c>
      <c r="R2693" s="31" t="n">
        <v>1047.379562097955</v>
      </c>
      <c r="S2693" s="31">
        <f>R2693*IF(A2693=4, 2.0, 3.0)</f>
        <v/>
      </c>
      <c r="T2693" s="30">
        <f>'Dashboard &amp; Optimisation'!$B$18*U2693</f>
        <v/>
      </c>
      <c r="U2693" s="34">
        <f>MIN(1, S2693/M2693)</f>
        <v/>
      </c>
      <c r="V2693" s="34">
        <f>N2693/(N2693+O2693)</f>
        <v/>
      </c>
      <c r="W2693" s="34">
        <f>U2693*V2693</f>
        <v/>
      </c>
      <c r="X2693" s="32">
        <f>T2693/N2693</f>
        <v/>
      </c>
      <c r="Y2693" s="35">
        <f>IF(W2693=MAXIFS(W$2:W$3601, A$2:A$3601, A2693, B$2:B$3601, B2693), "OPTIMAL", "")</f>
        <v/>
      </c>
    </row>
    <row r="2694" ht="20" customHeight="1">
      <c r="A2694" s="21" t="n">
        <v>-18</v>
      </c>
      <c r="B2694" s="21" t="n">
        <v>35</v>
      </c>
      <c r="C2694" s="22" t="n">
        <v>100</v>
      </c>
      <c r="D2694" s="22" t="n">
        <v>2</v>
      </c>
      <c r="E2694" s="23" t="n">
        <v>8</v>
      </c>
      <c r="F2694" s="22" t="n">
        <v>1.5</v>
      </c>
      <c r="G2694" s="23" t="inlineStr">
        <is>
          <t>Oui</t>
        </is>
      </c>
      <c r="H2694" s="23" t="inlineStr">
        <is>
          <t>ON</t>
        </is>
      </c>
      <c r="I2694" s="24" t="n">
        <v>744.7528686370244</v>
      </c>
      <c r="J2694" s="24" t="n">
        <v>6550.668683077564</v>
      </c>
      <c r="K2694" s="24" t="n">
        <v>4222.222222222223</v>
      </c>
      <c r="L2694" s="24" t="n">
        <v>150</v>
      </c>
      <c r="M2694" s="24">
        <f>I2694+J2694+K2694+L2694</f>
        <v/>
      </c>
      <c r="N2694" s="24">
        <f>M2694*'Dashboard &amp; Optimisation'!$B$18/('Dashboard &amp; Optimisation'!$B$16/3.6)</f>
        <v/>
      </c>
      <c r="O2694" s="24" t="n">
        <v>1099.419653737174</v>
      </c>
      <c r="P2694" s="25" t="n">
        <v>0.05573050288457804</v>
      </c>
      <c r="Q2694" s="26" t="n">
        <v>13.23797293808807</v>
      </c>
      <c r="R2694" s="24" t="n">
        <v>5814.685757647308</v>
      </c>
      <c r="S2694" s="24">
        <f>R2694*IF(A2694=4, 2.0, 3.0)</f>
        <v/>
      </c>
      <c r="T2694" s="22">
        <f>'Dashboard &amp; Optimisation'!$B$18*U2694</f>
        <v/>
      </c>
      <c r="U2694" s="27">
        <f>MIN(1, S2694/M2694)</f>
        <v/>
      </c>
      <c r="V2694" s="27">
        <f>N2694/(N2694+O2694)</f>
        <v/>
      </c>
      <c r="W2694" s="27">
        <f>U2694*V2694</f>
        <v/>
      </c>
      <c r="X2694" s="25">
        <f>T2694/N2694</f>
        <v/>
      </c>
      <c r="Y2694" s="28">
        <f>IF(W2694=MAXIFS(W$2:W$3601, A$2:A$3601, A2694, B$2:B$3601, B2694), "OPTIMAL", "")</f>
        <v/>
      </c>
    </row>
    <row r="2695" ht="20" customHeight="1">
      <c r="A2695" s="29" t="n">
        <v>-18</v>
      </c>
      <c r="B2695" s="29" t="n">
        <v>35</v>
      </c>
      <c r="C2695" s="30" t="n">
        <v>100</v>
      </c>
      <c r="D2695" s="30" t="n">
        <v>2</v>
      </c>
      <c r="E2695" s="6" t="n">
        <v>8</v>
      </c>
      <c r="F2695" s="30" t="n">
        <v>1.5</v>
      </c>
      <c r="G2695" s="6" t="inlineStr">
        <is>
          <t>Oui</t>
        </is>
      </c>
      <c r="H2695" s="6" t="inlineStr">
        <is>
          <t>OFF</t>
        </is>
      </c>
      <c r="I2695" s="31" t="n">
        <v>744.7528686370244</v>
      </c>
      <c r="J2695" s="31" t="n">
        <v>6550.668683077564</v>
      </c>
      <c r="K2695" s="31" t="n">
        <v>4222.222222222223</v>
      </c>
      <c r="L2695" s="31" t="n">
        <v>150</v>
      </c>
      <c r="M2695" s="31">
        <f>I2695+J2695+K2695+L2695</f>
        <v/>
      </c>
      <c r="N2695" s="31">
        <f>M2695*'Dashboard &amp; Optimisation'!$B$18/('Dashboard &amp; Optimisation'!$B$16/3.6)</f>
        <v/>
      </c>
      <c r="O2695" s="31" t="n">
        <v>1099.419653737174</v>
      </c>
      <c r="P2695" s="32" t="n">
        <v>0.2401827722650424</v>
      </c>
      <c r="Q2695" s="33" t="n">
        <v>13.23797293808807</v>
      </c>
      <c r="R2695" s="31" t="n">
        <v>1349.203185280425</v>
      </c>
      <c r="S2695" s="31">
        <f>R2695*IF(A2695=4, 2.0, 3.0)</f>
        <v/>
      </c>
      <c r="T2695" s="30">
        <f>'Dashboard &amp; Optimisation'!$B$18*U2695</f>
        <v/>
      </c>
      <c r="U2695" s="34">
        <f>MIN(1, S2695/M2695)</f>
        <v/>
      </c>
      <c r="V2695" s="34">
        <f>N2695/(N2695+O2695)</f>
        <v/>
      </c>
      <c r="W2695" s="34">
        <f>U2695*V2695</f>
        <v/>
      </c>
      <c r="X2695" s="32">
        <f>T2695/N2695</f>
        <v/>
      </c>
      <c r="Y2695" s="35">
        <f>IF(W2695=MAXIFS(W$2:W$3601, A$2:A$3601, A2695, B$2:B$3601, B2695), "OPTIMAL", "")</f>
        <v/>
      </c>
    </row>
    <row r="2696" ht="20" customHeight="1">
      <c r="A2696" s="21" t="n">
        <v>-18</v>
      </c>
      <c r="B2696" s="21" t="n">
        <v>35</v>
      </c>
      <c r="C2696" s="22" t="n">
        <v>100</v>
      </c>
      <c r="D2696" s="22" t="n">
        <v>2</v>
      </c>
      <c r="E2696" s="23" t="n">
        <v>8</v>
      </c>
      <c r="F2696" s="22" t="n">
        <v>1.5</v>
      </c>
      <c r="G2696" s="23" t="inlineStr">
        <is>
          <t>Non</t>
        </is>
      </c>
      <c r="H2696" s="23" t="inlineStr">
        <is>
          <t>ON</t>
        </is>
      </c>
      <c r="I2696" s="24" t="n">
        <v>744.7528686370244</v>
      </c>
      <c r="J2696" s="24" t="n">
        <v>6550.668683077564</v>
      </c>
      <c r="K2696" s="24" t="n">
        <v>4222.222222222223</v>
      </c>
      <c r="L2696" s="24" t="n">
        <v>150</v>
      </c>
      <c r="M2696" s="24">
        <f>I2696+J2696+K2696+L2696</f>
        <v/>
      </c>
      <c r="N2696" s="24">
        <f>M2696*'Dashboard &amp; Optimisation'!$B$18/('Dashboard &amp; Optimisation'!$B$16/3.6)</f>
        <v/>
      </c>
      <c r="O2696" s="24" t="n">
        <v>1099.419653737174</v>
      </c>
      <c r="P2696" s="25" t="n">
        <v>0.05254740402274013</v>
      </c>
      <c r="Q2696" s="26" t="n">
        <v>13.23797293808807</v>
      </c>
      <c r="R2696" s="24" t="n">
        <v>6166.914758514838</v>
      </c>
      <c r="S2696" s="24">
        <f>R2696*IF(A2696=4, 2.0, 3.0)</f>
        <v/>
      </c>
      <c r="T2696" s="22">
        <f>'Dashboard &amp; Optimisation'!$B$18*U2696</f>
        <v/>
      </c>
      <c r="U2696" s="27">
        <f>MIN(1, S2696/M2696)</f>
        <v/>
      </c>
      <c r="V2696" s="27">
        <f>N2696/(N2696+O2696)</f>
        <v/>
      </c>
      <c r="W2696" s="27">
        <f>U2696*V2696</f>
        <v/>
      </c>
      <c r="X2696" s="25">
        <f>T2696/N2696</f>
        <v/>
      </c>
      <c r="Y2696" s="28">
        <f>IF(W2696=MAXIFS(W$2:W$3601, A$2:A$3601, A2696, B$2:B$3601, B2696), "OPTIMAL", "")</f>
        <v/>
      </c>
    </row>
    <row r="2697" ht="20" customHeight="1">
      <c r="A2697" s="29" t="n">
        <v>-18</v>
      </c>
      <c r="B2697" s="29" t="n">
        <v>35</v>
      </c>
      <c r="C2697" s="30" t="n">
        <v>100</v>
      </c>
      <c r="D2697" s="30" t="n">
        <v>2</v>
      </c>
      <c r="E2697" s="6" t="n">
        <v>8</v>
      </c>
      <c r="F2697" s="30" t="n">
        <v>1.5</v>
      </c>
      <c r="G2697" s="6" t="inlineStr">
        <is>
          <t>Non</t>
        </is>
      </c>
      <c r="H2697" s="6" t="inlineStr">
        <is>
          <t>OFF</t>
        </is>
      </c>
      <c r="I2697" s="31" t="n">
        <v>744.7528686370244</v>
      </c>
      <c r="J2697" s="31" t="n">
        <v>6550.668683077564</v>
      </c>
      <c r="K2697" s="31" t="n">
        <v>4222.222222222223</v>
      </c>
      <c r="L2697" s="31" t="n">
        <v>150</v>
      </c>
      <c r="M2697" s="31">
        <f>I2697+J2697+K2697+L2697</f>
        <v/>
      </c>
      <c r="N2697" s="31">
        <f>M2697*'Dashboard &amp; Optimisation'!$B$18/('Dashboard &amp; Optimisation'!$B$16/3.6)</f>
        <v/>
      </c>
      <c r="O2697" s="31" t="n">
        <v>1099.419653737174</v>
      </c>
      <c r="P2697" s="32" t="n">
        <v>0.2369996734032044</v>
      </c>
      <c r="Q2697" s="33" t="n">
        <v>13.23797293808807</v>
      </c>
      <c r="R2697" s="31" t="n">
        <v>1367.324084190475</v>
      </c>
      <c r="S2697" s="31">
        <f>R2697*IF(A2697=4, 2.0, 3.0)</f>
        <v/>
      </c>
      <c r="T2697" s="30">
        <f>'Dashboard &amp; Optimisation'!$B$18*U2697</f>
        <v/>
      </c>
      <c r="U2697" s="34">
        <f>MIN(1, S2697/M2697)</f>
        <v/>
      </c>
      <c r="V2697" s="34">
        <f>N2697/(N2697+O2697)</f>
        <v/>
      </c>
      <c r="W2697" s="34">
        <f>U2697*V2697</f>
        <v/>
      </c>
      <c r="X2697" s="32">
        <f>T2697/N2697</f>
        <v/>
      </c>
      <c r="Y2697" s="35">
        <f>IF(W2697=MAXIFS(W$2:W$3601, A$2:A$3601, A2697, B$2:B$3601, B2697), "OPTIMAL", "")</f>
        <v/>
      </c>
    </row>
    <row r="2698" ht="20" customHeight="1">
      <c r="A2698" s="21" t="n">
        <v>-18</v>
      </c>
      <c r="B2698" s="21" t="n">
        <v>35</v>
      </c>
      <c r="C2698" s="22" t="n">
        <v>100</v>
      </c>
      <c r="D2698" s="22" t="n">
        <v>2</v>
      </c>
      <c r="E2698" s="23" t="n">
        <v>8</v>
      </c>
      <c r="F2698" s="22" t="n">
        <v>2</v>
      </c>
      <c r="G2698" s="23" t="inlineStr">
        <is>
          <t>Oui</t>
        </is>
      </c>
      <c r="H2698" s="23" t="inlineStr">
        <is>
          <t>ON</t>
        </is>
      </c>
      <c r="I2698" s="24" t="n">
        <v>744.7528686370244</v>
      </c>
      <c r="J2698" s="24" t="n">
        <v>6550.668683077564</v>
      </c>
      <c r="K2698" s="24" t="n">
        <v>4222.222222222223</v>
      </c>
      <c r="L2698" s="24" t="n">
        <v>150</v>
      </c>
      <c r="M2698" s="24">
        <f>I2698+J2698+K2698+L2698</f>
        <v/>
      </c>
      <c r="N2698" s="24">
        <f>M2698*'Dashboard &amp; Optimisation'!$B$18/('Dashboard &amp; Optimisation'!$B$16/3.6)</f>
        <v/>
      </c>
      <c r="O2698" s="24" t="n">
        <v>1316.137081512672</v>
      </c>
      <c r="P2698" s="25" t="n">
        <v>0.05449488140602117</v>
      </c>
      <c r="Q2698" s="26" t="n">
        <v>17.58396391745076</v>
      </c>
      <c r="R2698" s="24" t="n">
        <v>6084.422490822702</v>
      </c>
      <c r="S2698" s="24">
        <f>R2698*IF(A2698=4, 2.0, 3.0)</f>
        <v/>
      </c>
      <c r="T2698" s="22">
        <f>'Dashboard &amp; Optimisation'!$B$18*U2698</f>
        <v/>
      </c>
      <c r="U2698" s="27">
        <f>MIN(1, S2698/M2698)</f>
        <v/>
      </c>
      <c r="V2698" s="27">
        <f>N2698/(N2698+O2698)</f>
        <v/>
      </c>
      <c r="W2698" s="27">
        <f>U2698*V2698</f>
        <v/>
      </c>
      <c r="X2698" s="25">
        <f>T2698/N2698</f>
        <v/>
      </c>
      <c r="Y2698" s="28">
        <f>IF(W2698=MAXIFS(W$2:W$3601, A$2:A$3601, A2698, B$2:B$3601, B2698), "OPTIMAL", "")</f>
        <v/>
      </c>
    </row>
    <row r="2699" ht="20" customHeight="1">
      <c r="A2699" s="29" t="n">
        <v>-18</v>
      </c>
      <c r="B2699" s="29" t="n">
        <v>35</v>
      </c>
      <c r="C2699" s="30" t="n">
        <v>100</v>
      </c>
      <c r="D2699" s="30" t="n">
        <v>2</v>
      </c>
      <c r="E2699" s="6" t="n">
        <v>8</v>
      </c>
      <c r="F2699" s="30" t="n">
        <v>2</v>
      </c>
      <c r="G2699" s="6" t="inlineStr">
        <is>
          <t>Oui</t>
        </is>
      </c>
      <c r="H2699" s="6" t="inlineStr">
        <is>
          <t>OFF</t>
        </is>
      </c>
      <c r="I2699" s="31" t="n">
        <v>744.7528686370244</v>
      </c>
      <c r="J2699" s="31" t="n">
        <v>6550.668683077564</v>
      </c>
      <c r="K2699" s="31" t="n">
        <v>4222.222222222223</v>
      </c>
      <c r="L2699" s="31" t="n">
        <v>150</v>
      </c>
      <c r="M2699" s="31">
        <f>I2699+J2699+K2699+L2699</f>
        <v/>
      </c>
      <c r="N2699" s="31">
        <f>M2699*'Dashboard &amp; Optimisation'!$B$18/('Dashboard &amp; Optimisation'!$B$16/3.6)</f>
        <v/>
      </c>
      <c r="O2699" s="31" t="n">
        <v>1316.137081512672</v>
      </c>
      <c r="P2699" s="32" t="n">
        <v>0.2403161193409352</v>
      </c>
      <c r="Q2699" s="33" t="n">
        <v>17.58396391745076</v>
      </c>
      <c r="R2699" s="31" t="n">
        <v>1379.723852777077</v>
      </c>
      <c r="S2699" s="31">
        <f>R2699*IF(A2699=4, 2.0, 3.0)</f>
        <v/>
      </c>
      <c r="T2699" s="30">
        <f>'Dashboard &amp; Optimisation'!$B$18*U2699</f>
        <v/>
      </c>
      <c r="U2699" s="34">
        <f>MIN(1, S2699/M2699)</f>
        <v/>
      </c>
      <c r="V2699" s="34">
        <f>N2699/(N2699+O2699)</f>
        <v/>
      </c>
      <c r="W2699" s="34">
        <f>U2699*V2699</f>
        <v/>
      </c>
      <c r="X2699" s="32">
        <f>T2699/N2699</f>
        <v/>
      </c>
      <c r="Y2699" s="35">
        <f>IF(W2699=MAXIFS(W$2:W$3601, A$2:A$3601, A2699, B$2:B$3601, B2699), "OPTIMAL", "")</f>
        <v/>
      </c>
    </row>
    <row r="2700" ht="20" customHeight="1">
      <c r="A2700" s="21" t="n">
        <v>-18</v>
      </c>
      <c r="B2700" s="21" t="n">
        <v>35</v>
      </c>
      <c r="C2700" s="22" t="n">
        <v>100</v>
      </c>
      <c r="D2700" s="22" t="n">
        <v>2</v>
      </c>
      <c r="E2700" s="23" t="n">
        <v>8</v>
      </c>
      <c r="F2700" s="22" t="n">
        <v>2</v>
      </c>
      <c r="G2700" s="23" t="inlineStr">
        <is>
          <t>Non</t>
        </is>
      </c>
      <c r="H2700" s="23" t="inlineStr">
        <is>
          <t>ON</t>
        </is>
      </c>
      <c r="I2700" s="24" t="n">
        <v>744.7528686370244</v>
      </c>
      <c r="J2700" s="24" t="n">
        <v>6550.668683077564</v>
      </c>
      <c r="K2700" s="24" t="n">
        <v>4222.222222222223</v>
      </c>
      <c r="L2700" s="24" t="n">
        <v>150</v>
      </c>
      <c r="M2700" s="24">
        <f>I2700+J2700+K2700+L2700</f>
        <v/>
      </c>
      <c r="N2700" s="24">
        <f>M2700*'Dashboard &amp; Optimisation'!$B$18/('Dashboard &amp; Optimisation'!$B$16/3.6)</f>
        <v/>
      </c>
      <c r="O2700" s="24" t="n">
        <v>1316.137081512672</v>
      </c>
      <c r="P2700" s="25" t="n">
        <v>0.05131178254418326</v>
      </c>
      <c r="Q2700" s="26" t="n">
        <v>17.58396391745076</v>
      </c>
      <c r="R2700" s="24" t="n">
        <v>6461.866371062139</v>
      </c>
      <c r="S2700" s="24">
        <f>R2700*IF(A2700=4, 2.0, 3.0)</f>
        <v/>
      </c>
      <c r="T2700" s="22">
        <f>'Dashboard &amp; Optimisation'!$B$18*U2700</f>
        <v/>
      </c>
      <c r="U2700" s="27">
        <f>MIN(1, S2700/M2700)</f>
        <v/>
      </c>
      <c r="V2700" s="27">
        <f>N2700/(N2700+O2700)</f>
        <v/>
      </c>
      <c r="W2700" s="27">
        <f>U2700*V2700</f>
        <v/>
      </c>
      <c r="X2700" s="25">
        <f>T2700/N2700</f>
        <v/>
      </c>
      <c r="Y2700" s="28">
        <f>IF(W2700=MAXIFS(W$2:W$3601, A$2:A$3601, A2700, B$2:B$3601, B2700), "OPTIMAL", "")</f>
        <v/>
      </c>
    </row>
    <row r="2701" ht="20" customHeight="1">
      <c r="A2701" s="29" t="n">
        <v>-18</v>
      </c>
      <c r="B2701" s="29" t="n">
        <v>35</v>
      </c>
      <c r="C2701" s="30" t="n">
        <v>100</v>
      </c>
      <c r="D2701" s="30" t="n">
        <v>2</v>
      </c>
      <c r="E2701" s="6" t="n">
        <v>8</v>
      </c>
      <c r="F2701" s="30" t="n">
        <v>2</v>
      </c>
      <c r="G2701" s="6" t="inlineStr">
        <is>
          <t>Non</t>
        </is>
      </c>
      <c r="H2701" s="6" t="inlineStr">
        <is>
          <t>OFF</t>
        </is>
      </c>
      <c r="I2701" s="31" t="n">
        <v>744.7528686370244</v>
      </c>
      <c r="J2701" s="31" t="n">
        <v>6550.668683077564</v>
      </c>
      <c r="K2701" s="31" t="n">
        <v>4222.222222222223</v>
      </c>
      <c r="L2701" s="31" t="n">
        <v>150</v>
      </c>
      <c r="M2701" s="31">
        <f>I2701+J2701+K2701+L2701</f>
        <v/>
      </c>
      <c r="N2701" s="31">
        <f>M2701*'Dashboard &amp; Optimisation'!$B$18/('Dashboard &amp; Optimisation'!$B$16/3.6)</f>
        <v/>
      </c>
      <c r="O2701" s="31" t="n">
        <v>1316.137081512672</v>
      </c>
      <c r="P2701" s="32" t="n">
        <v>0.2371330204790973</v>
      </c>
      <c r="Q2701" s="33" t="n">
        <v>17.58396391745076</v>
      </c>
      <c r="R2701" s="31" t="n">
        <v>1398.244248698962</v>
      </c>
      <c r="S2701" s="31">
        <f>R2701*IF(A2701=4, 2.0, 3.0)</f>
        <v/>
      </c>
      <c r="T2701" s="30">
        <f>'Dashboard &amp; Optimisation'!$B$18*U2701</f>
        <v/>
      </c>
      <c r="U2701" s="34">
        <f>MIN(1, S2701/M2701)</f>
        <v/>
      </c>
      <c r="V2701" s="34">
        <f>N2701/(N2701+O2701)</f>
        <v/>
      </c>
      <c r="W2701" s="34">
        <f>U2701*V2701</f>
        <v/>
      </c>
      <c r="X2701" s="32">
        <f>T2701/N2701</f>
        <v/>
      </c>
      <c r="Y2701" s="35">
        <f>IF(W2701=MAXIFS(W$2:W$3601, A$2:A$3601, A2701, B$2:B$3601, B2701), "OPTIMAL", "")</f>
        <v/>
      </c>
    </row>
    <row r="2702" ht="20" customHeight="1">
      <c r="A2702" s="21" t="n">
        <v>-18</v>
      </c>
      <c r="B2702" s="21" t="n">
        <v>35</v>
      </c>
      <c r="C2702" s="22" t="n">
        <v>100</v>
      </c>
      <c r="D2702" s="22" t="n">
        <v>3</v>
      </c>
      <c r="E2702" s="23" t="n">
        <v>0</v>
      </c>
      <c r="F2702" s="22" t="n">
        <v>0</v>
      </c>
      <c r="G2702" s="23" t="inlineStr">
        <is>
          <t>Oui</t>
        </is>
      </c>
      <c r="H2702" s="23" t="inlineStr">
        <is>
          <t>ON</t>
        </is>
      </c>
      <c r="I2702" s="24" t="n">
        <v>744.7528686370244</v>
      </c>
      <c r="J2702" s="24" t="n">
        <v>6550.668683077564</v>
      </c>
      <c r="K2702" s="24" t="n">
        <v>4222.222222222223</v>
      </c>
      <c r="L2702" s="24" t="n">
        <v>150</v>
      </c>
      <c r="M2702" s="24">
        <f>I2702+J2702+K2702+L2702</f>
        <v/>
      </c>
      <c r="N2702" s="24">
        <f>M2702*'Dashboard &amp; Optimisation'!$B$18/('Dashboard &amp; Optimisation'!$B$16/3.6)</f>
        <v/>
      </c>
      <c r="O2702" s="24" t="n">
        <v>781.1694586899299</v>
      </c>
      <c r="P2702" s="25" t="n">
        <v>0.4806959660709754</v>
      </c>
      <c r="Q2702" s="26" t="n">
        <v>0.2</v>
      </c>
      <c r="R2702" s="24" t="n">
        <v>658.3671482039675</v>
      </c>
      <c r="S2702" s="24">
        <f>R2702*IF(A2702=4, 2.0, 3.0)</f>
        <v/>
      </c>
      <c r="T2702" s="22">
        <f>'Dashboard &amp; Optimisation'!$B$18*U2702</f>
        <v/>
      </c>
      <c r="U2702" s="27">
        <f>MIN(1, S2702/M2702)</f>
        <v/>
      </c>
      <c r="V2702" s="27">
        <f>N2702/(N2702+O2702)</f>
        <v/>
      </c>
      <c r="W2702" s="27">
        <f>U2702*V2702</f>
        <v/>
      </c>
      <c r="X2702" s="25">
        <f>T2702/N2702</f>
        <v/>
      </c>
      <c r="Y2702" s="28">
        <f>IF(W2702=MAXIFS(W$2:W$3601, A$2:A$3601, A2702, B$2:B$3601, B2702), "OPTIMAL", "")</f>
        <v/>
      </c>
    </row>
    <row r="2703" ht="20" customHeight="1">
      <c r="A2703" s="29" t="n">
        <v>-18</v>
      </c>
      <c r="B2703" s="29" t="n">
        <v>35</v>
      </c>
      <c r="C2703" s="30" t="n">
        <v>100</v>
      </c>
      <c r="D2703" s="30" t="n">
        <v>3</v>
      </c>
      <c r="E2703" s="6" t="n">
        <v>0</v>
      </c>
      <c r="F2703" s="30" t="n">
        <v>0</v>
      </c>
      <c r="G2703" s="6" t="inlineStr">
        <is>
          <t>Oui</t>
        </is>
      </c>
      <c r="H2703" s="6" t="inlineStr">
        <is>
          <t>OFF</t>
        </is>
      </c>
      <c r="I2703" s="31" t="n">
        <v>744.7528686370244</v>
      </c>
      <c r="J2703" s="31" t="n">
        <v>6550.668683077564</v>
      </c>
      <c r="K2703" s="31" t="n">
        <v>4222.222222222223</v>
      </c>
      <c r="L2703" s="31" t="n">
        <v>150</v>
      </c>
      <c r="M2703" s="31">
        <f>I2703+J2703+K2703+L2703</f>
        <v/>
      </c>
      <c r="N2703" s="31">
        <f>M2703*'Dashboard &amp; Optimisation'!$B$18/('Dashboard &amp; Optimisation'!$B$16/3.6)</f>
        <v/>
      </c>
      <c r="O2703" s="31" t="n">
        <v>781.1694586899299</v>
      </c>
      <c r="P2703" s="32" t="n">
        <v>0.7990058522547661</v>
      </c>
      <c r="Q2703" s="33" t="n">
        <v>0.2</v>
      </c>
      <c r="R2703" s="31" t="n">
        <v>396.0852494912517</v>
      </c>
      <c r="S2703" s="31">
        <f>R2703*IF(A2703=4, 2.0, 3.0)</f>
        <v/>
      </c>
      <c r="T2703" s="30">
        <f>'Dashboard &amp; Optimisation'!$B$18*U2703</f>
        <v/>
      </c>
      <c r="U2703" s="34">
        <f>MIN(1, S2703/M2703)</f>
        <v/>
      </c>
      <c r="V2703" s="34">
        <f>N2703/(N2703+O2703)</f>
        <v/>
      </c>
      <c r="W2703" s="34">
        <f>U2703*V2703</f>
        <v/>
      </c>
      <c r="X2703" s="32">
        <f>T2703/N2703</f>
        <v/>
      </c>
      <c r="Y2703" s="35">
        <f>IF(W2703=MAXIFS(W$2:W$3601, A$2:A$3601, A2703, B$2:B$3601, B2703), "OPTIMAL", "")</f>
        <v/>
      </c>
    </row>
    <row r="2704" ht="20" customHeight="1">
      <c r="A2704" s="21" t="n">
        <v>-18</v>
      </c>
      <c r="B2704" s="21" t="n">
        <v>35</v>
      </c>
      <c r="C2704" s="22" t="n">
        <v>100</v>
      </c>
      <c r="D2704" s="22" t="n">
        <v>3</v>
      </c>
      <c r="E2704" s="23" t="n">
        <v>0</v>
      </c>
      <c r="F2704" s="22" t="n">
        <v>0</v>
      </c>
      <c r="G2704" s="23" t="inlineStr">
        <is>
          <t>Non</t>
        </is>
      </c>
      <c r="H2704" s="23" t="inlineStr">
        <is>
          <t>ON</t>
        </is>
      </c>
      <c r="I2704" s="24" t="n">
        <v>744.7528686370244</v>
      </c>
      <c r="J2704" s="24" t="n">
        <v>6550.668683077564</v>
      </c>
      <c r="K2704" s="24" t="n">
        <v>4222.222222222223</v>
      </c>
      <c r="L2704" s="24" t="n">
        <v>150</v>
      </c>
      <c r="M2704" s="24">
        <f>I2704+J2704+K2704+L2704</f>
        <v/>
      </c>
      <c r="N2704" s="24">
        <f>M2704*'Dashboard &amp; Optimisation'!$B$18/('Dashboard &amp; Optimisation'!$B$16/3.6)</f>
        <v/>
      </c>
      <c r="O2704" s="24" t="n">
        <v>781.1694586899299</v>
      </c>
      <c r="P2704" s="25" t="n">
        <v>0.4775128672091374</v>
      </c>
      <c r="Q2704" s="26" t="n">
        <v>0.2</v>
      </c>
      <c r="R2704" s="24" t="n">
        <v>662.7558209791489</v>
      </c>
      <c r="S2704" s="24">
        <f>R2704*IF(A2704=4, 2.0, 3.0)</f>
        <v/>
      </c>
      <c r="T2704" s="22">
        <f>'Dashboard &amp; Optimisation'!$B$18*U2704</f>
        <v/>
      </c>
      <c r="U2704" s="27">
        <f>MIN(1, S2704/M2704)</f>
        <v/>
      </c>
      <c r="V2704" s="27">
        <f>N2704/(N2704+O2704)</f>
        <v/>
      </c>
      <c r="W2704" s="27">
        <f>U2704*V2704</f>
        <v/>
      </c>
      <c r="X2704" s="25">
        <f>T2704/N2704</f>
        <v/>
      </c>
      <c r="Y2704" s="28">
        <f>IF(W2704=MAXIFS(W$2:W$3601, A$2:A$3601, A2704, B$2:B$3601, B2704), "OPTIMAL", "")</f>
        <v/>
      </c>
    </row>
    <row r="2705" ht="20" customHeight="1">
      <c r="A2705" s="29" t="n">
        <v>-18</v>
      </c>
      <c r="B2705" s="29" t="n">
        <v>35</v>
      </c>
      <c r="C2705" s="30" t="n">
        <v>100</v>
      </c>
      <c r="D2705" s="30" t="n">
        <v>3</v>
      </c>
      <c r="E2705" s="6" t="n">
        <v>0</v>
      </c>
      <c r="F2705" s="30" t="n">
        <v>0</v>
      </c>
      <c r="G2705" s="6" t="inlineStr">
        <is>
          <t>Non</t>
        </is>
      </c>
      <c r="H2705" s="6" t="inlineStr">
        <is>
          <t>OFF</t>
        </is>
      </c>
      <c r="I2705" s="31" t="n">
        <v>744.7528686370244</v>
      </c>
      <c r="J2705" s="31" t="n">
        <v>6550.668683077564</v>
      </c>
      <c r="K2705" s="31" t="n">
        <v>4222.222222222223</v>
      </c>
      <c r="L2705" s="31" t="n">
        <v>150</v>
      </c>
      <c r="M2705" s="31">
        <f>I2705+J2705+K2705+L2705</f>
        <v/>
      </c>
      <c r="N2705" s="31">
        <f>M2705*'Dashboard &amp; Optimisation'!$B$18/('Dashboard &amp; Optimisation'!$B$16/3.6)</f>
        <v/>
      </c>
      <c r="O2705" s="31" t="n">
        <v>781.1694586899299</v>
      </c>
      <c r="P2705" s="32" t="n">
        <v>0.7958227533929282</v>
      </c>
      <c r="Q2705" s="33" t="n">
        <v>0.2</v>
      </c>
      <c r="R2705" s="31" t="n">
        <v>397.6694948542689</v>
      </c>
      <c r="S2705" s="31">
        <f>R2705*IF(A2705=4, 2.0, 3.0)</f>
        <v/>
      </c>
      <c r="T2705" s="30">
        <f>'Dashboard &amp; Optimisation'!$B$18*U2705</f>
        <v/>
      </c>
      <c r="U2705" s="34">
        <f>MIN(1, S2705/M2705)</f>
        <v/>
      </c>
      <c r="V2705" s="34">
        <f>N2705/(N2705+O2705)</f>
        <v/>
      </c>
      <c r="W2705" s="34">
        <f>U2705*V2705</f>
        <v/>
      </c>
      <c r="X2705" s="32">
        <f>T2705/N2705</f>
        <v/>
      </c>
      <c r="Y2705" s="35">
        <f>IF(W2705=MAXIFS(W$2:W$3601, A$2:A$3601, A2705, B$2:B$3601, B2705), "OPTIMAL", "")</f>
        <v/>
      </c>
    </row>
    <row r="2706" ht="20" customHeight="1">
      <c r="A2706" s="21" t="n">
        <v>-18</v>
      </c>
      <c r="B2706" s="21" t="n">
        <v>35</v>
      </c>
      <c r="C2706" s="22" t="n">
        <v>100</v>
      </c>
      <c r="D2706" s="22" t="n">
        <v>3</v>
      </c>
      <c r="E2706" s="23" t="n">
        <v>4</v>
      </c>
      <c r="F2706" s="22" t="n">
        <v>1.5</v>
      </c>
      <c r="G2706" s="23" t="inlineStr">
        <is>
          <t>Oui</t>
        </is>
      </c>
      <c r="H2706" s="23" t="inlineStr">
        <is>
          <t>ON</t>
        </is>
      </c>
      <c r="I2706" s="24" t="n">
        <v>744.7528686370244</v>
      </c>
      <c r="J2706" s="24" t="n">
        <v>6550.668683077564</v>
      </c>
      <c r="K2706" s="24" t="n">
        <v>4222.222222222223</v>
      </c>
      <c r="L2706" s="24" t="n">
        <v>150</v>
      </c>
      <c r="M2706" s="24">
        <f>I2706+J2706+K2706+L2706</f>
        <v/>
      </c>
      <c r="N2706" s="24">
        <f>M2706*'Dashboard &amp; Optimisation'!$B$18/('Dashboard &amp; Optimisation'!$B$16/3.6)</f>
        <v/>
      </c>
      <c r="O2706" s="24" t="n">
        <v>1086.152564219479</v>
      </c>
      <c r="P2706" s="25" t="n">
        <v>0.0735384347268611</v>
      </c>
      <c r="Q2706" s="26" t="n">
        <v>6.857688308810928</v>
      </c>
      <c r="R2706" s="24" t="n">
        <v>4448.12491313616</v>
      </c>
      <c r="S2706" s="24">
        <f>R2706*IF(A2706=4, 2.0, 3.0)</f>
        <v/>
      </c>
      <c r="T2706" s="22">
        <f>'Dashboard &amp; Optimisation'!$B$18*U2706</f>
        <v/>
      </c>
      <c r="U2706" s="27">
        <f>MIN(1, S2706/M2706)</f>
        <v/>
      </c>
      <c r="V2706" s="27">
        <f>N2706/(N2706+O2706)</f>
        <v/>
      </c>
      <c r="W2706" s="27">
        <f>U2706*V2706</f>
        <v/>
      </c>
      <c r="X2706" s="25">
        <f>T2706/N2706</f>
        <v/>
      </c>
      <c r="Y2706" s="28">
        <f>IF(W2706=MAXIFS(W$2:W$3601, A$2:A$3601, A2706, B$2:B$3601, B2706), "OPTIMAL", "")</f>
        <v/>
      </c>
    </row>
    <row r="2707" ht="20" customHeight="1">
      <c r="A2707" s="29" t="n">
        <v>-18</v>
      </c>
      <c r="B2707" s="29" t="n">
        <v>35</v>
      </c>
      <c r="C2707" s="30" t="n">
        <v>100</v>
      </c>
      <c r="D2707" s="30" t="n">
        <v>3</v>
      </c>
      <c r="E2707" s="6" t="n">
        <v>4</v>
      </c>
      <c r="F2707" s="30" t="n">
        <v>1.5</v>
      </c>
      <c r="G2707" s="6" t="inlineStr">
        <is>
          <t>Oui</t>
        </is>
      </c>
      <c r="H2707" s="6" t="inlineStr">
        <is>
          <t>OFF</t>
        </is>
      </c>
      <c r="I2707" s="31" t="n">
        <v>744.7528686370244</v>
      </c>
      <c r="J2707" s="31" t="n">
        <v>6550.668683077564</v>
      </c>
      <c r="K2707" s="31" t="n">
        <v>4222.222222222223</v>
      </c>
      <c r="L2707" s="31" t="n">
        <v>150</v>
      </c>
      <c r="M2707" s="31">
        <f>I2707+J2707+K2707+L2707</f>
        <v/>
      </c>
      <c r="N2707" s="31">
        <f>M2707*'Dashboard &amp; Optimisation'!$B$18/('Dashboard &amp; Optimisation'!$B$16/3.6)</f>
        <v/>
      </c>
      <c r="O2707" s="31" t="n">
        <v>1086.152564219479</v>
      </c>
      <c r="P2707" s="32" t="n">
        <v>0.307100869502758</v>
      </c>
      <c r="Q2707" s="33" t="n">
        <v>6.857688308810928</v>
      </c>
      <c r="R2707" s="31" t="n">
        <v>1065.148868224388</v>
      </c>
      <c r="S2707" s="31">
        <f>R2707*IF(A2707=4, 2.0, 3.0)</f>
        <v/>
      </c>
      <c r="T2707" s="30">
        <f>'Dashboard &amp; Optimisation'!$B$18*U2707</f>
        <v/>
      </c>
      <c r="U2707" s="34">
        <f>MIN(1, S2707/M2707)</f>
        <v/>
      </c>
      <c r="V2707" s="34">
        <f>N2707/(N2707+O2707)</f>
        <v/>
      </c>
      <c r="W2707" s="34">
        <f>U2707*V2707</f>
        <v/>
      </c>
      <c r="X2707" s="32">
        <f>T2707/N2707</f>
        <v/>
      </c>
      <c r="Y2707" s="35">
        <f>IF(W2707=MAXIFS(W$2:W$3601, A$2:A$3601, A2707, B$2:B$3601, B2707), "OPTIMAL", "")</f>
        <v/>
      </c>
    </row>
    <row r="2708" ht="20" customHeight="1">
      <c r="A2708" s="21" t="n">
        <v>-18</v>
      </c>
      <c r="B2708" s="21" t="n">
        <v>35</v>
      </c>
      <c r="C2708" s="22" t="n">
        <v>100</v>
      </c>
      <c r="D2708" s="22" t="n">
        <v>3</v>
      </c>
      <c r="E2708" s="23" t="n">
        <v>4</v>
      </c>
      <c r="F2708" s="22" t="n">
        <v>1.5</v>
      </c>
      <c r="G2708" s="23" t="inlineStr">
        <is>
          <t>Non</t>
        </is>
      </c>
      <c r="H2708" s="23" t="inlineStr">
        <is>
          <t>ON</t>
        </is>
      </c>
      <c r="I2708" s="24" t="n">
        <v>744.7528686370244</v>
      </c>
      <c r="J2708" s="24" t="n">
        <v>6550.668683077564</v>
      </c>
      <c r="K2708" s="24" t="n">
        <v>4222.222222222223</v>
      </c>
      <c r="L2708" s="24" t="n">
        <v>150</v>
      </c>
      <c r="M2708" s="24">
        <f>I2708+J2708+K2708+L2708</f>
        <v/>
      </c>
      <c r="N2708" s="24">
        <f>M2708*'Dashboard &amp; Optimisation'!$B$18/('Dashboard &amp; Optimisation'!$B$16/3.6)</f>
        <v/>
      </c>
      <c r="O2708" s="24" t="n">
        <v>1086.152564219479</v>
      </c>
      <c r="P2708" s="25" t="n">
        <v>0.07035533586502318</v>
      </c>
      <c r="Q2708" s="26" t="n">
        <v>6.857688308810928</v>
      </c>
      <c r="R2708" s="24" t="n">
        <v>4649.372212637087</v>
      </c>
      <c r="S2708" s="24">
        <f>R2708*IF(A2708=4, 2.0, 3.0)</f>
        <v/>
      </c>
      <c r="T2708" s="22">
        <f>'Dashboard &amp; Optimisation'!$B$18*U2708</f>
        <v/>
      </c>
      <c r="U2708" s="27">
        <f>MIN(1, S2708/M2708)</f>
        <v/>
      </c>
      <c r="V2708" s="27">
        <f>N2708/(N2708+O2708)</f>
        <v/>
      </c>
      <c r="W2708" s="27">
        <f>U2708*V2708</f>
        <v/>
      </c>
      <c r="X2708" s="25">
        <f>T2708/N2708</f>
        <v/>
      </c>
      <c r="Y2708" s="28">
        <f>IF(W2708=MAXIFS(W$2:W$3601, A$2:A$3601, A2708, B$2:B$3601, B2708), "OPTIMAL", "")</f>
        <v/>
      </c>
    </row>
    <row r="2709" ht="20" customHeight="1">
      <c r="A2709" s="29" t="n">
        <v>-18</v>
      </c>
      <c r="B2709" s="29" t="n">
        <v>35</v>
      </c>
      <c r="C2709" s="30" t="n">
        <v>100</v>
      </c>
      <c r="D2709" s="30" t="n">
        <v>3</v>
      </c>
      <c r="E2709" s="6" t="n">
        <v>4</v>
      </c>
      <c r="F2709" s="30" t="n">
        <v>1.5</v>
      </c>
      <c r="G2709" s="6" t="inlineStr">
        <is>
          <t>Non</t>
        </is>
      </c>
      <c r="H2709" s="6" t="inlineStr">
        <is>
          <t>OFF</t>
        </is>
      </c>
      <c r="I2709" s="31" t="n">
        <v>744.7528686370244</v>
      </c>
      <c r="J2709" s="31" t="n">
        <v>6550.668683077564</v>
      </c>
      <c r="K2709" s="31" t="n">
        <v>4222.222222222223</v>
      </c>
      <c r="L2709" s="31" t="n">
        <v>150</v>
      </c>
      <c r="M2709" s="31">
        <f>I2709+J2709+K2709+L2709</f>
        <v/>
      </c>
      <c r="N2709" s="31">
        <f>M2709*'Dashboard &amp; Optimisation'!$B$18/('Dashboard &amp; Optimisation'!$B$16/3.6)</f>
        <v/>
      </c>
      <c r="O2709" s="31" t="n">
        <v>1086.152564219479</v>
      </c>
      <c r="P2709" s="32" t="n">
        <v>0.3039177706409201</v>
      </c>
      <c r="Q2709" s="33" t="n">
        <v>6.857688308810928</v>
      </c>
      <c r="R2709" s="31" t="n">
        <v>1076.304761290407</v>
      </c>
      <c r="S2709" s="31">
        <f>R2709*IF(A2709=4, 2.0, 3.0)</f>
        <v/>
      </c>
      <c r="T2709" s="30">
        <f>'Dashboard &amp; Optimisation'!$B$18*U2709</f>
        <v/>
      </c>
      <c r="U2709" s="34">
        <f>MIN(1, S2709/M2709)</f>
        <v/>
      </c>
      <c r="V2709" s="34">
        <f>N2709/(N2709+O2709)</f>
        <v/>
      </c>
      <c r="W2709" s="34">
        <f>U2709*V2709</f>
        <v/>
      </c>
      <c r="X2709" s="32">
        <f>T2709/N2709</f>
        <v/>
      </c>
      <c r="Y2709" s="35">
        <f>IF(W2709=MAXIFS(W$2:W$3601, A$2:A$3601, A2709, B$2:B$3601, B2709), "OPTIMAL", "")</f>
        <v/>
      </c>
    </row>
    <row r="2710" ht="20" customHeight="1">
      <c r="A2710" s="21" t="n">
        <v>-18</v>
      </c>
      <c r="B2710" s="21" t="n">
        <v>35</v>
      </c>
      <c r="C2710" s="22" t="n">
        <v>100</v>
      </c>
      <c r="D2710" s="22" t="n">
        <v>3</v>
      </c>
      <c r="E2710" s="23" t="n">
        <v>4</v>
      </c>
      <c r="F2710" s="22" t="n">
        <v>2</v>
      </c>
      <c r="G2710" s="23" t="inlineStr">
        <is>
          <t>Oui</t>
        </is>
      </c>
      <c r="H2710" s="23" t="inlineStr">
        <is>
          <t>ON</t>
        </is>
      </c>
      <c r="I2710" s="24" t="n">
        <v>744.7528686370244</v>
      </c>
      <c r="J2710" s="24" t="n">
        <v>6550.668683077564</v>
      </c>
      <c r="K2710" s="24" t="n">
        <v>4222.222222222223</v>
      </c>
      <c r="L2710" s="24" t="n">
        <v>150</v>
      </c>
      <c r="M2710" s="24">
        <f>I2710+J2710+K2710+L2710</f>
        <v/>
      </c>
      <c r="N2710" s="24">
        <f>M2710*'Dashboard &amp; Optimisation'!$B$18/('Dashboard &amp; Optimisation'!$B$16/3.6)</f>
        <v/>
      </c>
      <c r="O2710" s="24" t="n">
        <v>1192.419675600776</v>
      </c>
      <c r="P2710" s="25" t="n">
        <v>0.07090019831070833</v>
      </c>
      <c r="Q2710" s="26" t="n">
        <v>9.076917745081236</v>
      </c>
      <c r="R2710" s="24" t="n">
        <v>4665.901082138951</v>
      </c>
      <c r="S2710" s="24">
        <f>R2710*IF(A2710=4, 2.0, 3.0)</f>
        <v/>
      </c>
      <c r="T2710" s="22">
        <f>'Dashboard &amp; Optimisation'!$B$18*U2710</f>
        <v/>
      </c>
      <c r="U2710" s="27">
        <f>MIN(1, S2710/M2710)</f>
        <v/>
      </c>
      <c r="V2710" s="27">
        <f>N2710/(N2710+O2710)</f>
        <v/>
      </c>
      <c r="W2710" s="27">
        <f>U2710*V2710</f>
        <v/>
      </c>
      <c r="X2710" s="25">
        <f>T2710/N2710</f>
        <v/>
      </c>
      <c r="Y2710" s="28">
        <f>IF(W2710=MAXIFS(W$2:W$3601, A$2:A$3601, A2710, B$2:B$3601, B2710), "OPTIMAL", "")</f>
        <v/>
      </c>
    </row>
    <row r="2711" ht="20" customHeight="1">
      <c r="A2711" s="29" t="n">
        <v>-18</v>
      </c>
      <c r="B2711" s="29" t="n">
        <v>35</v>
      </c>
      <c r="C2711" s="30" t="n">
        <v>100</v>
      </c>
      <c r="D2711" s="30" t="n">
        <v>3</v>
      </c>
      <c r="E2711" s="6" t="n">
        <v>4</v>
      </c>
      <c r="F2711" s="30" t="n">
        <v>2</v>
      </c>
      <c r="G2711" s="6" t="inlineStr">
        <is>
          <t>Oui</t>
        </is>
      </c>
      <c r="H2711" s="6" t="inlineStr">
        <is>
          <t>OFF</t>
        </is>
      </c>
      <c r="I2711" s="31" t="n">
        <v>744.7528686370244</v>
      </c>
      <c r="J2711" s="31" t="n">
        <v>6550.668683077564</v>
      </c>
      <c r="K2711" s="31" t="n">
        <v>4222.222222222223</v>
      </c>
      <c r="L2711" s="31" t="n">
        <v>150</v>
      </c>
      <c r="M2711" s="31">
        <f>I2711+J2711+K2711+L2711</f>
        <v/>
      </c>
      <c r="N2711" s="31">
        <f>M2711*'Dashboard &amp; Optimisation'!$B$18/('Dashboard &amp; Optimisation'!$B$16/3.6)</f>
        <v/>
      </c>
      <c r="O2711" s="31" t="n">
        <v>1192.419675600776</v>
      </c>
      <c r="P2711" s="32" t="n">
        <v>0.305556811068225</v>
      </c>
      <c r="Q2711" s="33" t="n">
        <v>9.076917745081236</v>
      </c>
      <c r="R2711" s="31" t="n">
        <v>1082.65729984967</v>
      </c>
      <c r="S2711" s="31">
        <f>R2711*IF(A2711=4, 2.0, 3.0)</f>
        <v/>
      </c>
      <c r="T2711" s="30">
        <f>'Dashboard &amp; Optimisation'!$B$18*U2711</f>
        <v/>
      </c>
      <c r="U2711" s="34">
        <f>MIN(1, S2711/M2711)</f>
        <v/>
      </c>
      <c r="V2711" s="34">
        <f>N2711/(N2711+O2711)</f>
        <v/>
      </c>
      <c r="W2711" s="34">
        <f>U2711*V2711</f>
        <v/>
      </c>
      <c r="X2711" s="32">
        <f>T2711/N2711</f>
        <v/>
      </c>
      <c r="Y2711" s="35">
        <f>IF(W2711=MAXIFS(W$2:W$3601, A$2:A$3601, A2711, B$2:B$3601, B2711), "OPTIMAL", "")</f>
        <v/>
      </c>
    </row>
    <row r="2712" ht="20" customHeight="1">
      <c r="A2712" s="21" t="n">
        <v>-18</v>
      </c>
      <c r="B2712" s="21" t="n">
        <v>35</v>
      </c>
      <c r="C2712" s="22" t="n">
        <v>100</v>
      </c>
      <c r="D2712" s="22" t="n">
        <v>3</v>
      </c>
      <c r="E2712" s="23" t="n">
        <v>4</v>
      </c>
      <c r="F2712" s="22" t="n">
        <v>2</v>
      </c>
      <c r="G2712" s="23" t="inlineStr">
        <is>
          <t>Non</t>
        </is>
      </c>
      <c r="H2712" s="23" t="inlineStr">
        <is>
          <t>ON</t>
        </is>
      </c>
      <c r="I2712" s="24" t="n">
        <v>744.7528686370244</v>
      </c>
      <c r="J2712" s="24" t="n">
        <v>6550.668683077564</v>
      </c>
      <c r="K2712" s="24" t="n">
        <v>4222.222222222223</v>
      </c>
      <c r="L2712" s="24" t="n">
        <v>150</v>
      </c>
      <c r="M2712" s="24">
        <f>I2712+J2712+K2712+L2712</f>
        <v/>
      </c>
      <c r="N2712" s="24">
        <f>M2712*'Dashboard &amp; Optimisation'!$B$18/('Dashboard &amp; Optimisation'!$B$16/3.6)</f>
        <v/>
      </c>
      <c r="O2712" s="24" t="n">
        <v>1192.419675600776</v>
      </c>
      <c r="P2712" s="25" t="n">
        <v>0.06771709944887042</v>
      </c>
      <c r="Q2712" s="26" t="n">
        <v>9.076917745081236</v>
      </c>
      <c r="R2712" s="24" t="n">
        <v>4885.225662560751</v>
      </c>
      <c r="S2712" s="24">
        <f>R2712*IF(A2712=4, 2.0, 3.0)</f>
        <v/>
      </c>
      <c r="T2712" s="22">
        <f>'Dashboard &amp; Optimisation'!$B$18*U2712</f>
        <v/>
      </c>
      <c r="U2712" s="27">
        <f>MIN(1, S2712/M2712)</f>
        <v/>
      </c>
      <c r="V2712" s="27">
        <f>N2712/(N2712+O2712)</f>
        <v/>
      </c>
      <c r="W2712" s="27">
        <f>U2712*V2712</f>
        <v/>
      </c>
      <c r="X2712" s="25">
        <f>T2712/N2712</f>
        <v/>
      </c>
      <c r="Y2712" s="28">
        <f>IF(W2712=MAXIFS(W$2:W$3601, A$2:A$3601, A2712, B$2:B$3601, B2712), "OPTIMAL", "")</f>
        <v/>
      </c>
    </row>
    <row r="2713" ht="20" customHeight="1">
      <c r="A2713" s="29" t="n">
        <v>-18</v>
      </c>
      <c r="B2713" s="29" t="n">
        <v>35</v>
      </c>
      <c r="C2713" s="30" t="n">
        <v>100</v>
      </c>
      <c r="D2713" s="30" t="n">
        <v>3</v>
      </c>
      <c r="E2713" s="6" t="n">
        <v>4</v>
      </c>
      <c r="F2713" s="30" t="n">
        <v>2</v>
      </c>
      <c r="G2713" s="6" t="inlineStr">
        <is>
          <t>Non</t>
        </is>
      </c>
      <c r="H2713" s="6" t="inlineStr">
        <is>
          <t>OFF</t>
        </is>
      </c>
      <c r="I2713" s="31" t="n">
        <v>744.7528686370244</v>
      </c>
      <c r="J2713" s="31" t="n">
        <v>6550.668683077564</v>
      </c>
      <c r="K2713" s="31" t="n">
        <v>4222.222222222223</v>
      </c>
      <c r="L2713" s="31" t="n">
        <v>150</v>
      </c>
      <c r="M2713" s="31">
        <f>I2713+J2713+K2713+L2713</f>
        <v/>
      </c>
      <c r="N2713" s="31">
        <f>M2713*'Dashboard &amp; Optimisation'!$B$18/('Dashboard &amp; Optimisation'!$B$16/3.6)</f>
        <v/>
      </c>
      <c r="O2713" s="31" t="n">
        <v>1192.419675600776</v>
      </c>
      <c r="P2713" s="32" t="n">
        <v>0.302373712206387</v>
      </c>
      <c r="Q2713" s="33" t="n">
        <v>9.076917745081236</v>
      </c>
      <c r="R2713" s="31" t="n">
        <v>1094.054471891398</v>
      </c>
      <c r="S2713" s="31">
        <f>R2713*IF(A2713=4, 2.0, 3.0)</f>
        <v/>
      </c>
      <c r="T2713" s="30">
        <f>'Dashboard &amp; Optimisation'!$B$18*U2713</f>
        <v/>
      </c>
      <c r="U2713" s="34">
        <f>MIN(1, S2713/M2713)</f>
        <v/>
      </c>
      <c r="V2713" s="34">
        <f>N2713/(N2713+O2713)</f>
        <v/>
      </c>
      <c r="W2713" s="34">
        <f>U2713*V2713</f>
        <v/>
      </c>
      <c r="X2713" s="32">
        <f>T2713/N2713</f>
        <v/>
      </c>
      <c r="Y2713" s="35">
        <f>IF(W2713=MAXIFS(W$2:W$3601, A$2:A$3601, A2713, B$2:B$3601, B2713), "OPTIMAL", "")</f>
        <v/>
      </c>
    </row>
    <row r="2714" ht="20" customHeight="1">
      <c r="A2714" s="21" t="n">
        <v>-18</v>
      </c>
      <c r="B2714" s="21" t="n">
        <v>35</v>
      </c>
      <c r="C2714" s="22" t="n">
        <v>100</v>
      </c>
      <c r="D2714" s="22" t="n">
        <v>3</v>
      </c>
      <c r="E2714" s="23" t="n">
        <v>8</v>
      </c>
      <c r="F2714" s="22" t="n">
        <v>1.5</v>
      </c>
      <c r="G2714" s="23" t="inlineStr">
        <is>
          <t>Oui</t>
        </is>
      </c>
      <c r="H2714" s="23" t="inlineStr">
        <is>
          <t>ON</t>
        </is>
      </c>
      <c r="I2714" s="24" t="n">
        <v>744.7528686370244</v>
      </c>
      <c r="J2714" s="24" t="n">
        <v>6550.668683077564</v>
      </c>
      <c r="K2714" s="24" t="n">
        <v>4222.222222222223</v>
      </c>
      <c r="L2714" s="24" t="n">
        <v>150</v>
      </c>
      <c r="M2714" s="24">
        <f>I2714+J2714+K2714+L2714</f>
        <v/>
      </c>
      <c r="N2714" s="24">
        <f>M2714*'Dashboard &amp; Optimisation'!$B$18/('Dashboard &amp; Optimisation'!$B$16/3.6)</f>
        <v/>
      </c>
      <c r="O2714" s="24" t="n">
        <v>1412.343455734163</v>
      </c>
      <c r="P2714" s="25" t="n">
        <v>0.05562346576923688</v>
      </c>
      <c r="Q2714" s="26" t="n">
        <v>13.51537661762185</v>
      </c>
      <c r="R2714" s="24" t="n">
        <v>6085.224871455466</v>
      </c>
      <c r="S2714" s="24">
        <f>R2714*IF(A2714=4, 2.0, 3.0)</f>
        <v/>
      </c>
      <c r="T2714" s="22">
        <f>'Dashboard &amp; Optimisation'!$B$18*U2714</f>
        <v/>
      </c>
      <c r="U2714" s="27">
        <f>MIN(1, S2714/M2714)</f>
        <v/>
      </c>
      <c r="V2714" s="27">
        <f>N2714/(N2714+O2714)</f>
        <v/>
      </c>
      <c r="W2714" s="27">
        <f>U2714*V2714</f>
        <v/>
      </c>
      <c r="X2714" s="25">
        <f>T2714/N2714</f>
        <v/>
      </c>
      <c r="Y2714" s="28">
        <f>IF(W2714=MAXIFS(W$2:W$3601, A$2:A$3601, A2714, B$2:B$3601, B2714), "OPTIMAL", "")</f>
        <v/>
      </c>
    </row>
    <row r="2715" ht="20" customHeight="1">
      <c r="A2715" s="29" t="n">
        <v>-18</v>
      </c>
      <c r="B2715" s="29" t="n">
        <v>35</v>
      </c>
      <c r="C2715" s="30" t="n">
        <v>100</v>
      </c>
      <c r="D2715" s="30" t="n">
        <v>3</v>
      </c>
      <c r="E2715" s="6" t="n">
        <v>8</v>
      </c>
      <c r="F2715" s="30" t="n">
        <v>1.5</v>
      </c>
      <c r="G2715" s="6" t="inlineStr">
        <is>
          <t>Oui</t>
        </is>
      </c>
      <c r="H2715" s="6" t="inlineStr">
        <is>
          <t>OFF</t>
        </is>
      </c>
      <c r="I2715" s="31" t="n">
        <v>744.7528686370244</v>
      </c>
      <c r="J2715" s="31" t="n">
        <v>6550.668683077564</v>
      </c>
      <c r="K2715" s="31" t="n">
        <v>4222.222222222223</v>
      </c>
      <c r="L2715" s="31" t="n">
        <v>150</v>
      </c>
      <c r="M2715" s="31">
        <f>I2715+J2715+K2715+L2715</f>
        <v/>
      </c>
      <c r="N2715" s="31">
        <f>M2715*'Dashboard &amp; Optimisation'!$B$18/('Dashboard &amp; Optimisation'!$B$16/3.6)</f>
        <v/>
      </c>
      <c r="O2715" s="31" t="n">
        <v>1412.343455734163</v>
      </c>
      <c r="P2715" s="32" t="n">
        <v>0.2400757351497012</v>
      </c>
      <c r="Q2715" s="33" t="n">
        <v>13.51537661762185</v>
      </c>
      <c r="R2715" s="31" t="n">
        <v>1409.893828397315</v>
      </c>
      <c r="S2715" s="31">
        <f>R2715*IF(A2715=4, 2.0, 3.0)</f>
        <v/>
      </c>
      <c r="T2715" s="30">
        <f>'Dashboard &amp; Optimisation'!$B$18*U2715</f>
        <v/>
      </c>
      <c r="U2715" s="34">
        <f>MIN(1, S2715/M2715)</f>
        <v/>
      </c>
      <c r="V2715" s="34">
        <f>N2715/(N2715+O2715)</f>
        <v/>
      </c>
      <c r="W2715" s="34">
        <f>U2715*V2715</f>
        <v/>
      </c>
      <c r="X2715" s="32">
        <f>T2715/N2715</f>
        <v/>
      </c>
      <c r="Y2715" s="35">
        <f>IF(W2715=MAXIFS(W$2:W$3601, A$2:A$3601, A2715, B$2:B$3601, B2715), "OPTIMAL", "")</f>
        <v/>
      </c>
    </row>
    <row r="2716" ht="20" customHeight="1">
      <c r="A2716" s="21" t="n">
        <v>-18</v>
      </c>
      <c r="B2716" s="21" t="n">
        <v>35</v>
      </c>
      <c r="C2716" s="22" t="n">
        <v>100</v>
      </c>
      <c r="D2716" s="22" t="n">
        <v>3</v>
      </c>
      <c r="E2716" s="23" t="n">
        <v>8</v>
      </c>
      <c r="F2716" s="22" t="n">
        <v>1.5</v>
      </c>
      <c r="G2716" s="23" t="inlineStr">
        <is>
          <t>Non</t>
        </is>
      </c>
      <c r="H2716" s="23" t="inlineStr">
        <is>
          <t>ON</t>
        </is>
      </c>
      <c r="I2716" s="24" t="n">
        <v>744.7528686370244</v>
      </c>
      <c r="J2716" s="24" t="n">
        <v>6550.668683077564</v>
      </c>
      <c r="K2716" s="24" t="n">
        <v>4222.222222222223</v>
      </c>
      <c r="L2716" s="24" t="n">
        <v>150</v>
      </c>
      <c r="M2716" s="24">
        <f>I2716+J2716+K2716+L2716</f>
        <v/>
      </c>
      <c r="N2716" s="24">
        <f>M2716*'Dashboard &amp; Optimisation'!$B$18/('Dashboard &amp; Optimisation'!$B$16/3.6)</f>
        <v/>
      </c>
      <c r="O2716" s="24" t="n">
        <v>1412.343455734163</v>
      </c>
      <c r="P2716" s="25" t="n">
        <v>0.05244036690739898</v>
      </c>
      <c r="Q2716" s="26" t="n">
        <v>13.51537661762185</v>
      </c>
      <c r="R2716" s="24" t="n">
        <v>6454.594376374484</v>
      </c>
      <c r="S2716" s="24">
        <f>R2716*IF(A2716=4, 2.0, 3.0)</f>
        <v/>
      </c>
      <c r="T2716" s="22">
        <f>'Dashboard &amp; Optimisation'!$B$18*U2716</f>
        <v/>
      </c>
      <c r="U2716" s="27">
        <f>MIN(1, S2716/M2716)</f>
        <v/>
      </c>
      <c r="V2716" s="27">
        <f>N2716/(N2716+O2716)</f>
        <v/>
      </c>
      <c r="W2716" s="27">
        <f>U2716*V2716</f>
        <v/>
      </c>
      <c r="X2716" s="25">
        <f>T2716/N2716</f>
        <v/>
      </c>
      <c r="Y2716" s="28">
        <f>IF(W2716=MAXIFS(W$2:W$3601, A$2:A$3601, A2716, B$2:B$3601, B2716), "OPTIMAL", "")</f>
        <v/>
      </c>
    </row>
    <row r="2717" ht="20" customHeight="1">
      <c r="A2717" s="29" t="n">
        <v>-18</v>
      </c>
      <c r="B2717" s="29" t="n">
        <v>35</v>
      </c>
      <c r="C2717" s="30" t="n">
        <v>100</v>
      </c>
      <c r="D2717" s="30" t="n">
        <v>3</v>
      </c>
      <c r="E2717" s="6" t="n">
        <v>8</v>
      </c>
      <c r="F2717" s="30" t="n">
        <v>1.5</v>
      </c>
      <c r="G2717" s="6" t="inlineStr">
        <is>
          <t>Non</t>
        </is>
      </c>
      <c r="H2717" s="6" t="inlineStr">
        <is>
          <t>OFF</t>
        </is>
      </c>
      <c r="I2717" s="31" t="n">
        <v>744.7528686370244</v>
      </c>
      <c r="J2717" s="31" t="n">
        <v>6550.668683077564</v>
      </c>
      <c r="K2717" s="31" t="n">
        <v>4222.222222222223</v>
      </c>
      <c r="L2717" s="31" t="n">
        <v>150</v>
      </c>
      <c r="M2717" s="31">
        <f>I2717+J2717+K2717+L2717</f>
        <v/>
      </c>
      <c r="N2717" s="31">
        <f>M2717*'Dashboard &amp; Optimisation'!$B$18/('Dashboard &amp; Optimisation'!$B$16/3.6)</f>
        <v/>
      </c>
      <c r="O2717" s="31" t="n">
        <v>1412.343455734163</v>
      </c>
      <c r="P2717" s="32" t="n">
        <v>0.2368926362878633</v>
      </c>
      <c r="Q2717" s="33" t="n">
        <v>13.51537661762185</v>
      </c>
      <c r="R2717" s="31" t="n">
        <v>1428.838408147908</v>
      </c>
      <c r="S2717" s="31">
        <f>R2717*IF(A2717=4, 2.0, 3.0)</f>
        <v/>
      </c>
      <c r="T2717" s="30">
        <f>'Dashboard &amp; Optimisation'!$B$18*U2717</f>
        <v/>
      </c>
      <c r="U2717" s="34">
        <f>MIN(1, S2717/M2717)</f>
        <v/>
      </c>
      <c r="V2717" s="34">
        <f>N2717/(N2717+O2717)</f>
        <v/>
      </c>
      <c r="W2717" s="34">
        <f>U2717*V2717</f>
        <v/>
      </c>
      <c r="X2717" s="32">
        <f>T2717/N2717</f>
        <v/>
      </c>
      <c r="Y2717" s="35">
        <f>IF(W2717=MAXIFS(W$2:W$3601, A$2:A$3601, A2717, B$2:B$3601, B2717), "OPTIMAL", "")</f>
        <v/>
      </c>
    </row>
    <row r="2718" ht="20" customHeight="1">
      <c r="A2718" s="21" t="n">
        <v>-18</v>
      </c>
      <c r="B2718" s="21" t="n">
        <v>35</v>
      </c>
      <c r="C2718" s="22" t="n">
        <v>100</v>
      </c>
      <c r="D2718" s="22" t="n">
        <v>3</v>
      </c>
      <c r="E2718" s="23" t="n">
        <v>8</v>
      </c>
      <c r="F2718" s="22" t="n">
        <v>2</v>
      </c>
      <c r="G2718" s="23" t="inlineStr">
        <is>
          <t>Oui</t>
        </is>
      </c>
      <c r="H2718" s="23" t="inlineStr">
        <is>
          <t>ON</t>
        </is>
      </c>
      <c r="I2718" s="24" t="n">
        <v>744.7528686370244</v>
      </c>
      <c r="J2718" s="24" t="n">
        <v>6550.668683077564</v>
      </c>
      <c r="K2718" s="24" t="n">
        <v>4222.222222222223</v>
      </c>
      <c r="L2718" s="24" t="n">
        <v>150</v>
      </c>
      <c r="M2718" s="24">
        <f>I2718+J2718+K2718+L2718</f>
        <v/>
      </c>
      <c r="N2718" s="24">
        <f>M2718*'Dashboard &amp; Optimisation'!$B$18/('Dashboard &amp; Optimisation'!$B$16/3.6)</f>
        <v/>
      </c>
      <c r="O2718" s="24" t="n">
        <v>1642.704473709595</v>
      </c>
      <c r="P2718" s="25" t="n">
        <v>0.05441799410512958</v>
      </c>
      <c r="Q2718" s="26" t="n">
        <v>17.95383549016247</v>
      </c>
      <c r="R2718" s="24" t="n">
        <v>6367.621572785005</v>
      </c>
      <c r="S2718" s="24">
        <f>R2718*IF(A2718=4, 2.0, 3.0)</f>
        <v/>
      </c>
      <c r="T2718" s="22">
        <f>'Dashboard &amp; Optimisation'!$B$18*U2718</f>
        <v/>
      </c>
      <c r="U2718" s="27">
        <f>MIN(1, S2718/M2718)</f>
        <v/>
      </c>
      <c r="V2718" s="27">
        <f>N2718/(N2718+O2718)</f>
        <v/>
      </c>
      <c r="W2718" s="27">
        <f>U2718*V2718</f>
        <v/>
      </c>
      <c r="X2718" s="25">
        <f>T2718/N2718</f>
        <v/>
      </c>
      <c r="Y2718" s="28">
        <f>IF(W2718=MAXIFS(W$2:W$3601, A$2:A$3601, A2718, B$2:B$3601, B2718), "OPTIMAL", "")</f>
        <v/>
      </c>
    </row>
    <row r="2719" ht="20" customHeight="1">
      <c r="A2719" s="29" t="n">
        <v>-18</v>
      </c>
      <c r="B2719" s="29" t="n">
        <v>35</v>
      </c>
      <c r="C2719" s="30" t="n">
        <v>100</v>
      </c>
      <c r="D2719" s="30" t="n">
        <v>3</v>
      </c>
      <c r="E2719" s="6" t="n">
        <v>8</v>
      </c>
      <c r="F2719" s="30" t="n">
        <v>2</v>
      </c>
      <c r="G2719" s="6" t="inlineStr">
        <is>
          <t>Oui</t>
        </is>
      </c>
      <c r="H2719" s="6" t="inlineStr">
        <is>
          <t>OFF</t>
        </is>
      </c>
      <c r="I2719" s="31" t="n">
        <v>744.7528686370244</v>
      </c>
      <c r="J2719" s="31" t="n">
        <v>6550.668683077564</v>
      </c>
      <c r="K2719" s="31" t="n">
        <v>4222.222222222223</v>
      </c>
      <c r="L2719" s="31" t="n">
        <v>150</v>
      </c>
      <c r="M2719" s="31">
        <f>I2719+J2719+K2719+L2719</f>
        <v/>
      </c>
      <c r="N2719" s="31">
        <f>M2719*'Dashboard &amp; Optimisation'!$B$18/('Dashboard &amp; Optimisation'!$B$16/3.6)</f>
        <v/>
      </c>
      <c r="O2719" s="31" t="n">
        <v>1642.704473709595</v>
      </c>
      <c r="P2719" s="32" t="n">
        <v>0.2402392320400437</v>
      </c>
      <c r="Q2719" s="33" t="n">
        <v>17.95383549016247</v>
      </c>
      <c r="R2719" s="31" t="n">
        <v>1442.367219829244</v>
      </c>
      <c r="S2719" s="31">
        <f>R2719*IF(A2719=4, 2.0, 3.0)</f>
        <v/>
      </c>
      <c r="T2719" s="30">
        <f>'Dashboard &amp; Optimisation'!$B$18*U2719</f>
        <v/>
      </c>
      <c r="U2719" s="34">
        <f>MIN(1, S2719/M2719)</f>
        <v/>
      </c>
      <c r="V2719" s="34">
        <f>N2719/(N2719+O2719)</f>
        <v/>
      </c>
      <c r="W2719" s="34">
        <f>U2719*V2719</f>
        <v/>
      </c>
      <c r="X2719" s="32">
        <f>T2719/N2719</f>
        <v/>
      </c>
      <c r="Y2719" s="35">
        <f>IF(W2719=MAXIFS(W$2:W$3601, A$2:A$3601, A2719, B$2:B$3601, B2719), "OPTIMAL", "")</f>
        <v/>
      </c>
    </row>
    <row r="2720" ht="20" customHeight="1">
      <c r="A2720" s="21" t="n">
        <v>-18</v>
      </c>
      <c r="B2720" s="21" t="n">
        <v>35</v>
      </c>
      <c r="C2720" s="22" t="n">
        <v>100</v>
      </c>
      <c r="D2720" s="22" t="n">
        <v>3</v>
      </c>
      <c r="E2720" s="23" t="n">
        <v>8</v>
      </c>
      <c r="F2720" s="22" t="n">
        <v>2</v>
      </c>
      <c r="G2720" s="23" t="inlineStr">
        <is>
          <t>Non</t>
        </is>
      </c>
      <c r="H2720" s="23" t="inlineStr">
        <is>
          <t>ON</t>
        </is>
      </c>
      <c r="I2720" s="24" t="n">
        <v>744.7528686370244</v>
      </c>
      <c r="J2720" s="24" t="n">
        <v>6550.668683077564</v>
      </c>
      <c r="K2720" s="24" t="n">
        <v>4222.222222222223</v>
      </c>
      <c r="L2720" s="24" t="n">
        <v>150</v>
      </c>
      <c r="M2720" s="24">
        <f>I2720+J2720+K2720+L2720</f>
        <v/>
      </c>
      <c r="N2720" s="24">
        <f>M2720*'Dashboard &amp; Optimisation'!$B$18/('Dashboard &amp; Optimisation'!$B$16/3.6)</f>
        <v/>
      </c>
      <c r="O2720" s="24" t="n">
        <v>1642.704473709595</v>
      </c>
      <c r="P2720" s="25" t="n">
        <v>0.05123489524329167</v>
      </c>
      <c r="Q2720" s="26" t="n">
        <v>17.95383549016247</v>
      </c>
      <c r="R2720" s="24" t="n">
        <v>6763.226343414458</v>
      </c>
      <c r="S2720" s="24">
        <f>R2720*IF(A2720=4, 2.0, 3.0)</f>
        <v/>
      </c>
      <c r="T2720" s="22">
        <f>'Dashboard &amp; Optimisation'!$B$18*U2720</f>
        <v/>
      </c>
      <c r="U2720" s="27">
        <f>MIN(1, S2720/M2720)</f>
        <v/>
      </c>
      <c r="V2720" s="27">
        <f>N2720/(N2720+O2720)</f>
        <v/>
      </c>
      <c r="W2720" s="27">
        <f>U2720*V2720</f>
        <v/>
      </c>
      <c r="X2720" s="25">
        <f>T2720/N2720</f>
        <v/>
      </c>
      <c r="Y2720" s="28">
        <f>IF(W2720=MAXIFS(W$2:W$3601, A$2:A$3601, A2720, B$2:B$3601, B2720), "OPTIMAL", "")</f>
        <v/>
      </c>
    </row>
    <row r="2721" ht="20" customHeight="1">
      <c r="A2721" s="29" t="n">
        <v>-18</v>
      </c>
      <c r="B2721" s="29" t="n">
        <v>35</v>
      </c>
      <c r="C2721" s="30" t="n">
        <v>100</v>
      </c>
      <c r="D2721" s="30" t="n">
        <v>3</v>
      </c>
      <c r="E2721" s="6" t="n">
        <v>8</v>
      </c>
      <c r="F2721" s="30" t="n">
        <v>2</v>
      </c>
      <c r="G2721" s="6" t="inlineStr">
        <is>
          <t>Non</t>
        </is>
      </c>
      <c r="H2721" s="6" t="inlineStr">
        <is>
          <t>OFF</t>
        </is>
      </c>
      <c r="I2721" s="31" t="n">
        <v>744.7528686370244</v>
      </c>
      <c r="J2721" s="31" t="n">
        <v>6550.668683077564</v>
      </c>
      <c r="K2721" s="31" t="n">
        <v>4222.222222222223</v>
      </c>
      <c r="L2721" s="31" t="n">
        <v>150</v>
      </c>
      <c r="M2721" s="31">
        <f>I2721+J2721+K2721+L2721</f>
        <v/>
      </c>
      <c r="N2721" s="31">
        <f>M2721*'Dashboard &amp; Optimisation'!$B$18/('Dashboard &amp; Optimisation'!$B$16/3.6)</f>
        <v/>
      </c>
      <c r="O2721" s="31" t="n">
        <v>1642.704473709595</v>
      </c>
      <c r="P2721" s="32" t="n">
        <v>0.2370561331782058</v>
      </c>
      <c r="Q2721" s="33" t="n">
        <v>17.95383549016247</v>
      </c>
      <c r="R2721" s="31" t="n">
        <v>1461.734773809968</v>
      </c>
      <c r="S2721" s="31">
        <f>R2721*IF(A2721=4, 2.0, 3.0)</f>
        <v/>
      </c>
      <c r="T2721" s="30">
        <f>'Dashboard &amp; Optimisation'!$B$18*U2721</f>
        <v/>
      </c>
      <c r="U2721" s="34">
        <f>MIN(1, S2721/M2721)</f>
        <v/>
      </c>
      <c r="V2721" s="34">
        <f>N2721/(N2721+O2721)</f>
        <v/>
      </c>
      <c r="W2721" s="34">
        <f>U2721*V2721</f>
        <v/>
      </c>
      <c r="X2721" s="32">
        <f>T2721/N2721</f>
        <v/>
      </c>
      <c r="Y2721" s="35">
        <f>IF(W2721=MAXIFS(W$2:W$3601, A$2:A$3601, A2721, B$2:B$3601, B2721), "OPTIMAL", "")</f>
        <v/>
      </c>
    </row>
    <row r="2722" ht="20" customHeight="1">
      <c r="A2722" s="21" t="n">
        <v>-18</v>
      </c>
      <c r="B2722" s="21" t="n">
        <v>35</v>
      </c>
      <c r="C2722" s="22" t="n">
        <v>105</v>
      </c>
      <c r="D2722" s="22" t="n">
        <v>2</v>
      </c>
      <c r="E2722" s="23" t="n">
        <v>0</v>
      </c>
      <c r="F2722" s="22" t="n">
        <v>0</v>
      </c>
      <c r="G2722" s="23" t="inlineStr">
        <is>
          <t>Oui</t>
        </is>
      </c>
      <c r="H2722" s="23" t="inlineStr">
        <is>
          <t>ON</t>
        </is>
      </c>
      <c r="I2722" s="24" t="n">
        <v>744.7528686370244</v>
      </c>
      <c r="J2722" s="24" t="n">
        <v>6550.668683077564</v>
      </c>
      <c r="K2722" s="24" t="n">
        <v>4222.222222222223</v>
      </c>
      <c r="L2722" s="24" t="n">
        <v>150</v>
      </c>
      <c r="M2722" s="24">
        <f>I2722+J2722+K2722+L2722</f>
        <v/>
      </c>
      <c r="N2722" s="24">
        <f>M2722*'Dashboard &amp; Optimisation'!$B$18/('Dashboard &amp; Optimisation'!$B$16/3.6)</f>
        <v/>
      </c>
      <c r="O2722" s="24" t="n">
        <v>478.9966172775149</v>
      </c>
      <c r="P2722" s="25" t="n">
        <v>0.4767371025038626</v>
      </c>
      <c r="Q2722" s="26" t="n">
        <v>0.2</v>
      </c>
      <c r="R2722" s="24" t="n">
        <v>575.0063444082442</v>
      </c>
      <c r="S2722" s="24">
        <f>R2722*IF(A2722=4, 2.0, 3.0)</f>
        <v/>
      </c>
      <c r="T2722" s="22">
        <f>'Dashboard &amp; Optimisation'!$B$18*U2722</f>
        <v/>
      </c>
      <c r="U2722" s="27">
        <f>MIN(1, S2722/M2722)</f>
        <v/>
      </c>
      <c r="V2722" s="27">
        <f>N2722/(N2722+O2722)</f>
        <v/>
      </c>
      <c r="W2722" s="27">
        <f>U2722*V2722</f>
        <v/>
      </c>
      <c r="X2722" s="25">
        <f>T2722/N2722</f>
        <v/>
      </c>
      <c r="Y2722" s="28">
        <f>IF(W2722=MAXIFS(W$2:W$3601, A$2:A$3601, A2722, B$2:B$3601, B2722), "OPTIMAL", "")</f>
        <v/>
      </c>
    </row>
    <row r="2723" ht="20" customHeight="1">
      <c r="A2723" s="29" t="n">
        <v>-18</v>
      </c>
      <c r="B2723" s="29" t="n">
        <v>35</v>
      </c>
      <c r="C2723" s="30" t="n">
        <v>105</v>
      </c>
      <c r="D2723" s="30" t="n">
        <v>2</v>
      </c>
      <c r="E2723" s="6" t="n">
        <v>0</v>
      </c>
      <c r="F2723" s="30" t="n">
        <v>0</v>
      </c>
      <c r="G2723" s="6" t="inlineStr">
        <is>
          <t>Oui</t>
        </is>
      </c>
      <c r="H2723" s="6" t="inlineStr">
        <is>
          <t>OFF</t>
        </is>
      </c>
      <c r="I2723" s="31" t="n">
        <v>744.7528686370244</v>
      </c>
      <c r="J2723" s="31" t="n">
        <v>6550.668683077564</v>
      </c>
      <c r="K2723" s="31" t="n">
        <v>4222.222222222223</v>
      </c>
      <c r="L2723" s="31" t="n">
        <v>150</v>
      </c>
      <c r="M2723" s="31">
        <f>I2723+J2723+K2723+L2723</f>
        <v/>
      </c>
      <c r="N2723" s="31">
        <f>M2723*'Dashboard &amp; Optimisation'!$B$18/('Dashboard &amp; Optimisation'!$B$16/3.6)</f>
        <v/>
      </c>
      <c r="O2723" s="31" t="n">
        <v>478.9966172775149</v>
      </c>
      <c r="P2723" s="32" t="n">
        <v>0.7798893750598538</v>
      </c>
      <c r="Q2723" s="33" t="n">
        <v>0.2</v>
      </c>
      <c r="R2723" s="31" t="n">
        <v>351.4945418168906</v>
      </c>
      <c r="S2723" s="31">
        <f>R2723*IF(A2723=4, 2.0, 3.0)</f>
        <v/>
      </c>
      <c r="T2723" s="30">
        <f>'Dashboard &amp; Optimisation'!$B$18*U2723</f>
        <v/>
      </c>
      <c r="U2723" s="34">
        <f>MIN(1, S2723/M2723)</f>
        <v/>
      </c>
      <c r="V2723" s="34">
        <f>N2723/(N2723+O2723)</f>
        <v/>
      </c>
      <c r="W2723" s="34">
        <f>U2723*V2723</f>
        <v/>
      </c>
      <c r="X2723" s="32">
        <f>T2723/N2723</f>
        <v/>
      </c>
      <c r="Y2723" s="35">
        <f>IF(W2723=MAXIFS(W$2:W$3601, A$2:A$3601, A2723, B$2:B$3601, B2723), "OPTIMAL", "")</f>
        <v/>
      </c>
    </row>
    <row r="2724" ht="20" customHeight="1">
      <c r="A2724" s="21" t="n">
        <v>-18</v>
      </c>
      <c r="B2724" s="21" t="n">
        <v>35</v>
      </c>
      <c r="C2724" s="22" t="n">
        <v>105</v>
      </c>
      <c r="D2724" s="22" t="n">
        <v>2</v>
      </c>
      <c r="E2724" s="23" t="n">
        <v>0</v>
      </c>
      <c r="F2724" s="22" t="n">
        <v>0</v>
      </c>
      <c r="G2724" s="23" t="inlineStr">
        <is>
          <t>Non</t>
        </is>
      </c>
      <c r="H2724" s="23" t="inlineStr">
        <is>
          <t>ON</t>
        </is>
      </c>
      <c r="I2724" s="24" t="n">
        <v>744.7528686370244</v>
      </c>
      <c r="J2724" s="24" t="n">
        <v>6550.668683077564</v>
      </c>
      <c r="K2724" s="24" t="n">
        <v>4222.222222222223</v>
      </c>
      <c r="L2724" s="24" t="n">
        <v>150</v>
      </c>
      <c r="M2724" s="24">
        <f>I2724+J2724+K2724+L2724</f>
        <v/>
      </c>
      <c r="N2724" s="24">
        <f>M2724*'Dashboard &amp; Optimisation'!$B$18/('Dashboard &amp; Optimisation'!$B$16/3.6)</f>
        <v/>
      </c>
      <c r="O2724" s="24" t="n">
        <v>478.9966172775149</v>
      </c>
      <c r="P2724" s="25" t="n">
        <v>0.4737055797783027</v>
      </c>
      <c r="Q2724" s="26" t="n">
        <v>0.2</v>
      </c>
      <c r="R2724" s="24" t="n">
        <v>578.686150758067</v>
      </c>
      <c r="S2724" s="24">
        <f>R2724*IF(A2724=4, 2.0, 3.0)</f>
        <v/>
      </c>
      <c r="T2724" s="22">
        <f>'Dashboard &amp; Optimisation'!$B$18*U2724</f>
        <v/>
      </c>
      <c r="U2724" s="27">
        <f>MIN(1, S2724/M2724)</f>
        <v/>
      </c>
      <c r="V2724" s="27">
        <f>N2724/(N2724+O2724)</f>
        <v/>
      </c>
      <c r="W2724" s="27">
        <f>U2724*V2724</f>
        <v/>
      </c>
      <c r="X2724" s="25">
        <f>T2724/N2724</f>
        <v/>
      </c>
      <c r="Y2724" s="28">
        <f>IF(W2724=MAXIFS(W$2:W$3601, A$2:A$3601, A2724, B$2:B$3601, B2724), "OPTIMAL", "")</f>
        <v/>
      </c>
    </row>
    <row r="2725" ht="20" customHeight="1">
      <c r="A2725" s="29" t="n">
        <v>-18</v>
      </c>
      <c r="B2725" s="29" t="n">
        <v>35</v>
      </c>
      <c r="C2725" s="30" t="n">
        <v>105</v>
      </c>
      <c r="D2725" s="30" t="n">
        <v>2</v>
      </c>
      <c r="E2725" s="6" t="n">
        <v>0</v>
      </c>
      <c r="F2725" s="30" t="n">
        <v>0</v>
      </c>
      <c r="G2725" s="6" t="inlineStr">
        <is>
          <t>Non</t>
        </is>
      </c>
      <c r="H2725" s="6" t="inlineStr">
        <is>
          <t>OFF</t>
        </is>
      </c>
      <c r="I2725" s="31" t="n">
        <v>744.7528686370244</v>
      </c>
      <c r="J2725" s="31" t="n">
        <v>6550.668683077564</v>
      </c>
      <c r="K2725" s="31" t="n">
        <v>4222.222222222223</v>
      </c>
      <c r="L2725" s="31" t="n">
        <v>150</v>
      </c>
      <c r="M2725" s="31">
        <f>I2725+J2725+K2725+L2725</f>
        <v/>
      </c>
      <c r="N2725" s="31">
        <f>M2725*'Dashboard &amp; Optimisation'!$B$18/('Dashboard &amp; Optimisation'!$B$16/3.6)</f>
        <v/>
      </c>
      <c r="O2725" s="31" t="n">
        <v>478.9966172775149</v>
      </c>
      <c r="P2725" s="32" t="n">
        <v>0.7768578523342939</v>
      </c>
      <c r="Q2725" s="33" t="n">
        <v>0.2</v>
      </c>
      <c r="R2725" s="31" t="n">
        <v>352.8661745914405</v>
      </c>
      <c r="S2725" s="31">
        <f>R2725*IF(A2725=4, 2.0, 3.0)</f>
        <v/>
      </c>
      <c r="T2725" s="30">
        <f>'Dashboard &amp; Optimisation'!$B$18*U2725</f>
        <v/>
      </c>
      <c r="U2725" s="34">
        <f>MIN(1, S2725/M2725)</f>
        <v/>
      </c>
      <c r="V2725" s="34">
        <f>N2725/(N2725+O2725)</f>
        <v/>
      </c>
      <c r="W2725" s="34">
        <f>U2725*V2725</f>
        <v/>
      </c>
      <c r="X2725" s="32">
        <f>T2725/N2725</f>
        <v/>
      </c>
      <c r="Y2725" s="35">
        <f>IF(W2725=MAXIFS(W$2:W$3601, A$2:A$3601, A2725, B$2:B$3601, B2725), "OPTIMAL", "")</f>
        <v/>
      </c>
    </row>
    <row r="2726" ht="20" customHeight="1">
      <c r="A2726" s="36" t="n">
        <v>-18</v>
      </c>
      <c r="B2726" s="36" t="n">
        <v>35</v>
      </c>
      <c r="C2726" s="37" t="n">
        <v>105</v>
      </c>
      <c r="D2726" s="37" t="n">
        <v>2</v>
      </c>
      <c r="E2726" s="38" t="n">
        <v>4</v>
      </c>
      <c r="F2726" s="37" t="n">
        <v>1.5</v>
      </c>
      <c r="G2726" s="38" t="inlineStr">
        <is>
          <t>Oui</t>
        </is>
      </c>
      <c r="H2726" s="38" t="inlineStr">
        <is>
          <t>ON</t>
        </is>
      </c>
      <c r="I2726" s="39" t="n">
        <v>744.7528686370244</v>
      </c>
      <c r="J2726" s="39" t="n">
        <v>6550.668683077564</v>
      </c>
      <c r="K2726" s="39" t="n">
        <v>4222.222222222223</v>
      </c>
      <c r="L2726" s="39" t="n">
        <v>150</v>
      </c>
      <c r="M2726" s="39">
        <f>I2726+J2726+K2726+L2726</f>
        <v/>
      </c>
      <c r="N2726" s="39">
        <f>M2726*'Dashboard &amp; Optimisation'!$B$18/('Dashboard &amp; Optimisation'!$B$16/3.6)</f>
        <v/>
      </c>
      <c r="O2726" s="39" t="n">
        <v>747.6399854135136</v>
      </c>
      <c r="P2726" s="40" t="n">
        <v>0.07211788842163316</v>
      </c>
      <c r="Q2726" s="41" t="n">
        <v>6.39626436661611</v>
      </c>
      <c r="R2726" s="39" t="n">
        <v>3919.684631179107</v>
      </c>
      <c r="S2726" s="39">
        <f>R2726*IF(A2726=4, 2.0, 3.0)</f>
        <v/>
      </c>
      <c r="T2726" s="37">
        <f>'Dashboard &amp; Optimisation'!$B$18*U2726</f>
        <v/>
      </c>
      <c r="U2726" s="42">
        <f>MIN(1, S2726/M2726)</f>
        <v/>
      </c>
      <c r="V2726" s="42">
        <f>N2726/(N2726+O2726)</f>
        <v/>
      </c>
      <c r="W2726" s="42">
        <f>U2726*V2726</f>
        <v/>
      </c>
      <c r="X2726" s="40">
        <f>T2726/N2726</f>
        <v/>
      </c>
      <c r="Y2726" s="15">
        <f>IF(W2726=MAXIFS(W$2:W$3601, A$2:A$3601, A2726, B$2:B$3601, B2726), "OPTIMAL", "")</f>
        <v/>
      </c>
    </row>
    <row r="2727" ht="20" customHeight="1">
      <c r="A2727" s="29" t="n">
        <v>-18</v>
      </c>
      <c r="B2727" s="29" t="n">
        <v>35</v>
      </c>
      <c r="C2727" s="30" t="n">
        <v>105</v>
      </c>
      <c r="D2727" s="30" t="n">
        <v>2</v>
      </c>
      <c r="E2727" s="6" t="n">
        <v>4</v>
      </c>
      <c r="F2727" s="30" t="n">
        <v>1.5</v>
      </c>
      <c r="G2727" s="6" t="inlineStr">
        <is>
          <t>Oui</t>
        </is>
      </c>
      <c r="H2727" s="6" t="inlineStr">
        <is>
          <t>OFF</t>
        </is>
      </c>
      <c r="I2727" s="31" t="n">
        <v>744.7528686370244</v>
      </c>
      <c r="J2727" s="31" t="n">
        <v>6550.668683077564</v>
      </c>
      <c r="K2727" s="31" t="n">
        <v>4222.222222222223</v>
      </c>
      <c r="L2727" s="31" t="n">
        <v>150</v>
      </c>
      <c r="M2727" s="31">
        <f>I2727+J2727+K2727+L2727</f>
        <v/>
      </c>
      <c r="N2727" s="31">
        <f>M2727*'Dashboard &amp; Optimisation'!$B$18/('Dashboard &amp; Optimisation'!$B$16/3.6)</f>
        <v/>
      </c>
      <c r="O2727" s="31" t="n">
        <v>747.6399854135136</v>
      </c>
      <c r="P2727" s="32" t="n">
        <v>0.297414701598841</v>
      </c>
      <c r="Q2727" s="33" t="n">
        <v>6.39626436661611</v>
      </c>
      <c r="R2727" s="31" t="n">
        <v>950.4552981400658</v>
      </c>
      <c r="S2727" s="31">
        <f>R2727*IF(A2727=4, 2.0, 3.0)</f>
        <v/>
      </c>
      <c r="T2727" s="30">
        <f>'Dashboard &amp; Optimisation'!$B$18*U2727</f>
        <v/>
      </c>
      <c r="U2727" s="34">
        <f>MIN(1, S2727/M2727)</f>
        <v/>
      </c>
      <c r="V2727" s="34">
        <f>N2727/(N2727+O2727)</f>
        <v/>
      </c>
      <c r="W2727" s="34">
        <f>U2727*V2727</f>
        <v/>
      </c>
      <c r="X2727" s="32">
        <f>T2727/N2727</f>
        <v/>
      </c>
      <c r="Y2727" s="35">
        <f>IF(W2727=MAXIFS(W$2:W$3601, A$2:A$3601, A2727, B$2:B$3601, B2727), "OPTIMAL", "")</f>
        <v/>
      </c>
    </row>
    <row r="2728" ht="20" customHeight="1">
      <c r="A2728" s="36" t="n">
        <v>-18</v>
      </c>
      <c r="B2728" s="36" t="n">
        <v>35</v>
      </c>
      <c r="C2728" s="37" t="n">
        <v>105</v>
      </c>
      <c r="D2728" s="37" t="n">
        <v>2</v>
      </c>
      <c r="E2728" s="38" t="n">
        <v>4</v>
      </c>
      <c r="F2728" s="37" t="n">
        <v>1.5</v>
      </c>
      <c r="G2728" s="38" t="inlineStr">
        <is>
          <t>Non</t>
        </is>
      </c>
      <c r="H2728" s="38" t="inlineStr">
        <is>
          <t>ON</t>
        </is>
      </c>
      <c r="I2728" s="39" t="n">
        <v>744.7528686370244</v>
      </c>
      <c r="J2728" s="39" t="n">
        <v>6550.668683077564</v>
      </c>
      <c r="K2728" s="39" t="n">
        <v>4222.222222222223</v>
      </c>
      <c r="L2728" s="39" t="n">
        <v>150</v>
      </c>
      <c r="M2728" s="39">
        <f>I2728+J2728+K2728+L2728</f>
        <v/>
      </c>
      <c r="N2728" s="39">
        <f>M2728*'Dashboard &amp; Optimisation'!$B$18/('Dashboard &amp; Optimisation'!$B$16/3.6)</f>
        <v/>
      </c>
      <c r="O2728" s="39" t="n">
        <v>747.6399854135136</v>
      </c>
      <c r="P2728" s="40" t="n">
        <v>0.06908636569607325</v>
      </c>
      <c r="Q2728" s="41" t="n">
        <v>6.39626436661611</v>
      </c>
      <c r="R2728" s="39" t="n">
        <v>4091.681130296194</v>
      </c>
      <c r="S2728" s="39">
        <f>R2728*IF(A2728=4, 2.0, 3.0)</f>
        <v/>
      </c>
      <c r="T2728" s="37">
        <f>'Dashboard &amp; Optimisation'!$B$18*U2728</f>
        <v/>
      </c>
      <c r="U2728" s="42">
        <f>MIN(1, S2728/M2728)</f>
        <v/>
      </c>
      <c r="V2728" s="42">
        <f>N2728/(N2728+O2728)</f>
        <v/>
      </c>
      <c r="W2728" s="42">
        <f>U2728*V2728</f>
        <v/>
      </c>
      <c r="X2728" s="40">
        <f>T2728/N2728</f>
        <v/>
      </c>
      <c r="Y2728" s="15">
        <f>IF(W2728=MAXIFS(W$2:W$3601, A$2:A$3601, A2728, B$2:B$3601, B2728), "OPTIMAL", "")</f>
        <v/>
      </c>
    </row>
    <row r="2729" ht="20" customHeight="1">
      <c r="A2729" s="29" t="n">
        <v>-18</v>
      </c>
      <c r="B2729" s="29" t="n">
        <v>35</v>
      </c>
      <c r="C2729" s="30" t="n">
        <v>105</v>
      </c>
      <c r="D2729" s="30" t="n">
        <v>2</v>
      </c>
      <c r="E2729" s="6" t="n">
        <v>4</v>
      </c>
      <c r="F2729" s="30" t="n">
        <v>1.5</v>
      </c>
      <c r="G2729" s="6" t="inlineStr">
        <is>
          <t>Non</t>
        </is>
      </c>
      <c r="H2729" s="6" t="inlineStr">
        <is>
          <t>OFF</t>
        </is>
      </c>
      <c r="I2729" s="31" t="n">
        <v>744.7528686370244</v>
      </c>
      <c r="J2729" s="31" t="n">
        <v>6550.668683077564</v>
      </c>
      <c r="K2729" s="31" t="n">
        <v>4222.222222222223</v>
      </c>
      <c r="L2729" s="31" t="n">
        <v>150</v>
      </c>
      <c r="M2729" s="31">
        <f>I2729+J2729+K2729+L2729</f>
        <v/>
      </c>
      <c r="N2729" s="31">
        <f>M2729*'Dashboard &amp; Optimisation'!$B$18/('Dashboard &amp; Optimisation'!$B$16/3.6)</f>
        <v/>
      </c>
      <c r="O2729" s="31" t="n">
        <v>747.6399854135136</v>
      </c>
      <c r="P2729" s="32" t="n">
        <v>0.2943831788732811</v>
      </c>
      <c r="Q2729" s="33" t="n">
        <v>6.39626436661611</v>
      </c>
      <c r="R2729" s="31" t="n">
        <v>960.2429729894523</v>
      </c>
      <c r="S2729" s="31">
        <f>R2729*IF(A2729=4, 2.0, 3.0)</f>
        <v/>
      </c>
      <c r="T2729" s="30">
        <f>'Dashboard &amp; Optimisation'!$B$18*U2729</f>
        <v/>
      </c>
      <c r="U2729" s="34">
        <f>MIN(1, S2729/M2729)</f>
        <v/>
      </c>
      <c r="V2729" s="34">
        <f>N2729/(N2729+O2729)</f>
        <v/>
      </c>
      <c r="W2729" s="34">
        <f>U2729*V2729</f>
        <v/>
      </c>
      <c r="X2729" s="32">
        <f>T2729/N2729</f>
        <v/>
      </c>
      <c r="Y2729" s="35">
        <f>IF(W2729=MAXIFS(W$2:W$3601, A$2:A$3601, A2729, B$2:B$3601, B2729), "OPTIMAL", "")</f>
        <v/>
      </c>
    </row>
    <row r="2730" ht="20" customHeight="1">
      <c r="A2730" s="21" t="n">
        <v>-18</v>
      </c>
      <c r="B2730" s="21" t="n">
        <v>35</v>
      </c>
      <c r="C2730" s="22" t="n">
        <v>105</v>
      </c>
      <c r="D2730" s="22" t="n">
        <v>2</v>
      </c>
      <c r="E2730" s="23" t="n">
        <v>4</v>
      </c>
      <c r="F2730" s="22" t="n">
        <v>2</v>
      </c>
      <c r="G2730" s="23" t="inlineStr">
        <is>
          <t>Oui</t>
        </is>
      </c>
      <c r="H2730" s="23" t="inlineStr">
        <is>
          <t>ON</t>
        </is>
      </c>
      <c r="I2730" s="24" t="n">
        <v>744.7528686370244</v>
      </c>
      <c r="J2730" s="24" t="n">
        <v>6550.668683077564</v>
      </c>
      <c r="K2730" s="24" t="n">
        <v>4222.222222222223</v>
      </c>
      <c r="L2730" s="24" t="n">
        <v>150</v>
      </c>
      <c r="M2730" s="24">
        <f>I2730+J2730+K2730+L2730</f>
        <v/>
      </c>
      <c r="N2730" s="24">
        <f>M2730*'Dashboard &amp; Optimisation'!$B$18/('Dashboard &amp; Optimisation'!$B$16/3.6)</f>
        <v/>
      </c>
      <c r="O2730" s="24" t="n">
        <v>840.9520062348369</v>
      </c>
      <c r="P2730" s="25" t="n">
        <v>0.06926604745833413</v>
      </c>
      <c r="Q2730" s="26" t="n">
        <v>8.461685822154816</v>
      </c>
      <c r="R2730" s="24" t="n">
        <v>4123.954915896692</v>
      </c>
      <c r="S2730" s="24">
        <f>R2730*IF(A2730=4, 2.0, 3.0)</f>
        <v/>
      </c>
      <c r="T2730" s="22">
        <f>'Dashboard &amp; Optimisation'!$B$18*U2730</f>
        <v/>
      </c>
      <c r="U2730" s="27">
        <f>MIN(1, S2730/M2730)</f>
        <v/>
      </c>
      <c r="V2730" s="27">
        <f>N2730/(N2730+O2730)</f>
        <v/>
      </c>
      <c r="W2730" s="27">
        <f>U2730*V2730</f>
        <v/>
      </c>
      <c r="X2730" s="25">
        <f>T2730/N2730</f>
        <v/>
      </c>
      <c r="Y2730" s="28">
        <f>IF(W2730=MAXIFS(W$2:W$3601, A$2:A$3601, A2730, B$2:B$3601, B2730), "OPTIMAL", "")</f>
        <v/>
      </c>
    </row>
    <row r="2731" ht="20" customHeight="1">
      <c r="A2731" s="29" t="n">
        <v>-18</v>
      </c>
      <c r="B2731" s="29" t="n">
        <v>35</v>
      </c>
      <c r="C2731" s="30" t="n">
        <v>105</v>
      </c>
      <c r="D2731" s="30" t="n">
        <v>2</v>
      </c>
      <c r="E2731" s="6" t="n">
        <v>4</v>
      </c>
      <c r="F2731" s="30" t="n">
        <v>2</v>
      </c>
      <c r="G2731" s="6" t="inlineStr">
        <is>
          <t>Oui</t>
        </is>
      </c>
      <c r="H2731" s="6" t="inlineStr">
        <is>
          <t>OFF</t>
        </is>
      </c>
      <c r="I2731" s="31" t="n">
        <v>744.7528686370244</v>
      </c>
      <c r="J2731" s="31" t="n">
        <v>6550.668683077564</v>
      </c>
      <c r="K2731" s="31" t="n">
        <v>4222.222222222223</v>
      </c>
      <c r="L2731" s="31" t="n">
        <v>150</v>
      </c>
      <c r="M2731" s="31">
        <f>I2731+J2731+K2731+L2731</f>
        <v/>
      </c>
      <c r="N2731" s="31">
        <f>M2731*'Dashboard &amp; Optimisation'!$B$18/('Dashboard &amp; Optimisation'!$B$16/3.6)</f>
        <v/>
      </c>
      <c r="O2731" s="31" t="n">
        <v>840.9520062348369</v>
      </c>
      <c r="P2731" s="32" t="n">
        <v>0.2955807767744409</v>
      </c>
      <c r="Q2731" s="33" t="n">
        <v>8.461685822154816</v>
      </c>
      <c r="R2731" s="31" t="n">
        <v>966.4026870682172</v>
      </c>
      <c r="S2731" s="31">
        <f>R2731*IF(A2731=4, 2.0, 3.0)</f>
        <v/>
      </c>
      <c r="T2731" s="30">
        <f>'Dashboard &amp; Optimisation'!$B$18*U2731</f>
        <v/>
      </c>
      <c r="U2731" s="34">
        <f>MIN(1, S2731/M2731)</f>
        <v/>
      </c>
      <c r="V2731" s="34">
        <f>N2731/(N2731+O2731)</f>
        <v/>
      </c>
      <c r="W2731" s="34">
        <f>U2731*V2731</f>
        <v/>
      </c>
      <c r="X2731" s="32">
        <f>T2731/N2731</f>
        <v/>
      </c>
      <c r="Y2731" s="35">
        <f>IF(W2731=MAXIFS(W$2:W$3601, A$2:A$3601, A2731, B$2:B$3601, B2731), "OPTIMAL", "")</f>
        <v/>
      </c>
    </row>
    <row r="2732" ht="20" customHeight="1">
      <c r="A2732" s="21" t="n">
        <v>-18</v>
      </c>
      <c r="B2732" s="21" t="n">
        <v>35</v>
      </c>
      <c r="C2732" s="22" t="n">
        <v>105</v>
      </c>
      <c r="D2732" s="22" t="n">
        <v>2</v>
      </c>
      <c r="E2732" s="23" t="n">
        <v>4</v>
      </c>
      <c r="F2732" s="22" t="n">
        <v>2</v>
      </c>
      <c r="G2732" s="23" t="inlineStr">
        <is>
          <t>Non</t>
        </is>
      </c>
      <c r="H2732" s="23" t="inlineStr">
        <is>
          <t>ON</t>
        </is>
      </c>
      <c r="I2732" s="24" t="n">
        <v>744.7528686370244</v>
      </c>
      <c r="J2732" s="24" t="n">
        <v>6550.668683077564</v>
      </c>
      <c r="K2732" s="24" t="n">
        <v>4222.222222222223</v>
      </c>
      <c r="L2732" s="24" t="n">
        <v>150</v>
      </c>
      <c r="M2732" s="24">
        <f>I2732+J2732+K2732+L2732</f>
        <v/>
      </c>
      <c r="N2732" s="24">
        <f>M2732*'Dashboard &amp; Optimisation'!$B$18/('Dashboard &amp; Optimisation'!$B$16/3.6)</f>
        <v/>
      </c>
      <c r="O2732" s="24" t="n">
        <v>840.9520062348369</v>
      </c>
      <c r="P2732" s="25" t="n">
        <v>0.06623452473277422</v>
      </c>
      <c r="Q2732" s="26" t="n">
        <v>8.461685822154816</v>
      </c>
      <c r="R2732" s="24" t="n">
        <v>4312.706372892339</v>
      </c>
      <c r="S2732" s="24">
        <f>R2732*IF(A2732=4, 2.0, 3.0)</f>
        <v/>
      </c>
      <c r="T2732" s="22">
        <f>'Dashboard &amp; Optimisation'!$B$18*U2732</f>
        <v/>
      </c>
      <c r="U2732" s="27">
        <f>MIN(1, S2732/M2732)</f>
        <v/>
      </c>
      <c r="V2732" s="27">
        <f>N2732/(N2732+O2732)</f>
        <v/>
      </c>
      <c r="W2732" s="27">
        <f>U2732*V2732</f>
        <v/>
      </c>
      <c r="X2732" s="25">
        <f>T2732/N2732</f>
        <v/>
      </c>
      <c r="Y2732" s="28">
        <f>IF(W2732=MAXIFS(W$2:W$3601, A$2:A$3601, A2732, B$2:B$3601, B2732), "OPTIMAL", "")</f>
        <v/>
      </c>
    </row>
    <row r="2733" ht="20" customHeight="1">
      <c r="A2733" s="29" t="n">
        <v>-18</v>
      </c>
      <c r="B2733" s="29" t="n">
        <v>35</v>
      </c>
      <c r="C2733" s="30" t="n">
        <v>105</v>
      </c>
      <c r="D2733" s="30" t="n">
        <v>2</v>
      </c>
      <c r="E2733" s="6" t="n">
        <v>4</v>
      </c>
      <c r="F2733" s="30" t="n">
        <v>2</v>
      </c>
      <c r="G2733" s="6" t="inlineStr">
        <is>
          <t>Non</t>
        </is>
      </c>
      <c r="H2733" s="6" t="inlineStr">
        <is>
          <t>OFF</t>
        </is>
      </c>
      <c r="I2733" s="31" t="n">
        <v>744.7528686370244</v>
      </c>
      <c r="J2733" s="31" t="n">
        <v>6550.668683077564</v>
      </c>
      <c r="K2733" s="31" t="n">
        <v>4222.222222222223</v>
      </c>
      <c r="L2733" s="31" t="n">
        <v>150</v>
      </c>
      <c r="M2733" s="31">
        <f>I2733+J2733+K2733+L2733</f>
        <v/>
      </c>
      <c r="N2733" s="31">
        <f>M2733*'Dashboard &amp; Optimisation'!$B$18/('Dashboard &amp; Optimisation'!$B$16/3.6)</f>
        <v/>
      </c>
      <c r="O2733" s="31" t="n">
        <v>840.9520062348369</v>
      </c>
      <c r="P2733" s="32" t="n">
        <v>0.292549254048881</v>
      </c>
      <c r="Q2733" s="33" t="n">
        <v>8.461685822154816</v>
      </c>
      <c r="R2733" s="31" t="n">
        <v>976.4169724145062</v>
      </c>
      <c r="S2733" s="31">
        <f>R2733*IF(A2733=4, 2.0, 3.0)</f>
        <v/>
      </c>
      <c r="T2733" s="30">
        <f>'Dashboard &amp; Optimisation'!$B$18*U2733</f>
        <v/>
      </c>
      <c r="U2733" s="34">
        <f>MIN(1, S2733/M2733)</f>
        <v/>
      </c>
      <c r="V2733" s="34">
        <f>N2733/(N2733+O2733)</f>
        <v/>
      </c>
      <c r="W2733" s="34">
        <f>U2733*V2733</f>
        <v/>
      </c>
      <c r="X2733" s="32">
        <f>T2733/N2733</f>
        <v/>
      </c>
      <c r="Y2733" s="35">
        <f>IF(W2733=MAXIFS(W$2:W$3601, A$2:A$3601, A2733, B$2:B$3601, B2733), "OPTIMAL", "")</f>
        <v/>
      </c>
    </row>
    <row r="2734" ht="20" customHeight="1">
      <c r="A2734" s="21" t="n">
        <v>-18</v>
      </c>
      <c r="B2734" s="21" t="n">
        <v>35</v>
      </c>
      <c r="C2734" s="22" t="n">
        <v>105</v>
      </c>
      <c r="D2734" s="22" t="n">
        <v>2</v>
      </c>
      <c r="E2734" s="23" t="n">
        <v>8</v>
      </c>
      <c r="F2734" s="22" t="n">
        <v>1.5</v>
      </c>
      <c r="G2734" s="23" t="inlineStr">
        <is>
          <t>Oui</t>
        </is>
      </c>
      <c r="H2734" s="23" t="inlineStr">
        <is>
          <t>ON</t>
        </is>
      </c>
      <c r="I2734" s="24" t="n">
        <v>744.7528686370244</v>
      </c>
      <c r="J2734" s="24" t="n">
        <v>6550.668683077564</v>
      </c>
      <c r="K2734" s="24" t="n">
        <v>4222.222222222223</v>
      </c>
      <c r="L2734" s="24" t="n">
        <v>150</v>
      </c>
      <c r="M2734" s="24">
        <f>I2734+J2734+K2734+L2734</f>
        <v/>
      </c>
      <c r="N2734" s="24">
        <f>M2734*'Dashboard &amp; Optimisation'!$B$18/('Dashboard &amp; Optimisation'!$B$16/3.6)</f>
        <v/>
      </c>
      <c r="O2734" s="24" t="n">
        <v>1033.58606345313</v>
      </c>
      <c r="P2734" s="25" t="n">
        <v>0.0545652421498049</v>
      </c>
      <c r="Q2734" s="26" t="n">
        <v>12.59252873323222</v>
      </c>
      <c r="R2734" s="24" t="n">
        <v>5347.410478546293</v>
      </c>
      <c r="S2734" s="24">
        <f>R2734*IF(A2734=4, 2.0, 3.0)</f>
        <v/>
      </c>
      <c r="T2734" s="22">
        <f>'Dashboard &amp; Optimisation'!$B$18*U2734</f>
        <v/>
      </c>
      <c r="U2734" s="27">
        <f>MIN(1, S2734/M2734)</f>
        <v/>
      </c>
      <c r="V2734" s="27">
        <f>N2734/(N2734+O2734)</f>
        <v/>
      </c>
      <c r="W2734" s="27">
        <f>U2734*V2734</f>
        <v/>
      </c>
      <c r="X2734" s="25">
        <f>T2734/N2734</f>
        <v/>
      </c>
      <c r="Y2734" s="28">
        <f>IF(W2734=MAXIFS(W$2:W$3601, A$2:A$3601, A2734, B$2:B$3601, B2734), "OPTIMAL", "")</f>
        <v/>
      </c>
    </row>
    <row r="2735" ht="20" customHeight="1">
      <c r="A2735" s="29" t="n">
        <v>-18</v>
      </c>
      <c r="B2735" s="29" t="n">
        <v>35</v>
      </c>
      <c r="C2735" s="30" t="n">
        <v>105</v>
      </c>
      <c r="D2735" s="30" t="n">
        <v>2</v>
      </c>
      <c r="E2735" s="6" t="n">
        <v>8</v>
      </c>
      <c r="F2735" s="30" t="n">
        <v>1.5</v>
      </c>
      <c r="G2735" s="6" t="inlineStr">
        <is>
          <t>Oui</t>
        </is>
      </c>
      <c r="H2735" s="6" t="inlineStr">
        <is>
          <t>OFF</t>
        </is>
      </c>
      <c r="I2735" s="31" t="n">
        <v>744.7528686370244</v>
      </c>
      <c r="J2735" s="31" t="n">
        <v>6550.668683077564</v>
      </c>
      <c r="K2735" s="31" t="n">
        <v>4222.222222222223</v>
      </c>
      <c r="L2735" s="31" t="n">
        <v>150</v>
      </c>
      <c r="M2735" s="31">
        <f>I2735+J2735+K2735+L2735</f>
        <v/>
      </c>
      <c r="N2735" s="31">
        <f>M2735*'Dashboard &amp; Optimisation'!$B$18/('Dashboard &amp; Optimisation'!$B$16/3.6)</f>
        <v/>
      </c>
      <c r="O2735" s="31" t="n">
        <v>1033.58606345313</v>
      </c>
      <c r="P2735" s="32" t="n">
        <v>0.233823801442431</v>
      </c>
      <c r="Q2735" s="33" t="n">
        <v>12.59252873323222</v>
      </c>
      <c r="R2735" s="31" t="n">
        <v>1247.874450061584</v>
      </c>
      <c r="S2735" s="31">
        <f>R2735*IF(A2735=4, 2.0, 3.0)</f>
        <v/>
      </c>
      <c r="T2735" s="30">
        <f>'Dashboard &amp; Optimisation'!$B$18*U2735</f>
        <v/>
      </c>
      <c r="U2735" s="34">
        <f>MIN(1, S2735/M2735)</f>
        <v/>
      </c>
      <c r="V2735" s="34">
        <f>N2735/(N2735+O2735)</f>
        <v/>
      </c>
      <c r="W2735" s="34">
        <f>U2735*V2735</f>
        <v/>
      </c>
      <c r="X2735" s="32">
        <f>T2735/N2735</f>
        <v/>
      </c>
      <c r="Y2735" s="35">
        <f>IF(W2735=MAXIFS(W$2:W$3601, A$2:A$3601, A2735, B$2:B$3601, B2735), "OPTIMAL", "")</f>
        <v/>
      </c>
    </row>
    <row r="2736" ht="20" customHeight="1">
      <c r="A2736" s="21" t="n">
        <v>-18</v>
      </c>
      <c r="B2736" s="21" t="n">
        <v>35</v>
      </c>
      <c r="C2736" s="22" t="n">
        <v>105</v>
      </c>
      <c r="D2736" s="22" t="n">
        <v>2</v>
      </c>
      <c r="E2736" s="23" t="n">
        <v>8</v>
      </c>
      <c r="F2736" s="22" t="n">
        <v>1.5</v>
      </c>
      <c r="G2736" s="23" t="inlineStr">
        <is>
          <t>Non</t>
        </is>
      </c>
      <c r="H2736" s="23" t="inlineStr">
        <is>
          <t>ON</t>
        </is>
      </c>
      <c r="I2736" s="24" t="n">
        <v>744.7528686370244</v>
      </c>
      <c r="J2736" s="24" t="n">
        <v>6550.668683077564</v>
      </c>
      <c r="K2736" s="24" t="n">
        <v>4222.222222222223</v>
      </c>
      <c r="L2736" s="24" t="n">
        <v>150</v>
      </c>
      <c r="M2736" s="24">
        <f>I2736+J2736+K2736+L2736</f>
        <v/>
      </c>
      <c r="N2736" s="24">
        <f>M2736*'Dashboard &amp; Optimisation'!$B$18/('Dashboard &amp; Optimisation'!$B$16/3.6)</f>
        <v/>
      </c>
      <c r="O2736" s="24" t="n">
        <v>1033.58606345313</v>
      </c>
      <c r="P2736" s="25" t="n">
        <v>0.05153371942424499</v>
      </c>
      <c r="Q2736" s="26" t="n">
        <v>12.59252873323222</v>
      </c>
      <c r="R2736" s="24" t="n">
        <v>5661.977262580586</v>
      </c>
      <c r="S2736" s="24">
        <f>R2736*IF(A2736=4, 2.0, 3.0)</f>
        <v/>
      </c>
      <c r="T2736" s="22">
        <f>'Dashboard &amp; Optimisation'!$B$18*U2736</f>
        <v/>
      </c>
      <c r="U2736" s="27">
        <f>MIN(1, S2736/M2736)</f>
        <v/>
      </c>
      <c r="V2736" s="27">
        <f>N2736/(N2736+O2736)</f>
        <v/>
      </c>
      <c r="W2736" s="27">
        <f>U2736*V2736</f>
        <v/>
      </c>
      <c r="X2736" s="25">
        <f>T2736/N2736</f>
        <v/>
      </c>
      <c r="Y2736" s="28">
        <f>IF(W2736=MAXIFS(W$2:W$3601, A$2:A$3601, A2736, B$2:B$3601, B2736), "OPTIMAL", "")</f>
        <v/>
      </c>
    </row>
    <row r="2737" ht="20" customHeight="1">
      <c r="A2737" s="29" t="n">
        <v>-18</v>
      </c>
      <c r="B2737" s="29" t="n">
        <v>35</v>
      </c>
      <c r="C2737" s="30" t="n">
        <v>105</v>
      </c>
      <c r="D2737" s="30" t="n">
        <v>2</v>
      </c>
      <c r="E2737" s="6" t="n">
        <v>8</v>
      </c>
      <c r="F2737" s="30" t="n">
        <v>1.5</v>
      </c>
      <c r="G2737" s="6" t="inlineStr">
        <is>
          <t>Non</t>
        </is>
      </c>
      <c r="H2737" s="6" t="inlineStr">
        <is>
          <t>OFF</t>
        </is>
      </c>
      <c r="I2737" s="31" t="n">
        <v>744.7528686370244</v>
      </c>
      <c r="J2737" s="31" t="n">
        <v>6550.668683077564</v>
      </c>
      <c r="K2737" s="31" t="n">
        <v>4222.222222222223</v>
      </c>
      <c r="L2737" s="31" t="n">
        <v>150</v>
      </c>
      <c r="M2737" s="31">
        <f>I2737+J2737+K2737+L2737</f>
        <v/>
      </c>
      <c r="N2737" s="31">
        <f>M2737*'Dashboard &amp; Optimisation'!$B$18/('Dashboard &amp; Optimisation'!$B$16/3.6)</f>
        <v/>
      </c>
      <c r="O2737" s="31" t="n">
        <v>1033.58606345313</v>
      </c>
      <c r="P2737" s="32" t="n">
        <v>0.2307922787168711</v>
      </c>
      <c r="Q2737" s="33" t="n">
        <v>12.59252873323222</v>
      </c>
      <c r="R2737" s="31" t="n">
        <v>1264.26563860151</v>
      </c>
      <c r="S2737" s="31">
        <f>R2737*IF(A2737=4, 2.0, 3.0)</f>
        <v/>
      </c>
      <c r="T2737" s="30">
        <f>'Dashboard &amp; Optimisation'!$B$18*U2737</f>
        <v/>
      </c>
      <c r="U2737" s="34">
        <f>MIN(1, S2737/M2737)</f>
        <v/>
      </c>
      <c r="V2737" s="34">
        <f>N2737/(N2737+O2737)</f>
        <v/>
      </c>
      <c r="W2737" s="34">
        <f>U2737*V2737</f>
        <v/>
      </c>
      <c r="X2737" s="32">
        <f>T2737/N2737</f>
        <v/>
      </c>
      <c r="Y2737" s="35">
        <f>IF(W2737=MAXIFS(W$2:W$3601, A$2:A$3601, A2737, B$2:B$3601, B2737), "OPTIMAL", "")</f>
        <v/>
      </c>
    </row>
    <row r="2738" ht="20" customHeight="1">
      <c r="A2738" s="21" t="n">
        <v>-18</v>
      </c>
      <c r="B2738" s="21" t="n">
        <v>35</v>
      </c>
      <c r="C2738" s="22" t="n">
        <v>105</v>
      </c>
      <c r="D2738" s="22" t="n">
        <v>2</v>
      </c>
      <c r="E2738" s="23" t="n">
        <v>8</v>
      </c>
      <c r="F2738" s="22" t="n">
        <v>2</v>
      </c>
      <c r="G2738" s="23" t="inlineStr">
        <is>
          <t>Oui</t>
        </is>
      </c>
      <c r="H2738" s="23" t="inlineStr">
        <is>
          <t>ON</t>
        </is>
      </c>
      <c r="I2738" s="24" t="n">
        <v>744.7528686370244</v>
      </c>
      <c r="J2738" s="24" t="n">
        <v>6550.668683077564</v>
      </c>
      <c r="K2738" s="24" t="n">
        <v>4222.222222222223</v>
      </c>
      <c r="L2738" s="24" t="n">
        <v>150</v>
      </c>
      <c r="M2738" s="24">
        <f>I2738+J2738+K2738+L2738</f>
        <v/>
      </c>
      <c r="N2738" s="24">
        <f>M2738*'Dashboard &amp; Optimisation'!$B$18/('Dashboard &amp; Optimisation'!$B$16/3.6)</f>
        <v/>
      </c>
      <c r="O2738" s="24" t="n">
        <v>1234.673012957013</v>
      </c>
      <c r="P2738" s="25" t="n">
        <v>0.05324035668794291</v>
      </c>
      <c r="Q2738" s="26" t="n">
        <v>16.72337164430963</v>
      </c>
      <c r="R2738" s="24" t="n">
        <v>5600.724015913764</v>
      </c>
      <c r="S2738" s="24">
        <f>R2738*IF(A2738=4, 2.0, 3.0)</f>
        <v/>
      </c>
      <c r="T2738" s="22">
        <f>'Dashboard &amp; Optimisation'!$B$18*U2738</f>
        <v/>
      </c>
      <c r="U2738" s="27">
        <f>MIN(1, S2738/M2738)</f>
        <v/>
      </c>
      <c r="V2738" s="27">
        <f>N2738/(N2738+O2738)</f>
        <v/>
      </c>
      <c r="W2738" s="27">
        <f>U2738*V2738</f>
        <v/>
      </c>
      <c r="X2738" s="25">
        <f>T2738/N2738</f>
        <v/>
      </c>
      <c r="Y2738" s="28">
        <f>IF(W2738=MAXIFS(W$2:W$3601, A$2:A$3601, A2738, B$2:B$3601, B2738), "OPTIMAL", "")</f>
        <v/>
      </c>
    </row>
    <row r="2739" ht="20" customHeight="1">
      <c r="A2739" s="29" t="n">
        <v>-18</v>
      </c>
      <c r="B2739" s="29" t="n">
        <v>35</v>
      </c>
      <c r="C2739" s="30" t="n">
        <v>105</v>
      </c>
      <c r="D2739" s="30" t="n">
        <v>2</v>
      </c>
      <c r="E2739" s="6" t="n">
        <v>8</v>
      </c>
      <c r="F2739" s="30" t="n">
        <v>2</v>
      </c>
      <c r="G2739" s="6" t="inlineStr">
        <is>
          <t>Oui</t>
        </is>
      </c>
      <c r="H2739" s="6" t="inlineStr">
        <is>
          <t>OFF</t>
        </is>
      </c>
      <c r="I2739" s="31" t="n">
        <v>744.7528686370244</v>
      </c>
      <c r="J2739" s="31" t="n">
        <v>6550.668683077564</v>
      </c>
      <c r="K2739" s="31" t="n">
        <v>4222.222222222223</v>
      </c>
      <c r="L2739" s="31" t="n">
        <v>150</v>
      </c>
      <c r="M2739" s="31">
        <f>I2739+J2739+K2739+L2739</f>
        <v/>
      </c>
      <c r="N2739" s="31">
        <f>M2739*'Dashboard &amp; Optimisation'!$B$18/('Dashboard &amp; Optimisation'!$B$16/3.6)</f>
        <v/>
      </c>
      <c r="O2739" s="31" t="n">
        <v>1234.673012957013</v>
      </c>
      <c r="P2739" s="32" t="n">
        <v>0.2337915759821405</v>
      </c>
      <c r="Q2739" s="33" t="n">
        <v>16.72337164430963</v>
      </c>
      <c r="R2739" s="31" t="n">
        <v>1275.428950189186</v>
      </c>
      <c r="S2739" s="31">
        <f>R2739*IF(A2739=4, 2.0, 3.0)</f>
        <v/>
      </c>
      <c r="T2739" s="30">
        <f>'Dashboard &amp; Optimisation'!$B$18*U2739</f>
        <v/>
      </c>
      <c r="U2739" s="34">
        <f>MIN(1, S2739/M2739)</f>
        <v/>
      </c>
      <c r="V2739" s="34">
        <f>N2739/(N2739+O2739)</f>
        <v/>
      </c>
      <c r="W2739" s="34">
        <f>U2739*V2739</f>
        <v/>
      </c>
      <c r="X2739" s="32">
        <f>T2739/N2739</f>
        <v/>
      </c>
      <c r="Y2739" s="35">
        <f>IF(W2739=MAXIFS(W$2:W$3601, A$2:A$3601, A2739, B$2:B$3601, B2739), "OPTIMAL", "")</f>
        <v/>
      </c>
    </row>
    <row r="2740" ht="20" customHeight="1">
      <c r="A2740" s="21" t="n">
        <v>-18</v>
      </c>
      <c r="B2740" s="21" t="n">
        <v>35</v>
      </c>
      <c r="C2740" s="22" t="n">
        <v>105</v>
      </c>
      <c r="D2740" s="22" t="n">
        <v>2</v>
      </c>
      <c r="E2740" s="23" t="n">
        <v>8</v>
      </c>
      <c r="F2740" s="22" t="n">
        <v>2</v>
      </c>
      <c r="G2740" s="23" t="inlineStr">
        <is>
          <t>Non</t>
        </is>
      </c>
      <c r="H2740" s="23" t="inlineStr">
        <is>
          <t>ON</t>
        </is>
      </c>
      <c r="I2740" s="24" t="n">
        <v>744.7528686370244</v>
      </c>
      <c r="J2740" s="24" t="n">
        <v>6550.668683077564</v>
      </c>
      <c r="K2740" s="24" t="n">
        <v>4222.222222222223</v>
      </c>
      <c r="L2740" s="24" t="n">
        <v>150</v>
      </c>
      <c r="M2740" s="24">
        <f>I2740+J2740+K2740+L2740</f>
        <v/>
      </c>
      <c r="N2740" s="24">
        <f>M2740*'Dashboard &amp; Optimisation'!$B$18/('Dashboard &amp; Optimisation'!$B$16/3.6)</f>
        <v/>
      </c>
      <c r="O2740" s="24" t="n">
        <v>1234.673012957013</v>
      </c>
      <c r="P2740" s="25" t="n">
        <v>0.05020883396238299</v>
      </c>
      <c r="Q2740" s="26" t="n">
        <v>16.72337164430963</v>
      </c>
      <c r="R2740" s="24" t="n">
        <v>5938.886064181055</v>
      </c>
      <c r="S2740" s="24">
        <f>R2740*IF(A2740=4, 2.0, 3.0)</f>
        <v/>
      </c>
      <c r="T2740" s="22">
        <f>'Dashboard &amp; Optimisation'!$B$18*U2740</f>
        <v/>
      </c>
      <c r="U2740" s="27">
        <f>MIN(1, S2740/M2740)</f>
        <v/>
      </c>
      <c r="V2740" s="27">
        <f>N2740/(N2740+O2740)</f>
        <v/>
      </c>
      <c r="W2740" s="27">
        <f>U2740*V2740</f>
        <v/>
      </c>
      <c r="X2740" s="25">
        <f>T2740/N2740</f>
        <v/>
      </c>
      <c r="Y2740" s="28">
        <f>IF(W2740=MAXIFS(W$2:W$3601, A$2:A$3601, A2740, B$2:B$3601, B2740), "OPTIMAL", "")</f>
        <v/>
      </c>
    </row>
    <row r="2741" ht="20" customHeight="1">
      <c r="A2741" s="29" t="n">
        <v>-18</v>
      </c>
      <c r="B2741" s="29" t="n">
        <v>35</v>
      </c>
      <c r="C2741" s="30" t="n">
        <v>105</v>
      </c>
      <c r="D2741" s="30" t="n">
        <v>2</v>
      </c>
      <c r="E2741" s="6" t="n">
        <v>8</v>
      </c>
      <c r="F2741" s="30" t="n">
        <v>2</v>
      </c>
      <c r="G2741" s="6" t="inlineStr">
        <is>
          <t>Non</t>
        </is>
      </c>
      <c r="H2741" s="6" t="inlineStr">
        <is>
          <t>OFF</t>
        </is>
      </c>
      <c r="I2741" s="31" t="n">
        <v>744.7528686370244</v>
      </c>
      <c r="J2741" s="31" t="n">
        <v>6550.668683077564</v>
      </c>
      <c r="K2741" s="31" t="n">
        <v>4222.222222222223</v>
      </c>
      <c r="L2741" s="31" t="n">
        <v>150</v>
      </c>
      <c r="M2741" s="31">
        <f>I2741+J2741+K2741+L2741</f>
        <v/>
      </c>
      <c r="N2741" s="31">
        <f>M2741*'Dashboard &amp; Optimisation'!$B$18/('Dashboard &amp; Optimisation'!$B$16/3.6)</f>
        <v/>
      </c>
      <c r="O2741" s="31" t="n">
        <v>1234.673012957013</v>
      </c>
      <c r="P2741" s="32" t="n">
        <v>0.2307600532565806</v>
      </c>
      <c r="Q2741" s="33" t="n">
        <v>16.72337164430963</v>
      </c>
      <c r="R2741" s="31" t="n">
        <v>1292.18441454608</v>
      </c>
      <c r="S2741" s="31">
        <f>R2741*IF(A2741=4, 2.0, 3.0)</f>
        <v/>
      </c>
      <c r="T2741" s="30">
        <f>'Dashboard &amp; Optimisation'!$B$18*U2741</f>
        <v/>
      </c>
      <c r="U2741" s="34">
        <f>MIN(1, S2741/M2741)</f>
        <v/>
      </c>
      <c r="V2741" s="34">
        <f>N2741/(N2741+O2741)</f>
        <v/>
      </c>
      <c r="W2741" s="34">
        <f>U2741*V2741</f>
        <v/>
      </c>
      <c r="X2741" s="32">
        <f>T2741/N2741</f>
        <v/>
      </c>
      <c r="Y2741" s="35">
        <f>IF(W2741=MAXIFS(W$2:W$3601, A$2:A$3601, A2741, B$2:B$3601, B2741), "OPTIMAL", "")</f>
        <v/>
      </c>
    </row>
    <row r="2742" ht="20" customHeight="1">
      <c r="A2742" s="21" t="n">
        <v>-18</v>
      </c>
      <c r="B2742" s="21" t="n">
        <v>35</v>
      </c>
      <c r="C2742" s="22" t="n">
        <v>105</v>
      </c>
      <c r="D2742" s="22" t="n">
        <v>3</v>
      </c>
      <c r="E2742" s="23" t="n">
        <v>0</v>
      </c>
      <c r="F2742" s="22" t="n">
        <v>0</v>
      </c>
      <c r="G2742" s="23" t="inlineStr">
        <is>
          <t>Oui</t>
        </is>
      </c>
      <c r="H2742" s="23" t="inlineStr">
        <is>
          <t>ON</t>
        </is>
      </c>
      <c r="I2742" s="24" t="n">
        <v>744.7528686370244</v>
      </c>
      <c r="J2742" s="24" t="n">
        <v>6550.668683077564</v>
      </c>
      <c r="K2742" s="24" t="n">
        <v>4222.222222222223</v>
      </c>
      <c r="L2742" s="24" t="n">
        <v>150</v>
      </c>
      <c r="M2742" s="24">
        <f>I2742+J2742+K2742+L2742</f>
        <v/>
      </c>
      <c r="N2742" s="24">
        <f>M2742*'Dashboard &amp; Optimisation'!$B$18/('Dashboard &amp; Optimisation'!$B$16/3.6)</f>
        <v/>
      </c>
      <c r="O2742" s="24" t="n">
        <v>740.5578858168155</v>
      </c>
      <c r="P2742" s="25" t="n">
        <v>0.4767526303329919</v>
      </c>
      <c r="Q2742" s="26" t="n">
        <v>0.2</v>
      </c>
      <c r="R2742" s="24" t="n">
        <v>598.4541042212585</v>
      </c>
      <c r="S2742" s="24">
        <f>R2742*IF(A2742=4, 2.0, 3.0)</f>
        <v/>
      </c>
      <c r="T2742" s="22">
        <f>'Dashboard &amp; Optimisation'!$B$18*U2742</f>
        <v/>
      </c>
      <c r="U2742" s="27">
        <f>MIN(1, S2742/M2742)</f>
        <v/>
      </c>
      <c r="V2742" s="27">
        <f>N2742/(N2742+O2742)</f>
        <v/>
      </c>
      <c r="W2742" s="27">
        <f>U2742*V2742</f>
        <v/>
      </c>
      <c r="X2742" s="25">
        <f>T2742/N2742</f>
        <v/>
      </c>
      <c r="Y2742" s="28">
        <f>IF(W2742=MAXIFS(W$2:W$3601, A$2:A$3601, A2742, B$2:B$3601, B2742), "OPTIMAL", "")</f>
        <v/>
      </c>
    </row>
    <row r="2743" ht="20" customHeight="1">
      <c r="A2743" s="29" t="n">
        <v>-18</v>
      </c>
      <c r="B2743" s="29" t="n">
        <v>35</v>
      </c>
      <c r="C2743" s="30" t="n">
        <v>105</v>
      </c>
      <c r="D2743" s="30" t="n">
        <v>3</v>
      </c>
      <c r="E2743" s="6" t="n">
        <v>0</v>
      </c>
      <c r="F2743" s="30" t="n">
        <v>0</v>
      </c>
      <c r="G2743" s="6" t="inlineStr">
        <is>
          <t>Oui</t>
        </is>
      </c>
      <c r="H2743" s="6" t="inlineStr">
        <is>
          <t>OFF</t>
        </is>
      </c>
      <c r="I2743" s="31" t="n">
        <v>744.7528686370244</v>
      </c>
      <c r="J2743" s="31" t="n">
        <v>6550.668683077564</v>
      </c>
      <c r="K2743" s="31" t="n">
        <v>4222.222222222223</v>
      </c>
      <c r="L2743" s="31" t="n">
        <v>150</v>
      </c>
      <c r="M2743" s="31">
        <f>I2743+J2743+K2743+L2743</f>
        <v/>
      </c>
      <c r="N2743" s="31">
        <f>M2743*'Dashboard &amp; Optimisation'!$B$18/('Dashboard &amp; Optimisation'!$B$16/3.6)</f>
        <v/>
      </c>
      <c r="O2743" s="31" t="n">
        <v>740.5578858168155</v>
      </c>
      <c r="P2743" s="32" t="n">
        <v>0.7799049028889831</v>
      </c>
      <c r="Q2743" s="33" t="n">
        <v>0.2</v>
      </c>
      <c r="R2743" s="31" t="n">
        <v>365.832510174222</v>
      </c>
      <c r="S2743" s="31">
        <f>R2743*IF(A2743=4, 2.0, 3.0)</f>
        <v/>
      </c>
      <c r="T2743" s="30">
        <f>'Dashboard &amp; Optimisation'!$B$18*U2743</f>
        <v/>
      </c>
      <c r="U2743" s="34">
        <f>MIN(1, S2743/M2743)</f>
        <v/>
      </c>
      <c r="V2743" s="34">
        <f>N2743/(N2743+O2743)</f>
        <v/>
      </c>
      <c r="W2743" s="34">
        <f>U2743*V2743</f>
        <v/>
      </c>
      <c r="X2743" s="32">
        <f>T2743/N2743</f>
        <v/>
      </c>
      <c r="Y2743" s="35">
        <f>IF(W2743=MAXIFS(W$2:W$3601, A$2:A$3601, A2743, B$2:B$3601, B2743), "OPTIMAL", "")</f>
        <v/>
      </c>
    </row>
    <row r="2744" ht="20" customHeight="1">
      <c r="A2744" s="21" t="n">
        <v>-18</v>
      </c>
      <c r="B2744" s="21" t="n">
        <v>35</v>
      </c>
      <c r="C2744" s="22" t="n">
        <v>105</v>
      </c>
      <c r="D2744" s="22" t="n">
        <v>3</v>
      </c>
      <c r="E2744" s="23" t="n">
        <v>0</v>
      </c>
      <c r="F2744" s="22" t="n">
        <v>0</v>
      </c>
      <c r="G2744" s="23" t="inlineStr">
        <is>
          <t>Non</t>
        </is>
      </c>
      <c r="H2744" s="23" t="inlineStr">
        <is>
          <t>ON</t>
        </is>
      </c>
      <c r="I2744" s="24" t="n">
        <v>744.7528686370244</v>
      </c>
      <c r="J2744" s="24" t="n">
        <v>6550.668683077564</v>
      </c>
      <c r="K2744" s="24" t="n">
        <v>4222.222222222223</v>
      </c>
      <c r="L2744" s="24" t="n">
        <v>150</v>
      </c>
      <c r="M2744" s="24">
        <f>I2744+J2744+K2744+L2744</f>
        <v/>
      </c>
      <c r="N2744" s="24">
        <f>M2744*'Dashboard &amp; Optimisation'!$B$18/('Dashboard &amp; Optimisation'!$B$16/3.6)</f>
        <v/>
      </c>
      <c r="O2744" s="24" t="n">
        <v>740.5578858168155</v>
      </c>
      <c r="P2744" s="25" t="n">
        <v>0.473721107607432</v>
      </c>
      <c r="Q2744" s="26" t="n">
        <v>0.2</v>
      </c>
      <c r="R2744" s="24" t="n">
        <v>602.2838411445598</v>
      </c>
      <c r="S2744" s="24">
        <f>R2744*IF(A2744=4, 2.0, 3.0)</f>
        <v/>
      </c>
      <c r="T2744" s="22">
        <f>'Dashboard &amp; Optimisation'!$B$18*U2744</f>
        <v/>
      </c>
      <c r="U2744" s="27">
        <f>MIN(1, S2744/M2744)</f>
        <v/>
      </c>
      <c r="V2744" s="27">
        <f>N2744/(N2744+O2744)</f>
        <v/>
      </c>
      <c r="W2744" s="27">
        <f>U2744*V2744</f>
        <v/>
      </c>
      <c r="X2744" s="25">
        <f>T2744/N2744</f>
        <v/>
      </c>
      <c r="Y2744" s="28">
        <f>IF(W2744=MAXIFS(W$2:W$3601, A$2:A$3601, A2744, B$2:B$3601, B2744), "OPTIMAL", "")</f>
        <v/>
      </c>
    </row>
    <row r="2745" ht="20" customHeight="1">
      <c r="A2745" s="29" t="n">
        <v>-18</v>
      </c>
      <c r="B2745" s="29" t="n">
        <v>35</v>
      </c>
      <c r="C2745" s="30" t="n">
        <v>105</v>
      </c>
      <c r="D2745" s="30" t="n">
        <v>3</v>
      </c>
      <c r="E2745" s="6" t="n">
        <v>0</v>
      </c>
      <c r="F2745" s="30" t="n">
        <v>0</v>
      </c>
      <c r="G2745" s="6" t="inlineStr">
        <is>
          <t>Non</t>
        </is>
      </c>
      <c r="H2745" s="6" t="inlineStr">
        <is>
          <t>OFF</t>
        </is>
      </c>
      <c r="I2745" s="31" t="n">
        <v>744.7528686370244</v>
      </c>
      <c r="J2745" s="31" t="n">
        <v>6550.668683077564</v>
      </c>
      <c r="K2745" s="31" t="n">
        <v>4222.222222222223</v>
      </c>
      <c r="L2745" s="31" t="n">
        <v>150</v>
      </c>
      <c r="M2745" s="31">
        <f>I2745+J2745+K2745+L2745</f>
        <v/>
      </c>
      <c r="N2745" s="31">
        <f>M2745*'Dashboard &amp; Optimisation'!$B$18/('Dashboard &amp; Optimisation'!$B$16/3.6)</f>
        <v/>
      </c>
      <c r="O2745" s="31" t="n">
        <v>740.5578858168155</v>
      </c>
      <c r="P2745" s="32" t="n">
        <v>0.7768733801634231</v>
      </c>
      <c r="Q2745" s="33" t="n">
        <v>0.2</v>
      </c>
      <c r="R2745" s="31" t="n">
        <v>367.2600652902287</v>
      </c>
      <c r="S2745" s="31">
        <f>R2745*IF(A2745=4, 2.0, 3.0)</f>
        <v/>
      </c>
      <c r="T2745" s="30">
        <f>'Dashboard &amp; Optimisation'!$B$18*U2745</f>
        <v/>
      </c>
      <c r="U2745" s="34">
        <f>MIN(1, S2745/M2745)</f>
        <v/>
      </c>
      <c r="V2745" s="34">
        <f>N2745/(N2745+O2745)</f>
        <v/>
      </c>
      <c r="W2745" s="34">
        <f>U2745*V2745</f>
        <v/>
      </c>
      <c r="X2745" s="32">
        <f>T2745/N2745</f>
        <v/>
      </c>
      <c r="Y2745" s="35">
        <f>IF(W2745=MAXIFS(W$2:W$3601, A$2:A$3601, A2745, B$2:B$3601, B2745), "OPTIMAL", "")</f>
        <v/>
      </c>
    </row>
    <row r="2746" ht="20" customHeight="1">
      <c r="A2746" s="21" t="n">
        <v>-18</v>
      </c>
      <c r="B2746" s="21" t="n">
        <v>35</v>
      </c>
      <c r="C2746" s="22" t="n">
        <v>105</v>
      </c>
      <c r="D2746" s="22" t="n">
        <v>3</v>
      </c>
      <c r="E2746" s="23" t="n">
        <v>4</v>
      </c>
      <c r="F2746" s="22" t="n">
        <v>1.5</v>
      </c>
      <c r="G2746" s="23" t="inlineStr">
        <is>
          <t>Oui</t>
        </is>
      </c>
      <c r="H2746" s="23" t="inlineStr">
        <is>
          <t>ON</t>
        </is>
      </c>
      <c r="I2746" s="24" t="n">
        <v>744.7528686370244</v>
      </c>
      <c r="J2746" s="24" t="n">
        <v>6550.668683077564</v>
      </c>
      <c r="K2746" s="24" t="n">
        <v>4222.222222222223</v>
      </c>
      <c r="L2746" s="24" t="n">
        <v>150</v>
      </c>
      <c r="M2746" s="24">
        <f>I2746+J2746+K2746+L2746</f>
        <v/>
      </c>
      <c r="N2746" s="24">
        <f>M2746*'Dashboard &amp; Optimisation'!$B$18/('Dashboard &amp; Optimisation'!$B$16/3.6)</f>
        <v/>
      </c>
      <c r="O2746" s="24" t="n">
        <v>1024.548464028117</v>
      </c>
      <c r="P2746" s="25" t="n">
        <v>0.07189461044958809</v>
      </c>
      <c r="Q2746" s="26" t="n">
        <v>6.521441424527548</v>
      </c>
      <c r="R2746" s="24" t="n">
        <v>4094.90629092656</v>
      </c>
      <c r="S2746" s="24">
        <f>R2746*IF(A2746=4, 2.0, 3.0)</f>
        <v/>
      </c>
      <c r="T2746" s="22">
        <f>'Dashboard &amp; Optimisation'!$B$18*U2746</f>
        <v/>
      </c>
      <c r="U2746" s="27">
        <f>MIN(1, S2746/M2746)</f>
        <v/>
      </c>
      <c r="V2746" s="27">
        <f>N2746/(N2746+O2746)</f>
        <v/>
      </c>
      <c r="W2746" s="27">
        <f>U2746*V2746</f>
        <v/>
      </c>
      <c r="X2746" s="25">
        <f>T2746/N2746</f>
        <v/>
      </c>
      <c r="Y2746" s="28">
        <f>IF(W2746=MAXIFS(W$2:W$3601, A$2:A$3601, A2746, B$2:B$3601, B2746), "OPTIMAL", "")</f>
        <v/>
      </c>
    </row>
    <row r="2747" ht="20" customHeight="1">
      <c r="A2747" s="29" t="n">
        <v>-18</v>
      </c>
      <c r="B2747" s="29" t="n">
        <v>35</v>
      </c>
      <c r="C2747" s="30" t="n">
        <v>105</v>
      </c>
      <c r="D2747" s="30" t="n">
        <v>3</v>
      </c>
      <c r="E2747" s="6" t="n">
        <v>4</v>
      </c>
      <c r="F2747" s="30" t="n">
        <v>1.5</v>
      </c>
      <c r="G2747" s="6" t="inlineStr">
        <is>
          <t>Oui</t>
        </is>
      </c>
      <c r="H2747" s="6" t="inlineStr">
        <is>
          <t>OFF</t>
        </is>
      </c>
      <c r="I2747" s="31" t="n">
        <v>744.7528686370244</v>
      </c>
      <c r="J2747" s="31" t="n">
        <v>6550.668683077564</v>
      </c>
      <c r="K2747" s="31" t="n">
        <v>4222.222222222223</v>
      </c>
      <c r="L2747" s="31" t="n">
        <v>150</v>
      </c>
      <c r="M2747" s="31">
        <f>I2747+J2747+K2747+L2747</f>
        <v/>
      </c>
      <c r="N2747" s="31">
        <f>M2747*'Dashboard &amp; Optimisation'!$B$18/('Dashboard &amp; Optimisation'!$B$16/3.6)</f>
        <v/>
      </c>
      <c r="O2747" s="31" t="n">
        <v>1024.548464028117</v>
      </c>
      <c r="P2747" s="32" t="n">
        <v>0.297191423626796</v>
      </c>
      <c r="Q2747" s="33" t="n">
        <v>6.521441424527548</v>
      </c>
      <c r="R2747" s="31" t="n">
        <v>990.6130164221476</v>
      </c>
      <c r="S2747" s="31">
        <f>R2747*IF(A2747=4, 2.0, 3.0)</f>
        <v/>
      </c>
      <c r="T2747" s="30">
        <f>'Dashboard &amp; Optimisation'!$B$18*U2747</f>
        <v/>
      </c>
      <c r="U2747" s="34">
        <f>MIN(1, S2747/M2747)</f>
        <v/>
      </c>
      <c r="V2747" s="34">
        <f>N2747/(N2747+O2747)</f>
        <v/>
      </c>
      <c r="W2747" s="34">
        <f>U2747*V2747</f>
        <v/>
      </c>
      <c r="X2747" s="32">
        <f>T2747/N2747</f>
        <v/>
      </c>
      <c r="Y2747" s="35">
        <f>IF(W2747=MAXIFS(W$2:W$3601, A$2:A$3601, A2747, B$2:B$3601, B2747), "OPTIMAL", "")</f>
        <v/>
      </c>
    </row>
    <row r="2748" ht="20" customHeight="1">
      <c r="A2748" s="21" t="n">
        <v>-18</v>
      </c>
      <c r="B2748" s="21" t="n">
        <v>35</v>
      </c>
      <c r="C2748" s="22" t="n">
        <v>105</v>
      </c>
      <c r="D2748" s="22" t="n">
        <v>3</v>
      </c>
      <c r="E2748" s="23" t="n">
        <v>4</v>
      </c>
      <c r="F2748" s="22" t="n">
        <v>1.5</v>
      </c>
      <c r="G2748" s="23" t="inlineStr">
        <is>
          <t>Non</t>
        </is>
      </c>
      <c r="H2748" s="23" t="inlineStr">
        <is>
          <t>ON</t>
        </is>
      </c>
      <c r="I2748" s="24" t="n">
        <v>744.7528686370244</v>
      </c>
      <c r="J2748" s="24" t="n">
        <v>6550.668683077564</v>
      </c>
      <c r="K2748" s="24" t="n">
        <v>4222.222222222223</v>
      </c>
      <c r="L2748" s="24" t="n">
        <v>150</v>
      </c>
      <c r="M2748" s="24">
        <f>I2748+J2748+K2748+L2748</f>
        <v/>
      </c>
      <c r="N2748" s="24">
        <f>M2748*'Dashboard &amp; Optimisation'!$B$18/('Dashboard &amp; Optimisation'!$B$16/3.6)</f>
        <v/>
      </c>
      <c r="O2748" s="24" t="n">
        <v>1024.548464028117</v>
      </c>
      <c r="P2748" s="25" t="n">
        <v>0.06886308772402817</v>
      </c>
      <c r="Q2748" s="26" t="n">
        <v>6.521441424527548</v>
      </c>
      <c r="R2748" s="24" t="n">
        <v>4275.174151260256</v>
      </c>
      <c r="S2748" s="24">
        <f>R2748*IF(A2748=4, 2.0, 3.0)</f>
        <v/>
      </c>
      <c r="T2748" s="22">
        <f>'Dashboard &amp; Optimisation'!$B$18*U2748</f>
        <v/>
      </c>
      <c r="U2748" s="27">
        <f>MIN(1, S2748/M2748)</f>
        <v/>
      </c>
      <c r="V2748" s="27">
        <f>N2748/(N2748+O2748)</f>
        <v/>
      </c>
      <c r="W2748" s="27">
        <f>U2748*V2748</f>
        <v/>
      </c>
      <c r="X2748" s="25">
        <f>T2748/N2748</f>
        <v/>
      </c>
      <c r="Y2748" s="28">
        <f>IF(W2748=MAXIFS(W$2:W$3601, A$2:A$3601, A2748, B$2:B$3601, B2748), "OPTIMAL", "")</f>
        <v/>
      </c>
    </row>
    <row r="2749" ht="20" customHeight="1">
      <c r="A2749" s="29" t="n">
        <v>-18</v>
      </c>
      <c r="B2749" s="29" t="n">
        <v>35</v>
      </c>
      <c r="C2749" s="30" t="n">
        <v>105</v>
      </c>
      <c r="D2749" s="30" t="n">
        <v>3</v>
      </c>
      <c r="E2749" s="6" t="n">
        <v>4</v>
      </c>
      <c r="F2749" s="30" t="n">
        <v>1.5</v>
      </c>
      <c r="G2749" s="6" t="inlineStr">
        <is>
          <t>Non</t>
        </is>
      </c>
      <c r="H2749" s="6" t="inlineStr">
        <is>
          <t>OFF</t>
        </is>
      </c>
      <c r="I2749" s="31" t="n">
        <v>744.7528686370244</v>
      </c>
      <c r="J2749" s="31" t="n">
        <v>6550.668683077564</v>
      </c>
      <c r="K2749" s="31" t="n">
        <v>4222.222222222223</v>
      </c>
      <c r="L2749" s="31" t="n">
        <v>150</v>
      </c>
      <c r="M2749" s="31">
        <f>I2749+J2749+K2749+L2749</f>
        <v/>
      </c>
      <c r="N2749" s="31">
        <f>M2749*'Dashboard &amp; Optimisation'!$B$18/('Dashboard &amp; Optimisation'!$B$16/3.6)</f>
        <v/>
      </c>
      <c r="O2749" s="31" t="n">
        <v>1024.548464028117</v>
      </c>
      <c r="P2749" s="32" t="n">
        <v>0.2941599009012361</v>
      </c>
      <c r="Q2749" s="33" t="n">
        <v>6.521441424527548</v>
      </c>
      <c r="R2749" s="31" t="n">
        <v>1000.821973735223</v>
      </c>
      <c r="S2749" s="31">
        <f>R2749*IF(A2749=4, 2.0, 3.0)</f>
        <v/>
      </c>
      <c r="T2749" s="30">
        <f>'Dashboard &amp; Optimisation'!$B$18*U2749</f>
        <v/>
      </c>
      <c r="U2749" s="34">
        <f>MIN(1, S2749/M2749)</f>
        <v/>
      </c>
      <c r="V2749" s="34">
        <f>N2749/(N2749+O2749)</f>
        <v/>
      </c>
      <c r="W2749" s="34">
        <f>U2749*V2749</f>
        <v/>
      </c>
      <c r="X2749" s="32">
        <f>T2749/N2749</f>
        <v/>
      </c>
      <c r="Y2749" s="35">
        <f>IF(W2749=MAXIFS(W$2:W$3601, A$2:A$3601, A2749, B$2:B$3601, B2749), "OPTIMAL", "")</f>
        <v/>
      </c>
    </row>
    <row r="2750" ht="20" customHeight="1">
      <c r="A2750" s="21" t="n">
        <v>-18</v>
      </c>
      <c r="B2750" s="21" t="n">
        <v>35</v>
      </c>
      <c r="C2750" s="22" t="n">
        <v>105</v>
      </c>
      <c r="D2750" s="22" t="n">
        <v>3</v>
      </c>
      <c r="E2750" s="23" t="n">
        <v>4</v>
      </c>
      <c r="F2750" s="22" t="n">
        <v>2</v>
      </c>
      <c r="G2750" s="23" t="inlineStr">
        <is>
          <t>Oui</t>
        </is>
      </c>
      <c r="H2750" s="23" t="inlineStr">
        <is>
          <t>ON</t>
        </is>
      </c>
      <c r="I2750" s="24" t="n">
        <v>744.7528686370244</v>
      </c>
      <c r="J2750" s="24" t="n">
        <v>6550.668683077564</v>
      </c>
      <c r="K2750" s="24" t="n">
        <v>4222.222222222223</v>
      </c>
      <c r="L2750" s="24" t="n">
        <v>150</v>
      </c>
      <c r="M2750" s="24">
        <f>I2750+J2750+K2750+L2750</f>
        <v/>
      </c>
      <c r="N2750" s="24">
        <f>M2750*'Dashboard &amp; Optimisation'!$B$18/('Dashboard &amp; Optimisation'!$B$16/3.6)</f>
        <v/>
      </c>
      <c r="O2750" s="24" t="n">
        <v>1123.275106555431</v>
      </c>
      <c r="P2750" s="25" t="n">
        <v>0.06909966512774487</v>
      </c>
      <c r="Q2750" s="26" t="n">
        <v>8.628588566036731</v>
      </c>
      <c r="R2750" s="24" t="n">
        <v>4306.254523893716</v>
      </c>
      <c r="S2750" s="24">
        <f>R2750*IF(A2750=4, 2.0, 3.0)</f>
        <v/>
      </c>
      <c r="T2750" s="22">
        <f>'Dashboard &amp; Optimisation'!$B$18*U2750</f>
        <v/>
      </c>
      <c r="U2750" s="27">
        <f>MIN(1, S2750/M2750)</f>
        <v/>
      </c>
      <c r="V2750" s="27">
        <f>N2750/(N2750+O2750)</f>
        <v/>
      </c>
      <c r="W2750" s="27">
        <f>U2750*V2750</f>
        <v/>
      </c>
      <c r="X2750" s="25">
        <f>T2750/N2750</f>
        <v/>
      </c>
      <c r="Y2750" s="28">
        <f>IF(W2750=MAXIFS(W$2:W$3601, A$2:A$3601, A2750, B$2:B$3601, B2750), "OPTIMAL", "")</f>
        <v/>
      </c>
    </row>
    <row r="2751" ht="20" customHeight="1">
      <c r="A2751" s="29" t="n">
        <v>-18</v>
      </c>
      <c r="B2751" s="29" t="n">
        <v>35</v>
      </c>
      <c r="C2751" s="30" t="n">
        <v>105</v>
      </c>
      <c r="D2751" s="30" t="n">
        <v>3</v>
      </c>
      <c r="E2751" s="6" t="n">
        <v>4</v>
      </c>
      <c r="F2751" s="30" t="n">
        <v>2</v>
      </c>
      <c r="G2751" s="6" t="inlineStr">
        <is>
          <t>Oui</t>
        </is>
      </c>
      <c r="H2751" s="6" t="inlineStr">
        <is>
          <t>OFF</t>
        </is>
      </c>
      <c r="I2751" s="31" t="n">
        <v>744.7528686370244</v>
      </c>
      <c r="J2751" s="31" t="n">
        <v>6550.668683077564</v>
      </c>
      <c r="K2751" s="31" t="n">
        <v>4222.222222222223</v>
      </c>
      <c r="L2751" s="31" t="n">
        <v>150</v>
      </c>
      <c r="M2751" s="31">
        <f>I2751+J2751+K2751+L2751</f>
        <v/>
      </c>
      <c r="N2751" s="31">
        <f>M2751*'Dashboard &amp; Optimisation'!$B$18/('Dashboard &amp; Optimisation'!$B$16/3.6)</f>
        <v/>
      </c>
      <c r="O2751" s="31" t="n">
        <v>1123.275106555431</v>
      </c>
      <c r="P2751" s="32" t="n">
        <v>0.2954143944438517</v>
      </c>
      <c r="Q2751" s="33" t="n">
        <v>8.628588566036731</v>
      </c>
      <c r="R2751" s="31" t="n">
        <v>1007.265560353216</v>
      </c>
      <c r="S2751" s="31">
        <f>R2751*IF(A2751=4, 2.0, 3.0)</f>
        <v/>
      </c>
      <c r="T2751" s="30">
        <f>'Dashboard &amp; Optimisation'!$B$18*U2751</f>
        <v/>
      </c>
      <c r="U2751" s="34">
        <f>MIN(1, S2751/M2751)</f>
        <v/>
      </c>
      <c r="V2751" s="34">
        <f>N2751/(N2751+O2751)</f>
        <v/>
      </c>
      <c r="W2751" s="34">
        <f>U2751*V2751</f>
        <v/>
      </c>
      <c r="X2751" s="32">
        <f>T2751/N2751</f>
        <v/>
      </c>
      <c r="Y2751" s="35">
        <f>IF(W2751=MAXIFS(W$2:W$3601, A$2:A$3601, A2751, B$2:B$3601, B2751), "OPTIMAL", "")</f>
        <v/>
      </c>
    </row>
    <row r="2752" ht="20" customHeight="1">
      <c r="A2752" s="21" t="n">
        <v>-18</v>
      </c>
      <c r="B2752" s="21" t="n">
        <v>35</v>
      </c>
      <c r="C2752" s="22" t="n">
        <v>105</v>
      </c>
      <c r="D2752" s="22" t="n">
        <v>3</v>
      </c>
      <c r="E2752" s="23" t="n">
        <v>4</v>
      </c>
      <c r="F2752" s="22" t="n">
        <v>2</v>
      </c>
      <c r="G2752" s="23" t="inlineStr">
        <is>
          <t>Non</t>
        </is>
      </c>
      <c r="H2752" s="23" t="inlineStr">
        <is>
          <t>ON</t>
        </is>
      </c>
      <c r="I2752" s="24" t="n">
        <v>744.7528686370244</v>
      </c>
      <c r="J2752" s="24" t="n">
        <v>6550.668683077564</v>
      </c>
      <c r="K2752" s="24" t="n">
        <v>4222.222222222223</v>
      </c>
      <c r="L2752" s="24" t="n">
        <v>150</v>
      </c>
      <c r="M2752" s="24">
        <f>I2752+J2752+K2752+L2752</f>
        <v/>
      </c>
      <c r="N2752" s="24">
        <f>M2752*'Dashboard &amp; Optimisation'!$B$18/('Dashboard &amp; Optimisation'!$B$16/3.6)</f>
        <v/>
      </c>
      <c r="O2752" s="24" t="n">
        <v>1123.275106555431</v>
      </c>
      <c r="P2752" s="25" t="n">
        <v>0.06606814240218496</v>
      </c>
      <c r="Q2752" s="26" t="n">
        <v>8.628588566036731</v>
      </c>
      <c r="R2752" s="24" t="n">
        <v>4503.846100962141</v>
      </c>
      <c r="S2752" s="24">
        <f>R2752*IF(A2752=4, 2.0, 3.0)</f>
        <v/>
      </c>
      <c r="T2752" s="22">
        <f>'Dashboard &amp; Optimisation'!$B$18*U2752</f>
        <v/>
      </c>
      <c r="U2752" s="27">
        <f>MIN(1, S2752/M2752)</f>
        <v/>
      </c>
      <c r="V2752" s="27">
        <f>N2752/(N2752+O2752)</f>
        <v/>
      </c>
      <c r="W2752" s="27">
        <f>U2752*V2752</f>
        <v/>
      </c>
      <c r="X2752" s="25">
        <f>T2752/N2752</f>
        <v/>
      </c>
      <c r="Y2752" s="28">
        <f>IF(W2752=MAXIFS(W$2:W$3601, A$2:A$3601, A2752, B$2:B$3601, B2752), "OPTIMAL", "")</f>
        <v/>
      </c>
    </row>
    <row r="2753" ht="20" customHeight="1">
      <c r="A2753" s="29" t="n">
        <v>-18</v>
      </c>
      <c r="B2753" s="29" t="n">
        <v>35</v>
      </c>
      <c r="C2753" s="30" t="n">
        <v>105</v>
      </c>
      <c r="D2753" s="30" t="n">
        <v>3</v>
      </c>
      <c r="E2753" s="6" t="n">
        <v>4</v>
      </c>
      <c r="F2753" s="30" t="n">
        <v>2</v>
      </c>
      <c r="G2753" s="6" t="inlineStr">
        <is>
          <t>Non</t>
        </is>
      </c>
      <c r="H2753" s="6" t="inlineStr">
        <is>
          <t>OFF</t>
        </is>
      </c>
      <c r="I2753" s="31" t="n">
        <v>744.7528686370244</v>
      </c>
      <c r="J2753" s="31" t="n">
        <v>6550.668683077564</v>
      </c>
      <c r="K2753" s="31" t="n">
        <v>4222.222222222223</v>
      </c>
      <c r="L2753" s="31" t="n">
        <v>150</v>
      </c>
      <c r="M2753" s="31">
        <f>I2753+J2753+K2753+L2753</f>
        <v/>
      </c>
      <c r="N2753" s="31">
        <f>M2753*'Dashboard &amp; Optimisation'!$B$18/('Dashboard &amp; Optimisation'!$B$16/3.6)</f>
        <v/>
      </c>
      <c r="O2753" s="31" t="n">
        <v>1123.275106555431</v>
      </c>
      <c r="P2753" s="32" t="n">
        <v>0.2923828717182918</v>
      </c>
      <c r="Q2753" s="33" t="n">
        <v>8.628588566036731</v>
      </c>
      <c r="R2753" s="31" t="n">
        <v>1017.709224234549</v>
      </c>
      <c r="S2753" s="31">
        <f>R2753*IF(A2753=4, 2.0, 3.0)</f>
        <v/>
      </c>
      <c r="T2753" s="30">
        <f>'Dashboard &amp; Optimisation'!$B$18*U2753</f>
        <v/>
      </c>
      <c r="U2753" s="34">
        <f>MIN(1, S2753/M2753)</f>
        <v/>
      </c>
      <c r="V2753" s="34">
        <f>N2753/(N2753+O2753)</f>
        <v/>
      </c>
      <c r="W2753" s="34">
        <f>U2753*V2753</f>
        <v/>
      </c>
      <c r="X2753" s="32">
        <f>T2753/N2753</f>
        <v/>
      </c>
      <c r="Y2753" s="35">
        <f>IF(W2753=MAXIFS(W$2:W$3601, A$2:A$3601, A2753, B$2:B$3601, B2753), "OPTIMAL", "")</f>
        <v/>
      </c>
    </row>
    <row r="2754" ht="20" customHeight="1">
      <c r="A2754" s="21" t="n">
        <v>-18</v>
      </c>
      <c r="B2754" s="21" t="n">
        <v>35</v>
      </c>
      <c r="C2754" s="22" t="n">
        <v>105</v>
      </c>
      <c r="D2754" s="22" t="n">
        <v>3</v>
      </c>
      <c r="E2754" s="23" t="n">
        <v>8</v>
      </c>
      <c r="F2754" s="22" t="n">
        <v>1.5</v>
      </c>
      <c r="G2754" s="23" t="inlineStr">
        <is>
          <t>Oui</t>
        </is>
      </c>
      <c r="H2754" s="23" t="inlineStr">
        <is>
          <t>ON</t>
        </is>
      </c>
      <c r="I2754" s="24" t="n">
        <v>744.7528686370244</v>
      </c>
      <c r="J2754" s="24" t="n">
        <v>6550.668683077564</v>
      </c>
      <c r="K2754" s="24" t="n">
        <v>4222.222222222223</v>
      </c>
      <c r="L2754" s="24" t="n">
        <v>150</v>
      </c>
      <c r="M2754" s="24">
        <f>I2754+J2754+K2754+L2754</f>
        <v/>
      </c>
      <c r="N2754" s="24">
        <f>M2754*'Dashboard &amp; Optimisation'!$B$18/('Dashboard &amp; Optimisation'!$B$16/3.6)</f>
        <v/>
      </c>
      <c r="O2754" s="24" t="n">
        <v>1327.224062413512</v>
      </c>
      <c r="P2754" s="25" t="n">
        <v>0.05445758169649494</v>
      </c>
      <c r="Q2754" s="26" t="n">
        <v>12.84288284905509</v>
      </c>
      <c r="R2754" s="24" t="n">
        <v>5583.918534371478</v>
      </c>
      <c r="S2754" s="24">
        <f>R2754*IF(A2754=4, 2.0, 3.0)</f>
        <v/>
      </c>
      <c r="T2754" s="22">
        <f>'Dashboard &amp; Optimisation'!$B$18*U2754</f>
        <v/>
      </c>
      <c r="U2754" s="27">
        <f>MIN(1, S2754/M2754)</f>
        <v/>
      </c>
      <c r="V2754" s="27">
        <f>N2754/(N2754+O2754)</f>
        <v/>
      </c>
      <c r="W2754" s="27">
        <f>U2754*V2754</f>
        <v/>
      </c>
      <c r="X2754" s="25">
        <f>T2754/N2754</f>
        <v/>
      </c>
      <c r="Y2754" s="28">
        <f>IF(W2754=MAXIFS(W$2:W$3601, A$2:A$3601, A2754, B$2:B$3601, B2754), "OPTIMAL", "")</f>
        <v/>
      </c>
    </row>
    <row r="2755" ht="20" customHeight="1">
      <c r="A2755" s="29" t="n">
        <v>-18</v>
      </c>
      <c r="B2755" s="29" t="n">
        <v>35</v>
      </c>
      <c r="C2755" s="30" t="n">
        <v>105</v>
      </c>
      <c r="D2755" s="30" t="n">
        <v>3</v>
      </c>
      <c r="E2755" s="6" t="n">
        <v>8</v>
      </c>
      <c r="F2755" s="30" t="n">
        <v>1.5</v>
      </c>
      <c r="G2755" s="6" t="inlineStr">
        <is>
          <t>Oui</t>
        </is>
      </c>
      <c r="H2755" s="6" t="inlineStr">
        <is>
          <t>OFF</t>
        </is>
      </c>
      <c r="I2755" s="31" t="n">
        <v>744.7528686370244</v>
      </c>
      <c r="J2755" s="31" t="n">
        <v>6550.668683077564</v>
      </c>
      <c r="K2755" s="31" t="n">
        <v>4222.222222222223</v>
      </c>
      <c r="L2755" s="31" t="n">
        <v>150</v>
      </c>
      <c r="M2755" s="31">
        <f>I2755+J2755+K2755+L2755</f>
        <v/>
      </c>
      <c r="N2755" s="31">
        <f>M2755*'Dashboard &amp; Optimisation'!$B$18/('Dashboard &amp; Optimisation'!$B$16/3.6)</f>
        <v/>
      </c>
      <c r="O2755" s="31" t="n">
        <v>1327.224062413512</v>
      </c>
      <c r="P2755" s="32" t="n">
        <v>0.233716140989121</v>
      </c>
      <c r="Q2755" s="33" t="n">
        <v>12.84288284905509</v>
      </c>
      <c r="R2755" s="31" t="n">
        <v>1301.09413275937</v>
      </c>
      <c r="S2755" s="31">
        <f>R2755*IF(A2755=4, 2.0, 3.0)</f>
        <v/>
      </c>
      <c r="T2755" s="30">
        <f>'Dashboard &amp; Optimisation'!$B$18*U2755</f>
        <v/>
      </c>
      <c r="U2755" s="34">
        <f>MIN(1, S2755/M2755)</f>
        <v/>
      </c>
      <c r="V2755" s="34">
        <f>N2755/(N2755+O2755)</f>
        <v/>
      </c>
      <c r="W2755" s="34">
        <f>U2755*V2755</f>
        <v/>
      </c>
      <c r="X2755" s="32">
        <f>T2755/N2755</f>
        <v/>
      </c>
      <c r="Y2755" s="35">
        <f>IF(W2755=MAXIFS(W$2:W$3601, A$2:A$3601, A2755, B$2:B$3601, B2755), "OPTIMAL", "")</f>
        <v/>
      </c>
    </row>
    <row r="2756" ht="20" customHeight="1">
      <c r="A2756" s="21" t="n">
        <v>-18</v>
      </c>
      <c r="B2756" s="21" t="n">
        <v>35</v>
      </c>
      <c r="C2756" s="22" t="n">
        <v>105</v>
      </c>
      <c r="D2756" s="22" t="n">
        <v>3</v>
      </c>
      <c r="E2756" s="23" t="n">
        <v>8</v>
      </c>
      <c r="F2756" s="22" t="n">
        <v>1.5</v>
      </c>
      <c r="G2756" s="23" t="inlineStr">
        <is>
          <t>Non</t>
        </is>
      </c>
      <c r="H2756" s="23" t="inlineStr">
        <is>
          <t>ON</t>
        </is>
      </c>
      <c r="I2756" s="24" t="n">
        <v>744.7528686370244</v>
      </c>
      <c r="J2756" s="24" t="n">
        <v>6550.668683077564</v>
      </c>
      <c r="K2756" s="24" t="n">
        <v>4222.222222222223</v>
      </c>
      <c r="L2756" s="24" t="n">
        <v>150</v>
      </c>
      <c r="M2756" s="24">
        <f>I2756+J2756+K2756+L2756</f>
        <v/>
      </c>
      <c r="N2756" s="24">
        <f>M2756*'Dashboard &amp; Optimisation'!$B$18/('Dashboard &amp; Optimisation'!$B$16/3.6)</f>
        <v/>
      </c>
      <c r="O2756" s="24" t="n">
        <v>1327.224062413512</v>
      </c>
      <c r="P2756" s="25" t="n">
        <v>0.05142605897093502</v>
      </c>
      <c r="Q2756" s="26" t="n">
        <v>12.84288284905509</v>
      </c>
      <c r="R2756" s="24" t="n">
        <v>5913.085814022239</v>
      </c>
      <c r="S2756" s="24">
        <f>R2756*IF(A2756=4, 2.0, 3.0)</f>
        <v/>
      </c>
      <c r="T2756" s="22">
        <f>'Dashboard &amp; Optimisation'!$B$18*U2756</f>
        <v/>
      </c>
      <c r="U2756" s="27">
        <f>MIN(1, S2756/M2756)</f>
        <v/>
      </c>
      <c r="V2756" s="27">
        <f>N2756/(N2756+O2756)</f>
        <v/>
      </c>
      <c r="W2756" s="27">
        <f>U2756*V2756</f>
        <v/>
      </c>
      <c r="X2756" s="25">
        <f>T2756/N2756</f>
        <v/>
      </c>
      <c r="Y2756" s="28">
        <f>IF(W2756=MAXIFS(W$2:W$3601, A$2:A$3601, A2756, B$2:B$3601, B2756), "OPTIMAL", "")</f>
        <v/>
      </c>
    </row>
    <row r="2757" ht="20" customHeight="1">
      <c r="A2757" s="29" t="n">
        <v>-18</v>
      </c>
      <c r="B2757" s="29" t="n">
        <v>35</v>
      </c>
      <c r="C2757" s="30" t="n">
        <v>105</v>
      </c>
      <c r="D2757" s="30" t="n">
        <v>3</v>
      </c>
      <c r="E2757" s="6" t="n">
        <v>8</v>
      </c>
      <c r="F2757" s="30" t="n">
        <v>1.5</v>
      </c>
      <c r="G2757" s="6" t="inlineStr">
        <is>
          <t>Non</t>
        </is>
      </c>
      <c r="H2757" s="6" t="inlineStr">
        <is>
          <t>OFF</t>
        </is>
      </c>
      <c r="I2757" s="31" t="n">
        <v>744.7528686370244</v>
      </c>
      <c r="J2757" s="31" t="n">
        <v>6550.668683077564</v>
      </c>
      <c r="K2757" s="31" t="n">
        <v>4222.222222222223</v>
      </c>
      <c r="L2757" s="31" t="n">
        <v>150</v>
      </c>
      <c r="M2757" s="31">
        <f>I2757+J2757+K2757+L2757</f>
        <v/>
      </c>
      <c r="N2757" s="31">
        <f>M2757*'Dashboard &amp; Optimisation'!$B$18/('Dashboard &amp; Optimisation'!$B$16/3.6)</f>
        <v/>
      </c>
      <c r="O2757" s="31" t="n">
        <v>1327.224062413512</v>
      </c>
      <c r="P2757" s="32" t="n">
        <v>0.2306846182635611</v>
      </c>
      <c r="Q2757" s="33" t="n">
        <v>12.84288284905509</v>
      </c>
      <c r="R2757" s="31" t="n">
        <v>1318.192353096914</v>
      </c>
      <c r="S2757" s="31">
        <f>R2757*IF(A2757=4, 2.0, 3.0)</f>
        <v/>
      </c>
      <c r="T2757" s="30">
        <f>'Dashboard &amp; Optimisation'!$B$18*U2757</f>
        <v/>
      </c>
      <c r="U2757" s="34">
        <f>MIN(1, S2757/M2757)</f>
        <v/>
      </c>
      <c r="V2757" s="34">
        <f>N2757/(N2757+O2757)</f>
        <v/>
      </c>
      <c r="W2757" s="34">
        <f>U2757*V2757</f>
        <v/>
      </c>
      <c r="X2757" s="32">
        <f>T2757/N2757</f>
        <v/>
      </c>
      <c r="Y2757" s="35">
        <f>IF(W2757=MAXIFS(W$2:W$3601, A$2:A$3601, A2757, B$2:B$3601, B2757), "OPTIMAL", "")</f>
        <v/>
      </c>
    </row>
    <row r="2758" ht="20" customHeight="1">
      <c r="A2758" s="21" t="n">
        <v>-18</v>
      </c>
      <c r="B2758" s="21" t="n">
        <v>35</v>
      </c>
      <c r="C2758" s="22" t="n">
        <v>105</v>
      </c>
      <c r="D2758" s="22" t="n">
        <v>3</v>
      </c>
      <c r="E2758" s="23" t="n">
        <v>8</v>
      </c>
      <c r="F2758" s="22" t="n">
        <v>2</v>
      </c>
      <c r="G2758" s="23" t="inlineStr">
        <is>
          <t>Oui</t>
        </is>
      </c>
      <c r="H2758" s="23" t="inlineStr">
        <is>
          <t>ON</t>
        </is>
      </c>
      <c r="I2758" s="24" t="n">
        <v>744.7528686370244</v>
      </c>
      <c r="J2758" s="24" t="n">
        <v>6550.668683077564</v>
      </c>
      <c r="K2758" s="24" t="n">
        <v>4222.222222222223</v>
      </c>
      <c r="L2758" s="24" t="n">
        <v>150</v>
      </c>
      <c r="M2758" s="24">
        <f>I2758+J2758+K2758+L2758</f>
        <v/>
      </c>
      <c r="N2758" s="24">
        <f>M2758*'Dashboard &amp; Optimisation'!$B$18/('Dashboard &amp; Optimisation'!$B$16/3.6)</f>
        <v/>
      </c>
      <c r="O2758" s="24" t="n">
        <v>1540.319426797171</v>
      </c>
      <c r="P2758" s="25" t="n">
        <v>0.05316276245002891</v>
      </c>
      <c r="Q2758" s="26" t="n">
        <v>17.05717713207346</v>
      </c>
      <c r="R2758" s="24" t="n">
        <v>5848.17842865012</v>
      </c>
      <c r="S2758" s="24">
        <f>R2758*IF(A2758=4, 2.0, 3.0)</f>
        <v/>
      </c>
      <c r="T2758" s="22">
        <f>'Dashboard &amp; Optimisation'!$B$18*U2758</f>
        <v/>
      </c>
      <c r="U2758" s="27">
        <f>MIN(1, S2758/M2758)</f>
        <v/>
      </c>
      <c r="V2758" s="27">
        <f>N2758/(N2758+O2758)</f>
        <v/>
      </c>
      <c r="W2758" s="27">
        <f>U2758*V2758</f>
        <v/>
      </c>
      <c r="X2758" s="25">
        <f>T2758/N2758</f>
        <v/>
      </c>
      <c r="Y2758" s="28">
        <f>IF(W2758=MAXIFS(W$2:W$3601, A$2:A$3601, A2758, B$2:B$3601, B2758), "OPTIMAL", "")</f>
        <v/>
      </c>
    </row>
    <row r="2759" ht="20" customHeight="1">
      <c r="A2759" s="29" t="n">
        <v>-18</v>
      </c>
      <c r="B2759" s="29" t="n">
        <v>35</v>
      </c>
      <c r="C2759" s="30" t="n">
        <v>105</v>
      </c>
      <c r="D2759" s="30" t="n">
        <v>3</v>
      </c>
      <c r="E2759" s="6" t="n">
        <v>8</v>
      </c>
      <c r="F2759" s="30" t="n">
        <v>2</v>
      </c>
      <c r="G2759" s="6" t="inlineStr">
        <is>
          <t>Oui</t>
        </is>
      </c>
      <c r="H2759" s="6" t="inlineStr">
        <is>
          <t>OFF</t>
        </is>
      </c>
      <c r="I2759" s="31" t="n">
        <v>744.7528686370244</v>
      </c>
      <c r="J2759" s="31" t="n">
        <v>6550.668683077564</v>
      </c>
      <c r="K2759" s="31" t="n">
        <v>4222.222222222223</v>
      </c>
      <c r="L2759" s="31" t="n">
        <v>150</v>
      </c>
      <c r="M2759" s="31">
        <f>I2759+J2759+K2759+L2759</f>
        <v/>
      </c>
      <c r="N2759" s="31">
        <f>M2759*'Dashboard &amp; Optimisation'!$B$18/('Dashboard &amp; Optimisation'!$B$16/3.6)</f>
        <v/>
      </c>
      <c r="O2759" s="31" t="n">
        <v>1540.319426797171</v>
      </c>
      <c r="P2759" s="32" t="n">
        <v>0.2337139817442265</v>
      </c>
      <c r="Q2759" s="33" t="n">
        <v>17.05717713207346</v>
      </c>
      <c r="R2759" s="31" t="n">
        <v>1330.281219152564</v>
      </c>
      <c r="S2759" s="31">
        <f>R2759*IF(A2759=4, 2.0, 3.0)</f>
        <v/>
      </c>
      <c r="T2759" s="30">
        <f>'Dashboard &amp; Optimisation'!$B$18*U2759</f>
        <v/>
      </c>
      <c r="U2759" s="34">
        <f>MIN(1, S2759/M2759)</f>
        <v/>
      </c>
      <c r="V2759" s="34">
        <f>N2759/(N2759+O2759)</f>
        <v/>
      </c>
      <c r="W2759" s="34">
        <f>U2759*V2759</f>
        <v/>
      </c>
      <c r="X2759" s="32">
        <f>T2759/N2759</f>
        <v/>
      </c>
      <c r="Y2759" s="35">
        <f>IF(W2759=MAXIFS(W$2:W$3601, A$2:A$3601, A2759, B$2:B$3601, B2759), "OPTIMAL", "")</f>
        <v/>
      </c>
    </row>
    <row r="2760" ht="20" customHeight="1">
      <c r="A2760" s="21" t="n">
        <v>-18</v>
      </c>
      <c r="B2760" s="21" t="n">
        <v>35</v>
      </c>
      <c r="C2760" s="22" t="n">
        <v>105</v>
      </c>
      <c r="D2760" s="22" t="n">
        <v>3</v>
      </c>
      <c r="E2760" s="23" t="n">
        <v>8</v>
      </c>
      <c r="F2760" s="22" t="n">
        <v>2</v>
      </c>
      <c r="G2760" s="23" t="inlineStr">
        <is>
          <t>Non</t>
        </is>
      </c>
      <c r="H2760" s="23" t="inlineStr">
        <is>
          <t>ON</t>
        </is>
      </c>
      <c r="I2760" s="24" t="n">
        <v>744.7528686370244</v>
      </c>
      <c r="J2760" s="24" t="n">
        <v>6550.668683077564</v>
      </c>
      <c r="K2760" s="24" t="n">
        <v>4222.222222222223</v>
      </c>
      <c r="L2760" s="24" t="n">
        <v>150</v>
      </c>
      <c r="M2760" s="24">
        <f>I2760+J2760+K2760+L2760</f>
        <v/>
      </c>
      <c r="N2760" s="24">
        <f>M2760*'Dashboard &amp; Optimisation'!$B$18/('Dashboard &amp; Optimisation'!$B$16/3.6)</f>
        <v/>
      </c>
      <c r="O2760" s="24" t="n">
        <v>1540.319426797171</v>
      </c>
      <c r="P2760" s="25" t="n">
        <v>0.050131239724469</v>
      </c>
      <c r="Q2760" s="26" t="n">
        <v>17.05717713207346</v>
      </c>
      <c r="R2760" s="24" t="n">
        <v>6201.827887690501</v>
      </c>
      <c r="S2760" s="24">
        <f>R2760*IF(A2760=4, 2.0, 3.0)</f>
        <v/>
      </c>
      <c r="T2760" s="22">
        <f>'Dashboard &amp; Optimisation'!$B$18*U2760</f>
        <v/>
      </c>
      <c r="U2760" s="27">
        <f>MIN(1, S2760/M2760)</f>
        <v/>
      </c>
      <c r="V2760" s="27">
        <f>N2760/(N2760+O2760)</f>
        <v/>
      </c>
      <c r="W2760" s="27">
        <f>U2760*V2760</f>
        <v/>
      </c>
      <c r="X2760" s="25">
        <f>T2760/N2760</f>
        <v/>
      </c>
      <c r="Y2760" s="28">
        <f>IF(W2760=MAXIFS(W$2:W$3601, A$2:A$3601, A2760, B$2:B$3601, B2760), "OPTIMAL", "")</f>
        <v/>
      </c>
    </row>
    <row r="2761" ht="20" customHeight="1">
      <c r="A2761" s="29" t="n">
        <v>-18</v>
      </c>
      <c r="B2761" s="29" t="n">
        <v>35</v>
      </c>
      <c r="C2761" s="30" t="n">
        <v>105</v>
      </c>
      <c r="D2761" s="30" t="n">
        <v>3</v>
      </c>
      <c r="E2761" s="6" t="n">
        <v>8</v>
      </c>
      <c r="F2761" s="30" t="n">
        <v>2</v>
      </c>
      <c r="G2761" s="6" t="inlineStr">
        <is>
          <t>Non</t>
        </is>
      </c>
      <c r="H2761" s="6" t="inlineStr">
        <is>
          <t>OFF</t>
        </is>
      </c>
      <c r="I2761" s="31" t="n">
        <v>744.7528686370244</v>
      </c>
      <c r="J2761" s="31" t="n">
        <v>6550.668683077564</v>
      </c>
      <c r="K2761" s="31" t="n">
        <v>4222.222222222223</v>
      </c>
      <c r="L2761" s="31" t="n">
        <v>150</v>
      </c>
      <c r="M2761" s="31">
        <f>I2761+J2761+K2761+L2761</f>
        <v/>
      </c>
      <c r="N2761" s="31">
        <f>M2761*'Dashboard &amp; Optimisation'!$B$18/('Dashboard &amp; Optimisation'!$B$16/3.6)</f>
        <v/>
      </c>
      <c r="O2761" s="31" t="n">
        <v>1540.319426797171</v>
      </c>
      <c r="P2761" s="32" t="n">
        <v>0.2306824590186666</v>
      </c>
      <c r="Q2761" s="33" t="n">
        <v>17.05717713207346</v>
      </c>
      <c r="R2761" s="31" t="n">
        <v>1347.763162792328</v>
      </c>
      <c r="S2761" s="31">
        <f>R2761*IF(A2761=4, 2.0, 3.0)</f>
        <v/>
      </c>
      <c r="T2761" s="30">
        <f>'Dashboard &amp; Optimisation'!$B$18*U2761</f>
        <v/>
      </c>
      <c r="U2761" s="34">
        <f>MIN(1, S2761/M2761)</f>
        <v/>
      </c>
      <c r="V2761" s="34">
        <f>N2761/(N2761+O2761)</f>
        <v/>
      </c>
      <c r="W2761" s="34">
        <f>U2761*V2761</f>
        <v/>
      </c>
      <c r="X2761" s="32">
        <f>T2761/N2761</f>
        <v/>
      </c>
      <c r="Y2761" s="35">
        <f>IF(W2761=MAXIFS(W$2:W$3601, A$2:A$3601, A2761, B$2:B$3601, B2761), "OPTIMAL", "")</f>
        <v/>
      </c>
    </row>
    <row r="2762" ht="20" customHeight="1">
      <c r="A2762" s="21" t="n">
        <v>-18</v>
      </c>
      <c r="B2762" s="21" t="n">
        <v>35</v>
      </c>
      <c r="C2762" s="22" t="n">
        <v>110</v>
      </c>
      <c r="D2762" s="22" t="n">
        <v>2</v>
      </c>
      <c r="E2762" s="23" t="n">
        <v>0</v>
      </c>
      <c r="F2762" s="22" t="n">
        <v>0</v>
      </c>
      <c r="G2762" s="23" t="inlineStr">
        <is>
          <t>Oui</t>
        </is>
      </c>
      <c r="H2762" s="23" t="inlineStr">
        <is>
          <t>ON</t>
        </is>
      </c>
      <c r="I2762" s="24" t="n">
        <v>744.7528686370244</v>
      </c>
      <c r="J2762" s="24" t="n">
        <v>6550.668683077564</v>
      </c>
      <c r="K2762" s="24" t="n">
        <v>4222.222222222223</v>
      </c>
      <c r="L2762" s="24" t="n">
        <v>150</v>
      </c>
      <c r="M2762" s="24">
        <f>I2762+J2762+K2762+L2762</f>
        <v/>
      </c>
      <c r="N2762" s="24">
        <f>M2762*'Dashboard &amp; Optimisation'!$B$18/('Dashboard &amp; Optimisation'!$B$16/3.6)</f>
        <v/>
      </c>
      <c r="O2762" s="24" t="n">
        <v>455.9844097056068</v>
      </c>
      <c r="P2762" s="25" t="n">
        <v>0.4731529974868604</v>
      </c>
      <c r="Q2762" s="26" t="n">
        <v>0.2</v>
      </c>
      <c r="R2762" s="24" t="n">
        <v>525.9942667700506</v>
      </c>
      <c r="S2762" s="24">
        <f>R2762*IF(A2762=4, 2.0, 3.0)</f>
        <v/>
      </c>
      <c r="T2762" s="22">
        <f>'Dashboard &amp; Optimisation'!$B$18*U2762</f>
        <v/>
      </c>
      <c r="U2762" s="27">
        <f>MIN(1, S2762/M2762)</f>
        <v/>
      </c>
      <c r="V2762" s="27">
        <f>N2762/(N2762+O2762)</f>
        <v/>
      </c>
      <c r="W2762" s="27">
        <f>U2762*V2762</f>
        <v/>
      </c>
      <c r="X2762" s="25">
        <f>T2762/N2762</f>
        <v/>
      </c>
      <c r="Y2762" s="28">
        <f>IF(W2762=MAXIFS(W$2:W$3601, A$2:A$3601, A2762, B$2:B$3601, B2762), "OPTIMAL", "")</f>
        <v/>
      </c>
    </row>
    <row r="2763" ht="20" customHeight="1">
      <c r="A2763" s="29" t="n">
        <v>-18</v>
      </c>
      <c r="B2763" s="29" t="n">
        <v>35</v>
      </c>
      <c r="C2763" s="30" t="n">
        <v>110</v>
      </c>
      <c r="D2763" s="30" t="n">
        <v>2</v>
      </c>
      <c r="E2763" s="6" t="n">
        <v>0</v>
      </c>
      <c r="F2763" s="30" t="n">
        <v>0</v>
      </c>
      <c r="G2763" s="6" t="inlineStr">
        <is>
          <t>Oui</t>
        </is>
      </c>
      <c r="H2763" s="6" t="inlineStr">
        <is>
          <t>OFF</t>
        </is>
      </c>
      <c r="I2763" s="31" t="n">
        <v>744.7528686370244</v>
      </c>
      <c r="J2763" s="31" t="n">
        <v>6550.668683077564</v>
      </c>
      <c r="K2763" s="31" t="n">
        <v>4222.222222222223</v>
      </c>
      <c r="L2763" s="31" t="n">
        <v>150</v>
      </c>
      <c r="M2763" s="31">
        <f>I2763+J2763+K2763+L2763</f>
        <v/>
      </c>
      <c r="N2763" s="31">
        <f>M2763*'Dashboard &amp; Optimisation'!$B$18/('Dashboard &amp; Optimisation'!$B$16/3.6)</f>
        <v/>
      </c>
      <c r="O2763" s="31" t="n">
        <v>455.9844097056068</v>
      </c>
      <c r="P2763" s="32" t="n">
        <v>0.7625256212903064</v>
      </c>
      <c r="Q2763" s="33" t="n">
        <v>0.2</v>
      </c>
      <c r="R2763" s="31" t="n">
        <v>326.3834775309163</v>
      </c>
      <c r="S2763" s="31">
        <f>R2763*IF(A2763=4, 2.0, 3.0)</f>
        <v/>
      </c>
      <c r="T2763" s="30">
        <f>'Dashboard &amp; Optimisation'!$B$18*U2763</f>
        <v/>
      </c>
      <c r="U2763" s="34">
        <f>MIN(1, S2763/M2763)</f>
        <v/>
      </c>
      <c r="V2763" s="34">
        <f>N2763/(N2763+O2763)</f>
        <v/>
      </c>
      <c r="W2763" s="34">
        <f>U2763*V2763</f>
        <v/>
      </c>
      <c r="X2763" s="32">
        <f>T2763/N2763</f>
        <v/>
      </c>
      <c r="Y2763" s="35">
        <f>IF(W2763=MAXIFS(W$2:W$3601, A$2:A$3601, A2763, B$2:B$3601, B2763), "OPTIMAL", "")</f>
        <v/>
      </c>
    </row>
    <row r="2764" ht="20" customHeight="1">
      <c r="A2764" s="21" t="n">
        <v>-18</v>
      </c>
      <c r="B2764" s="21" t="n">
        <v>35</v>
      </c>
      <c r="C2764" s="22" t="n">
        <v>110</v>
      </c>
      <c r="D2764" s="22" t="n">
        <v>2</v>
      </c>
      <c r="E2764" s="23" t="n">
        <v>0</v>
      </c>
      <c r="F2764" s="22" t="n">
        <v>0</v>
      </c>
      <c r="G2764" s="23" t="inlineStr">
        <is>
          <t>Non</t>
        </is>
      </c>
      <c r="H2764" s="23" t="inlineStr">
        <is>
          <t>ON</t>
        </is>
      </c>
      <c r="I2764" s="24" t="n">
        <v>744.7528686370244</v>
      </c>
      <c r="J2764" s="24" t="n">
        <v>6550.668683077564</v>
      </c>
      <c r="K2764" s="24" t="n">
        <v>4222.222222222223</v>
      </c>
      <c r="L2764" s="24" t="n">
        <v>150</v>
      </c>
      <c r="M2764" s="24">
        <f>I2764+J2764+K2764+L2764</f>
        <v/>
      </c>
      <c r="N2764" s="24">
        <f>M2764*'Dashboard &amp; Optimisation'!$B$18/('Dashboard &amp; Optimisation'!$B$16/3.6)</f>
        <v/>
      </c>
      <c r="O2764" s="24" t="n">
        <v>455.9844097056068</v>
      </c>
      <c r="P2764" s="25" t="n">
        <v>0.4702592712488259</v>
      </c>
      <c r="Q2764" s="26" t="n">
        <v>0.2</v>
      </c>
      <c r="R2764" s="24" t="n">
        <v>529.2309566215151</v>
      </c>
      <c r="S2764" s="24">
        <f>R2764*IF(A2764=4, 2.0, 3.0)</f>
        <v/>
      </c>
      <c r="T2764" s="22">
        <f>'Dashboard &amp; Optimisation'!$B$18*U2764</f>
        <v/>
      </c>
      <c r="U2764" s="27">
        <f>MIN(1, S2764/M2764)</f>
        <v/>
      </c>
      <c r="V2764" s="27">
        <f>N2764/(N2764+O2764)</f>
        <v/>
      </c>
      <c r="W2764" s="27">
        <f>U2764*V2764</f>
        <v/>
      </c>
      <c r="X2764" s="25">
        <f>T2764/N2764</f>
        <v/>
      </c>
      <c r="Y2764" s="28">
        <f>IF(W2764=MAXIFS(W$2:W$3601, A$2:A$3601, A2764, B$2:B$3601, B2764), "OPTIMAL", "")</f>
        <v/>
      </c>
    </row>
    <row r="2765" ht="20" customHeight="1">
      <c r="A2765" s="29" t="n">
        <v>-18</v>
      </c>
      <c r="B2765" s="29" t="n">
        <v>35</v>
      </c>
      <c r="C2765" s="30" t="n">
        <v>110</v>
      </c>
      <c r="D2765" s="30" t="n">
        <v>2</v>
      </c>
      <c r="E2765" s="6" t="n">
        <v>0</v>
      </c>
      <c r="F2765" s="30" t="n">
        <v>0</v>
      </c>
      <c r="G2765" s="6" t="inlineStr">
        <is>
          <t>Non</t>
        </is>
      </c>
      <c r="H2765" s="6" t="inlineStr">
        <is>
          <t>OFF</t>
        </is>
      </c>
      <c r="I2765" s="31" t="n">
        <v>744.7528686370244</v>
      </c>
      <c r="J2765" s="31" t="n">
        <v>6550.668683077564</v>
      </c>
      <c r="K2765" s="31" t="n">
        <v>4222.222222222223</v>
      </c>
      <c r="L2765" s="31" t="n">
        <v>150</v>
      </c>
      <c r="M2765" s="31">
        <f>I2765+J2765+K2765+L2765</f>
        <v/>
      </c>
      <c r="N2765" s="31">
        <f>M2765*'Dashboard &amp; Optimisation'!$B$18/('Dashboard &amp; Optimisation'!$B$16/3.6)</f>
        <v/>
      </c>
      <c r="O2765" s="31" t="n">
        <v>455.9844097056068</v>
      </c>
      <c r="P2765" s="32" t="n">
        <v>0.759631895052272</v>
      </c>
      <c r="Q2765" s="33" t="n">
        <v>0.2</v>
      </c>
      <c r="R2765" s="31" t="n">
        <v>327.6267960892123</v>
      </c>
      <c r="S2765" s="31">
        <f>R2765*IF(A2765=4, 2.0, 3.0)</f>
        <v/>
      </c>
      <c r="T2765" s="30">
        <f>'Dashboard &amp; Optimisation'!$B$18*U2765</f>
        <v/>
      </c>
      <c r="U2765" s="34">
        <f>MIN(1, S2765/M2765)</f>
        <v/>
      </c>
      <c r="V2765" s="34">
        <f>N2765/(N2765+O2765)</f>
        <v/>
      </c>
      <c r="W2765" s="34">
        <f>U2765*V2765</f>
        <v/>
      </c>
      <c r="X2765" s="32">
        <f>T2765/N2765</f>
        <v/>
      </c>
      <c r="Y2765" s="35">
        <f>IF(W2765=MAXIFS(W$2:W$3601, A$2:A$3601, A2765, B$2:B$3601, B2765), "OPTIMAL", "")</f>
        <v/>
      </c>
    </row>
    <row r="2766" ht="20" customHeight="1">
      <c r="A2766" s="21" t="n">
        <v>-18</v>
      </c>
      <c r="B2766" s="21" t="n">
        <v>35</v>
      </c>
      <c r="C2766" s="22" t="n">
        <v>110</v>
      </c>
      <c r="D2766" s="22" t="n">
        <v>2</v>
      </c>
      <c r="E2766" s="23" t="n">
        <v>4</v>
      </c>
      <c r="F2766" s="22" t="n">
        <v>1.5</v>
      </c>
      <c r="G2766" s="23" t="inlineStr">
        <is>
          <t>Oui</t>
        </is>
      </c>
      <c r="H2766" s="23" t="inlineStr">
        <is>
          <t>ON</t>
        </is>
      </c>
      <c r="I2766" s="24" t="n">
        <v>744.7528686370244</v>
      </c>
      <c r="J2766" s="24" t="n">
        <v>6550.668683077564</v>
      </c>
      <c r="K2766" s="24" t="n">
        <v>4222.222222222223</v>
      </c>
      <c r="L2766" s="24" t="n">
        <v>150</v>
      </c>
      <c r="M2766" s="24">
        <f>I2766+J2766+K2766+L2766</f>
        <v/>
      </c>
      <c r="N2766" s="24">
        <f>M2766*'Dashboard &amp; Optimisation'!$B$18/('Dashboard &amp; Optimisation'!$B$16/3.6)</f>
        <v/>
      </c>
      <c r="O2766" s="24" t="n">
        <v>707.8139106585811</v>
      </c>
      <c r="P2766" s="25" t="n">
        <v>0.07062967612279852</v>
      </c>
      <c r="Q2766" s="26" t="n">
        <v>6.103987745549313</v>
      </c>
      <c r="R2766" s="24" t="n">
        <v>3628.267242930273</v>
      </c>
      <c r="S2766" s="24">
        <f>R2766*IF(A2766=4, 2.0, 3.0)</f>
        <v/>
      </c>
      <c r="T2766" s="22">
        <f>'Dashboard &amp; Optimisation'!$B$18*U2766</f>
        <v/>
      </c>
      <c r="U2766" s="27">
        <f>MIN(1, S2766/M2766)</f>
        <v/>
      </c>
      <c r="V2766" s="27">
        <f>N2766/(N2766+O2766)</f>
        <v/>
      </c>
      <c r="W2766" s="27">
        <f>U2766*V2766</f>
        <v/>
      </c>
      <c r="X2766" s="25">
        <f>T2766/N2766</f>
        <v/>
      </c>
      <c r="Y2766" s="28">
        <f>IF(W2766=MAXIFS(W$2:W$3601, A$2:A$3601, A2766, B$2:B$3601, B2766), "OPTIMAL", "")</f>
        <v/>
      </c>
    </row>
    <row r="2767" ht="20" customHeight="1">
      <c r="A2767" s="29" t="n">
        <v>-18</v>
      </c>
      <c r="B2767" s="29" t="n">
        <v>35</v>
      </c>
      <c r="C2767" s="30" t="n">
        <v>110</v>
      </c>
      <c r="D2767" s="30" t="n">
        <v>2</v>
      </c>
      <c r="E2767" s="6" t="n">
        <v>4</v>
      </c>
      <c r="F2767" s="30" t="n">
        <v>1.5</v>
      </c>
      <c r="G2767" s="6" t="inlineStr">
        <is>
          <t>Oui</t>
        </is>
      </c>
      <c r="H2767" s="6" t="inlineStr">
        <is>
          <t>OFF</t>
        </is>
      </c>
      <c r="I2767" s="31" t="n">
        <v>744.7528686370244</v>
      </c>
      <c r="J2767" s="31" t="n">
        <v>6550.668683077564</v>
      </c>
      <c r="K2767" s="31" t="n">
        <v>4222.222222222223</v>
      </c>
      <c r="L2767" s="31" t="n">
        <v>150</v>
      </c>
      <c r="M2767" s="31">
        <f>I2767+J2767+K2767+L2767</f>
        <v/>
      </c>
      <c r="N2767" s="31">
        <f>M2767*'Dashboard &amp; Optimisation'!$B$18/('Dashboard &amp; Optimisation'!$B$16/3.6)</f>
        <v/>
      </c>
      <c r="O2767" s="31" t="n">
        <v>707.8139106585811</v>
      </c>
      <c r="P2767" s="32" t="n">
        <v>0.2882258985719243</v>
      </c>
      <c r="Q2767" s="33" t="n">
        <v>6.103987745549313</v>
      </c>
      <c r="R2767" s="31" t="n">
        <v>889.1058767613696</v>
      </c>
      <c r="S2767" s="31">
        <f>R2767*IF(A2767=4, 2.0, 3.0)</f>
        <v/>
      </c>
      <c r="T2767" s="30">
        <f>'Dashboard &amp; Optimisation'!$B$18*U2767</f>
        <v/>
      </c>
      <c r="U2767" s="34">
        <f>MIN(1, S2767/M2767)</f>
        <v/>
      </c>
      <c r="V2767" s="34">
        <f>N2767/(N2767+O2767)</f>
        <v/>
      </c>
      <c r="W2767" s="34">
        <f>U2767*V2767</f>
        <v/>
      </c>
      <c r="X2767" s="32">
        <f>T2767/N2767</f>
        <v/>
      </c>
      <c r="Y2767" s="35">
        <f>IF(W2767=MAXIFS(W$2:W$3601, A$2:A$3601, A2767, B$2:B$3601, B2767), "OPTIMAL", "")</f>
        <v/>
      </c>
    </row>
    <row r="2768" ht="20" customHeight="1">
      <c r="A2768" s="21" t="n">
        <v>-18</v>
      </c>
      <c r="B2768" s="21" t="n">
        <v>35</v>
      </c>
      <c r="C2768" s="22" t="n">
        <v>110</v>
      </c>
      <c r="D2768" s="22" t="n">
        <v>2</v>
      </c>
      <c r="E2768" s="23" t="n">
        <v>4</v>
      </c>
      <c r="F2768" s="22" t="n">
        <v>1.5</v>
      </c>
      <c r="G2768" s="23" t="inlineStr">
        <is>
          <t>Non</t>
        </is>
      </c>
      <c r="H2768" s="23" t="inlineStr">
        <is>
          <t>ON</t>
        </is>
      </c>
      <c r="I2768" s="24" t="n">
        <v>744.7528686370244</v>
      </c>
      <c r="J2768" s="24" t="n">
        <v>6550.668683077564</v>
      </c>
      <c r="K2768" s="24" t="n">
        <v>4222.222222222223</v>
      </c>
      <c r="L2768" s="24" t="n">
        <v>150</v>
      </c>
      <c r="M2768" s="24">
        <f>I2768+J2768+K2768+L2768</f>
        <v/>
      </c>
      <c r="N2768" s="24">
        <f>M2768*'Dashboard &amp; Optimisation'!$B$18/('Dashboard &amp; Optimisation'!$B$16/3.6)</f>
        <v/>
      </c>
      <c r="O2768" s="24" t="n">
        <v>707.8139106585811</v>
      </c>
      <c r="P2768" s="25" t="n">
        <v>0.06773594988476406</v>
      </c>
      <c r="Q2768" s="26" t="n">
        <v>6.103987745549313</v>
      </c>
      <c r="R2768" s="24" t="n">
        <v>3783.269308116191</v>
      </c>
      <c r="S2768" s="24">
        <f>R2768*IF(A2768=4, 2.0, 3.0)</f>
        <v/>
      </c>
      <c r="T2768" s="22">
        <f>'Dashboard &amp; Optimisation'!$B$18*U2768</f>
        <v/>
      </c>
      <c r="U2768" s="27">
        <f>MIN(1, S2768/M2768)</f>
        <v/>
      </c>
      <c r="V2768" s="27">
        <f>N2768/(N2768+O2768)</f>
        <v/>
      </c>
      <c r="W2768" s="27">
        <f>U2768*V2768</f>
        <v/>
      </c>
      <c r="X2768" s="25">
        <f>T2768/N2768</f>
        <v/>
      </c>
      <c r="Y2768" s="28">
        <f>IF(W2768=MAXIFS(W$2:W$3601, A$2:A$3601, A2768, B$2:B$3601, B2768), "OPTIMAL", "")</f>
        <v/>
      </c>
    </row>
    <row r="2769" ht="20" customHeight="1">
      <c r="A2769" s="29" t="n">
        <v>-18</v>
      </c>
      <c r="B2769" s="29" t="n">
        <v>35</v>
      </c>
      <c r="C2769" s="30" t="n">
        <v>110</v>
      </c>
      <c r="D2769" s="30" t="n">
        <v>2</v>
      </c>
      <c r="E2769" s="6" t="n">
        <v>4</v>
      </c>
      <c r="F2769" s="30" t="n">
        <v>1.5</v>
      </c>
      <c r="G2769" s="6" t="inlineStr">
        <is>
          <t>Non</t>
        </is>
      </c>
      <c r="H2769" s="6" t="inlineStr">
        <is>
          <t>OFF</t>
        </is>
      </c>
      <c r="I2769" s="31" t="n">
        <v>744.7528686370244</v>
      </c>
      <c r="J2769" s="31" t="n">
        <v>6550.668683077564</v>
      </c>
      <c r="K2769" s="31" t="n">
        <v>4222.222222222223</v>
      </c>
      <c r="L2769" s="31" t="n">
        <v>150</v>
      </c>
      <c r="M2769" s="31">
        <f>I2769+J2769+K2769+L2769</f>
        <v/>
      </c>
      <c r="N2769" s="31">
        <f>M2769*'Dashboard &amp; Optimisation'!$B$18/('Dashboard &amp; Optimisation'!$B$16/3.6)</f>
        <v/>
      </c>
      <c r="O2769" s="31" t="n">
        <v>707.8139106585811</v>
      </c>
      <c r="P2769" s="32" t="n">
        <v>0.2853321723338898</v>
      </c>
      <c r="Q2769" s="33" t="n">
        <v>6.103987745549313</v>
      </c>
      <c r="R2769" s="31" t="n">
        <v>898.1228375300429</v>
      </c>
      <c r="S2769" s="31">
        <f>R2769*IF(A2769=4, 2.0, 3.0)</f>
        <v/>
      </c>
      <c r="T2769" s="30">
        <f>'Dashboard &amp; Optimisation'!$B$18*U2769</f>
        <v/>
      </c>
      <c r="U2769" s="34">
        <f>MIN(1, S2769/M2769)</f>
        <v/>
      </c>
      <c r="V2769" s="34">
        <f>N2769/(N2769+O2769)</f>
        <v/>
      </c>
      <c r="W2769" s="34">
        <f>U2769*V2769</f>
        <v/>
      </c>
      <c r="X2769" s="32">
        <f>T2769/N2769</f>
        <v/>
      </c>
      <c r="Y2769" s="35">
        <f>IF(W2769=MAXIFS(W$2:W$3601, A$2:A$3601, A2769, B$2:B$3601, B2769), "OPTIMAL", "")</f>
        <v/>
      </c>
    </row>
    <row r="2770" ht="20" customHeight="1">
      <c r="A2770" s="21" t="n">
        <v>-18</v>
      </c>
      <c r="B2770" s="21" t="n">
        <v>35</v>
      </c>
      <c r="C2770" s="22" t="n">
        <v>110</v>
      </c>
      <c r="D2770" s="22" t="n">
        <v>2</v>
      </c>
      <c r="E2770" s="23" t="n">
        <v>4</v>
      </c>
      <c r="F2770" s="22" t="n">
        <v>2</v>
      </c>
      <c r="G2770" s="23" t="inlineStr">
        <is>
          <t>Oui</t>
        </is>
      </c>
      <c r="H2770" s="23" t="inlineStr">
        <is>
          <t>ON</t>
        </is>
      </c>
      <c r="I2770" s="24" t="n">
        <v>744.7528686370244</v>
      </c>
      <c r="J2770" s="24" t="n">
        <v>6550.668683077564</v>
      </c>
      <c r="K2770" s="24" t="n">
        <v>4222.222222222223</v>
      </c>
      <c r="L2770" s="24" t="n">
        <v>150</v>
      </c>
      <c r="M2770" s="24">
        <f>I2770+J2770+K2770+L2770</f>
        <v/>
      </c>
      <c r="N2770" s="24">
        <f>M2770*'Dashboard &amp; Optimisation'!$B$18/('Dashboard &amp; Optimisation'!$B$16/3.6)</f>
        <v/>
      </c>
      <c r="O2770" s="24" t="n">
        <v>795.1126146112584</v>
      </c>
      <c r="P2770" s="25" t="n">
        <v>0.06762363614121064</v>
      </c>
      <c r="Q2770" s="26" t="n">
        <v>8.071983660732418</v>
      </c>
      <c r="R2770" s="24" t="n">
        <v>3827.423623288404</v>
      </c>
      <c r="S2770" s="24">
        <f>R2770*IF(A2770=4, 2.0, 3.0)</f>
        <v/>
      </c>
      <c r="T2770" s="22">
        <f>'Dashboard &amp; Optimisation'!$B$18*U2770</f>
        <v/>
      </c>
      <c r="U2770" s="27">
        <f>MIN(1, S2770/M2770)</f>
        <v/>
      </c>
      <c r="V2770" s="27">
        <f>N2770/(N2770+O2770)</f>
        <v/>
      </c>
      <c r="W2770" s="27">
        <f>U2770*V2770</f>
        <v/>
      </c>
      <c r="X2770" s="25">
        <f>T2770/N2770</f>
        <v/>
      </c>
      <c r="Y2770" s="28">
        <f>IF(W2770=MAXIFS(W$2:W$3601, A$2:A$3601, A2770, B$2:B$3601, B2770), "OPTIMAL", "")</f>
        <v/>
      </c>
    </row>
    <row r="2771" ht="20" customHeight="1">
      <c r="A2771" s="29" t="n">
        <v>-18</v>
      </c>
      <c r="B2771" s="29" t="n">
        <v>35</v>
      </c>
      <c r="C2771" s="30" t="n">
        <v>110</v>
      </c>
      <c r="D2771" s="30" t="n">
        <v>2</v>
      </c>
      <c r="E2771" s="6" t="n">
        <v>4</v>
      </c>
      <c r="F2771" s="30" t="n">
        <v>2</v>
      </c>
      <c r="G2771" s="6" t="inlineStr">
        <is>
          <t>Oui</t>
        </is>
      </c>
      <c r="H2771" s="6" t="inlineStr">
        <is>
          <t>OFF</t>
        </is>
      </c>
      <c r="I2771" s="31" t="n">
        <v>744.7528686370244</v>
      </c>
      <c r="J2771" s="31" t="n">
        <v>6550.668683077564</v>
      </c>
      <c r="K2771" s="31" t="n">
        <v>4222.222222222223</v>
      </c>
      <c r="L2771" s="31" t="n">
        <v>150</v>
      </c>
      <c r="M2771" s="31">
        <f>I2771+J2771+K2771+L2771</f>
        <v/>
      </c>
      <c r="N2771" s="31">
        <f>M2771*'Dashboard &amp; Optimisation'!$B$18/('Dashboard &amp; Optimisation'!$B$16/3.6)</f>
        <v/>
      </c>
      <c r="O2771" s="31" t="n">
        <v>795.1126146112584</v>
      </c>
      <c r="P2771" s="32" t="n">
        <v>0.2861692165887991</v>
      </c>
      <c r="Q2771" s="33" t="n">
        <v>8.071983660732418</v>
      </c>
      <c r="R2771" s="31" t="n">
        <v>904.4449488480014</v>
      </c>
      <c r="S2771" s="31">
        <f>R2771*IF(A2771=4, 2.0, 3.0)</f>
        <v/>
      </c>
      <c r="T2771" s="30">
        <f>'Dashboard &amp; Optimisation'!$B$18*U2771</f>
        <v/>
      </c>
      <c r="U2771" s="34">
        <f>MIN(1, S2771/M2771)</f>
        <v/>
      </c>
      <c r="V2771" s="34">
        <f>N2771/(N2771+O2771)</f>
        <v/>
      </c>
      <c r="W2771" s="34">
        <f>U2771*V2771</f>
        <v/>
      </c>
      <c r="X2771" s="32">
        <f>T2771/N2771</f>
        <v/>
      </c>
      <c r="Y2771" s="35">
        <f>IF(W2771=MAXIFS(W$2:W$3601, A$2:A$3601, A2771, B$2:B$3601, B2771), "OPTIMAL", "")</f>
        <v/>
      </c>
    </row>
    <row r="2772" ht="20" customHeight="1">
      <c r="A2772" s="21" t="n">
        <v>-18</v>
      </c>
      <c r="B2772" s="21" t="n">
        <v>35</v>
      </c>
      <c r="C2772" s="22" t="n">
        <v>110</v>
      </c>
      <c r="D2772" s="22" t="n">
        <v>2</v>
      </c>
      <c r="E2772" s="23" t="n">
        <v>4</v>
      </c>
      <c r="F2772" s="22" t="n">
        <v>2</v>
      </c>
      <c r="G2772" s="23" t="inlineStr">
        <is>
          <t>Non</t>
        </is>
      </c>
      <c r="H2772" s="23" t="inlineStr">
        <is>
          <t>ON</t>
        </is>
      </c>
      <c r="I2772" s="24" t="n">
        <v>744.7528686370244</v>
      </c>
      <c r="J2772" s="24" t="n">
        <v>6550.668683077564</v>
      </c>
      <c r="K2772" s="24" t="n">
        <v>4222.222222222223</v>
      </c>
      <c r="L2772" s="24" t="n">
        <v>150</v>
      </c>
      <c r="M2772" s="24">
        <f>I2772+J2772+K2772+L2772</f>
        <v/>
      </c>
      <c r="N2772" s="24">
        <f>M2772*'Dashboard &amp; Optimisation'!$B$18/('Dashboard &amp; Optimisation'!$B$16/3.6)</f>
        <v/>
      </c>
      <c r="O2772" s="24" t="n">
        <v>795.1126146112584</v>
      </c>
      <c r="P2772" s="25" t="n">
        <v>0.06472990990317617</v>
      </c>
      <c r="Q2772" s="26" t="n">
        <v>8.071983660732418</v>
      </c>
      <c r="R2772" s="24" t="n">
        <v>3998.527154551609</v>
      </c>
      <c r="S2772" s="24">
        <f>R2772*IF(A2772=4, 2.0, 3.0)</f>
        <v/>
      </c>
      <c r="T2772" s="22">
        <f>'Dashboard &amp; Optimisation'!$B$18*U2772</f>
        <v/>
      </c>
      <c r="U2772" s="27">
        <f>MIN(1, S2772/M2772)</f>
        <v/>
      </c>
      <c r="V2772" s="27">
        <f>N2772/(N2772+O2772)</f>
        <v/>
      </c>
      <c r="W2772" s="27">
        <f>U2772*V2772</f>
        <v/>
      </c>
      <c r="X2772" s="25">
        <f>T2772/N2772</f>
        <v/>
      </c>
      <c r="Y2772" s="28">
        <f>IF(W2772=MAXIFS(W$2:W$3601, A$2:A$3601, A2772, B$2:B$3601, B2772), "OPTIMAL", "")</f>
        <v/>
      </c>
    </row>
    <row r="2773" ht="20" customHeight="1">
      <c r="A2773" s="29" t="n">
        <v>-18</v>
      </c>
      <c r="B2773" s="29" t="n">
        <v>35</v>
      </c>
      <c r="C2773" s="30" t="n">
        <v>110</v>
      </c>
      <c r="D2773" s="30" t="n">
        <v>2</v>
      </c>
      <c r="E2773" s="6" t="n">
        <v>4</v>
      </c>
      <c r="F2773" s="30" t="n">
        <v>2</v>
      </c>
      <c r="G2773" s="6" t="inlineStr">
        <is>
          <t>Non</t>
        </is>
      </c>
      <c r="H2773" s="6" t="inlineStr">
        <is>
          <t>OFF</t>
        </is>
      </c>
      <c r="I2773" s="31" t="n">
        <v>744.7528686370244</v>
      </c>
      <c r="J2773" s="31" t="n">
        <v>6550.668683077564</v>
      </c>
      <c r="K2773" s="31" t="n">
        <v>4222.222222222223</v>
      </c>
      <c r="L2773" s="31" t="n">
        <v>150</v>
      </c>
      <c r="M2773" s="31">
        <f>I2773+J2773+K2773+L2773</f>
        <v/>
      </c>
      <c r="N2773" s="31">
        <f>M2773*'Dashboard &amp; Optimisation'!$B$18/('Dashboard &amp; Optimisation'!$B$16/3.6)</f>
        <v/>
      </c>
      <c r="O2773" s="31" t="n">
        <v>795.1126146112584</v>
      </c>
      <c r="P2773" s="32" t="n">
        <v>0.2832754903507647</v>
      </c>
      <c r="Q2773" s="33" t="n">
        <v>8.071983660732418</v>
      </c>
      <c r="R2773" s="31" t="n">
        <v>913.6840682511606</v>
      </c>
      <c r="S2773" s="31">
        <f>R2773*IF(A2773=4, 2.0, 3.0)</f>
        <v/>
      </c>
      <c r="T2773" s="30">
        <f>'Dashboard &amp; Optimisation'!$B$18*U2773</f>
        <v/>
      </c>
      <c r="U2773" s="34">
        <f>MIN(1, S2773/M2773)</f>
        <v/>
      </c>
      <c r="V2773" s="34">
        <f>N2773/(N2773+O2773)</f>
        <v/>
      </c>
      <c r="W2773" s="34">
        <f>U2773*V2773</f>
        <v/>
      </c>
      <c r="X2773" s="32">
        <f>T2773/N2773</f>
        <v/>
      </c>
      <c r="Y2773" s="35">
        <f>IF(W2773=MAXIFS(W$2:W$3601, A$2:A$3601, A2773, B$2:B$3601, B2773), "OPTIMAL", "")</f>
        <v/>
      </c>
    </row>
    <row r="2774" ht="20" customHeight="1">
      <c r="A2774" s="21" t="n">
        <v>-18</v>
      </c>
      <c r="B2774" s="21" t="n">
        <v>35</v>
      </c>
      <c r="C2774" s="22" t="n">
        <v>110</v>
      </c>
      <c r="D2774" s="22" t="n">
        <v>2</v>
      </c>
      <c r="E2774" s="23" t="n">
        <v>8</v>
      </c>
      <c r="F2774" s="22" t="n">
        <v>1.5</v>
      </c>
      <c r="G2774" s="23" t="inlineStr">
        <is>
          <t>Oui</t>
        </is>
      </c>
      <c r="H2774" s="23" t="inlineStr">
        <is>
          <t>ON</t>
        </is>
      </c>
      <c r="I2774" s="24" t="n">
        <v>744.7528686370244</v>
      </c>
      <c r="J2774" s="24" t="n">
        <v>6550.668683077564</v>
      </c>
      <c r="K2774" s="24" t="n">
        <v>4222.222222222223</v>
      </c>
      <c r="L2774" s="24" t="n">
        <v>150</v>
      </c>
      <c r="M2774" s="24">
        <f>I2774+J2774+K2774+L2774</f>
        <v/>
      </c>
      <c r="N2774" s="24">
        <f>M2774*'Dashboard &amp; Optimisation'!$B$18/('Dashboard &amp; Optimisation'!$B$16/3.6)</f>
        <v/>
      </c>
      <c r="O2774" s="24" t="n">
        <v>975.0512844641</v>
      </c>
      <c r="P2774" s="25" t="n">
        <v>0.05348631453507773</v>
      </c>
      <c r="Q2774" s="26" t="n">
        <v>12.00797549109863</v>
      </c>
      <c r="R2774" s="24" t="n">
        <v>4937.766201157477</v>
      </c>
      <c r="S2774" s="24">
        <f>R2774*IF(A2774=4, 2.0, 3.0)</f>
        <v/>
      </c>
      <c r="T2774" s="22">
        <f>'Dashboard &amp; Optimisation'!$B$18*U2774</f>
        <v/>
      </c>
      <c r="U2774" s="27">
        <f>MIN(1, S2774/M2774)</f>
        <v/>
      </c>
      <c r="V2774" s="27">
        <f>N2774/(N2774+O2774)</f>
        <v/>
      </c>
      <c r="W2774" s="27">
        <f>U2774*V2774</f>
        <v/>
      </c>
      <c r="X2774" s="25">
        <f>T2774/N2774</f>
        <v/>
      </c>
      <c r="Y2774" s="28">
        <f>IF(W2774=MAXIFS(W$2:W$3601, A$2:A$3601, A2774, B$2:B$3601, B2774), "OPTIMAL", "")</f>
        <v/>
      </c>
    </row>
    <row r="2775" ht="20" customHeight="1">
      <c r="A2775" s="29" t="n">
        <v>-18</v>
      </c>
      <c r="B2775" s="29" t="n">
        <v>35</v>
      </c>
      <c r="C2775" s="30" t="n">
        <v>110</v>
      </c>
      <c r="D2775" s="30" t="n">
        <v>2</v>
      </c>
      <c r="E2775" s="6" t="n">
        <v>8</v>
      </c>
      <c r="F2775" s="30" t="n">
        <v>1.5</v>
      </c>
      <c r="G2775" s="6" t="inlineStr">
        <is>
          <t>Oui</t>
        </is>
      </c>
      <c r="H2775" s="6" t="inlineStr">
        <is>
          <t>OFF</t>
        </is>
      </c>
      <c r="I2775" s="31" t="n">
        <v>744.7528686370244</v>
      </c>
      <c r="J2775" s="31" t="n">
        <v>6550.668683077564</v>
      </c>
      <c r="K2775" s="31" t="n">
        <v>4222.222222222223</v>
      </c>
      <c r="L2775" s="31" t="n">
        <v>150</v>
      </c>
      <c r="M2775" s="31">
        <f>I2775+J2775+K2775+L2775</f>
        <v/>
      </c>
      <c r="N2775" s="31">
        <f>M2775*'Dashboard &amp; Optimisation'!$B$18/('Dashboard &amp; Optimisation'!$B$16/3.6)</f>
        <v/>
      </c>
      <c r="O2775" s="31" t="n">
        <v>975.0512844641</v>
      </c>
      <c r="P2775" s="32" t="n">
        <v>0.2278356335097701</v>
      </c>
      <c r="Q2775" s="33" t="n">
        <v>12.00797549109863</v>
      </c>
      <c r="R2775" s="31" t="n">
        <v>1159.181784110427</v>
      </c>
      <c r="S2775" s="31">
        <f>R2775*IF(A2775=4, 2.0, 3.0)</f>
        <v/>
      </c>
      <c r="T2775" s="30">
        <f>'Dashboard &amp; Optimisation'!$B$18*U2775</f>
        <v/>
      </c>
      <c r="U2775" s="34">
        <f>MIN(1, S2775/M2775)</f>
        <v/>
      </c>
      <c r="V2775" s="34">
        <f>N2775/(N2775+O2775)</f>
        <v/>
      </c>
      <c r="W2775" s="34">
        <f>U2775*V2775</f>
        <v/>
      </c>
      <c r="X2775" s="32">
        <f>T2775/N2775</f>
        <v/>
      </c>
      <c r="Y2775" s="35">
        <f>IF(W2775=MAXIFS(W$2:W$3601, A$2:A$3601, A2775, B$2:B$3601, B2775), "OPTIMAL", "")</f>
        <v/>
      </c>
    </row>
    <row r="2776" ht="20" customHeight="1">
      <c r="A2776" s="21" t="n">
        <v>-18</v>
      </c>
      <c r="B2776" s="21" t="n">
        <v>35</v>
      </c>
      <c r="C2776" s="22" t="n">
        <v>110</v>
      </c>
      <c r="D2776" s="22" t="n">
        <v>2</v>
      </c>
      <c r="E2776" s="23" t="n">
        <v>8</v>
      </c>
      <c r="F2776" s="22" t="n">
        <v>1.5</v>
      </c>
      <c r="G2776" s="23" t="inlineStr">
        <is>
          <t>Non</t>
        </is>
      </c>
      <c r="H2776" s="23" t="inlineStr">
        <is>
          <t>ON</t>
        </is>
      </c>
      <c r="I2776" s="24" t="n">
        <v>744.7528686370244</v>
      </c>
      <c r="J2776" s="24" t="n">
        <v>6550.668683077564</v>
      </c>
      <c r="K2776" s="24" t="n">
        <v>4222.222222222223</v>
      </c>
      <c r="L2776" s="24" t="n">
        <v>150</v>
      </c>
      <c r="M2776" s="24">
        <f>I2776+J2776+K2776+L2776</f>
        <v/>
      </c>
      <c r="N2776" s="24">
        <f>M2776*'Dashboard &amp; Optimisation'!$B$18/('Dashboard &amp; Optimisation'!$B$16/3.6)</f>
        <v/>
      </c>
      <c r="O2776" s="24" t="n">
        <v>975.0512844641</v>
      </c>
      <c r="P2776" s="25" t="n">
        <v>0.05059258829704327</v>
      </c>
      <c r="Q2776" s="26" t="n">
        <v>12.00797549109863</v>
      </c>
      <c r="R2776" s="24" t="n">
        <v>5220.189854394529</v>
      </c>
      <c r="S2776" s="24">
        <f>R2776*IF(A2776=4, 2.0, 3.0)</f>
        <v/>
      </c>
      <c r="T2776" s="22">
        <f>'Dashboard &amp; Optimisation'!$B$18*U2776</f>
        <v/>
      </c>
      <c r="U2776" s="27">
        <f>MIN(1, S2776/M2776)</f>
        <v/>
      </c>
      <c r="V2776" s="27">
        <f>N2776/(N2776+O2776)</f>
        <v/>
      </c>
      <c r="W2776" s="27">
        <f>U2776*V2776</f>
        <v/>
      </c>
      <c r="X2776" s="25">
        <f>T2776/N2776</f>
        <v/>
      </c>
      <c r="Y2776" s="28">
        <f>IF(W2776=MAXIFS(W$2:W$3601, A$2:A$3601, A2776, B$2:B$3601, B2776), "OPTIMAL", "")</f>
        <v/>
      </c>
    </row>
    <row r="2777" ht="20" customHeight="1">
      <c r="A2777" s="29" t="n">
        <v>-18</v>
      </c>
      <c r="B2777" s="29" t="n">
        <v>35</v>
      </c>
      <c r="C2777" s="30" t="n">
        <v>110</v>
      </c>
      <c r="D2777" s="30" t="n">
        <v>2</v>
      </c>
      <c r="E2777" s="6" t="n">
        <v>8</v>
      </c>
      <c r="F2777" s="30" t="n">
        <v>1.5</v>
      </c>
      <c r="G2777" s="6" t="inlineStr">
        <is>
          <t>Non</t>
        </is>
      </c>
      <c r="H2777" s="6" t="inlineStr">
        <is>
          <t>OFF</t>
        </is>
      </c>
      <c r="I2777" s="31" t="n">
        <v>744.7528686370244</v>
      </c>
      <c r="J2777" s="31" t="n">
        <v>6550.668683077564</v>
      </c>
      <c r="K2777" s="31" t="n">
        <v>4222.222222222223</v>
      </c>
      <c r="L2777" s="31" t="n">
        <v>150</v>
      </c>
      <c r="M2777" s="31">
        <f>I2777+J2777+K2777+L2777</f>
        <v/>
      </c>
      <c r="N2777" s="31">
        <f>M2777*'Dashboard &amp; Optimisation'!$B$18/('Dashboard &amp; Optimisation'!$B$16/3.6)</f>
        <v/>
      </c>
      <c r="O2777" s="31" t="n">
        <v>975.0512844641</v>
      </c>
      <c r="P2777" s="32" t="n">
        <v>0.2249419072717356</v>
      </c>
      <c r="Q2777" s="33" t="n">
        <v>12.00797549109863</v>
      </c>
      <c r="R2777" s="31" t="n">
        <v>1174.093877566093</v>
      </c>
      <c r="S2777" s="31">
        <f>R2777*IF(A2777=4, 2.0, 3.0)</f>
        <v/>
      </c>
      <c r="T2777" s="30">
        <f>'Dashboard &amp; Optimisation'!$B$18*U2777</f>
        <v/>
      </c>
      <c r="U2777" s="34">
        <f>MIN(1, S2777/M2777)</f>
        <v/>
      </c>
      <c r="V2777" s="34">
        <f>N2777/(N2777+O2777)</f>
        <v/>
      </c>
      <c r="W2777" s="34">
        <f>U2777*V2777</f>
        <v/>
      </c>
      <c r="X2777" s="32">
        <f>T2777/N2777</f>
        <v/>
      </c>
      <c r="Y2777" s="35">
        <f>IF(W2777=MAXIFS(W$2:W$3601, A$2:A$3601, A2777, B$2:B$3601, B2777), "OPTIMAL", "")</f>
        <v/>
      </c>
    </row>
    <row r="2778" ht="20" customHeight="1">
      <c r="A2778" s="21" t="n">
        <v>-18</v>
      </c>
      <c r="B2778" s="21" t="n">
        <v>35</v>
      </c>
      <c r="C2778" s="22" t="n">
        <v>110</v>
      </c>
      <c r="D2778" s="22" t="n">
        <v>2</v>
      </c>
      <c r="E2778" s="23" t="n">
        <v>8</v>
      </c>
      <c r="F2778" s="22" t="n">
        <v>2</v>
      </c>
      <c r="G2778" s="23" t="inlineStr">
        <is>
          <t>Oui</t>
        </is>
      </c>
      <c r="H2778" s="23" t="inlineStr">
        <is>
          <t>ON</t>
        </is>
      </c>
      <c r="I2778" s="24" t="n">
        <v>744.7528686370244</v>
      </c>
      <c r="J2778" s="24" t="n">
        <v>6550.668683077564</v>
      </c>
      <c r="K2778" s="24" t="n">
        <v>4222.222222222223</v>
      </c>
      <c r="L2778" s="24" t="n">
        <v>150</v>
      </c>
      <c r="M2778" s="24">
        <f>I2778+J2778+K2778+L2778</f>
        <v/>
      </c>
      <c r="N2778" s="24">
        <f>M2778*'Dashboard &amp; Optimisation'!$B$18/('Dashboard &amp; Optimisation'!$B$16/3.6)</f>
        <v/>
      </c>
      <c r="O2778" s="24" t="n">
        <v>1162.482305917401</v>
      </c>
      <c r="P2778" s="25" t="n">
        <v>0.05207352280953786</v>
      </c>
      <c r="Q2778" s="26" t="n">
        <v>15.94396732146484</v>
      </c>
      <c r="R2778" s="24" t="n">
        <v>5177.320605501747</v>
      </c>
      <c r="S2778" s="24">
        <f>R2778*IF(A2778=4, 2.0, 3.0)</f>
        <v/>
      </c>
      <c r="T2778" s="22">
        <f>'Dashboard &amp; Optimisation'!$B$18*U2778</f>
        <v/>
      </c>
      <c r="U2778" s="27">
        <f>MIN(1, S2778/M2778)</f>
        <v/>
      </c>
      <c r="V2778" s="27">
        <f>N2778/(N2778+O2778)</f>
        <v/>
      </c>
      <c r="W2778" s="27">
        <f>U2778*V2778</f>
        <v/>
      </c>
      <c r="X2778" s="25">
        <f>T2778/N2778</f>
        <v/>
      </c>
      <c r="Y2778" s="28">
        <f>IF(W2778=MAXIFS(W$2:W$3601, A$2:A$3601, A2778, B$2:B$3601, B2778), "OPTIMAL", "")</f>
        <v/>
      </c>
    </row>
    <row r="2779" ht="20" customHeight="1">
      <c r="A2779" s="29" t="n">
        <v>-18</v>
      </c>
      <c r="B2779" s="29" t="n">
        <v>35</v>
      </c>
      <c r="C2779" s="30" t="n">
        <v>110</v>
      </c>
      <c r="D2779" s="30" t="n">
        <v>2</v>
      </c>
      <c r="E2779" s="6" t="n">
        <v>8</v>
      </c>
      <c r="F2779" s="30" t="n">
        <v>2</v>
      </c>
      <c r="G2779" s="6" t="inlineStr">
        <is>
          <t>Oui</t>
        </is>
      </c>
      <c r="H2779" s="6" t="inlineStr">
        <is>
          <t>OFF</t>
        </is>
      </c>
      <c r="I2779" s="31" t="n">
        <v>744.7528686370244</v>
      </c>
      <c r="J2779" s="31" t="n">
        <v>6550.668683077564</v>
      </c>
      <c r="K2779" s="31" t="n">
        <v>4222.222222222223</v>
      </c>
      <c r="L2779" s="31" t="n">
        <v>150</v>
      </c>
      <c r="M2779" s="31">
        <f>I2779+J2779+K2779+L2779</f>
        <v/>
      </c>
      <c r="N2779" s="31">
        <f>M2779*'Dashboard &amp; Optimisation'!$B$18/('Dashboard &amp; Optimisation'!$B$16/3.6)</f>
        <v/>
      </c>
      <c r="O2779" s="31" t="n">
        <v>1162.482305917401</v>
      </c>
      <c r="P2779" s="32" t="n">
        <v>0.2276454001773911</v>
      </c>
      <c r="Q2779" s="33" t="n">
        <v>15.94396732146484</v>
      </c>
      <c r="R2779" s="31" t="n">
        <v>1184.303844632049</v>
      </c>
      <c r="S2779" s="31">
        <f>R2779*IF(A2779=4, 2.0, 3.0)</f>
        <v/>
      </c>
      <c r="T2779" s="30">
        <f>'Dashboard &amp; Optimisation'!$B$18*U2779</f>
        <v/>
      </c>
      <c r="U2779" s="34">
        <f>MIN(1, S2779/M2779)</f>
        <v/>
      </c>
      <c r="V2779" s="34">
        <f>N2779/(N2779+O2779)</f>
        <v/>
      </c>
      <c r="W2779" s="34">
        <f>U2779*V2779</f>
        <v/>
      </c>
      <c r="X2779" s="32">
        <f>T2779/N2779</f>
        <v/>
      </c>
      <c r="Y2779" s="35">
        <f>IF(W2779=MAXIFS(W$2:W$3601, A$2:A$3601, A2779, B$2:B$3601, B2779), "OPTIMAL", "")</f>
        <v/>
      </c>
    </row>
    <row r="2780" ht="20" customHeight="1">
      <c r="A2780" s="21" t="n">
        <v>-18</v>
      </c>
      <c r="B2780" s="21" t="n">
        <v>35</v>
      </c>
      <c r="C2780" s="22" t="n">
        <v>110</v>
      </c>
      <c r="D2780" s="22" t="n">
        <v>2</v>
      </c>
      <c r="E2780" s="23" t="n">
        <v>8</v>
      </c>
      <c r="F2780" s="22" t="n">
        <v>2</v>
      </c>
      <c r="G2780" s="23" t="inlineStr">
        <is>
          <t>Non</t>
        </is>
      </c>
      <c r="H2780" s="23" t="inlineStr">
        <is>
          <t>ON</t>
        </is>
      </c>
      <c r="I2780" s="24" t="n">
        <v>744.7528686370244</v>
      </c>
      <c r="J2780" s="24" t="n">
        <v>6550.668683077564</v>
      </c>
      <c r="K2780" s="24" t="n">
        <v>4222.222222222223</v>
      </c>
      <c r="L2780" s="24" t="n">
        <v>150</v>
      </c>
      <c r="M2780" s="24">
        <f>I2780+J2780+K2780+L2780</f>
        <v/>
      </c>
      <c r="N2780" s="24">
        <f>M2780*'Dashboard &amp; Optimisation'!$B$18/('Dashboard &amp; Optimisation'!$B$16/3.6)</f>
        <v/>
      </c>
      <c r="O2780" s="24" t="n">
        <v>1162.482305917401</v>
      </c>
      <c r="P2780" s="25" t="n">
        <v>0.0491797965715034</v>
      </c>
      <c r="Q2780" s="26" t="n">
        <v>15.94396732146484</v>
      </c>
      <c r="R2780" s="24" t="n">
        <v>5481.952782193951</v>
      </c>
      <c r="S2780" s="24">
        <f>R2780*IF(A2780=4, 2.0, 3.0)</f>
        <v/>
      </c>
      <c r="T2780" s="22">
        <f>'Dashboard &amp; Optimisation'!$B$18*U2780</f>
        <v/>
      </c>
      <c r="U2780" s="27">
        <f>MIN(1, S2780/M2780)</f>
        <v/>
      </c>
      <c r="V2780" s="27">
        <f>N2780/(N2780+O2780)</f>
        <v/>
      </c>
      <c r="W2780" s="27">
        <f>U2780*V2780</f>
        <v/>
      </c>
      <c r="X2780" s="25">
        <f>T2780/N2780</f>
        <v/>
      </c>
      <c r="Y2780" s="28">
        <f>IF(W2780=MAXIFS(W$2:W$3601, A$2:A$3601, A2780, B$2:B$3601, B2780), "OPTIMAL", "")</f>
        <v/>
      </c>
    </row>
    <row r="2781" ht="20" customHeight="1">
      <c r="A2781" s="29" t="n">
        <v>-18</v>
      </c>
      <c r="B2781" s="29" t="n">
        <v>35</v>
      </c>
      <c r="C2781" s="30" t="n">
        <v>110</v>
      </c>
      <c r="D2781" s="30" t="n">
        <v>2</v>
      </c>
      <c r="E2781" s="6" t="n">
        <v>8</v>
      </c>
      <c r="F2781" s="30" t="n">
        <v>2</v>
      </c>
      <c r="G2781" s="6" t="inlineStr">
        <is>
          <t>Non</t>
        </is>
      </c>
      <c r="H2781" s="6" t="inlineStr">
        <is>
          <t>OFF</t>
        </is>
      </c>
      <c r="I2781" s="31" t="n">
        <v>744.7528686370244</v>
      </c>
      <c r="J2781" s="31" t="n">
        <v>6550.668683077564</v>
      </c>
      <c r="K2781" s="31" t="n">
        <v>4222.222222222223</v>
      </c>
      <c r="L2781" s="31" t="n">
        <v>150</v>
      </c>
      <c r="M2781" s="31">
        <f>I2781+J2781+K2781+L2781</f>
        <v/>
      </c>
      <c r="N2781" s="31">
        <f>M2781*'Dashboard &amp; Optimisation'!$B$18/('Dashboard &amp; Optimisation'!$B$16/3.6)</f>
        <v/>
      </c>
      <c r="O2781" s="31" t="n">
        <v>1162.482305917401</v>
      </c>
      <c r="P2781" s="32" t="n">
        <v>0.2247516739393566</v>
      </c>
      <c r="Q2781" s="33" t="n">
        <v>15.94396732146484</v>
      </c>
      <c r="R2781" s="31" t="n">
        <v>1199.552011860123</v>
      </c>
      <c r="S2781" s="31">
        <f>R2781*IF(A2781=4, 2.0, 3.0)</f>
        <v/>
      </c>
      <c r="T2781" s="30">
        <f>'Dashboard &amp; Optimisation'!$B$18*U2781</f>
        <v/>
      </c>
      <c r="U2781" s="34">
        <f>MIN(1, S2781/M2781)</f>
        <v/>
      </c>
      <c r="V2781" s="34">
        <f>N2781/(N2781+O2781)</f>
        <v/>
      </c>
      <c r="W2781" s="34">
        <f>U2781*V2781</f>
        <v/>
      </c>
      <c r="X2781" s="32">
        <f>T2781/N2781</f>
        <v/>
      </c>
      <c r="Y2781" s="35">
        <f>IF(W2781=MAXIFS(W$2:W$3601, A$2:A$3601, A2781, B$2:B$3601, B2781), "OPTIMAL", "")</f>
        <v/>
      </c>
    </row>
    <row r="2782" ht="20" customHeight="1">
      <c r="A2782" s="21" t="n">
        <v>-18</v>
      </c>
      <c r="B2782" s="21" t="n">
        <v>35</v>
      </c>
      <c r="C2782" s="22" t="n">
        <v>110</v>
      </c>
      <c r="D2782" s="22" t="n">
        <v>3</v>
      </c>
      <c r="E2782" s="23" t="n">
        <v>0</v>
      </c>
      <c r="F2782" s="22" t="n">
        <v>0</v>
      </c>
      <c r="G2782" s="23" t="inlineStr">
        <is>
          <t>Oui</t>
        </is>
      </c>
      <c r="H2782" s="23" t="inlineStr">
        <is>
          <t>ON</t>
        </is>
      </c>
      <c r="I2782" s="24" t="n">
        <v>744.7528686370244</v>
      </c>
      <c r="J2782" s="24" t="n">
        <v>6550.668683077564</v>
      </c>
      <c r="K2782" s="24" t="n">
        <v>4222.222222222223</v>
      </c>
      <c r="L2782" s="24" t="n">
        <v>150</v>
      </c>
      <c r="M2782" s="24">
        <f>I2782+J2782+K2782+L2782</f>
        <v/>
      </c>
      <c r="N2782" s="24">
        <f>M2782*'Dashboard &amp; Optimisation'!$B$18/('Dashboard &amp; Optimisation'!$B$16/3.6)</f>
        <v/>
      </c>
      <c r="O2782" s="24" t="n">
        <v>703.9573170115586</v>
      </c>
      <c r="P2782" s="25" t="n">
        <v>0.4731677858497217</v>
      </c>
      <c r="Q2782" s="26" t="n">
        <v>0.2</v>
      </c>
      <c r="R2782" s="24" t="n">
        <v>546.4022622355614</v>
      </c>
      <c r="S2782" s="24">
        <f>R2782*IF(A2782=4, 2.0, 3.0)</f>
        <v/>
      </c>
      <c r="T2782" s="22">
        <f>'Dashboard &amp; Optimisation'!$B$18*U2782</f>
        <v/>
      </c>
      <c r="U2782" s="27">
        <f>MIN(1, S2782/M2782)</f>
        <v/>
      </c>
      <c r="V2782" s="27">
        <f>N2782/(N2782+O2782)</f>
        <v/>
      </c>
      <c r="W2782" s="27">
        <f>U2782*V2782</f>
        <v/>
      </c>
      <c r="X2782" s="25">
        <f>T2782/N2782</f>
        <v/>
      </c>
      <c r="Y2782" s="28">
        <f>IF(W2782=MAXIFS(W$2:W$3601, A$2:A$3601, A2782, B$2:B$3601, B2782), "OPTIMAL", "")</f>
        <v/>
      </c>
    </row>
    <row r="2783" ht="20" customHeight="1">
      <c r="A2783" s="29" t="n">
        <v>-18</v>
      </c>
      <c r="B2783" s="29" t="n">
        <v>35</v>
      </c>
      <c r="C2783" s="30" t="n">
        <v>110</v>
      </c>
      <c r="D2783" s="30" t="n">
        <v>3</v>
      </c>
      <c r="E2783" s="6" t="n">
        <v>0</v>
      </c>
      <c r="F2783" s="30" t="n">
        <v>0</v>
      </c>
      <c r="G2783" s="6" t="inlineStr">
        <is>
          <t>Oui</t>
        </is>
      </c>
      <c r="H2783" s="6" t="inlineStr">
        <is>
          <t>OFF</t>
        </is>
      </c>
      <c r="I2783" s="31" t="n">
        <v>744.7528686370244</v>
      </c>
      <c r="J2783" s="31" t="n">
        <v>6550.668683077564</v>
      </c>
      <c r="K2783" s="31" t="n">
        <v>4222.222222222223</v>
      </c>
      <c r="L2783" s="31" t="n">
        <v>150</v>
      </c>
      <c r="M2783" s="31">
        <f>I2783+J2783+K2783+L2783</f>
        <v/>
      </c>
      <c r="N2783" s="31">
        <f>M2783*'Dashboard &amp; Optimisation'!$B$18/('Dashboard &amp; Optimisation'!$B$16/3.6)</f>
        <v/>
      </c>
      <c r="O2783" s="31" t="n">
        <v>703.9573170115586</v>
      </c>
      <c r="P2783" s="32" t="n">
        <v>0.7625404096531678</v>
      </c>
      <c r="Q2783" s="33" t="n">
        <v>0.2</v>
      </c>
      <c r="R2783" s="31" t="n">
        <v>339.0508166286863</v>
      </c>
      <c r="S2783" s="31">
        <f>R2783*IF(A2783=4, 2.0, 3.0)</f>
        <v/>
      </c>
      <c r="T2783" s="30">
        <f>'Dashboard &amp; Optimisation'!$B$18*U2783</f>
        <v/>
      </c>
      <c r="U2783" s="34">
        <f>MIN(1, S2783/M2783)</f>
        <v/>
      </c>
      <c r="V2783" s="34">
        <f>N2783/(N2783+O2783)</f>
        <v/>
      </c>
      <c r="W2783" s="34">
        <f>U2783*V2783</f>
        <v/>
      </c>
      <c r="X2783" s="32">
        <f>T2783/N2783</f>
        <v/>
      </c>
      <c r="Y2783" s="35">
        <f>IF(W2783=MAXIFS(W$2:W$3601, A$2:A$3601, A2783, B$2:B$3601, B2783), "OPTIMAL", "")</f>
        <v/>
      </c>
    </row>
    <row r="2784" ht="20" customHeight="1">
      <c r="A2784" s="21" t="n">
        <v>-18</v>
      </c>
      <c r="B2784" s="21" t="n">
        <v>35</v>
      </c>
      <c r="C2784" s="22" t="n">
        <v>110</v>
      </c>
      <c r="D2784" s="22" t="n">
        <v>3</v>
      </c>
      <c r="E2784" s="23" t="n">
        <v>0</v>
      </c>
      <c r="F2784" s="22" t="n">
        <v>0</v>
      </c>
      <c r="G2784" s="23" t="inlineStr">
        <is>
          <t>Non</t>
        </is>
      </c>
      <c r="H2784" s="23" t="inlineStr">
        <is>
          <t>ON</t>
        </is>
      </c>
      <c r="I2784" s="24" t="n">
        <v>744.7528686370244</v>
      </c>
      <c r="J2784" s="24" t="n">
        <v>6550.668683077564</v>
      </c>
      <c r="K2784" s="24" t="n">
        <v>4222.222222222223</v>
      </c>
      <c r="L2784" s="24" t="n">
        <v>150</v>
      </c>
      <c r="M2784" s="24">
        <f>I2784+J2784+K2784+L2784</f>
        <v/>
      </c>
      <c r="N2784" s="24">
        <f>M2784*'Dashboard &amp; Optimisation'!$B$18/('Dashboard &amp; Optimisation'!$B$16/3.6)</f>
        <v/>
      </c>
      <c r="O2784" s="24" t="n">
        <v>703.9573170115586</v>
      </c>
      <c r="P2784" s="25" t="n">
        <v>0.4702740596116872</v>
      </c>
      <c r="Q2784" s="26" t="n">
        <v>0.2</v>
      </c>
      <c r="R2784" s="24" t="n">
        <v>549.7644263405898</v>
      </c>
      <c r="S2784" s="24">
        <f>R2784*IF(A2784=4, 2.0, 3.0)</f>
        <v/>
      </c>
      <c r="T2784" s="22">
        <f>'Dashboard &amp; Optimisation'!$B$18*U2784</f>
        <v/>
      </c>
      <c r="U2784" s="27">
        <f>MIN(1, S2784/M2784)</f>
        <v/>
      </c>
      <c r="V2784" s="27">
        <f>N2784/(N2784+O2784)</f>
        <v/>
      </c>
      <c r="W2784" s="27">
        <f>U2784*V2784</f>
        <v/>
      </c>
      <c r="X2784" s="25">
        <f>T2784/N2784</f>
        <v/>
      </c>
      <c r="Y2784" s="28">
        <f>IF(W2784=MAXIFS(W$2:W$3601, A$2:A$3601, A2784, B$2:B$3601, B2784), "OPTIMAL", "")</f>
        <v/>
      </c>
    </row>
    <row r="2785" ht="20" customHeight="1">
      <c r="A2785" s="29" t="n">
        <v>-18</v>
      </c>
      <c r="B2785" s="29" t="n">
        <v>35</v>
      </c>
      <c r="C2785" s="30" t="n">
        <v>110</v>
      </c>
      <c r="D2785" s="30" t="n">
        <v>3</v>
      </c>
      <c r="E2785" s="6" t="n">
        <v>0</v>
      </c>
      <c r="F2785" s="30" t="n">
        <v>0</v>
      </c>
      <c r="G2785" s="6" t="inlineStr">
        <is>
          <t>Non</t>
        </is>
      </c>
      <c r="H2785" s="6" t="inlineStr">
        <is>
          <t>OFF</t>
        </is>
      </c>
      <c r="I2785" s="31" t="n">
        <v>744.7528686370244</v>
      </c>
      <c r="J2785" s="31" t="n">
        <v>6550.668683077564</v>
      </c>
      <c r="K2785" s="31" t="n">
        <v>4222.222222222223</v>
      </c>
      <c r="L2785" s="31" t="n">
        <v>150</v>
      </c>
      <c r="M2785" s="31">
        <f>I2785+J2785+K2785+L2785</f>
        <v/>
      </c>
      <c r="N2785" s="31">
        <f>M2785*'Dashboard &amp; Optimisation'!$B$18/('Dashboard &amp; Optimisation'!$B$16/3.6)</f>
        <v/>
      </c>
      <c r="O2785" s="31" t="n">
        <v>703.9573170115586</v>
      </c>
      <c r="P2785" s="32" t="n">
        <v>0.7596466834151334</v>
      </c>
      <c r="Q2785" s="33" t="n">
        <v>0.2</v>
      </c>
      <c r="R2785" s="31" t="n">
        <v>340.3423647464173</v>
      </c>
      <c r="S2785" s="31">
        <f>R2785*IF(A2785=4, 2.0, 3.0)</f>
        <v/>
      </c>
      <c r="T2785" s="30">
        <f>'Dashboard &amp; Optimisation'!$B$18*U2785</f>
        <v/>
      </c>
      <c r="U2785" s="34">
        <f>MIN(1, S2785/M2785)</f>
        <v/>
      </c>
      <c r="V2785" s="34">
        <f>N2785/(N2785+O2785)</f>
        <v/>
      </c>
      <c r="W2785" s="34">
        <f>U2785*V2785</f>
        <v/>
      </c>
      <c r="X2785" s="32">
        <f>T2785/N2785</f>
        <v/>
      </c>
      <c r="Y2785" s="35">
        <f>IF(W2785=MAXIFS(W$2:W$3601, A$2:A$3601, A2785, B$2:B$3601, B2785), "OPTIMAL", "")</f>
        <v/>
      </c>
    </row>
    <row r="2786" ht="20" customHeight="1">
      <c r="A2786" s="21" t="n">
        <v>-18</v>
      </c>
      <c r="B2786" s="21" t="n">
        <v>35</v>
      </c>
      <c r="C2786" s="22" t="n">
        <v>110</v>
      </c>
      <c r="D2786" s="22" t="n">
        <v>3</v>
      </c>
      <c r="E2786" s="23" t="n">
        <v>4</v>
      </c>
      <c r="F2786" s="22" t="n">
        <v>1.5</v>
      </c>
      <c r="G2786" s="23" t="inlineStr">
        <is>
          <t>Oui</t>
        </is>
      </c>
      <c r="H2786" s="23" t="inlineStr">
        <is>
          <t>ON</t>
        </is>
      </c>
      <c r="I2786" s="24" t="n">
        <v>744.7528686370244</v>
      </c>
      <c r="J2786" s="24" t="n">
        <v>6550.668683077564</v>
      </c>
      <c r="K2786" s="24" t="n">
        <v>4222.222222222223</v>
      </c>
      <c r="L2786" s="24" t="n">
        <v>150</v>
      </c>
      <c r="M2786" s="24">
        <f>I2786+J2786+K2786+L2786</f>
        <v/>
      </c>
      <c r="N2786" s="24">
        <f>M2786*'Dashboard &amp; Optimisation'!$B$18/('Dashboard &amp; Optimisation'!$B$16/3.6)</f>
        <v/>
      </c>
      <c r="O2786" s="24" t="n">
        <v>969.5041756535094</v>
      </c>
      <c r="P2786" s="25" t="n">
        <v>0.07040639651024357</v>
      </c>
      <c r="Q2786" s="26" t="n">
        <v>6.217525971425261</v>
      </c>
      <c r="R2786" s="24" t="n">
        <v>3783.270567938799</v>
      </c>
      <c r="S2786" s="24">
        <f>R2786*IF(A2786=4, 2.0, 3.0)</f>
        <v/>
      </c>
      <c r="T2786" s="22">
        <f>'Dashboard &amp; Optimisation'!$B$18*U2786</f>
        <v/>
      </c>
      <c r="U2786" s="27">
        <f>MIN(1, S2786/M2786)</f>
        <v/>
      </c>
      <c r="V2786" s="27">
        <f>N2786/(N2786+O2786)</f>
        <v/>
      </c>
      <c r="W2786" s="27">
        <f>U2786*V2786</f>
        <v/>
      </c>
      <c r="X2786" s="25">
        <f>T2786/N2786</f>
        <v/>
      </c>
      <c r="Y2786" s="28">
        <f>IF(W2786=MAXIFS(W$2:W$3601, A$2:A$3601, A2786, B$2:B$3601, B2786), "OPTIMAL", "")</f>
        <v/>
      </c>
    </row>
    <row r="2787" ht="20" customHeight="1">
      <c r="A2787" s="29" t="n">
        <v>-18</v>
      </c>
      <c r="B2787" s="29" t="n">
        <v>35</v>
      </c>
      <c r="C2787" s="30" t="n">
        <v>110</v>
      </c>
      <c r="D2787" s="30" t="n">
        <v>3</v>
      </c>
      <c r="E2787" s="6" t="n">
        <v>4</v>
      </c>
      <c r="F2787" s="30" t="n">
        <v>1.5</v>
      </c>
      <c r="G2787" s="6" t="inlineStr">
        <is>
          <t>Oui</t>
        </is>
      </c>
      <c r="H2787" s="6" t="inlineStr">
        <is>
          <t>OFF</t>
        </is>
      </c>
      <c r="I2787" s="31" t="n">
        <v>744.7528686370244</v>
      </c>
      <c r="J2787" s="31" t="n">
        <v>6550.668683077564</v>
      </c>
      <c r="K2787" s="31" t="n">
        <v>4222.222222222223</v>
      </c>
      <c r="L2787" s="31" t="n">
        <v>150</v>
      </c>
      <c r="M2787" s="31">
        <f>I2787+J2787+K2787+L2787</f>
        <v/>
      </c>
      <c r="N2787" s="31">
        <f>M2787*'Dashboard &amp; Optimisation'!$B$18/('Dashboard &amp; Optimisation'!$B$16/3.6)</f>
        <v/>
      </c>
      <c r="O2787" s="31" t="n">
        <v>969.5041756535094</v>
      </c>
      <c r="P2787" s="32" t="n">
        <v>0.2880026189593694</v>
      </c>
      <c r="Q2787" s="33" t="n">
        <v>6.217525971425261</v>
      </c>
      <c r="R2787" s="31" t="n">
        <v>924.8750885470653</v>
      </c>
      <c r="S2787" s="31">
        <f>R2787*IF(A2787=4, 2.0, 3.0)</f>
        <v/>
      </c>
      <c r="T2787" s="30">
        <f>'Dashboard &amp; Optimisation'!$B$18*U2787</f>
        <v/>
      </c>
      <c r="U2787" s="34">
        <f>MIN(1, S2787/M2787)</f>
        <v/>
      </c>
      <c r="V2787" s="34">
        <f>N2787/(N2787+O2787)</f>
        <v/>
      </c>
      <c r="W2787" s="34">
        <f>U2787*V2787</f>
        <v/>
      </c>
      <c r="X2787" s="32">
        <f>T2787/N2787</f>
        <v/>
      </c>
      <c r="Y2787" s="35">
        <f>IF(W2787=MAXIFS(W$2:W$3601, A$2:A$3601, A2787, B$2:B$3601, B2787), "OPTIMAL", "")</f>
        <v/>
      </c>
    </row>
    <row r="2788" ht="20" customHeight="1">
      <c r="A2788" s="21" t="n">
        <v>-18</v>
      </c>
      <c r="B2788" s="21" t="n">
        <v>35</v>
      </c>
      <c r="C2788" s="22" t="n">
        <v>110</v>
      </c>
      <c r="D2788" s="22" t="n">
        <v>3</v>
      </c>
      <c r="E2788" s="23" t="n">
        <v>4</v>
      </c>
      <c r="F2788" s="22" t="n">
        <v>1.5</v>
      </c>
      <c r="G2788" s="23" t="inlineStr">
        <is>
          <t>Non</t>
        </is>
      </c>
      <c r="H2788" s="23" t="inlineStr">
        <is>
          <t>ON</t>
        </is>
      </c>
      <c r="I2788" s="24" t="n">
        <v>744.7528686370244</v>
      </c>
      <c r="J2788" s="24" t="n">
        <v>6550.668683077564</v>
      </c>
      <c r="K2788" s="24" t="n">
        <v>4222.222222222223</v>
      </c>
      <c r="L2788" s="24" t="n">
        <v>150</v>
      </c>
      <c r="M2788" s="24">
        <f>I2788+J2788+K2788+L2788</f>
        <v/>
      </c>
      <c r="N2788" s="24">
        <f>M2788*'Dashboard &amp; Optimisation'!$B$18/('Dashboard &amp; Optimisation'!$B$16/3.6)</f>
        <v/>
      </c>
      <c r="O2788" s="24" t="n">
        <v>969.5041756535094</v>
      </c>
      <c r="P2788" s="25" t="n">
        <v>0.06751267027220911</v>
      </c>
      <c r="Q2788" s="26" t="n">
        <v>6.217525971425261</v>
      </c>
      <c r="R2788" s="24" t="n">
        <v>3945.42900818249</v>
      </c>
      <c r="S2788" s="24">
        <f>R2788*IF(A2788=4, 2.0, 3.0)</f>
        <v/>
      </c>
      <c r="T2788" s="22">
        <f>'Dashboard &amp; Optimisation'!$B$18*U2788</f>
        <v/>
      </c>
      <c r="U2788" s="27">
        <f>MIN(1, S2788/M2788)</f>
        <v/>
      </c>
      <c r="V2788" s="27">
        <f>N2788/(N2788+O2788)</f>
        <v/>
      </c>
      <c r="W2788" s="27">
        <f>U2788*V2788</f>
        <v/>
      </c>
      <c r="X2788" s="25">
        <f>T2788/N2788</f>
        <v/>
      </c>
      <c r="Y2788" s="28">
        <f>IF(W2788=MAXIFS(W$2:W$3601, A$2:A$3601, A2788, B$2:B$3601, B2788), "OPTIMAL", "")</f>
        <v/>
      </c>
    </row>
    <row r="2789" ht="20" customHeight="1">
      <c r="A2789" s="29" t="n">
        <v>-18</v>
      </c>
      <c r="B2789" s="29" t="n">
        <v>35</v>
      </c>
      <c r="C2789" s="30" t="n">
        <v>110</v>
      </c>
      <c r="D2789" s="30" t="n">
        <v>3</v>
      </c>
      <c r="E2789" s="6" t="n">
        <v>4</v>
      </c>
      <c r="F2789" s="30" t="n">
        <v>1.5</v>
      </c>
      <c r="G2789" s="6" t="inlineStr">
        <is>
          <t>Non</t>
        </is>
      </c>
      <c r="H2789" s="6" t="inlineStr">
        <is>
          <t>OFF</t>
        </is>
      </c>
      <c r="I2789" s="31" t="n">
        <v>744.7528686370244</v>
      </c>
      <c r="J2789" s="31" t="n">
        <v>6550.668683077564</v>
      </c>
      <c r="K2789" s="31" t="n">
        <v>4222.222222222223</v>
      </c>
      <c r="L2789" s="31" t="n">
        <v>150</v>
      </c>
      <c r="M2789" s="31">
        <f>I2789+J2789+K2789+L2789</f>
        <v/>
      </c>
      <c r="N2789" s="31">
        <f>M2789*'Dashboard &amp; Optimisation'!$B$18/('Dashboard &amp; Optimisation'!$B$16/3.6)</f>
        <v/>
      </c>
      <c r="O2789" s="31" t="n">
        <v>969.5041756535094</v>
      </c>
      <c r="P2789" s="32" t="n">
        <v>0.2851088927213349</v>
      </c>
      <c r="Q2789" s="33" t="n">
        <v>6.217525971425261</v>
      </c>
      <c r="R2789" s="31" t="n">
        <v>934.2621521531413</v>
      </c>
      <c r="S2789" s="31">
        <f>R2789*IF(A2789=4, 2.0, 3.0)</f>
        <v/>
      </c>
      <c r="T2789" s="30">
        <f>'Dashboard &amp; Optimisation'!$B$18*U2789</f>
        <v/>
      </c>
      <c r="U2789" s="34">
        <f>MIN(1, S2789/M2789)</f>
        <v/>
      </c>
      <c r="V2789" s="34">
        <f>N2789/(N2789+O2789)</f>
        <v/>
      </c>
      <c r="W2789" s="34">
        <f>U2789*V2789</f>
        <v/>
      </c>
      <c r="X2789" s="32">
        <f>T2789/N2789</f>
        <v/>
      </c>
      <c r="Y2789" s="35">
        <f>IF(W2789=MAXIFS(W$2:W$3601, A$2:A$3601, A2789, B$2:B$3601, B2789), "OPTIMAL", "")</f>
        <v/>
      </c>
    </row>
    <row r="2790" ht="20" customHeight="1">
      <c r="A2790" s="21" t="n">
        <v>-18</v>
      </c>
      <c r="B2790" s="21" t="n">
        <v>35</v>
      </c>
      <c r="C2790" s="22" t="n">
        <v>110</v>
      </c>
      <c r="D2790" s="22" t="n">
        <v>3</v>
      </c>
      <c r="E2790" s="23" t="n">
        <v>4</v>
      </c>
      <c r="F2790" s="22" t="n">
        <v>2</v>
      </c>
      <c r="G2790" s="23" t="inlineStr">
        <is>
          <t>Oui</t>
        </is>
      </c>
      <c r="H2790" s="23" t="inlineStr">
        <is>
          <t>ON</t>
        </is>
      </c>
      <c r="I2790" s="24" t="n">
        <v>744.7528686370244</v>
      </c>
      <c r="J2790" s="24" t="n">
        <v>6550.668683077564</v>
      </c>
      <c r="K2790" s="24" t="n">
        <v>4222.222222222223</v>
      </c>
      <c r="L2790" s="24" t="n">
        <v>150</v>
      </c>
      <c r="M2790" s="24">
        <f>I2790+J2790+K2790+L2790</f>
        <v/>
      </c>
      <c r="N2790" s="24">
        <f>M2790*'Dashboard &amp; Optimisation'!$B$18/('Dashboard &amp; Optimisation'!$B$16/3.6)</f>
        <v/>
      </c>
      <c r="O2790" s="24" t="n">
        <v>1061.628929977898</v>
      </c>
      <c r="P2790" s="25" t="n">
        <v>0.06745693940259542</v>
      </c>
      <c r="Q2790" s="26" t="n">
        <v>8.223367961900347</v>
      </c>
      <c r="R2790" s="24" t="n">
        <v>3988.939546565534</v>
      </c>
      <c r="S2790" s="24">
        <f>R2790*IF(A2790=4, 2.0, 3.0)</f>
        <v/>
      </c>
      <c r="T2790" s="22">
        <f>'Dashboard &amp; Optimisation'!$B$18*U2790</f>
        <v/>
      </c>
      <c r="U2790" s="27">
        <f>MIN(1, S2790/M2790)</f>
        <v/>
      </c>
      <c r="V2790" s="27">
        <f>N2790/(N2790+O2790)</f>
        <v/>
      </c>
      <c r="W2790" s="27">
        <f>U2790*V2790</f>
        <v/>
      </c>
      <c r="X2790" s="25">
        <f>T2790/N2790</f>
        <v/>
      </c>
      <c r="Y2790" s="28">
        <f>IF(W2790=MAXIFS(W$2:W$3601, A$2:A$3601, A2790, B$2:B$3601, B2790), "OPTIMAL", "")</f>
        <v/>
      </c>
    </row>
    <row r="2791" ht="20" customHeight="1">
      <c r="A2791" s="29" t="n">
        <v>-18</v>
      </c>
      <c r="B2791" s="29" t="n">
        <v>35</v>
      </c>
      <c r="C2791" s="30" t="n">
        <v>110</v>
      </c>
      <c r="D2791" s="30" t="n">
        <v>3</v>
      </c>
      <c r="E2791" s="6" t="n">
        <v>4</v>
      </c>
      <c r="F2791" s="30" t="n">
        <v>2</v>
      </c>
      <c r="G2791" s="6" t="inlineStr">
        <is>
          <t>Oui</t>
        </is>
      </c>
      <c r="H2791" s="6" t="inlineStr">
        <is>
          <t>OFF</t>
        </is>
      </c>
      <c r="I2791" s="31" t="n">
        <v>744.7528686370244</v>
      </c>
      <c r="J2791" s="31" t="n">
        <v>6550.668683077564</v>
      </c>
      <c r="K2791" s="31" t="n">
        <v>4222.222222222223</v>
      </c>
      <c r="L2791" s="31" t="n">
        <v>150</v>
      </c>
      <c r="M2791" s="31">
        <f>I2791+J2791+K2791+L2791</f>
        <v/>
      </c>
      <c r="N2791" s="31">
        <f>M2791*'Dashboard &amp; Optimisation'!$B$18/('Dashboard &amp; Optimisation'!$B$16/3.6)</f>
        <v/>
      </c>
      <c r="O2791" s="31" t="n">
        <v>1061.628929977898</v>
      </c>
      <c r="P2791" s="32" t="n">
        <v>0.286002519850184</v>
      </c>
      <c r="Q2791" s="33" t="n">
        <v>8.223367961900347</v>
      </c>
      <c r="R2791" s="31" t="n">
        <v>940.8366521184503</v>
      </c>
      <c r="S2791" s="31">
        <f>R2791*IF(A2791=4, 2.0, 3.0)</f>
        <v/>
      </c>
      <c r="T2791" s="30">
        <f>'Dashboard &amp; Optimisation'!$B$18*U2791</f>
        <v/>
      </c>
      <c r="U2791" s="34">
        <f>MIN(1, S2791/M2791)</f>
        <v/>
      </c>
      <c r="V2791" s="34">
        <f>N2791/(N2791+O2791)</f>
        <v/>
      </c>
      <c r="W2791" s="34">
        <f>U2791*V2791</f>
        <v/>
      </c>
      <c r="X2791" s="32">
        <f>T2791/N2791</f>
        <v/>
      </c>
      <c r="Y2791" s="35">
        <f>IF(W2791=MAXIFS(W$2:W$3601, A$2:A$3601, A2791, B$2:B$3601, B2791), "OPTIMAL", "")</f>
        <v/>
      </c>
    </row>
    <row r="2792" ht="20" customHeight="1">
      <c r="A2792" s="21" t="n">
        <v>-18</v>
      </c>
      <c r="B2792" s="21" t="n">
        <v>35</v>
      </c>
      <c r="C2792" s="22" t="n">
        <v>110</v>
      </c>
      <c r="D2792" s="22" t="n">
        <v>3</v>
      </c>
      <c r="E2792" s="23" t="n">
        <v>4</v>
      </c>
      <c r="F2792" s="22" t="n">
        <v>2</v>
      </c>
      <c r="G2792" s="23" t="inlineStr">
        <is>
          <t>Non</t>
        </is>
      </c>
      <c r="H2792" s="23" t="inlineStr">
        <is>
          <t>ON</t>
        </is>
      </c>
      <c r="I2792" s="24" t="n">
        <v>744.7528686370244</v>
      </c>
      <c r="J2792" s="24" t="n">
        <v>6550.668683077564</v>
      </c>
      <c r="K2792" s="24" t="n">
        <v>4222.222222222223</v>
      </c>
      <c r="L2792" s="24" t="n">
        <v>150</v>
      </c>
      <c r="M2792" s="24">
        <f>I2792+J2792+K2792+L2792</f>
        <v/>
      </c>
      <c r="N2792" s="24">
        <f>M2792*'Dashboard &amp; Optimisation'!$B$18/('Dashboard &amp; Optimisation'!$B$16/3.6)</f>
        <v/>
      </c>
      <c r="O2792" s="24" t="n">
        <v>1061.628929977898</v>
      </c>
      <c r="P2792" s="25" t="n">
        <v>0.06456321316456097</v>
      </c>
      <c r="Q2792" s="26" t="n">
        <v>8.223367961900347</v>
      </c>
      <c r="R2792" s="24" t="n">
        <v>4167.724003875752</v>
      </c>
      <c r="S2792" s="24">
        <f>R2792*IF(A2792=4, 2.0, 3.0)</f>
        <v/>
      </c>
      <c r="T2792" s="22">
        <f>'Dashboard &amp; Optimisation'!$B$18*U2792</f>
        <v/>
      </c>
      <c r="U2792" s="27">
        <f>MIN(1, S2792/M2792)</f>
        <v/>
      </c>
      <c r="V2792" s="27">
        <f>N2792/(N2792+O2792)</f>
        <v/>
      </c>
      <c r="W2792" s="27">
        <f>U2792*V2792</f>
        <v/>
      </c>
      <c r="X2792" s="25">
        <f>T2792/N2792</f>
        <v/>
      </c>
      <c r="Y2792" s="28">
        <f>IF(W2792=MAXIFS(W$2:W$3601, A$2:A$3601, A2792, B$2:B$3601, B2792), "OPTIMAL", "")</f>
        <v/>
      </c>
    </row>
    <row r="2793" ht="20" customHeight="1">
      <c r="A2793" s="29" t="n">
        <v>-18</v>
      </c>
      <c r="B2793" s="29" t="n">
        <v>35</v>
      </c>
      <c r="C2793" s="30" t="n">
        <v>110</v>
      </c>
      <c r="D2793" s="30" t="n">
        <v>3</v>
      </c>
      <c r="E2793" s="6" t="n">
        <v>4</v>
      </c>
      <c r="F2793" s="30" t="n">
        <v>2</v>
      </c>
      <c r="G2793" s="6" t="inlineStr">
        <is>
          <t>Non</t>
        </is>
      </c>
      <c r="H2793" s="6" t="inlineStr">
        <is>
          <t>OFF</t>
        </is>
      </c>
      <c r="I2793" s="31" t="n">
        <v>744.7528686370244</v>
      </c>
      <c r="J2793" s="31" t="n">
        <v>6550.668683077564</v>
      </c>
      <c r="K2793" s="31" t="n">
        <v>4222.222222222223</v>
      </c>
      <c r="L2793" s="31" t="n">
        <v>150</v>
      </c>
      <c r="M2793" s="31">
        <f>I2793+J2793+K2793+L2793</f>
        <v/>
      </c>
      <c r="N2793" s="31">
        <f>M2793*'Dashboard &amp; Optimisation'!$B$18/('Dashboard &amp; Optimisation'!$B$16/3.6)</f>
        <v/>
      </c>
      <c r="O2793" s="31" t="n">
        <v>1061.628929977898</v>
      </c>
      <c r="P2793" s="32" t="n">
        <v>0.2831087936121495</v>
      </c>
      <c r="Q2793" s="33" t="n">
        <v>8.223367961900347</v>
      </c>
      <c r="R2793" s="31" t="n">
        <v>950.4531803484756</v>
      </c>
      <c r="S2793" s="31">
        <f>R2793*IF(A2793=4, 2.0, 3.0)</f>
        <v/>
      </c>
      <c r="T2793" s="30">
        <f>'Dashboard &amp; Optimisation'!$B$18*U2793</f>
        <v/>
      </c>
      <c r="U2793" s="34">
        <f>MIN(1, S2793/M2793)</f>
        <v/>
      </c>
      <c r="V2793" s="34">
        <f>N2793/(N2793+O2793)</f>
        <v/>
      </c>
      <c r="W2793" s="34">
        <f>U2793*V2793</f>
        <v/>
      </c>
      <c r="X2793" s="32">
        <f>T2793/N2793</f>
        <v/>
      </c>
      <c r="Y2793" s="35">
        <f>IF(W2793=MAXIFS(W$2:W$3601, A$2:A$3601, A2793, B$2:B$3601, B2793), "OPTIMAL", "")</f>
        <v/>
      </c>
    </row>
    <row r="2794" ht="20" customHeight="1">
      <c r="A2794" s="21" t="n">
        <v>-18</v>
      </c>
      <c r="B2794" s="21" t="n">
        <v>35</v>
      </c>
      <c r="C2794" s="22" t="n">
        <v>110</v>
      </c>
      <c r="D2794" s="22" t="n">
        <v>3</v>
      </c>
      <c r="E2794" s="23" t="n">
        <v>8</v>
      </c>
      <c r="F2794" s="22" t="n">
        <v>1.5</v>
      </c>
      <c r="G2794" s="23" t="inlineStr">
        <is>
          <t>Oui</t>
        </is>
      </c>
      <c r="H2794" s="23" t="inlineStr">
        <is>
          <t>ON</t>
        </is>
      </c>
      <c r="I2794" s="24" t="n">
        <v>744.7528686370244</v>
      </c>
      <c r="J2794" s="24" t="n">
        <v>6550.668683077564</v>
      </c>
      <c r="K2794" s="24" t="n">
        <v>4222.222222222223</v>
      </c>
      <c r="L2794" s="24" t="n">
        <v>150</v>
      </c>
      <c r="M2794" s="24">
        <f>I2794+J2794+K2794+L2794</f>
        <v/>
      </c>
      <c r="N2794" s="24">
        <f>M2794*'Dashboard &amp; Optimisation'!$B$18/('Dashboard &amp; Optimisation'!$B$16/3.6)</f>
        <v/>
      </c>
      <c r="O2794" s="24" t="n">
        <v>1251.630138895272</v>
      </c>
      <c r="P2794" s="25" t="n">
        <v>0.05337810813348487</v>
      </c>
      <c r="Q2794" s="26" t="n">
        <v>12.23505194285052</v>
      </c>
      <c r="R2794" s="24" t="n">
        <v>5145.959545115276</v>
      </c>
      <c r="S2794" s="24">
        <f>R2794*IF(A2794=4, 2.0, 3.0)</f>
        <v/>
      </c>
      <c r="T2794" s="22">
        <f>'Dashboard &amp; Optimisation'!$B$18*U2794</f>
        <v/>
      </c>
      <c r="U2794" s="27">
        <f>MIN(1, S2794/M2794)</f>
        <v/>
      </c>
      <c r="V2794" s="27">
        <f>N2794/(N2794+O2794)</f>
        <v/>
      </c>
      <c r="W2794" s="27">
        <f>U2794*V2794</f>
        <v/>
      </c>
      <c r="X2794" s="25">
        <f>T2794/N2794</f>
        <v/>
      </c>
      <c r="Y2794" s="28">
        <f>IF(W2794=MAXIFS(W$2:W$3601, A$2:A$3601, A2794, B$2:B$3601, B2794), "OPTIMAL", "")</f>
        <v/>
      </c>
    </row>
    <row r="2795" ht="20" customHeight="1">
      <c r="A2795" s="29" t="n">
        <v>-18</v>
      </c>
      <c r="B2795" s="29" t="n">
        <v>35</v>
      </c>
      <c r="C2795" s="30" t="n">
        <v>110</v>
      </c>
      <c r="D2795" s="30" t="n">
        <v>3</v>
      </c>
      <c r="E2795" s="6" t="n">
        <v>8</v>
      </c>
      <c r="F2795" s="30" t="n">
        <v>1.5</v>
      </c>
      <c r="G2795" s="6" t="inlineStr">
        <is>
          <t>Oui</t>
        </is>
      </c>
      <c r="H2795" s="6" t="inlineStr">
        <is>
          <t>OFF</t>
        </is>
      </c>
      <c r="I2795" s="31" t="n">
        <v>744.7528686370244</v>
      </c>
      <c r="J2795" s="31" t="n">
        <v>6550.668683077564</v>
      </c>
      <c r="K2795" s="31" t="n">
        <v>4222.222222222223</v>
      </c>
      <c r="L2795" s="31" t="n">
        <v>150</v>
      </c>
      <c r="M2795" s="31">
        <f>I2795+J2795+K2795+L2795</f>
        <v/>
      </c>
      <c r="N2795" s="31">
        <f>M2795*'Dashboard &amp; Optimisation'!$B$18/('Dashboard &amp; Optimisation'!$B$16/3.6)</f>
        <v/>
      </c>
      <c r="O2795" s="31" t="n">
        <v>1251.630138895272</v>
      </c>
      <c r="P2795" s="32" t="n">
        <v>0.2277274271081772</v>
      </c>
      <c r="Q2795" s="33" t="n">
        <v>12.23505194285052</v>
      </c>
      <c r="R2795" s="31" t="n">
        <v>1206.18578331902</v>
      </c>
      <c r="S2795" s="31">
        <f>R2795*IF(A2795=4, 2.0, 3.0)</f>
        <v/>
      </c>
      <c r="T2795" s="30">
        <f>'Dashboard &amp; Optimisation'!$B$18*U2795</f>
        <v/>
      </c>
      <c r="U2795" s="34">
        <f>MIN(1, S2795/M2795)</f>
        <v/>
      </c>
      <c r="V2795" s="34">
        <f>N2795/(N2795+O2795)</f>
        <v/>
      </c>
      <c r="W2795" s="34">
        <f>U2795*V2795</f>
        <v/>
      </c>
      <c r="X2795" s="32">
        <f>T2795/N2795</f>
        <v/>
      </c>
      <c r="Y2795" s="35">
        <f>IF(W2795=MAXIFS(W$2:W$3601, A$2:A$3601, A2795, B$2:B$3601, B2795), "OPTIMAL", "")</f>
        <v/>
      </c>
    </row>
    <row r="2796" ht="20" customHeight="1">
      <c r="A2796" s="21" t="n">
        <v>-18</v>
      </c>
      <c r="B2796" s="21" t="n">
        <v>35</v>
      </c>
      <c r="C2796" s="22" t="n">
        <v>110</v>
      </c>
      <c r="D2796" s="22" t="n">
        <v>3</v>
      </c>
      <c r="E2796" s="23" t="n">
        <v>8</v>
      </c>
      <c r="F2796" s="22" t="n">
        <v>1.5</v>
      </c>
      <c r="G2796" s="23" t="inlineStr">
        <is>
          <t>Non</t>
        </is>
      </c>
      <c r="H2796" s="23" t="inlineStr">
        <is>
          <t>ON</t>
        </is>
      </c>
      <c r="I2796" s="24" t="n">
        <v>744.7528686370244</v>
      </c>
      <c r="J2796" s="24" t="n">
        <v>6550.668683077564</v>
      </c>
      <c r="K2796" s="24" t="n">
        <v>4222.222222222223</v>
      </c>
      <c r="L2796" s="24" t="n">
        <v>150</v>
      </c>
      <c r="M2796" s="24">
        <f>I2796+J2796+K2796+L2796</f>
        <v/>
      </c>
      <c r="N2796" s="24">
        <f>M2796*'Dashboard &amp; Optimisation'!$B$18/('Dashboard &amp; Optimisation'!$B$16/3.6)</f>
        <v/>
      </c>
      <c r="O2796" s="24" t="n">
        <v>1251.630138895272</v>
      </c>
      <c r="P2796" s="25" t="n">
        <v>0.05048438189545042</v>
      </c>
      <c r="Q2796" s="26" t="n">
        <v>12.23505194285052</v>
      </c>
      <c r="R2796" s="24" t="n">
        <v>5440.922018586816</v>
      </c>
      <c r="S2796" s="24">
        <f>R2796*IF(A2796=4, 2.0, 3.0)</f>
        <v/>
      </c>
      <c r="T2796" s="22">
        <f>'Dashboard &amp; Optimisation'!$B$18*U2796</f>
        <v/>
      </c>
      <c r="U2796" s="27">
        <f>MIN(1, S2796/M2796)</f>
        <v/>
      </c>
      <c r="V2796" s="27">
        <f>N2796/(N2796+O2796)</f>
        <v/>
      </c>
      <c r="W2796" s="27">
        <f>U2796*V2796</f>
        <v/>
      </c>
      <c r="X2796" s="25">
        <f>T2796/N2796</f>
        <v/>
      </c>
      <c r="Y2796" s="28">
        <f>IF(W2796=MAXIFS(W$2:W$3601, A$2:A$3601, A2796, B$2:B$3601, B2796), "OPTIMAL", "")</f>
        <v/>
      </c>
    </row>
    <row r="2797" ht="20" customHeight="1">
      <c r="A2797" s="29" t="n">
        <v>-18</v>
      </c>
      <c r="B2797" s="29" t="n">
        <v>35</v>
      </c>
      <c r="C2797" s="30" t="n">
        <v>110</v>
      </c>
      <c r="D2797" s="30" t="n">
        <v>3</v>
      </c>
      <c r="E2797" s="6" t="n">
        <v>8</v>
      </c>
      <c r="F2797" s="30" t="n">
        <v>1.5</v>
      </c>
      <c r="G2797" s="6" t="inlineStr">
        <is>
          <t>Non</t>
        </is>
      </c>
      <c r="H2797" s="6" t="inlineStr">
        <is>
          <t>OFF</t>
        </is>
      </c>
      <c r="I2797" s="31" t="n">
        <v>744.7528686370244</v>
      </c>
      <c r="J2797" s="31" t="n">
        <v>6550.668683077564</v>
      </c>
      <c r="K2797" s="31" t="n">
        <v>4222.222222222223</v>
      </c>
      <c r="L2797" s="31" t="n">
        <v>150</v>
      </c>
      <c r="M2797" s="31">
        <f>I2797+J2797+K2797+L2797</f>
        <v/>
      </c>
      <c r="N2797" s="31">
        <f>M2797*'Dashboard &amp; Optimisation'!$B$18/('Dashboard &amp; Optimisation'!$B$16/3.6)</f>
        <v/>
      </c>
      <c r="O2797" s="31" t="n">
        <v>1251.630138895272</v>
      </c>
      <c r="P2797" s="32" t="n">
        <v>0.2248337008701428</v>
      </c>
      <c r="Q2797" s="33" t="n">
        <v>12.23505194285052</v>
      </c>
      <c r="R2797" s="31" t="n">
        <v>1221.710019390508</v>
      </c>
      <c r="S2797" s="31">
        <f>R2797*IF(A2797=4, 2.0, 3.0)</f>
        <v/>
      </c>
      <c r="T2797" s="30">
        <f>'Dashboard &amp; Optimisation'!$B$18*U2797</f>
        <v/>
      </c>
      <c r="U2797" s="34">
        <f>MIN(1, S2797/M2797)</f>
        <v/>
      </c>
      <c r="V2797" s="34">
        <f>N2797/(N2797+O2797)</f>
        <v/>
      </c>
      <c r="W2797" s="34">
        <f>U2797*V2797</f>
        <v/>
      </c>
      <c r="X2797" s="32">
        <f>T2797/N2797</f>
        <v/>
      </c>
      <c r="Y2797" s="35">
        <f>IF(W2797=MAXIFS(W$2:W$3601, A$2:A$3601, A2797, B$2:B$3601, B2797), "OPTIMAL", "")</f>
        <v/>
      </c>
    </row>
    <row r="2798" ht="20" customHeight="1">
      <c r="A2798" s="21" t="n">
        <v>-18</v>
      </c>
      <c r="B2798" s="21" t="n">
        <v>35</v>
      </c>
      <c r="C2798" s="22" t="n">
        <v>110</v>
      </c>
      <c r="D2798" s="22" t="n">
        <v>3</v>
      </c>
      <c r="E2798" s="23" t="n">
        <v>8</v>
      </c>
      <c r="F2798" s="22" t="n">
        <v>2</v>
      </c>
      <c r="G2798" s="23" t="inlineStr">
        <is>
          <t>Oui</t>
        </is>
      </c>
      <c r="H2798" s="23" t="inlineStr">
        <is>
          <t>ON</t>
        </is>
      </c>
      <c r="I2798" s="24" t="n">
        <v>744.7528686370244</v>
      </c>
      <c r="J2798" s="24" t="n">
        <v>6550.668683077564</v>
      </c>
      <c r="K2798" s="24" t="n">
        <v>4222.222222222223</v>
      </c>
      <c r="L2798" s="24" t="n">
        <v>150</v>
      </c>
      <c r="M2798" s="24">
        <f>I2798+J2798+K2798+L2798</f>
        <v/>
      </c>
      <c r="N2798" s="24">
        <f>M2798*'Dashboard &amp; Optimisation'!$B$18/('Dashboard &amp; Optimisation'!$B$16/3.6)</f>
        <v/>
      </c>
      <c r="O2798" s="24" t="n">
        <v>1449.707762383864</v>
      </c>
      <c r="P2798" s="25" t="n">
        <v>0.05199529928547215</v>
      </c>
      <c r="Q2798" s="26" t="n">
        <v>16.2467359238007</v>
      </c>
      <c r="R2798" s="24" t="n">
        <v>5395.094517371973</v>
      </c>
      <c r="S2798" s="24">
        <f>R2798*IF(A2798=4, 2.0, 3.0)</f>
        <v/>
      </c>
      <c r="T2798" s="22">
        <f>'Dashboard &amp; Optimisation'!$B$18*U2798</f>
        <v/>
      </c>
      <c r="U2798" s="27">
        <f>MIN(1, S2798/M2798)</f>
        <v/>
      </c>
      <c r="V2798" s="27">
        <f>N2798/(N2798+O2798)</f>
        <v/>
      </c>
      <c r="W2798" s="27">
        <f>U2798*V2798</f>
        <v/>
      </c>
      <c r="X2798" s="25">
        <f>T2798/N2798</f>
        <v/>
      </c>
      <c r="Y2798" s="28">
        <f>IF(W2798=MAXIFS(W$2:W$3601, A$2:A$3601, A2798, B$2:B$3601, B2798), "OPTIMAL", "")</f>
        <v/>
      </c>
    </row>
    <row r="2799" ht="20" customHeight="1">
      <c r="A2799" s="29" t="n">
        <v>-18</v>
      </c>
      <c r="B2799" s="29" t="n">
        <v>35</v>
      </c>
      <c r="C2799" s="30" t="n">
        <v>110</v>
      </c>
      <c r="D2799" s="30" t="n">
        <v>3</v>
      </c>
      <c r="E2799" s="6" t="n">
        <v>8</v>
      </c>
      <c r="F2799" s="30" t="n">
        <v>2</v>
      </c>
      <c r="G2799" s="6" t="inlineStr">
        <is>
          <t>Oui</t>
        </is>
      </c>
      <c r="H2799" s="6" t="inlineStr">
        <is>
          <t>OFF</t>
        </is>
      </c>
      <c r="I2799" s="31" t="n">
        <v>744.7528686370244</v>
      </c>
      <c r="J2799" s="31" t="n">
        <v>6550.668683077564</v>
      </c>
      <c r="K2799" s="31" t="n">
        <v>4222.222222222223</v>
      </c>
      <c r="L2799" s="31" t="n">
        <v>150</v>
      </c>
      <c r="M2799" s="31">
        <f>I2799+J2799+K2799+L2799</f>
        <v/>
      </c>
      <c r="N2799" s="31">
        <f>M2799*'Dashboard &amp; Optimisation'!$B$18/('Dashboard &amp; Optimisation'!$B$16/3.6)</f>
        <v/>
      </c>
      <c r="O2799" s="31" t="n">
        <v>1449.707762383864</v>
      </c>
      <c r="P2799" s="32" t="n">
        <v>0.2275671766533254</v>
      </c>
      <c r="Q2799" s="33" t="n">
        <v>16.2467359238007</v>
      </c>
      <c r="R2799" s="31" t="n">
        <v>1232.688994210741</v>
      </c>
      <c r="S2799" s="31">
        <f>R2799*IF(A2799=4, 2.0, 3.0)</f>
        <v/>
      </c>
      <c r="T2799" s="30">
        <f>'Dashboard &amp; Optimisation'!$B$18*U2799</f>
        <v/>
      </c>
      <c r="U2799" s="34">
        <f>MIN(1, S2799/M2799)</f>
        <v/>
      </c>
      <c r="V2799" s="34">
        <f>N2799/(N2799+O2799)</f>
        <v/>
      </c>
      <c r="W2799" s="34">
        <f>U2799*V2799</f>
        <v/>
      </c>
      <c r="X2799" s="32">
        <f>T2799/N2799</f>
        <v/>
      </c>
      <c r="Y2799" s="35">
        <f>IF(W2799=MAXIFS(W$2:W$3601, A$2:A$3601, A2799, B$2:B$3601, B2799), "OPTIMAL", "")</f>
        <v/>
      </c>
    </row>
    <row r="2800" ht="20" customHeight="1">
      <c r="A2800" s="21" t="n">
        <v>-18</v>
      </c>
      <c r="B2800" s="21" t="n">
        <v>35</v>
      </c>
      <c r="C2800" s="22" t="n">
        <v>110</v>
      </c>
      <c r="D2800" s="22" t="n">
        <v>3</v>
      </c>
      <c r="E2800" s="23" t="n">
        <v>8</v>
      </c>
      <c r="F2800" s="22" t="n">
        <v>2</v>
      </c>
      <c r="G2800" s="23" t="inlineStr">
        <is>
          <t>Non</t>
        </is>
      </c>
      <c r="H2800" s="23" t="inlineStr">
        <is>
          <t>ON</t>
        </is>
      </c>
      <c r="I2800" s="24" t="n">
        <v>744.7528686370244</v>
      </c>
      <c r="J2800" s="24" t="n">
        <v>6550.668683077564</v>
      </c>
      <c r="K2800" s="24" t="n">
        <v>4222.222222222223</v>
      </c>
      <c r="L2800" s="24" t="n">
        <v>150</v>
      </c>
      <c r="M2800" s="24">
        <f>I2800+J2800+K2800+L2800</f>
        <v/>
      </c>
      <c r="N2800" s="24">
        <f>M2800*'Dashboard &amp; Optimisation'!$B$18/('Dashboard &amp; Optimisation'!$B$16/3.6)</f>
        <v/>
      </c>
      <c r="O2800" s="24" t="n">
        <v>1449.707762383864</v>
      </c>
      <c r="P2800" s="25" t="n">
        <v>0.04910157304743769</v>
      </c>
      <c r="Q2800" s="26" t="n">
        <v>16.2467359238007</v>
      </c>
      <c r="R2800" s="24" t="n">
        <v>5713.046175387333</v>
      </c>
      <c r="S2800" s="24">
        <f>R2800*IF(A2800=4, 2.0, 3.0)</f>
        <v/>
      </c>
      <c r="T2800" s="22">
        <f>'Dashboard &amp; Optimisation'!$B$18*U2800</f>
        <v/>
      </c>
      <c r="U2800" s="27">
        <f>MIN(1, S2800/M2800)</f>
        <v/>
      </c>
      <c r="V2800" s="27">
        <f>N2800/(N2800+O2800)</f>
        <v/>
      </c>
      <c r="W2800" s="27">
        <f>U2800*V2800</f>
        <v/>
      </c>
      <c r="X2800" s="25">
        <f>T2800/N2800</f>
        <v/>
      </c>
      <c r="Y2800" s="28">
        <f>IF(W2800=MAXIFS(W$2:W$3601, A$2:A$3601, A2800, B$2:B$3601, B2800), "OPTIMAL", "")</f>
        <v/>
      </c>
    </row>
    <row r="2801" ht="20" customHeight="1">
      <c r="A2801" s="29" t="n">
        <v>-18</v>
      </c>
      <c r="B2801" s="29" t="n">
        <v>35</v>
      </c>
      <c r="C2801" s="30" t="n">
        <v>110</v>
      </c>
      <c r="D2801" s="30" t="n">
        <v>3</v>
      </c>
      <c r="E2801" s="6" t="n">
        <v>8</v>
      </c>
      <c r="F2801" s="30" t="n">
        <v>2</v>
      </c>
      <c r="G2801" s="6" t="inlineStr">
        <is>
          <t>Non</t>
        </is>
      </c>
      <c r="H2801" s="6" t="inlineStr">
        <is>
          <t>OFF</t>
        </is>
      </c>
      <c r="I2801" s="31" t="n">
        <v>744.7528686370244</v>
      </c>
      <c r="J2801" s="31" t="n">
        <v>6550.668683077564</v>
      </c>
      <c r="K2801" s="31" t="n">
        <v>4222.222222222223</v>
      </c>
      <c r="L2801" s="31" t="n">
        <v>150</v>
      </c>
      <c r="M2801" s="31">
        <f>I2801+J2801+K2801+L2801</f>
        <v/>
      </c>
      <c r="N2801" s="31">
        <f>M2801*'Dashboard &amp; Optimisation'!$B$18/('Dashboard &amp; Optimisation'!$B$16/3.6)</f>
        <v/>
      </c>
      <c r="O2801" s="31" t="n">
        <v>1449.707762383864</v>
      </c>
      <c r="P2801" s="32" t="n">
        <v>0.2246734504152909</v>
      </c>
      <c r="Q2801" s="33" t="n">
        <v>16.2467359238007</v>
      </c>
      <c r="R2801" s="31" t="n">
        <v>1248.565656447825</v>
      </c>
      <c r="S2801" s="31">
        <f>R2801*IF(A2801=4, 2.0, 3.0)</f>
        <v/>
      </c>
      <c r="T2801" s="30">
        <f>'Dashboard &amp; Optimisation'!$B$18*U2801</f>
        <v/>
      </c>
      <c r="U2801" s="34">
        <f>MIN(1, S2801/M2801)</f>
        <v/>
      </c>
      <c r="V2801" s="34">
        <f>N2801/(N2801+O2801)</f>
        <v/>
      </c>
      <c r="W2801" s="34">
        <f>U2801*V2801</f>
        <v/>
      </c>
      <c r="X2801" s="32">
        <f>T2801/N2801</f>
        <v/>
      </c>
      <c r="Y2801" s="35">
        <f>IF(W2801=MAXIFS(W$2:W$3601, A$2:A$3601, A2801, B$2:B$3601, B2801), "OPTIMAL", "")</f>
        <v/>
      </c>
    </row>
    <row r="2802" ht="20" customHeight="1">
      <c r="A2802" s="21" t="n">
        <v>-18</v>
      </c>
      <c r="B2802" s="21" t="n">
        <v>35</v>
      </c>
      <c r="C2802" s="22" t="n">
        <v>115</v>
      </c>
      <c r="D2802" s="22" t="n">
        <v>2</v>
      </c>
      <c r="E2802" s="23" t="n">
        <v>0</v>
      </c>
      <c r="F2802" s="22" t="n">
        <v>0</v>
      </c>
      <c r="G2802" s="23" t="inlineStr">
        <is>
          <t>Oui</t>
        </is>
      </c>
      <c r="H2802" s="23" t="inlineStr">
        <is>
          <t>ON</t>
        </is>
      </c>
      <c r="I2802" s="24" t="n">
        <v>744.7528686370244</v>
      </c>
      <c r="J2802" s="24" t="n">
        <v>6550.668683077564</v>
      </c>
      <c r="K2802" s="24" t="n">
        <v>4222.222222222223</v>
      </c>
      <c r="L2802" s="24" t="n">
        <v>150</v>
      </c>
      <c r="M2802" s="24">
        <f>I2802+J2802+K2802+L2802</f>
        <v/>
      </c>
      <c r="N2802" s="24">
        <f>M2802*'Dashboard &amp; Optimisation'!$B$18/('Dashboard &amp; Optimisation'!$B$16/3.6)</f>
        <v/>
      </c>
      <c r="O2802" s="24" t="n">
        <v>435.0813377206775</v>
      </c>
      <c r="P2802" s="25" t="n">
        <v>0.4698805559653013</v>
      </c>
      <c r="Q2802" s="26" t="n">
        <v>0.2</v>
      </c>
      <c r="R2802" s="24" t="n">
        <v>483.0153195023444</v>
      </c>
      <c r="S2802" s="24">
        <f>R2802*IF(A2802=4, 2.0, 3.0)</f>
        <v/>
      </c>
      <c r="T2802" s="22">
        <f>'Dashboard &amp; Optimisation'!$B$18*U2802</f>
        <v/>
      </c>
      <c r="U2802" s="27">
        <f>MIN(1, S2802/M2802)</f>
        <v/>
      </c>
      <c r="V2802" s="27">
        <f>N2802/(N2802+O2802)</f>
        <v/>
      </c>
      <c r="W2802" s="27">
        <f>U2802*V2802</f>
        <v/>
      </c>
      <c r="X2802" s="25">
        <f>T2802/N2802</f>
        <v/>
      </c>
      <c r="Y2802" s="28">
        <f>IF(W2802=MAXIFS(W$2:W$3601, A$2:A$3601, A2802, B$2:B$3601, B2802), "OPTIMAL", "")</f>
        <v/>
      </c>
    </row>
    <row r="2803" ht="20" customHeight="1">
      <c r="A2803" s="29" t="n">
        <v>-18</v>
      </c>
      <c r="B2803" s="29" t="n">
        <v>35</v>
      </c>
      <c r="C2803" s="30" t="n">
        <v>115</v>
      </c>
      <c r="D2803" s="30" t="n">
        <v>2</v>
      </c>
      <c r="E2803" s="6" t="n">
        <v>0</v>
      </c>
      <c r="F2803" s="30" t="n">
        <v>0</v>
      </c>
      <c r="G2803" s="6" t="inlineStr">
        <is>
          <t>Oui</t>
        </is>
      </c>
      <c r="H2803" s="6" t="inlineStr">
        <is>
          <t>OFF</t>
        </is>
      </c>
      <c r="I2803" s="31" t="n">
        <v>744.7528686370244</v>
      </c>
      <c r="J2803" s="31" t="n">
        <v>6550.668683077564</v>
      </c>
      <c r="K2803" s="31" t="n">
        <v>4222.222222222223</v>
      </c>
      <c r="L2803" s="31" t="n">
        <v>150</v>
      </c>
      <c r="M2803" s="31">
        <f>I2803+J2803+K2803+L2803</f>
        <v/>
      </c>
      <c r="N2803" s="31">
        <f>M2803*'Dashboard &amp; Optimisation'!$B$18/('Dashboard &amp; Optimisation'!$B$16/3.6)</f>
        <v/>
      </c>
      <c r="O2803" s="31" t="n">
        <v>435.0813377206775</v>
      </c>
      <c r="P2803" s="32" t="n">
        <v>0.7466717613425105</v>
      </c>
      <c r="Q2803" s="33" t="n">
        <v>0.2</v>
      </c>
      <c r="R2803" s="31" t="n">
        <v>303.961551270464</v>
      </c>
      <c r="S2803" s="31">
        <f>R2803*IF(A2803=4, 2.0, 3.0)</f>
        <v/>
      </c>
      <c r="T2803" s="30">
        <f>'Dashboard &amp; Optimisation'!$B$18*U2803</f>
        <v/>
      </c>
      <c r="U2803" s="34">
        <f>MIN(1, S2803/M2803)</f>
        <v/>
      </c>
      <c r="V2803" s="34">
        <f>N2803/(N2803+O2803)</f>
        <v/>
      </c>
      <c r="W2803" s="34">
        <f>U2803*V2803</f>
        <v/>
      </c>
      <c r="X2803" s="32">
        <f>T2803/N2803</f>
        <v/>
      </c>
      <c r="Y2803" s="35">
        <f>IF(W2803=MAXIFS(W$2:W$3601, A$2:A$3601, A2803, B$2:B$3601, B2803), "OPTIMAL", "")</f>
        <v/>
      </c>
    </row>
    <row r="2804" ht="20" customHeight="1">
      <c r="A2804" s="21" t="n">
        <v>-18</v>
      </c>
      <c r="B2804" s="21" t="n">
        <v>35</v>
      </c>
      <c r="C2804" s="22" t="n">
        <v>115</v>
      </c>
      <c r="D2804" s="22" t="n">
        <v>2</v>
      </c>
      <c r="E2804" s="23" t="n">
        <v>0</v>
      </c>
      <c r="F2804" s="22" t="n">
        <v>0</v>
      </c>
      <c r="G2804" s="23" t="inlineStr">
        <is>
          <t>Non</t>
        </is>
      </c>
      <c r="H2804" s="23" t="inlineStr">
        <is>
          <t>ON</t>
        </is>
      </c>
      <c r="I2804" s="24" t="n">
        <v>744.7528686370244</v>
      </c>
      <c r="J2804" s="24" t="n">
        <v>6550.668683077564</v>
      </c>
      <c r="K2804" s="24" t="n">
        <v>4222.222222222223</v>
      </c>
      <c r="L2804" s="24" t="n">
        <v>150</v>
      </c>
      <c r="M2804" s="24">
        <f>I2804+J2804+K2804+L2804</f>
        <v/>
      </c>
      <c r="N2804" s="24">
        <f>M2804*'Dashboard &amp; Optimisation'!$B$18/('Dashboard &amp; Optimisation'!$B$16/3.6)</f>
        <v/>
      </c>
      <c r="O2804" s="24" t="n">
        <v>435.0813377206775</v>
      </c>
      <c r="P2804" s="25" t="n">
        <v>0.4671126439115292</v>
      </c>
      <c r="Q2804" s="26" t="n">
        <v>0.2</v>
      </c>
      <c r="R2804" s="24" t="n">
        <v>485.8774640887374</v>
      </c>
      <c r="S2804" s="24">
        <f>R2804*IF(A2804=4, 2.0, 3.0)</f>
        <v/>
      </c>
      <c r="T2804" s="22">
        <f>'Dashboard &amp; Optimisation'!$B$18*U2804</f>
        <v/>
      </c>
      <c r="U2804" s="27">
        <f>MIN(1, S2804/M2804)</f>
        <v/>
      </c>
      <c r="V2804" s="27">
        <f>N2804/(N2804+O2804)</f>
        <v/>
      </c>
      <c r="W2804" s="27">
        <f>U2804*V2804</f>
        <v/>
      </c>
      <c r="X2804" s="25">
        <f>T2804/N2804</f>
        <v/>
      </c>
      <c r="Y2804" s="28">
        <f>IF(W2804=MAXIFS(W$2:W$3601, A$2:A$3601, A2804, B$2:B$3601, B2804), "OPTIMAL", "")</f>
        <v/>
      </c>
    </row>
    <row r="2805" ht="20" customHeight="1">
      <c r="A2805" s="29" t="n">
        <v>-18</v>
      </c>
      <c r="B2805" s="29" t="n">
        <v>35</v>
      </c>
      <c r="C2805" s="30" t="n">
        <v>115</v>
      </c>
      <c r="D2805" s="30" t="n">
        <v>2</v>
      </c>
      <c r="E2805" s="6" t="n">
        <v>0</v>
      </c>
      <c r="F2805" s="30" t="n">
        <v>0</v>
      </c>
      <c r="G2805" s="6" t="inlineStr">
        <is>
          <t>Non</t>
        </is>
      </c>
      <c r="H2805" s="6" t="inlineStr">
        <is>
          <t>OFF</t>
        </is>
      </c>
      <c r="I2805" s="31" t="n">
        <v>744.7528686370244</v>
      </c>
      <c r="J2805" s="31" t="n">
        <v>6550.668683077564</v>
      </c>
      <c r="K2805" s="31" t="n">
        <v>4222.222222222223</v>
      </c>
      <c r="L2805" s="31" t="n">
        <v>150</v>
      </c>
      <c r="M2805" s="31">
        <f>I2805+J2805+K2805+L2805</f>
        <v/>
      </c>
      <c r="N2805" s="31">
        <f>M2805*'Dashboard &amp; Optimisation'!$B$18/('Dashboard &amp; Optimisation'!$B$16/3.6)</f>
        <v/>
      </c>
      <c r="O2805" s="31" t="n">
        <v>435.0813377206775</v>
      </c>
      <c r="P2805" s="32" t="n">
        <v>0.7439038492887384</v>
      </c>
      <c r="Q2805" s="33" t="n">
        <v>0.2</v>
      </c>
      <c r="R2805" s="31" t="n">
        <v>305.0925292086064</v>
      </c>
      <c r="S2805" s="31">
        <f>R2805*IF(A2805=4, 2.0, 3.0)</f>
        <v/>
      </c>
      <c r="T2805" s="30">
        <f>'Dashboard &amp; Optimisation'!$B$18*U2805</f>
        <v/>
      </c>
      <c r="U2805" s="34">
        <f>MIN(1, S2805/M2805)</f>
        <v/>
      </c>
      <c r="V2805" s="34">
        <f>N2805/(N2805+O2805)</f>
        <v/>
      </c>
      <c r="W2805" s="34">
        <f>U2805*V2805</f>
        <v/>
      </c>
      <c r="X2805" s="32">
        <f>T2805/N2805</f>
        <v/>
      </c>
      <c r="Y2805" s="35">
        <f>IF(W2805=MAXIFS(W$2:W$3601, A$2:A$3601, A2805, B$2:B$3601, B2805), "OPTIMAL", "")</f>
        <v/>
      </c>
    </row>
    <row r="2806" ht="20" customHeight="1">
      <c r="A2806" s="21" t="n">
        <v>-18</v>
      </c>
      <c r="B2806" s="21" t="n">
        <v>35</v>
      </c>
      <c r="C2806" s="22" t="n">
        <v>115</v>
      </c>
      <c r="D2806" s="22" t="n">
        <v>2</v>
      </c>
      <c r="E2806" s="23" t="n">
        <v>4</v>
      </c>
      <c r="F2806" s="22" t="n">
        <v>1.5</v>
      </c>
      <c r="G2806" s="23" t="inlineStr">
        <is>
          <t>Oui</t>
        </is>
      </c>
      <c r="H2806" s="23" t="inlineStr">
        <is>
          <t>ON</t>
        </is>
      </c>
      <c r="I2806" s="24" t="n">
        <v>744.7528686370244</v>
      </c>
      <c r="J2806" s="24" t="n">
        <v>6550.668683077564</v>
      </c>
      <c r="K2806" s="24" t="n">
        <v>4222.222222222223</v>
      </c>
      <c r="L2806" s="24" t="n">
        <v>150</v>
      </c>
      <c r="M2806" s="24">
        <f>I2806+J2806+K2806+L2806</f>
        <v/>
      </c>
      <c r="N2806" s="24">
        <f>M2806*'Dashboard &amp; Optimisation'!$B$18/('Dashboard &amp; Optimisation'!$B$16/3.6)</f>
        <v/>
      </c>
      <c r="O2806" s="24" t="n">
        <v>671.9791854408783</v>
      </c>
      <c r="P2806" s="25" t="n">
        <v>0.06928089920961758</v>
      </c>
      <c r="Q2806" s="26" t="n">
        <v>5.838042351605651</v>
      </c>
      <c r="R2806" s="24" t="n">
        <v>3368.66969144141</v>
      </c>
      <c r="S2806" s="24">
        <f>R2806*IF(A2806=4, 2.0, 3.0)</f>
        <v/>
      </c>
      <c r="T2806" s="22">
        <f>'Dashboard &amp; Optimisation'!$B$18*U2806</f>
        <v/>
      </c>
      <c r="U2806" s="27">
        <f>MIN(1, S2806/M2806)</f>
        <v/>
      </c>
      <c r="V2806" s="27">
        <f>N2806/(N2806+O2806)</f>
        <v/>
      </c>
      <c r="W2806" s="27">
        <f>U2806*V2806</f>
        <v/>
      </c>
      <c r="X2806" s="25">
        <f>T2806/N2806</f>
        <v/>
      </c>
      <c r="Y2806" s="28">
        <f>IF(W2806=MAXIFS(W$2:W$3601, A$2:A$3601, A2806, B$2:B$3601, B2806), "OPTIMAL", "")</f>
        <v/>
      </c>
    </row>
    <row r="2807" ht="20" customHeight="1">
      <c r="A2807" s="29" t="n">
        <v>-18</v>
      </c>
      <c r="B2807" s="29" t="n">
        <v>35</v>
      </c>
      <c r="C2807" s="30" t="n">
        <v>115</v>
      </c>
      <c r="D2807" s="30" t="n">
        <v>2</v>
      </c>
      <c r="E2807" s="6" t="n">
        <v>4</v>
      </c>
      <c r="F2807" s="30" t="n">
        <v>1.5</v>
      </c>
      <c r="G2807" s="6" t="inlineStr">
        <is>
          <t>Oui</t>
        </is>
      </c>
      <c r="H2807" s="6" t="inlineStr">
        <is>
          <t>OFF</t>
        </is>
      </c>
      <c r="I2807" s="31" t="n">
        <v>744.7528686370244</v>
      </c>
      <c r="J2807" s="31" t="n">
        <v>6550.668683077564</v>
      </c>
      <c r="K2807" s="31" t="n">
        <v>4222.222222222223</v>
      </c>
      <c r="L2807" s="31" t="n">
        <v>150</v>
      </c>
      <c r="M2807" s="31">
        <f>I2807+J2807+K2807+L2807</f>
        <v/>
      </c>
      <c r="N2807" s="31">
        <f>M2807*'Dashboard &amp; Optimisation'!$B$18/('Dashboard &amp; Optimisation'!$B$16/3.6)</f>
        <v/>
      </c>
      <c r="O2807" s="31" t="n">
        <v>671.9791854408783</v>
      </c>
      <c r="P2807" s="32" t="n">
        <v>0.2796855393519176</v>
      </c>
      <c r="Q2807" s="33" t="n">
        <v>5.838042351605651</v>
      </c>
      <c r="R2807" s="31" t="n">
        <v>834.4531000924833</v>
      </c>
      <c r="S2807" s="31">
        <f>R2807*IF(A2807=4, 2.0, 3.0)</f>
        <v/>
      </c>
      <c r="T2807" s="30">
        <f>'Dashboard &amp; Optimisation'!$B$18*U2807</f>
        <v/>
      </c>
      <c r="U2807" s="34">
        <f>MIN(1, S2807/M2807)</f>
        <v/>
      </c>
      <c r="V2807" s="34">
        <f>N2807/(N2807+O2807)</f>
        <v/>
      </c>
      <c r="W2807" s="34">
        <f>U2807*V2807</f>
        <v/>
      </c>
      <c r="X2807" s="32">
        <f>T2807/N2807</f>
        <v/>
      </c>
      <c r="Y2807" s="35">
        <f>IF(W2807=MAXIFS(W$2:W$3601, A$2:A$3601, A2807, B$2:B$3601, B2807), "OPTIMAL", "")</f>
        <v/>
      </c>
    </row>
    <row r="2808" ht="20" customHeight="1">
      <c r="A2808" s="21" t="n">
        <v>-18</v>
      </c>
      <c r="B2808" s="21" t="n">
        <v>35</v>
      </c>
      <c r="C2808" s="22" t="n">
        <v>115</v>
      </c>
      <c r="D2808" s="22" t="n">
        <v>2</v>
      </c>
      <c r="E2808" s="23" t="n">
        <v>4</v>
      </c>
      <c r="F2808" s="22" t="n">
        <v>1.5</v>
      </c>
      <c r="G2808" s="23" t="inlineStr">
        <is>
          <t>Non</t>
        </is>
      </c>
      <c r="H2808" s="23" t="inlineStr">
        <is>
          <t>ON</t>
        </is>
      </c>
      <c r="I2808" s="24" t="n">
        <v>744.7528686370244</v>
      </c>
      <c r="J2808" s="24" t="n">
        <v>6550.668683077564</v>
      </c>
      <c r="K2808" s="24" t="n">
        <v>4222.222222222223</v>
      </c>
      <c r="L2808" s="24" t="n">
        <v>150</v>
      </c>
      <c r="M2808" s="24">
        <f>I2808+J2808+K2808+L2808</f>
        <v/>
      </c>
      <c r="N2808" s="24">
        <f>M2808*'Dashboard &amp; Optimisation'!$B$18/('Dashboard &amp; Optimisation'!$B$16/3.6)</f>
        <v/>
      </c>
      <c r="O2808" s="24" t="n">
        <v>671.9791854408783</v>
      </c>
      <c r="P2808" s="25" t="n">
        <v>0.06651298715584548</v>
      </c>
      <c r="Q2808" s="26" t="n">
        <v>5.838042351605651</v>
      </c>
      <c r="R2808" s="24" t="n">
        <v>3508.855568558462</v>
      </c>
      <c r="S2808" s="24">
        <f>R2808*IF(A2808=4, 2.0, 3.0)</f>
        <v/>
      </c>
      <c r="T2808" s="22">
        <f>'Dashboard &amp; Optimisation'!$B$18*U2808</f>
        <v/>
      </c>
      <c r="U2808" s="27">
        <f>MIN(1, S2808/M2808)</f>
        <v/>
      </c>
      <c r="V2808" s="27">
        <f>N2808/(N2808+O2808)</f>
        <v/>
      </c>
      <c r="W2808" s="27">
        <f>U2808*V2808</f>
        <v/>
      </c>
      <c r="X2808" s="25">
        <f>T2808/N2808</f>
        <v/>
      </c>
      <c r="Y2808" s="28">
        <f>IF(W2808=MAXIFS(W$2:W$3601, A$2:A$3601, A2808, B$2:B$3601, B2808), "OPTIMAL", "")</f>
        <v/>
      </c>
    </row>
    <row r="2809" ht="20" customHeight="1">
      <c r="A2809" s="29" t="n">
        <v>-18</v>
      </c>
      <c r="B2809" s="29" t="n">
        <v>35</v>
      </c>
      <c r="C2809" s="30" t="n">
        <v>115</v>
      </c>
      <c r="D2809" s="30" t="n">
        <v>2</v>
      </c>
      <c r="E2809" s="6" t="n">
        <v>4</v>
      </c>
      <c r="F2809" s="30" t="n">
        <v>1.5</v>
      </c>
      <c r="G2809" s="6" t="inlineStr">
        <is>
          <t>Non</t>
        </is>
      </c>
      <c r="H2809" s="6" t="inlineStr">
        <is>
          <t>OFF</t>
        </is>
      </c>
      <c r="I2809" s="31" t="n">
        <v>744.7528686370244</v>
      </c>
      <c r="J2809" s="31" t="n">
        <v>6550.668683077564</v>
      </c>
      <c r="K2809" s="31" t="n">
        <v>4222.222222222223</v>
      </c>
      <c r="L2809" s="31" t="n">
        <v>150</v>
      </c>
      <c r="M2809" s="31">
        <f>I2809+J2809+K2809+L2809</f>
        <v/>
      </c>
      <c r="N2809" s="31">
        <f>M2809*'Dashboard &amp; Optimisation'!$B$18/('Dashboard &amp; Optimisation'!$B$16/3.6)</f>
        <v/>
      </c>
      <c r="O2809" s="31" t="n">
        <v>671.9791854408783</v>
      </c>
      <c r="P2809" s="32" t="n">
        <v>0.2769176272981455</v>
      </c>
      <c r="Q2809" s="33" t="n">
        <v>5.838042351605651</v>
      </c>
      <c r="R2809" s="31" t="n">
        <v>842.793821543078</v>
      </c>
      <c r="S2809" s="31">
        <f>R2809*IF(A2809=4, 2.0, 3.0)</f>
        <v/>
      </c>
      <c r="T2809" s="30">
        <f>'Dashboard &amp; Optimisation'!$B$18*U2809</f>
        <v/>
      </c>
      <c r="U2809" s="34">
        <f>MIN(1, S2809/M2809)</f>
        <v/>
      </c>
      <c r="V2809" s="34">
        <f>N2809/(N2809+O2809)</f>
        <v/>
      </c>
      <c r="W2809" s="34">
        <f>U2809*V2809</f>
        <v/>
      </c>
      <c r="X2809" s="32">
        <f>T2809/N2809</f>
        <v/>
      </c>
      <c r="Y2809" s="35">
        <f>IF(W2809=MAXIFS(W$2:W$3601, A$2:A$3601, A2809, B$2:B$3601, B2809), "OPTIMAL", "")</f>
        <v/>
      </c>
    </row>
    <row r="2810" ht="20" customHeight="1">
      <c r="A2810" s="21" t="n">
        <v>-18</v>
      </c>
      <c r="B2810" s="21" t="n">
        <v>35</v>
      </c>
      <c r="C2810" s="22" t="n">
        <v>115</v>
      </c>
      <c r="D2810" s="22" t="n">
        <v>2</v>
      </c>
      <c r="E2810" s="23" t="n">
        <v>4</v>
      </c>
      <c r="F2810" s="22" t="n">
        <v>2</v>
      </c>
      <c r="G2810" s="23" t="inlineStr">
        <is>
          <t>Oui</t>
        </is>
      </c>
      <c r="H2810" s="23" t="inlineStr">
        <is>
          <t>ON</t>
        </is>
      </c>
      <c r="I2810" s="24" t="n">
        <v>744.7528686370244</v>
      </c>
      <c r="J2810" s="24" t="n">
        <v>6550.668683077564</v>
      </c>
      <c r="K2810" s="24" t="n">
        <v>4222.222222222223</v>
      </c>
      <c r="L2810" s="24" t="n">
        <v>150</v>
      </c>
      <c r="M2810" s="24">
        <f>I2810+J2810+K2810+L2810</f>
        <v/>
      </c>
      <c r="N2810" s="24">
        <f>M2810*'Dashboard &amp; Optimisation'!$B$18/('Dashboard &amp; Optimisation'!$B$16/3.6)</f>
        <v/>
      </c>
      <c r="O2810" s="24" t="n">
        <v>753.9541065357795</v>
      </c>
      <c r="P2810" s="25" t="n">
        <v>0.06612266589584477</v>
      </c>
      <c r="Q2810" s="26" t="n">
        <v>7.717389802140867</v>
      </c>
      <c r="R2810" s="24" t="n">
        <v>3563.191562058698</v>
      </c>
      <c r="S2810" s="24">
        <f>R2810*IF(A2810=4, 2.0, 3.0)</f>
        <v/>
      </c>
      <c r="T2810" s="22">
        <f>'Dashboard &amp; Optimisation'!$B$18*U2810</f>
        <v/>
      </c>
      <c r="U2810" s="27">
        <f>MIN(1, S2810/M2810)</f>
        <v/>
      </c>
      <c r="V2810" s="27">
        <f>N2810/(N2810+O2810)</f>
        <v/>
      </c>
      <c r="W2810" s="27">
        <f>U2810*V2810</f>
        <v/>
      </c>
      <c r="X2810" s="25">
        <f>T2810/N2810</f>
        <v/>
      </c>
      <c r="Y2810" s="28">
        <f>IF(W2810=MAXIFS(W$2:W$3601, A$2:A$3601, A2810, B$2:B$3601, B2810), "OPTIMAL", "")</f>
        <v/>
      </c>
    </row>
    <row r="2811" ht="20" customHeight="1">
      <c r="A2811" s="29" t="n">
        <v>-18</v>
      </c>
      <c r="B2811" s="29" t="n">
        <v>35</v>
      </c>
      <c r="C2811" s="30" t="n">
        <v>115</v>
      </c>
      <c r="D2811" s="30" t="n">
        <v>2</v>
      </c>
      <c r="E2811" s="6" t="n">
        <v>4</v>
      </c>
      <c r="F2811" s="30" t="n">
        <v>2</v>
      </c>
      <c r="G2811" s="6" t="inlineStr">
        <is>
          <t>Oui</t>
        </is>
      </c>
      <c r="H2811" s="6" t="inlineStr">
        <is>
          <t>OFF</t>
        </is>
      </c>
      <c r="I2811" s="31" t="n">
        <v>744.7528686370244</v>
      </c>
      <c r="J2811" s="31" t="n">
        <v>6550.668683077564</v>
      </c>
      <c r="K2811" s="31" t="n">
        <v>4222.222222222223</v>
      </c>
      <c r="L2811" s="31" t="n">
        <v>150</v>
      </c>
      <c r="M2811" s="31">
        <f>I2811+J2811+K2811+L2811</f>
        <v/>
      </c>
      <c r="N2811" s="31">
        <f>M2811*'Dashboard &amp; Optimisation'!$B$18/('Dashboard &amp; Optimisation'!$B$16/3.6)</f>
        <v/>
      </c>
      <c r="O2811" s="31" t="n">
        <v>753.9541065357795</v>
      </c>
      <c r="P2811" s="32" t="n">
        <v>0.2774148058870663</v>
      </c>
      <c r="Q2811" s="33" t="n">
        <v>7.717389802140867</v>
      </c>
      <c r="R2811" s="31" t="n">
        <v>849.2975867943215</v>
      </c>
      <c r="S2811" s="31">
        <f>R2811*IF(A2811=4, 2.0, 3.0)</f>
        <v/>
      </c>
      <c r="T2811" s="30">
        <f>'Dashboard &amp; Optimisation'!$B$18*U2811</f>
        <v/>
      </c>
      <c r="U2811" s="34">
        <f>MIN(1, S2811/M2811)</f>
        <v/>
      </c>
      <c r="V2811" s="34">
        <f>N2811/(N2811+O2811)</f>
        <v/>
      </c>
      <c r="W2811" s="34">
        <f>U2811*V2811</f>
        <v/>
      </c>
      <c r="X2811" s="32">
        <f>T2811/N2811</f>
        <v/>
      </c>
      <c r="Y2811" s="35">
        <f>IF(W2811=MAXIFS(W$2:W$3601, A$2:A$3601, A2811, B$2:B$3601, B2811), "OPTIMAL", "")</f>
        <v/>
      </c>
    </row>
    <row r="2812" ht="20" customHeight="1">
      <c r="A2812" s="21" t="n">
        <v>-18</v>
      </c>
      <c r="B2812" s="21" t="n">
        <v>35</v>
      </c>
      <c r="C2812" s="22" t="n">
        <v>115</v>
      </c>
      <c r="D2812" s="22" t="n">
        <v>2</v>
      </c>
      <c r="E2812" s="23" t="n">
        <v>4</v>
      </c>
      <c r="F2812" s="22" t="n">
        <v>2</v>
      </c>
      <c r="G2812" s="23" t="inlineStr">
        <is>
          <t>Non</t>
        </is>
      </c>
      <c r="H2812" s="23" t="inlineStr">
        <is>
          <t>ON</t>
        </is>
      </c>
      <c r="I2812" s="24" t="n">
        <v>744.7528686370244</v>
      </c>
      <c r="J2812" s="24" t="n">
        <v>6550.668683077564</v>
      </c>
      <c r="K2812" s="24" t="n">
        <v>4222.222222222223</v>
      </c>
      <c r="L2812" s="24" t="n">
        <v>150</v>
      </c>
      <c r="M2812" s="24">
        <f>I2812+J2812+K2812+L2812</f>
        <v/>
      </c>
      <c r="N2812" s="24">
        <f>M2812*'Dashboard &amp; Optimisation'!$B$18/('Dashboard &amp; Optimisation'!$B$16/3.6)</f>
        <v/>
      </c>
      <c r="O2812" s="24" t="n">
        <v>753.9541065357795</v>
      </c>
      <c r="P2812" s="25" t="n">
        <v>0.06335475384207268</v>
      </c>
      <c r="Q2812" s="26" t="n">
        <v>7.717389802140867</v>
      </c>
      <c r="R2812" s="24" t="n">
        <v>3718.864187653713</v>
      </c>
      <c r="S2812" s="24">
        <f>R2812*IF(A2812=4, 2.0, 3.0)</f>
        <v/>
      </c>
      <c r="T2812" s="22">
        <f>'Dashboard &amp; Optimisation'!$B$18*U2812</f>
        <v/>
      </c>
      <c r="U2812" s="27">
        <f>MIN(1, S2812/M2812)</f>
        <v/>
      </c>
      <c r="V2812" s="27">
        <f>N2812/(N2812+O2812)</f>
        <v/>
      </c>
      <c r="W2812" s="27">
        <f>U2812*V2812</f>
        <v/>
      </c>
      <c r="X2812" s="25">
        <f>T2812/N2812</f>
        <v/>
      </c>
      <c r="Y2812" s="28">
        <f>IF(W2812=MAXIFS(W$2:W$3601, A$2:A$3601, A2812, B$2:B$3601, B2812), "OPTIMAL", "")</f>
        <v/>
      </c>
    </row>
    <row r="2813" ht="20" customHeight="1">
      <c r="A2813" s="29" t="n">
        <v>-18</v>
      </c>
      <c r="B2813" s="29" t="n">
        <v>35</v>
      </c>
      <c r="C2813" s="30" t="n">
        <v>115</v>
      </c>
      <c r="D2813" s="30" t="n">
        <v>2</v>
      </c>
      <c r="E2813" s="6" t="n">
        <v>4</v>
      </c>
      <c r="F2813" s="30" t="n">
        <v>2</v>
      </c>
      <c r="G2813" s="6" t="inlineStr">
        <is>
          <t>Non</t>
        </is>
      </c>
      <c r="H2813" s="6" t="inlineStr">
        <is>
          <t>OFF</t>
        </is>
      </c>
      <c r="I2813" s="31" t="n">
        <v>744.7528686370244</v>
      </c>
      <c r="J2813" s="31" t="n">
        <v>6550.668683077564</v>
      </c>
      <c r="K2813" s="31" t="n">
        <v>4222.222222222223</v>
      </c>
      <c r="L2813" s="31" t="n">
        <v>150</v>
      </c>
      <c r="M2813" s="31">
        <f>I2813+J2813+K2813+L2813</f>
        <v/>
      </c>
      <c r="N2813" s="31">
        <f>M2813*'Dashboard &amp; Optimisation'!$B$18/('Dashboard &amp; Optimisation'!$B$16/3.6)</f>
        <v/>
      </c>
      <c r="O2813" s="31" t="n">
        <v>753.9541065357795</v>
      </c>
      <c r="P2813" s="32" t="n">
        <v>0.2746468938332942</v>
      </c>
      <c r="Q2813" s="33" t="n">
        <v>7.717389802140867</v>
      </c>
      <c r="R2813" s="31" t="n">
        <v>857.856871754429</v>
      </c>
      <c r="S2813" s="31">
        <f>R2813*IF(A2813=4, 2.0, 3.0)</f>
        <v/>
      </c>
      <c r="T2813" s="30">
        <f>'Dashboard &amp; Optimisation'!$B$18*U2813</f>
        <v/>
      </c>
      <c r="U2813" s="34">
        <f>MIN(1, S2813/M2813)</f>
        <v/>
      </c>
      <c r="V2813" s="34">
        <f>N2813/(N2813+O2813)</f>
        <v/>
      </c>
      <c r="W2813" s="34">
        <f>U2813*V2813</f>
        <v/>
      </c>
      <c r="X2813" s="32">
        <f>T2813/N2813</f>
        <v/>
      </c>
      <c r="Y2813" s="35">
        <f>IF(W2813=MAXIFS(W$2:W$3601, A$2:A$3601, A2813, B$2:B$3601, B2813), "OPTIMAL", "")</f>
        <v/>
      </c>
    </row>
    <row r="2814" ht="20" customHeight="1">
      <c r="A2814" s="21" t="n">
        <v>-18</v>
      </c>
      <c r="B2814" s="21" t="n">
        <v>35</v>
      </c>
      <c r="C2814" s="22" t="n">
        <v>115</v>
      </c>
      <c r="D2814" s="22" t="n">
        <v>2</v>
      </c>
      <c r="E2814" s="23" t="n">
        <v>8</v>
      </c>
      <c r="F2814" s="22" t="n">
        <v>1.5</v>
      </c>
      <c r="G2814" s="23" t="inlineStr">
        <is>
          <t>Oui</t>
        </is>
      </c>
      <c r="H2814" s="23" t="inlineStr">
        <is>
          <t>ON</t>
        </is>
      </c>
      <c r="I2814" s="24" t="n">
        <v>744.7528686370244</v>
      </c>
      <c r="J2814" s="24" t="n">
        <v>6550.668683077564</v>
      </c>
      <c r="K2814" s="24" t="n">
        <v>4222.222222222223</v>
      </c>
      <c r="L2814" s="24" t="n">
        <v>150</v>
      </c>
      <c r="M2814" s="24">
        <f>I2814+J2814+K2814+L2814</f>
        <v/>
      </c>
      <c r="N2814" s="24">
        <f>M2814*'Dashboard &amp; Optimisation'!$B$18/('Dashboard &amp; Optimisation'!$B$16/3.6)</f>
        <v/>
      </c>
      <c r="O2814" s="24" t="n">
        <v>922.6803927758568</v>
      </c>
      <c r="P2814" s="25" t="n">
        <v>0.05248603000184628</v>
      </c>
      <c r="Q2814" s="26" t="n">
        <v>11.4760847032113</v>
      </c>
      <c r="R2814" s="24" t="n">
        <v>4576.146982247384</v>
      </c>
      <c r="S2814" s="24">
        <f>R2814*IF(A2814=4, 2.0, 3.0)</f>
        <v/>
      </c>
      <c r="T2814" s="22">
        <f>'Dashboard &amp; Optimisation'!$B$18*U2814</f>
        <v/>
      </c>
      <c r="U2814" s="27">
        <f>MIN(1, S2814/M2814)</f>
        <v/>
      </c>
      <c r="V2814" s="27">
        <f>N2814/(N2814+O2814)</f>
        <v/>
      </c>
      <c r="W2814" s="27">
        <f>U2814*V2814</f>
        <v/>
      </c>
      <c r="X2814" s="25">
        <f>T2814/N2814</f>
        <v/>
      </c>
      <c r="Y2814" s="28">
        <f>IF(W2814=MAXIFS(W$2:W$3601, A$2:A$3601, A2814, B$2:B$3601, B2814), "OPTIMAL", "")</f>
        <v/>
      </c>
    </row>
    <row r="2815" ht="20" customHeight="1">
      <c r="A2815" s="29" t="n">
        <v>-18</v>
      </c>
      <c r="B2815" s="29" t="n">
        <v>35</v>
      </c>
      <c r="C2815" s="30" t="n">
        <v>115</v>
      </c>
      <c r="D2815" s="30" t="n">
        <v>2</v>
      </c>
      <c r="E2815" s="6" t="n">
        <v>8</v>
      </c>
      <c r="F2815" s="30" t="n">
        <v>1.5</v>
      </c>
      <c r="G2815" s="6" t="inlineStr">
        <is>
          <t>Oui</t>
        </is>
      </c>
      <c r="H2815" s="6" t="inlineStr">
        <is>
          <t>OFF</t>
        </is>
      </c>
      <c r="I2815" s="31" t="n">
        <v>744.7528686370244</v>
      </c>
      <c r="J2815" s="31" t="n">
        <v>6550.668683077564</v>
      </c>
      <c r="K2815" s="31" t="n">
        <v>4222.222222222223</v>
      </c>
      <c r="L2815" s="31" t="n">
        <v>150</v>
      </c>
      <c r="M2815" s="31">
        <f>I2815+J2815+K2815+L2815</f>
        <v/>
      </c>
      <c r="N2815" s="31">
        <f>M2815*'Dashboard &amp; Optimisation'!$B$18/('Dashboard &amp; Optimisation'!$B$16/3.6)</f>
        <v/>
      </c>
      <c r="O2815" s="31" t="n">
        <v>922.6803927758568</v>
      </c>
      <c r="P2815" s="32" t="n">
        <v>0.2221878302428261</v>
      </c>
      <c r="Q2815" s="33" t="n">
        <v>11.4760847032113</v>
      </c>
      <c r="R2815" s="31" t="n">
        <v>1080.994344022356</v>
      </c>
      <c r="S2815" s="31">
        <f>R2815*IF(A2815=4, 2.0, 3.0)</f>
        <v/>
      </c>
      <c r="T2815" s="30">
        <f>'Dashboard &amp; Optimisation'!$B$18*U2815</f>
        <v/>
      </c>
      <c r="U2815" s="34">
        <f>MIN(1, S2815/M2815)</f>
        <v/>
      </c>
      <c r="V2815" s="34">
        <f>N2815/(N2815+O2815)</f>
        <v/>
      </c>
      <c r="W2815" s="34">
        <f>U2815*V2815</f>
        <v/>
      </c>
      <c r="X2815" s="32">
        <f>T2815/N2815</f>
        <v/>
      </c>
      <c r="Y2815" s="35">
        <f>IF(W2815=MAXIFS(W$2:W$3601, A$2:A$3601, A2815, B$2:B$3601, B2815), "OPTIMAL", "")</f>
        <v/>
      </c>
    </row>
    <row r="2816" ht="20" customHeight="1">
      <c r="A2816" s="21" t="n">
        <v>-18</v>
      </c>
      <c r="B2816" s="21" t="n">
        <v>35</v>
      </c>
      <c r="C2816" s="22" t="n">
        <v>115</v>
      </c>
      <c r="D2816" s="22" t="n">
        <v>2</v>
      </c>
      <c r="E2816" s="23" t="n">
        <v>8</v>
      </c>
      <c r="F2816" s="22" t="n">
        <v>1.5</v>
      </c>
      <c r="G2816" s="23" t="inlineStr">
        <is>
          <t>Non</t>
        </is>
      </c>
      <c r="H2816" s="23" t="inlineStr">
        <is>
          <t>ON</t>
        </is>
      </c>
      <c r="I2816" s="24" t="n">
        <v>744.7528686370244</v>
      </c>
      <c r="J2816" s="24" t="n">
        <v>6550.668683077564</v>
      </c>
      <c r="K2816" s="24" t="n">
        <v>4222.222222222223</v>
      </c>
      <c r="L2816" s="24" t="n">
        <v>150</v>
      </c>
      <c r="M2816" s="24">
        <f>I2816+J2816+K2816+L2816</f>
        <v/>
      </c>
      <c r="N2816" s="24">
        <f>M2816*'Dashboard &amp; Optimisation'!$B$18/('Dashboard &amp; Optimisation'!$B$16/3.6)</f>
        <v/>
      </c>
      <c r="O2816" s="24" t="n">
        <v>922.6803927758568</v>
      </c>
      <c r="P2816" s="25" t="n">
        <v>0.04971811794807418</v>
      </c>
      <c r="Q2816" s="26" t="n">
        <v>11.4760847032113</v>
      </c>
      <c r="R2816" s="24" t="n">
        <v>4830.910696457647</v>
      </c>
      <c r="S2816" s="24">
        <f>R2816*IF(A2816=4, 2.0, 3.0)</f>
        <v/>
      </c>
      <c r="T2816" s="22">
        <f>'Dashboard &amp; Optimisation'!$B$18*U2816</f>
        <v/>
      </c>
      <c r="U2816" s="27">
        <f>MIN(1, S2816/M2816)</f>
        <v/>
      </c>
      <c r="V2816" s="27">
        <f>N2816/(N2816+O2816)</f>
        <v/>
      </c>
      <c r="W2816" s="27">
        <f>U2816*V2816</f>
        <v/>
      </c>
      <c r="X2816" s="25">
        <f>T2816/N2816</f>
        <v/>
      </c>
      <c r="Y2816" s="28">
        <f>IF(W2816=MAXIFS(W$2:W$3601, A$2:A$3601, A2816, B$2:B$3601, B2816), "OPTIMAL", "")</f>
        <v/>
      </c>
    </row>
    <row r="2817" ht="20" customHeight="1">
      <c r="A2817" s="29" t="n">
        <v>-18</v>
      </c>
      <c r="B2817" s="29" t="n">
        <v>35</v>
      </c>
      <c r="C2817" s="30" t="n">
        <v>115</v>
      </c>
      <c r="D2817" s="30" t="n">
        <v>2</v>
      </c>
      <c r="E2817" s="6" t="n">
        <v>8</v>
      </c>
      <c r="F2817" s="30" t="n">
        <v>1.5</v>
      </c>
      <c r="G2817" s="6" t="inlineStr">
        <is>
          <t>Non</t>
        </is>
      </c>
      <c r="H2817" s="6" t="inlineStr">
        <is>
          <t>OFF</t>
        </is>
      </c>
      <c r="I2817" s="31" t="n">
        <v>744.7528686370244</v>
      </c>
      <c r="J2817" s="31" t="n">
        <v>6550.668683077564</v>
      </c>
      <c r="K2817" s="31" t="n">
        <v>4222.222222222223</v>
      </c>
      <c r="L2817" s="31" t="n">
        <v>150</v>
      </c>
      <c r="M2817" s="31">
        <f>I2817+J2817+K2817+L2817</f>
        <v/>
      </c>
      <c r="N2817" s="31">
        <f>M2817*'Dashboard &amp; Optimisation'!$B$18/('Dashboard &amp; Optimisation'!$B$16/3.6)</f>
        <v/>
      </c>
      <c r="O2817" s="31" t="n">
        <v>922.6803927758568</v>
      </c>
      <c r="P2817" s="32" t="n">
        <v>0.219419918189054</v>
      </c>
      <c r="Q2817" s="33" t="n">
        <v>11.4760847032113</v>
      </c>
      <c r="R2817" s="31" t="n">
        <v>1094.630741754949</v>
      </c>
      <c r="S2817" s="31">
        <f>R2817*IF(A2817=4, 2.0, 3.0)</f>
        <v/>
      </c>
      <c r="T2817" s="30">
        <f>'Dashboard &amp; Optimisation'!$B$18*U2817</f>
        <v/>
      </c>
      <c r="U2817" s="34">
        <f>MIN(1, S2817/M2817)</f>
        <v/>
      </c>
      <c r="V2817" s="34">
        <f>N2817/(N2817+O2817)</f>
        <v/>
      </c>
      <c r="W2817" s="34">
        <f>U2817*V2817</f>
        <v/>
      </c>
      <c r="X2817" s="32">
        <f>T2817/N2817</f>
        <v/>
      </c>
      <c r="Y2817" s="35">
        <f>IF(W2817=MAXIFS(W$2:W$3601, A$2:A$3601, A2817, B$2:B$3601, B2817), "OPTIMAL", "")</f>
        <v/>
      </c>
    </row>
    <row r="2818" ht="20" customHeight="1">
      <c r="A2818" s="21" t="n">
        <v>-18</v>
      </c>
      <c r="B2818" s="21" t="n">
        <v>35</v>
      </c>
      <c r="C2818" s="22" t="n">
        <v>115</v>
      </c>
      <c r="D2818" s="22" t="n">
        <v>2</v>
      </c>
      <c r="E2818" s="23" t="n">
        <v>8</v>
      </c>
      <c r="F2818" s="22" t="n">
        <v>2</v>
      </c>
      <c r="G2818" s="23" t="inlineStr">
        <is>
          <t>Oui</t>
        </is>
      </c>
      <c r="H2818" s="23" t="inlineStr">
        <is>
          <t>ON</t>
        </is>
      </c>
      <c r="I2818" s="24" t="n">
        <v>744.7528686370244</v>
      </c>
      <c r="J2818" s="24" t="n">
        <v>6550.668683077564</v>
      </c>
      <c r="K2818" s="24" t="n">
        <v>4222.222222222223</v>
      </c>
      <c r="L2818" s="24" t="n">
        <v>150</v>
      </c>
      <c r="M2818" s="24">
        <f>I2818+J2818+K2818+L2818</f>
        <v/>
      </c>
      <c r="N2818" s="24">
        <f>M2818*'Dashboard &amp; Optimisation'!$B$18/('Dashboard &amp; Optimisation'!$B$16/3.6)</f>
        <v/>
      </c>
      <c r="O2818" s="24" t="n">
        <v>1098.09062911432</v>
      </c>
      <c r="P2818" s="25" t="n">
        <v>0.05098656696881766</v>
      </c>
      <c r="Q2818" s="26" t="n">
        <v>15.23477960428174</v>
      </c>
      <c r="R2818" s="24" t="n">
        <v>4804.032549435024</v>
      </c>
      <c r="S2818" s="24">
        <f>R2818*IF(A2818=4, 2.0, 3.0)</f>
        <v/>
      </c>
      <c r="T2818" s="22">
        <f>'Dashboard &amp; Optimisation'!$B$18*U2818</f>
        <v/>
      </c>
      <c r="U2818" s="27">
        <f>MIN(1, S2818/M2818)</f>
        <v/>
      </c>
      <c r="V2818" s="27">
        <f>N2818/(N2818+O2818)</f>
        <v/>
      </c>
      <c r="W2818" s="27">
        <f>U2818*V2818</f>
        <v/>
      </c>
      <c r="X2818" s="25">
        <f>T2818/N2818</f>
        <v/>
      </c>
      <c r="Y2818" s="28">
        <f>IF(W2818=MAXIFS(W$2:W$3601, A$2:A$3601, A2818, B$2:B$3601, B2818), "OPTIMAL", "")</f>
        <v/>
      </c>
    </row>
    <row r="2819" ht="20" customHeight="1">
      <c r="A2819" s="29" t="n">
        <v>-18</v>
      </c>
      <c r="B2819" s="29" t="n">
        <v>35</v>
      </c>
      <c r="C2819" s="30" t="n">
        <v>115</v>
      </c>
      <c r="D2819" s="30" t="n">
        <v>2</v>
      </c>
      <c r="E2819" s="6" t="n">
        <v>8</v>
      </c>
      <c r="F2819" s="30" t="n">
        <v>2</v>
      </c>
      <c r="G2819" s="6" t="inlineStr">
        <is>
          <t>Oui</t>
        </is>
      </c>
      <c r="H2819" s="6" t="inlineStr">
        <is>
          <t>OFF</t>
        </is>
      </c>
      <c r="I2819" s="31" t="n">
        <v>744.7528686370244</v>
      </c>
      <c r="J2819" s="31" t="n">
        <v>6550.668683077564</v>
      </c>
      <c r="K2819" s="31" t="n">
        <v>4222.222222222223</v>
      </c>
      <c r="L2819" s="31" t="n">
        <v>150</v>
      </c>
      <c r="M2819" s="31">
        <f>I2819+J2819+K2819+L2819</f>
        <v/>
      </c>
      <c r="N2819" s="31">
        <f>M2819*'Dashboard &amp; Optimisation'!$B$18/('Dashboard &amp; Optimisation'!$B$16/3.6)</f>
        <v/>
      </c>
      <c r="O2819" s="31" t="n">
        <v>1098.09062911432</v>
      </c>
      <c r="P2819" s="32" t="n">
        <v>0.2218463755842228</v>
      </c>
      <c r="Q2819" s="33" t="n">
        <v>15.23477960428174</v>
      </c>
      <c r="R2819" s="31" t="n">
        <v>1104.102452235727</v>
      </c>
      <c r="S2819" s="31">
        <f>R2819*IF(A2819=4, 2.0, 3.0)</f>
        <v/>
      </c>
      <c r="T2819" s="30">
        <f>'Dashboard &amp; Optimisation'!$B$18*U2819</f>
        <v/>
      </c>
      <c r="U2819" s="34">
        <f>MIN(1, S2819/M2819)</f>
        <v/>
      </c>
      <c r="V2819" s="34">
        <f>N2819/(N2819+O2819)</f>
        <v/>
      </c>
      <c r="W2819" s="34">
        <f>U2819*V2819</f>
        <v/>
      </c>
      <c r="X2819" s="32">
        <f>T2819/N2819</f>
        <v/>
      </c>
      <c r="Y2819" s="35">
        <f>IF(W2819=MAXIFS(W$2:W$3601, A$2:A$3601, A2819, B$2:B$3601, B2819), "OPTIMAL", "")</f>
        <v/>
      </c>
    </row>
    <row r="2820" ht="20" customHeight="1">
      <c r="A2820" s="21" t="n">
        <v>-18</v>
      </c>
      <c r="B2820" s="21" t="n">
        <v>35</v>
      </c>
      <c r="C2820" s="22" t="n">
        <v>115</v>
      </c>
      <c r="D2820" s="22" t="n">
        <v>2</v>
      </c>
      <c r="E2820" s="23" t="n">
        <v>8</v>
      </c>
      <c r="F2820" s="22" t="n">
        <v>2</v>
      </c>
      <c r="G2820" s="23" t="inlineStr">
        <is>
          <t>Non</t>
        </is>
      </c>
      <c r="H2820" s="23" t="inlineStr">
        <is>
          <t>ON</t>
        </is>
      </c>
      <c r="I2820" s="24" t="n">
        <v>744.7528686370244</v>
      </c>
      <c r="J2820" s="24" t="n">
        <v>6550.668683077564</v>
      </c>
      <c r="K2820" s="24" t="n">
        <v>4222.222222222223</v>
      </c>
      <c r="L2820" s="24" t="n">
        <v>150</v>
      </c>
      <c r="M2820" s="24">
        <f>I2820+J2820+K2820+L2820</f>
        <v/>
      </c>
      <c r="N2820" s="24">
        <f>M2820*'Dashboard &amp; Optimisation'!$B$18/('Dashboard &amp; Optimisation'!$B$16/3.6)</f>
        <v/>
      </c>
      <c r="O2820" s="24" t="n">
        <v>1098.09062911432</v>
      </c>
      <c r="P2820" s="25" t="n">
        <v>0.04821865491504557</v>
      </c>
      <c r="Q2820" s="26" t="n">
        <v>15.23477960428174</v>
      </c>
      <c r="R2820" s="24" t="n">
        <v>5079.800084297253</v>
      </c>
      <c r="S2820" s="24">
        <f>R2820*IF(A2820=4, 2.0, 3.0)</f>
        <v/>
      </c>
      <c r="T2820" s="22">
        <f>'Dashboard &amp; Optimisation'!$B$18*U2820</f>
        <v/>
      </c>
      <c r="U2820" s="27">
        <f>MIN(1, S2820/M2820)</f>
        <v/>
      </c>
      <c r="V2820" s="27">
        <f>N2820/(N2820+O2820)</f>
        <v/>
      </c>
      <c r="W2820" s="27">
        <f>U2820*V2820</f>
        <v/>
      </c>
      <c r="X2820" s="25">
        <f>T2820/N2820</f>
        <v/>
      </c>
      <c r="Y2820" s="28">
        <f>IF(W2820=MAXIFS(W$2:W$3601, A$2:A$3601, A2820, B$2:B$3601, B2820), "OPTIMAL", "")</f>
        <v/>
      </c>
    </row>
    <row r="2821" ht="20" customHeight="1">
      <c r="A2821" s="29" t="n">
        <v>-18</v>
      </c>
      <c r="B2821" s="29" t="n">
        <v>35</v>
      </c>
      <c r="C2821" s="30" t="n">
        <v>115</v>
      </c>
      <c r="D2821" s="30" t="n">
        <v>2</v>
      </c>
      <c r="E2821" s="6" t="n">
        <v>8</v>
      </c>
      <c r="F2821" s="30" t="n">
        <v>2</v>
      </c>
      <c r="G2821" s="6" t="inlineStr">
        <is>
          <t>Non</t>
        </is>
      </c>
      <c r="H2821" s="6" t="inlineStr">
        <is>
          <t>OFF</t>
        </is>
      </c>
      <c r="I2821" s="31" t="n">
        <v>744.7528686370244</v>
      </c>
      <c r="J2821" s="31" t="n">
        <v>6550.668683077564</v>
      </c>
      <c r="K2821" s="31" t="n">
        <v>4222.222222222223</v>
      </c>
      <c r="L2821" s="31" t="n">
        <v>150</v>
      </c>
      <c r="M2821" s="31">
        <f>I2821+J2821+K2821+L2821</f>
        <v/>
      </c>
      <c r="N2821" s="31">
        <f>M2821*'Dashboard &amp; Optimisation'!$B$18/('Dashboard &amp; Optimisation'!$B$16/3.6)</f>
        <v/>
      </c>
      <c r="O2821" s="31" t="n">
        <v>1098.09062911432</v>
      </c>
      <c r="P2821" s="32" t="n">
        <v>0.2190784635304507</v>
      </c>
      <c r="Q2821" s="33" t="n">
        <v>15.23477960428174</v>
      </c>
      <c r="R2821" s="31" t="n">
        <v>1118.052059316653</v>
      </c>
      <c r="S2821" s="31">
        <f>R2821*IF(A2821=4, 2.0, 3.0)</f>
        <v/>
      </c>
      <c r="T2821" s="30">
        <f>'Dashboard &amp; Optimisation'!$B$18*U2821</f>
        <v/>
      </c>
      <c r="U2821" s="34">
        <f>MIN(1, S2821/M2821)</f>
        <v/>
      </c>
      <c r="V2821" s="34">
        <f>N2821/(N2821+O2821)</f>
        <v/>
      </c>
      <c r="W2821" s="34">
        <f>U2821*V2821</f>
        <v/>
      </c>
      <c r="X2821" s="32">
        <f>T2821/N2821</f>
        <v/>
      </c>
      <c r="Y2821" s="35">
        <f>IF(W2821=MAXIFS(W$2:W$3601, A$2:A$3601, A2821, B$2:B$3601, B2821), "OPTIMAL", "")</f>
        <v/>
      </c>
    </row>
    <row r="2822" ht="20" customHeight="1">
      <c r="A2822" s="21" t="n">
        <v>-18</v>
      </c>
      <c r="B2822" s="21" t="n">
        <v>35</v>
      </c>
      <c r="C2822" s="22" t="n">
        <v>115</v>
      </c>
      <c r="D2822" s="22" t="n">
        <v>3</v>
      </c>
      <c r="E2822" s="23" t="n">
        <v>0</v>
      </c>
      <c r="F2822" s="22" t="n">
        <v>0</v>
      </c>
      <c r="G2822" s="23" t="inlineStr">
        <is>
          <t>Oui</t>
        </is>
      </c>
      <c r="H2822" s="23" t="inlineStr">
        <is>
          <t>ON</t>
        </is>
      </c>
      <c r="I2822" s="24" t="n">
        <v>744.7528686370244</v>
      </c>
      <c r="J2822" s="24" t="n">
        <v>6550.668683077564</v>
      </c>
      <c r="K2822" s="24" t="n">
        <v>4222.222222222223</v>
      </c>
      <c r="L2822" s="24" t="n">
        <v>150</v>
      </c>
      <c r="M2822" s="24">
        <f>I2822+J2822+K2822+L2822</f>
        <v/>
      </c>
      <c r="N2822" s="24">
        <f>M2822*'Dashboard &amp; Optimisation'!$B$18/('Dashboard &amp; Optimisation'!$B$16/3.6)</f>
        <v/>
      </c>
      <c r="O2822" s="24" t="n">
        <v>670.8018552902472</v>
      </c>
      <c r="P2822" s="25" t="n">
        <v>0.4698946720919304</v>
      </c>
      <c r="Q2822" s="26" t="n">
        <v>0.2</v>
      </c>
      <c r="R2822" s="24" t="n">
        <v>500.8882224031727</v>
      </c>
      <c r="S2822" s="24">
        <f>R2822*IF(A2822=4, 2.0, 3.0)</f>
        <v/>
      </c>
      <c r="T2822" s="22">
        <f>'Dashboard &amp; Optimisation'!$B$18*U2822</f>
        <v/>
      </c>
      <c r="U2822" s="27">
        <f>MIN(1, S2822/M2822)</f>
        <v/>
      </c>
      <c r="V2822" s="27">
        <f>N2822/(N2822+O2822)</f>
        <v/>
      </c>
      <c r="W2822" s="27">
        <f>U2822*V2822</f>
        <v/>
      </c>
      <c r="X2822" s="25">
        <f>T2822/N2822</f>
        <v/>
      </c>
      <c r="Y2822" s="28">
        <f>IF(W2822=MAXIFS(W$2:W$3601, A$2:A$3601, A2822, B$2:B$3601, B2822), "OPTIMAL", "")</f>
        <v/>
      </c>
    </row>
    <row r="2823" ht="20" customHeight="1">
      <c r="A2823" s="29" t="n">
        <v>-18</v>
      </c>
      <c r="B2823" s="29" t="n">
        <v>35</v>
      </c>
      <c r="C2823" s="30" t="n">
        <v>115</v>
      </c>
      <c r="D2823" s="30" t="n">
        <v>3</v>
      </c>
      <c r="E2823" s="6" t="n">
        <v>0</v>
      </c>
      <c r="F2823" s="30" t="n">
        <v>0</v>
      </c>
      <c r="G2823" s="6" t="inlineStr">
        <is>
          <t>Oui</t>
        </is>
      </c>
      <c r="H2823" s="6" t="inlineStr">
        <is>
          <t>OFF</t>
        </is>
      </c>
      <c r="I2823" s="31" t="n">
        <v>744.7528686370244</v>
      </c>
      <c r="J2823" s="31" t="n">
        <v>6550.668683077564</v>
      </c>
      <c r="K2823" s="31" t="n">
        <v>4222.222222222223</v>
      </c>
      <c r="L2823" s="31" t="n">
        <v>150</v>
      </c>
      <c r="M2823" s="31">
        <f>I2823+J2823+K2823+L2823</f>
        <v/>
      </c>
      <c r="N2823" s="31">
        <f>M2823*'Dashboard &amp; Optimisation'!$B$18/('Dashboard &amp; Optimisation'!$B$16/3.6)</f>
        <v/>
      </c>
      <c r="O2823" s="31" t="n">
        <v>670.8018552902472</v>
      </c>
      <c r="P2823" s="32" t="n">
        <v>0.7466858774691396</v>
      </c>
      <c r="Q2823" s="33" t="n">
        <v>0.2</v>
      </c>
      <c r="R2823" s="31" t="n">
        <v>315.2124797359333</v>
      </c>
      <c r="S2823" s="31">
        <f>R2823*IF(A2823=4, 2.0, 3.0)</f>
        <v/>
      </c>
      <c r="T2823" s="30">
        <f>'Dashboard &amp; Optimisation'!$B$18*U2823</f>
        <v/>
      </c>
      <c r="U2823" s="34">
        <f>MIN(1, S2823/M2823)</f>
        <v/>
      </c>
      <c r="V2823" s="34">
        <f>N2823/(N2823+O2823)</f>
        <v/>
      </c>
      <c r="W2823" s="34">
        <f>U2823*V2823</f>
        <v/>
      </c>
      <c r="X2823" s="32">
        <f>T2823/N2823</f>
        <v/>
      </c>
      <c r="Y2823" s="35">
        <f>IF(W2823=MAXIFS(W$2:W$3601, A$2:A$3601, A2823, B$2:B$3601, B2823), "OPTIMAL", "")</f>
        <v/>
      </c>
    </row>
    <row r="2824" ht="20" customHeight="1">
      <c r="A2824" s="21" t="n">
        <v>-18</v>
      </c>
      <c r="B2824" s="21" t="n">
        <v>35</v>
      </c>
      <c r="C2824" s="22" t="n">
        <v>115</v>
      </c>
      <c r="D2824" s="22" t="n">
        <v>3</v>
      </c>
      <c r="E2824" s="23" t="n">
        <v>0</v>
      </c>
      <c r="F2824" s="22" t="n">
        <v>0</v>
      </c>
      <c r="G2824" s="23" t="inlineStr">
        <is>
          <t>Non</t>
        </is>
      </c>
      <c r="H2824" s="23" t="inlineStr">
        <is>
          <t>ON</t>
        </is>
      </c>
      <c r="I2824" s="24" t="n">
        <v>744.7528686370244</v>
      </c>
      <c r="J2824" s="24" t="n">
        <v>6550.668683077564</v>
      </c>
      <c r="K2824" s="24" t="n">
        <v>4222.222222222223</v>
      </c>
      <c r="L2824" s="24" t="n">
        <v>150</v>
      </c>
      <c r="M2824" s="24">
        <f>I2824+J2824+K2824+L2824</f>
        <v/>
      </c>
      <c r="N2824" s="24">
        <f>M2824*'Dashboard &amp; Optimisation'!$B$18/('Dashboard &amp; Optimisation'!$B$16/3.6)</f>
        <v/>
      </c>
      <c r="O2824" s="24" t="n">
        <v>670.8018552902472</v>
      </c>
      <c r="P2824" s="25" t="n">
        <v>0.4671267600381582</v>
      </c>
      <c r="Q2824" s="26" t="n">
        <v>0.2</v>
      </c>
      <c r="R2824" s="24" t="n">
        <v>503.8561845645976</v>
      </c>
      <c r="S2824" s="24">
        <f>R2824*IF(A2824=4, 2.0, 3.0)</f>
        <v/>
      </c>
      <c r="T2824" s="22">
        <f>'Dashboard &amp; Optimisation'!$B$18*U2824</f>
        <v/>
      </c>
      <c r="U2824" s="27">
        <f>MIN(1, S2824/M2824)</f>
        <v/>
      </c>
      <c r="V2824" s="27">
        <f>N2824/(N2824+O2824)</f>
        <v/>
      </c>
      <c r="W2824" s="27">
        <f>U2824*V2824</f>
        <v/>
      </c>
      <c r="X2824" s="25">
        <f>T2824/N2824</f>
        <v/>
      </c>
      <c r="Y2824" s="28">
        <f>IF(W2824=MAXIFS(W$2:W$3601, A$2:A$3601, A2824, B$2:B$3601, B2824), "OPTIMAL", "")</f>
        <v/>
      </c>
    </row>
    <row r="2825" ht="20" customHeight="1">
      <c r="A2825" s="29" t="n">
        <v>-18</v>
      </c>
      <c r="B2825" s="29" t="n">
        <v>35</v>
      </c>
      <c r="C2825" s="30" t="n">
        <v>115</v>
      </c>
      <c r="D2825" s="30" t="n">
        <v>3</v>
      </c>
      <c r="E2825" s="6" t="n">
        <v>0</v>
      </c>
      <c r="F2825" s="30" t="n">
        <v>0</v>
      </c>
      <c r="G2825" s="6" t="inlineStr">
        <is>
          <t>Non</t>
        </is>
      </c>
      <c r="H2825" s="6" t="inlineStr">
        <is>
          <t>OFF</t>
        </is>
      </c>
      <c r="I2825" s="31" t="n">
        <v>744.7528686370244</v>
      </c>
      <c r="J2825" s="31" t="n">
        <v>6550.668683077564</v>
      </c>
      <c r="K2825" s="31" t="n">
        <v>4222.222222222223</v>
      </c>
      <c r="L2825" s="31" t="n">
        <v>150</v>
      </c>
      <c r="M2825" s="31">
        <f>I2825+J2825+K2825+L2825</f>
        <v/>
      </c>
      <c r="N2825" s="31">
        <f>M2825*'Dashboard &amp; Optimisation'!$B$18/('Dashboard &amp; Optimisation'!$B$16/3.6)</f>
        <v/>
      </c>
      <c r="O2825" s="31" t="n">
        <v>670.8018552902472</v>
      </c>
      <c r="P2825" s="32" t="n">
        <v>0.7439179654153676</v>
      </c>
      <c r="Q2825" s="33" t="n">
        <v>0.2</v>
      </c>
      <c r="R2825" s="31" t="n">
        <v>316.3852977921195</v>
      </c>
      <c r="S2825" s="31">
        <f>R2825*IF(A2825=4, 2.0, 3.0)</f>
        <v/>
      </c>
      <c r="T2825" s="30">
        <f>'Dashboard &amp; Optimisation'!$B$18*U2825</f>
        <v/>
      </c>
      <c r="U2825" s="34">
        <f>MIN(1, S2825/M2825)</f>
        <v/>
      </c>
      <c r="V2825" s="34">
        <f>N2825/(N2825+O2825)</f>
        <v/>
      </c>
      <c r="W2825" s="34">
        <f>U2825*V2825</f>
        <v/>
      </c>
      <c r="X2825" s="32">
        <f>T2825/N2825</f>
        <v/>
      </c>
      <c r="Y2825" s="35">
        <f>IF(W2825=MAXIFS(W$2:W$3601, A$2:A$3601, A2825, B$2:B$3601, B2825), "OPTIMAL", "")</f>
        <v/>
      </c>
    </row>
    <row r="2826" ht="20" customHeight="1">
      <c r="A2826" s="21" t="n">
        <v>-18</v>
      </c>
      <c r="B2826" s="21" t="n">
        <v>35</v>
      </c>
      <c r="C2826" s="22" t="n">
        <v>115</v>
      </c>
      <c r="D2826" s="22" t="n">
        <v>3</v>
      </c>
      <c r="E2826" s="23" t="n">
        <v>4</v>
      </c>
      <c r="F2826" s="22" t="n">
        <v>1.5</v>
      </c>
      <c r="G2826" s="23" t="inlineStr">
        <is>
          <t>Oui</t>
        </is>
      </c>
      <c r="H2826" s="23" t="inlineStr">
        <is>
          <t>ON</t>
        </is>
      </c>
      <c r="I2826" s="24" t="n">
        <v>744.7528686370244</v>
      </c>
      <c r="J2826" s="24" t="n">
        <v>6550.668683077564</v>
      </c>
      <c r="K2826" s="24" t="n">
        <v>4222.222222222223</v>
      </c>
      <c r="L2826" s="24" t="n">
        <v>150</v>
      </c>
      <c r="M2826" s="24">
        <f>I2826+J2826+K2826+L2826</f>
        <v/>
      </c>
      <c r="N2826" s="24">
        <f>M2826*'Dashboard &amp; Optimisation'!$B$18/('Dashboard &amp; Optimisation'!$B$16/3.6)</f>
        <v/>
      </c>
      <c r="O2826" s="24" t="n">
        <v>920.0310099142622</v>
      </c>
      <c r="P2826" s="25" t="n">
        <v>0.06905768177243103</v>
      </c>
      <c r="Q2826" s="26" t="n">
        <v>5.941492669983736</v>
      </c>
      <c r="R2826" s="24" t="n">
        <v>3506.538041449005</v>
      </c>
      <c r="S2826" s="24">
        <f>R2826*IF(A2826=4, 2.0, 3.0)</f>
        <v/>
      </c>
      <c r="T2826" s="22">
        <f>'Dashboard &amp; Optimisation'!$B$18*U2826</f>
        <v/>
      </c>
      <c r="U2826" s="27">
        <f>MIN(1, S2826/M2826)</f>
        <v/>
      </c>
      <c r="V2826" s="27">
        <f>N2826/(N2826+O2826)</f>
        <v/>
      </c>
      <c r="W2826" s="27">
        <f>U2826*V2826</f>
        <v/>
      </c>
      <c r="X2826" s="25">
        <f>T2826/N2826</f>
        <v/>
      </c>
      <c r="Y2826" s="28">
        <f>IF(W2826=MAXIFS(W$2:W$3601, A$2:A$3601, A2826, B$2:B$3601, B2826), "OPTIMAL", "")</f>
        <v/>
      </c>
    </row>
    <row r="2827" ht="20" customHeight="1">
      <c r="A2827" s="29" t="n">
        <v>-18</v>
      </c>
      <c r="B2827" s="29" t="n">
        <v>35</v>
      </c>
      <c r="C2827" s="30" t="n">
        <v>115</v>
      </c>
      <c r="D2827" s="30" t="n">
        <v>3</v>
      </c>
      <c r="E2827" s="6" t="n">
        <v>4</v>
      </c>
      <c r="F2827" s="30" t="n">
        <v>1.5</v>
      </c>
      <c r="G2827" s="6" t="inlineStr">
        <is>
          <t>Oui</t>
        </is>
      </c>
      <c r="H2827" s="6" t="inlineStr">
        <is>
          <t>OFF</t>
        </is>
      </c>
      <c r="I2827" s="31" t="n">
        <v>744.7528686370244</v>
      </c>
      <c r="J2827" s="31" t="n">
        <v>6550.668683077564</v>
      </c>
      <c r="K2827" s="31" t="n">
        <v>4222.222222222223</v>
      </c>
      <c r="L2827" s="31" t="n">
        <v>150</v>
      </c>
      <c r="M2827" s="31">
        <f>I2827+J2827+K2827+L2827</f>
        <v/>
      </c>
      <c r="N2827" s="31">
        <f>M2827*'Dashboard &amp; Optimisation'!$B$18/('Dashboard &amp; Optimisation'!$B$16/3.6)</f>
        <v/>
      </c>
      <c r="O2827" s="31" t="n">
        <v>920.0310099142622</v>
      </c>
      <c r="P2827" s="32" t="n">
        <v>0.2794623219147311</v>
      </c>
      <c r="Q2827" s="33" t="n">
        <v>5.941492669983736</v>
      </c>
      <c r="R2827" s="31" t="n">
        <v>866.4974459891386</v>
      </c>
      <c r="S2827" s="31">
        <f>R2827*IF(A2827=4, 2.0, 3.0)</f>
        <v/>
      </c>
      <c r="T2827" s="30">
        <f>'Dashboard &amp; Optimisation'!$B$18*U2827</f>
        <v/>
      </c>
      <c r="U2827" s="34">
        <f>MIN(1, S2827/M2827)</f>
        <v/>
      </c>
      <c r="V2827" s="34">
        <f>N2827/(N2827+O2827)</f>
        <v/>
      </c>
      <c r="W2827" s="34">
        <f>U2827*V2827</f>
        <v/>
      </c>
      <c r="X2827" s="32">
        <f>T2827/N2827</f>
        <v/>
      </c>
      <c r="Y2827" s="35">
        <f>IF(W2827=MAXIFS(W$2:W$3601, A$2:A$3601, A2827, B$2:B$3601, B2827), "OPTIMAL", "")</f>
        <v/>
      </c>
    </row>
    <row r="2828" ht="20" customHeight="1">
      <c r="A2828" s="21" t="n">
        <v>-18</v>
      </c>
      <c r="B2828" s="21" t="n">
        <v>35</v>
      </c>
      <c r="C2828" s="22" t="n">
        <v>115</v>
      </c>
      <c r="D2828" s="22" t="n">
        <v>3</v>
      </c>
      <c r="E2828" s="23" t="n">
        <v>4</v>
      </c>
      <c r="F2828" s="22" t="n">
        <v>1.5</v>
      </c>
      <c r="G2828" s="23" t="inlineStr">
        <is>
          <t>Non</t>
        </is>
      </c>
      <c r="H2828" s="23" t="inlineStr">
        <is>
          <t>ON</t>
        </is>
      </c>
      <c r="I2828" s="24" t="n">
        <v>744.7528686370244</v>
      </c>
      <c r="J2828" s="24" t="n">
        <v>6550.668683077564</v>
      </c>
      <c r="K2828" s="24" t="n">
        <v>4222.222222222223</v>
      </c>
      <c r="L2828" s="24" t="n">
        <v>150</v>
      </c>
      <c r="M2828" s="24">
        <f>I2828+J2828+K2828+L2828</f>
        <v/>
      </c>
      <c r="N2828" s="24">
        <f>M2828*'Dashboard &amp; Optimisation'!$B$18/('Dashboard &amp; Optimisation'!$B$16/3.6)</f>
        <v/>
      </c>
      <c r="O2828" s="24" t="n">
        <v>920.0310099142622</v>
      </c>
      <c r="P2828" s="25" t="n">
        <v>0.06628976971865894</v>
      </c>
      <c r="Q2828" s="26" t="n">
        <v>5.941492669983736</v>
      </c>
      <c r="R2828" s="24" t="n">
        <v>3652.952623263507</v>
      </c>
      <c r="S2828" s="24">
        <f>R2828*IF(A2828=4, 2.0, 3.0)</f>
        <v/>
      </c>
      <c r="T2828" s="22">
        <f>'Dashboard &amp; Optimisation'!$B$18*U2828</f>
        <v/>
      </c>
      <c r="U2828" s="27">
        <f>MIN(1, S2828/M2828)</f>
        <v/>
      </c>
      <c r="V2828" s="27">
        <f>N2828/(N2828+O2828)</f>
        <v/>
      </c>
      <c r="W2828" s="27">
        <f>U2828*V2828</f>
        <v/>
      </c>
      <c r="X2828" s="25">
        <f>T2828/N2828</f>
        <v/>
      </c>
      <c r="Y2828" s="28">
        <f>IF(W2828=MAXIFS(W$2:W$3601, A$2:A$3601, A2828, B$2:B$3601, B2828), "OPTIMAL", "")</f>
        <v/>
      </c>
    </row>
    <row r="2829" ht="20" customHeight="1">
      <c r="A2829" s="29" t="n">
        <v>-18</v>
      </c>
      <c r="B2829" s="29" t="n">
        <v>35</v>
      </c>
      <c r="C2829" s="30" t="n">
        <v>115</v>
      </c>
      <c r="D2829" s="30" t="n">
        <v>3</v>
      </c>
      <c r="E2829" s="6" t="n">
        <v>4</v>
      </c>
      <c r="F2829" s="30" t="n">
        <v>1.5</v>
      </c>
      <c r="G2829" s="6" t="inlineStr">
        <is>
          <t>Non</t>
        </is>
      </c>
      <c r="H2829" s="6" t="inlineStr">
        <is>
          <t>OFF</t>
        </is>
      </c>
      <c r="I2829" s="31" t="n">
        <v>744.7528686370244</v>
      </c>
      <c r="J2829" s="31" t="n">
        <v>6550.668683077564</v>
      </c>
      <c r="K2829" s="31" t="n">
        <v>4222.222222222223</v>
      </c>
      <c r="L2829" s="31" t="n">
        <v>150</v>
      </c>
      <c r="M2829" s="31">
        <f>I2829+J2829+K2829+L2829</f>
        <v/>
      </c>
      <c r="N2829" s="31">
        <f>M2829*'Dashboard &amp; Optimisation'!$B$18/('Dashboard &amp; Optimisation'!$B$16/3.6)</f>
        <v/>
      </c>
      <c r="O2829" s="31" t="n">
        <v>920.0310099142622</v>
      </c>
      <c r="P2829" s="32" t="n">
        <v>0.276694409860959</v>
      </c>
      <c r="Q2829" s="33" t="n">
        <v>5.941492669983736</v>
      </c>
      <c r="R2829" s="31" t="n">
        <v>875.1654517017269</v>
      </c>
      <c r="S2829" s="31">
        <f>R2829*IF(A2829=4, 2.0, 3.0)</f>
        <v/>
      </c>
      <c r="T2829" s="30">
        <f>'Dashboard &amp; Optimisation'!$B$18*U2829</f>
        <v/>
      </c>
      <c r="U2829" s="34">
        <f>MIN(1, S2829/M2829)</f>
        <v/>
      </c>
      <c r="V2829" s="34">
        <f>N2829/(N2829+O2829)</f>
        <v/>
      </c>
      <c r="W2829" s="34">
        <f>U2829*V2829</f>
        <v/>
      </c>
      <c r="X2829" s="32">
        <f>T2829/N2829</f>
        <v/>
      </c>
      <c r="Y2829" s="35">
        <f>IF(W2829=MAXIFS(W$2:W$3601, A$2:A$3601, A2829, B$2:B$3601, B2829), "OPTIMAL", "")</f>
        <v/>
      </c>
    </row>
    <row r="2830" ht="20" customHeight="1">
      <c r="A2830" s="21" t="n">
        <v>-18</v>
      </c>
      <c r="B2830" s="21" t="n">
        <v>35</v>
      </c>
      <c r="C2830" s="22" t="n">
        <v>115</v>
      </c>
      <c r="D2830" s="22" t="n">
        <v>3</v>
      </c>
      <c r="E2830" s="23" t="n">
        <v>4</v>
      </c>
      <c r="F2830" s="22" t="n">
        <v>2</v>
      </c>
      <c r="G2830" s="23" t="inlineStr">
        <is>
          <t>Oui</t>
        </is>
      </c>
      <c r="H2830" s="23" t="inlineStr">
        <is>
          <t>ON</t>
        </is>
      </c>
      <c r="I2830" s="24" t="n">
        <v>744.7528686370244</v>
      </c>
      <c r="J2830" s="24" t="n">
        <v>6550.668683077564</v>
      </c>
      <c r="K2830" s="24" t="n">
        <v>4222.222222222223</v>
      </c>
      <c r="L2830" s="24" t="n">
        <v>150</v>
      </c>
      <c r="M2830" s="24">
        <f>I2830+J2830+K2830+L2830</f>
        <v/>
      </c>
      <c r="N2830" s="24">
        <f>M2830*'Dashboard &amp; Optimisation'!$B$18/('Dashboard &amp; Optimisation'!$B$16/3.6)</f>
        <v/>
      </c>
      <c r="O2830" s="24" t="n">
        <v>1006.333333312323</v>
      </c>
      <c r="P2830" s="25" t="n">
        <v>0.06595572049116703</v>
      </c>
      <c r="Q2830" s="26" t="n">
        <v>7.855323559978315</v>
      </c>
      <c r="R2830" s="24" t="n">
        <v>3707.095464983802</v>
      </c>
      <c r="S2830" s="24">
        <f>R2830*IF(A2830=4, 2.0, 3.0)</f>
        <v/>
      </c>
      <c r="T2830" s="22">
        <f>'Dashboard &amp; Optimisation'!$B$18*U2830</f>
        <v/>
      </c>
      <c r="U2830" s="27">
        <f>MIN(1, S2830/M2830)</f>
        <v/>
      </c>
      <c r="V2830" s="27">
        <f>N2830/(N2830+O2830)</f>
        <v/>
      </c>
      <c r="W2830" s="27">
        <f>U2830*V2830</f>
        <v/>
      </c>
      <c r="X2830" s="25">
        <f>T2830/N2830</f>
        <v/>
      </c>
      <c r="Y2830" s="28">
        <f>IF(W2830=MAXIFS(W$2:W$3601, A$2:A$3601, A2830, B$2:B$3601, B2830), "OPTIMAL", "")</f>
        <v/>
      </c>
    </row>
    <row r="2831" ht="20" customHeight="1">
      <c r="A2831" s="29" t="n">
        <v>-18</v>
      </c>
      <c r="B2831" s="29" t="n">
        <v>35</v>
      </c>
      <c r="C2831" s="30" t="n">
        <v>115</v>
      </c>
      <c r="D2831" s="30" t="n">
        <v>3</v>
      </c>
      <c r="E2831" s="6" t="n">
        <v>4</v>
      </c>
      <c r="F2831" s="30" t="n">
        <v>2</v>
      </c>
      <c r="G2831" s="6" t="inlineStr">
        <is>
          <t>Oui</t>
        </is>
      </c>
      <c r="H2831" s="6" t="inlineStr">
        <is>
          <t>OFF</t>
        </is>
      </c>
      <c r="I2831" s="31" t="n">
        <v>744.7528686370244</v>
      </c>
      <c r="J2831" s="31" t="n">
        <v>6550.668683077564</v>
      </c>
      <c r="K2831" s="31" t="n">
        <v>4222.222222222223</v>
      </c>
      <c r="L2831" s="31" t="n">
        <v>150</v>
      </c>
      <c r="M2831" s="31">
        <f>I2831+J2831+K2831+L2831</f>
        <v/>
      </c>
      <c r="N2831" s="31">
        <f>M2831*'Dashboard &amp; Optimisation'!$B$18/('Dashboard &amp; Optimisation'!$B$16/3.6)</f>
        <v/>
      </c>
      <c r="O2831" s="31" t="n">
        <v>1006.333333312323</v>
      </c>
      <c r="P2831" s="32" t="n">
        <v>0.2772478604823886</v>
      </c>
      <c r="Q2831" s="33" t="n">
        <v>7.855323559978315</v>
      </c>
      <c r="R2831" s="31" t="n">
        <v>881.8973459240671</v>
      </c>
      <c r="S2831" s="31">
        <f>R2831*IF(A2831=4, 2.0, 3.0)</f>
        <v/>
      </c>
      <c r="T2831" s="30">
        <f>'Dashboard &amp; Optimisation'!$B$18*U2831</f>
        <v/>
      </c>
      <c r="U2831" s="34">
        <f>MIN(1, S2831/M2831)</f>
        <v/>
      </c>
      <c r="V2831" s="34">
        <f>N2831/(N2831+O2831)</f>
        <v/>
      </c>
      <c r="W2831" s="34">
        <f>U2831*V2831</f>
        <v/>
      </c>
      <c r="X2831" s="32">
        <f>T2831/N2831</f>
        <v/>
      </c>
      <c r="Y2831" s="35">
        <f>IF(W2831=MAXIFS(W$2:W$3601, A$2:A$3601, A2831, B$2:B$3601, B2831), "OPTIMAL", "")</f>
        <v/>
      </c>
    </row>
    <row r="2832" ht="20" customHeight="1">
      <c r="A2832" s="21" t="n">
        <v>-18</v>
      </c>
      <c r="B2832" s="21" t="n">
        <v>35</v>
      </c>
      <c r="C2832" s="22" t="n">
        <v>115</v>
      </c>
      <c r="D2832" s="22" t="n">
        <v>3</v>
      </c>
      <c r="E2832" s="23" t="n">
        <v>4</v>
      </c>
      <c r="F2832" s="22" t="n">
        <v>2</v>
      </c>
      <c r="G2832" s="23" t="inlineStr">
        <is>
          <t>Non</t>
        </is>
      </c>
      <c r="H2832" s="23" t="inlineStr">
        <is>
          <t>ON</t>
        </is>
      </c>
      <c r="I2832" s="24" t="n">
        <v>744.7528686370244</v>
      </c>
      <c r="J2832" s="24" t="n">
        <v>6550.668683077564</v>
      </c>
      <c r="K2832" s="24" t="n">
        <v>4222.222222222223</v>
      </c>
      <c r="L2832" s="24" t="n">
        <v>150</v>
      </c>
      <c r="M2832" s="24">
        <f>I2832+J2832+K2832+L2832</f>
        <v/>
      </c>
      <c r="N2832" s="24">
        <f>M2832*'Dashboard &amp; Optimisation'!$B$18/('Dashboard &amp; Optimisation'!$B$16/3.6)</f>
        <v/>
      </c>
      <c r="O2832" s="24" t="n">
        <v>1006.333333312323</v>
      </c>
      <c r="P2832" s="25" t="n">
        <v>0.06318780843739494</v>
      </c>
      <c r="Q2832" s="26" t="n">
        <v>7.855323559978315</v>
      </c>
      <c r="R2832" s="24" t="n">
        <v>3869.483027960904</v>
      </c>
      <c r="S2832" s="24">
        <f>R2832*IF(A2832=4, 2.0, 3.0)</f>
        <v/>
      </c>
      <c r="T2832" s="22">
        <f>'Dashboard &amp; Optimisation'!$B$18*U2832</f>
        <v/>
      </c>
      <c r="U2832" s="27">
        <f>MIN(1, S2832/M2832)</f>
        <v/>
      </c>
      <c r="V2832" s="27">
        <f>N2832/(N2832+O2832)</f>
        <v/>
      </c>
      <c r="W2832" s="27">
        <f>U2832*V2832</f>
        <v/>
      </c>
      <c r="X2832" s="25">
        <f>T2832/N2832</f>
        <v/>
      </c>
      <c r="Y2832" s="28">
        <f>IF(W2832=MAXIFS(W$2:W$3601, A$2:A$3601, A2832, B$2:B$3601, B2832), "OPTIMAL", "")</f>
        <v/>
      </c>
    </row>
    <row r="2833" ht="20" customHeight="1">
      <c r="A2833" s="29" t="n">
        <v>-18</v>
      </c>
      <c r="B2833" s="29" t="n">
        <v>35</v>
      </c>
      <c r="C2833" s="30" t="n">
        <v>115</v>
      </c>
      <c r="D2833" s="30" t="n">
        <v>3</v>
      </c>
      <c r="E2833" s="6" t="n">
        <v>4</v>
      </c>
      <c r="F2833" s="30" t="n">
        <v>2</v>
      </c>
      <c r="G2833" s="6" t="inlineStr">
        <is>
          <t>Non</t>
        </is>
      </c>
      <c r="H2833" s="6" t="inlineStr">
        <is>
          <t>OFF</t>
        </is>
      </c>
      <c r="I2833" s="31" t="n">
        <v>744.7528686370244</v>
      </c>
      <c r="J2833" s="31" t="n">
        <v>6550.668683077564</v>
      </c>
      <c r="K2833" s="31" t="n">
        <v>4222.222222222223</v>
      </c>
      <c r="L2833" s="31" t="n">
        <v>150</v>
      </c>
      <c r="M2833" s="31">
        <f>I2833+J2833+K2833+L2833</f>
        <v/>
      </c>
      <c r="N2833" s="31">
        <f>M2833*'Dashboard &amp; Optimisation'!$B$18/('Dashboard &amp; Optimisation'!$B$16/3.6)</f>
        <v/>
      </c>
      <c r="O2833" s="31" t="n">
        <v>1006.333333312323</v>
      </c>
      <c r="P2833" s="32" t="n">
        <v>0.2744799484286165</v>
      </c>
      <c r="Q2833" s="33" t="n">
        <v>7.855323559978315</v>
      </c>
      <c r="R2833" s="31" t="n">
        <v>890.7905795025034</v>
      </c>
      <c r="S2833" s="31">
        <f>R2833*IF(A2833=4, 2.0, 3.0)</f>
        <v/>
      </c>
      <c r="T2833" s="30">
        <f>'Dashboard &amp; Optimisation'!$B$18*U2833</f>
        <v/>
      </c>
      <c r="U2833" s="34">
        <f>MIN(1, S2833/M2833)</f>
        <v/>
      </c>
      <c r="V2833" s="34">
        <f>N2833/(N2833+O2833)</f>
        <v/>
      </c>
      <c r="W2833" s="34">
        <f>U2833*V2833</f>
        <v/>
      </c>
      <c r="X2833" s="32">
        <f>T2833/N2833</f>
        <v/>
      </c>
      <c r="Y2833" s="35">
        <f>IF(W2833=MAXIFS(W$2:W$3601, A$2:A$3601, A2833, B$2:B$3601, B2833), "OPTIMAL", "")</f>
        <v/>
      </c>
    </row>
    <row r="2834" ht="20" customHeight="1">
      <c r="A2834" s="21" t="n">
        <v>-18</v>
      </c>
      <c r="B2834" s="21" t="n">
        <v>35</v>
      </c>
      <c r="C2834" s="22" t="n">
        <v>115</v>
      </c>
      <c r="D2834" s="22" t="n">
        <v>3</v>
      </c>
      <c r="E2834" s="23" t="n">
        <v>8</v>
      </c>
      <c r="F2834" s="22" t="n">
        <v>1.5</v>
      </c>
      <c r="G2834" s="23" t="inlineStr">
        <is>
          <t>Oui</t>
        </is>
      </c>
      <c r="H2834" s="23" t="inlineStr">
        <is>
          <t>ON</t>
        </is>
      </c>
      <c r="I2834" s="24" t="n">
        <v>744.7528686370244</v>
      </c>
      <c r="J2834" s="24" t="n">
        <v>6550.668683077564</v>
      </c>
      <c r="K2834" s="24" t="n">
        <v>4222.222222222223</v>
      </c>
      <c r="L2834" s="24" t="n">
        <v>150</v>
      </c>
      <c r="M2834" s="24">
        <f>I2834+J2834+K2834+L2834</f>
        <v/>
      </c>
      <c r="N2834" s="24">
        <f>M2834*'Dashboard &amp; Optimisation'!$B$18/('Dashboard &amp; Optimisation'!$B$16/3.6)</f>
        <v/>
      </c>
      <c r="O2834" s="24" t="n">
        <v>1184.064317881287</v>
      </c>
      <c r="P2834" s="25" t="n">
        <v>0.05237734442636455</v>
      </c>
      <c r="Q2834" s="26" t="n">
        <v>11.68298533996747</v>
      </c>
      <c r="R2834" s="24" t="n">
        <v>4760.556652081625</v>
      </c>
      <c r="S2834" s="24">
        <f>R2834*IF(A2834=4, 2.0, 3.0)</f>
        <v/>
      </c>
      <c r="T2834" s="22">
        <f>'Dashboard &amp; Optimisation'!$B$18*U2834</f>
        <v/>
      </c>
      <c r="U2834" s="27">
        <f>MIN(1, S2834/M2834)</f>
        <v/>
      </c>
      <c r="V2834" s="27">
        <f>N2834/(N2834+O2834)</f>
        <v/>
      </c>
      <c r="W2834" s="27">
        <f>U2834*V2834</f>
        <v/>
      </c>
      <c r="X2834" s="25">
        <f>T2834/N2834</f>
        <v/>
      </c>
      <c r="Y2834" s="28">
        <f>IF(W2834=MAXIFS(W$2:W$3601, A$2:A$3601, A2834, B$2:B$3601, B2834), "OPTIMAL", "")</f>
        <v/>
      </c>
    </row>
    <row r="2835" ht="20" customHeight="1">
      <c r="A2835" s="29" t="n">
        <v>-18</v>
      </c>
      <c r="B2835" s="29" t="n">
        <v>35</v>
      </c>
      <c r="C2835" s="30" t="n">
        <v>115</v>
      </c>
      <c r="D2835" s="30" t="n">
        <v>3</v>
      </c>
      <c r="E2835" s="6" t="n">
        <v>8</v>
      </c>
      <c r="F2835" s="30" t="n">
        <v>1.5</v>
      </c>
      <c r="G2835" s="6" t="inlineStr">
        <is>
          <t>Oui</t>
        </is>
      </c>
      <c r="H2835" s="6" t="inlineStr">
        <is>
          <t>OFF</t>
        </is>
      </c>
      <c r="I2835" s="31" t="n">
        <v>744.7528686370244</v>
      </c>
      <c r="J2835" s="31" t="n">
        <v>6550.668683077564</v>
      </c>
      <c r="K2835" s="31" t="n">
        <v>4222.222222222223</v>
      </c>
      <c r="L2835" s="31" t="n">
        <v>150</v>
      </c>
      <c r="M2835" s="31">
        <f>I2835+J2835+K2835+L2835</f>
        <v/>
      </c>
      <c r="N2835" s="31">
        <f>M2835*'Dashboard &amp; Optimisation'!$B$18/('Dashboard &amp; Optimisation'!$B$16/3.6)</f>
        <v/>
      </c>
      <c r="O2835" s="31" t="n">
        <v>1184.064317881287</v>
      </c>
      <c r="P2835" s="32" t="n">
        <v>0.2220791446673444</v>
      </c>
      <c r="Q2835" s="33" t="n">
        <v>11.68298533996747</v>
      </c>
      <c r="R2835" s="31" t="n">
        <v>1122.776818151016</v>
      </c>
      <c r="S2835" s="31">
        <f>R2835*IF(A2835=4, 2.0, 3.0)</f>
        <v/>
      </c>
      <c r="T2835" s="30">
        <f>'Dashboard &amp; Optimisation'!$B$18*U2835</f>
        <v/>
      </c>
      <c r="U2835" s="34">
        <f>MIN(1, S2835/M2835)</f>
        <v/>
      </c>
      <c r="V2835" s="34">
        <f>N2835/(N2835+O2835)</f>
        <v/>
      </c>
      <c r="W2835" s="34">
        <f>U2835*V2835</f>
        <v/>
      </c>
      <c r="X2835" s="32">
        <f>T2835/N2835</f>
        <v/>
      </c>
      <c r="Y2835" s="35">
        <f>IF(W2835=MAXIFS(W$2:W$3601, A$2:A$3601, A2835, B$2:B$3601, B2835), "OPTIMAL", "")</f>
        <v/>
      </c>
    </row>
    <row r="2836" ht="20" customHeight="1">
      <c r="A2836" s="21" t="n">
        <v>-18</v>
      </c>
      <c r="B2836" s="21" t="n">
        <v>35</v>
      </c>
      <c r="C2836" s="22" t="n">
        <v>115</v>
      </c>
      <c r="D2836" s="22" t="n">
        <v>3</v>
      </c>
      <c r="E2836" s="23" t="n">
        <v>8</v>
      </c>
      <c r="F2836" s="22" t="n">
        <v>1.5</v>
      </c>
      <c r="G2836" s="23" t="inlineStr">
        <is>
          <t>Non</t>
        </is>
      </c>
      <c r="H2836" s="23" t="inlineStr">
        <is>
          <t>ON</t>
        </is>
      </c>
      <c r="I2836" s="24" t="n">
        <v>744.7528686370244</v>
      </c>
      <c r="J2836" s="24" t="n">
        <v>6550.668683077564</v>
      </c>
      <c r="K2836" s="24" t="n">
        <v>4222.222222222223</v>
      </c>
      <c r="L2836" s="24" t="n">
        <v>150</v>
      </c>
      <c r="M2836" s="24">
        <f>I2836+J2836+K2836+L2836</f>
        <v/>
      </c>
      <c r="N2836" s="24">
        <f>M2836*'Dashboard &amp; Optimisation'!$B$18/('Dashboard &amp; Optimisation'!$B$16/3.6)</f>
        <v/>
      </c>
      <c r="O2836" s="24" t="n">
        <v>1184.064317881287</v>
      </c>
      <c r="P2836" s="25" t="n">
        <v>0.04960943237259246</v>
      </c>
      <c r="Q2836" s="26" t="n">
        <v>11.68298533996747</v>
      </c>
      <c r="R2836" s="24" t="n">
        <v>5026.167474656595</v>
      </c>
      <c r="S2836" s="24">
        <f>R2836*IF(A2836=4, 2.0, 3.0)</f>
        <v/>
      </c>
      <c r="T2836" s="22">
        <f>'Dashboard &amp; Optimisation'!$B$18*U2836</f>
        <v/>
      </c>
      <c r="U2836" s="27">
        <f>MIN(1, S2836/M2836)</f>
        <v/>
      </c>
      <c r="V2836" s="27">
        <f>N2836/(N2836+O2836)</f>
        <v/>
      </c>
      <c r="W2836" s="27">
        <f>U2836*V2836</f>
        <v/>
      </c>
      <c r="X2836" s="25">
        <f>T2836/N2836</f>
        <v/>
      </c>
      <c r="Y2836" s="28">
        <f>IF(W2836=MAXIFS(W$2:W$3601, A$2:A$3601, A2836, B$2:B$3601, B2836), "OPTIMAL", "")</f>
        <v/>
      </c>
    </row>
    <row r="2837" ht="20" customHeight="1">
      <c r="A2837" s="29" t="n">
        <v>-18</v>
      </c>
      <c r="B2837" s="29" t="n">
        <v>35</v>
      </c>
      <c r="C2837" s="30" t="n">
        <v>115</v>
      </c>
      <c r="D2837" s="30" t="n">
        <v>3</v>
      </c>
      <c r="E2837" s="6" t="n">
        <v>8</v>
      </c>
      <c r="F2837" s="30" t="n">
        <v>1.5</v>
      </c>
      <c r="G2837" s="6" t="inlineStr">
        <is>
          <t>Non</t>
        </is>
      </c>
      <c r="H2837" s="6" t="inlineStr">
        <is>
          <t>OFF</t>
        </is>
      </c>
      <c r="I2837" s="31" t="n">
        <v>744.7528686370244</v>
      </c>
      <c r="J2837" s="31" t="n">
        <v>6550.668683077564</v>
      </c>
      <c r="K2837" s="31" t="n">
        <v>4222.222222222223</v>
      </c>
      <c r="L2837" s="31" t="n">
        <v>150</v>
      </c>
      <c r="M2837" s="31">
        <f>I2837+J2837+K2837+L2837</f>
        <v/>
      </c>
      <c r="N2837" s="31">
        <f>M2837*'Dashboard &amp; Optimisation'!$B$18/('Dashboard &amp; Optimisation'!$B$16/3.6)</f>
        <v/>
      </c>
      <c r="O2837" s="31" t="n">
        <v>1184.064317881287</v>
      </c>
      <c r="P2837" s="32" t="n">
        <v>0.2193112326135723</v>
      </c>
      <c r="Q2837" s="33" t="n">
        <v>11.68298533996747</v>
      </c>
      <c r="R2837" s="31" t="n">
        <v>1136.947307512735</v>
      </c>
      <c r="S2837" s="31">
        <f>R2837*IF(A2837=4, 2.0, 3.0)</f>
        <v/>
      </c>
      <c r="T2837" s="30">
        <f>'Dashboard &amp; Optimisation'!$B$18*U2837</f>
        <v/>
      </c>
      <c r="U2837" s="34">
        <f>MIN(1, S2837/M2837)</f>
        <v/>
      </c>
      <c r="V2837" s="34">
        <f>N2837/(N2837+O2837)</f>
        <v/>
      </c>
      <c r="W2837" s="34">
        <f>U2837*V2837</f>
        <v/>
      </c>
      <c r="X2837" s="32">
        <f>T2837/N2837</f>
        <v/>
      </c>
      <c r="Y2837" s="35">
        <f>IF(W2837=MAXIFS(W$2:W$3601, A$2:A$3601, A2837, B$2:B$3601, B2837), "OPTIMAL", "")</f>
        <v/>
      </c>
    </row>
    <row r="2838" ht="20" customHeight="1">
      <c r="A2838" s="21" t="n">
        <v>-18</v>
      </c>
      <c r="B2838" s="21" t="n">
        <v>35</v>
      </c>
      <c r="C2838" s="22" t="n">
        <v>115</v>
      </c>
      <c r="D2838" s="22" t="n">
        <v>3</v>
      </c>
      <c r="E2838" s="23" t="n">
        <v>8</v>
      </c>
      <c r="F2838" s="22" t="n">
        <v>2</v>
      </c>
      <c r="G2838" s="23" t="inlineStr">
        <is>
          <t>Oui</t>
        </is>
      </c>
      <c r="H2838" s="23" t="inlineStr">
        <is>
          <t>ON</t>
        </is>
      </c>
      <c r="I2838" s="24" t="n">
        <v>744.7528686370244</v>
      </c>
      <c r="J2838" s="24" t="n">
        <v>6550.668683077564</v>
      </c>
      <c r="K2838" s="24" t="n">
        <v>4222.222222222223</v>
      </c>
      <c r="L2838" s="24" t="n">
        <v>150</v>
      </c>
      <c r="M2838" s="24">
        <f>I2838+J2838+K2838+L2838</f>
        <v/>
      </c>
      <c r="N2838" s="24">
        <f>M2838*'Dashboard &amp; Optimisation'!$B$18/('Dashboard &amp; Optimisation'!$B$16/3.6)</f>
        <v/>
      </c>
      <c r="O2838" s="24" t="n">
        <v>1368.975590803288</v>
      </c>
      <c r="P2838" s="25" t="n">
        <v>0.05090778119320737</v>
      </c>
      <c r="Q2838" s="26" t="n">
        <v>15.51064711995663</v>
      </c>
      <c r="R2838" s="24" t="n">
        <v>4996.919024485564</v>
      </c>
      <c r="S2838" s="24">
        <f>R2838*IF(A2838=4, 2.0, 3.0)</f>
        <v/>
      </c>
      <c r="T2838" s="22">
        <f>'Dashboard &amp; Optimisation'!$B$18*U2838</f>
        <v/>
      </c>
      <c r="U2838" s="27">
        <f>MIN(1, S2838/M2838)</f>
        <v/>
      </c>
      <c r="V2838" s="27">
        <f>N2838/(N2838+O2838)</f>
        <v/>
      </c>
      <c r="W2838" s="27">
        <f>U2838*V2838</f>
        <v/>
      </c>
      <c r="X2838" s="25">
        <f>T2838/N2838</f>
        <v/>
      </c>
      <c r="Y2838" s="28">
        <f>IF(W2838=MAXIFS(W$2:W$3601, A$2:A$3601, A2838, B$2:B$3601, B2838), "OPTIMAL", "")</f>
        <v/>
      </c>
    </row>
    <row r="2839" ht="20" customHeight="1">
      <c r="A2839" s="29" t="n">
        <v>-18</v>
      </c>
      <c r="B2839" s="29" t="n">
        <v>35</v>
      </c>
      <c r="C2839" s="30" t="n">
        <v>115</v>
      </c>
      <c r="D2839" s="30" t="n">
        <v>3</v>
      </c>
      <c r="E2839" s="6" t="n">
        <v>8</v>
      </c>
      <c r="F2839" s="30" t="n">
        <v>2</v>
      </c>
      <c r="G2839" s="6" t="inlineStr">
        <is>
          <t>Oui</t>
        </is>
      </c>
      <c r="H2839" s="6" t="inlineStr">
        <is>
          <t>OFF</t>
        </is>
      </c>
      <c r="I2839" s="31" t="n">
        <v>744.7528686370244</v>
      </c>
      <c r="J2839" s="31" t="n">
        <v>6550.668683077564</v>
      </c>
      <c r="K2839" s="31" t="n">
        <v>4222.222222222223</v>
      </c>
      <c r="L2839" s="31" t="n">
        <v>150</v>
      </c>
      <c r="M2839" s="31">
        <f>I2839+J2839+K2839+L2839</f>
        <v/>
      </c>
      <c r="N2839" s="31">
        <f>M2839*'Dashboard &amp; Optimisation'!$B$18/('Dashboard &amp; Optimisation'!$B$16/3.6)</f>
        <v/>
      </c>
      <c r="O2839" s="31" t="n">
        <v>1368.975590803288</v>
      </c>
      <c r="P2839" s="32" t="n">
        <v>0.2217675898086125</v>
      </c>
      <c r="Q2839" s="33" t="n">
        <v>15.51064711995663</v>
      </c>
      <c r="R2839" s="31" t="n">
        <v>1147.065991735855</v>
      </c>
      <c r="S2839" s="31">
        <f>R2839*IF(A2839=4, 2.0, 3.0)</f>
        <v/>
      </c>
      <c r="T2839" s="30">
        <f>'Dashboard &amp; Optimisation'!$B$18*U2839</f>
        <v/>
      </c>
      <c r="U2839" s="34">
        <f>MIN(1, S2839/M2839)</f>
        <v/>
      </c>
      <c r="V2839" s="34">
        <f>N2839/(N2839+O2839)</f>
        <v/>
      </c>
      <c r="W2839" s="34">
        <f>U2839*V2839</f>
        <v/>
      </c>
      <c r="X2839" s="32">
        <f>T2839/N2839</f>
        <v/>
      </c>
      <c r="Y2839" s="35">
        <f>IF(W2839=MAXIFS(W$2:W$3601, A$2:A$3601, A2839, B$2:B$3601, B2839), "OPTIMAL", "")</f>
        <v/>
      </c>
    </row>
    <row r="2840" ht="20" customHeight="1">
      <c r="A2840" s="21" t="n">
        <v>-18</v>
      </c>
      <c r="B2840" s="21" t="n">
        <v>35</v>
      </c>
      <c r="C2840" s="22" t="n">
        <v>115</v>
      </c>
      <c r="D2840" s="22" t="n">
        <v>3</v>
      </c>
      <c r="E2840" s="23" t="n">
        <v>8</v>
      </c>
      <c r="F2840" s="22" t="n">
        <v>2</v>
      </c>
      <c r="G2840" s="23" t="inlineStr">
        <is>
          <t>Non</t>
        </is>
      </c>
      <c r="H2840" s="23" t="inlineStr">
        <is>
          <t>ON</t>
        </is>
      </c>
      <c r="I2840" s="24" t="n">
        <v>744.7528686370244</v>
      </c>
      <c r="J2840" s="24" t="n">
        <v>6550.668683077564</v>
      </c>
      <c r="K2840" s="24" t="n">
        <v>4222.222222222223</v>
      </c>
      <c r="L2840" s="24" t="n">
        <v>150</v>
      </c>
      <c r="M2840" s="24">
        <f>I2840+J2840+K2840+L2840</f>
        <v/>
      </c>
      <c r="N2840" s="24">
        <f>M2840*'Dashboard &amp; Optimisation'!$B$18/('Dashboard &amp; Optimisation'!$B$16/3.6)</f>
        <v/>
      </c>
      <c r="O2840" s="24" t="n">
        <v>1368.975590803288</v>
      </c>
      <c r="P2840" s="25" t="n">
        <v>0.04813986913943527</v>
      </c>
      <c r="Q2840" s="26" t="n">
        <v>15.51064711995663</v>
      </c>
      <c r="R2840" s="24" t="n">
        <v>5284.228330614662</v>
      </c>
      <c r="S2840" s="24">
        <f>R2840*IF(A2840=4, 2.0, 3.0)</f>
        <v/>
      </c>
      <c r="T2840" s="22">
        <f>'Dashboard &amp; Optimisation'!$B$18*U2840</f>
        <v/>
      </c>
      <c r="U2840" s="27">
        <f>MIN(1, S2840/M2840)</f>
        <v/>
      </c>
      <c r="V2840" s="27">
        <f>N2840/(N2840+O2840)</f>
        <v/>
      </c>
      <c r="W2840" s="27">
        <f>U2840*V2840</f>
        <v/>
      </c>
      <c r="X2840" s="25">
        <f>T2840/N2840</f>
        <v/>
      </c>
      <c r="Y2840" s="28">
        <f>IF(W2840=MAXIFS(W$2:W$3601, A$2:A$3601, A2840, B$2:B$3601, B2840), "OPTIMAL", "")</f>
        <v/>
      </c>
    </row>
    <row r="2841" ht="20" customHeight="1">
      <c r="A2841" s="29" t="n">
        <v>-18</v>
      </c>
      <c r="B2841" s="29" t="n">
        <v>35</v>
      </c>
      <c r="C2841" s="30" t="n">
        <v>115</v>
      </c>
      <c r="D2841" s="30" t="n">
        <v>3</v>
      </c>
      <c r="E2841" s="6" t="n">
        <v>8</v>
      </c>
      <c r="F2841" s="30" t="n">
        <v>2</v>
      </c>
      <c r="G2841" s="6" t="inlineStr">
        <is>
          <t>Non</t>
        </is>
      </c>
      <c r="H2841" s="6" t="inlineStr">
        <is>
          <t>OFF</t>
        </is>
      </c>
      <c r="I2841" s="31" t="n">
        <v>744.7528686370244</v>
      </c>
      <c r="J2841" s="31" t="n">
        <v>6550.668683077564</v>
      </c>
      <c r="K2841" s="31" t="n">
        <v>4222.222222222223</v>
      </c>
      <c r="L2841" s="31" t="n">
        <v>150</v>
      </c>
      <c r="M2841" s="31">
        <f>I2841+J2841+K2841+L2841</f>
        <v/>
      </c>
      <c r="N2841" s="31">
        <f>M2841*'Dashboard &amp; Optimisation'!$B$18/('Dashboard &amp; Optimisation'!$B$16/3.6)</f>
        <v/>
      </c>
      <c r="O2841" s="31" t="n">
        <v>1368.975590803288</v>
      </c>
      <c r="P2841" s="32" t="n">
        <v>0.2189996777548404</v>
      </c>
      <c r="Q2841" s="33" t="n">
        <v>15.51064711995663</v>
      </c>
      <c r="R2841" s="31" t="n">
        <v>1161.563628524854</v>
      </c>
      <c r="S2841" s="31">
        <f>R2841*IF(A2841=4, 2.0, 3.0)</f>
        <v/>
      </c>
      <c r="T2841" s="30">
        <f>'Dashboard &amp; Optimisation'!$B$18*U2841</f>
        <v/>
      </c>
      <c r="U2841" s="34">
        <f>MIN(1, S2841/M2841)</f>
        <v/>
      </c>
      <c r="V2841" s="34">
        <f>N2841/(N2841+O2841)</f>
        <v/>
      </c>
      <c r="W2841" s="34">
        <f>U2841*V2841</f>
        <v/>
      </c>
      <c r="X2841" s="32">
        <f>T2841/N2841</f>
        <v/>
      </c>
      <c r="Y2841" s="35">
        <f>IF(W2841=MAXIFS(W$2:W$3601, A$2:A$3601, A2841, B$2:B$3601, B2841), "OPTIMAL", "")</f>
        <v/>
      </c>
    </row>
    <row r="2842" ht="20" customHeight="1">
      <c r="A2842" s="21" t="n">
        <v>-18</v>
      </c>
      <c r="B2842" s="21" t="n">
        <v>35</v>
      </c>
      <c r="C2842" s="22" t="n">
        <v>120</v>
      </c>
      <c r="D2842" s="22" t="n">
        <v>2</v>
      </c>
      <c r="E2842" s="23" t="n">
        <v>0</v>
      </c>
      <c r="F2842" s="22" t="n">
        <v>0</v>
      </c>
      <c r="G2842" s="23" t="inlineStr">
        <is>
          <t>Oui</t>
        </is>
      </c>
      <c r="H2842" s="23" t="inlineStr">
        <is>
          <t>ON</t>
        </is>
      </c>
      <c r="I2842" s="24" t="n">
        <v>744.7528686370244</v>
      </c>
      <c r="J2842" s="24" t="n">
        <v>6550.668683077564</v>
      </c>
      <c r="K2842" s="24" t="n">
        <v>4222.222222222223</v>
      </c>
      <c r="L2842" s="24" t="n">
        <v>150</v>
      </c>
      <c r="M2842" s="24">
        <f>I2842+J2842+K2842+L2842</f>
        <v/>
      </c>
      <c r="N2842" s="24">
        <f>M2842*'Dashboard &amp; Optimisation'!$B$18/('Dashboard &amp; Optimisation'!$B$16/3.6)</f>
        <v/>
      </c>
      <c r="O2842" s="24" t="n">
        <v>416.0102182417322</v>
      </c>
      <c r="P2842" s="25" t="n">
        <v>0.4668808197339223</v>
      </c>
      <c r="Q2842" s="26" t="n">
        <v>0.2</v>
      </c>
      <c r="R2842" s="24" t="n">
        <v>445.1150980458002</v>
      </c>
      <c r="S2842" s="24">
        <f>R2842*IF(A2842=4, 2.0, 3.0)</f>
        <v/>
      </c>
      <c r="T2842" s="22">
        <f>'Dashboard &amp; Optimisation'!$B$18*U2842</f>
        <v/>
      </c>
      <c r="U2842" s="27">
        <f>MIN(1, S2842/M2842)</f>
        <v/>
      </c>
      <c r="V2842" s="27">
        <f>N2842/(N2842+O2842)</f>
        <v/>
      </c>
      <c r="W2842" s="27">
        <f>U2842*V2842</f>
        <v/>
      </c>
      <c r="X2842" s="25">
        <f>T2842/N2842</f>
        <v/>
      </c>
      <c r="Y2842" s="28">
        <f>IF(W2842=MAXIFS(W$2:W$3601, A$2:A$3601, A2842, B$2:B$3601, B2842), "OPTIMAL", "")</f>
        <v/>
      </c>
    </row>
    <row r="2843" ht="20" customHeight="1">
      <c r="A2843" s="29" t="n">
        <v>-18</v>
      </c>
      <c r="B2843" s="29" t="n">
        <v>35</v>
      </c>
      <c r="C2843" s="30" t="n">
        <v>120</v>
      </c>
      <c r="D2843" s="30" t="n">
        <v>2</v>
      </c>
      <c r="E2843" s="6" t="n">
        <v>0</v>
      </c>
      <c r="F2843" s="30" t="n">
        <v>0</v>
      </c>
      <c r="G2843" s="6" t="inlineStr">
        <is>
          <t>Oui</t>
        </is>
      </c>
      <c r="H2843" s="6" t="inlineStr">
        <is>
          <t>OFF</t>
        </is>
      </c>
      <c r="I2843" s="31" t="n">
        <v>744.7528686370244</v>
      </c>
      <c r="J2843" s="31" t="n">
        <v>6550.668683077564</v>
      </c>
      <c r="K2843" s="31" t="n">
        <v>4222.222222222223</v>
      </c>
      <c r="L2843" s="31" t="n">
        <v>150</v>
      </c>
      <c r="M2843" s="31">
        <f>I2843+J2843+K2843+L2843</f>
        <v/>
      </c>
      <c r="N2843" s="31">
        <f>M2843*'Dashboard &amp; Optimisation'!$B$18/('Dashboard &amp; Optimisation'!$B$16/3.6)</f>
        <v/>
      </c>
      <c r="O2843" s="31" t="n">
        <v>416.0102182417322</v>
      </c>
      <c r="P2843" s="32" t="n">
        <v>0.7321390582204146</v>
      </c>
      <c r="Q2843" s="33" t="n">
        <v>0.2</v>
      </c>
      <c r="R2843" s="31" t="n">
        <v>283.8473094943178</v>
      </c>
      <c r="S2843" s="31">
        <f>R2843*IF(A2843=4, 2.0, 3.0)</f>
        <v/>
      </c>
      <c r="T2843" s="30">
        <f>'Dashboard &amp; Optimisation'!$B$18*U2843</f>
        <v/>
      </c>
      <c r="U2843" s="34">
        <f>MIN(1, S2843/M2843)</f>
        <v/>
      </c>
      <c r="V2843" s="34">
        <f>N2843/(N2843+O2843)</f>
        <v/>
      </c>
      <c r="W2843" s="34">
        <f>U2843*V2843</f>
        <v/>
      </c>
      <c r="X2843" s="32">
        <f>T2843/N2843</f>
        <v/>
      </c>
      <c r="Y2843" s="35">
        <f>IF(W2843=MAXIFS(W$2:W$3601, A$2:A$3601, A2843, B$2:B$3601, B2843), "OPTIMAL", "")</f>
        <v/>
      </c>
    </row>
    <row r="2844" ht="20" customHeight="1">
      <c r="A2844" s="21" t="n">
        <v>-18</v>
      </c>
      <c r="B2844" s="21" t="n">
        <v>35</v>
      </c>
      <c r="C2844" s="22" t="n">
        <v>120</v>
      </c>
      <c r="D2844" s="22" t="n">
        <v>2</v>
      </c>
      <c r="E2844" s="23" t="n">
        <v>0</v>
      </c>
      <c r="F2844" s="22" t="n">
        <v>0</v>
      </c>
      <c r="G2844" s="23" t="inlineStr">
        <is>
          <t>Non</t>
        </is>
      </c>
      <c r="H2844" s="23" t="inlineStr">
        <is>
          <t>ON</t>
        </is>
      </c>
      <c r="I2844" s="24" t="n">
        <v>744.7528686370244</v>
      </c>
      <c r="J2844" s="24" t="n">
        <v>6550.668683077564</v>
      </c>
      <c r="K2844" s="24" t="n">
        <v>4222.222222222223</v>
      </c>
      <c r="L2844" s="24" t="n">
        <v>150</v>
      </c>
      <c r="M2844" s="24">
        <f>I2844+J2844+K2844+L2844</f>
        <v/>
      </c>
      <c r="N2844" s="24">
        <f>M2844*'Dashboard &amp; Optimisation'!$B$18/('Dashboard &amp; Optimisation'!$B$16/3.6)</f>
        <v/>
      </c>
      <c r="O2844" s="24" t="n">
        <v>416.0102182417322</v>
      </c>
      <c r="P2844" s="25" t="n">
        <v>0.4642282373490574</v>
      </c>
      <c r="Q2844" s="26" t="n">
        <v>0.2</v>
      </c>
      <c r="R2844" s="24" t="n">
        <v>447.6584686840364</v>
      </c>
      <c r="S2844" s="24">
        <f>R2844*IF(A2844=4, 2.0, 3.0)</f>
        <v/>
      </c>
      <c r="T2844" s="22">
        <f>'Dashboard &amp; Optimisation'!$B$18*U2844</f>
        <v/>
      </c>
      <c r="U2844" s="27">
        <f>MIN(1, S2844/M2844)</f>
        <v/>
      </c>
      <c r="V2844" s="27">
        <f>N2844/(N2844+O2844)</f>
        <v/>
      </c>
      <c r="W2844" s="27">
        <f>U2844*V2844</f>
        <v/>
      </c>
      <c r="X2844" s="25">
        <f>T2844/N2844</f>
        <v/>
      </c>
      <c r="Y2844" s="28">
        <f>IF(W2844=MAXIFS(W$2:W$3601, A$2:A$3601, A2844, B$2:B$3601, B2844), "OPTIMAL", "")</f>
        <v/>
      </c>
    </row>
    <row r="2845" ht="20" customHeight="1">
      <c r="A2845" s="29" t="n">
        <v>-18</v>
      </c>
      <c r="B2845" s="29" t="n">
        <v>35</v>
      </c>
      <c r="C2845" s="30" t="n">
        <v>120</v>
      </c>
      <c r="D2845" s="30" t="n">
        <v>2</v>
      </c>
      <c r="E2845" s="6" t="n">
        <v>0</v>
      </c>
      <c r="F2845" s="30" t="n">
        <v>0</v>
      </c>
      <c r="G2845" s="6" t="inlineStr">
        <is>
          <t>Non</t>
        </is>
      </c>
      <c r="H2845" s="6" t="inlineStr">
        <is>
          <t>OFF</t>
        </is>
      </c>
      <c r="I2845" s="31" t="n">
        <v>744.7528686370244</v>
      </c>
      <c r="J2845" s="31" t="n">
        <v>6550.668683077564</v>
      </c>
      <c r="K2845" s="31" t="n">
        <v>4222.222222222223</v>
      </c>
      <c r="L2845" s="31" t="n">
        <v>150</v>
      </c>
      <c r="M2845" s="31">
        <f>I2845+J2845+K2845+L2845</f>
        <v/>
      </c>
      <c r="N2845" s="31">
        <f>M2845*'Dashboard &amp; Optimisation'!$B$18/('Dashboard &amp; Optimisation'!$B$16/3.6)</f>
        <v/>
      </c>
      <c r="O2845" s="31" t="n">
        <v>416.0102182417322</v>
      </c>
      <c r="P2845" s="32" t="n">
        <v>0.7294864758355497</v>
      </c>
      <c r="Q2845" s="33" t="n">
        <v>0.2</v>
      </c>
      <c r="R2845" s="31" t="n">
        <v>284.8794442878978</v>
      </c>
      <c r="S2845" s="31">
        <f>R2845*IF(A2845=4, 2.0, 3.0)</f>
        <v/>
      </c>
      <c r="T2845" s="30">
        <f>'Dashboard &amp; Optimisation'!$B$18*U2845</f>
        <v/>
      </c>
      <c r="U2845" s="34">
        <f>MIN(1, S2845/M2845)</f>
        <v/>
      </c>
      <c r="V2845" s="34">
        <f>N2845/(N2845+O2845)</f>
        <v/>
      </c>
      <c r="W2845" s="34">
        <f>U2845*V2845</f>
        <v/>
      </c>
      <c r="X2845" s="32">
        <f>T2845/N2845</f>
        <v/>
      </c>
      <c r="Y2845" s="35">
        <f>IF(W2845=MAXIFS(W$2:W$3601, A$2:A$3601, A2845, B$2:B$3601, B2845), "OPTIMAL", "")</f>
        <v/>
      </c>
    </row>
    <row r="2846" ht="20" customHeight="1">
      <c r="A2846" s="21" t="n">
        <v>-18</v>
      </c>
      <c r="B2846" s="21" t="n">
        <v>35</v>
      </c>
      <c r="C2846" s="22" t="n">
        <v>120</v>
      </c>
      <c r="D2846" s="22" t="n">
        <v>2</v>
      </c>
      <c r="E2846" s="23" t="n">
        <v>4</v>
      </c>
      <c r="F2846" s="22" t="n">
        <v>1.5</v>
      </c>
      <c r="G2846" s="23" t="inlineStr">
        <is>
          <t>Oui</t>
        </is>
      </c>
      <c r="H2846" s="23" t="inlineStr">
        <is>
          <t>ON</t>
        </is>
      </c>
      <c r="I2846" s="24" t="n">
        <v>744.7528686370244</v>
      </c>
      <c r="J2846" s="24" t="n">
        <v>6550.668683077564</v>
      </c>
      <c r="K2846" s="24" t="n">
        <v>4222.222222222223</v>
      </c>
      <c r="L2846" s="24" t="n">
        <v>150</v>
      </c>
      <c r="M2846" s="24">
        <f>I2846+J2846+K2846+L2846</f>
        <v/>
      </c>
      <c r="N2846" s="24">
        <f>M2846*'Dashboard &amp; Optimisation'!$B$18/('Dashboard &amp; Optimisation'!$B$16/3.6)</f>
        <v/>
      </c>
      <c r="O2846" s="24" t="n">
        <v>639.5684192409963</v>
      </c>
      <c r="P2846" s="25" t="n">
        <v>0.06805759746267123</v>
      </c>
      <c r="Q2846" s="26" t="n">
        <v>5.595023284726097</v>
      </c>
      <c r="R2846" s="24" t="n">
        <v>3136.141891470379</v>
      </c>
      <c r="S2846" s="24">
        <f>R2846*IF(A2846=4, 2.0, 3.0)</f>
        <v/>
      </c>
      <c r="T2846" s="22">
        <f>'Dashboard &amp; Optimisation'!$B$18*U2846</f>
        <v/>
      </c>
      <c r="U2846" s="27">
        <f>MIN(1, S2846/M2846)</f>
        <v/>
      </c>
      <c r="V2846" s="27">
        <f>N2846/(N2846+O2846)</f>
        <v/>
      </c>
      <c r="W2846" s="27">
        <f>U2846*V2846</f>
        <v/>
      </c>
      <c r="X2846" s="25">
        <f>T2846/N2846</f>
        <v/>
      </c>
      <c r="Y2846" s="28">
        <f>IF(W2846=MAXIFS(W$2:W$3601, A$2:A$3601, A2846, B$2:B$3601, B2846), "OPTIMAL", "")</f>
        <v/>
      </c>
    </row>
    <row r="2847" ht="20" customHeight="1">
      <c r="A2847" s="29" t="n">
        <v>-18</v>
      </c>
      <c r="B2847" s="29" t="n">
        <v>35</v>
      </c>
      <c r="C2847" s="30" t="n">
        <v>120</v>
      </c>
      <c r="D2847" s="30" t="n">
        <v>2</v>
      </c>
      <c r="E2847" s="6" t="n">
        <v>4</v>
      </c>
      <c r="F2847" s="30" t="n">
        <v>1.5</v>
      </c>
      <c r="G2847" s="6" t="inlineStr">
        <is>
          <t>Oui</t>
        </is>
      </c>
      <c r="H2847" s="6" t="inlineStr">
        <is>
          <t>OFF</t>
        </is>
      </c>
      <c r="I2847" s="31" t="n">
        <v>744.7528686370244</v>
      </c>
      <c r="J2847" s="31" t="n">
        <v>6550.668683077564</v>
      </c>
      <c r="K2847" s="31" t="n">
        <v>4222.222222222223</v>
      </c>
      <c r="L2847" s="31" t="n">
        <v>150</v>
      </c>
      <c r="M2847" s="31">
        <f>I2847+J2847+K2847+L2847</f>
        <v/>
      </c>
      <c r="N2847" s="31">
        <f>M2847*'Dashboard &amp; Optimisation'!$B$18/('Dashboard &amp; Optimisation'!$B$16/3.6)</f>
        <v/>
      </c>
      <c r="O2847" s="31" t="n">
        <v>639.5684192409963</v>
      </c>
      <c r="P2847" s="32" t="n">
        <v>0.2717308104184109</v>
      </c>
      <c r="Q2847" s="33" t="n">
        <v>5.595023284726097</v>
      </c>
      <c r="R2847" s="31" t="n">
        <v>785.4769288284216</v>
      </c>
      <c r="S2847" s="31">
        <f>R2847*IF(A2847=4, 2.0, 3.0)</f>
        <v/>
      </c>
      <c r="T2847" s="30">
        <f>'Dashboard &amp; Optimisation'!$B$18*U2847</f>
        <v/>
      </c>
      <c r="U2847" s="34">
        <f>MIN(1, S2847/M2847)</f>
        <v/>
      </c>
      <c r="V2847" s="34">
        <f>N2847/(N2847+O2847)</f>
        <v/>
      </c>
      <c r="W2847" s="34">
        <f>U2847*V2847</f>
        <v/>
      </c>
      <c r="X2847" s="32">
        <f>T2847/N2847</f>
        <v/>
      </c>
      <c r="Y2847" s="35">
        <f>IF(W2847=MAXIFS(W$2:W$3601, A$2:A$3601, A2847, B$2:B$3601, B2847), "OPTIMAL", "")</f>
        <v/>
      </c>
    </row>
    <row r="2848" ht="20" customHeight="1">
      <c r="A2848" s="21" t="n">
        <v>-18</v>
      </c>
      <c r="B2848" s="21" t="n">
        <v>35</v>
      </c>
      <c r="C2848" s="22" t="n">
        <v>120</v>
      </c>
      <c r="D2848" s="22" t="n">
        <v>2</v>
      </c>
      <c r="E2848" s="23" t="n">
        <v>4</v>
      </c>
      <c r="F2848" s="22" t="n">
        <v>1.5</v>
      </c>
      <c r="G2848" s="23" t="inlineStr">
        <is>
          <t>Non</t>
        </is>
      </c>
      <c r="H2848" s="23" t="inlineStr">
        <is>
          <t>ON</t>
        </is>
      </c>
      <c r="I2848" s="24" t="n">
        <v>744.7528686370244</v>
      </c>
      <c r="J2848" s="24" t="n">
        <v>6550.668683077564</v>
      </c>
      <c r="K2848" s="24" t="n">
        <v>4222.222222222223</v>
      </c>
      <c r="L2848" s="24" t="n">
        <v>150</v>
      </c>
      <c r="M2848" s="24">
        <f>I2848+J2848+K2848+L2848</f>
        <v/>
      </c>
      <c r="N2848" s="24">
        <f>M2848*'Dashboard &amp; Optimisation'!$B$18/('Dashboard &amp; Optimisation'!$B$16/3.6)</f>
        <v/>
      </c>
      <c r="O2848" s="24" t="n">
        <v>639.5684192409963</v>
      </c>
      <c r="P2848" s="25" t="n">
        <v>0.0654050150778063</v>
      </c>
      <c r="Q2848" s="26" t="n">
        <v>5.595023284726097</v>
      </c>
      <c r="R2848" s="24" t="n">
        <v>3263.332057665664</v>
      </c>
      <c r="S2848" s="24">
        <f>R2848*IF(A2848=4, 2.0, 3.0)</f>
        <v/>
      </c>
      <c r="T2848" s="22">
        <f>'Dashboard &amp; Optimisation'!$B$18*U2848</f>
        <v/>
      </c>
      <c r="U2848" s="27">
        <f>MIN(1, S2848/M2848)</f>
        <v/>
      </c>
      <c r="V2848" s="27">
        <f>N2848/(N2848+O2848)</f>
        <v/>
      </c>
      <c r="W2848" s="27">
        <f>U2848*V2848</f>
        <v/>
      </c>
      <c r="X2848" s="25">
        <f>T2848/N2848</f>
        <v/>
      </c>
      <c r="Y2848" s="28">
        <f>IF(W2848=MAXIFS(W$2:W$3601, A$2:A$3601, A2848, B$2:B$3601, B2848), "OPTIMAL", "")</f>
        <v/>
      </c>
    </row>
    <row r="2849" ht="20" customHeight="1">
      <c r="A2849" s="29" t="n">
        <v>-18</v>
      </c>
      <c r="B2849" s="29" t="n">
        <v>35</v>
      </c>
      <c r="C2849" s="30" t="n">
        <v>120</v>
      </c>
      <c r="D2849" s="30" t="n">
        <v>2</v>
      </c>
      <c r="E2849" s="6" t="n">
        <v>4</v>
      </c>
      <c r="F2849" s="30" t="n">
        <v>1.5</v>
      </c>
      <c r="G2849" s="6" t="inlineStr">
        <is>
          <t>Non</t>
        </is>
      </c>
      <c r="H2849" s="6" t="inlineStr">
        <is>
          <t>OFF</t>
        </is>
      </c>
      <c r="I2849" s="31" t="n">
        <v>744.7528686370244</v>
      </c>
      <c r="J2849" s="31" t="n">
        <v>6550.668683077564</v>
      </c>
      <c r="K2849" s="31" t="n">
        <v>4222.222222222223</v>
      </c>
      <c r="L2849" s="31" t="n">
        <v>150</v>
      </c>
      <c r="M2849" s="31">
        <f>I2849+J2849+K2849+L2849</f>
        <v/>
      </c>
      <c r="N2849" s="31">
        <f>M2849*'Dashboard &amp; Optimisation'!$B$18/('Dashboard &amp; Optimisation'!$B$16/3.6)</f>
        <v/>
      </c>
      <c r="O2849" s="31" t="n">
        <v>639.5684192409963</v>
      </c>
      <c r="P2849" s="32" t="n">
        <v>0.2690782280335459</v>
      </c>
      <c r="Q2849" s="33" t="n">
        <v>5.595023284726097</v>
      </c>
      <c r="R2849" s="31" t="n">
        <v>793.2201872865838</v>
      </c>
      <c r="S2849" s="31">
        <f>R2849*IF(A2849=4, 2.0, 3.0)</f>
        <v/>
      </c>
      <c r="T2849" s="30">
        <f>'Dashboard &amp; Optimisation'!$B$18*U2849</f>
        <v/>
      </c>
      <c r="U2849" s="34">
        <f>MIN(1, S2849/M2849)</f>
        <v/>
      </c>
      <c r="V2849" s="34">
        <f>N2849/(N2849+O2849)</f>
        <v/>
      </c>
      <c r="W2849" s="34">
        <f>U2849*V2849</f>
        <v/>
      </c>
      <c r="X2849" s="32">
        <f>T2849/N2849</f>
        <v/>
      </c>
      <c r="Y2849" s="35">
        <f>IF(W2849=MAXIFS(W$2:W$3601, A$2:A$3601, A2849, B$2:B$3601, B2849), "OPTIMAL", "")</f>
        <v/>
      </c>
    </row>
    <row r="2850" ht="20" customHeight="1">
      <c r="A2850" s="21" t="n">
        <v>-18</v>
      </c>
      <c r="B2850" s="21" t="n">
        <v>35</v>
      </c>
      <c r="C2850" s="22" t="n">
        <v>120</v>
      </c>
      <c r="D2850" s="22" t="n">
        <v>2</v>
      </c>
      <c r="E2850" s="23" t="n">
        <v>4</v>
      </c>
      <c r="F2850" s="22" t="n">
        <v>2</v>
      </c>
      <c r="G2850" s="23" t="inlineStr">
        <is>
          <t>Oui</t>
        </is>
      </c>
      <c r="H2850" s="23" t="inlineStr">
        <is>
          <t>ON</t>
        </is>
      </c>
      <c r="I2850" s="24" t="n">
        <v>744.7528686370244</v>
      </c>
      <c r="J2850" s="24" t="n">
        <v>6550.668683077564</v>
      </c>
      <c r="K2850" s="24" t="n">
        <v>4222.222222222223</v>
      </c>
      <c r="L2850" s="24" t="n">
        <v>150</v>
      </c>
      <c r="M2850" s="24">
        <f>I2850+J2850+K2850+L2850</f>
        <v/>
      </c>
      <c r="N2850" s="24">
        <f>M2850*'Dashboard &amp; Optimisation'!$B$18/('Dashboard &amp; Optimisation'!$B$16/3.6)</f>
        <v/>
      </c>
      <c r="O2850" s="24" t="n">
        <v>716.8005078310596</v>
      </c>
      <c r="P2850" s="25" t="n">
        <v>0.06474901627983365</v>
      </c>
      <c r="Q2850" s="26" t="n">
        <v>7.393364379634797</v>
      </c>
      <c r="R2850" s="24" t="n">
        <v>3326.393412010816</v>
      </c>
      <c r="S2850" s="24">
        <f>R2850*IF(A2850=4, 2.0, 3.0)</f>
        <v/>
      </c>
      <c r="T2850" s="22">
        <f>'Dashboard &amp; Optimisation'!$B$18*U2850</f>
        <v/>
      </c>
      <c r="U2850" s="27">
        <f>MIN(1, S2850/M2850)</f>
        <v/>
      </c>
      <c r="V2850" s="27">
        <f>N2850/(N2850+O2850)</f>
        <v/>
      </c>
      <c r="W2850" s="27">
        <f>U2850*V2850</f>
        <v/>
      </c>
      <c r="X2850" s="25">
        <f>T2850/N2850</f>
        <v/>
      </c>
      <c r="Y2850" s="28">
        <f>IF(W2850=MAXIFS(W$2:W$3601, A$2:A$3601, A2850, B$2:B$3601, B2850), "OPTIMAL", "")</f>
        <v/>
      </c>
    </row>
    <row r="2851" ht="20" customHeight="1">
      <c r="A2851" s="29" t="n">
        <v>-18</v>
      </c>
      <c r="B2851" s="29" t="n">
        <v>35</v>
      </c>
      <c r="C2851" s="30" t="n">
        <v>120</v>
      </c>
      <c r="D2851" s="30" t="n">
        <v>2</v>
      </c>
      <c r="E2851" s="6" t="n">
        <v>4</v>
      </c>
      <c r="F2851" s="30" t="n">
        <v>2</v>
      </c>
      <c r="G2851" s="6" t="inlineStr">
        <is>
          <t>Oui</t>
        </is>
      </c>
      <c r="H2851" s="6" t="inlineStr">
        <is>
          <t>OFF</t>
        </is>
      </c>
      <c r="I2851" s="31" t="n">
        <v>744.7528686370244</v>
      </c>
      <c r="J2851" s="31" t="n">
        <v>6550.668683077564</v>
      </c>
      <c r="K2851" s="31" t="n">
        <v>4222.222222222223</v>
      </c>
      <c r="L2851" s="31" t="n">
        <v>150</v>
      </c>
      <c r="M2851" s="31">
        <f>I2851+J2851+K2851+L2851</f>
        <v/>
      </c>
      <c r="N2851" s="31">
        <f>M2851*'Dashboard &amp; Optimisation'!$B$18/('Dashboard &amp; Optimisation'!$B$16/3.6)</f>
        <v/>
      </c>
      <c r="O2851" s="31" t="n">
        <v>716.8005078310596</v>
      </c>
      <c r="P2851" s="32" t="n">
        <v>0.269253725510994</v>
      </c>
      <c r="Q2851" s="33" t="n">
        <v>7.393364379634797</v>
      </c>
      <c r="R2851" s="31" t="n">
        <v>799.9172556616135</v>
      </c>
      <c r="S2851" s="31">
        <f>R2851*IF(A2851=4, 2.0, 3.0)</f>
        <v/>
      </c>
      <c r="T2851" s="30">
        <f>'Dashboard &amp; Optimisation'!$B$18*U2851</f>
        <v/>
      </c>
      <c r="U2851" s="34">
        <f>MIN(1, S2851/M2851)</f>
        <v/>
      </c>
      <c r="V2851" s="34">
        <f>N2851/(N2851+O2851)</f>
        <v/>
      </c>
      <c r="W2851" s="34">
        <f>U2851*V2851</f>
        <v/>
      </c>
      <c r="X2851" s="32">
        <f>T2851/N2851</f>
        <v/>
      </c>
      <c r="Y2851" s="35">
        <f>IF(W2851=MAXIFS(W$2:W$3601, A$2:A$3601, A2851, B$2:B$3601, B2851), "OPTIMAL", "")</f>
        <v/>
      </c>
    </row>
    <row r="2852" ht="20" customHeight="1">
      <c r="A2852" s="21" t="n">
        <v>-18</v>
      </c>
      <c r="B2852" s="21" t="n">
        <v>35</v>
      </c>
      <c r="C2852" s="22" t="n">
        <v>120</v>
      </c>
      <c r="D2852" s="22" t="n">
        <v>2</v>
      </c>
      <c r="E2852" s="23" t="n">
        <v>4</v>
      </c>
      <c r="F2852" s="22" t="n">
        <v>2</v>
      </c>
      <c r="G2852" s="23" t="inlineStr">
        <is>
          <t>Non</t>
        </is>
      </c>
      <c r="H2852" s="23" t="inlineStr">
        <is>
          <t>ON</t>
        </is>
      </c>
      <c r="I2852" s="24" t="n">
        <v>744.7528686370244</v>
      </c>
      <c r="J2852" s="24" t="n">
        <v>6550.668683077564</v>
      </c>
      <c r="K2852" s="24" t="n">
        <v>4222.222222222223</v>
      </c>
      <c r="L2852" s="24" t="n">
        <v>150</v>
      </c>
      <c r="M2852" s="24">
        <f>I2852+J2852+K2852+L2852</f>
        <v/>
      </c>
      <c r="N2852" s="24">
        <f>M2852*'Dashboard &amp; Optimisation'!$B$18/('Dashboard &amp; Optimisation'!$B$16/3.6)</f>
        <v/>
      </c>
      <c r="O2852" s="24" t="n">
        <v>716.8005078310596</v>
      </c>
      <c r="P2852" s="25" t="n">
        <v>0.06209643389496873</v>
      </c>
      <c r="Q2852" s="26" t="n">
        <v>7.393364379634797</v>
      </c>
      <c r="R2852" s="24" t="n">
        <v>3468.487442478892</v>
      </c>
      <c r="S2852" s="24">
        <f>R2852*IF(A2852=4, 2.0, 3.0)</f>
        <v/>
      </c>
      <c r="T2852" s="22">
        <f>'Dashboard &amp; Optimisation'!$B$18*U2852</f>
        <v/>
      </c>
      <c r="U2852" s="27">
        <f>MIN(1, S2852/M2852)</f>
        <v/>
      </c>
      <c r="V2852" s="27">
        <f>N2852/(N2852+O2852)</f>
        <v/>
      </c>
      <c r="W2852" s="27">
        <f>U2852*V2852</f>
        <v/>
      </c>
      <c r="X2852" s="25">
        <f>T2852/N2852</f>
        <v/>
      </c>
      <c r="Y2852" s="28">
        <f>IF(W2852=MAXIFS(W$2:W$3601, A$2:A$3601, A2852, B$2:B$3601, B2852), "OPTIMAL", "")</f>
        <v/>
      </c>
    </row>
    <row r="2853" ht="20" customHeight="1">
      <c r="A2853" s="29" t="n">
        <v>-18</v>
      </c>
      <c r="B2853" s="29" t="n">
        <v>35</v>
      </c>
      <c r="C2853" s="30" t="n">
        <v>120</v>
      </c>
      <c r="D2853" s="30" t="n">
        <v>2</v>
      </c>
      <c r="E2853" s="6" t="n">
        <v>4</v>
      </c>
      <c r="F2853" s="30" t="n">
        <v>2</v>
      </c>
      <c r="G2853" s="6" t="inlineStr">
        <is>
          <t>Non</t>
        </is>
      </c>
      <c r="H2853" s="6" t="inlineStr">
        <is>
          <t>OFF</t>
        </is>
      </c>
      <c r="I2853" s="31" t="n">
        <v>744.7528686370244</v>
      </c>
      <c r="J2853" s="31" t="n">
        <v>6550.668683077564</v>
      </c>
      <c r="K2853" s="31" t="n">
        <v>4222.222222222223</v>
      </c>
      <c r="L2853" s="31" t="n">
        <v>150</v>
      </c>
      <c r="M2853" s="31">
        <f>I2853+J2853+K2853+L2853</f>
        <v/>
      </c>
      <c r="N2853" s="31">
        <f>M2853*'Dashboard &amp; Optimisation'!$B$18/('Dashboard &amp; Optimisation'!$B$16/3.6)</f>
        <v/>
      </c>
      <c r="O2853" s="31" t="n">
        <v>716.8005078310596</v>
      </c>
      <c r="P2853" s="32" t="n">
        <v>0.2666011431261291</v>
      </c>
      <c r="Q2853" s="33" t="n">
        <v>7.393364379634797</v>
      </c>
      <c r="R2853" s="31" t="n">
        <v>807.8761353454626</v>
      </c>
      <c r="S2853" s="31">
        <f>R2853*IF(A2853=4, 2.0, 3.0)</f>
        <v/>
      </c>
      <c r="T2853" s="30">
        <f>'Dashboard &amp; Optimisation'!$B$18*U2853</f>
        <v/>
      </c>
      <c r="U2853" s="34">
        <f>MIN(1, S2853/M2853)</f>
        <v/>
      </c>
      <c r="V2853" s="34">
        <f>N2853/(N2853+O2853)</f>
        <v/>
      </c>
      <c r="W2853" s="34">
        <f>U2853*V2853</f>
        <v/>
      </c>
      <c r="X2853" s="32">
        <f>T2853/N2853</f>
        <v/>
      </c>
      <c r="Y2853" s="35">
        <f>IF(W2853=MAXIFS(W$2:W$3601, A$2:A$3601, A2853, B$2:B$3601, B2853), "OPTIMAL", "")</f>
        <v/>
      </c>
    </row>
    <row r="2854" ht="20" customHeight="1">
      <c r="A2854" s="21" t="n">
        <v>-18</v>
      </c>
      <c r="B2854" s="21" t="n">
        <v>35</v>
      </c>
      <c r="C2854" s="22" t="n">
        <v>120</v>
      </c>
      <c r="D2854" s="22" t="n">
        <v>2</v>
      </c>
      <c r="E2854" s="23" t="n">
        <v>8</v>
      </c>
      <c r="F2854" s="22" t="n">
        <v>1.5</v>
      </c>
      <c r="G2854" s="23" t="inlineStr">
        <is>
          <t>Oui</t>
        </is>
      </c>
      <c r="H2854" s="23" t="inlineStr">
        <is>
          <t>ON</t>
        </is>
      </c>
      <c r="I2854" s="24" t="n">
        <v>744.7528686370244</v>
      </c>
      <c r="J2854" s="24" t="n">
        <v>6550.668683077564</v>
      </c>
      <c r="K2854" s="24" t="n">
        <v>4222.222222222223</v>
      </c>
      <c r="L2854" s="24" t="n">
        <v>150</v>
      </c>
      <c r="M2854" s="24">
        <f>I2854+J2854+K2854+L2854</f>
        <v/>
      </c>
      <c r="N2854" s="24">
        <f>M2854*'Dashboard &amp; Optimisation'!$B$18/('Dashboard &amp; Optimisation'!$B$16/3.6)</f>
        <v/>
      </c>
      <c r="O2854" s="24" t="n">
        <v>875.5600204710817</v>
      </c>
      <c r="P2854" s="25" t="n">
        <v>0.05155761606859751</v>
      </c>
      <c r="Q2854" s="26" t="n">
        <v>10.9900465694522</v>
      </c>
      <c r="R2854" s="24" t="n">
        <v>4254.920705614638</v>
      </c>
      <c r="S2854" s="24">
        <f>R2854*IF(A2854=4, 2.0, 3.0)</f>
        <v/>
      </c>
      <c r="T2854" s="22">
        <f>'Dashboard &amp; Optimisation'!$B$18*U2854</f>
        <v/>
      </c>
      <c r="U2854" s="27">
        <f>MIN(1, S2854/M2854)</f>
        <v/>
      </c>
      <c r="V2854" s="27">
        <f>N2854/(N2854+O2854)</f>
        <v/>
      </c>
      <c r="W2854" s="27">
        <f>U2854*V2854</f>
        <v/>
      </c>
      <c r="X2854" s="25">
        <f>T2854/N2854</f>
        <v/>
      </c>
      <c r="Y2854" s="28">
        <f>IF(W2854=MAXIFS(W$2:W$3601, A$2:A$3601, A2854, B$2:B$3601, B2854), "OPTIMAL", "")</f>
        <v/>
      </c>
    </row>
    <row r="2855" ht="20" customHeight="1">
      <c r="A2855" s="29" t="n">
        <v>-18</v>
      </c>
      <c r="B2855" s="29" t="n">
        <v>35</v>
      </c>
      <c r="C2855" s="30" t="n">
        <v>120</v>
      </c>
      <c r="D2855" s="30" t="n">
        <v>2</v>
      </c>
      <c r="E2855" s="6" t="n">
        <v>8</v>
      </c>
      <c r="F2855" s="30" t="n">
        <v>1.5</v>
      </c>
      <c r="G2855" s="6" t="inlineStr">
        <is>
          <t>Oui</t>
        </is>
      </c>
      <c r="H2855" s="6" t="inlineStr">
        <is>
          <t>OFF</t>
        </is>
      </c>
      <c r="I2855" s="31" t="n">
        <v>744.7528686370244</v>
      </c>
      <c r="J2855" s="31" t="n">
        <v>6550.668683077564</v>
      </c>
      <c r="K2855" s="31" t="n">
        <v>4222.222222222223</v>
      </c>
      <c r="L2855" s="31" t="n">
        <v>150</v>
      </c>
      <c r="M2855" s="31">
        <f>I2855+J2855+K2855+L2855</f>
        <v/>
      </c>
      <c r="N2855" s="31">
        <f>M2855*'Dashboard &amp; Optimisation'!$B$18/('Dashboard &amp; Optimisation'!$B$16/3.6)</f>
        <v/>
      </c>
      <c r="O2855" s="31" t="n">
        <v>875.5600204710817</v>
      </c>
      <c r="P2855" s="32" t="n">
        <v>0.216853233443705</v>
      </c>
      <c r="Q2855" s="33" t="n">
        <v>10.9900465694522</v>
      </c>
      <c r="R2855" s="31" t="n">
        <v>1011.622306288344</v>
      </c>
      <c r="S2855" s="31">
        <f>R2855*IF(A2855=4, 2.0, 3.0)</f>
        <v/>
      </c>
      <c r="T2855" s="30">
        <f>'Dashboard &amp; Optimisation'!$B$18*U2855</f>
        <v/>
      </c>
      <c r="U2855" s="34">
        <f>MIN(1, S2855/M2855)</f>
        <v/>
      </c>
      <c r="V2855" s="34">
        <f>N2855/(N2855+O2855)</f>
        <v/>
      </c>
      <c r="W2855" s="34">
        <f>U2855*V2855</f>
        <v/>
      </c>
      <c r="X2855" s="32">
        <f>T2855/N2855</f>
        <v/>
      </c>
      <c r="Y2855" s="35">
        <f>IF(W2855=MAXIFS(W$2:W$3601, A$2:A$3601, A2855, B$2:B$3601, B2855), "OPTIMAL", "")</f>
        <v/>
      </c>
    </row>
    <row r="2856" ht="20" customHeight="1">
      <c r="A2856" s="21" t="n">
        <v>-18</v>
      </c>
      <c r="B2856" s="21" t="n">
        <v>35</v>
      </c>
      <c r="C2856" s="22" t="n">
        <v>120</v>
      </c>
      <c r="D2856" s="22" t="n">
        <v>2</v>
      </c>
      <c r="E2856" s="23" t="n">
        <v>8</v>
      </c>
      <c r="F2856" s="22" t="n">
        <v>1.5</v>
      </c>
      <c r="G2856" s="23" t="inlineStr">
        <is>
          <t>Non</t>
        </is>
      </c>
      <c r="H2856" s="23" t="inlineStr">
        <is>
          <t>ON</t>
        </is>
      </c>
      <c r="I2856" s="24" t="n">
        <v>744.7528686370244</v>
      </c>
      <c r="J2856" s="24" t="n">
        <v>6550.668683077564</v>
      </c>
      <c r="K2856" s="24" t="n">
        <v>4222.222222222223</v>
      </c>
      <c r="L2856" s="24" t="n">
        <v>150</v>
      </c>
      <c r="M2856" s="24">
        <f>I2856+J2856+K2856+L2856</f>
        <v/>
      </c>
      <c r="N2856" s="24">
        <f>M2856*'Dashboard &amp; Optimisation'!$B$18/('Dashboard &amp; Optimisation'!$B$16/3.6)</f>
        <v/>
      </c>
      <c r="O2856" s="24" t="n">
        <v>875.5600204710817</v>
      </c>
      <c r="P2856" s="25" t="n">
        <v>0.04890503368373258</v>
      </c>
      <c r="Q2856" s="26" t="n">
        <v>10.9900465694522</v>
      </c>
      <c r="R2856" s="24" t="n">
        <v>4485.705286721362</v>
      </c>
      <c r="S2856" s="24">
        <f>R2856*IF(A2856=4, 2.0, 3.0)</f>
        <v/>
      </c>
      <c r="T2856" s="22">
        <f>'Dashboard &amp; Optimisation'!$B$18*U2856</f>
        <v/>
      </c>
      <c r="U2856" s="27">
        <f>MIN(1, S2856/M2856)</f>
        <v/>
      </c>
      <c r="V2856" s="27">
        <f>N2856/(N2856+O2856)</f>
        <v/>
      </c>
      <c r="W2856" s="27">
        <f>U2856*V2856</f>
        <v/>
      </c>
      <c r="X2856" s="25">
        <f>T2856/N2856</f>
        <v/>
      </c>
      <c r="Y2856" s="28">
        <f>IF(W2856=MAXIFS(W$2:W$3601, A$2:A$3601, A2856, B$2:B$3601, B2856), "OPTIMAL", "")</f>
        <v/>
      </c>
    </row>
    <row r="2857" ht="20" customHeight="1">
      <c r="A2857" s="29" t="n">
        <v>-18</v>
      </c>
      <c r="B2857" s="29" t="n">
        <v>35</v>
      </c>
      <c r="C2857" s="30" t="n">
        <v>120</v>
      </c>
      <c r="D2857" s="30" t="n">
        <v>2</v>
      </c>
      <c r="E2857" s="6" t="n">
        <v>8</v>
      </c>
      <c r="F2857" s="30" t="n">
        <v>1.5</v>
      </c>
      <c r="G2857" s="6" t="inlineStr">
        <is>
          <t>Non</t>
        </is>
      </c>
      <c r="H2857" s="6" t="inlineStr">
        <is>
          <t>OFF</t>
        </is>
      </c>
      <c r="I2857" s="31" t="n">
        <v>744.7528686370244</v>
      </c>
      <c r="J2857" s="31" t="n">
        <v>6550.668683077564</v>
      </c>
      <c r="K2857" s="31" t="n">
        <v>4222.222222222223</v>
      </c>
      <c r="L2857" s="31" t="n">
        <v>150</v>
      </c>
      <c r="M2857" s="31">
        <f>I2857+J2857+K2857+L2857</f>
        <v/>
      </c>
      <c r="N2857" s="31">
        <f>M2857*'Dashboard &amp; Optimisation'!$B$18/('Dashboard &amp; Optimisation'!$B$16/3.6)</f>
        <v/>
      </c>
      <c r="O2857" s="31" t="n">
        <v>875.5600204710817</v>
      </c>
      <c r="P2857" s="32" t="n">
        <v>0.2142006510588401</v>
      </c>
      <c r="Q2857" s="33" t="n">
        <v>10.9900465694522</v>
      </c>
      <c r="R2857" s="31" t="n">
        <v>1024.149866295899</v>
      </c>
      <c r="S2857" s="31">
        <f>R2857*IF(A2857=4, 2.0, 3.0)</f>
        <v/>
      </c>
      <c r="T2857" s="30">
        <f>'Dashboard &amp; Optimisation'!$B$18*U2857</f>
        <v/>
      </c>
      <c r="U2857" s="34">
        <f>MIN(1, S2857/M2857)</f>
        <v/>
      </c>
      <c r="V2857" s="34">
        <f>N2857/(N2857+O2857)</f>
        <v/>
      </c>
      <c r="W2857" s="34">
        <f>U2857*V2857</f>
        <v/>
      </c>
      <c r="X2857" s="32">
        <f>T2857/N2857</f>
        <v/>
      </c>
      <c r="Y2857" s="35">
        <f>IF(W2857=MAXIFS(W$2:W$3601, A$2:A$3601, A2857, B$2:B$3601, B2857), "OPTIMAL", "")</f>
        <v/>
      </c>
    </row>
    <row r="2858" ht="20" customHeight="1">
      <c r="A2858" s="21" t="n">
        <v>-18</v>
      </c>
      <c r="B2858" s="21" t="n">
        <v>35</v>
      </c>
      <c r="C2858" s="22" t="n">
        <v>120</v>
      </c>
      <c r="D2858" s="22" t="n">
        <v>2</v>
      </c>
      <c r="E2858" s="23" t="n">
        <v>8</v>
      </c>
      <c r="F2858" s="22" t="n">
        <v>2</v>
      </c>
      <c r="G2858" s="23" t="inlineStr">
        <is>
          <t>Oui</t>
        </is>
      </c>
      <c r="H2858" s="23" t="inlineStr">
        <is>
          <t>ON</t>
        </is>
      </c>
      <c r="I2858" s="24" t="n">
        <v>744.7528686370244</v>
      </c>
      <c r="J2858" s="24" t="n">
        <v>6550.668683077564</v>
      </c>
      <c r="K2858" s="24" t="n">
        <v>4222.222222222223</v>
      </c>
      <c r="L2858" s="24" t="n">
        <v>150</v>
      </c>
      <c r="M2858" s="24">
        <f>I2858+J2858+K2858+L2858</f>
        <v/>
      </c>
      <c r="N2858" s="24">
        <f>M2858*'Dashboard &amp; Optimisation'!$B$18/('Dashboard &amp; Optimisation'!$B$16/3.6)</f>
        <v/>
      </c>
      <c r="O2858" s="24" t="n">
        <v>1040.317093132586</v>
      </c>
      <c r="P2858" s="25" t="n">
        <v>0.04997260972227939</v>
      </c>
      <c r="Q2858" s="26" t="n">
        <v>14.58672875926959</v>
      </c>
      <c r="R2858" s="24" t="n">
        <v>4472.795746263367</v>
      </c>
      <c r="S2858" s="24">
        <f>R2858*IF(A2858=4, 2.0, 3.0)</f>
        <v/>
      </c>
      <c r="T2858" s="22">
        <f>'Dashboard &amp; Optimisation'!$B$18*U2858</f>
        <v/>
      </c>
      <c r="U2858" s="27">
        <f>MIN(1, S2858/M2858)</f>
        <v/>
      </c>
      <c r="V2858" s="27">
        <f>N2858/(N2858+O2858)</f>
        <v/>
      </c>
      <c r="W2858" s="27">
        <f>U2858*V2858</f>
        <v/>
      </c>
      <c r="X2858" s="25">
        <f>T2858/N2858</f>
        <v/>
      </c>
      <c r="Y2858" s="28">
        <f>IF(W2858=MAXIFS(W$2:W$3601, A$2:A$3601, A2858, B$2:B$3601, B2858), "OPTIMAL", "")</f>
        <v/>
      </c>
    </row>
    <row r="2859" ht="20" customHeight="1">
      <c r="A2859" s="29" t="n">
        <v>-18</v>
      </c>
      <c r="B2859" s="29" t="n">
        <v>35</v>
      </c>
      <c r="C2859" s="30" t="n">
        <v>120</v>
      </c>
      <c r="D2859" s="30" t="n">
        <v>2</v>
      </c>
      <c r="E2859" s="6" t="n">
        <v>8</v>
      </c>
      <c r="F2859" s="30" t="n">
        <v>2</v>
      </c>
      <c r="G2859" s="6" t="inlineStr">
        <is>
          <t>Oui</t>
        </is>
      </c>
      <c r="H2859" s="6" t="inlineStr">
        <is>
          <t>OFF</t>
        </is>
      </c>
      <c r="I2859" s="31" t="n">
        <v>744.7528686370244</v>
      </c>
      <c r="J2859" s="31" t="n">
        <v>6550.668683077564</v>
      </c>
      <c r="K2859" s="31" t="n">
        <v>4222.222222222223</v>
      </c>
      <c r="L2859" s="31" t="n">
        <v>150</v>
      </c>
      <c r="M2859" s="31">
        <f>I2859+J2859+K2859+L2859</f>
        <v/>
      </c>
      <c r="N2859" s="31">
        <f>M2859*'Dashboard &amp; Optimisation'!$B$18/('Dashboard &amp; Optimisation'!$B$16/3.6)</f>
        <v/>
      </c>
      <c r="O2859" s="31" t="n">
        <v>1040.317093132586</v>
      </c>
      <c r="P2859" s="32" t="n">
        <v>0.2163666659525478</v>
      </c>
      <c r="Q2859" s="33" t="n">
        <v>14.58672875926959</v>
      </c>
      <c r="R2859" s="31" t="n">
        <v>1033.048576181837</v>
      </c>
      <c r="S2859" s="31">
        <f>R2859*IF(A2859=4, 2.0, 3.0)</f>
        <v/>
      </c>
      <c r="T2859" s="30">
        <f>'Dashboard &amp; Optimisation'!$B$18*U2859</f>
        <v/>
      </c>
      <c r="U2859" s="34">
        <f>MIN(1, S2859/M2859)</f>
        <v/>
      </c>
      <c r="V2859" s="34">
        <f>N2859/(N2859+O2859)</f>
        <v/>
      </c>
      <c r="W2859" s="34">
        <f>U2859*V2859</f>
        <v/>
      </c>
      <c r="X2859" s="32">
        <f>T2859/N2859</f>
        <v/>
      </c>
      <c r="Y2859" s="35">
        <f>IF(W2859=MAXIFS(W$2:W$3601, A$2:A$3601, A2859, B$2:B$3601, B2859), "OPTIMAL", "")</f>
        <v/>
      </c>
    </row>
    <row r="2860" ht="20" customHeight="1">
      <c r="A2860" s="21" t="n">
        <v>-18</v>
      </c>
      <c r="B2860" s="21" t="n">
        <v>35</v>
      </c>
      <c r="C2860" s="22" t="n">
        <v>120</v>
      </c>
      <c r="D2860" s="22" t="n">
        <v>2</v>
      </c>
      <c r="E2860" s="23" t="n">
        <v>8</v>
      </c>
      <c r="F2860" s="22" t="n">
        <v>2</v>
      </c>
      <c r="G2860" s="23" t="inlineStr">
        <is>
          <t>Non</t>
        </is>
      </c>
      <c r="H2860" s="23" t="inlineStr">
        <is>
          <t>ON</t>
        </is>
      </c>
      <c r="I2860" s="24" t="n">
        <v>744.7528686370244</v>
      </c>
      <c r="J2860" s="24" t="n">
        <v>6550.668683077564</v>
      </c>
      <c r="K2860" s="24" t="n">
        <v>4222.222222222223</v>
      </c>
      <c r="L2860" s="24" t="n">
        <v>150</v>
      </c>
      <c r="M2860" s="24">
        <f>I2860+J2860+K2860+L2860</f>
        <v/>
      </c>
      <c r="N2860" s="24">
        <f>M2860*'Dashboard &amp; Optimisation'!$B$18/('Dashboard &amp; Optimisation'!$B$16/3.6)</f>
        <v/>
      </c>
      <c r="O2860" s="24" t="n">
        <v>1040.317093132586</v>
      </c>
      <c r="P2860" s="25" t="n">
        <v>0.04732002733741447</v>
      </c>
      <c r="Q2860" s="26" t="n">
        <v>14.58672875926959</v>
      </c>
      <c r="R2860" s="24" t="n">
        <v>4723.523817974689</v>
      </c>
      <c r="S2860" s="24">
        <f>R2860*IF(A2860=4, 2.0, 3.0)</f>
        <v/>
      </c>
      <c r="T2860" s="22">
        <f>'Dashboard &amp; Optimisation'!$B$18*U2860</f>
        <v/>
      </c>
      <c r="U2860" s="27">
        <f>MIN(1, S2860/M2860)</f>
        <v/>
      </c>
      <c r="V2860" s="27">
        <f>N2860/(N2860+O2860)</f>
        <v/>
      </c>
      <c r="W2860" s="27">
        <f>U2860*V2860</f>
        <v/>
      </c>
      <c r="X2860" s="25">
        <f>T2860/N2860</f>
        <v/>
      </c>
      <c r="Y2860" s="28">
        <f>IF(W2860=MAXIFS(W$2:W$3601, A$2:A$3601, A2860, B$2:B$3601, B2860), "OPTIMAL", "")</f>
        <v/>
      </c>
    </row>
    <row r="2861" ht="20" customHeight="1">
      <c r="A2861" s="29" t="n">
        <v>-18</v>
      </c>
      <c r="B2861" s="29" t="n">
        <v>35</v>
      </c>
      <c r="C2861" s="30" t="n">
        <v>120</v>
      </c>
      <c r="D2861" s="30" t="n">
        <v>2</v>
      </c>
      <c r="E2861" s="6" t="n">
        <v>8</v>
      </c>
      <c r="F2861" s="30" t="n">
        <v>2</v>
      </c>
      <c r="G2861" s="6" t="inlineStr">
        <is>
          <t>Non</t>
        </is>
      </c>
      <c r="H2861" s="6" t="inlineStr">
        <is>
          <t>OFF</t>
        </is>
      </c>
      <c r="I2861" s="31" t="n">
        <v>744.7528686370244</v>
      </c>
      <c r="J2861" s="31" t="n">
        <v>6550.668683077564</v>
      </c>
      <c r="K2861" s="31" t="n">
        <v>4222.222222222223</v>
      </c>
      <c r="L2861" s="31" t="n">
        <v>150</v>
      </c>
      <c r="M2861" s="31">
        <f>I2861+J2861+K2861+L2861</f>
        <v/>
      </c>
      <c r="N2861" s="31">
        <f>M2861*'Dashboard &amp; Optimisation'!$B$18/('Dashboard &amp; Optimisation'!$B$16/3.6)</f>
        <v/>
      </c>
      <c r="O2861" s="31" t="n">
        <v>1040.317093132586</v>
      </c>
      <c r="P2861" s="32" t="n">
        <v>0.2137140835676829</v>
      </c>
      <c r="Q2861" s="33" t="n">
        <v>14.58672875926959</v>
      </c>
      <c r="R2861" s="31" t="n">
        <v>1045.870597127508</v>
      </c>
      <c r="S2861" s="31">
        <f>R2861*IF(A2861=4, 2.0, 3.0)</f>
        <v/>
      </c>
      <c r="T2861" s="30">
        <f>'Dashboard &amp; Optimisation'!$B$18*U2861</f>
        <v/>
      </c>
      <c r="U2861" s="34">
        <f>MIN(1, S2861/M2861)</f>
        <v/>
      </c>
      <c r="V2861" s="34">
        <f>N2861/(N2861+O2861)</f>
        <v/>
      </c>
      <c r="W2861" s="34">
        <f>U2861*V2861</f>
        <v/>
      </c>
      <c r="X2861" s="32">
        <f>T2861/N2861</f>
        <v/>
      </c>
      <c r="Y2861" s="35">
        <f>IF(W2861=MAXIFS(W$2:W$3601, A$2:A$3601, A2861, B$2:B$3601, B2861), "OPTIMAL", "")</f>
        <v/>
      </c>
    </row>
    <row r="2862" ht="20" customHeight="1">
      <c r="A2862" s="21" t="n">
        <v>-18</v>
      </c>
      <c r="B2862" s="21" t="n">
        <v>35</v>
      </c>
      <c r="C2862" s="22" t="n">
        <v>120</v>
      </c>
      <c r="D2862" s="22" t="n">
        <v>3</v>
      </c>
      <c r="E2862" s="23" t="n">
        <v>0</v>
      </c>
      <c r="F2862" s="22" t="n">
        <v>0</v>
      </c>
      <c r="G2862" s="23" t="inlineStr">
        <is>
          <t>Oui</t>
        </is>
      </c>
      <c r="H2862" s="23" t="inlineStr">
        <is>
          <t>ON</t>
        </is>
      </c>
      <c r="I2862" s="24" t="n">
        <v>744.7528686370244</v>
      </c>
      <c r="J2862" s="24" t="n">
        <v>6550.668683077564</v>
      </c>
      <c r="K2862" s="24" t="n">
        <v>4222.222222222223</v>
      </c>
      <c r="L2862" s="24" t="n">
        <v>150</v>
      </c>
      <c r="M2862" s="24">
        <f>I2862+J2862+K2862+L2862</f>
        <v/>
      </c>
      <c r="N2862" s="24">
        <f>M2862*'Dashboard &amp; Optimisation'!$B$18/('Dashboard &amp; Optimisation'!$B$16/3.6)</f>
        <v/>
      </c>
      <c r="O2862" s="24" t="n">
        <v>640.6272194990639</v>
      </c>
      <c r="P2862" s="25" t="n">
        <v>0.4668943220842715</v>
      </c>
      <c r="Q2862" s="26" t="n">
        <v>0.2</v>
      </c>
      <c r="R2862" s="24" t="n">
        <v>460.8568441722438</v>
      </c>
      <c r="S2862" s="24">
        <f>R2862*IF(A2862=4, 2.0, 3.0)</f>
        <v/>
      </c>
      <c r="T2862" s="22">
        <f>'Dashboard &amp; Optimisation'!$B$18*U2862</f>
        <v/>
      </c>
      <c r="U2862" s="27">
        <f>MIN(1, S2862/M2862)</f>
        <v/>
      </c>
      <c r="V2862" s="27">
        <f>N2862/(N2862+O2862)</f>
        <v/>
      </c>
      <c r="W2862" s="27">
        <f>U2862*V2862</f>
        <v/>
      </c>
      <c r="X2862" s="25">
        <f>T2862/N2862</f>
        <v/>
      </c>
      <c r="Y2862" s="28">
        <f>IF(W2862=MAXIFS(W$2:W$3601, A$2:A$3601, A2862, B$2:B$3601, B2862), "OPTIMAL", "")</f>
        <v/>
      </c>
    </row>
    <row r="2863" ht="20" customHeight="1">
      <c r="A2863" s="29" t="n">
        <v>-18</v>
      </c>
      <c r="B2863" s="29" t="n">
        <v>35</v>
      </c>
      <c r="C2863" s="30" t="n">
        <v>120</v>
      </c>
      <c r="D2863" s="30" t="n">
        <v>3</v>
      </c>
      <c r="E2863" s="6" t="n">
        <v>0</v>
      </c>
      <c r="F2863" s="30" t="n">
        <v>0</v>
      </c>
      <c r="G2863" s="6" t="inlineStr">
        <is>
          <t>Oui</t>
        </is>
      </c>
      <c r="H2863" s="6" t="inlineStr">
        <is>
          <t>OFF</t>
        </is>
      </c>
      <c r="I2863" s="31" t="n">
        <v>744.7528686370244</v>
      </c>
      <c r="J2863" s="31" t="n">
        <v>6550.668683077564</v>
      </c>
      <c r="K2863" s="31" t="n">
        <v>4222.222222222223</v>
      </c>
      <c r="L2863" s="31" t="n">
        <v>150</v>
      </c>
      <c r="M2863" s="31">
        <f>I2863+J2863+K2863+L2863</f>
        <v/>
      </c>
      <c r="N2863" s="31">
        <f>M2863*'Dashboard &amp; Optimisation'!$B$18/('Dashboard &amp; Optimisation'!$B$16/3.6)</f>
        <v/>
      </c>
      <c r="O2863" s="31" t="n">
        <v>640.6272194990639</v>
      </c>
      <c r="P2863" s="32" t="n">
        <v>0.7321525605707637</v>
      </c>
      <c r="Q2863" s="33" t="n">
        <v>0.2</v>
      </c>
      <c r="R2863" s="31" t="n">
        <v>293.8888087340095</v>
      </c>
      <c r="S2863" s="31">
        <f>R2863*IF(A2863=4, 2.0, 3.0)</f>
        <v/>
      </c>
      <c r="T2863" s="30">
        <f>'Dashboard &amp; Optimisation'!$B$18*U2863</f>
        <v/>
      </c>
      <c r="U2863" s="34">
        <f>MIN(1, S2863/M2863)</f>
        <v/>
      </c>
      <c r="V2863" s="34">
        <f>N2863/(N2863+O2863)</f>
        <v/>
      </c>
      <c r="W2863" s="34">
        <f>U2863*V2863</f>
        <v/>
      </c>
      <c r="X2863" s="32">
        <f>T2863/N2863</f>
        <v/>
      </c>
      <c r="Y2863" s="35">
        <f>IF(W2863=MAXIFS(W$2:W$3601, A$2:A$3601, A2863, B$2:B$3601, B2863), "OPTIMAL", "")</f>
        <v/>
      </c>
    </row>
    <row r="2864" ht="20" customHeight="1">
      <c r="A2864" s="21" t="n">
        <v>-18</v>
      </c>
      <c r="B2864" s="21" t="n">
        <v>35</v>
      </c>
      <c r="C2864" s="22" t="n">
        <v>120</v>
      </c>
      <c r="D2864" s="22" t="n">
        <v>3</v>
      </c>
      <c r="E2864" s="23" t="n">
        <v>0</v>
      </c>
      <c r="F2864" s="22" t="n">
        <v>0</v>
      </c>
      <c r="G2864" s="23" t="inlineStr">
        <is>
          <t>Non</t>
        </is>
      </c>
      <c r="H2864" s="23" t="inlineStr">
        <is>
          <t>ON</t>
        </is>
      </c>
      <c r="I2864" s="24" t="n">
        <v>744.7528686370244</v>
      </c>
      <c r="J2864" s="24" t="n">
        <v>6550.668683077564</v>
      </c>
      <c r="K2864" s="24" t="n">
        <v>4222.222222222223</v>
      </c>
      <c r="L2864" s="24" t="n">
        <v>150</v>
      </c>
      <c r="M2864" s="24">
        <f>I2864+J2864+K2864+L2864</f>
        <v/>
      </c>
      <c r="N2864" s="24">
        <f>M2864*'Dashboard &amp; Optimisation'!$B$18/('Dashboard &amp; Optimisation'!$B$16/3.6)</f>
        <v/>
      </c>
      <c r="O2864" s="24" t="n">
        <v>640.6272194990639</v>
      </c>
      <c r="P2864" s="25" t="n">
        <v>0.4642417396994065</v>
      </c>
      <c r="Q2864" s="26" t="n">
        <v>0.2</v>
      </c>
      <c r="R2864" s="24" t="n">
        <v>463.4900859561197</v>
      </c>
      <c r="S2864" s="24">
        <f>R2864*IF(A2864=4, 2.0, 3.0)</f>
        <v/>
      </c>
      <c r="T2864" s="22">
        <f>'Dashboard &amp; Optimisation'!$B$18*U2864</f>
        <v/>
      </c>
      <c r="U2864" s="27">
        <f>MIN(1, S2864/M2864)</f>
        <v/>
      </c>
      <c r="V2864" s="27">
        <f>N2864/(N2864+O2864)</f>
        <v/>
      </c>
      <c r="W2864" s="27">
        <f>U2864*V2864</f>
        <v/>
      </c>
      <c r="X2864" s="25">
        <f>T2864/N2864</f>
        <v/>
      </c>
      <c r="Y2864" s="28">
        <f>IF(W2864=MAXIFS(W$2:W$3601, A$2:A$3601, A2864, B$2:B$3601, B2864), "OPTIMAL", "")</f>
        <v/>
      </c>
    </row>
    <row r="2865" ht="20" customHeight="1">
      <c r="A2865" s="29" t="n">
        <v>-18</v>
      </c>
      <c r="B2865" s="29" t="n">
        <v>35</v>
      </c>
      <c r="C2865" s="30" t="n">
        <v>120</v>
      </c>
      <c r="D2865" s="30" t="n">
        <v>3</v>
      </c>
      <c r="E2865" s="6" t="n">
        <v>0</v>
      </c>
      <c r="F2865" s="30" t="n">
        <v>0</v>
      </c>
      <c r="G2865" s="6" t="inlineStr">
        <is>
          <t>Non</t>
        </is>
      </c>
      <c r="H2865" s="6" t="inlineStr">
        <is>
          <t>OFF</t>
        </is>
      </c>
      <c r="I2865" s="31" t="n">
        <v>744.7528686370244</v>
      </c>
      <c r="J2865" s="31" t="n">
        <v>6550.668683077564</v>
      </c>
      <c r="K2865" s="31" t="n">
        <v>4222.222222222223</v>
      </c>
      <c r="L2865" s="31" t="n">
        <v>150</v>
      </c>
      <c r="M2865" s="31">
        <f>I2865+J2865+K2865+L2865</f>
        <v/>
      </c>
      <c r="N2865" s="31">
        <f>M2865*'Dashboard &amp; Optimisation'!$B$18/('Dashboard &amp; Optimisation'!$B$16/3.6)</f>
        <v/>
      </c>
      <c r="O2865" s="31" t="n">
        <v>640.6272194990639</v>
      </c>
      <c r="P2865" s="32" t="n">
        <v>0.7294999781858988</v>
      </c>
      <c r="Q2865" s="33" t="n">
        <v>0.2</v>
      </c>
      <c r="R2865" s="31" t="n">
        <v>294.9574369731705</v>
      </c>
      <c r="S2865" s="31">
        <f>R2865*IF(A2865=4, 2.0, 3.0)</f>
        <v/>
      </c>
      <c r="T2865" s="30">
        <f>'Dashboard &amp; Optimisation'!$B$18*U2865</f>
        <v/>
      </c>
      <c r="U2865" s="34">
        <f>MIN(1, S2865/M2865)</f>
        <v/>
      </c>
      <c r="V2865" s="34">
        <f>N2865/(N2865+O2865)</f>
        <v/>
      </c>
      <c r="W2865" s="34">
        <f>U2865*V2865</f>
        <v/>
      </c>
      <c r="X2865" s="32">
        <f>T2865/N2865</f>
        <v/>
      </c>
      <c r="Y2865" s="35">
        <f>IF(W2865=MAXIFS(W$2:W$3601, A$2:A$3601, A2865, B$2:B$3601, B2865), "OPTIMAL", "")</f>
        <v/>
      </c>
    </row>
    <row r="2866" ht="20" customHeight="1">
      <c r="A2866" s="21" t="n">
        <v>-18</v>
      </c>
      <c r="B2866" s="21" t="n">
        <v>35</v>
      </c>
      <c r="C2866" s="22" t="n">
        <v>120</v>
      </c>
      <c r="D2866" s="22" t="n">
        <v>3</v>
      </c>
      <c r="E2866" s="23" t="n">
        <v>4</v>
      </c>
      <c r="F2866" s="22" t="n">
        <v>1.5</v>
      </c>
      <c r="G2866" s="23" t="inlineStr">
        <is>
          <t>Oui</t>
        </is>
      </c>
      <c r="H2866" s="23" t="inlineStr">
        <is>
          <t>ON</t>
        </is>
      </c>
      <c r="I2866" s="24" t="n">
        <v>744.7528686370244</v>
      </c>
      <c r="J2866" s="24" t="n">
        <v>6550.668683077564</v>
      </c>
      <c r="K2866" s="24" t="n">
        <v>4222.222222222223</v>
      </c>
      <c r="L2866" s="24" t="n">
        <v>150</v>
      </c>
      <c r="M2866" s="24">
        <f>I2866+J2866+K2866+L2866</f>
        <v/>
      </c>
      <c r="N2866" s="24">
        <f>M2866*'Dashboard &amp; Optimisation'!$B$18/('Dashboard &amp; Optimisation'!$B$16/3.6)</f>
        <v/>
      </c>
      <c r="O2866" s="24" t="n">
        <v>875.328548773601</v>
      </c>
      <c r="P2866" s="25" t="n">
        <v>0.06783449726767998</v>
      </c>
      <c r="Q2866" s="26" t="n">
        <v>5.689672816037082</v>
      </c>
      <c r="R2866" s="24" t="n">
        <v>3259.373825185909</v>
      </c>
      <c r="S2866" s="24">
        <f>R2866*IF(A2866=4, 2.0, 3.0)</f>
        <v/>
      </c>
      <c r="T2866" s="22">
        <f>'Dashboard &amp; Optimisation'!$B$18*U2866</f>
        <v/>
      </c>
      <c r="U2866" s="27">
        <f>MIN(1, S2866/M2866)</f>
        <v/>
      </c>
      <c r="V2866" s="27">
        <f>N2866/(N2866+O2866)</f>
        <v/>
      </c>
      <c r="W2866" s="27">
        <f>U2866*V2866</f>
        <v/>
      </c>
      <c r="X2866" s="25">
        <f>T2866/N2866</f>
        <v/>
      </c>
      <c r="Y2866" s="28">
        <f>IF(W2866=MAXIFS(W$2:W$3601, A$2:A$3601, A2866, B$2:B$3601, B2866), "OPTIMAL", "")</f>
        <v/>
      </c>
    </row>
    <row r="2867" ht="20" customHeight="1">
      <c r="A2867" s="29" t="n">
        <v>-18</v>
      </c>
      <c r="B2867" s="29" t="n">
        <v>35</v>
      </c>
      <c r="C2867" s="30" t="n">
        <v>120</v>
      </c>
      <c r="D2867" s="30" t="n">
        <v>3</v>
      </c>
      <c r="E2867" s="6" t="n">
        <v>4</v>
      </c>
      <c r="F2867" s="30" t="n">
        <v>1.5</v>
      </c>
      <c r="G2867" s="6" t="inlineStr">
        <is>
          <t>Oui</t>
        </is>
      </c>
      <c r="H2867" s="6" t="inlineStr">
        <is>
          <t>OFF</t>
        </is>
      </c>
      <c r="I2867" s="31" t="n">
        <v>744.7528686370244</v>
      </c>
      <c r="J2867" s="31" t="n">
        <v>6550.668683077564</v>
      </c>
      <c r="K2867" s="31" t="n">
        <v>4222.222222222223</v>
      </c>
      <c r="L2867" s="31" t="n">
        <v>150</v>
      </c>
      <c r="M2867" s="31">
        <f>I2867+J2867+K2867+L2867</f>
        <v/>
      </c>
      <c r="N2867" s="31">
        <f>M2867*'Dashboard &amp; Optimisation'!$B$18/('Dashboard &amp; Optimisation'!$B$16/3.6)</f>
        <v/>
      </c>
      <c r="O2867" s="31" t="n">
        <v>875.328548773601</v>
      </c>
      <c r="P2867" s="32" t="n">
        <v>0.2715077102234196</v>
      </c>
      <c r="Q2867" s="33" t="n">
        <v>5.689672816037082</v>
      </c>
      <c r="R2867" s="31" t="n">
        <v>814.3340926008436</v>
      </c>
      <c r="S2867" s="31">
        <f>R2867*IF(A2867=4, 2.0, 3.0)</f>
        <v/>
      </c>
      <c r="T2867" s="30">
        <f>'Dashboard &amp; Optimisation'!$B$18*U2867</f>
        <v/>
      </c>
      <c r="U2867" s="34">
        <f>MIN(1, S2867/M2867)</f>
        <v/>
      </c>
      <c r="V2867" s="34">
        <f>N2867/(N2867+O2867)</f>
        <v/>
      </c>
      <c r="W2867" s="34">
        <f>U2867*V2867</f>
        <v/>
      </c>
      <c r="X2867" s="32">
        <f>T2867/N2867</f>
        <v/>
      </c>
      <c r="Y2867" s="35">
        <f>IF(W2867=MAXIFS(W$2:W$3601, A$2:A$3601, A2867, B$2:B$3601, B2867), "OPTIMAL", "")</f>
        <v/>
      </c>
    </row>
    <row r="2868" ht="20" customHeight="1">
      <c r="A2868" s="21" t="n">
        <v>-18</v>
      </c>
      <c r="B2868" s="21" t="n">
        <v>35</v>
      </c>
      <c r="C2868" s="22" t="n">
        <v>120</v>
      </c>
      <c r="D2868" s="22" t="n">
        <v>3</v>
      </c>
      <c r="E2868" s="23" t="n">
        <v>4</v>
      </c>
      <c r="F2868" s="22" t="n">
        <v>1.5</v>
      </c>
      <c r="G2868" s="23" t="inlineStr">
        <is>
          <t>Non</t>
        </is>
      </c>
      <c r="H2868" s="23" t="inlineStr">
        <is>
          <t>ON</t>
        </is>
      </c>
      <c r="I2868" s="24" t="n">
        <v>744.7528686370244</v>
      </c>
      <c r="J2868" s="24" t="n">
        <v>6550.668683077564</v>
      </c>
      <c r="K2868" s="24" t="n">
        <v>4222.222222222223</v>
      </c>
      <c r="L2868" s="24" t="n">
        <v>150</v>
      </c>
      <c r="M2868" s="24">
        <f>I2868+J2868+K2868+L2868</f>
        <v/>
      </c>
      <c r="N2868" s="24">
        <f>M2868*'Dashboard &amp; Optimisation'!$B$18/('Dashboard &amp; Optimisation'!$B$16/3.6)</f>
        <v/>
      </c>
      <c r="O2868" s="24" t="n">
        <v>875.328548773601</v>
      </c>
      <c r="P2868" s="25" t="n">
        <v>0.06518191488281506</v>
      </c>
      <c r="Q2868" s="26" t="n">
        <v>5.689672816037082</v>
      </c>
      <c r="R2868" s="24" t="n">
        <v>3392.014260955882</v>
      </c>
      <c r="S2868" s="24">
        <f>R2868*IF(A2868=4, 2.0, 3.0)</f>
        <v/>
      </c>
      <c r="T2868" s="22">
        <f>'Dashboard &amp; Optimisation'!$B$18*U2868</f>
        <v/>
      </c>
      <c r="U2868" s="27">
        <f>MIN(1, S2868/M2868)</f>
        <v/>
      </c>
      <c r="V2868" s="27">
        <f>N2868/(N2868+O2868)</f>
        <v/>
      </c>
      <c r="W2868" s="27">
        <f>U2868*V2868</f>
        <v/>
      </c>
      <c r="X2868" s="25">
        <f>T2868/N2868</f>
        <v/>
      </c>
      <c r="Y2868" s="28">
        <f>IF(W2868=MAXIFS(W$2:W$3601, A$2:A$3601, A2868, B$2:B$3601, B2868), "OPTIMAL", "")</f>
        <v/>
      </c>
    </row>
    <row r="2869" ht="20" customHeight="1">
      <c r="A2869" s="29" t="n">
        <v>-18</v>
      </c>
      <c r="B2869" s="29" t="n">
        <v>35</v>
      </c>
      <c r="C2869" s="30" t="n">
        <v>120</v>
      </c>
      <c r="D2869" s="30" t="n">
        <v>3</v>
      </c>
      <c r="E2869" s="6" t="n">
        <v>4</v>
      </c>
      <c r="F2869" s="30" t="n">
        <v>1.5</v>
      </c>
      <c r="G2869" s="6" t="inlineStr">
        <is>
          <t>Non</t>
        </is>
      </c>
      <c r="H2869" s="6" t="inlineStr">
        <is>
          <t>OFF</t>
        </is>
      </c>
      <c r="I2869" s="31" t="n">
        <v>744.7528686370244</v>
      </c>
      <c r="J2869" s="31" t="n">
        <v>6550.668683077564</v>
      </c>
      <c r="K2869" s="31" t="n">
        <v>4222.222222222223</v>
      </c>
      <c r="L2869" s="31" t="n">
        <v>150</v>
      </c>
      <c r="M2869" s="31">
        <f>I2869+J2869+K2869+L2869</f>
        <v/>
      </c>
      <c r="N2869" s="31">
        <f>M2869*'Dashboard &amp; Optimisation'!$B$18/('Dashboard &amp; Optimisation'!$B$16/3.6)</f>
        <v/>
      </c>
      <c r="O2869" s="31" t="n">
        <v>875.328548773601</v>
      </c>
      <c r="P2869" s="32" t="n">
        <v>0.2688551278385546</v>
      </c>
      <c r="Q2869" s="33" t="n">
        <v>5.689672816037082</v>
      </c>
      <c r="R2869" s="31" t="n">
        <v>822.3684875063598</v>
      </c>
      <c r="S2869" s="31">
        <f>R2869*IF(A2869=4, 2.0, 3.0)</f>
        <v/>
      </c>
      <c r="T2869" s="30">
        <f>'Dashboard &amp; Optimisation'!$B$18*U2869</f>
        <v/>
      </c>
      <c r="U2869" s="34">
        <f>MIN(1, S2869/M2869)</f>
        <v/>
      </c>
      <c r="V2869" s="34">
        <f>N2869/(N2869+O2869)</f>
        <v/>
      </c>
      <c r="W2869" s="34">
        <f>U2869*V2869</f>
        <v/>
      </c>
      <c r="X2869" s="32">
        <f>T2869/N2869</f>
        <v/>
      </c>
      <c r="Y2869" s="35">
        <f>IF(W2869=MAXIFS(W$2:W$3601, A$2:A$3601, A2869, B$2:B$3601, B2869), "OPTIMAL", "")</f>
        <v/>
      </c>
    </row>
    <row r="2870" ht="20" customHeight="1">
      <c r="A2870" s="21" t="n">
        <v>-18</v>
      </c>
      <c r="B2870" s="21" t="n">
        <v>35</v>
      </c>
      <c r="C2870" s="22" t="n">
        <v>120</v>
      </c>
      <c r="D2870" s="22" t="n">
        <v>3</v>
      </c>
      <c r="E2870" s="23" t="n">
        <v>4</v>
      </c>
      <c r="F2870" s="22" t="n">
        <v>2</v>
      </c>
      <c r="G2870" s="23" t="inlineStr">
        <is>
          <t>Oui</t>
        </is>
      </c>
      <c r="H2870" s="23" t="inlineStr">
        <is>
          <t>ON</t>
        </is>
      </c>
      <c r="I2870" s="24" t="n">
        <v>744.7528686370244</v>
      </c>
      <c r="J2870" s="24" t="n">
        <v>6550.668683077564</v>
      </c>
      <c r="K2870" s="24" t="n">
        <v>4222.222222222223</v>
      </c>
      <c r="L2870" s="24" t="n">
        <v>150</v>
      </c>
      <c r="M2870" s="24">
        <f>I2870+J2870+K2870+L2870</f>
        <v/>
      </c>
      <c r="N2870" s="24">
        <f>M2870*'Dashboard &amp; Optimisation'!$B$18/('Dashboard &amp; Optimisation'!$B$16/3.6)</f>
        <v/>
      </c>
      <c r="O2870" s="24" t="n">
        <v>956.4620408624461</v>
      </c>
      <c r="P2870" s="25" t="n">
        <v>0.06458187918791126</v>
      </c>
      <c r="Q2870" s="26" t="n">
        <v>7.519563754716109</v>
      </c>
      <c r="R2870" s="24" t="n">
        <v>3455.252823852702</v>
      </c>
      <c r="S2870" s="24">
        <f>R2870*IF(A2870=4, 2.0, 3.0)</f>
        <v/>
      </c>
      <c r="T2870" s="22">
        <f>'Dashboard &amp; Optimisation'!$B$18*U2870</f>
        <v/>
      </c>
      <c r="U2870" s="27">
        <f>MIN(1, S2870/M2870)</f>
        <v/>
      </c>
      <c r="V2870" s="27">
        <f>N2870/(N2870+O2870)</f>
        <v/>
      </c>
      <c r="W2870" s="27">
        <f>U2870*V2870</f>
        <v/>
      </c>
      <c r="X2870" s="25">
        <f>T2870/N2870</f>
        <v/>
      </c>
      <c r="Y2870" s="28">
        <f>IF(W2870=MAXIFS(W$2:W$3601, A$2:A$3601, A2870, B$2:B$3601, B2870), "OPTIMAL", "")</f>
        <v/>
      </c>
    </row>
    <row r="2871" ht="20" customHeight="1">
      <c r="A2871" s="29" t="n">
        <v>-18</v>
      </c>
      <c r="B2871" s="29" t="n">
        <v>35</v>
      </c>
      <c r="C2871" s="30" t="n">
        <v>120</v>
      </c>
      <c r="D2871" s="30" t="n">
        <v>3</v>
      </c>
      <c r="E2871" s="6" t="n">
        <v>4</v>
      </c>
      <c r="F2871" s="30" t="n">
        <v>2</v>
      </c>
      <c r="G2871" s="6" t="inlineStr">
        <is>
          <t>Oui</t>
        </is>
      </c>
      <c r="H2871" s="6" t="inlineStr">
        <is>
          <t>OFF</t>
        </is>
      </c>
      <c r="I2871" s="31" t="n">
        <v>744.7528686370244</v>
      </c>
      <c r="J2871" s="31" t="n">
        <v>6550.668683077564</v>
      </c>
      <c r="K2871" s="31" t="n">
        <v>4222.222222222223</v>
      </c>
      <c r="L2871" s="31" t="n">
        <v>150</v>
      </c>
      <c r="M2871" s="31">
        <f>I2871+J2871+K2871+L2871</f>
        <v/>
      </c>
      <c r="N2871" s="31">
        <f>M2871*'Dashboard &amp; Optimisation'!$B$18/('Dashboard &amp; Optimisation'!$B$16/3.6)</f>
        <v/>
      </c>
      <c r="O2871" s="31" t="n">
        <v>956.4620408624461</v>
      </c>
      <c r="P2871" s="32" t="n">
        <v>0.2690865884190716</v>
      </c>
      <c r="Q2871" s="33" t="n">
        <v>7.519563754716109</v>
      </c>
      <c r="R2871" s="31" t="n">
        <v>829.2747763638777</v>
      </c>
      <c r="S2871" s="31">
        <f>R2871*IF(A2871=4, 2.0, 3.0)</f>
        <v/>
      </c>
      <c r="T2871" s="30">
        <f>'Dashboard &amp; Optimisation'!$B$18*U2871</f>
        <v/>
      </c>
      <c r="U2871" s="34">
        <f>MIN(1, S2871/M2871)</f>
        <v/>
      </c>
      <c r="V2871" s="34">
        <f>N2871/(N2871+O2871)</f>
        <v/>
      </c>
      <c r="W2871" s="34">
        <f>U2871*V2871</f>
        <v/>
      </c>
      <c r="X2871" s="32">
        <f>T2871/N2871</f>
        <v/>
      </c>
      <c r="Y2871" s="35">
        <f>IF(W2871=MAXIFS(W$2:W$3601, A$2:A$3601, A2871, B$2:B$3601, B2871), "OPTIMAL", "")</f>
        <v/>
      </c>
    </row>
    <row r="2872" ht="20" customHeight="1">
      <c r="A2872" s="21" t="n">
        <v>-18</v>
      </c>
      <c r="B2872" s="21" t="n">
        <v>35</v>
      </c>
      <c r="C2872" s="22" t="n">
        <v>120</v>
      </c>
      <c r="D2872" s="22" t="n">
        <v>3</v>
      </c>
      <c r="E2872" s="23" t="n">
        <v>4</v>
      </c>
      <c r="F2872" s="22" t="n">
        <v>2</v>
      </c>
      <c r="G2872" s="23" t="inlineStr">
        <is>
          <t>Non</t>
        </is>
      </c>
      <c r="H2872" s="23" t="inlineStr">
        <is>
          <t>ON</t>
        </is>
      </c>
      <c r="I2872" s="24" t="n">
        <v>744.7528686370244</v>
      </c>
      <c r="J2872" s="24" t="n">
        <v>6550.668683077564</v>
      </c>
      <c r="K2872" s="24" t="n">
        <v>4222.222222222223</v>
      </c>
      <c r="L2872" s="24" t="n">
        <v>150</v>
      </c>
      <c r="M2872" s="24">
        <f>I2872+J2872+K2872+L2872</f>
        <v/>
      </c>
      <c r="N2872" s="24">
        <f>M2872*'Dashboard &amp; Optimisation'!$B$18/('Dashboard &amp; Optimisation'!$B$16/3.6)</f>
        <v/>
      </c>
      <c r="O2872" s="24" t="n">
        <v>956.4620408624461</v>
      </c>
      <c r="P2872" s="25" t="n">
        <v>0.06192929680304634</v>
      </c>
      <c r="Q2872" s="26" t="n">
        <v>7.519563754716109</v>
      </c>
      <c r="R2872" s="24" t="n">
        <v>3603.249704956567</v>
      </c>
      <c r="S2872" s="24">
        <f>R2872*IF(A2872=4, 2.0, 3.0)</f>
        <v/>
      </c>
      <c r="T2872" s="22">
        <f>'Dashboard &amp; Optimisation'!$B$18*U2872</f>
        <v/>
      </c>
      <c r="U2872" s="27">
        <f>MIN(1, S2872/M2872)</f>
        <v/>
      </c>
      <c r="V2872" s="27">
        <f>N2872/(N2872+O2872)</f>
        <v/>
      </c>
      <c r="W2872" s="27">
        <f>U2872*V2872</f>
        <v/>
      </c>
      <c r="X2872" s="25">
        <f>T2872/N2872</f>
        <v/>
      </c>
      <c r="Y2872" s="28">
        <f>IF(W2872=MAXIFS(W$2:W$3601, A$2:A$3601, A2872, B$2:B$3601, B2872), "OPTIMAL", "")</f>
        <v/>
      </c>
    </row>
    <row r="2873" ht="20" customHeight="1">
      <c r="A2873" s="29" t="n">
        <v>-18</v>
      </c>
      <c r="B2873" s="29" t="n">
        <v>35</v>
      </c>
      <c r="C2873" s="30" t="n">
        <v>120</v>
      </c>
      <c r="D2873" s="30" t="n">
        <v>3</v>
      </c>
      <c r="E2873" s="6" t="n">
        <v>4</v>
      </c>
      <c r="F2873" s="30" t="n">
        <v>2</v>
      </c>
      <c r="G2873" s="6" t="inlineStr">
        <is>
          <t>Non</t>
        </is>
      </c>
      <c r="H2873" s="6" t="inlineStr">
        <is>
          <t>OFF</t>
        </is>
      </c>
      <c r="I2873" s="31" t="n">
        <v>744.7528686370244</v>
      </c>
      <c r="J2873" s="31" t="n">
        <v>6550.668683077564</v>
      </c>
      <c r="K2873" s="31" t="n">
        <v>4222.222222222223</v>
      </c>
      <c r="L2873" s="31" t="n">
        <v>150</v>
      </c>
      <c r="M2873" s="31">
        <f>I2873+J2873+K2873+L2873</f>
        <v/>
      </c>
      <c r="N2873" s="31">
        <f>M2873*'Dashboard &amp; Optimisation'!$B$18/('Dashboard &amp; Optimisation'!$B$16/3.6)</f>
        <v/>
      </c>
      <c r="O2873" s="31" t="n">
        <v>956.4620408624461</v>
      </c>
      <c r="P2873" s="32" t="n">
        <v>0.2664340060342067</v>
      </c>
      <c r="Q2873" s="33" t="n">
        <v>7.519563754716109</v>
      </c>
      <c r="R2873" s="31" t="n">
        <v>837.5309284096987</v>
      </c>
      <c r="S2873" s="31">
        <f>R2873*IF(A2873=4, 2.0, 3.0)</f>
        <v/>
      </c>
      <c r="T2873" s="30">
        <f>'Dashboard &amp; Optimisation'!$B$18*U2873</f>
        <v/>
      </c>
      <c r="U2873" s="34">
        <f>MIN(1, S2873/M2873)</f>
        <v/>
      </c>
      <c r="V2873" s="34">
        <f>N2873/(N2873+O2873)</f>
        <v/>
      </c>
      <c r="W2873" s="34">
        <f>U2873*V2873</f>
        <v/>
      </c>
      <c r="X2873" s="32">
        <f>T2873/N2873</f>
        <v/>
      </c>
      <c r="Y2873" s="35">
        <f>IF(W2873=MAXIFS(W$2:W$3601, A$2:A$3601, A2873, B$2:B$3601, B2873), "OPTIMAL", "")</f>
        <v/>
      </c>
    </row>
    <row r="2874" ht="20" customHeight="1">
      <c r="A2874" s="21" t="n">
        <v>-18</v>
      </c>
      <c r="B2874" s="21" t="n">
        <v>35</v>
      </c>
      <c r="C2874" s="22" t="n">
        <v>120</v>
      </c>
      <c r="D2874" s="22" t="n">
        <v>3</v>
      </c>
      <c r="E2874" s="23" t="n">
        <v>8</v>
      </c>
      <c r="F2874" s="22" t="n">
        <v>1.5</v>
      </c>
      <c r="G2874" s="23" t="inlineStr">
        <is>
          <t>Oui</t>
        </is>
      </c>
      <c r="H2874" s="23" t="inlineStr">
        <is>
          <t>ON</t>
        </is>
      </c>
      <c r="I2874" s="24" t="n">
        <v>744.7528686370244</v>
      </c>
      <c r="J2874" s="24" t="n">
        <v>6550.668683077564</v>
      </c>
      <c r="K2874" s="24" t="n">
        <v>4222.222222222223</v>
      </c>
      <c r="L2874" s="24" t="n">
        <v>150</v>
      </c>
      <c r="M2874" s="24">
        <f>I2874+J2874+K2874+L2874</f>
        <v/>
      </c>
      <c r="N2874" s="24">
        <f>M2874*'Dashboard &amp; Optimisation'!$B$18/('Dashboard &amp; Optimisation'!$B$16/3.6)</f>
        <v/>
      </c>
      <c r="O2874" s="24" t="n">
        <v>1123.324988534767</v>
      </c>
      <c r="P2874" s="25" t="n">
        <v>0.05144850932496671</v>
      </c>
      <c r="Q2874" s="26" t="n">
        <v>11.17934563207417</v>
      </c>
      <c r="R2874" s="24" t="n">
        <v>4419.180442632178</v>
      </c>
      <c r="S2874" s="24">
        <f>R2874*IF(A2874=4, 2.0, 3.0)</f>
        <v/>
      </c>
      <c r="T2874" s="22">
        <f>'Dashboard &amp; Optimisation'!$B$18*U2874</f>
        <v/>
      </c>
      <c r="U2874" s="27">
        <f>MIN(1, S2874/M2874)</f>
        <v/>
      </c>
      <c r="V2874" s="27">
        <f>N2874/(N2874+O2874)</f>
        <v/>
      </c>
      <c r="W2874" s="27">
        <f>U2874*V2874</f>
        <v/>
      </c>
      <c r="X2874" s="25">
        <f>T2874/N2874</f>
        <v/>
      </c>
      <c r="Y2874" s="28">
        <f>IF(W2874=MAXIFS(W$2:W$3601, A$2:A$3601, A2874, B$2:B$3601, B2874), "OPTIMAL", "")</f>
        <v/>
      </c>
    </row>
    <row r="2875" ht="20" customHeight="1">
      <c r="A2875" s="29" t="n">
        <v>-18</v>
      </c>
      <c r="B2875" s="29" t="n">
        <v>35</v>
      </c>
      <c r="C2875" s="30" t="n">
        <v>120</v>
      </c>
      <c r="D2875" s="30" t="n">
        <v>3</v>
      </c>
      <c r="E2875" s="6" t="n">
        <v>8</v>
      </c>
      <c r="F2875" s="30" t="n">
        <v>1.5</v>
      </c>
      <c r="G2875" s="6" t="inlineStr">
        <is>
          <t>Oui</t>
        </is>
      </c>
      <c r="H2875" s="6" t="inlineStr">
        <is>
          <t>OFF</t>
        </is>
      </c>
      <c r="I2875" s="31" t="n">
        <v>744.7528686370244</v>
      </c>
      <c r="J2875" s="31" t="n">
        <v>6550.668683077564</v>
      </c>
      <c r="K2875" s="31" t="n">
        <v>4222.222222222223</v>
      </c>
      <c r="L2875" s="31" t="n">
        <v>150</v>
      </c>
      <c r="M2875" s="31">
        <f>I2875+J2875+K2875+L2875</f>
        <v/>
      </c>
      <c r="N2875" s="31">
        <f>M2875*'Dashboard &amp; Optimisation'!$B$18/('Dashboard &amp; Optimisation'!$B$16/3.6)</f>
        <v/>
      </c>
      <c r="O2875" s="31" t="n">
        <v>1123.324988534767</v>
      </c>
      <c r="P2875" s="32" t="n">
        <v>0.2167441267000743</v>
      </c>
      <c r="Q2875" s="33" t="n">
        <v>11.17934563207417</v>
      </c>
      <c r="R2875" s="31" t="n">
        <v>1048.979963946558</v>
      </c>
      <c r="S2875" s="31">
        <f>R2875*IF(A2875=4, 2.0, 3.0)</f>
        <v/>
      </c>
      <c r="T2875" s="30">
        <f>'Dashboard &amp; Optimisation'!$B$18*U2875</f>
        <v/>
      </c>
      <c r="U2875" s="34">
        <f>MIN(1, S2875/M2875)</f>
        <v/>
      </c>
      <c r="V2875" s="34">
        <f>N2875/(N2875+O2875)</f>
        <v/>
      </c>
      <c r="W2875" s="34">
        <f>U2875*V2875</f>
        <v/>
      </c>
      <c r="X2875" s="32">
        <f>T2875/N2875</f>
        <v/>
      </c>
      <c r="Y2875" s="35">
        <f>IF(W2875=MAXIFS(W$2:W$3601, A$2:A$3601, A2875, B$2:B$3601, B2875), "OPTIMAL", "")</f>
        <v/>
      </c>
    </row>
    <row r="2876" ht="20" customHeight="1">
      <c r="A2876" s="21" t="n">
        <v>-18</v>
      </c>
      <c r="B2876" s="21" t="n">
        <v>35</v>
      </c>
      <c r="C2876" s="22" t="n">
        <v>120</v>
      </c>
      <c r="D2876" s="22" t="n">
        <v>3</v>
      </c>
      <c r="E2876" s="23" t="n">
        <v>8</v>
      </c>
      <c r="F2876" s="22" t="n">
        <v>1.5</v>
      </c>
      <c r="G2876" s="23" t="inlineStr">
        <is>
          <t>Non</t>
        </is>
      </c>
      <c r="H2876" s="23" t="inlineStr">
        <is>
          <t>ON</t>
        </is>
      </c>
      <c r="I2876" s="24" t="n">
        <v>744.7528686370244</v>
      </c>
      <c r="J2876" s="24" t="n">
        <v>6550.668683077564</v>
      </c>
      <c r="K2876" s="24" t="n">
        <v>4222.222222222223</v>
      </c>
      <c r="L2876" s="24" t="n">
        <v>150</v>
      </c>
      <c r="M2876" s="24">
        <f>I2876+J2876+K2876+L2876</f>
        <v/>
      </c>
      <c r="N2876" s="24">
        <f>M2876*'Dashboard &amp; Optimisation'!$B$18/('Dashboard &amp; Optimisation'!$B$16/3.6)</f>
        <v/>
      </c>
      <c r="O2876" s="24" t="n">
        <v>1123.324988534767</v>
      </c>
      <c r="P2876" s="25" t="n">
        <v>0.04879592694010178</v>
      </c>
      <c r="Q2876" s="26" t="n">
        <v>11.17934563207417</v>
      </c>
      <c r="R2876" s="24" t="n">
        <v>4659.41033337808</v>
      </c>
      <c r="S2876" s="24">
        <f>R2876*IF(A2876=4, 2.0, 3.0)</f>
        <v/>
      </c>
      <c r="T2876" s="22">
        <f>'Dashboard &amp; Optimisation'!$B$18*U2876</f>
        <v/>
      </c>
      <c r="U2876" s="27">
        <f>MIN(1, S2876/M2876)</f>
        <v/>
      </c>
      <c r="V2876" s="27">
        <f>N2876/(N2876+O2876)</f>
        <v/>
      </c>
      <c r="W2876" s="27">
        <f>U2876*V2876</f>
        <v/>
      </c>
      <c r="X2876" s="25">
        <f>T2876/N2876</f>
        <v/>
      </c>
      <c r="Y2876" s="28">
        <f>IF(W2876=MAXIFS(W$2:W$3601, A$2:A$3601, A2876, B$2:B$3601, B2876), "OPTIMAL", "")</f>
        <v/>
      </c>
    </row>
    <row r="2877" ht="20" customHeight="1">
      <c r="A2877" s="29" t="n">
        <v>-18</v>
      </c>
      <c r="B2877" s="29" t="n">
        <v>35</v>
      </c>
      <c r="C2877" s="30" t="n">
        <v>120</v>
      </c>
      <c r="D2877" s="30" t="n">
        <v>3</v>
      </c>
      <c r="E2877" s="6" t="n">
        <v>8</v>
      </c>
      <c r="F2877" s="30" t="n">
        <v>1.5</v>
      </c>
      <c r="G2877" s="6" t="inlineStr">
        <is>
          <t>Non</t>
        </is>
      </c>
      <c r="H2877" s="6" t="inlineStr">
        <is>
          <t>OFF</t>
        </is>
      </c>
      <c r="I2877" s="31" t="n">
        <v>744.7528686370244</v>
      </c>
      <c r="J2877" s="31" t="n">
        <v>6550.668683077564</v>
      </c>
      <c r="K2877" s="31" t="n">
        <v>4222.222222222223</v>
      </c>
      <c r="L2877" s="31" t="n">
        <v>150</v>
      </c>
      <c r="M2877" s="31">
        <f>I2877+J2877+K2877+L2877</f>
        <v/>
      </c>
      <c r="N2877" s="31">
        <f>M2877*'Dashboard &amp; Optimisation'!$B$18/('Dashboard &amp; Optimisation'!$B$16/3.6)</f>
        <v/>
      </c>
      <c r="O2877" s="31" t="n">
        <v>1123.324988534767</v>
      </c>
      <c r="P2877" s="32" t="n">
        <v>0.2140915443152093</v>
      </c>
      <c r="Q2877" s="33" t="n">
        <v>11.17934563207417</v>
      </c>
      <c r="R2877" s="31" t="n">
        <v>1061.97676764257</v>
      </c>
      <c r="S2877" s="31">
        <f>R2877*IF(A2877=4, 2.0, 3.0)</f>
        <v/>
      </c>
      <c r="T2877" s="30">
        <f>'Dashboard &amp; Optimisation'!$B$18*U2877</f>
        <v/>
      </c>
      <c r="U2877" s="34">
        <f>MIN(1, S2877/M2877)</f>
        <v/>
      </c>
      <c r="V2877" s="34">
        <f>N2877/(N2877+O2877)</f>
        <v/>
      </c>
      <c r="W2877" s="34">
        <f>U2877*V2877</f>
        <v/>
      </c>
      <c r="X2877" s="32">
        <f>T2877/N2877</f>
        <v/>
      </c>
      <c r="Y2877" s="35">
        <f>IF(W2877=MAXIFS(W$2:W$3601, A$2:A$3601, A2877, B$2:B$3601, B2877), "OPTIMAL", "")</f>
        <v/>
      </c>
    </row>
    <row r="2878" ht="20" customHeight="1">
      <c r="A2878" s="21" t="n">
        <v>-18</v>
      </c>
      <c r="B2878" s="21" t="n">
        <v>35</v>
      </c>
      <c r="C2878" s="22" t="n">
        <v>120</v>
      </c>
      <c r="D2878" s="22" t="n">
        <v>3</v>
      </c>
      <c r="E2878" s="23" t="n">
        <v>8</v>
      </c>
      <c r="F2878" s="22" t="n">
        <v>2</v>
      </c>
      <c r="G2878" s="23" t="inlineStr">
        <is>
          <t>Oui</t>
        </is>
      </c>
      <c r="H2878" s="23" t="inlineStr">
        <is>
          <t>ON</t>
        </is>
      </c>
      <c r="I2878" s="24" t="n">
        <v>744.7528686370244</v>
      </c>
      <c r="J2878" s="24" t="n">
        <v>6550.668683077564</v>
      </c>
      <c r="K2878" s="24" t="n">
        <v>4222.222222222223</v>
      </c>
      <c r="L2878" s="24" t="n">
        <v>150</v>
      </c>
      <c r="M2878" s="24">
        <f>I2878+J2878+K2878+L2878</f>
        <v/>
      </c>
      <c r="N2878" s="24">
        <f>M2878*'Dashboard &amp; Optimisation'!$B$18/('Dashboard &amp; Optimisation'!$B$16/3.6)</f>
        <v/>
      </c>
      <c r="O2878" s="24" t="n">
        <v>1296.610729538814</v>
      </c>
      <c r="P2878" s="25" t="n">
        <v>0.04989331996011</v>
      </c>
      <c r="Q2878" s="26" t="n">
        <v>14.83912750943222</v>
      </c>
      <c r="R2878" s="24" t="n">
        <v>4644.628916326091</v>
      </c>
      <c r="S2878" s="24">
        <f>R2878*IF(A2878=4, 2.0, 3.0)</f>
        <v/>
      </c>
      <c r="T2878" s="22">
        <f>'Dashboard &amp; Optimisation'!$B$18*U2878</f>
        <v/>
      </c>
      <c r="U2878" s="27">
        <f>MIN(1, S2878/M2878)</f>
        <v/>
      </c>
      <c r="V2878" s="27">
        <f>N2878/(N2878+O2878)</f>
        <v/>
      </c>
      <c r="W2878" s="27">
        <f>U2878*V2878</f>
        <v/>
      </c>
      <c r="X2878" s="25">
        <f>T2878/N2878</f>
        <v/>
      </c>
      <c r="Y2878" s="28">
        <f>IF(W2878=MAXIFS(W$2:W$3601, A$2:A$3601, A2878, B$2:B$3601, B2878), "OPTIMAL", "")</f>
        <v/>
      </c>
    </row>
    <row r="2879" ht="20" customHeight="1">
      <c r="A2879" s="29" t="n">
        <v>-18</v>
      </c>
      <c r="B2879" s="29" t="n">
        <v>35</v>
      </c>
      <c r="C2879" s="30" t="n">
        <v>120</v>
      </c>
      <c r="D2879" s="30" t="n">
        <v>3</v>
      </c>
      <c r="E2879" s="6" t="n">
        <v>8</v>
      </c>
      <c r="F2879" s="30" t="n">
        <v>2</v>
      </c>
      <c r="G2879" s="6" t="inlineStr">
        <is>
          <t>Oui</t>
        </is>
      </c>
      <c r="H2879" s="6" t="inlineStr">
        <is>
          <t>OFF</t>
        </is>
      </c>
      <c r="I2879" s="31" t="n">
        <v>744.7528686370244</v>
      </c>
      <c r="J2879" s="31" t="n">
        <v>6550.668683077564</v>
      </c>
      <c r="K2879" s="31" t="n">
        <v>4222.222222222223</v>
      </c>
      <c r="L2879" s="31" t="n">
        <v>150</v>
      </c>
      <c r="M2879" s="31">
        <f>I2879+J2879+K2879+L2879</f>
        <v/>
      </c>
      <c r="N2879" s="31">
        <f>M2879*'Dashboard &amp; Optimisation'!$B$18/('Dashboard &amp; Optimisation'!$B$16/3.6)</f>
        <v/>
      </c>
      <c r="O2879" s="31" t="n">
        <v>1296.610729538814</v>
      </c>
      <c r="P2879" s="32" t="n">
        <v>0.2162873761903785</v>
      </c>
      <c r="Q2879" s="33" t="n">
        <v>14.83912750943222</v>
      </c>
      <c r="R2879" s="31" t="n">
        <v>1071.426177061116</v>
      </c>
      <c r="S2879" s="31">
        <f>R2879*IF(A2879=4, 2.0, 3.0)</f>
        <v/>
      </c>
      <c r="T2879" s="30">
        <f>'Dashboard &amp; Optimisation'!$B$18*U2879</f>
        <v/>
      </c>
      <c r="U2879" s="34">
        <f>MIN(1, S2879/M2879)</f>
        <v/>
      </c>
      <c r="V2879" s="34">
        <f>N2879/(N2879+O2879)</f>
        <v/>
      </c>
      <c r="W2879" s="34">
        <f>U2879*V2879</f>
        <v/>
      </c>
      <c r="X2879" s="32">
        <f>T2879/N2879</f>
        <v/>
      </c>
      <c r="Y2879" s="35">
        <f>IF(W2879=MAXIFS(W$2:W$3601, A$2:A$3601, A2879, B$2:B$3601, B2879), "OPTIMAL", "")</f>
        <v/>
      </c>
    </row>
    <row r="2880" ht="20" customHeight="1">
      <c r="A2880" s="21" t="n">
        <v>-18</v>
      </c>
      <c r="B2880" s="21" t="n">
        <v>35</v>
      </c>
      <c r="C2880" s="22" t="n">
        <v>120</v>
      </c>
      <c r="D2880" s="22" t="n">
        <v>3</v>
      </c>
      <c r="E2880" s="23" t="n">
        <v>8</v>
      </c>
      <c r="F2880" s="22" t="n">
        <v>2</v>
      </c>
      <c r="G2880" s="23" t="inlineStr">
        <is>
          <t>Non</t>
        </is>
      </c>
      <c r="H2880" s="23" t="inlineStr">
        <is>
          <t>ON</t>
        </is>
      </c>
      <c r="I2880" s="24" t="n">
        <v>744.7528686370244</v>
      </c>
      <c r="J2880" s="24" t="n">
        <v>6550.668683077564</v>
      </c>
      <c r="K2880" s="24" t="n">
        <v>4222.222222222223</v>
      </c>
      <c r="L2880" s="24" t="n">
        <v>150</v>
      </c>
      <c r="M2880" s="24">
        <f>I2880+J2880+K2880+L2880</f>
        <v/>
      </c>
      <c r="N2880" s="24">
        <f>M2880*'Dashboard &amp; Optimisation'!$B$18/('Dashboard &amp; Optimisation'!$B$16/3.6)</f>
        <v/>
      </c>
      <c r="O2880" s="24" t="n">
        <v>1296.610729538814</v>
      </c>
      <c r="P2880" s="25" t="n">
        <v>0.04724073757524508</v>
      </c>
      <c r="Q2880" s="26" t="n">
        <v>14.83912750943222</v>
      </c>
      <c r="R2880" s="24" t="n">
        <v>4905.426301804189</v>
      </c>
      <c r="S2880" s="24">
        <f>R2880*IF(A2880=4, 2.0, 3.0)</f>
        <v/>
      </c>
      <c r="T2880" s="22">
        <f>'Dashboard &amp; Optimisation'!$B$18*U2880</f>
        <v/>
      </c>
      <c r="U2880" s="27">
        <f>MIN(1, S2880/M2880)</f>
        <v/>
      </c>
      <c r="V2880" s="27">
        <f>N2880/(N2880+O2880)</f>
        <v/>
      </c>
      <c r="W2880" s="27">
        <f>U2880*V2880</f>
        <v/>
      </c>
      <c r="X2880" s="25">
        <f>T2880/N2880</f>
        <v/>
      </c>
      <c r="Y2880" s="28">
        <f>IF(W2880=MAXIFS(W$2:W$3601, A$2:A$3601, A2880, B$2:B$3601, B2880), "OPTIMAL", "")</f>
        <v/>
      </c>
    </row>
    <row r="2881" ht="20" customHeight="1">
      <c r="A2881" s="29" t="n">
        <v>-18</v>
      </c>
      <c r="B2881" s="29" t="n">
        <v>35</v>
      </c>
      <c r="C2881" s="30" t="n">
        <v>120</v>
      </c>
      <c r="D2881" s="30" t="n">
        <v>3</v>
      </c>
      <c r="E2881" s="6" t="n">
        <v>8</v>
      </c>
      <c r="F2881" s="30" t="n">
        <v>2</v>
      </c>
      <c r="G2881" s="6" t="inlineStr">
        <is>
          <t>Non</t>
        </is>
      </c>
      <c r="H2881" s="6" t="inlineStr">
        <is>
          <t>OFF</t>
        </is>
      </c>
      <c r="I2881" s="31" t="n">
        <v>744.7528686370244</v>
      </c>
      <c r="J2881" s="31" t="n">
        <v>6550.668683077564</v>
      </c>
      <c r="K2881" s="31" t="n">
        <v>4222.222222222223</v>
      </c>
      <c r="L2881" s="31" t="n">
        <v>150</v>
      </c>
      <c r="M2881" s="31">
        <f>I2881+J2881+K2881+L2881</f>
        <v/>
      </c>
      <c r="N2881" s="31">
        <f>M2881*'Dashboard &amp; Optimisation'!$B$18/('Dashboard &amp; Optimisation'!$B$16/3.6)</f>
        <v/>
      </c>
      <c r="O2881" s="31" t="n">
        <v>1296.610729538814</v>
      </c>
      <c r="P2881" s="32" t="n">
        <v>0.2136347938055135</v>
      </c>
      <c r="Q2881" s="33" t="n">
        <v>14.83912750943222</v>
      </c>
      <c r="R2881" s="31" t="n">
        <v>1084.729469812871</v>
      </c>
      <c r="S2881" s="31">
        <f>R2881*IF(A2881=4, 2.0, 3.0)</f>
        <v/>
      </c>
      <c r="T2881" s="30">
        <f>'Dashboard &amp; Optimisation'!$B$18*U2881</f>
        <v/>
      </c>
      <c r="U2881" s="34">
        <f>MIN(1, S2881/M2881)</f>
        <v/>
      </c>
      <c r="V2881" s="34">
        <f>N2881/(N2881+O2881)</f>
        <v/>
      </c>
      <c r="W2881" s="34">
        <f>U2881*V2881</f>
        <v/>
      </c>
      <c r="X2881" s="32">
        <f>T2881/N2881</f>
        <v/>
      </c>
      <c r="Y2881" s="35">
        <f>IF(W2881=MAXIFS(W$2:W$3601, A$2:A$3601, A2881, B$2:B$3601, B2881), "OPTIMAL", "")</f>
        <v/>
      </c>
    </row>
    <row r="2882" ht="20" customHeight="1">
      <c r="A2882" s="21" t="n">
        <v>-18</v>
      </c>
      <c r="B2882" s="21" t="n">
        <v>40</v>
      </c>
      <c r="C2882" s="22" t="n">
        <v>80</v>
      </c>
      <c r="D2882" s="22" t="n">
        <v>2</v>
      </c>
      <c r="E2882" s="23" t="n">
        <v>0</v>
      </c>
      <c r="F2882" s="22" t="n">
        <v>0</v>
      </c>
      <c r="G2882" s="23" t="inlineStr">
        <is>
          <t>Oui</t>
        </is>
      </c>
      <c r="H2882" s="23" t="inlineStr">
        <is>
          <t>ON</t>
        </is>
      </c>
      <c r="I2882" s="24" t="n">
        <v>815.012573225423</v>
      </c>
      <c r="J2882" s="24" t="n">
        <v>8308.791548992402</v>
      </c>
      <c r="K2882" s="24" t="n">
        <v>4662.037037037037</v>
      </c>
      <c r="L2882" s="24" t="n">
        <v>150</v>
      </c>
      <c r="M2882" s="24">
        <f>I2882+J2882+K2882+L2882</f>
        <v/>
      </c>
      <c r="N2882" s="24">
        <f>M2882*'Dashboard &amp; Optimisation'!$B$18/('Dashboard &amp; Optimisation'!$B$16/3.6)</f>
        <v/>
      </c>
      <c r="O2882" s="24" t="n">
        <v>765.1655592345644</v>
      </c>
      <c r="P2882" s="25" t="n">
        <v>0.5013778930875155</v>
      </c>
      <c r="Q2882" s="26" t="n">
        <v>0.2</v>
      </c>
      <c r="R2882" s="24" t="n">
        <v>1153.325774184129</v>
      </c>
      <c r="S2882" s="24">
        <f>R2882*IF(A2882=4, 2.0, 3.0)</f>
        <v/>
      </c>
      <c r="T2882" s="22">
        <f>'Dashboard &amp; Optimisation'!$B$18*U2882</f>
        <v/>
      </c>
      <c r="U2882" s="27">
        <f>MIN(1, S2882/M2882)</f>
        <v/>
      </c>
      <c r="V2882" s="27">
        <f>N2882/(N2882+O2882)</f>
        <v/>
      </c>
      <c r="W2882" s="27">
        <f>U2882*V2882</f>
        <v/>
      </c>
      <c r="X2882" s="25">
        <f>T2882/N2882</f>
        <v/>
      </c>
      <c r="Y2882" s="28">
        <f>IF(W2882=MAXIFS(W$2:W$3601, A$2:A$3601, A2882, B$2:B$3601, B2882), "OPTIMAL", "")</f>
        <v/>
      </c>
    </row>
    <row r="2883" ht="20" customHeight="1">
      <c r="A2883" s="29" t="n">
        <v>-18</v>
      </c>
      <c r="B2883" s="29" t="n">
        <v>40</v>
      </c>
      <c r="C2883" s="30" t="n">
        <v>80</v>
      </c>
      <c r="D2883" s="30" t="n">
        <v>2</v>
      </c>
      <c r="E2883" s="6" t="n">
        <v>0</v>
      </c>
      <c r="F2883" s="30" t="n">
        <v>0</v>
      </c>
      <c r="G2883" s="6" t="inlineStr">
        <is>
          <t>Oui</t>
        </is>
      </c>
      <c r="H2883" s="6" t="inlineStr">
        <is>
          <t>OFF</t>
        </is>
      </c>
      <c r="I2883" s="31" t="n">
        <v>815.012573225423</v>
      </c>
      <c r="J2883" s="31" t="n">
        <v>8308.791548992402</v>
      </c>
      <c r="K2883" s="31" t="n">
        <v>4662.037037037037</v>
      </c>
      <c r="L2883" s="31" t="n">
        <v>150</v>
      </c>
      <c r="M2883" s="31">
        <f>I2883+J2883+K2883+L2883</f>
        <v/>
      </c>
      <c r="N2883" s="31">
        <f>M2883*'Dashboard &amp; Optimisation'!$B$18/('Dashboard &amp; Optimisation'!$B$16/3.6)</f>
        <v/>
      </c>
      <c r="O2883" s="31" t="n">
        <v>765.1655592345644</v>
      </c>
      <c r="P2883" s="32" t="n">
        <v>0.8992652508172538</v>
      </c>
      <c r="Q2883" s="33" t="n">
        <v>0.2</v>
      </c>
      <c r="R2883" s="31" t="n">
        <v>643.0272338205549</v>
      </c>
      <c r="S2883" s="31">
        <f>R2883*IF(A2883=4, 2.0, 3.0)</f>
        <v/>
      </c>
      <c r="T2883" s="30">
        <f>'Dashboard &amp; Optimisation'!$B$18*U2883</f>
        <v/>
      </c>
      <c r="U2883" s="34">
        <f>MIN(1, S2883/M2883)</f>
        <v/>
      </c>
      <c r="V2883" s="34">
        <f>N2883/(N2883+O2883)</f>
        <v/>
      </c>
      <c r="W2883" s="34">
        <f>U2883*V2883</f>
        <v/>
      </c>
      <c r="X2883" s="32">
        <f>T2883/N2883</f>
        <v/>
      </c>
      <c r="Y2883" s="35">
        <f>IF(W2883=MAXIFS(W$2:W$3601, A$2:A$3601, A2883, B$2:B$3601, B2883), "OPTIMAL", "")</f>
        <v/>
      </c>
    </row>
    <row r="2884" ht="20" customHeight="1">
      <c r="A2884" s="21" t="n">
        <v>-18</v>
      </c>
      <c r="B2884" s="21" t="n">
        <v>40</v>
      </c>
      <c r="C2884" s="22" t="n">
        <v>80</v>
      </c>
      <c r="D2884" s="22" t="n">
        <v>2</v>
      </c>
      <c r="E2884" s="23" t="n">
        <v>0</v>
      </c>
      <c r="F2884" s="22" t="n">
        <v>0</v>
      </c>
      <c r="G2884" s="23" t="inlineStr">
        <is>
          <t>Non</t>
        </is>
      </c>
      <c r="H2884" s="23" t="inlineStr">
        <is>
          <t>ON</t>
        </is>
      </c>
      <c r="I2884" s="24" t="n">
        <v>815.012573225423</v>
      </c>
      <c r="J2884" s="24" t="n">
        <v>8308.791548992402</v>
      </c>
      <c r="K2884" s="24" t="n">
        <v>4662.037037037037</v>
      </c>
      <c r="L2884" s="24" t="n">
        <v>150</v>
      </c>
      <c r="M2884" s="24">
        <f>I2884+J2884+K2884+L2884</f>
        <v/>
      </c>
      <c r="N2884" s="24">
        <f>M2884*'Dashboard &amp; Optimisation'!$B$18/('Dashboard &amp; Optimisation'!$B$16/3.6)</f>
        <v/>
      </c>
      <c r="O2884" s="24" t="n">
        <v>765.1655592345644</v>
      </c>
      <c r="P2884" s="25" t="n">
        <v>0.4973990195102181</v>
      </c>
      <c r="Q2884" s="26" t="n">
        <v>0.2</v>
      </c>
      <c r="R2884" s="24" t="n">
        <v>1162.551641684704</v>
      </c>
      <c r="S2884" s="24">
        <f>R2884*IF(A2884=4, 2.0, 3.0)</f>
        <v/>
      </c>
      <c r="T2884" s="22">
        <f>'Dashboard &amp; Optimisation'!$B$18*U2884</f>
        <v/>
      </c>
      <c r="U2884" s="27">
        <f>MIN(1, S2884/M2884)</f>
        <v/>
      </c>
      <c r="V2884" s="27">
        <f>N2884/(N2884+O2884)</f>
        <v/>
      </c>
      <c r="W2884" s="27">
        <f>U2884*V2884</f>
        <v/>
      </c>
      <c r="X2884" s="25">
        <f>T2884/N2884</f>
        <v/>
      </c>
      <c r="Y2884" s="28">
        <f>IF(W2884=MAXIFS(W$2:W$3601, A$2:A$3601, A2884, B$2:B$3601, B2884), "OPTIMAL", "")</f>
        <v/>
      </c>
    </row>
    <row r="2885" ht="20" customHeight="1">
      <c r="A2885" s="29" t="n">
        <v>-18</v>
      </c>
      <c r="B2885" s="29" t="n">
        <v>40</v>
      </c>
      <c r="C2885" s="30" t="n">
        <v>80</v>
      </c>
      <c r="D2885" s="30" t="n">
        <v>2</v>
      </c>
      <c r="E2885" s="6" t="n">
        <v>0</v>
      </c>
      <c r="F2885" s="30" t="n">
        <v>0</v>
      </c>
      <c r="G2885" s="6" t="inlineStr">
        <is>
          <t>Non</t>
        </is>
      </c>
      <c r="H2885" s="6" t="inlineStr">
        <is>
          <t>OFF</t>
        </is>
      </c>
      <c r="I2885" s="31" t="n">
        <v>815.012573225423</v>
      </c>
      <c r="J2885" s="31" t="n">
        <v>8308.791548992402</v>
      </c>
      <c r="K2885" s="31" t="n">
        <v>4662.037037037037</v>
      </c>
      <c r="L2885" s="31" t="n">
        <v>150</v>
      </c>
      <c r="M2885" s="31">
        <f>I2885+J2885+K2885+L2885</f>
        <v/>
      </c>
      <c r="N2885" s="31">
        <f>M2885*'Dashboard &amp; Optimisation'!$B$18/('Dashboard &amp; Optimisation'!$B$16/3.6)</f>
        <v/>
      </c>
      <c r="O2885" s="31" t="n">
        <v>765.1655592345644</v>
      </c>
      <c r="P2885" s="32" t="n">
        <v>0.8952863772399564</v>
      </c>
      <c r="Q2885" s="33" t="n">
        <v>0.2</v>
      </c>
      <c r="R2885" s="31" t="n">
        <v>645.8850055181639</v>
      </c>
      <c r="S2885" s="31">
        <f>R2885*IF(A2885=4, 2.0, 3.0)</f>
        <v/>
      </c>
      <c r="T2885" s="30">
        <f>'Dashboard &amp; Optimisation'!$B$18*U2885</f>
        <v/>
      </c>
      <c r="U2885" s="34">
        <f>MIN(1, S2885/M2885)</f>
        <v/>
      </c>
      <c r="V2885" s="34">
        <f>N2885/(N2885+O2885)</f>
        <v/>
      </c>
      <c r="W2885" s="34">
        <f>U2885*V2885</f>
        <v/>
      </c>
      <c r="X2885" s="32">
        <f>T2885/N2885</f>
        <v/>
      </c>
      <c r="Y2885" s="35">
        <f>IF(W2885=MAXIFS(W$2:W$3601, A$2:A$3601, A2885, B$2:B$3601, B2885), "OPTIMAL", "")</f>
        <v/>
      </c>
    </row>
    <row r="2886" ht="20" customHeight="1">
      <c r="A2886" s="21" t="n">
        <v>-18</v>
      </c>
      <c r="B2886" s="21" t="n">
        <v>40</v>
      </c>
      <c r="C2886" s="22" t="n">
        <v>80</v>
      </c>
      <c r="D2886" s="22" t="n">
        <v>2</v>
      </c>
      <c r="E2886" s="23" t="n">
        <v>4</v>
      </c>
      <c r="F2886" s="22" t="n">
        <v>1.5</v>
      </c>
      <c r="G2886" s="23" t="inlineStr">
        <is>
          <t>Oui</t>
        </is>
      </c>
      <c r="H2886" s="23" t="inlineStr">
        <is>
          <t>ON</t>
        </is>
      </c>
      <c r="I2886" s="24" t="n">
        <v>815.012573225423</v>
      </c>
      <c r="J2886" s="24" t="n">
        <v>8308.791548992402</v>
      </c>
      <c r="K2886" s="24" t="n">
        <v>4662.037037037037</v>
      </c>
      <c r="L2886" s="24" t="n">
        <v>150</v>
      </c>
      <c r="M2886" s="24">
        <f>I2886+J2886+K2886+L2886</f>
        <v/>
      </c>
      <c r="N2886" s="24">
        <f>M2886*'Dashboard &amp; Optimisation'!$B$18/('Dashboard &amp; Optimisation'!$B$16/3.6)</f>
        <v/>
      </c>
      <c r="O2886" s="24" t="n">
        <v>1240.328982184341</v>
      </c>
      <c r="P2886" s="25" t="n">
        <v>0.08231647342522849</v>
      </c>
      <c r="Q2886" s="26" t="n">
        <v>8.434509224055622</v>
      </c>
      <c r="R2886" s="24" t="n">
        <v>7319.02279271216</v>
      </c>
      <c r="S2886" s="24">
        <f>R2886*IF(A2886=4, 2.0, 3.0)</f>
        <v/>
      </c>
      <c r="T2886" s="22">
        <f>'Dashboard &amp; Optimisation'!$B$18*U2886</f>
        <v/>
      </c>
      <c r="U2886" s="27">
        <f>MIN(1, S2886/M2886)</f>
        <v/>
      </c>
      <c r="V2886" s="27">
        <f>N2886/(N2886+O2886)</f>
        <v/>
      </c>
      <c r="W2886" s="27">
        <f>U2886*V2886</f>
        <v/>
      </c>
      <c r="X2886" s="25">
        <f>T2886/N2886</f>
        <v/>
      </c>
      <c r="Y2886" s="28">
        <f>IF(W2886=MAXIFS(W$2:W$3601, A$2:A$3601, A2886, B$2:B$3601, B2886), "OPTIMAL", "")</f>
        <v/>
      </c>
    </row>
    <row r="2887" ht="20" customHeight="1">
      <c r="A2887" s="29" t="n">
        <v>-18</v>
      </c>
      <c r="B2887" s="29" t="n">
        <v>40</v>
      </c>
      <c r="C2887" s="30" t="n">
        <v>80</v>
      </c>
      <c r="D2887" s="30" t="n">
        <v>2</v>
      </c>
      <c r="E2887" s="6" t="n">
        <v>4</v>
      </c>
      <c r="F2887" s="30" t="n">
        <v>1.5</v>
      </c>
      <c r="G2887" s="6" t="inlineStr">
        <is>
          <t>Oui</t>
        </is>
      </c>
      <c r="H2887" s="6" t="inlineStr">
        <is>
          <t>OFF</t>
        </is>
      </c>
      <c r="I2887" s="31" t="n">
        <v>815.012573225423</v>
      </c>
      <c r="J2887" s="31" t="n">
        <v>8308.791548992402</v>
      </c>
      <c r="K2887" s="31" t="n">
        <v>4662.037037037037</v>
      </c>
      <c r="L2887" s="31" t="n">
        <v>150</v>
      </c>
      <c r="M2887" s="31">
        <f>I2887+J2887+K2887+L2887</f>
        <v/>
      </c>
      <c r="N2887" s="31">
        <f>M2887*'Dashboard &amp; Optimisation'!$B$18/('Dashboard &amp; Optimisation'!$B$16/3.6)</f>
        <v/>
      </c>
      <c r="O2887" s="31" t="n">
        <v>1240.328982184341</v>
      </c>
      <c r="P2887" s="32" t="n">
        <v>0.3560493820000729</v>
      </c>
      <c r="Q2887" s="33" t="n">
        <v>8.434509224055622</v>
      </c>
      <c r="R2887" s="31" t="n">
        <v>1692.114003486204</v>
      </c>
      <c r="S2887" s="31">
        <f>R2887*IF(A2887=4, 2.0, 3.0)</f>
        <v/>
      </c>
      <c r="T2887" s="30">
        <f>'Dashboard &amp; Optimisation'!$B$18*U2887</f>
        <v/>
      </c>
      <c r="U2887" s="34">
        <f>MIN(1, S2887/M2887)</f>
        <v/>
      </c>
      <c r="V2887" s="34">
        <f>N2887/(N2887+O2887)</f>
        <v/>
      </c>
      <c r="W2887" s="34">
        <f>U2887*V2887</f>
        <v/>
      </c>
      <c r="X2887" s="32">
        <f>T2887/N2887</f>
        <v/>
      </c>
      <c r="Y2887" s="35">
        <f>IF(W2887=MAXIFS(W$2:W$3601, A$2:A$3601, A2887, B$2:B$3601, B2887), "OPTIMAL", "")</f>
        <v/>
      </c>
    </row>
    <row r="2888" ht="20" customHeight="1">
      <c r="A2888" s="21" t="n">
        <v>-18</v>
      </c>
      <c r="B2888" s="21" t="n">
        <v>40</v>
      </c>
      <c r="C2888" s="22" t="n">
        <v>80</v>
      </c>
      <c r="D2888" s="22" t="n">
        <v>2</v>
      </c>
      <c r="E2888" s="23" t="n">
        <v>4</v>
      </c>
      <c r="F2888" s="22" t="n">
        <v>1.5</v>
      </c>
      <c r="G2888" s="23" t="inlineStr">
        <is>
          <t>Non</t>
        </is>
      </c>
      <c r="H2888" s="23" t="inlineStr">
        <is>
          <t>ON</t>
        </is>
      </c>
      <c r="I2888" s="24" t="n">
        <v>815.012573225423</v>
      </c>
      <c r="J2888" s="24" t="n">
        <v>8308.791548992402</v>
      </c>
      <c r="K2888" s="24" t="n">
        <v>4662.037037037037</v>
      </c>
      <c r="L2888" s="24" t="n">
        <v>150</v>
      </c>
      <c r="M2888" s="24">
        <f>I2888+J2888+K2888+L2888</f>
        <v/>
      </c>
      <c r="N2888" s="24">
        <f>M2888*'Dashboard &amp; Optimisation'!$B$18/('Dashboard &amp; Optimisation'!$B$16/3.6)</f>
        <v/>
      </c>
      <c r="O2888" s="24" t="n">
        <v>1240.328982184341</v>
      </c>
      <c r="P2888" s="25" t="n">
        <v>0.07833759984793112</v>
      </c>
      <c r="Q2888" s="26" t="n">
        <v>8.434509224055622</v>
      </c>
      <c r="R2888" s="24" t="n">
        <v>7690.765946167082</v>
      </c>
      <c r="S2888" s="24">
        <f>R2888*IF(A2888=4, 2.0, 3.0)</f>
        <v/>
      </c>
      <c r="T2888" s="22">
        <f>'Dashboard &amp; Optimisation'!$B$18*U2888</f>
        <v/>
      </c>
      <c r="U2888" s="27">
        <f>MIN(1, S2888/M2888)</f>
        <v/>
      </c>
      <c r="V2888" s="27">
        <f>N2888/(N2888+O2888)</f>
        <v/>
      </c>
      <c r="W2888" s="27">
        <f>U2888*V2888</f>
        <v/>
      </c>
      <c r="X2888" s="25">
        <f>T2888/N2888</f>
        <v/>
      </c>
      <c r="Y2888" s="28">
        <f>IF(W2888=MAXIFS(W$2:W$3601, A$2:A$3601, A2888, B$2:B$3601, B2888), "OPTIMAL", "")</f>
        <v/>
      </c>
    </row>
    <row r="2889" ht="20" customHeight="1">
      <c r="A2889" s="29" t="n">
        <v>-18</v>
      </c>
      <c r="B2889" s="29" t="n">
        <v>40</v>
      </c>
      <c r="C2889" s="30" t="n">
        <v>80</v>
      </c>
      <c r="D2889" s="30" t="n">
        <v>2</v>
      </c>
      <c r="E2889" s="6" t="n">
        <v>4</v>
      </c>
      <c r="F2889" s="30" t="n">
        <v>1.5</v>
      </c>
      <c r="G2889" s="6" t="inlineStr">
        <is>
          <t>Non</t>
        </is>
      </c>
      <c r="H2889" s="6" t="inlineStr">
        <is>
          <t>OFF</t>
        </is>
      </c>
      <c r="I2889" s="31" t="n">
        <v>815.012573225423</v>
      </c>
      <c r="J2889" s="31" t="n">
        <v>8308.791548992402</v>
      </c>
      <c r="K2889" s="31" t="n">
        <v>4662.037037037037</v>
      </c>
      <c r="L2889" s="31" t="n">
        <v>150</v>
      </c>
      <c r="M2889" s="31">
        <f>I2889+J2889+K2889+L2889</f>
        <v/>
      </c>
      <c r="N2889" s="31">
        <f>M2889*'Dashboard &amp; Optimisation'!$B$18/('Dashboard &amp; Optimisation'!$B$16/3.6)</f>
        <v/>
      </c>
      <c r="O2889" s="31" t="n">
        <v>1240.328982184341</v>
      </c>
      <c r="P2889" s="32" t="n">
        <v>0.3520705084227755</v>
      </c>
      <c r="Q2889" s="33" t="n">
        <v>8.434509224055622</v>
      </c>
      <c r="R2889" s="31" t="n">
        <v>1711.237183466282</v>
      </c>
      <c r="S2889" s="31">
        <f>R2889*IF(A2889=4, 2.0, 3.0)</f>
        <v/>
      </c>
      <c r="T2889" s="30">
        <f>'Dashboard &amp; Optimisation'!$B$18*U2889</f>
        <v/>
      </c>
      <c r="U2889" s="34">
        <f>MIN(1, S2889/M2889)</f>
        <v/>
      </c>
      <c r="V2889" s="34">
        <f>N2889/(N2889+O2889)</f>
        <v/>
      </c>
      <c r="W2889" s="34">
        <f>U2889*V2889</f>
        <v/>
      </c>
      <c r="X2889" s="32">
        <f>T2889/N2889</f>
        <v/>
      </c>
      <c r="Y2889" s="35">
        <f>IF(W2889=MAXIFS(W$2:W$3601, A$2:A$3601, A2889, B$2:B$3601, B2889), "OPTIMAL", "")</f>
        <v/>
      </c>
    </row>
    <row r="2890" ht="20" customHeight="1">
      <c r="A2890" s="21" t="n">
        <v>-18</v>
      </c>
      <c r="B2890" s="21" t="n">
        <v>40</v>
      </c>
      <c r="C2890" s="22" t="n">
        <v>80</v>
      </c>
      <c r="D2890" s="22" t="n">
        <v>2</v>
      </c>
      <c r="E2890" s="23" t="n">
        <v>4</v>
      </c>
      <c r="F2890" s="22" t="n">
        <v>2</v>
      </c>
      <c r="G2890" s="23" t="inlineStr">
        <is>
          <t>Oui</t>
        </is>
      </c>
      <c r="H2890" s="23" t="inlineStr">
        <is>
          <t>ON</t>
        </is>
      </c>
      <c r="I2890" s="24" t="n">
        <v>815.012573225423</v>
      </c>
      <c r="J2890" s="24" t="n">
        <v>8308.791548992402</v>
      </c>
      <c r="K2890" s="24" t="n">
        <v>4662.037037037037</v>
      </c>
      <c r="L2890" s="24" t="n">
        <v>150</v>
      </c>
      <c r="M2890" s="24">
        <f>I2890+J2890+K2890+L2890</f>
        <v/>
      </c>
      <c r="N2890" s="24">
        <f>M2890*'Dashboard &amp; Optimisation'!$B$18/('Dashboard &amp; Optimisation'!$B$16/3.6)</f>
        <v/>
      </c>
      <c r="O2890" s="24" t="n">
        <v>1407.688973370465</v>
      </c>
      <c r="P2890" s="25" t="n">
        <v>0.08027381372050572</v>
      </c>
      <c r="Q2890" s="26" t="n">
        <v>11.17934563207416</v>
      </c>
      <c r="R2890" s="24" t="n">
        <v>7611.551306235071</v>
      </c>
      <c r="S2890" s="24">
        <f>R2890*IF(A2890=4, 2.0, 3.0)</f>
        <v/>
      </c>
      <c r="T2890" s="22">
        <f>'Dashboard &amp; Optimisation'!$B$18*U2890</f>
        <v/>
      </c>
      <c r="U2890" s="27">
        <f>MIN(1, S2890/M2890)</f>
        <v/>
      </c>
      <c r="V2890" s="27">
        <f>N2890/(N2890+O2890)</f>
        <v/>
      </c>
      <c r="W2890" s="27">
        <f>U2890*V2890</f>
        <v/>
      </c>
      <c r="X2890" s="25">
        <f>T2890/N2890</f>
        <v/>
      </c>
      <c r="Y2890" s="28">
        <f>IF(W2890=MAXIFS(W$2:W$3601, A$2:A$3601, A2890, B$2:B$3601, B2890), "OPTIMAL", "")</f>
        <v/>
      </c>
    </row>
    <row r="2891" ht="20" customHeight="1">
      <c r="A2891" s="29" t="n">
        <v>-18</v>
      </c>
      <c r="B2891" s="29" t="n">
        <v>40</v>
      </c>
      <c r="C2891" s="30" t="n">
        <v>80</v>
      </c>
      <c r="D2891" s="30" t="n">
        <v>2</v>
      </c>
      <c r="E2891" s="6" t="n">
        <v>4</v>
      </c>
      <c r="F2891" s="30" t="n">
        <v>2</v>
      </c>
      <c r="G2891" s="6" t="inlineStr">
        <is>
          <t>Oui</t>
        </is>
      </c>
      <c r="H2891" s="6" t="inlineStr">
        <is>
          <t>OFF</t>
        </is>
      </c>
      <c r="I2891" s="31" t="n">
        <v>815.012573225423</v>
      </c>
      <c r="J2891" s="31" t="n">
        <v>8308.791548992402</v>
      </c>
      <c r="K2891" s="31" t="n">
        <v>4662.037037037037</v>
      </c>
      <c r="L2891" s="31" t="n">
        <v>150</v>
      </c>
      <c r="M2891" s="31">
        <f>I2891+J2891+K2891+L2891</f>
        <v/>
      </c>
      <c r="N2891" s="31">
        <f>M2891*'Dashboard &amp; Optimisation'!$B$18/('Dashboard &amp; Optimisation'!$B$16/3.6)</f>
        <v/>
      </c>
      <c r="O2891" s="31" t="n">
        <v>1407.688973370465</v>
      </c>
      <c r="P2891" s="32" t="n">
        <v>0.355510990994127</v>
      </c>
      <c r="Q2891" s="33" t="n">
        <v>11.17934563207416</v>
      </c>
      <c r="R2891" s="31" t="n">
        <v>1718.676122986251</v>
      </c>
      <c r="S2891" s="31">
        <f>R2891*IF(A2891=4, 2.0, 3.0)</f>
        <v/>
      </c>
      <c r="T2891" s="30">
        <f>'Dashboard &amp; Optimisation'!$B$18*U2891</f>
        <v/>
      </c>
      <c r="U2891" s="34">
        <f>MIN(1, S2891/M2891)</f>
        <v/>
      </c>
      <c r="V2891" s="34">
        <f>N2891/(N2891+O2891)</f>
        <v/>
      </c>
      <c r="W2891" s="34">
        <f>U2891*V2891</f>
        <v/>
      </c>
      <c r="X2891" s="32">
        <f>T2891/N2891</f>
        <v/>
      </c>
      <c r="Y2891" s="35">
        <f>IF(W2891=MAXIFS(W$2:W$3601, A$2:A$3601, A2891, B$2:B$3601, B2891), "OPTIMAL", "")</f>
        <v/>
      </c>
    </row>
    <row r="2892" ht="20" customHeight="1">
      <c r="A2892" s="21" t="n">
        <v>-18</v>
      </c>
      <c r="B2892" s="21" t="n">
        <v>40</v>
      </c>
      <c r="C2892" s="22" t="n">
        <v>80</v>
      </c>
      <c r="D2892" s="22" t="n">
        <v>2</v>
      </c>
      <c r="E2892" s="23" t="n">
        <v>4</v>
      </c>
      <c r="F2892" s="22" t="n">
        <v>2</v>
      </c>
      <c r="G2892" s="23" t="inlineStr">
        <is>
          <t>Non</t>
        </is>
      </c>
      <c r="H2892" s="23" t="inlineStr">
        <is>
          <t>ON</t>
        </is>
      </c>
      <c r="I2892" s="24" t="n">
        <v>815.012573225423</v>
      </c>
      <c r="J2892" s="24" t="n">
        <v>8308.791548992402</v>
      </c>
      <c r="K2892" s="24" t="n">
        <v>4662.037037037037</v>
      </c>
      <c r="L2892" s="24" t="n">
        <v>150</v>
      </c>
      <c r="M2892" s="24">
        <f>I2892+J2892+K2892+L2892</f>
        <v/>
      </c>
      <c r="N2892" s="24">
        <f>M2892*'Dashboard &amp; Optimisation'!$B$18/('Dashboard &amp; Optimisation'!$B$16/3.6)</f>
        <v/>
      </c>
      <c r="O2892" s="24" t="n">
        <v>1407.688973370465</v>
      </c>
      <c r="P2892" s="25" t="n">
        <v>0.07629494014320834</v>
      </c>
      <c r="Q2892" s="26" t="n">
        <v>11.17934563207416</v>
      </c>
      <c r="R2892" s="24" t="n">
        <v>8008.502929996428</v>
      </c>
      <c r="S2892" s="24">
        <f>R2892*IF(A2892=4, 2.0, 3.0)</f>
        <v/>
      </c>
      <c r="T2892" s="22">
        <f>'Dashboard &amp; Optimisation'!$B$18*U2892</f>
        <v/>
      </c>
      <c r="U2892" s="27">
        <f>MIN(1, S2892/M2892)</f>
        <v/>
      </c>
      <c r="V2892" s="27">
        <f>N2892/(N2892+O2892)</f>
        <v/>
      </c>
      <c r="W2892" s="27">
        <f>U2892*V2892</f>
        <v/>
      </c>
      <c r="X2892" s="25">
        <f>T2892/N2892</f>
        <v/>
      </c>
      <c r="Y2892" s="28">
        <f>IF(W2892=MAXIFS(W$2:W$3601, A$2:A$3601, A2892, B$2:B$3601, B2892), "OPTIMAL", "")</f>
        <v/>
      </c>
    </row>
    <row r="2893" ht="20" customHeight="1">
      <c r="A2893" s="29" t="n">
        <v>-18</v>
      </c>
      <c r="B2893" s="29" t="n">
        <v>40</v>
      </c>
      <c r="C2893" s="30" t="n">
        <v>80</v>
      </c>
      <c r="D2893" s="30" t="n">
        <v>2</v>
      </c>
      <c r="E2893" s="6" t="n">
        <v>4</v>
      </c>
      <c r="F2893" s="30" t="n">
        <v>2</v>
      </c>
      <c r="G2893" s="6" t="inlineStr">
        <is>
          <t>Non</t>
        </is>
      </c>
      <c r="H2893" s="6" t="inlineStr">
        <is>
          <t>OFF</t>
        </is>
      </c>
      <c r="I2893" s="31" t="n">
        <v>815.012573225423</v>
      </c>
      <c r="J2893" s="31" t="n">
        <v>8308.791548992402</v>
      </c>
      <c r="K2893" s="31" t="n">
        <v>4662.037037037037</v>
      </c>
      <c r="L2893" s="31" t="n">
        <v>150</v>
      </c>
      <c r="M2893" s="31">
        <f>I2893+J2893+K2893+L2893</f>
        <v/>
      </c>
      <c r="N2893" s="31">
        <f>M2893*'Dashboard &amp; Optimisation'!$B$18/('Dashboard &amp; Optimisation'!$B$16/3.6)</f>
        <v/>
      </c>
      <c r="O2893" s="31" t="n">
        <v>1407.688973370465</v>
      </c>
      <c r="P2893" s="32" t="n">
        <v>0.3515321174168297</v>
      </c>
      <c r="Q2893" s="33" t="n">
        <v>11.17934563207416</v>
      </c>
      <c r="R2893" s="31" t="n">
        <v>1738.129238860648</v>
      </c>
      <c r="S2893" s="31">
        <f>R2893*IF(A2893=4, 2.0, 3.0)</f>
        <v/>
      </c>
      <c r="T2893" s="30">
        <f>'Dashboard &amp; Optimisation'!$B$18*U2893</f>
        <v/>
      </c>
      <c r="U2893" s="34">
        <f>MIN(1, S2893/M2893)</f>
        <v/>
      </c>
      <c r="V2893" s="34">
        <f>N2893/(N2893+O2893)</f>
        <v/>
      </c>
      <c r="W2893" s="34">
        <f>U2893*V2893</f>
        <v/>
      </c>
      <c r="X2893" s="32">
        <f>T2893/N2893</f>
        <v/>
      </c>
      <c r="Y2893" s="35">
        <f>IF(W2893=MAXIFS(W$2:W$3601, A$2:A$3601, A2893, B$2:B$3601, B2893), "OPTIMAL", "")</f>
        <v/>
      </c>
    </row>
    <row r="2894" ht="20" customHeight="1">
      <c r="A2894" s="21" t="n">
        <v>-18</v>
      </c>
      <c r="B2894" s="21" t="n">
        <v>40</v>
      </c>
      <c r="C2894" s="22" t="n">
        <v>80</v>
      </c>
      <c r="D2894" s="22" t="n">
        <v>2</v>
      </c>
      <c r="E2894" s="23" t="n">
        <v>8</v>
      </c>
      <c r="F2894" s="22" t="n">
        <v>1.5</v>
      </c>
      <c r="G2894" s="23" t="inlineStr">
        <is>
          <t>Oui</t>
        </is>
      </c>
      <c r="H2894" s="23" t="inlineStr">
        <is>
          <t>ON</t>
        </is>
      </c>
      <c r="I2894" s="24" t="n">
        <v>815.012573225423</v>
      </c>
      <c r="J2894" s="24" t="n">
        <v>8308.791548992402</v>
      </c>
      <c r="K2894" s="24" t="n">
        <v>4662.037037037037</v>
      </c>
      <c r="L2894" s="24" t="n">
        <v>150</v>
      </c>
      <c r="M2894" s="24">
        <f>I2894+J2894+K2894+L2894</f>
        <v/>
      </c>
      <c r="N2894" s="24">
        <f>M2894*'Dashboard &amp; Optimisation'!$B$18/('Dashboard &amp; Optimisation'!$B$16/3.6)</f>
        <v/>
      </c>
      <c r="O2894" s="24" t="n">
        <v>1757.04411964197</v>
      </c>
      <c r="P2894" s="25" t="n">
        <v>0.06145178783543291</v>
      </c>
      <c r="Q2894" s="26" t="n">
        <v>16.66901844811125</v>
      </c>
      <c r="R2894" s="24" t="n">
        <v>10232.71406166662</v>
      </c>
      <c r="S2894" s="24">
        <f>R2894*IF(A2894=4, 2.0, 3.0)</f>
        <v/>
      </c>
      <c r="T2894" s="22">
        <f>'Dashboard &amp; Optimisation'!$B$18*U2894</f>
        <v/>
      </c>
      <c r="U2894" s="27">
        <f>MIN(1, S2894/M2894)</f>
        <v/>
      </c>
      <c r="V2894" s="27">
        <f>N2894/(N2894+O2894)</f>
        <v/>
      </c>
      <c r="W2894" s="27">
        <f>U2894*V2894</f>
        <v/>
      </c>
      <c r="X2894" s="25">
        <f>T2894/N2894</f>
        <v/>
      </c>
      <c r="Y2894" s="28">
        <f>IF(W2894=MAXIFS(W$2:W$3601, A$2:A$3601, A2894, B$2:B$3601, B2894), "OPTIMAL", "")</f>
        <v/>
      </c>
    </row>
    <row r="2895" ht="20" customHeight="1">
      <c r="A2895" s="29" t="n">
        <v>-18</v>
      </c>
      <c r="B2895" s="29" t="n">
        <v>40</v>
      </c>
      <c r="C2895" s="30" t="n">
        <v>80</v>
      </c>
      <c r="D2895" s="30" t="n">
        <v>2</v>
      </c>
      <c r="E2895" s="6" t="n">
        <v>8</v>
      </c>
      <c r="F2895" s="30" t="n">
        <v>1.5</v>
      </c>
      <c r="G2895" s="6" t="inlineStr">
        <is>
          <t>Oui</t>
        </is>
      </c>
      <c r="H2895" s="6" t="inlineStr">
        <is>
          <t>OFF</t>
        </is>
      </c>
      <c r="I2895" s="31" t="n">
        <v>815.012573225423</v>
      </c>
      <c r="J2895" s="31" t="n">
        <v>8308.791548992402</v>
      </c>
      <c r="K2895" s="31" t="n">
        <v>4662.037037037037</v>
      </c>
      <c r="L2895" s="31" t="n">
        <v>150</v>
      </c>
      <c r="M2895" s="31">
        <f>I2895+J2895+K2895+L2895</f>
        <v/>
      </c>
      <c r="N2895" s="31">
        <f>M2895*'Dashboard &amp; Optimisation'!$B$18/('Dashboard &amp; Optimisation'!$B$16/3.6)</f>
        <v/>
      </c>
      <c r="O2895" s="31" t="n">
        <v>1757.04411964197</v>
      </c>
      <c r="P2895" s="32" t="n">
        <v>0.2700829218988253</v>
      </c>
      <c r="Q2895" s="33" t="n">
        <v>16.66901844811125</v>
      </c>
      <c r="R2895" s="31" t="n">
        <v>2328.242634066835</v>
      </c>
      <c r="S2895" s="31">
        <f>R2895*IF(A2895=4, 2.0, 3.0)</f>
        <v/>
      </c>
      <c r="T2895" s="30">
        <f>'Dashboard &amp; Optimisation'!$B$18*U2895</f>
        <v/>
      </c>
      <c r="U2895" s="34">
        <f>MIN(1, S2895/M2895)</f>
        <v/>
      </c>
      <c r="V2895" s="34">
        <f>N2895/(N2895+O2895)</f>
        <v/>
      </c>
      <c r="W2895" s="34">
        <f>U2895*V2895</f>
        <v/>
      </c>
      <c r="X2895" s="32">
        <f>T2895/N2895</f>
        <v/>
      </c>
      <c r="Y2895" s="35">
        <f>IF(W2895=MAXIFS(W$2:W$3601, A$2:A$3601, A2895, B$2:B$3601, B2895), "OPTIMAL", "")</f>
        <v/>
      </c>
    </row>
    <row r="2896" ht="20" customHeight="1">
      <c r="A2896" s="21" t="n">
        <v>-18</v>
      </c>
      <c r="B2896" s="21" t="n">
        <v>40</v>
      </c>
      <c r="C2896" s="22" t="n">
        <v>80</v>
      </c>
      <c r="D2896" s="22" t="n">
        <v>2</v>
      </c>
      <c r="E2896" s="23" t="n">
        <v>8</v>
      </c>
      <c r="F2896" s="22" t="n">
        <v>1.5</v>
      </c>
      <c r="G2896" s="23" t="inlineStr">
        <is>
          <t>Non</t>
        </is>
      </c>
      <c r="H2896" s="23" t="inlineStr">
        <is>
          <t>ON</t>
        </is>
      </c>
      <c r="I2896" s="24" t="n">
        <v>815.012573225423</v>
      </c>
      <c r="J2896" s="24" t="n">
        <v>8308.791548992402</v>
      </c>
      <c r="K2896" s="24" t="n">
        <v>4662.037037037037</v>
      </c>
      <c r="L2896" s="24" t="n">
        <v>150</v>
      </c>
      <c r="M2896" s="24">
        <f>I2896+J2896+K2896+L2896</f>
        <v/>
      </c>
      <c r="N2896" s="24">
        <f>M2896*'Dashboard &amp; Optimisation'!$B$18/('Dashboard &amp; Optimisation'!$B$16/3.6)</f>
        <v/>
      </c>
      <c r="O2896" s="24" t="n">
        <v>1757.04411964197</v>
      </c>
      <c r="P2896" s="25" t="n">
        <v>0.05747291425813553</v>
      </c>
      <c r="Q2896" s="26" t="n">
        <v>16.66901844811125</v>
      </c>
      <c r="R2896" s="24" t="n">
        <v>10941.1290799331</v>
      </c>
      <c r="S2896" s="24">
        <f>R2896*IF(A2896=4, 2.0, 3.0)</f>
        <v/>
      </c>
      <c r="T2896" s="22">
        <f>'Dashboard &amp; Optimisation'!$B$18*U2896</f>
        <v/>
      </c>
      <c r="U2896" s="27">
        <f>MIN(1, S2896/M2896)</f>
        <v/>
      </c>
      <c r="V2896" s="27">
        <f>N2896/(N2896+O2896)</f>
        <v/>
      </c>
      <c r="W2896" s="27">
        <f>U2896*V2896</f>
        <v/>
      </c>
      <c r="X2896" s="25">
        <f>T2896/N2896</f>
        <v/>
      </c>
      <c r="Y2896" s="28">
        <f>IF(W2896=MAXIFS(W$2:W$3601, A$2:A$3601, A2896, B$2:B$3601, B2896), "OPTIMAL", "")</f>
        <v/>
      </c>
    </row>
    <row r="2897" ht="20" customHeight="1">
      <c r="A2897" s="29" t="n">
        <v>-18</v>
      </c>
      <c r="B2897" s="29" t="n">
        <v>40</v>
      </c>
      <c r="C2897" s="30" t="n">
        <v>80</v>
      </c>
      <c r="D2897" s="30" t="n">
        <v>2</v>
      </c>
      <c r="E2897" s="6" t="n">
        <v>8</v>
      </c>
      <c r="F2897" s="30" t="n">
        <v>1.5</v>
      </c>
      <c r="G2897" s="6" t="inlineStr">
        <is>
          <t>Non</t>
        </is>
      </c>
      <c r="H2897" s="6" t="inlineStr">
        <is>
          <t>OFF</t>
        </is>
      </c>
      <c r="I2897" s="31" t="n">
        <v>815.012573225423</v>
      </c>
      <c r="J2897" s="31" t="n">
        <v>8308.791548992402</v>
      </c>
      <c r="K2897" s="31" t="n">
        <v>4662.037037037037</v>
      </c>
      <c r="L2897" s="31" t="n">
        <v>150</v>
      </c>
      <c r="M2897" s="31">
        <f>I2897+J2897+K2897+L2897</f>
        <v/>
      </c>
      <c r="N2897" s="31">
        <f>M2897*'Dashboard &amp; Optimisation'!$B$18/('Dashboard &amp; Optimisation'!$B$16/3.6)</f>
        <v/>
      </c>
      <c r="O2897" s="31" t="n">
        <v>1757.04411964197</v>
      </c>
      <c r="P2897" s="32" t="n">
        <v>0.2661040483215279</v>
      </c>
      <c r="Q2897" s="33" t="n">
        <v>16.66901844811125</v>
      </c>
      <c r="R2897" s="31" t="n">
        <v>2363.055269036719</v>
      </c>
      <c r="S2897" s="31">
        <f>R2897*IF(A2897=4, 2.0, 3.0)</f>
        <v/>
      </c>
      <c r="T2897" s="30">
        <f>'Dashboard &amp; Optimisation'!$B$18*U2897</f>
        <v/>
      </c>
      <c r="U2897" s="34">
        <f>MIN(1, S2897/M2897)</f>
        <v/>
      </c>
      <c r="V2897" s="34">
        <f>N2897/(N2897+O2897)</f>
        <v/>
      </c>
      <c r="W2897" s="34">
        <f>U2897*V2897</f>
        <v/>
      </c>
      <c r="X2897" s="32">
        <f>T2897/N2897</f>
        <v/>
      </c>
      <c r="Y2897" s="35">
        <f>IF(W2897=MAXIFS(W$2:W$3601, A$2:A$3601, A2897, B$2:B$3601, B2897), "OPTIMAL", "")</f>
        <v/>
      </c>
    </row>
    <row r="2898" ht="20" customHeight="1">
      <c r="A2898" s="21" t="n">
        <v>-18</v>
      </c>
      <c r="B2898" s="21" t="n">
        <v>40</v>
      </c>
      <c r="C2898" s="22" t="n">
        <v>80</v>
      </c>
      <c r="D2898" s="22" t="n">
        <v>2</v>
      </c>
      <c r="E2898" s="23" t="n">
        <v>8</v>
      </c>
      <c r="F2898" s="22" t="n">
        <v>2</v>
      </c>
      <c r="G2898" s="23" t="inlineStr">
        <is>
          <t>Oui</t>
        </is>
      </c>
      <c r="H2898" s="23" t="inlineStr">
        <is>
          <t>ON</t>
        </is>
      </c>
      <c r="I2898" s="24" t="n">
        <v>815.012573225423</v>
      </c>
      <c r="J2898" s="24" t="n">
        <v>8308.791548992402</v>
      </c>
      <c r="K2898" s="24" t="n">
        <v>4662.037037037037</v>
      </c>
      <c r="L2898" s="24" t="n">
        <v>150</v>
      </c>
      <c r="M2898" s="24">
        <f>I2898+J2898+K2898+L2898</f>
        <v/>
      </c>
      <c r="N2898" s="24">
        <f>M2898*'Dashboard &amp; Optimisation'!$B$18/('Dashboard &amp; Optimisation'!$B$16/3.6)</f>
        <v/>
      </c>
      <c r="O2898" s="24" t="n">
        <v>2127.377517085369</v>
      </c>
      <c r="P2898" s="25" t="n">
        <v>0.06058998977604487</v>
      </c>
      <c r="Q2898" s="26" t="n">
        <v>22.15869126414833</v>
      </c>
      <c r="R2898" s="24" t="n">
        <v>10689.85785855945</v>
      </c>
      <c r="S2898" s="24">
        <f>R2898*IF(A2898=4, 2.0, 3.0)</f>
        <v/>
      </c>
      <c r="T2898" s="22">
        <f>'Dashboard &amp; Optimisation'!$B$18*U2898</f>
        <v/>
      </c>
      <c r="U2898" s="27">
        <f>MIN(1, S2898/M2898)</f>
        <v/>
      </c>
      <c r="V2898" s="27">
        <f>N2898/(N2898+O2898)</f>
        <v/>
      </c>
      <c r="W2898" s="27">
        <f>U2898*V2898</f>
        <v/>
      </c>
      <c r="X2898" s="25">
        <f>T2898/N2898</f>
        <v/>
      </c>
      <c r="Y2898" s="28">
        <f>IF(W2898=MAXIFS(W$2:W$3601, A$2:A$3601, A2898, B$2:B$3601, B2898), "OPTIMAL", "")</f>
        <v/>
      </c>
    </row>
    <row r="2899" ht="20" customHeight="1">
      <c r="A2899" s="29" t="n">
        <v>-18</v>
      </c>
      <c r="B2899" s="29" t="n">
        <v>40</v>
      </c>
      <c r="C2899" s="30" t="n">
        <v>80</v>
      </c>
      <c r="D2899" s="30" t="n">
        <v>2</v>
      </c>
      <c r="E2899" s="6" t="n">
        <v>8</v>
      </c>
      <c r="F2899" s="30" t="n">
        <v>2</v>
      </c>
      <c r="G2899" s="6" t="inlineStr">
        <is>
          <t>Oui</t>
        </is>
      </c>
      <c r="H2899" s="6" t="inlineStr">
        <is>
          <t>OFF</t>
        </is>
      </c>
      <c r="I2899" s="31" t="n">
        <v>815.012573225423</v>
      </c>
      <c r="J2899" s="31" t="n">
        <v>8308.791548992402</v>
      </c>
      <c r="K2899" s="31" t="n">
        <v>4662.037037037037</v>
      </c>
      <c r="L2899" s="31" t="n">
        <v>150</v>
      </c>
      <c r="M2899" s="31">
        <f>I2899+J2899+K2899+L2899</f>
        <v/>
      </c>
      <c r="N2899" s="31">
        <f>M2899*'Dashboard &amp; Optimisation'!$B$18/('Dashboard &amp; Optimisation'!$B$16/3.6)</f>
        <v/>
      </c>
      <c r="O2899" s="31" t="n">
        <v>2127.377517085369</v>
      </c>
      <c r="P2899" s="32" t="n">
        <v>0.2709744149858122</v>
      </c>
      <c r="Q2899" s="33" t="n">
        <v>22.15869126414833</v>
      </c>
      <c r="R2899" s="31" t="n">
        <v>2390.256579726917</v>
      </c>
      <c r="S2899" s="31">
        <f>R2899*IF(A2899=4, 2.0, 3.0)</f>
        <v/>
      </c>
      <c r="T2899" s="30">
        <f>'Dashboard &amp; Optimisation'!$B$18*U2899</f>
        <v/>
      </c>
      <c r="U2899" s="34">
        <f>MIN(1, S2899/M2899)</f>
        <v/>
      </c>
      <c r="V2899" s="34">
        <f>N2899/(N2899+O2899)</f>
        <v/>
      </c>
      <c r="W2899" s="34">
        <f>U2899*V2899</f>
        <v/>
      </c>
      <c r="X2899" s="32">
        <f>T2899/N2899</f>
        <v/>
      </c>
      <c r="Y2899" s="35">
        <f>IF(W2899=MAXIFS(W$2:W$3601, A$2:A$3601, A2899, B$2:B$3601, B2899), "OPTIMAL", "")</f>
        <v/>
      </c>
    </row>
    <row r="2900" ht="20" customHeight="1">
      <c r="A2900" s="21" t="n">
        <v>-18</v>
      </c>
      <c r="B2900" s="21" t="n">
        <v>40</v>
      </c>
      <c r="C2900" s="22" t="n">
        <v>80</v>
      </c>
      <c r="D2900" s="22" t="n">
        <v>2</v>
      </c>
      <c r="E2900" s="23" t="n">
        <v>8</v>
      </c>
      <c r="F2900" s="22" t="n">
        <v>2</v>
      </c>
      <c r="G2900" s="23" t="inlineStr">
        <is>
          <t>Non</t>
        </is>
      </c>
      <c r="H2900" s="23" t="inlineStr">
        <is>
          <t>ON</t>
        </is>
      </c>
      <c r="I2900" s="24" t="n">
        <v>815.012573225423</v>
      </c>
      <c r="J2900" s="24" t="n">
        <v>8308.791548992402</v>
      </c>
      <c r="K2900" s="24" t="n">
        <v>4662.037037037037</v>
      </c>
      <c r="L2900" s="24" t="n">
        <v>150</v>
      </c>
      <c r="M2900" s="24">
        <f>I2900+J2900+K2900+L2900</f>
        <v/>
      </c>
      <c r="N2900" s="24">
        <f>M2900*'Dashboard &amp; Optimisation'!$B$18/('Dashboard &amp; Optimisation'!$B$16/3.6)</f>
        <v/>
      </c>
      <c r="O2900" s="24" t="n">
        <v>2127.377517085369</v>
      </c>
      <c r="P2900" s="25" t="n">
        <v>0.05661111619874749</v>
      </c>
      <c r="Q2900" s="26" t="n">
        <v>22.15869126414833</v>
      </c>
      <c r="R2900" s="24" t="n">
        <v>11441.18720577037</v>
      </c>
      <c r="S2900" s="24">
        <f>R2900*IF(A2900=4, 2.0, 3.0)</f>
        <v/>
      </c>
      <c r="T2900" s="22">
        <f>'Dashboard &amp; Optimisation'!$B$18*U2900</f>
        <v/>
      </c>
      <c r="U2900" s="27">
        <f>MIN(1, S2900/M2900)</f>
        <v/>
      </c>
      <c r="V2900" s="27">
        <f>N2900/(N2900+O2900)</f>
        <v/>
      </c>
      <c r="W2900" s="27">
        <f>U2900*V2900</f>
        <v/>
      </c>
      <c r="X2900" s="25">
        <f>T2900/N2900</f>
        <v/>
      </c>
      <c r="Y2900" s="28">
        <f>IF(W2900=MAXIFS(W$2:W$3601, A$2:A$3601, A2900, B$2:B$3601, B2900), "OPTIMAL", "")</f>
        <v/>
      </c>
    </row>
    <row r="2901" ht="20" customHeight="1">
      <c r="A2901" s="29" t="n">
        <v>-18</v>
      </c>
      <c r="B2901" s="29" t="n">
        <v>40</v>
      </c>
      <c r="C2901" s="30" t="n">
        <v>80</v>
      </c>
      <c r="D2901" s="30" t="n">
        <v>2</v>
      </c>
      <c r="E2901" s="6" t="n">
        <v>8</v>
      </c>
      <c r="F2901" s="30" t="n">
        <v>2</v>
      </c>
      <c r="G2901" s="6" t="inlineStr">
        <is>
          <t>Non</t>
        </is>
      </c>
      <c r="H2901" s="6" t="inlineStr">
        <is>
          <t>OFF</t>
        </is>
      </c>
      <c r="I2901" s="31" t="n">
        <v>815.012573225423</v>
      </c>
      <c r="J2901" s="31" t="n">
        <v>8308.791548992402</v>
      </c>
      <c r="K2901" s="31" t="n">
        <v>4662.037037037037</v>
      </c>
      <c r="L2901" s="31" t="n">
        <v>150</v>
      </c>
      <c r="M2901" s="31">
        <f>I2901+J2901+K2901+L2901</f>
        <v/>
      </c>
      <c r="N2901" s="31">
        <f>M2901*'Dashboard &amp; Optimisation'!$B$18/('Dashboard &amp; Optimisation'!$B$16/3.6)</f>
        <v/>
      </c>
      <c r="O2901" s="31" t="n">
        <v>2127.377517085369</v>
      </c>
      <c r="P2901" s="32" t="n">
        <v>0.2669955414085148</v>
      </c>
      <c r="Q2901" s="33" t="n">
        <v>22.15869126414833</v>
      </c>
      <c r="R2901" s="31" t="n">
        <v>2425.877132406803</v>
      </c>
      <c r="S2901" s="31">
        <f>R2901*IF(A2901=4, 2.0, 3.0)</f>
        <v/>
      </c>
      <c r="T2901" s="30">
        <f>'Dashboard &amp; Optimisation'!$B$18*U2901</f>
        <v/>
      </c>
      <c r="U2901" s="34">
        <f>MIN(1, S2901/M2901)</f>
        <v/>
      </c>
      <c r="V2901" s="34">
        <f>N2901/(N2901+O2901)</f>
        <v/>
      </c>
      <c r="W2901" s="34">
        <f>U2901*V2901</f>
        <v/>
      </c>
      <c r="X2901" s="32">
        <f>T2901/N2901</f>
        <v/>
      </c>
      <c r="Y2901" s="35">
        <f>IF(W2901=MAXIFS(W$2:W$3601, A$2:A$3601, A2901, B$2:B$3601, B2901), "OPTIMAL", "")</f>
        <v/>
      </c>
    </row>
    <row r="2902" ht="20" customHeight="1">
      <c r="A2902" s="21" t="n">
        <v>-18</v>
      </c>
      <c r="B2902" s="21" t="n">
        <v>40</v>
      </c>
      <c r="C2902" s="22" t="n">
        <v>80</v>
      </c>
      <c r="D2902" s="22" t="n">
        <v>3</v>
      </c>
      <c r="E2902" s="23" t="n">
        <v>0</v>
      </c>
      <c r="F2902" s="22" t="n">
        <v>0</v>
      </c>
      <c r="G2902" s="23" t="inlineStr">
        <is>
          <t>Oui</t>
        </is>
      </c>
      <c r="H2902" s="23" t="inlineStr">
        <is>
          <t>ON</t>
        </is>
      </c>
      <c r="I2902" s="24" t="n">
        <v>815.012573225423</v>
      </c>
      <c r="J2902" s="24" t="n">
        <v>8308.791548992402</v>
      </c>
      <c r="K2902" s="24" t="n">
        <v>4662.037037037037</v>
      </c>
      <c r="L2902" s="24" t="n">
        <v>150</v>
      </c>
      <c r="M2902" s="24">
        <f>I2902+J2902+K2902+L2902</f>
        <v/>
      </c>
      <c r="N2902" s="24">
        <f>M2902*'Dashboard &amp; Optimisation'!$B$18/('Dashboard &amp; Optimisation'!$B$16/3.6)</f>
        <v/>
      </c>
      <c r="O2902" s="24" t="n">
        <v>1195.106312864146</v>
      </c>
      <c r="P2902" s="25" t="n">
        <v>0.5013985973965238</v>
      </c>
      <c r="Q2902" s="26" t="n">
        <v>0.2</v>
      </c>
      <c r="R2902" s="24" t="n">
        <v>1216.459932995926</v>
      </c>
      <c r="S2902" s="24">
        <f>R2902*IF(A2902=4, 2.0, 3.0)</f>
        <v/>
      </c>
      <c r="T2902" s="22">
        <f>'Dashboard &amp; Optimisation'!$B$18*U2902</f>
        <v/>
      </c>
      <c r="U2902" s="27">
        <f>MIN(1, S2902/M2902)</f>
        <v/>
      </c>
      <c r="V2902" s="27">
        <f>N2902/(N2902+O2902)</f>
        <v/>
      </c>
      <c r="W2902" s="27">
        <f>U2902*V2902</f>
        <v/>
      </c>
      <c r="X2902" s="25">
        <f>T2902/N2902</f>
        <v/>
      </c>
      <c r="Y2902" s="28">
        <f>IF(W2902=MAXIFS(W$2:W$3601, A$2:A$3601, A2902, B$2:B$3601, B2902), "OPTIMAL", "")</f>
        <v/>
      </c>
    </row>
    <row r="2903" ht="20" customHeight="1">
      <c r="A2903" s="29" t="n">
        <v>-18</v>
      </c>
      <c r="B2903" s="29" t="n">
        <v>40</v>
      </c>
      <c r="C2903" s="30" t="n">
        <v>80</v>
      </c>
      <c r="D2903" s="30" t="n">
        <v>3</v>
      </c>
      <c r="E2903" s="6" t="n">
        <v>0</v>
      </c>
      <c r="F2903" s="30" t="n">
        <v>0</v>
      </c>
      <c r="G2903" s="6" t="inlineStr">
        <is>
          <t>Oui</t>
        </is>
      </c>
      <c r="H2903" s="6" t="inlineStr">
        <is>
          <t>OFF</t>
        </is>
      </c>
      <c r="I2903" s="31" t="n">
        <v>815.012573225423</v>
      </c>
      <c r="J2903" s="31" t="n">
        <v>8308.791548992402</v>
      </c>
      <c r="K2903" s="31" t="n">
        <v>4662.037037037037</v>
      </c>
      <c r="L2903" s="31" t="n">
        <v>150</v>
      </c>
      <c r="M2903" s="31">
        <f>I2903+J2903+K2903+L2903</f>
        <v/>
      </c>
      <c r="N2903" s="31">
        <f>M2903*'Dashboard &amp; Optimisation'!$B$18/('Dashboard &amp; Optimisation'!$B$16/3.6)</f>
        <v/>
      </c>
      <c r="O2903" s="31" t="n">
        <v>1195.106312864146</v>
      </c>
      <c r="P2903" s="32" t="n">
        <v>0.8992859551262622</v>
      </c>
      <c r="Q2903" s="33" t="n">
        <v>0.2</v>
      </c>
      <c r="R2903" s="31" t="n">
        <v>678.2395529657645</v>
      </c>
      <c r="S2903" s="31">
        <f>R2903*IF(A2903=4, 2.0, 3.0)</f>
        <v/>
      </c>
      <c r="T2903" s="30">
        <f>'Dashboard &amp; Optimisation'!$B$18*U2903</f>
        <v/>
      </c>
      <c r="U2903" s="34">
        <f>MIN(1, S2903/M2903)</f>
        <v/>
      </c>
      <c r="V2903" s="34">
        <f>N2903/(N2903+O2903)</f>
        <v/>
      </c>
      <c r="W2903" s="34">
        <f>U2903*V2903</f>
        <v/>
      </c>
      <c r="X2903" s="32">
        <f>T2903/N2903</f>
        <v/>
      </c>
      <c r="Y2903" s="35">
        <f>IF(W2903=MAXIFS(W$2:W$3601, A$2:A$3601, A2903, B$2:B$3601, B2903), "OPTIMAL", "")</f>
        <v/>
      </c>
    </row>
    <row r="2904" ht="20" customHeight="1">
      <c r="A2904" s="21" t="n">
        <v>-18</v>
      </c>
      <c r="B2904" s="21" t="n">
        <v>40</v>
      </c>
      <c r="C2904" s="22" t="n">
        <v>80</v>
      </c>
      <c r="D2904" s="22" t="n">
        <v>3</v>
      </c>
      <c r="E2904" s="23" t="n">
        <v>0</v>
      </c>
      <c r="F2904" s="22" t="n">
        <v>0</v>
      </c>
      <c r="G2904" s="23" t="inlineStr">
        <is>
          <t>Non</t>
        </is>
      </c>
      <c r="H2904" s="23" t="inlineStr">
        <is>
          <t>ON</t>
        </is>
      </c>
      <c r="I2904" s="24" t="n">
        <v>815.012573225423</v>
      </c>
      <c r="J2904" s="24" t="n">
        <v>8308.791548992402</v>
      </c>
      <c r="K2904" s="24" t="n">
        <v>4662.037037037037</v>
      </c>
      <c r="L2904" s="24" t="n">
        <v>150</v>
      </c>
      <c r="M2904" s="24">
        <f>I2904+J2904+K2904+L2904</f>
        <v/>
      </c>
      <c r="N2904" s="24">
        <f>M2904*'Dashboard &amp; Optimisation'!$B$18/('Dashboard &amp; Optimisation'!$B$16/3.6)</f>
        <v/>
      </c>
      <c r="O2904" s="24" t="n">
        <v>1195.106312864146</v>
      </c>
      <c r="P2904" s="25" t="n">
        <v>0.4974197238192265</v>
      </c>
      <c r="Q2904" s="26" t="n">
        <v>0.2</v>
      </c>
      <c r="R2904" s="24" t="n">
        <v>1226.190428296907</v>
      </c>
      <c r="S2904" s="24">
        <f>R2904*IF(A2904=4, 2.0, 3.0)</f>
        <v/>
      </c>
      <c r="T2904" s="22">
        <f>'Dashboard &amp; Optimisation'!$B$18*U2904</f>
        <v/>
      </c>
      <c r="U2904" s="27">
        <f>MIN(1, S2904/M2904)</f>
        <v/>
      </c>
      <c r="V2904" s="27">
        <f>N2904/(N2904+O2904)</f>
        <v/>
      </c>
      <c r="W2904" s="27">
        <f>U2904*V2904</f>
        <v/>
      </c>
      <c r="X2904" s="25">
        <f>T2904/N2904</f>
        <v/>
      </c>
      <c r="Y2904" s="28">
        <f>IF(W2904=MAXIFS(W$2:W$3601, A$2:A$3601, A2904, B$2:B$3601, B2904), "OPTIMAL", "")</f>
        <v/>
      </c>
    </row>
    <row r="2905" ht="20" customHeight="1">
      <c r="A2905" s="29" t="n">
        <v>-18</v>
      </c>
      <c r="B2905" s="29" t="n">
        <v>40</v>
      </c>
      <c r="C2905" s="30" t="n">
        <v>80</v>
      </c>
      <c r="D2905" s="30" t="n">
        <v>3</v>
      </c>
      <c r="E2905" s="6" t="n">
        <v>0</v>
      </c>
      <c r="F2905" s="30" t="n">
        <v>0</v>
      </c>
      <c r="G2905" s="6" t="inlineStr">
        <is>
          <t>Non</t>
        </is>
      </c>
      <c r="H2905" s="6" t="inlineStr">
        <is>
          <t>OFF</t>
        </is>
      </c>
      <c r="I2905" s="31" t="n">
        <v>815.012573225423</v>
      </c>
      <c r="J2905" s="31" t="n">
        <v>8308.791548992402</v>
      </c>
      <c r="K2905" s="31" t="n">
        <v>4662.037037037037</v>
      </c>
      <c r="L2905" s="31" t="n">
        <v>150</v>
      </c>
      <c r="M2905" s="31">
        <f>I2905+J2905+K2905+L2905</f>
        <v/>
      </c>
      <c r="N2905" s="31">
        <f>M2905*'Dashboard &amp; Optimisation'!$B$18/('Dashboard &amp; Optimisation'!$B$16/3.6)</f>
        <v/>
      </c>
      <c r="O2905" s="31" t="n">
        <v>1195.106312864146</v>
      </c>
      <c r="P2905" s="32" t="n">
        <v>0.8953070815489648</v>
      </c>
      <c r="Q2905" s="33" t="n">
        <v>0.2</v>
      </c>
      <c r="R2905" s="31" t="n">
        <v>681.2537471925147</v>
      </c>
      <c r="S2905" s="31">
        <f>R2905*IF(A2905=4, 2.0, 3.0)</f>
        <v/>
      </c>
      <c r="T2905" s="30">
        <f>'Dashboard &amp; Optimisation'!$B$18*U2905</f>
        <v/>
      </c>
      <c r="U2905" s="34">
        <f>MIN(1, S2905/M2905)</f>
        <v/>
      </c>
      <c r="V2905" s="34">
        <f>N2905/(N2905+O2905)</f>
        <v/>
      </c>
      <c r="W2905" s="34">
        <f>U2905*V2905</f>
        <v/>
      </c>
      <c r="X2905" s="32">
        <f>T2905/N2905</f>
        <v/>
      </c>
      <c r="Y2905" s="35">
        <f>IF(W2905=MAXIFS(W$2:W$3601, A$2:A$3601, A2905, B$2:B$3601, B2905), "OPTIMAL", "")</f>
        <v/>
      </c>
    </row>
    <row r="2906" ht="20" customHeight="1">
      <c r="A2906" s="21" t="n">
        <v>-18</v>
      </c>
      <c r="B2906" s="21" t="n">
        <v>40</v>
      </c>
      <c r="C2906" s="22" t="n">
        <v>80</v>
      </c>
      <c r="D2906" s="22" t="n">
        <v>3</v>
      </c>
      <c r="E2906" s="23" t="n">
        <v>4</v>
      </c>
      <c r="F2906" s="22" t="n">
        <v>1.5</v>
      </c>
      <c r="G2906" s="23" t="inlineStr">
        <is>
          <t>Oui</t>
        </is>
      </c>
      <c r="H2906" s="23" t="inlineStr">
        <is>
          <t>ON</t>
        </is>
      </c>
      <c r="I2906" s="24" t="n">
        <v>815.012573225423</v>
      </c>
      <c r="J2906" s="24" t="n">
        <v>8308.791548992402</v>
      </c>
      <c r="K2906" s="24" t="n">
        <v>4662.037037037037</v>
      </c>
      <c r="L2906" s="24" t="n">
        <v>150</v>
      </c>
      <c r="M2906" s="24">
        <f>I2906+J2906+K2906+L2906</f>
        <v/>
      </c>
      <c r="N2906" s="24">
        <f>M2906*'Dashboard &amp; Optimisation'!$B$18/('Dashboard &amp; Optimisation'!$B$16/3.6)</f>
        <v/>
      </c>
      <c r="O2906" s="24" t="n">
        <v>1706.252297081378</v>
      </c>
      <c r="P2906" s="25" t="n">
        <v>0.08209463084427607</v>
      </c>
      <c r="Q2906" s="26" t="n">
        <v>8.657063527408475</v>
      </c>
      <c r="R2906" s="24" t="n">
        <v>7749.627712685568</v>
      </c>
      <c r="S2906" s="24">
        <f>R2906*IF(A2906=4, 2.0, 3.0)</f>
        <v/>
      </c>
      <c r="T2906" s="22">
        <f>'Dashboard &amp; Optimisation'!$B$18*U2906</f>
        <v/>
      </c>
      <c r="U2906" s="27">
        <f>MIN(1, S2906/M2906)</f>
        <v/>
      </c>
      <c r="V2906" s="27">
        <f>N2906/(N2906+O2906)</f>
        <v/>
      </c>
      <c r="W2906" s="27">
        <f>U2906*V2906</f>
        <v/>
      </c>
      <c r="X2906" s="25">
        <f>T2906/N2906</f>
        <v/>
      </c>
      <c r="Y2906" s="28">
        <f>IF(W2906=MAXIFS(W$2:W$3601, A$2:A$3601, A2906, B$2:B$3601, B2906), "OPTIMAL", "")</f>
        <v/>
      </c>
    </row>
    <row r="2907" ht="20" customHeight="1">
      <c r="A2907" s="29" t="n">
        <v>-18</v>
      </c>
      <c r="B2907" s="29" t="n">
        <v>40</v>
      </c>
      <c r="C2907" s="30" t="n">
        <v>80</v>
      </c>
      <c r="D2907" s="30" t="n">
        <v>3</v>
      </c>
      <c r="E2907" s="6" t="n">
        <v>4</v>
      </c>
      <c r="F2907" s="30" t="n">
        <v>1.5</v>
      </c>
      <c r="G2907" s="6" t="inlineStr">
        <is>
          <t>Oui</t>
        </is>
      </c>
      <c r="H2907" s="6" t="inlineStr">
        <is>
          <t>OFF</t>
        </is>
      </c>
      <c r="I2907" s="31" t="n">
        <v>815.012573225423</v>
      </c>
      <c r="J2907" s="31" t="n">
        <v>8308.791548992402</v>
      </c>
      <c r="K2907" s="31" t="n">
        <v>4662.037037037037</v>
      </c>
      <c r="L2907" s="31" t="n">
        <v>150</v>
      </c>
      <c r="M2907" s="31">
        <f>I2907+J2907+K2907+L2907</f>
        <v/>
      </c>
      <c r="N2907" s="31">
        <f>M2907*'Dashboard &amp; Optimisation'!$B$18/('Dashboard &amp; Optimisation'!$B$16/3.6)</f>
        <v/>
      </c>
      <c r="O2907" s="31" t="n">
        <v>1706.252297081378</v>
      </c>
      <c r="P2907" s="32" t="n">
        <v>0.3558275394191204</v>
      </c>
      <c r="Q2907" s="33" t="n">
        <v>8.657063527408475</v>
      </c>
      <c r="R2907" s="31" t="n">
        <v>1787.952746131113</v>
      </c>
      <c r="S2907" s="31">
        <f>R2907*IF(A2907=4, 2.0, 3.0)</f>
        <v/>
      </c>
      <c r="T2907" s="30">
        <f>'Dashboard &amp; Optimisation'!$B$18*U2907</f>
        <v/>
      </c>
      <c r="U2907" s="34">
        <f>MIN(1, S2907/M2907)</f>
        <v/>
      </c>
      <c r="V2907" s="34">
        <f>N2907/(N2907+O2907)</f>
        <v/>
      </c>
      <c r="W2907" s="34">
        <f>U2907*V2907</f>
        <v/>
      </c>
      <c r="X2907" s="32">
        <f>T2907/N2907</f>
        <v/>
      </c>
      <c r="Y2907" s="35">
        <f>IF(W2907=MAXIFS(W$2:W$3601, A$2:A$3601, A2907, B$2:B$3601, B2907), "OPTIMAL", "")</f>
        <v/>
      </c>
    </row>
    <row r="2908" ht="20" customHeight="1">
      <c r="A2908" s="21" t="n">
        <v>-18</v>
      </c>
      <c r="B2908" s="21" t="n">
        <v>40</v>
      </c>
      <c r="C2908" s="22" t="n">
        <v>80</v>
      </c>
      <c r="D2908" s="22" t="n">
        <v>3</v>
      </c>
      <c r="E2908" s="23" t="n">
        <v>4</v>
      </c>
      <c r="F2908" s="22" t="n">
        <v>1.5</v>
      </c>
      <c r="G2908" s="23" t="inlineStr">
        <is>
          <t>Non</t>
        </is>
      </c>
      <c r="H2908" s="23" t="inlineStr">
        <is>
          <t>ON</t>
        </is>
      </c>
      <c r="I2908" s="24" t="n">
        <v>815.012573225423</v>
      </c>
      <c r="J2908" s="24" t="n">
        <v>8308.791548992402</v>
      </c>
      <c r="K2908" s="24" t="n">
        <v>4662.037037037037</v>
      </c>
      <c r="L2908" s="24" t="n">
        <v>150</v>
      </c>
      <c r="M2908" s="24">
        <f>I2908+J2908+K2908+L2908</f>
        <v/>
      </c>
      <c r="N2908" s="24">
        <f>M2908*'Dashboard &amp; Optimisation'!$B$18/('Dashboard &amp; Optimisation'!$B$16/3.6)</f>
        <v/>
      </c>
      <c r="O2908" s="24" t="n">
        <v>1706.252297081378</v>
      </c>
      <c r="P2908" s="25" t="n">
        <v>0.07811575726697868</v>
      </c>
      <c r="Q2908" s="26" t="n">
        <v>8.657063527408475</v>
      </c>
      <c r="R2908" s="24" t="n">
        <v>8144.359710667884</v>
      </c>
      <c r="S2908" s="24">
        <f>R2908*IF(A2908=4, 2.0, 3.0)</f>
        <v/>
      </c>
      <c r="T2908" s="22">
        <f>'Dashboard &amp; Optimisation'!$B$18*U2908</f>
        <v/>
      </c>
      <c r="U2908" s="27">
        <f>MIN(1, S2908/M2908)</f>
        <v/>
      </c>
      <c r="V2908" s="27">
        <f>N2908/(N2908+O2908)</f>
        <v/>
      </c>
      <c r="W2908" s="27">
        <f>U2908*V2908</f>
        <v/>
      </c>
      <c r="X2908" s="25">
        <f>T2908/N2908</f>
        <v/>
      </c>
      <c r="Y2908" s="28">
        <f>IF(W2908=MAXIFS(W$2:W$3601, A$2:A$3601, A2908, B$2:B$3601, B2908), "OPTIMAL", "")</f>
        <v/>
      </c>
    </row>
    <row r="2909" ht="20" customHeight="1">
      <c r="A2909" s="29" t="n">
        <v>-18</v>
      </c>
      <c r="B2909" s="29" t="n">
        <v>40</v>
      </c>
      <c r="C2909" s="30" t="n">
        <v>80</v>
      </c>
      <c r="D2909" s="30" t="n">
        <v>3</v>
      </c>
      <c r="E2909" s="6" t="n">
        <v>4</v>
      </c>
      <c r="F2909" s="30" t="n">
        <v>1.5</v>
      </c>
      <c r="G2909" s="6" t="inlineStr">
        <is>
          <t>Non</t>
        </is>
      </c>
      <c r="H2909" s="6" t="inlineStr">
        <is>
          <t>OFF</t>
        </is>
      </c>
      <c r="I2909" s="31" t="n">
        <v>815.012573225423</v>
      </c>
      <c r="J2909" s="31" t="n">
        <v>8308.791548992402</v>
      </c>
      <c r="K2909" s="31" t="n">
        <v>4662.037037037037</v>
      </c>
      <c r="L2909" s="31" t="n">
        <v>150</v>
      </c>
      <c r="M2909" s="31">
        <f>I2909+J2909+K2909+L2909</f>
        <v/>
      </c>
      <c r="N2909" s="31">
        <f>M2909*'Dashboard &amp; Optimisation'!$B$18/('Dashboard &amp; Optimisation'!$B$16/3.6)</f>
        <v/>
      </c>
      <c r="O2909" s="31" t="n">
        <v>1706.252297081378</v>
      </c>
      <c r="P2909" s="32" t="n">
        <v>0.3518486658418231</v>
      </c>
      <c r="Q2909" s="33" t="n">
        <v>8.657063527408475</v>
      </c>
      <c r="R2909" s="31" t="n">
        <v>1808.171773882764</v>
      </c>
      <c r="S2909" s="31">
        <f>R2909*IF(A2909=4, 2.0, 3.0)</f>
        <v/>
      </c>
      <c r="T2909" s="30">
        <f>'Dashboard &amp; Optimisation'!$B$18*U2909</f>
        <v/>
      </c>
      <c r="U2909" s="34">
        <f>MIN(1, S2909/M2909)</f>
        <v/>
      </c>
      <c r="V2909" s="34">
        <f>N2909/(N2909+O2909)</f>
        <v/>
      </c>
      <c r="W2909" s="34">
        <f>U2909*V2909</f>
        <v/>
      </c>
      <c r="X2909" s="32">
        <f>T2909/N2909</f>
        <v/>
      </c>
      <c r="Y2909" s="35">
        <f>IF(W2909=MAXIFS(W$2:W$3601, A$2:A$3601, A2909, B$2:B$3601, B2909), "OPTIMAL", "")</f>
        <v/>
      </c>
    </row>
    <row r="2910" ht="20" customHeight="1">
      <c r="A2910" s="21" t="n">
        <v>-18</v>
      </c>
      <c r="B2910" s="21" t="n">
        <v>40</v>
      </c>
      <c r="C2910" s="22" t="n">
        <v>80</v>
      </c>
      <c r="D2910" s="22" t="n">
        <v>3</v>
      </c>
      <c r="E2910" s="23" t="n">
        <v>4</v>
      </c>
      <c r="F2910" s="22" t="n">
        <v>2</v>
      </c>
      <c r="G2910" s="23" t="inlineStr">
        <is>
          <t>Oui</t>
        </is>
      </c>
      <c r="H2910" s="23" t="inlineStr">
        <is>
          <t>ON</t>
        </is>
      </c>
      <c r="I2910" s="24" t="n">
        <v>815.012573225423</v>
      </c>
      <c r="J2910" s="24" t="n">
        <v>8308.791548992402</v>
      </c>
      <c r="K2910" s="24" t="n">
        <v>4662.037037037037</v>
      </c>
      <c r="L2910" s="24" t="n">
        <v>150</v>
      </c>
      <c r="M2910" s="24">
        <f>I2910+J2910+K2910+L2910</f>
        <v/>
      </c>
      <c r="N2910" s="24">
        <f>M2910*'Dashboard &amp; Optimisation'!$B$18/('Dashboard &amp; Optimisation'!$B$16/3.6)</f>
        <v/>
      </c>
      <c r="O2910" s="24" t="n">
        <v>1886.561963042038</v>
      </c>
      <c r="P2910" s="25" t="n">
        <v>0.08011046001180847</v>
      </c>
      <c r="Q2910" s="26" t="n">
        <v>11.4760847032113</v>
      </c>
      <c r="R2910" s="24" t="n">
        <v>8057.253143305593</v>
      </c>
      <c r="S2910" s="24">
        <f>R2910*IF(A2910=4, 2.0, 3.0)</f>
        <v/>
      </c>
      <c r="T2910" s="22">
        <f>'Dashboard &amp; Optimisation'!$B$18*U2910</f>
        <v/>
      </c>
      <c r="U2910" s="27">
        <f>MIN(1, S2910/M2910)</f>
        <v/>
      </c>
      <c r="V2910" s="27">
        <f>N2910/(N2910+O2910)</f>
        <v/>
      </c>
      <c r="W2910" s="27">
        <f>U2910*V2910</f>
        <v/>
      </c>
      <c r="X2910" s="25">
        <f>T2910/N2910</f>
        <v/>
      </c>
      <c r="Y2910" s="28">
        <f>IF(W2910=MAXIFS(W$2:W$3601, A$2:A$3601, A2910, B$2:B$3601, B2910), "OPTIMAL", "")</f>
        <v/>
      </c>
    </row>
    <row r="2911" ht="20" customHeight="1">
      <c r="A2911" s="29" t="n">
        <v>-18</v>
      </c>
      <c r="B2911" s="29" t="n">
        <v>40</v>
      </c>
      <c r="C2911" s="30" t="n">
        <v>80</v>
      </c>
      <c r="D2911" s="30" t="n">
        <v>3</v>
      </c>
      <c r="E2911" s="6" t="n">
        <v>4</v>
      </c>
      <c r="F2911" s="30" t="n">
        <v>2</v>
      </c>
      <c r="G2911" s="6" t="inlineStr">
        <is>
          <t>Oui</t>
        </is>
      </c>
      <c r="H2911" s="6" t="inlineStr">
        <is>
          <t>OFF</t>
        </is>
      </c>
      <c r="I2911" s="31" t="n">
        <v>815.012573225423</v>
      </c>
      <c r="J2911" s="31" t="n">
        <v>8308.791548992402</v>
      </c>
      <c r="K2911" s="31" t="n">
        <v>4662.037037037037</v>
      </c>
      <c r="L2911" s="31" t="n">
        <v>150</v>
      </c>
      <c r="M2911" s="31">
        <f>I2911+J2911+K2911+L2911</f>
        <v/>
      </c>
      <c r="N2911" s="31">
        <f>M2911*'Dashboard &amp; Optimisation'!$B$18/('Dashboard &amp; Optimisation'!$B$16/3.6)</f>
        <v/>
      </c>
      <c r="O2911" s="31" t="n">
        <v>1886.561963042038</v>
      </c>
      <c r="P2911" s="32" t="n">
        <v>0.3553476372854298</v>
      </c>
      <c r="Q2911" s="33" t="n">
        <v>11.4760847032113</v>
      </c>
      <c r="R2911" s="31" t="n">
        <v>1816.44729840523</v>
      </c>
      <c r="S2911" s="31">
        <f>R2911*IF(A2911=4, 2.0, 3.0)</f>
        <v/>
      </c>
      <c r="T2911" s="30">
        <f>'Dashboard &amp; Optimisation'!$B$18*U2911</f>
        <v/>
      </c>
      <c r="U2911" s="34">
        <f>MIN(1, S2911/M2911)</f>
        <v/>
      </c>
      <c r="V2911" s="34">
        <f>N2911/(N2911+O2911)</f>
        <v/>
      </c>
      <c r="W2911" s="34">
        <f>U2911*V2911</f>
        <v/>
      </c>
      <c r="X2911" s="32">
        <f>T2911/N2911</f>
        <v/>
      </c>
      <c r="Y2911" s="35">
        <f>IF(W2911=MAXIFS(W$2:W$3601, A$2:A$3601, A2911, B$2:B$3601, B2911), "OPTIMAL", "")</f>
        <v/>
      </c>
    </row>
    <row r="2912" ht="20" customHeight="1">
      <c r="A2912" s="21" t="n">
        <v>-18</v>
      </c>
      <c r="B2912" s="21" t="n">
        <v>40</v>
      </c>
      <c r="C2912" s="22" t="n">
        <v>80</v>
      </c>
      <c r="D2912" s="22" t="n">
        <v>3</v>
      </c>
      <c r="E2912" s="23" t="n">
        <v>4</v>
      </c>
      <c r="F2912" s="22" t="n">
        <v>2</v>
      </c>
      <c r="G2912" s="23" t="inlineStr">
        <is>
          <t>Non</t>
        </is>
      </c>
      <c r="H2912" s="23" t="inlineStr">
        <is>
          <t>ON</t>
        </is>
      </c>
      <c r="I2912" s="24" t="n">
        <v>815.012573225423</v>
      </c>
      <c r="J2912" s="24" t="n">
        <v>8308.791548992402</v>
      </c>
      <c r="K2912" s="24" t="n">
        <v>4662.037037037037</v>
      </c>
      <c r="L2912" s="24" t="n">
        <v>150</v>
      </c>
      <c r="M2912" s="24">
        <f>I2912+J2912+K2912+L2912</f>
        <v/>
      </c>
      <c r="N2912" s="24">
        <f>M2912*'Dashboard &amp; Optimisation'!$B$18/('Dashboard &amp; Optimisation'!$B$16/3.6)</f>
        <v/>
      </c>
      <c r="O2912" s="24" t="n">
        <v>1886.561963042038</v>
      </c>
      <c r="P2912" s="25" t="n">
        <v>0.07613158643451108</v>
      </c>
      <c r="Q2912" s="26" t="n">
        <v>11.4760847032113</v>
      </c>
      <c r="R2912" s="24" t="n">
        <v>8478.350261320757</v>
      </c>
      <c r="S2912" s="24">
        <f>R2912*IF(A2912=4, 2.0, 3.0)</f>
        <v/>
      </c>
      <c r="T2912" s="22">
        <f>'Dashboard &amp; Optimisation'!$B$18*U2912</f>
        <v/>
      </c>
      <c r="U2912" s="27">
        <f>MIN(1, S2912/M2912)</f>
        <v/>
      </c>
      <c r="V2912" s="27">
        <f>N2912/(N2912+O2912)</f>
        <v/>
      </c>
      <c r="W2912" s="27">
        <f>U2912*V2912</f>
        <v/>
      </c>
      <c r="X2912" s="25">
        <f>T2912/N2912</f>
        <v/>
      </c>
      <c r="Y2912" s="28">
        <f>IF(W2912=MAXIFS(W$2:W$3601, A$2:A$3601, A2912, B$2:B$3601, B2912), "OPTIMAL", "")</f>
        <v/>
      </c>
    </row>
    <row r="2913" ht="20" customHeight="1">
      <c r="A2913" s="29" t="n">
        <v>-18</v>
      </c>
      <c r="B2913" s="29" t="n">
        <v>40</v>
      </c>
      <c r="C2913" s="30" t="n">
        <v>80</v>
      </c>
      <c r="D2913" s="30" t="n">
        <v>3</v>
      </c>
      <c r="E2913" s="6" t="n">
        <v>4</v>
      </c>
      <c r="F2913" s="30" t="n">
        <v>2</v>
      </c>
      <c r="G2913" s="6" t="inlineStr">
        <is>
          <t>Non</t>
        </is>
      </c>
      <c r="H2913" s="6" t="inlineStr">
        <is>
          <t>OFF</t>
        </is>
      </c>
      <c r="I2913" s="31" t="n">
        <v>815.012573225423</v>
      </c>
      <c r="J2913" s="31" t="n">
        <v>8308.791548992402</v>
      </c>
      <c r="K2913" s="31" t="n">
        <v>4662.037037037037</v>
      </c>
      <c r="L2913" s="31" t="n">
        <v>150</v>
      </c>
      <c r="M2913" s="31">
        <f>I2913+J2913+K2913+L2913</f>
        <v/>
      </c>
      <c r="N2913" s="31">
        <f>M2913*'Dashboard &amp; Optimisation'!$B$18/('Dashboard &amp; Optimisation'!$B$16/3.6)</f>
        <v/>
      </c>
      <c r="O2913" s="31" t="n">
        <v>1886.561963042038</v>
      </c>
      <c r="P2913" s="32" t="n">
        <v>0.3513687637081325</v>
      </c>
      <c r="Q2913" s="33" t="n">
        <v>11.4760847032113</v>
      </c>
      <c r="R2913" s="31" t="n">
        <v>1837.016611635877</v>
      </c>
      <c r="S2913" s="31">
        <f>R2913*IF(A2913=4, 2.0, 3.0)</f>
        <v/>
      </c>
      <c r="T2913" s="30">
        <f>'Dashboard &amp; Optimisation'!$B$18*U2913</f>
        <v/>
      </c>
      <c r="U2913" s="34">
        <f>MIN(1, S2913/M2913)</f>
        <v/>
      </c>
      <c r="V2913" s="34">
        <f>N2913/(N2913+O2913)</f>
        <v/>
      </c>
      <c r="W2913" s="34">
        <f>U2913*V2913</f>
        <v/>
      </c>
      <c r="X2913" s="32">
        <f>T2913/N2913</f>
        <v/>
      </c>
      <c r="Y2913" s="35">
        <f>IF(W2913=MAXIFS(W$2:W$3601, A$2:A$3601, A2913, B$2:B$3601, B2913), "OPTIMAL", "")</f>
        <v/>
      </c>
    </row>
    <row r="2914" ht="20" customHeight="1">
      <c r="A2914" s="21" t="n">
        <v>-18</v>
      </c>
      <c r="B2914" s="21" t="n">
        <v>40</v>
      </c>
      <c r="C2914" s="22" t="n">
        <v>80</v>
      </c>
      <c r="D2914" s="22" t="n">
        <v>3</v>
      </c>
      <c r="E2914" s="23" t="n">
        <v>8</v>
      </c>
      <c r="F2914" s="22" t="n">
        <v>1.5</v>
      </c>
      <c r="G2914" s="23" t="inlineStr">
        <is>
          <t>Oui</t>
        </is>
      </c>
      <c r="H2914" s="23" t="inlineStr">
        <is>
          <t>ON</t>
        </is>
      </c>
      <c r="I2914" s="24" t="n">
        <v>815.012573225423</v>
      </c>
      <c r="J2914" s="24" t="n">
        <v>8308.791548992402</v>
      </c>
      <c r="K2914" s="24" t="n">
        <v>4662.037037037037</v>
      </c>
      <c r="L2914" s="24" t="n">
        <v>150</v>
      </c>
      <c r="M2914" s="24">
        <f>I2914+J2914+K2914+L2914</f>
        <v/>
      </c>
      <c r="N2914" s="24">
        <f>M2914*'Dashboard &amp; Optimisation'!$B$18/('Dashboard &amp; Optimisation'!$B$16/3.6)</f>
        <v/>
      </c>
      <c r="O2914" s="24" t="n">
        <v>2263.413386027278</v>
      </c>
      <c r="P2914" s="25" t="n">
        <v>0.06134832938702932</v>
      </c>
      <c r="Q2914" s="26" t="n">
        <v>17.11412705481695</v>
      </c>
      <c r="R2914" s="24" t="n">
        <v>10837.12314532026</v>
      </c>
      <c r="S2914" s="24">
        <f>R2914*IF(A2914=4, 2.0, 3.0)</f>
        <v/>
      </c>
      <c r="T2914" s="22">
        <f>'Dashboard &amp; Optimisation'!$B$18*U2914</f>
        <v/>
      </c>
      <c r="U2914" s="27">
        <f>MIN(1, S2914/M2914)</f>
        <v/>
      </c>
      <c r="V2914" s="27">
        <f>N2914/(N2914+O2914)</f>
        <v/>
      </c>
      <c r="W2914" s="27">
        <f>U2914*V2914</f>
        <v/>
      </c>
      <c r="X2914" s="25">
        <f>T2914/N2914</f>
        <v/>
      </c>
      <c r="Y2914" s="28">
        <f>IF(W2914=MAXIFS(W$2:W$3601, A$2:A$3601, A2914, B$2:B$3601, B2914), "OPTIMAL", "")</f>
        <v/>
      </c>
    </row>
    <row r="2915" ht="20" customHeight="1">
      <c r="A2915" s="29" t="n">
        <v>-18</v>
      </c>
      <c r="B2915" s="29" t="n">
        <v>40</v>
      </c>
      <c r="C2915" s="30" t="n">
        <v>80</v>
      </c>
      <c r="D2915" s="30" t="n">
        <v>3</v>
      </c>
      <c r="E2915" s="6" t="n">
        <v>8</v>
      </c>
      <c r="F2915" s="30" t="n">
        <v>1.5</v>
      </c>
      <c r="G2915" s="6" t="inlineStr">
        <is>
          <t>Oui</t>
        </is>
      </c>
      <c r="H2915" s="6" t="inlineStr">
        <is>
          <t>OFF</t>
        </is>
      </c>
      <c r="I2915" s="31" t="n">
        <v>815.012573225423</v>
      </c>
      <c r="J2915" s="31" t="n">
        <v>8308.791548992402</v>
      </c>
      <c r="K2915" s="31" t="n">
        <v>4662.037037037037</v>
      </c>
      <c r="L2915" s="31" t="n">
        <v>150</v>
      </c>
      <c r="M2915" s="31">
        <f>I2915+J2915+K2915+L2915</f>
        <v/>
      </c>
      <c r="N2915" s="31">
        <f>M2915*'Dashboard &amp; Optimisation'!$B$18/('Dashboard &amp; Optimisation'!$B$16/3.6)</f>
        <v/>
      </c>
      <c r="O2915" s="31" t="n">
        <v>2263.413386027278</v>
      </c>
      <c r="P2915" s="32" t="n">
        <v>0.2699794634504217</v>
      </c>
      <c r="Q2915" s="33" t="n">
        <v>17.11412705481695</v>
      </c>
      <c r="R2915" s="31" t="n">
        <v>2462.555454515138</v>
      </c>
      <c r="S2915" s="31">
        <f>R2915*IF(A2915=4, 2.0, 3.0)</f>
        <v/>
      </c>
      <c r="T2915" s="30">
        <f>'Dashboard &amp; Optimisation'!$B$18*U2915</f>
        <v/>
      </c>
      <c r="U2915" s="34">
        <f>MIN(1, S2915/M2915)</f>
        <v/>
      </c>
      <c r="V2915" s="34">
        <f>N2915/(N2915+O2915)</f>
        <v/>
      </c>
      <c r="W2915" s="34">
        <f>U2915*V2915</f>
        <v/>
      </c>
      <c r="X2915" s="32">
        <f>T2915/N2915</f>
        <v/>
      </c>
      <c r="Y2915" s="35">
        <f>IF(W2915=MAXIFS(W$2:W$3601, A$2:A$3601, A2915, B$2:B$3601, B2915), "OPTIMAL", "")</f>
        <v/>
      </c>
    </row>
    <row r="2916" ht="20" customHeight="1">
      <c r="A2916" s="21" t="n">
        <v>-18</v>
      </c>
      <c r="B2916" s="21" t="n">
        <v>40</v>
      </c>
      <c r="C2916" s="22" t="n">
        <v>80</v>
      </c>
      <c r="D2916" s="22" t="n">
        <v>3</v>
      </c>
      <c r="E2916" s="23" t="n">
        <v>8</v>
      </c>
      <c r="F2916" s="22" t="n">
        <v>1.5</v>
      </c>
      <c r="G2916" s="23" t="inlineStr">
        <is>
          <t>Non</t>
        </is>
      </c>
      <c r="H2916" s="23" t="inlineStr">
        <is>
          <t>ON</t>
        </is>
      </c>
      <c r="I2916" s="24" t="n">
        <v>815.012573225423</v>
      </c>
      <c r="J2916" s="24" t="n">
        <v>8308.791548992402</v>
      </c>
      <c r="K2916" s="24" t="n">
        <v>4662.037037037037</v>
      </c>
      <c r="L2916" s="24" t="n">
        <v>150</v>
      </c>
      <c r="M2916" s="24">
        <f>I2916+J2916+K2916+L2916</f>
        <v/>
      </c>
      <c r="N2916" s="24">
        <f>M2916*'Dashboard &amp; Optimisation'!$B$18/('Dashboard &amp; Optimisation'!$B$16/3.6)</f>
        <v/>
      </c>
      <c r="O2916" s="24" t="n">
        <v>2263.413386027278</v>
      </c>
      <c r="P2916" s="25" t="n">
        <v>0.05736945580973193</v>
      </c>
      <c r="Q2916" s="26" t="n">
        <v>17.11412705481695</v>
      </c>
      <c r="R2916" s="24" t="n">
        <v>11588.73464883251</v>
      </c>
      <c r="S2916" s="24">
        <f>R2916*IF(A2916=4, 2.0, 3.0)</f>
        <v/>
      </c>
      <c r="T2916" s="22">
        <f>'Dashboard &amp; Optimisation'!$B$18*U2916</f>
        <v/>
      </c>
      <c r="U2916" s="27">
        <f>MIN(1, S2916/M2916)</f>
        <v/>
      </c>
      <c r="V2916" s="27">
        <f>N2916/(N2916+O2916)</f>
        <v/>
      </c>
      <c r="W2916" s="27">
        <f>U2916*V2916</f>
        <v/>
      </c>
      <c r="X2916" s="25">
        <f>T2916/N2916</f>
        <v/>
      </c>
      <c r="Y2916" s="28">
        <f>IF(W2916=MAXIFS(W$2:W$3601, A$2:A$3601, A2916, B$2:B$3601, B2916), "OPTIMAL", "")</f>
        <v/>
      </c>
    </row>
    <row r="2917" ht="20" customHeight="1">
      <c r="A2917" s="29" t="n">
        <v>-18</v>
      </c>
      <c r="B2917" s="29" t="n">
        <v>40</v>
      </c>
      <c r="C2917" s="30" t="n">
        <v>80</v>
      </c>
      <c r="D2917" s="30" t="n">
        <v>3</v>
      </c>
      <c r="E2917" s="6" t="n">
        <v>8</v>
      </c>
      <c r="F2917" s="30" t="n">
        <v>1.5</v>
      </c>
      <c r="G2917" s="6" t="inlineStr">
        <is>
          <t>Non</t>
        </is>
      </c>
      <c r="H2917" s="6" t="inlineStr">
        <is>
          <t>OFF</t>
        </is>
      </c>
      <c r="I2917" s="31" t="n">
        <v>815.012573225423</v>
      </c>
      <c r="J2917" s="31" t="n">
        <v>8308.791548992402</v>
      </c>
      <c r="K2917" s="31" t="n">
        <v>4662.037037037037</v>
      </c>
      <c r="L2917" s="31" t="n">
        <v>150</v>
      </c>
      <c r="M2917" s="31">
        <f>I2917+J2917+K2917+L2917</f>
        <v/>
      </c>
      <c r="N2917" s="31">
        <f>M2917*'Dashboard &amp; Optimisation'!$B$18/('Dashboard &amp; Optimisation'!$B$16/3.6)</f>
        <v/>
      </c>
      <c r="O2917" s="31" t="n">
        <v>2263.413386027278</v>
      </c>
      <c r="P2917" s="32" t="n">
        <v>0.2660005898731243</v>
      </c>
      <c r="Q2917" s="33" t="n">
        <v>17.11412705481695</v>
      </c>
      <c r="R2917" s="31" t="n">
        <v>2499.390699261299</v>
      </c>
      <c r="S2917" s="31">
        <f>R2917*IF(A2917=4, 2.0, 3.0)</f>
        <v/>
      </c>
      <c r="T2917" s="30">
        <f>'Dashboard &amp; Optimisation'!$B$18*U2917</f>
        <v/>
      </c>
      <c r="U2917" s="34">
        <f>MIN(1, S2917/M2917)</f>
        <v/>
      </c>
      <c r="V2917" s="34">
        <f>N2917/(N2917+O2917)</f>
        <v/>
      </c>
      <c r="W2917" s="34">
        <f>U2917*V2917</f>
        <v/>
      </c>
      <c r="X2917" s="32">
        <f>T2917/N2917</f>
        <v/>
      </c>
      <c r="Y2917" s="35">
        <f>IF(W2917=MAXIFS(W$2:W$3601, A$2:A$3601, A2917, B$2:B$3601, B2917), "OPTIMAL", "")</f>
        <v/>
      </c>
    </row>
    <row r="2918" ht="20" customHeight="1">
      <c r="A2918" s="21" t="n">
        <v>-18</v>
      </c>
      <c r="B2918" s="21" t="n">
        <v>40</v>
      </c>
      <c r="C2918" s="22" t="n">
        <v>80</v>
      </c>
      <c r="D2918" s="22" t="n">
        <v>3</v>
      </c>
      <c r="E2918" s="23" t="n">
        <v>8</v>
      </c>
      <c r="F2918" s="22" t="n">
        <v>2</v>
      </c>
      <c r="G2918" s="23" t="inlineStr">
        <is>
          <t>Oui</t>
        </is>
      </c>
      <c r="H2918" s="23" t="inlineStr">
        <is>
          <t>ON</t>
        </is>
      </c>
      <c r="I2918" s="24" t="n">
        <v>815.012573225423</v>
      </c>
      <c r="J2918" s="24" t="n">
        <v>8308.791548992402</v>
      </c>
      <c r="K2918" s="24" t="n">
        <v>4662.037037037037</v>
      </c>
      <c r="L2918" s="24" t="n">
        <v>150</v>
      </c>
      <c r="M2918" s="24">
        <f>I2918+J2918+K2918+L2918</f>
        <v/>
      </c>
      <c r="N2918" s="24">
        <f>M2918*'Dashboard &amp; Optimisation'!$B$18/('Dashboard &amp; Optimisation'!$B$16/3.6)</f>
        <v/>
      </c>
      <c r="O2918" s="24" t="n">
        <v>2663.581457294514</v>
      </c>
      <c r="P2918" s="25" t="n">
        <v>0.060517018169736</v>
      </c>
      <c r="Q2918" s="26" t="n">
        <v>22.7521694064226</v>
      </c>
      <c r="R2918" s="24" t="n">
        <v>11325.85474867452</v>
      </c>
      <c r="S2918" s="24">
        <f>R2918*IF(A2918=4, 2.0, 3.0)</f>
        <v/>
      </c>
      <c r="T2918" s="22">
        <f>'Dashboard &amp; Optimisation'!$B$18*U2918</f>
        <v/>
      </c>
      <c r="U2918" s="27">
        <f>MIN(1, S2918/M2918)</f>
        <v/>
      </c>
      <c r="V2918" s="27">
        <f>N2918/(N2918+O2918)</f>
        <v/>
      </c>
      <c r="W2918" s="27">
        <f>U2918*V2918</f>
        <v/>
      </c>
      <c r="X2918" s="25">
        <f>T2918/N2918</f>
        <v/>
      </c>
      <c r="Y2918" s="28">
        <f>IF(W2918=MAXIFS(W$2:W$3601, A$2:A$3601, A2918, B$2:B$3601, B2918), "OPTIMAL", "")</f>
        <v/>
      </c>
    </row>
    <row r="2919" ht="20" customHeight="1">
      <c r="A2919" s="29" t="n">
        <v>-18</v>
      </c>
      <c r="B2919" s="29" t="n">
        <v>40</v>
      </c>
      <c r="C2919" s="30" t="n">
        <v>80</v>
      </c>
      <c r="D2919" s="30" t="n">
        <v>3</v>
      </c>
      <c r="E2919" s="6" t="n">
        <v>8</v>
      </c>
      <c r="F2919" s="30" t="n">
        <v>2</v>
      </c>
      <c r="G2919" s="6" t="inlineStr">
        <is>
          <t>Oui</t>
        </is>
      </c>
      <c r="H2919" s="6" t="inlineStr">
        <is>
          <t>OFF</t>
        </is>
      </c>
      <c r="I2919" s="31" t="n">
        <v>815.012573225423</v>
      </c>
      <c r="J2919" s="31" t="n">
        <v>8308.791548992402</v>
      </c>
      <c r="K2919" s="31" t="n">
        <v>4662.037037037037</v>
      </c>
      <c r="L2919" s="31" t="n">
        <v>150</v>
      </c>
      <c r="M2919" s="31">
        <f>I2919+J2919+K2919+L2919</f>
        <v/>
      </c>
      <c r="N2919" s="31">
        <f>M2919*'Dashboard &amp; Optimisation'!$B$18/('Dashboard &amp; Optimisation'!$B$16/3.6)</f>
        <v/>
      </c>
      <c r="O2919" s="31" t="n">
        <v>2663.581457294514</v>
      </c>
      <c r="P2919" s="32" t="n">
        <v>0.2709014433795033</v>
      </c>
      <c r="Q2919" s="33" t="n">
        <v>22.7521694064226</v>
      </c>
      <c r="R2919" s="31" t="n">
        <v>2530.097104920722</v>
      </c>
      <c r="S2919" s="31">
        <f>R2919*IF(A2919=4, 2.0, 3.0)</f>
        <v/>
      </c>
      <c r="T2919" s="30">
        <f>'Dashboard &amp; Optimisation'!$B$18*U2919</f>
        <v/>
      </c>
      <c r="U2919" s="34">
        <f>MIN(1, S2919/M2919)</f>
        <v/>
      </c>
      <c r="V2919" s="34">
        <f>N2919/(N2919+O2919)</f>
        <v/>
      </c>
      <c r="W2919" s="34">
        <f>U2919*V2919</f>
        <v/>
      </c>
      <c r="X2919" s="32">
        <f>T2919/N2919</f>
        <v/>
      </c>
      <c r="Y2919" s="35">
        <f>IF(W2919=MAXIFS(W$2:W$3601, A$2:A$3601, A2919, B$2:B$3601, B2919), "OPTIMAL", "")</f>
        <v/>
      </c>
    </row>
    <row r="2920" ht="20" customHeight="1">
      <c r="A2920" s="21" t="n">
        <v>-18</v>
      </c>
      <c r="B2920" s="21" t="n">
        <v>40</v>
      </c>
      <c r="C2920" s="22" t="n">
        <v>80</v>
      </c>
      <c r="D2920" s="22" t="n">
        <v>3</v>
      </c>
      <c r="E2920" s="23" t="n">
        <v>8</v>
      </c>
      <c r="F2920" s="22" t="n">
        <v>2</v>
      </c>
      <c r="G2920" s="23" t="inlineStr">
        <is>
          <t>Non</t>
        </is>
      </c>
      <c r="H2920" s="23" t="inlineStr">
        <is>
          <t>ON</t>
        </is>
      </c>
      <c r="I2920" s="24" t="n">
        <v>815.012573225423</v>
      </c>
      <c r="J2920" s="24" t="n">
        <v>8308.791548992402</v>
      </c>
      <c r="K2920" s="24" t="n">
        <v>4662.037037037037</v>
      </c>
      <c r="L2920" s="24" t="n">
        <v>150</v>
      </c>
      <c r="M2920" s="24">
        <f>I2920+J2920+K2920+L2920</f>
        <v/>
      </c>
      <c r="N2920" s="24">
        <f>M2920*'Dashboard &amp; Optimisation'!$B$18/('Dashboard &amp; Optimisation'!$B$16/3.6)</f>
        <v/>
      </c>
      <c r="O2920" s="24" t="n">
        <v>2663.581457294514</v>
      </c>
      <c r="P2920" s="25" t="n">
        <v>0.05653814459243862</v>
      </c>
      <c r="Q2920" s="26" t="n">
        <v>22.7521694064226</v>
      </c>
      <c r="R2920" s="24" t="n">
        <v>12122.91210746581</v>
      </c>
      <c r="S2920" s="24">
        <f>R2920*IF(A2920=4, 2.0, 3.0)</f>
        <v/>
      </c>
      <c r="T2920" s="22">
        <f>'Dashboard &amp; Optimisation'!$B$18*U2920</f>
        <v/>
      </c>
      <c r="U2920" s="27">
        <f>MIN(1, S2920/M2920)</f>
        <v/>
      </c>
      <c r="V2920" s="27">
        <f>N2920/(N2920+O2920)</f>
        <v/>
      </c>
      <c r="W2920" s="27">
        <f>U2920*V2920</f>
        <v/>
      </c>
      <c r="X2920" s="25">
        <f>T2920/N2920</f>
        <v/>
      </c>
      <c r="Y2920" s="28">
        <f>IF(W2920=MAXIFS(W$2:W$3601, A$2:A$3601, A2920, B$2:B$3601, B2920), "OPTIMAL", "")</f>
        <v/>
      </c>
    </row>
    <row r="2921" ht="20" customHeight="1">
      <c r="A2921" s="29" t="n">
        <v>-18</v>
      </c>
      <c r="B2921" s="29" t="n">
        <v>40</v>
      </c>
      <c r="C2921" s="30" t="n">
        <v>80</v>
      </c>
      <c r="D2921" s="30" t="n">
        <v>3</v>
      </c>
      <c r="E2921" s="6" t="n">
        <v>8</v>
      </c>
      <c r="F2921" s="30" t="n">
        <v>2</v>
      </c>
      <c r="G2921" s="6" t="inlineStr">
        <is>
          <t>Non</t>
        </is>
      </c>
      <c r="H2921" s="6" t="inlineStr">
        <is>
          <t>OFF</t>
        </is>
      </c>
      <c r="I2921" s="31" t="n">
        <v>815.012573225423</v>
      </c>
      <c r="J2921" s="31" t="n">
        <v>8308.791548992402</v>
      </c>
      <c r="K2921" s="31" t="n">
        <v>4662.037037037037</v>
      </c>
      <c r="L2921" s="31" t="n">
        <v>150</v>
      </c>
      <c r="M2921" s="31">
        <f>I2921+J2921+K2921+L2921</f>
        <v/>
      </c>
      <c r="N2921" s="31">
        <f>M2921*'Dashboard &amp; Optimisation'!$B$18/('Dashboard &amp; Optimisation'!$B$16/3.6)</f>
        <v/>
      </c>
      <c r="O2921" s="31" t="n">
        <v>2663.581457294514</v>
      </c>
      <c r="P2921" s="32" t="n">
        <v>0.266922569802206</v>
      </c>
      <c r="Q2921" s="33" t="n">
        <v>22.7521694064226</v>
      </c>
      <c r="R2921" s="31" t="n">
        <v>2567.811924339048</v>
      </c>
      <c r="S2921" s="31">
        <f>R2921*IF(A2921=4, 2.0, 3.0)</f>
        <v/>
      </c>
      <c r="T2921" s="30">
        <f>'Dashboard &amp; Optimisation'!$B$18*U2921</f>
        <v/>
      </c>
      <c r="U2921" s="34">
        <f>MIN(1, S2921/M2921)</f>
        <v/>
      </c>
      <c r="V2921" s="34">
        <f>N2921/(N2921+O2921)</f>
        <v/>
      </c>
      <c r="W2921" s="34">
        <f>U2921*V2921</f>
        <v/>
      </c>
      <c r="X2921" s="32">
        <f>T2921/N2921</f>
        <v/>
      </c>
      <c r="Y2921" s="35">
        <f>IF(W2921=MAXIFS(W$2:W$3601, A$2:A$3601, A2921, B$2:B$3601, B2921), "OPTIMAL", "")</f>
        <v/>
      </c>
    </row>
    <row r="2922" ht="20" customHeight="1">
      <c r="A2922" s="21" t="n">
        <v>-18</v>
      </c>
      <c r="B2922" s="21" t="n">
        <v>40</v>
      </c>
      <c r="C2922" s="22" t="n">
        <v>85</v>
      </c>
      <c r="D2922" s="22" t="n">
        <v>2</v>
      </c>
      <c r="E2922" s="23" t="n">
        <v>0</v>
      </c>
      <c r="F2922" s="22" t="n">
        <v>0</v>
      </c>
      <c r="G2922" s="23" t="inlineStr">
        <is>
          <t>Oui</t>
        </is>
      </c>
      <c r="H2922" s="23" t="inlineStr">
        <is>
          <t>ON</t>
        </is>
      </c>
      <c r="I2922" s="24" t="n">
        <v>815.012573225423</v>
      </c>
      <c r="J2922" s="24" t="n">
        <v>8308.791548992402</v>
      </c>
      <c r="K2922" s="24" t="n">
        <v>4662.037037037037</v>
      </c>
      <c r="L2922" s="24" t="n">
        <v>150</v>
      </c>
      <c r="M2922" s="24">
        <f>I2922+J2922+K2922+L2922</f>
        <v/>
      </c>
      <c r="N2922" s="24">
        <f>M2922*'Dashboard &amp; Optimisation'!$B$18/('Dashboard &amp; Optimisation'!$B$16/3.6)</f>
        <v/>
      </c>
      <c r="O2922" s="24" t="n">
        <v>716.7967875861725</v>
      </c>
      <c r="P2922" s="25" t="n">
        <v>0.4952901571326194</v>
      </c>
      <c r="Q2922" s="26" t="n">
        <v>0.2</v>
      </c>
      <c r="R2922" s="24" t="n">
        <v>1027.814234487589</v>
      </c>
      <c r="S2922" s="24">
        <f>R2922*IF(A2922=4, 2.0, 3.0)</f>
        <v/>
      </c>
      <c r="T2922" s="22">
        <f>'Dashboard &amp; Optimisation'!$B$18*U2922</f>
        <v/>
      </c>
      <c r="U2922" s="27">
        <f>MIN(1, S2922/M2922)</f>
        <v/>
      </c>
      <c r="V2922" s="27">
        <f>N2922/(N2922+O2922)</f>
        <v/>
      </c>
      <c r="W2922" s="27">
        <f>U2922*V2922</f>
        <v/>
      </c>
      <c r="X2922" s="25">
        <f>T2922/N2922</f>
        <v/>
      </c>
      <c r="Y2922" s="28">
        <f>IF(W2922=MAXIFS(W$2:W$3601, A$2:A$3601, A2922, B$2:B$3601, B2922), "OPTIMAL", "")</f>
        <v/>
      </c>
    </row>
    <row r="2923" ht="20" customHeight="1">
      <c r="A2923" s="29" t="n">
        <v>-18</v>
      </c>
      <c r="B2923" s="29" t="n">
        <v>40</v>
      </c>
      <c r="C2923" s="30" t="n">
        <v>85</v>
      </c>
      <c r="D2923" s="30" t="n">
        <v>2</v>
      </c>
      <c r="E2923" s="6" t="n">
        <v>0</v>
      </c>
      <c r="F2923" s="30" t="n">
        <v>0</v>
      </c>
      <c r="G2923" s="6" t="inlineStr">
        <is>
          <t>Oui</t>
        </is>
      </c>
      <c r="H2923" s="6" t="inlineStr">
        <is>
          <t>OFF</t>
        </is>
      </c>
      <c r="I2923" s="31" t="n">
        <v>815.012573225423</v>
      </c>
      <c r="J2923" s="31" t="n">
        <v>8308.791548992402</v>
      </c>
      <c r="K2923" s="31" t="n">
        <v>4662.037037037037</v>
      </c>
      <c r="L2923" s="31" t="n">
        <v>150</v>
      </c>
      <c r="M2923" s="31">
        <f>I2923+J2923+K2923+L2923</f>
        <v/>
      </c>
      <c r="N2923" s="31">
        <f>M2923*'Dashboard &amp; Optimisation'!$B$18/('Dashboard &amp; Optimisation'!$B$16/3.6)</f>
        <v/>
      </c>
      <c r="O2923" s="31" t="n">
        <v>716.7967875861725</v>
      </c>
      <c r="P2923" s="32" t="n">
        <v>0.869772376172373</v>
      </c>
      <c r="Q2923" s="33" t="n">
        <v>0.2</v>
      </c>
      <c r="R2923" s="31" t="n">
        <v>585.28678036748</v>
      </c>
      <c r="S2923" s="31">
        <f>R2923*IF(A2923=4, 2.0, 3.0)</f>
        <v/>
      </c>
      <c r="T2923" s="30">
        <f>'Dashboard &amp; Optimisation'!$B$18*U2923</f>
        <v/>
      </c>
      <c r="U2923" s="34">
        <f>MIN(1, S2923/M2923)</f>
        <v/>
      </c>
      <c r="V2923" s="34">
        <f>N2923/(N2923+O2923)</f>
        <v/>
      </c>
      <c r="W2923" s="34">
        <f>U2923*V2923</f>
        <v/>
      </c>
      <c r="X2923" s="32">
        <f>T2923/N2923</f>
        <v/>
      </c>
      <c r="Y2923" s="35">
        <f>IF(W2923=MAXIFS(W$2:W$3601, A$2:A$3601, A2923, B$2:B$3601, B2923), "OPTIMAL", "")</f>
        <v/>
      </c>
    </row>
    <row r="2924" ht="20" customHeight="1">
      <c r="A2924" s="21" t="n">
        <v>-18</v>
      </c>
      <c r="B2924" s="21" t="n">
        <v>40</v>
      </c>
      <c r="C2924" s="22" t="n">
        <v>85</v>
      </c>
      <c r="D2924" s="22" t="n">
        <v>2</v>
      </c>
      <c r="E2924" s="23" t="n">
        <v>0</v>
      </c>
      <c r="F2924" s="22" t="n">
        <v>0</v>
      </c>
      <c r="G2924" s="23" t="inlineStr">
        <is>
          <t>Non</t>
        </is>
      </c>
      <c r="H2924" s="23" t="inlineStr">
        <is>
          <t>ON</t>
        </is>
      </c>
      <c r="I2924" s="24" t="n">
        <v>815.012573225423</v>
      </c>
      <c r="J2924" s="24" t="n">
        <v>8308.791548992402</v>
      </c>
      <c r="K2924" s="24" t="n">
        <v>4662.037037037037</v>
      </c>
      <c r="L2924" s="24" t="n">
        <v>150</v>
      </c>
      <c r="M2924" s="24">
        <f>I2924+J2924+K2924+L2924</f>
        <v/>
      </c>
      <c r="N2924" s="24">
        <f>M2924*'Dashboard &amp; Optimisation'!$B$18/('Dashboard &amp; Optimisation'!$B$16/3.6)</f>
        <v/>
      </c>
      <c r="O2924" s="24" t="n">
        <v>716.7967875861725</v>
      </c>
      <c r="P2924" s="25" t="n">
        <v>0.4915453349422219</v>
      </c>
      <c r="Q2924" s="26" t="n">
        <v>0.2</v>
      </c>
      <c r="R2924" s="24" t="n">
        <v>1035.644603894651</v>
      </c>
      <c r="S2924" s="24">
        <f>R2924*IF(A2924=4, 2.0, 3.0)</f>
        <v/>
      </c>
      <c r="T2924" s="22">
        <f>'Dashboard &amp; Optimisation'!$B$18*U2924</f>
        <v/>
      </c>
      <c r="U2924" s="27">
        <f>MIN(1, S2924/M2924)</f>
        <v/>
      </c>
      <c r="V2924" s="27">
        <f>N2924/(N2924+O2924)</f>
        <v/>
      </c>
      <c r="W2924" s="27">
        <f>U2924*V2924</f>
        <v/>
      </c>
      <c r="X2924" s="25">
        <f>T2924/N2924</f>
        <v/>
      </c>
      <c r="Y2924" s="28">
        <f>IF(W2924=MAXIFS(W$2:W$3601, A$2:A$3601, A2924, B$2:B$3601, B2924), "OPTIMAL", "")</f>
        <v/>
      </c>
    </row>
    <row r="2925" ht="20" customHeight="1">
      <c r="A2925" s="29" t="n">
        <v>-18</v>
      </c>
      <c r="B2925" s="29" t="n">
        <v>40</v>
      </c>
      <c r="C2925" s="30" t="n">
        <v>85</v>
      </c>
      <c r="D2925" s="30" t="n">
        <v>2</v>
      </c>
      <c r="E2925" s="6" t="n">
        <v>0</v>
      </c>
      <c r="F2925" s="30" t="n">
        <v>0</v>
      </c>
      <c r="G2925" s="6" t="inlineStr">
        <is>
          <t>Non</t>
        </is>
      </c>
      <c r="H2925" s="6" t="inlineStr">
        <is>
          <t>OFF</t>
        </is>
      </c>
      <c r="I2925" s="31" t="n">
        <v>815.012573225423</v>
      </c>
      <c r="J2925" s="31" t="n">
        <v>8308.791548992402</v>
      </c>
      <c r="K2925" s="31" t="n">
        <v>4662.037037037037</v>
      </c>
      <c r="L2925" s="31" t="n">
        <v>150</v>
      </c>
      <c r="M2925" s="31">
        <f>I2925+J2925+K2925+L2925</f>
        <v/>
      </c>
      <c r="N2925" s="31">
        <f>M2925*'Dashboard &amp; Optimisation'!$B$18/('Dashboard &amp; Optimisation'!$B$16/3.6)</f>
        <v/>
      </c>
      <c r="O2925" s="31" t="n">
        <v>716.7967875861725</v>
      </c>
      <c r="P2925" s="32" t="n">
        <v>0.8660275539819755</v>
      </c>
      <c r="Q2925" s="33" t="n">
        <v>0.2</v>
      </c>
      <c r="R2925" s="31" t="n">
        <v>587.8176408612237</v>
      </c>
      <c r="S2925" s="31">
        <f>R2925*IF(A2925=4, 2.0, 3.0)</f>
        <v/>
      </c>
      <c r="T2925" s="30">
        <f>'Dashboard &amp; Optimisation'!$B$18*U2925</f>
        <v/>
      </c>
      <c r="U2925" s="34">
        <f>MIN(1, S2925/M2925)</f>
        <v/>
      </c>
      <c r="V2925" s="34">
        <f>N2925/(N2925+O2925)</f>
        <v/>
      </c>
      <c r="W2925" s="34">
        <f>U2925*V2925</f>
        <v/>
      </c>
      <c r="X2925" s="32">
        <f>T2925/N2925</f>
        <v/>
      </c>
      <c r="Y2925" s="35">
        <f>IF(W2925=MAXIFS(W$2:W$3601, A$2:A$3601, A2925, B$2:B$3601, B2925), "OPTIMAL", "")</f>
        <v/>
      </c>
    </row>
    <row r="2926" ht="20" customHeight="1">
      <c r="A2926" s="21" t="n">
        <v>-18</v>
      </c>
      <c r="B2926" s="21" t="n">
        <v>40</v>
      </c>
      <c r="C2926" s="22" t="n">
        <v>85</v>
      </c>
      <c r="D2926" s="22" t="n">
        <v>2</v>
      </c>
      <c r="E2926" s="23" t="n">
        <v>4</v>
      </c>
      <c r="F2926" s="22" t="n">
        <v>1.5</v>
      </c>
      <c r="G2926" s="23" t="inlineStr">
        <is>
          <t>Oui</t>
        </is>
      </c>
      <c r="H2926" s="23" t="inlineStr">
        <is>
          <t>ON</t>
        </is>
      </c>
      <c r="I2926" s="24" t="n">
        <v>815.012573225423</v>
      </c>
      <c r="J2926" s="24" t="n">
        <v>8308.791548992402</v>
      </c>
      <c r="K2926" s="24" t="n">
        <v>4662.037037037037</v>
      </c>
      <c r="L2926" s="24" t="n">
        <v>150</v>
      </c>
      <c r="M2926" s="24">
        <f>I2926+J2926+K2926+L2926</f>
        <v/>
      </c>
      <c r="N2926" s="24">
        <f>M2926*'Dashboard &amp; Optimisation'!$B$18/('Dashboard &amp; Optimisation'!$B$16/3.6)</f>
        <v/>
      </c>
      <c r="O2926" s="24" t="n">
        <v>1151.125517229141</v>
      </c>
      <c r="P2926" s="25" t="n">
        <v>0.07982907988340278</v>
      </c>
      <c r="Q2926" s="26" t="n">
        <v>7.926206185533672</v>
      </c>
      <c r="R2926" s="24" t="n">
        <v>6626.958897766425</v>
      </c>
      <c r="S2926" s="24">
        <f>R2926*IF(A2926=4, 2.0, 3.0)</f>
        <v/>
      </c>
      <c r="T2926" s="22">
        <f>'Dashboard &amp; Optimisation'!$B$18*U2926</f>
        <v/>
      </c>
      <c r="U2926" s="27">
        <f>MIN(1, S2926/M2926)</f>
        <v/>
      </c>
      <c r="V2926" s="27">
        <f>N2926/(N2926+O2926)</f>
        <v/>
      </c>
      <c r="W2926" s="27">
        <f>U2926*V2926</f>
        <v/>
      </c>
      <c r="X2926" s="25">
        <f>T2926/N2926</f>
        <v/>
      </c>
      <c r="Y2926" s="28">
        <f>IF(W2926=MAXIFS(W$2:W$3601, A$2:A$3601, A2926, B$2:B$3601, B2926), "OPTIMAL", "")</f>
        <v/>
      </c>
    </row>
    <row r="2927" ht="20" customHeight="1">
      <c r="A2927" s="29" t="n">
        <v>-18</v>
      </c>
      <c r="B2927" s="29" t="n">
        <v>40</v>
      </c>
      <c r="C2927" s="30" t="n">
        <v>85</v>
      </c>
      <c r="D2927" s="30" t="n">
        <v>2</v>
      </c>
      <c r="E2927" s="6" t="n">
        <v>4</v>
      </c>
      <c r="F2927" s="30" t="n">
        <v>1.5</v>
      </c>
      <c r="G2927" s="6" t="inlineStr">
        <is>
          <t>Oui</t>
        </is>
      </c>
      <c r="H2927" s="6" t="inlineStr">
        <is>
          <t>OFF</t>
        </is>
      </c>
      <c r="I2927" s="31" t="n">
        <v>815.012573225423</v>
      </c>
      <c r="J2927" s="31" t="n">
        <v>8308.791548992402</v>
      </c>
      <c r="K2927" s="31" t="n">
        <v>4662.037037037037</v>
      </c>
      <c r="L2927" s="31" t="n">
        <v>150</v>
      </c>
      <c r="M2927" s="31">
        <f>I2927+J2927+K2927+L2927</f>
        <v/>
      </c>
      <c r="N2927" s="31">
        <f>M2927*'Dashboard &amp; Optimisation'!$B$18/('Dashboard &amp; Optimisation'!$B$16/3.6)</f>
        <v/>
      </c>
      <c r="O2927" s="31" t="n">
        <v>1151.125517229141</v>
      </c>
      <c r="P2927" s="32" t="n">
        <v>0.3422773582181225</v>
      </c>
      <c r="Q2927" s="33" t="n">
        <v>7.926206185533672</v>
      </c>
      <c r="R2927" s="31" t="n">
        <v>1545.600427641178</v>
      </c>
      <c r="S2927" s="31">
        <f>R2927*IF(A2927=4, 2.0, 3.0)</f>
        <v/>
      </c>
      <c r="T2927" s="30">
        <f>'Dashboard &amp; Optimisation'!$B$18*U2927</f>
        <v/>
      </c>
      <c r="U2927" s="34">
        <f>MIN(1, S2927/M2927)</f>
        <v/>
      </c>
      <c r="V2927" s="34">
        <f>N2927/(N2927+O2927)</f>
        <v/>
      </c>
      <c r="W2927" s="34">
        <f>U2927*V2927</f>
        <v/>
      </c>
      <c r="X2927" s="32">
        <f>T2927/N2927</f>
        <v/>
      </c>
      <c r="Y2927" s="35">
        <f>IF(W2927=MAXIFS(W$2:W$3601, A$2:A$3601, A2927, B$2:B$3601, B2927), "OPTIMAL", "")</f>
        <v/>
      </c>
    </row>
    <row r="2928" ht="20" customHeight="1">
      <c r="A2928" s="21" t="n">
        <v>-18</v>
      </c>
      <c r="B2928" s="21" t="n">
        <v>40</v>
      </c>
      <c r="C2928" s="22" t="n">
        <v>85</v>
      </c>
      <c r="D2928" s="22" t="n">
        <v>2</v>
      </c>
      <c r="E2928" s="23" t="n">
        <v>4</v>
      </c>
      <c r="F2928" s="22" t="n">
        <v>1.5</v>
      </c>
      <c r="G2928" s="23" t="inlineStr">
        <is>
          <t>Non</t>
        </is>
      </c>
      <c r="H2928" s="23" t="inlineStr">
        <is>
          <t>ON</t>
        </is>
      </c>
      <c r="I2928" s="24" t="n">
        <v>815.012573225423</v>
      </c>
      <c r="J2928" s="24" t="n">
        <v>8308.791548992402</v>
      </c>
      <c r="K2928" s="24" t="n">
        <v>4662.037037037037</v>
      </c>
      <c r="L2928" s="24" t="n">
        <v>150</v>
      </c>
      <c r="M2928" s="24">
        <f>I2928+J2928+K2928+L2928</f>
        <v/>
      </c>
      <c r="N2928" s="24">
        <f>M2928*'Dashboard &amp; Optimisation'!$B$18/('Dashboard &amp; Optimisation'!$B$16/3.6)</f>
        <v/>
      </c>
      <c r="O2928" s="24" t="n">
        <v>1151.125517229141</v>
      </c>
      <c r="P2928" s="25" t="n">
        <v>0.07608425769300524</v>
      </c>
      <c r="Q2928" s="26" t="n">
        <v>7.926206185533672</v>
      </c>
      <c r="R2928" s="24" t="n">
        <v>6953.133897532372</v>
      </c>
      <c r="S2928" s="24">
        <f>R2928*IF(A2928=4, 2.0, 3.0)</f>
        <v/>
      </c>
      <c r="T2928" s="22">
        <f>'Dashboard &amp; Optimisation'!$B$18*U2928</f>
        <v/>
      </c>
      <c r="U2928" s="27">
        <f>MIN(1, S2928/M2928)</f>
        <v/>
      </c>
      <c r="V2928" s="27">
        <f>N2928/(N2928+O2928)</f>
        <v/>
      </c>
      <c r="W2928" s="27">
        <f>U2928*V2928</f>
        <v/>
      </c>
      <c r="X2928" s="25">
        <f>T2928/N2928</f>
        <v/>
      </c>
      <c r="Y2928" s="28">
        <f>IF(W2928=MAXIFS(W$2:W$3601, A$2:A$3601, A2928, B$2:B$3601, B2928), "OPTIMAL", "")</f>
        <v/>
      </c>
    </row>
    <row r="2929" ht="20" customHeight="1">
      <c r="A2929" s="29" t="n">
        <v>-18</v>
      </c>
      <c r="B2929" s="29" t="n">
        <v>40</v>
      </c>
      <c r="C2929" s="30" t="n">
        <v>85</v>
      </c>
      <c r="D2929" s="30" t="n">
        <v>2</v>
      </c>
      <c r="E2929" s="6" t="n">
        <v>4</v>
      </c>
      <c r="F2929" s="30" t="n">
        <v>1.5</v>
      </c>
      <c r="G2929" s="6" t="inlineStr">
        <is>
          <t>Non</t>
        </is>
      </c>
      <c r="H2929" s="6" t="inlineStr">
        <is>
          <t>OFF</t>
        </is>
      </c>
      <c r="I2929" s="31" t="n">
        <v>815.012573225423</v>
      </c>
      <c r="J2929" s="31" t="n">
        <v>8308.791548992402</v>
      </c>
      <c r="K2929" s="31" t="n">
        <v>4662.037037037037</v>
      </c>
      <c r="L2929" s="31" t="n">
        <v>150</v>
      </c>
      <c r="M2929" s="31">
        <f>I2929+J2929+K2929+L2929</f>
        <v/>
      </c>
      <c r="N2929" s="31">
        <f>M2929*'Dashboard &amp; Optimisation'!$B$18/('Dashboard &amp; Optimisation'!$B$16/3.6)</f>
        <v/>
      </c>
      <c r="O2929" s="31" t="n">
        <v>1151.125517229141</v>
      </c>
      <c r="P2929" s="32" t="n">
        <v>0.338532536027725</v>
      </c>
      <c r="Q2929" s="33" t="n">
        <v>7.926206185533672</v>
      </c>
      <c r="R2929" s="31" t="n">
        <v>1562.697746696043</v>
      </c>
      <c r="S2929" s="31">
        <f>R2929*IF(A2929=4, 2.0, 3.0)</f>
        <v/>
      </c>
      <c r="T2929" s="30">
        <f>'Dashboard &amp; Optimisation'!$B$18*U2929</f>
        <v/>
      </c>
      <c r="U2929" s="34">
        <f>MIN(1, S2929/M2929)</f>
        <v/>
      </c>
      <c r="V2929" s="34">
        <f>N2929/(N2929+O2929)</f>
        <v/>
      </c>
      <c r="W2929" s="34">
        <f>U2929*V2929</f>
        <v/>
      </c>
      <c r="X2929" s="32">
        <f>T2929/N2929</f>
        <v/>
      </c>
      <c r="Y2929" s="35">
        <f>IF(W2929=MAXIFS(W$2:W$3601, A$2:A$3601, A2929, B$2:B$3601, B2929), "OPTIMAL", "")</f>
        <v/>
      </c>
    </row>
    <row r="2930" ht="20" customHeight="1">
      <c r="A2930" s="21" t="n">
        <v>-18</v>
      </c>
      <c r="B2930" s="21" t="n">
        <v>40</v>
      </c>
      <c r="C2930" s="22" t="n">
        <v>85</v>
      </c>
      <c r="D2930" s="22" t="n">
        <v>2</v>
      </c>
      <c r="E2930" s="23" t="n">
        <v>4</v>
      </c>
      <c r="F2930" s="22" t="n">
        <v>2</v>
      </c>
      <c r="G2930" s="23" t="inlineStr">
        <is>
          <t>Oui</t>
        </is>
      </c>
      <c r="H2930" s="23" t="inlineStr">
        <is>
          <t>ON</t>
        </is>
      </c>
      <c r="I2930" s="24" t="n">
        <v>815.012573225423</v>
      </c>
      <c r="J2930" s="24" t="n">
        <v>8308.791548992402</v>
      </c>
      <c r="K2930" s="24" t="n">
        <v>4662.037037037037</v>
      </c>
      <c r="L2930" s="24" t="n">
        <v>150</v>
      </c>
      <c r="M2930" s="24">
        <f>I2930+J2930+K2930+L2930</f>
        <v/>
      </c>
      <c r="N2930" s="24">
        <f>M2930*'Dashboard &amp; Optimisation'!$B$18/('Dashboard &amp; Optimisation'!$B$16/3.6)</f>
        <v/>
      </c>
      <c r="O2930" s="24" t="n">
        <v>1303.569834856223</v>
      </c>
      <c r="P2930" s="25" t="n">
        <v>0.07761847907948814</v>
      </c>
      <c r="Q2930" s="26" t="n">
        <v>10.50160824737823</v>
      </c>
      <c r="R2930" s="24" t="n">
        <v>6905.945306782158</v>
      </c>
      <c r="S2930" s="24">
        <f>R2930*IF(A2930=4, 2.0, 3.0)</f>
        <v/>
      </c>
      <c r="T2930" s="22">
        <f>'Dashboard &amp; Optimisation'!$B$18*U2930</f>
        <v/>
      </c>
      <c r="U2930" s="27">
        <f>MIN(1, S2930/M2930)</f>
        <v/>
      </c>
      <c r="V2930" s="27">
        <f>N2930/(N2930+O2930)</f>
        <v/>
      </c>
      <c r="W2930" s="27">
        <f>U2930*V2930</f>
        <v/>
      </c>
      <c r="X2930" s="25">
        <f>T2930/N2930</f>
        <v/>
      </c>
      <c r="Y2930" s="28">
        <f>IF(W2930=MAXIFS(W$2:W$3601, A$2:A$3601, A2930, B$2:B$3601, B2930), "OPTIMAL", "")</f>
        <v/>
      </c>
    </row>
    <row r="2931" ht="20" customHeight="1">
      <c r="A2931" s="29" t="n">
        <v>-18</v>
      </c>
      <c r="B2931" s="29" t="n">
        <v>40</v>
      </c>
      <c r="C2931" s="30" t="n">
        <v>85</v>
      </c>
      <c r="D2931" s="30" t="n">
        <v>2</v>
      </c>
      <c r="E2931" s="6" t="n">
        <v>4</v>
      </c>
      <c r="F2931" s="30" t="n">
        <v>2</v>
      </c>
      <c r="G2931" s="6" t="inlineStr">
        <is>
          <t>Oui</t>
        </is>
      </c>
      <c r="H2931" s="6" t="inlineStr">
        <is>
          <t>OFF</t>
        </is>
      </c>
      <c r="I2931" s="31" t="n">
        <v>815.012573225423</v>
      </c>
      <c r="J2931" s="31" t="n">
        <v>8308.791548992402</v>
      </c>
      <c r="K2931" s="31" t="n">
        <v>4662.037037037037</v>
      </c>
      <c r="L2931" s="31" t="n">
        <v>150</v>
      </c>
      <c r="M2931" s="31">
        <f>I2931+J2931+K2931+L2931</f>
        <v/>
      </c>
      <c r="N2931" s="31">
        <f>M2931*'Dashboard &amp; Optimisation'!$B$18/('Dashboard &amp; Optimisation'!$B$16/3.6)</f>
        <v/>
      </c>
      <c r="O2931" s="31" t="n">
        <v>1303.569834856223</v>
      </c>
      <c r="P2931" s="32" t="n">
        <v>0.3414492073746781</v>
      </c>
      <c r="Q2931" s="33" t="n">
        <v>10.50160824737823</v>
      </c>
      <c r="R2931" s="31" t="n">
        <v>1569.864447599571</v>
      </c>
      <c r="S2931" s="31">
        <f>R2931*IF(A2931=4, 2.0, 3.0)</f>
        <v/>
      </c>
      <c r="T2931" s="30">
        <f>'Dashboard &amp; Optimisation'!$B$18*U2931</f>
        <v/>
      </c>
      <c r="U2931" s="34">
        <f>MIN(1, S2931/M2931)</f>
        <v/>
      </c>
      <c r="V2931" s="34">
        <f>N2931/(N2931+O2931)</f>
        <v/>
      </c>
      <c r="W2931" s="34">
        <f>U2931*V2931</f>
        <v/>
      </c>
      <c r="X2931" s="32">
        <f>T2931/N2931</f>
        <v/>
      </c>
      <c r="Y2931" s="35">
        <f>IF(W2931=MAXIFS(W$2:W$3601, A$2:A$3601, A2931, B$2:B$3601, B2931), "OPTIMAL", "")</f>
        <v/>
      </c>
    </row>
    <row r="2932" ht="20" customHeight="1">
      <c r="A2932" s="21" t="n">
        <v>-18</v>
      </c>
      <c r="B2932" s="21" t="n">
        <v>40</v>
      </c>
      <c r="C2932" s="22" t="n">
        <v>85</v>
      </c>
      <c r="D2932" s="22" t="n">
        <v>2</v>
      </c>
      <c r="E2932" s="23" t="n">
        <v>4</v>
      </c>
      <c r="F2932" s="22" t="n">
        <v>2</v>
      </c>
      <c r="G2932" s="23" t="inlineStr">
        <is>
          <t>Non</t>
        </is>
      </c>
      <c r="H2932" s="23" t="inlineStr">
        <is>
          <t>ON</t>
        </is>
      </c>
      <c r="I2932" s="24" t="n">
        <v>815.012573225423</v>
      </c>
      <c r="J2932" s="24" t="n">
        <v>8308.791548992402</v>
      </c>
      <c r="K2932" s="24" t="n">
        <v>4662.037037037037</v>
      </c>
      <c r="L2932" s="24" t="n">
        <v>150</v>
      </c>
      <c r="M2932" s="24">
        <f>I2932+J2932+K2932+L2932</f>
        <v/>
      </c>
      <c r="N2932" s="24">
        <f>M2932*'Dashboard &amp; Optimisation'!$B$18/('Dashboard &amp; Optimisation'!$B$16/3.6)</f>
        <v/>
      </c>
      <c r="O2932" s="24" t="n">
        <v>1303.569834856223</v>
      </c>
      <c r="P2932" s="25" t="n">
        <v>0.0738736568890906</v>
      </c>
      <c r="Q2932" s="26" t="n">
        <v>10.50160824737823</v>
      </c>
      <c r="R2932" s="24" t="n">
        <v>7256.02324145563</v>
      </c>
      <c r="S2932" s="24">
        <f>R2932*IF(A2932=4, 2.0, 3.0)</f>
        <v/>
      </c>
      <c r="T2932" s="22">
        <f>'Dashboard &amp; Optimisation'!$B$18*U2932</f>
        <v/>
      </c>
      <c r="U2932" s="27">
        <f>MIN(1, S2932/M2932)</f>
        <v/>
      </c>
      <c r="V2932" s="27">
        <f>N2932/(N2932+O2932)</f>
        <v/>
      </c>
      <c r="W2932" s="27">
        <f>U2932*V2932</f>
        <v/>
      </c>
      <c r="X2932" s="25">
        <f>T2932/N2932</f>
        <v/>
      </c>
      <c r="Y2932" s="28">
        <f>IF(W2932=MAXIFS(W$2:W$3601, A$2:A$3601, A2932, B$2:B$3601, B2932), "OPTIMAL", "")</f>
        <v/>
      </c>
    </row>
    <row r="2933" ht="20" customHeight="1">
      <c r="A2933" s="29" t="n">
        <v>-18</v>
      </c>
      <c r="B2933" s="29" t="n">
        <v>40</v>
      </c>
      <c r="C2933" s="30" t="n">
        <v>85</v>
      </c>
      <c r="D2933" s="30" t="n">
        <v>2</v>
      </c>
      <c r="E2933" s="6" t="n">
        <v>4</v>
      </c>
      <c r="F2933" s="30" t="n">
        <v>2</v>
      </c>
      <c r="G2933" s="6" t="inlineStr">
        <is>
          <t>Non</t>
        </is>
      </c>
      <c r="H2933" s="6" t="inlineStr">
        <is>
          <t>OFF</t>
        </is>
      </c>
      <c r="I2933" s="31" t="n">
        <v>815.012573225423</v>
      </c>
      <c r="J2933" s="31" t="n">
        <v>8308.791548992402</v>
      </c>
      <c r="K2933" s="31" t="n">
        <v>4662.037037037037</v>
      </c>
      <c r="L2933" s="31" t="n">
        <v>150</v>
      </c>
      <c r="M2933" s="31">
        <f>I2933+J2933+K2933+L2933</f>
        <v/>
      </c>
      <c r="N2933" s="31">
        <f>M2933*'Dashboard &amp; Optimisation'!$B$18/('Dashboard &amp; Optimisation'!$B$16/3.6)</f>
        <v/>
      </c>
      <c r="O2933" s="31" t="n">
        <v>1303.569834856223</v>
      </c>
      <c r="P2933" s="32" t="n">
        <v>0.3377043851842806</v>
      </c>
      <c r="Q2933" s="33" t="n">
        <v>10.50160824737823</v>
      </c>
      <c r="R2933" s="31" t="n">
        <v>1587.272759357438</v>
      </c>
      <c r="S2933" s="31">
        <f>R2933*IF(A2933=4, 2.0, 3.0)</f>
        <v/>
      </c>
      <c r="T2933" s="30">
        <f>'Dashboard &amp; Optimisation'!$B$18*U2933</f>
        <v/>
      </c>
      <c r="U2933" s="34">
        <f>MIN(1, S2933/M2933)</f>
        <v/>
      </c>
      <c r="V2933" s="34">
        <f>N2933/(N2933+O2933)</f>
        <v/>
      </c>
      <c r="W2933" s="34">
        <f>U2933*V2933</f>
        <v/>
      </c>
      <c r="X2933" s="32">
        <f>T2933/N2933</f>
        <v/>
      </c>
      <c r="Y2933" s="35">
        <f>IF(W2933=MAXIFS(W$2:W$3601, A$2:A$3601, A2933, B$2:B$3601, B2933), "OPTIMAL", "")</f>
        <v/>
      </c>
    </row>
    <row r="2934" ht="20" customHeight="1">
      <c r="A2934" s="21" t="n">
        <v>-18</v>
      </c>
      <c r="B2934" s="21" t="n">
        <v>40</v>
      </c>
      <c r="C2934" s="22" t="n">
        <v>85</v>
      </c>
      <c r="D2934" s="22" t="n">
        <v>2</v>
      </c>
      <c r="E2934" s="23" t="n">
        <v>8</v>
      </c>
      <c r="F2934" s="22" t="n">
        <v>1.5</v>
      </c>
      <c r="G2934" s="23" t="inlineStr">
        <is>
          <t>Oui</t>
        </is>
      </c>
      <c r="H2934" s="23" t="inlineStr">
        <is>
          <t>ON</t>
        </is>
      </c>
      <c r="I2934" s="24" t="n">
        <v>815.012573225423</v>
      </c>
      <c r="J2934" s="24" t="n">
        <v>8308.791548992402</v>
      </c>
      <c r="K2934" s="24" t="n">
        <v>4662.037037037037</v>
      </c>
      <c r="L2934" s="24" t="n">
        <v>150</v>
      </c>
      <c r="M2934" s="24">
        <f>I2934+J2934+K2934+L2934</f>
        <v/>
      </c>
      <c r="N2934" s="24">
        <f>M2934*'Dashboard &amp; Optimisation'!$B$18/('Dashboard &amp; Optimisation'!$B$16/3.6)</f>
        <v/>
      </c>
      <c r="O2934" s="24" t="n">
        <v>1620.899254221226</v>
      </c>
      <c r="P2934" s="25" t="n">
        <v>0.05983888553171247</v>
      </c>
      <c r="Q2934" s="26" t="n">
        <v>15.65241237106734</v>
      </c>
      <c r="R2934" s="24" t="n">
        <v>9201.550308290536</v>
      </c>
      <c r="S2934" s="24">
        <f>R2934*IF(A2934=4, 2.0, 3.0)</f>
        <v/>
      </c>
      <c r="T2934" s="22">
        <f>'Dashboard &amp; Optimisation'!$B$18*U2934</f>
        <v/>
      </c>
      <c r="U2934" s="27">
        <f>MIN(1, S2934/M2934)</f>
        <v/>
      </c>
      <c r="V2934" s="27">
        <f>N2934/(N2934+O2934)</f>
        <v/>
      </c>
      <c r="W2934" s="27">
        <f>U2934*V2934</f>
        <v/>
      </c>
      <c r="X2934" s="25">
        <f>T2934/N2934</f>
        <v/>
      </c>
      <c r="Y2934" s="28">
        <f>IF(W2934=MAXIFS(W$2:W$3601, A$2:A$3601, A2934, B$2:B$3601, B2934), "OPTIMAL", "")</f>
        <v/>
      </c>
    </row>
    <row r="2935" ht="20" customHeight="1">
      <c r="A2935" s="29" t="n">
        <v>-18</v>
      </c>
      <c r="B2935" s="29" t="n">
        <v>40</v>
      </c>
      <c r="C2935" s="30" t="n">
        <v>85</v>
      </c>
      <c r="D2935" s="30" t="n">
        <v>2</v>
      </c>
      <c r="E2935" s="6" t="n">
        <v>8</v>
      </c>
      <c r="F2935" s="30" t="n">
        <v>1.5</v>
      </c>
      <c r="G2935" s="6" t="inlineStr">
        <is>
          <t>Oui</t>
        </is>
      </c>
      <c r="H2935" s="6" t="inlineStr">
        <is>
          <t>OFF</t>
        </is>
      </c>
      <c r="I2935" s="31" t="n">
        <v>815.012573225423</v>
      </c>
      <c r="J2935" s="31" t="n">
        <v>8308.791548992402</v>
      </c>
      <c r="K2935" s="31" t="n">
        <v>4662.037037037037</v>
      </c>
      <c r="L2935" s="31" t="n">
        <v>150</v>
      </c>
      <c r="M2935" s="31">
        <f>I2935+J2935+K2935+L2935</f>
        <v/>
      </c>
      <c r="N2935" s="31">
        <f>M2935*'Dashboard &amp; Optimisation'!$B$18/('Dashboard &amp; Optimisation'!$B$16/3.6)</f>
        <v/>
      </c>
      <c r="O2935" s="31" t="n">
        <v>1620.899254221226</v>
      </c>
      <c r="P2935" s="32" t="n">
        <v>0.261849893463025</v>
      </c>
      <c r="Q2935" s="33" t="n">
        <v>15.65241237106734</v>
      </c>
      <c r="R2935" s="31" t="n">
        <v>2102.771585392457</v>
      </c>
      <c r="S2935" s="31">
        <f>R2935*IF(A2935=4, 2.0, 3.0)</f>
        <v/>
      </c>
      <c r="T2935" s="30">
        <f>'Dashboard &amp; Optimisation'!$B$18*U2935</f>
        <v/>
      </c>
      <c r="U2935" s="34">
        <f>MIN(1, S2935/M2935)</f>
        <v/>
      </c>
      <c r="V2935" s="34">
        <f>N2935/(N2935+O2935)</f>
        <v/>
      </c>
      <c r="W2935" s="34">
        <f>U2935*V2935</f>
        <v/>
      </c>
      <c r="X2935" s="32">
        <f>T2935/N2935</f>
        <v/>
      </c>
      <c r="Y2935" s="35">
        <f>IF(W2935=MAXIFS(W$2:W$3601, A$2:A$3601, A2935, B$2:B$3601, B2935), "OPTIMAL", "")</f>
        <v/>
      </c>
    </row>
    <row r="2936" ht="20" customHeight="1">
      <c r="A2936" s="21" t="n">
        <v>-18</v>
      </c>
      <c r="B2936" s="21" t="n">
        <v>40</v>
      </c>
      <c r="C2936" s="22" t="n">
        <v>85</v>
      </c>
      <c r="D2936" s="22" t="n">
        <v>2</v>
      </c>
      <c r="E2936" s="23" t="n">
        <v>8</v>
      </c>
      <c r="F2936" s="22" t="n">
        <v>1.5</v>
      </c>
      <c r="G2936" s="23" t="inlineStr">
        <is>
          <t>Non</t>
        </is>
      </c>
      <c r="H2936" s="23" t="inlineStr">
        <is>
          <t>ON</t>
        </is>
      </c>
      <c r="I2936" s="24" t="n">
        <v>815.012573225423</v>
      </c>
      <c r="J2936" s="24" t="n">
        <v>8308.791548992402</v>
      </c>
      <c r="K2936" s="24" t="n">
        <v>4662.037037037037</v>
      </c>
      <c r="L2936" s="24" t="n">
        <v>150</v>
      </c>
      <c r="M2936" s="24">
        <f>I2936+J2936+K2936+L2936</f>
        <v/>
      </c>
      <c r="N2936" s="24">
        <f>M2936*'Dashboard &amp; Optimisation'!$B$18/('Dashboard &amp; Optimisation'!$B$16/3.6)</f>
        <v/>
      </c>
      <c r="O2936" s="24" t="n">
        <v>1620.899254221226</v>
      </c>
      <c r="P2936" s="25" t="n">
        <v>0.05609406334131493</v>
      </c>
      <c r="Q2936" s="26" t="n">
        <v>15.65241237106734</v>
      </c>
      <c r="R2936" s="24" t="n">
        <v>9815.842939774166</v>
      </c>
      <c r="S2936" s="24">
        <f>R2936*IF(A2936=4, 2.0, 3.0)</f>
        <v/>
      </c>
      <c r="T2936" s="22">
        <f>'Dashboard &amp; Optimisation'!$B$18*U2936</f>
        <v/>
      </c>
      <c r="U2936" s="27">
        <f>MIN(1, S2936/M2936)</f>
        <v/>
      </c>
      <c r="V2936" s="27">
        <f>N2936/(N2936+O2936)</f>
        <v/>
      </c>
      <c r="W2936" s="27">
        <f>U2936*V2936</f>
        <v/>
      </c>
      <c r="X2936" s="25">
        <f>T2936/N2936</f>
        <v/>
      </c>
      <c r="Y2936" s="28">
        <f>IF(W2936=MAXIFS(W$2:W$3601, A$2:A$3601, A2936, B$2:B$3601, B2936), "OPTIMAL", "")</f>
        <v/>
      </c>
    </row>
    <row r="2937" ht="20" customHeight="1">
      <c r="A2937" s="29" t="n">
        <v>-18</v>
      </c>
      <c r="B2937" s="29" t="n">
        <v>40</v>
      </c>
      <c r="C2937" s="30" t="n">
        <v>85</v>
      </c>
      <c r="D2937" s="30" t="n">
        <v>2</v>
      </c>
      <c r="E2937" s="6" t="n">
        <v>8</v>
      </c>
      <c r="F2937" s="30" t="n">
        <v>1.5</v>
      </c>
      <c r="G2937" s="6" t="inlineStr">
        <is>
          <t>Non</t>
        </is>
      </c>
      <c r="H2937" s="6" t="inlineStr">
        <is>
          <t>OFF</t>
        </is>
      </c>
      <c r="I2937" s="31" t="n">
        <v>815.012573225423</v>
      </c>
      <c r="J2937" s="31" t="n">
        <v>8308.791548992402</v>
      </c>
      <c r="K2937" s="31" t="n">
        <v>4662.037037037037</v>
      </c>
      <c r="L2937" s="31" t="n">
        <v>150</v>
      </c>
      <c r="M2937" s="31">
        <f>I2937+J2937+K2937+L2937</f>
        <v/>
      </c>
      <c r="N2937" s="31">
        <f>M2937*'Dashboard &amp; Optimisation'!$B$18/('Dashboard &amp; Optimisation'!$B$16/3.6)</f>
        <v/>
      </c>
      <c r="O2937" s="31" t="n">
        <v>1620.899254221226</v>
      </c>
      <c r="P2937" s="32" t="n">
        <v>0.2581050712726274</v>
      </c>
      <c r="Q2937" s="33" t="n">
        <v>15.65241237106734</v>
      </c>
      <c r="R2937" s="31" t="n">
        <v>2133.280500445883</v>
      </c>
      <c r="S2937" s="31">
        <f>R2937*IF(A2937=4, 2.0, 3.0)</f>
        <v/>
      </c>
      <c r="T2937" s="30">
        <f>'Dashboard &amp; Optimisation'!$B$18*U2937</f>
        <v/>
      </c>
      <c r="U2937" s="34">
        <f>MIN(1, S2937/M2937)</f>
        <v/>
      </c>
      <c r="V2937" s="34">
        <f>N2937/(N2937+O2937)</f>
        <v/>
      </c>
      <c r="W2937" s="34">
        <f>U2937*V2937</f>
        <v/>
      </c>
      <c r="X2937" s="32">
        <f>T2937/N2937</f>
        <v/>
      </c>
      <c r="Y2937" s="35">
        <f>IF(W2937=MAXIFS(W$2:W$3601, A$2:A$3601, A2937, B$2:B$3601, B2937), "OPTIMAL", "")</f>
        <v/>
      </c>
    </row>
    <row r="2938" ht="20" customHeight="1">
      <c r="A2938" s="21" t="n">
        <v>-18</v>
      </c>
      <c r="B2938" s="21" t="n">
        <v>40</v>
      </c>
      <c r="C2938" s="22" t="n">
        <v>85</v>
      </c>
      <c r="D2938" s="22" t="n">
        <v>2</v>
      </c>
      <c r="E2938" s="23" t="n">
        <v>8</v>
      </c>
      <c r="F2938" s="22" t="n">
        <v>2</v>
      </c>
      <c r="G2938" s="23" t="inlineStr">
        <is>
          <t>Oui</t>
        </is>
      </c>
      <c r="H2938" s="23" t="inlineStr">
        <is>
          <t>ON</t>
        </is>
      </c>
      <c r="I2938" s="24" t="n">
        <v>815.012573225423</v>
      </c>
      <c r="J2938" s="24" t="n">
        <v>8308.791548992402</v>
      </c>
      <c r="K2938" s="24" t="n">
        <v>4662.037037037037</v>
      </c>
      <c r="L2938" s="24" t="n">
        <v>150</v>
      </c>
      <c r="M2938" s="24">
        <f>I2938+J2938+K2938+L2938</f>
        <v/>
      </c>
      <c r="N2938" s="24">
        <f>M2938*'Dashboard &amp; Optimisation'!$B$18/('Dashboard &amp; Optimisation'!$B$16/3.6)</f>
        <v/>
      </c>
      <c r="O2938" s="24" t="n">
        <v>1955.976015865814</v>
      </c>
      <c r="P2938" s="25" t="n">
        <v>0.0588807326139491</v>
      </c>
      <c r="Q2938" s="26" t="n">
        <v>20.80321649475646</v>
      </c>
      <c r="R2938" s="24" t="n">
        <v>9612.78060845764</v>
      </c>
      <c r="S2938" s="24">
        <f>R2938*IF(A2938=4, 2.0, 3.0)</f>
        <v/>
      </c>
      <c r="T2938" s="22">
        <f>'Dashboard &amp; Optimisation'!$B$18*U2938</f>
        <v/>
      </c>
      <c r="U2938" s="27">
        <f>MIN(1, S2938/M2938)</f>
        <v/>
      </c>
      <c r="V2938" s="27">
        <f>N2938/(N2938+O2938)</f>
        <v/>
      </c>
      <c r="W2938" s="27">
        <f>U2938*V2938</f>
        <v/>
      </c>
      <c r="X2938" s="25">
        <f>T2938/N2938</f>
        <v/>
      </c>
      <c r="Y2938" s="28">
        <f>IF(W2938=MAXIFS(W$2:W$3601, A$2:A$3601, A2938, B$2:B$3601, B2938), "OPTIMAL", "")</f>
        <v/>
      </c>
    </row>
    <row r="2939" ht="20" customHeight="1">
      <c r="A2939" s="29" t="n">
        <v>-18</v>
      </c>
      <c r="B2939" s="29" t="n">
        <v>40</v>
      </c>
      <c r="C2939" s="30" t="n">
        <v>85</v>
      </c>
      <c r="D2939" s="30" t="n">
        <v>2</v>
      </c>
      <c r="E2939" s="6" t="n">
        <v>8</v>
      </c>
      <c r="F2939" s="30" t="n">
        <v>2</v>
      </c>
      <c r="G2939" s="6" t="inlineStr">
        <is>
          <t>Oui</t>
        </is>
      </c>
      <c r="H2939" s="6" t="inlineStr">
        <is>
          <t>OFF</t>
        </is>
      </c>
      <c r="I2939" s="31" t="n">
        <v>815.012573225423</v>
      </c>
      <c r="J2939" s="31" t="n">
        <v>8308.791548992402</v>
      </c>
      <c r="K2939" s="31" t="n">
        <v>4662.037037037037</v>
      </c>
      <c r="L2939" s="31" t="n">
        <v>150</v>
      </c>
      <c r="M2939" s="31">
        <f>I2939+J2939+K2939+L2939</f>
        <v/>
      </c>
      <c r="N2939" s="31">
        <f>M2939*'Dashboard &amp; Optimisation'!$B$18/('Dashboard &amp; Optimisation'!$B$16/3.6)</f>
        <v/>
      </c>
      <c r="O2939" s="31" t="n">
        <v>1955.976015865814</v>
      </c>
      <c r="P2939" s="32" t="n">
        <v>0.2625350412538471</v>
      </c>
      <c r="Q2939" s="33" t="n">
        <v>20.80321649475646</v>
      </c>
      <c r="R2939" s="31" t="n">
        <v>2155.93149767719</v>
      </c>
      <c r="S2939" s="31">
        <f>R2939*IF(A2939=4, 2.0, 3.0)</f>
        <v/>
      </c>
      <c r="T2939" s="30">
        <f>'Dashboard &amp; Optimisation'!$B$18*U2939</f>
        <v/>
      </c>
      <c r="U2939" s="34">
        <f>MIN(1, S2939/M2939)</f>
        <v/>
      </c>
      <c r="V2939" s="34">
        <f>N2939/(N2939+O2939)</f>
        <v/>
      </c>
      <c r="W2939" s="34">
        <f>U2939*V2939</f>
        <v/>
      </c>
      <c r="X2939" s="32">
        <f>T2939/N2939</f>
        <v/>
      </c>
      <c r="Y2939" s="35">
        <f>IF(W2939=MAXIFS(W$2:W$3601, A$2:A$3601, A2939, B$2:B$3601, B2939), "OPTIMAL", "")</f>
        <v/>
      </c>
    </row>
    <row r="2940" ht="20" customHeight="1">
      <c r="A2940" s="21" t="n">
        <v>-18</v>
      </c>
      <c r="B2940" s="21" t="n">
        <v>40</v>
      </c>
      <c r="C2940" s="22" t="n">
        <v>85</v>
      </c>
      <c r="D2940" s="22" t="n">
        <v>2</v>
      </c>
      <c r="E2940" s="23" t="n">
        <v>8</v>
      </c>
      <c r="F2940" s="22" t="n">
        <v>2</v>
      </c>
      <c r="G2940" s="23" t="inlineStr">
        <is>
          <t>Non</t>
        </is>
      </c>
      <c r="H2940" s="23" t="inlineStr">
        <is>
          <t>ON</t>
        </is>
      </c>
      <c r="I2940" s="24" t="n">
        <v>815.012573225423</v>
      </c>
      <c r="J2940" s="24" t="n">
        <v>8308.791548992402</v>
      </c>
      <c r="K2940" s="24" t="n">
        <v>4662.037037037037</v>
      </c>
      <c r="L2940" s="24" t="n">
        <v>150</v>
      </c>
      <c r="M2940" s="24">
        <f>I2940+J2940+K2940+L2940</f>
        <v/>
      </c>
      <c r="N2940" s="24">
        <f>M2940*'Dashboard &amp; Optimisation'!$B$18/('Dashboard &amp; Optimisation'!$B$16/3.6)</f>
        <v/>
      </c>
      <c r="O2940" s="24" t="n">
        <v>1955.976015865814</v>
      </c>
      <c r="P2940" s="25" t="n">
        <v>0.05513591042355157</v>
      </c>
      <c r="Q2940" s="26" t="n">
        <v>20.80321649475646</v>
      </c>
      <c r="R2940" s="24" t="n">
        <v>10265.67912518547</v>
      </c>
      <c r="S2940" s="24">
        <f>R2940*IF(A2940=4, 2.0, 3.0)</f>
        <v/>
      </c>
      <c r="T2940" s="22">
        <f>'Dashboard &amp; Optimisation'!$B$18*U2940</f>
        <v/>
      </c>
      <c r="U2940" s="27">
        <f>MIN(1, S2940/M2940)</f>
        <v/>
      </c>
      <c r="V2940" s="27">
        <f>N2940/(N2940+O2940)</f>
        <v/>
      </c>
      <c r="W2940" s="27">
        <f>U2940*V2940</f>
        <v/>
      </c>
      <c r="X2940" s="25">
        <f>T2940/N2940</f>
        <v/>
      </c>
      <c r="Y2940" s="28">
        <f>IF(W2940=MAXIFS(W$2:W$3601, A$2:A$3601, A2940, B$2:B$3601, B2940), "OPTIMAL", "")</f>
        <v/>
      </c>
    </row>
    <row r="2941" ht="20" customHeight="1">
      <c r="A2941" s="29" t="n">
        <v>-18</v>
      </c>
      <c r="B2941" s="29" t="n">
        <v>40</v>
      </c>
      <c r="C2941" s="30" t="n">
        <v>85</v>
      </c>
      <c r="D2941" s="30" t="n">
        <v>2</v>
      </c>
      <c r="E2941" s="6" t="n">
        <v>8</v>
      </c>
      <c r="F2941" s="30" t="n">
        <v>2</v>
      </c>
      <c r="G2941" s="6" t="inlineStr">
        <is>
          <t>Non</t>
        </is>
      </c>
      <c r="H2941" s="6" t="inlineStr">
        <is>
          <t>OFF</t>
        </is>
      </c>
      <c r="I2941" s="31" t="n">
        <v>815.012573225423</v>
      </c>
      <c r="J2941" s="31" t="n">
        <v>8308.791548992402</v>
      </c>
      <c r="K2941" s="31" t="n">
        <v>4662.037037037037</v>
      </c>
      <c r="L2941" s="31" t="n">
        <v>150</v>
      </c>
      <c r="M2941" s="31">
        <f>I2941+J2941+K2941+L2941</f>
        <v/>
      </c>
      <c r="N2941" s="31">
        <f>M2941*'Dashboard &amp; Optimisation'!$B$18/('Dashboard &amp; Optimisation'!$B$16/3.6)</f>
        <v/>
      </c>
      <c r="O2941" s="31" t="n">
        <v>1955.976015865814</v>
      </c>
      <c r="P2941" s="32" t="n">
        <v>0.2587902190634496</v>
      </c>
      <c r="Q2941" s="33" t="n">
        <v>20.80321649475646</v>
      </c>
      <c r="R2941" s="31" t="n">
        <v>2187.12889046389</v>
      </c>
      <c r="S2941" s="31">
        <f>R2941*IF(A2941=4, 2.0, 3.0)</f>
        <v/>
      </c>
      <c r="T2941" s="30">
        <f>'Dashboard &amp; Optimisation'!$B$18*U2941</f>
        <v/>
      </c>
      <c r="U2941" s="34">
        <f>MIN(1, S2941/M2941)</f>
        <v/>
      </c>
      <c r="V2941" s="34">
        <f>N2941/(N2941+O2941)</f>
        <v/>
      </c>
      <c r="W2941" s="34">
        <f>U2941*V2941</f>
        <v/>
      </c>
      <c r="X2941" s="32">
        <f>T2941/N2941</f>
        <v/>
      </c>
      <c r="Y2941" s="35">
        <f>IF(W2941=MAXIFS(W$2:W$3601, A$2:A$3601, A2941, B$2:B$3601, B2941), "OPTIMAL", "")</f>
        <v/>
      </c>
    </row>
    <row r="2942" ht="20" customHeight="1">
      <c r="A2942" s="21" t="n">
        <v>-18</v>
      </c>
      <c r="B2942" s="21" t="n">
        <v>40</v>
      </c>
      <c r="C2942" s="22" t="n">
        <v>85</v>
      </c>
      <c r="D2942" s="22" t="n">
        <v>3</v>
      </c>
      <c r="E2942" s="23" t="n">
        <v>0</v>
      </c>
      <c r="F2942" s="22" t="n">
        <v>0</v>
      </c>
      <c r="G2942" s="23" t="inlineStr">
        <is>
          <t>Oui</t>
        </is>
      </c>
      <c r="H2942" s="23" t="inlineStr">
        <is>
          <t>ON</t>
        </is>
      </c>
      <c r="I2942" s="24" t="n">
        <v>815.012573225423</v>
      </c>
      <c r="J2942" s="24" t="n">
        <v>8308.791548992402</v>
      </c>
      <c r="K2942" s="24" t="n">
        <v>4662.037037037037</v>
      </c>
      <c r="L2942" s="24" t="n">
        <v>150</v>
      </c>
      <c r="M2942" s="24">
        <f>I2942+J2942+K2942+L2942</f>
        <v/>
      </c>
      <c r="N2942" s="24">
        <f>M2942*'Dashboard &amp; Optimisation'!$B$18/('Dashboard &amp; Optimisation'!$B$16/3.6)</f>
        <v/>
      </c>
      <c r="O2942" s="24" t="n">
        <v>1116.706192768002</v>
      </c>
      <c r="P2942" s="25" t="n">
        <v>0.4953095672830083</v>
      </c>
      <c r="Q2942" s="26" t="n">
        <v>0.2</v>
      </c>
      <c r="R2942" s="24" t="n">
        <v>1080.471868158292</v>
      </c>
      <c r="S2942" s="24">
        <f>R2942*IF(A2942=4, 2.0, 3.0)</f>
        <v/>
      </c>
      <c r="T2942" s="22">
        <f>'Dashboard &amp; Optimisation'!$B$18*U2942</f>
        <v/>
      </c>
      <c r="U2942" s="27">
        <f>MIN(1, S2942/M2942)</f>
        <v/>
      </c>
      <c r="V2942" s="27">
        <f>N2942/(N2942+O2942)</f>
        <v/>
      </c>
      <c r="W2942" s="27">
        <f>U2942*V2942</f>
        <v/>
      </c>
      <c r="X2942" s="25">
        <f>T2942/N2942</f>
        <v/>
      </c>
      <c r="Y2942" s="28">
        <f>IF(W2942=MAXIFS(W$2:W$3601, A$2:A$3601, A2942, B$2:B$3601, B2942), "OPTIMAL", "")</f>
        <v/>
      </c>
    </row>
    <row r="2943" ht="20" customHeight="1">
      <c r="A2943" s="29" t="n">
        <v>-18</v>
      </c>
      <c r="B2943" s="29" t="n">
        <v>40</v>
      </c>
      <c r="C2943" s="30" t="n">
        <v>85</v>
      </c>
      <c r="D2943" s="30" t="n">
        <v>3</v>
      </c>
      <c r="E2943" s="6" t="n">
        <v>0</v>
      </c>
      <c r="F2943" s="30" t="n">
        <v>0</v>
      </c>
      <c r="G2943" s="6" t="inlineStr">
        <is>
          <t>Oui</t>
        </is>
      </c>
      <c r="H2943" s="6" t="inlineStr">
        <is>
          <t>OFF</t>
        </is>
      </c>
      <c r="I2943" s="31" t="n">
        <v>815.012573225423</v>
      </c>
      <c r="J2943" s="31" t="n">
        <v>8308.791548992402</v>
      </c>
      <c r="K2943" s="31" t="n">
        <v>4662.037037037037</v>
      </c>
      <c r="L2943" s="31" t="n">
        <v>150</v>
      </c>
      <c r="M2943" s="31">
        <f>I2943+J2943+K2943+L2943</f>
        <v/>
      </c>
      <c r="N2943" s="31">
        <f>M2943*'Dashboard &amp; Optimisation'!$B$18/('Dashboard &amp; Optimisation'!$B$16/3.6)</f>
        <v/>
      </c>
      <c r="O2943" s="31" t="n">
        <v>1116.706192768002</v>
      </c>
      <c r="P2943" s="32" t="n">
        <v>0.869791786322762</v>
      </c>
      <c r="Q2943" s="33" t="n">
        <v>0.2</v>
      </c>
      <c r="R2943" s="31" t="n">
        <v>615.2829469009921</v>
      </c>
      <c r="S2943" s="31">
        <f>R2943*IF(A2943=4, 2.0, 3.0)</f>
        <v/>
      </c>
      <c r="T2943" s="30">
        <f>'Dashboard &amp; Optimisation'!$B$18*U2943</f>
        <v/>
      </c>
      <c r="U2943" s="34">
        <f>MIN(1, S2943/M2943)</f>
        <v/>
      </c>
      <c r="V2943" s="34">
        <f>N2943/(N2943+O2943)</f>
        <v/>
      </c>
      <c r="W2943" s="34">
        <f>U2943*V2943</f>
        <v/>
      </c>
      <c r="X2943" s="32">
        <f>T2943/N2943</f>
        <v/>
      </c>
      <c r="Y2943" s="35">
        <f>IF(W2943=MAXIFS(W$2:W$3601, A$2:A$3601, A2943, B$2:B$3601, B2943), "OPTIMAL", "")</f>
        <v/>
      </c>
    </row>
    <row r="2944" ht="20" customHeight="1">
      <c r="A2944" s="21" t="n">
        <v>-18</v>
      </c>
      <c r="B2944" s="21" t="n">
        <v>40</v>
      </c>
      <c r="C2944" s="22" t="n">
        <v>85</v>
      </c>
      <c r="D2944" s="22" t="n">
        <v>3</v>
      </c>
      <c r="E2944" s="23" t="n">
        <v>0</v>
      </c>
      <c r="F2944" s="22" t="n">
        <v>0</v>
      </c>
      <c r="G2944" s="23" t="inlineStr">
        <is>
          <t>Non</t>
        </is>
      </c>
      <c r="H2944" s="23" t="inlineStr">
        <is>
          <t>ON</t>
        </is>
      </c>
      <c r="I2944" s="24" t="n">
        <v>815.012573225423</v>
      </c>
      <c r="J2944" s="24" t="n">
        <v>8308.791548992402</v>
      </c>
      <c r="K2944" s="24" t="n">
        <v>4662.037037037037</v>
      </c>
      <c r="L2944" s="24" t="n">
        <v>150</v>
      </c>
      <c r="M2944" s="24">
        <f>I2944+J2944+K2944+L2944</f>
        <v/>
      </c>
      <c r="N2944" s="24">
        <f>M2944*'Dashboard &amp; Optimisation'!$B$18/('Dashboard &amp; Optimisation'!$B$16/3.6)</f>
        <v/>
      </c>
      <c r="O2944" s="24" t="n">
        <v>1116.706192768002</v>
      </c>
      <c r="P2944" s="25" t="n">
        <v>0.4915647450926108</v>
      </c>
      <c r="Q2944" s="26" t="n">
        <v>0.2</v>
      </c>
      <c r="R2944" s="24" t="n">
        <v>1088.703083005111</v>
      </c>
      <c r="S2944" s="24">
        <f>R2944*IF(A2944=4, 2.0, 3.0)</f>
        <v/>
      </c>
      <c r="T2944" s="22">
        <f>'Dashboard &amp; Optimisation'!$B$18*U2944</f>
        <v/>
      </c>
      <c r="U2944" s="27">
        <f>MIN(1, S2944/M2944)</f>
        <v/>
      </c>
      <c r="V2944" s="27">
        <f>N2944/(N2944+O2944)</f>
        <v/>
      </c>
      <c r="W2944" s="27">
        <f>U2944*V2944</f>
        <v/>
      </c>
      <c r="X2944" s="25">
        <f>T2944/N2944</f>
        <v/>
      </c>
      <c r="Y2944" s="28">
        <f>IF(W2944=MAXIFS(W$2:W$3601, A$2:A$3601, A2944, B$2:B$3601, B2944), "OPTIMAL", "")</f>
        <v/>
      </c>
    </row>
    <row r="2945" ht="20" customHeight="1">
      <c r="A2945" s="29" t="n">
        <v>-18</v>
      </c>
      <c r="B2945" s="29" t="n">
        <v>40</v>
      </c>
      <c r="C2945" s="30" t="n">
        <v>85</v>
      </c>
      <c r="D2945" s="30" t="n">
        <v>3</v>
      </c>
      <c r="E2945" s="6" t="n">
        <v>0</v>
      </c>
      <c r="F2945" s="30" t="n">
        <v>0</v>
      </c>
      <c r="G2945" s="6" t="inlineStr">
        <is>
          <t>Non</t>
        </is>
      </c>
      <c r="H2945" s="6" t="inlineStr">
        <is>
          <t>OFF</t>
        </is>
      </c>
      <c r="I2945" s="31" t="n">
        <v>815.012573225423</v>
      </c>
      <c r="J2945" s="31" t="n">
        <v>8308.791548992402</v>
      </c>
      <c r="K2945" s="31" t="n">
        <v>4662.037037037037</v>
      </c>
      <c r="L2945" s="31" t="n">
        <v>150</v>
      </c>
      <c r="M2945" s="31">
        <f>I2945+J2945+K2945+L2945</f>
        <v/>
      </c>
      <c r="N2945" s="31">
        <f>M2945*'Dashboard &amp; Optimisation'!$B$18/('Dashboard &amp; Optimisation'!$B$16/3.6)</f>
        <v/>
      </c>
      <c r="O2945" s="31" t="n">
        <v>1116.706192768002</v>
      </c>
      <c r="P2945" s="32" t="n">
        <v>0.8660469641323645</v>
      </c>
      <c r="Q2945" s="33" t="n">
        <v>0.2</v>
      </c>
      <c r="R2945" s="31" t="n">
        <v>617.9434553126074</v>
      </c>
      <c r="S2945" s="31">
        <f>R2945*IF(A2945=4, 2.0, 3.0)</f>
        <v/>
      </c>
      <c r="T2945" s="30">
        <f>'Dashboard &amp; Optimisation'!$B$18*U2945</f>
        <v/>
      </c>
      <c r="U2945" s="34">
        <f>MIN(1, S2945/M2945)</f>
        <v/>
      </c>
      <c r="V2945" s="34">
        <f>N2945/(N2945+O2945)</f>
        <v/>
      </c>
      <c r="W2945" s="34">
        <f>U2945*V2945</f>
        <v/>
      </c>
      <c r="X2945" s="32">
        <f>T2945/N2945</f>
        <v/>
      </c>
      <c r="Y2945" s="35">
        <f>IF(W2945=MAXIFS(W$2:W$3601, A$2:A$3601, A2945, B$2:B$3601, B2945), "OPTIMAL", "")</f>
        <v/>
      </c>
    </row>
    <row r="2946" ht="20" customHeight="1">
      <c r="A2946" s="21" t="n">
        <v>-18</v>
      </c>
      <c r="B2946" s="21" t="n">
        <v>40</v>
      </c>
      <c r="C2946" s="22" t="n">
        <v>85</v>
      </c>
      <c r="D2946" s="22" t="n">
        <v>3</v>
      </c>
      <c r="E2946" s="23" t="n">
        <v>4</v>
      </c>
      <c r="F2946" s="22" t="n">
        <v>1.5</v>
      </c>
      <c r="G2946" s="23" t="inlineStr">
        <is>
          <t>Oui</t>
        </is>
      </c>
      <c r="H2946" s="23" t="inlineStr">
        <is>
          <t>ON</t>
        </is>
      </c>
      <c r="I2946" s="24" t="n">
        <v>815.012573225423</v>
      </c>
      <c r="J2946" s="24" t="n">
        <v>8308.791548992402</v>
      </c>
      <c r="K2946" s="24" t="n">
        <v>4662.037037037037</v>
      </c>
      <c r="L2946" s="24" t="n">
        <v>150</v>
      </c>
      <c r="M2946" s="24">
        <f>I2946+J2946+K2946+L2946</f>
        <v/>
      </c>
      <c r="N2946" s="24">
        <f>M2946*'Dashboard &amp; Optimisation'!$B$18/('Dashboard &amp; Optimisation'!$B$16/3.6)</f>
        <v/>
      </c>
      <c r="O2946" s="24" t="n">
        <v>1581.904422222826</v>
      </c>
      <c r="P2946" s="25" t="n">
        <v>0.07960669836162382</v>
      </c>
      <c r="Q2946" s="26" t="n">
        <v>8.12180634212946</v>
      </c>
      <c r="R2946" s="24" t="n">
        <v>6993.150979680127</v>
      </c>
      <c r="S2946" s="24">
        <f>R2946*IF(A2946=4, 2.0, 3.0)</f>
        <v/>
      </c>
      <c r="T2946" s="22">
        <f>'Dashboard &amp; Optimisation'!$B$18*U2946</f>
        <v/>
      </c>
      <c r="U2946" s="27">
        <f>MIN(1, S2946/M2946)</f>
        <v/>
      </c>
      <c r="V2946" s="27">
        <f>N2946/(N2946+O2946)</f>
        <v/>
      </c>
      <c r="W2946" s="27">
        <f>U2946*V2946</f>
        <v/>
      </c>
      <c r="X2946" s="25">
        <f>T2946/N2946</f>
        <v/>
      </c>
      <c r="Y2946" s="28">
        <f>IF(W2946=MAXIFS(W$2:W$3601, A$2:A$3601, A2946, B$2:B$3601, B2946), "OPTIMAL", "")</f>
        <v/>
      </c>
    </row>
    <row r="2947" ht="20" customHeight="1">
      <c r="A2947" s="29" t="n">
        <v>-18</v>
      </c>
      <c r="B2947" s="29" t="n">
        <v>40</v>
      </c>
      <c r="C2947" s="30" t="n">
        <v>85</v>
      </c>
      <c r="D2947" s="30" t="n">
        <v>3</v>
      </c>
      <c r="E2947" s="6" t="n">
        <v>4</v>
      </c>
      <c r="F2947" s="30" t="n">
        <v>1.5</v>
      </c>
      <c r="G2947" s="6" t="inlineStr">
        <is>
          <t>Oui</t>
        </is>
      </c>
      <c r="H2947" s="6" t="inlineStr">
        <is>
          <t>OFF</t>
        </is>
      </c>
      <c r="I2947" s="31" t="n">
        <v>815.012573225423</v>
      </c>
      <c r="J2947" s="31" t="n">
        <v>8308.791548992402</v>
      </c>
      <c r="K2947" s="31" t="n">
        <v>4662.037037037037</v>
      </c>
      <c r="L2947" s="31" t="n">
        <v>150</v>
      </c>
      <c r="M2947" s="31">
        <f>I2947+J2947+K2947+L2947</f>
        <v/>
      </c>
      <c r="N2947" s="31">
        <f>M2947*'Dashboard &amp; Optimisation'!$B$18/('Dashboard &amp; Optimisation'!$B$16/3.6)</f>
        <v/>
      </c>
      <c r="O2947" s="31" t="n">
        <v>1581.904422222826</v>
      </c>
      <c r="P2947" s="32" t="n">
        <v>0.3420549766963435</v>
      </c>
      <c r="Q2947" s="33" t="n">
        <v>8.12180634212946</v>
      </c>
      <c r="R2947" s="31" t="n">
        <v>1627.521008504131</v>
      </c>
      <c r="S2947" s="31">
        <f>R2947*IF(A2947=4, 2.0, 3.0)</f>
        <v/>
      </c>
      <c r="T2947" s="30">
        <f>'Dashboard &amp; Optimisation'!$B$18*U2947</f>
        <v/>
      </c>
      <c r="U2947" s="34">
        <f>MIN(1, S2947/M2947)</f>
        <v/>
      </c>
      <c r="V2947" s="34">
        <f>N2947/(N2947+O2947)</f>
        <v/>
      </c>
      <c r="W2947" s="34">
        <f>U2947*V2947</f>
        <v/>
      </c>
      <c r="X2947" s="32">
        <f>T2947/N2947</f>
        <v/>
      </c>
      <c r="Y2947" s="35">
        <f>IF(W2947=MAXIFS(W$2:W$3601, A$2:A$3601, A2947, B$2:B$3601, B2947), "OPTIMAL", "")</f>
        <v/>
      </c>
    </row>
    <row r="2948" ht="20" customHeight="1">
      <c r="A2948" s="21" t="n">
        <v>-18</v>
      </c>
      <c r="B2948" s="21" t="n">
        <v>40</v>
      </c>
      <c r="C2948" s="22" t="n">
        <v>85</v>
      </c>
      <c r="D2948" s="22" t="n">
        <v>3</v>
      </c>
      <c r="E2948" s="23" t="n">
        <v>4</v>
      </c>
      <c r="F2948" s="22" t="n">
        <v>1.5</v>
      </c>
      <c r="G2948" s="23" t="inlineStr">
        <is>
          <t>Non</t>
        </is>
      </c>
      <c r="H2948" s="23" t="inlineStr">
        <is>
          <t>ON</t>
        </is>
      </c>
      <c r="I2948" s="24" t="n">
        <v>815.012573225423</v>
      </c>
      <c r="J2948" s="24" t="n">
        <v>8308.791548992402</v>
      </c>
      <c r="K2948" s="24" t="n">
        <v>4662.037037037037</v>
      </c>
      <c r="L2948" s="24" t="n">
        <v>150</v>
      </c>
      <c r="M2948" s="24">
        <f>I2948+J2948+K2948+L2948</f>
        <v/>
      </c>
      <c r="N2948" s="24">
        <f>M2948*'Dashboard &amp; Optimisation'!$B$18/('Dashboard &amp; Optimisation'!$B$16/3.6)</f>
        <v/>
      </c>
      <c r="O2948" s="24" t="n">
        <v>1581.904422222826</v>
      </c>
      <c r="P2948" s="25" t="n">
        <v>0.07586187617122628</v>
      </c>
      <c r="Q2948" s="26" t="n">
        <v>8.12180634212946</v>
      </c>
      <c r="R2948" s="24" t="n">
        <v>7338.358721581972</v>
      </c>
      <c r="S2948" s="24">
        <f>R2948*IF(A2948=4, 2.0, 3.0)</f>
        <v/>
      </c>
      <c r="T2948" s="22">
        <f>'Dashboard &amp; Optimisation'!$B$18*U2948</f>
        <v/>
      </c>
      <c r="U2948" s="27">
        <f>MIN(1, S2948/M2948)</f>
        <v/>
      </c>
      <c r="V2948" s="27">
        <f>N2948/(N2948+O2948)</f>
        <v/>
      </c>
      <c r="W2948" s="27">
        <f>U2948*V2948</f>
        <v/>
      </c>
      <c r="X2948" s="25">
        <f>T2948/N2948</f>
        <v/>
      </c>
      <c r="Y2948" s="28">
        <f>IF(W2948=MAXIFS(W$2:W$3601, A$2:A$3601, A2948, B$2:B$3601, B2948), "OPTIMAL", "")</f>
        <v/>
      </c>
    </row>
    <row r="2949" ht="20" customHeight="1">
      <c r="A2949" s="29" t="n">
        <v>-18</v>
      </c>
      <c r="B2949" s="29" t="n">
        <v>40</v>
      </c>
      <c r="C2949" s="30" t="n">
        <v>85</v>
      </c>
      <c r="D2949" s="30" t="n">
        <v>3</v>
      </c>
      <c r="E2949" s="6" t="n">
        <v>4</v>
      </c>
      <c r="F2949" s="30" t="n">
        <v>1.5</v>
      </c>
      <c r="G2949" s="6" t="inlineStr">
        <is>
          <t>Non</t>
        </is>
      </c>
      <c r="H2949" s="6" t="inlineStr">
        <is>
          <t>OFF</t>
        </is>
      </c>
      <c r="I2949" s="31" t="n">
        <v>815.012573225423</v>
      </c>
      <c r="J2949" s="31" t="n">
        <v>8308.791548992402</v>
      </c>
      <c r="K2949" s="31" t="n">
        <v>4662.037037037037</v>
      </c>
      <c r="L2949" s="31" t="n">
        <v>150</v>
      </c>
      <c r="M2949" s="31">
        <f>I2949+J2949+K2949+L2949</f>
        <v/>
      </c>
      <c r="N2949" s="31">
        <f>M2949*'Dashboard &amp; Optimisation'!$B$18/('Dashboard &amp; Optimisation'!$B$16/3.6)</f>
        <v/>
      </c>
      <c r="O2949" s="31" t="n">
        <v>1581.904422222826</v>
      </c>
      <c r="P2949" s="32" t="n">
        <v>0.338310154505946</v>
      </c>
      <c r="Q2949" s="33" t="n">
        <v>8.12180634212946</v>
      </c>
      <c r="R2949" s="31" t="n">
        <v>1645.536361300398</v>
      </c>
      <c r="S2949" s="31">
        <f>R2949*IF(A2949=4, 2.0, 3.0)</f>
        <v/>
      </c>
      <c r="T2949" s="30">
        <f>'Dashboard &amp; Optimisation'!$B$18*U2949</f>
        <v/>
      </c>
      <c r="U2949" s="34">
        <f>MIN(1, S2949/M2949)</f>
        <v/>
      </c>
      <c r="V2949" s="34">
        <f>N2949/(N2949+O2949)</f>
        <v/>
      </c>
      <c r="W2949" s="34">
        <f>U2949*V2949</f>
        <v/>
      </c>
      <c r="X2949" s="32">
        <f>T2949/N2949</f>
        <v/>
      </c>
      <c r="Y2949" s="35">
        <f>IF(W2949=MAXIFS(W$2:W$3601, A$2:A$3601, A2949, B$2:B$3601, B2949), "OPTIMAL", "")</f>
        <v/>
      </c>
    </row>
    <row r="2950" ht="20" customHeight="1">
      <c r="A2950" s="21" t="n">
        <v>-18</v>
      </c>
      <c r="B2950" s="21" t="n">
        <v>40</v>
      </c>
      <c r="C2950" s="22" t="n">
        <v>85</v>
      </c>
      <c r="D2950" s="22" t="n">
        <v>3</v>
      </c>
      <c r="E2950" s="23" t="n">
        <v>4</v>
      </c>
      <c r="F2950" s="22" t="n">
        <v>2</v>
      </c>
      <c r="G2950" s="23" t="inlineStr">
        <is>
          <t>Oui</t>
        </is>
      </c>
      <c r="H2950" s="23" t="inlineStr">
        <is>
          <t>ON</t>
        </is>
      </c>
      <c r="I2950" s="24" t="n">
        <v>815.012573225423</v>
      </c>
      <c r="J2950" s="24" t="n">
        <v>8308.791548992402</v>
      </c>
      <c r="K2950" s="24" t="n">
        <v>4662.037037037037</v>
      </c>
      <c r="L2950" s="24" t="n">
        <v>150</v>
      </c>
      <c r="M2950" s="24">
        <f>I2950+J2950+K2950+L2950</f>
        <v/>
      </c>
      <c r="N2950" s="24">
        <f>M2950*'Dashboard &amp; Optimisation'!$B$18/('Dashboard &amp; Optimisation'!$B$16/3.6)</f>
        <v/>
      </c>
      <c r="O2950" s="24" t="n">
        <v>1745.40280691604</v>
      </c>
      <c r="P2950" s="25" t="n">
        <v>0.07745426381627818</v>
      </c>
      <c r="Q2950" s="26" t="n">
        <v>10.76240845617261</v>
      </c>
      <c r="R2950" s="24" t="n">
        <v>7285.200657021067</v>
      </c>
      <c r="S2950" s="24">
        <f>R2950*IF(A2950=4, 2.0, 3.0)</f>
        <v/>
      </c>
      <c r="T2950" s="22">
        <f>'Dashboard &amp; Optimisation'!$B$18*U2950</f>
        <v/>
      </c>
      <c r="U2950" s="27">
        <f>MIN(1, S2950/M2950)</f>
        <v/>
      </c>
      <c r="V2950" s="27">
        <f>N2950/(N2950+O2950)</f>
        <v/>
      </c>
      <c r="W2950" s="27">
        <f>U2950*V2950</f>
        <v/>
      </c>
      <c r="X2950" s="25">
        <f>T2950/N2950</f>
        <v/>
      </c>
      <c r="Y2950" s="28">
        <f>IF(W2950=MAXIFS(W$2:W$3601, A$2:A$3601, A2950, B$2:B$3601, B2950), "OPTIMAL", "")</f>
        <v/>
      </c>
    </row>
    <row r="2951" ht="20" customHeight="1">
      <c r="A2951" s="29" t="n">
        <v>-18</v>
      </c>
      <c r="B2951" s="29" t="n">
        <v>40</v>
      </c>
      <c r="C2951" s="30" t="n">
        <v>85</v>
      </c>
      <c r="D2951" s="30" t="n">
        <v>3</v>
      </c>
      <c r="E2951" s="6" t="n">
        <v>4</v>
      </c>
      <c r="F2951" s="30" t="n">
        <v>2</v>
      </c>
      <c r="G2951" s="6" t="inlineStr">
        <is>
          <t>Oui</t>
        </is>
      </c>
      <c r="H2951" s="6" t="inlineStr">
        <is>
          <t>OFF</t>
        </is>
      </c>
      <c r="I2951" s="31" t="n">
        <v>815.012573225423</v>
      </c>
      <c r="J2951" s="31" t="n">
        <v>8308.791548992402</v>
      </c>
      <c r="K2951" s="31" t="n">
        <v>4662.037037037037</v>
      </c>
      <c r="L2951" s="31" t="n">
        <v>150</v>
      </c>
      <c r="M2951" s="31">
        <f>I2951+J2951+K2951+L2951</f>
        <v/>
      </c>
      <c r="N2951" s="31">
        <f>M2951*'Dashboard &amp; Optimisation'!$B$18/('Dashboard &amp; Optimisation'!$B$16/3.6)</f>
        <v/>
      </c>
      <c r="O2951" s="31" t="n">
        <v>1745.40280691604</v>
      </c>
      <c r="P2951" s="32" t="n">
        <v>0.3412849921114681</v>
      </c>
      <c r="Q2951" s="33" t="n">
        <v>10.76240845617261</v>
      </c>
      <c r="R2951" s="31" t="n">
        <v>1653.36849461911</v>
      </c>
      <c r="S2951" s="31">
        <f>R2951*IF(A2951=4, 2.0, 3.0)</f>
        <v/>
      </c>
      <c r="T2951" s="30">
        <f>'Dashboard &amp; Optimisation'!$B$18*U2951</f>
        <v/>
      </c>
      <c r="U2951" s="34">
        <f>MIN(1, S2951/M2951)</f>
        <v/>
      </c>
      <c r="V2951" s="34">
        <f>N2951/(N2951+O2951)</f>
        <v/>
      </c>
      <c r="W2951" s="34">
        <f>U2951*V2951</f>
        <v/>
      </c>
      <c r="X2951" s="32">
        <f>T2951/N2951</f>
        <v/>
      </c>
      <c r="Y2951" s="35">
        <f>IF(W2951=MAXIFS(W$2:W$3601, A$2:A$3601, A2951, B$2:B$3601, B2951), "OPTIMAL", "")</f>
        <v/>
      </c>
    </row>
    <row r="2952" ht="20" customHeight="1">
      <c r="A2952" s="21" t="n">
        <v>-18</v>
      </c>
      <c r="B2952" s="21" t="n">
        <v>40</v>
      </c>
      <c r="C2952" s="22" t="n">
        <v>85</v>
      </c>
      <c r="D2952" s="22" t="n">
        <v>3</v>
      </c>
      <c r="E2952" s="23" t="n">
        <v>4</v>
      </c>
      <c r="F2952" s="22" t="n">
        <v>2</v>
      </c>
      <c r="G2952" s="23" t="inlineStr">
        <is>
          <t>Non</t>
        </is>
      </c>
      <c r="H2952" s="23" t="inlineStr">
        <is>
          <t>ON</t>
        </is>
      </c>
      <c r="I2952" s="24" t="n">
        <v>815.012573225423</v>
      </c>
      <c r="J2952" s="24" t="n">
        <v>8308.791548992402</v>
      </c>
      <c r="K2952" s="24" t="n">
        <v>4662.037037037037</v>
      </c>
      <c r="L2952" s="24" t="n">
        <v>150</v>
      </c>
      <c r="M2952" s="24">
        <f>I2952+J2952+K2952+L2952</f>
        <v/>
      </c>
      <c r="N2952" s="24">
        <f>M2952*'Dashboard &amp; Optimisation'!$B$18/('Dashboard &amp; Optimisation'!$B$16/3.6)</f>
        <v/>
      </c>
      <c r="O2952" s="24" t="n">
        <v>1745.40280691604</v>
      </c>
      <c r="P2952" s="25" t="n">
        <v>0.07370944162588064</v>
      </c>
      <c r="Q2952" s="26" t="n">
        <v>10.76240845617261</v>
      </c>
      <c r="R2952" s="24" t="n">
        <v>7655.326660964803</v>
      </c>
      <c r="S2952" s="24">
        <f>R2952*IF(A2952=4, 2.0, 3.0)</f>
        <v/>
      </c>
      <c r="T2952" s="22">
        <f>'Dashboard &amp; Optimisation'!$B$18*U2952</f>
        <v/>
      </c>
      <c r="U2952" s="27">
        <f>MIN(1, S2952/M2952)</f>
        <v/>
      </c>
      <c r="V2952" s="27">
        <f>N2952/(N2952+O2952)</f>
        <v/>
      </c>
      <c r="W2952" s="27">
        <f>U2952*V2952</f>
        <v/>
      </c>
      <c r="X2952" s="25">
        <f>T2952/N2952</f>
        <v/>
      </c>
      <c r="Y2952" s="28">
        <f>IF(W2952=MAXIFS(W$2:W$3601, A$2:A$3601, A2952, B$2:B$3601, B2952), "OPTIMAL", "")</f>
        <v/>
      </c>
    </row>
    <row r="2953" ht="20" customHeight="1">
      <c r="A2953" s="29" t="n">
        <v>-18</v>
      </c>
      <c r="B2953" s="29" t="n">
        <v>40</v>
      </c>
      <c r="C2953" s="30" t="n">
        <v>85</v>
      </c>
      <c r="D2953" s="30" t="n">
        <v>3</v>
      </c>
      <c r="E2953" s="6" t="n">
        <v>4</v>
      </c>
      <c r="F2953" s="30" t="n">
        <v>2</v>
      </c>
      <c r="G2953" s="6" t="inlineStr">
        <is>
          <t>Non</t>
        </is>
      </c>
      <c r="H2953" s="6" t="inlineStr">
        <is>
          <t>OFF</t>
        </is>
      </c>
      <c r="I2953" s="31" t="n">
        <v>815.012573225423</v>
      </c>
      <c r="J2953" s="31" t="n">
        <v>8308.791548992402</v>
      </c>
      <c r="K2953" s="31" t="n">
        <v>4662.037037037037</v>
      </c>
      <c r="L2953" s="31" t="n">
        <v>150</v>
      </c>
      <c r="M2953" s="31">
        <f>I2953+J2953+K2953+L2953</f>
        <v/>
      </c>
      <c r="N2953" s="31">
        <f>M2953*'Dashboard &amp; Optimisation'!$B$18/('Dashboard &amp; Optimisation'!$B$16/3.6)</f>
        <v/>
      </c>
      <c r="O2953" s="31" t="n">
        <v>1745.40280691604</v>
      </c>
      <c r="P2953" s="32" t="n">
        <v>0.3375401699210706</v>
      </c>
      <c r="Q2953" s="33" t="n">
        <v>10.76240845617261</v>
      </c>
      <c r="R2953" s="31" t="n">
        <v>1671.711707010694</v>
      </c>
      <c r="S2953" s="31">
        <f>R2953*IF(A2953=4, 2.0, 3.0)</f>
        <v/>
      </c>
      <c r="T2953" s="30">
        <f>'Dashboard &amp; Optimisation'!$B$18*U2953</f>
        <v/>
      </c>
      <c r="U2953" s="34">
        <f>MIN(1, S2953/M2953)</f>
        <v/>
      </c>
      <c r="V2953" s="34">
        <f>N2953/(N2953+O2953)</f>
        <v/>
      </c>
      <c r="W2953" s="34">
        <f>U2953*V2953</f>
        <v/>
      </c>
      <c r="X2953" s="32">
        <f>T2953/N2953</f>
        <v/>
      </c>
      <c r="Y2953" s="35">
        <f>IF(W2953=MAXIFS(W$2:W$3601, A$2:A$3601, A2953, B$2:B$3601, B2953), "OPTIMAL", "")</f>
        <v/>
      </c>
    </row>
    <row r="2954" ht="20" customHeight="1">
      <c r="A2954" s="21" t="n">
        <v>-18</v>
      </c>
      <c r="B2954" s="21" t="n">
        <v>40</v>
      </c>
      <c r="C2954" s="22" t="n">
        <v>85</v>
      </c>
      <c r="D2954" s="22" t="n">
        <v>3</v>
      </c>
      <c r="E2954" s="23" t="n">
        <v>8</v>
      </c>
      <c r="F2954" s="22" t="n">
        <v>1.5</v>
      </c>
      <c r="G2954" s="23" t="inlineStr">
        <is>
          <t>Oui</t>
        </is>
      </c>
      <c r="H2954" s="23" t="inlineStr">
        <is>
          <t>ON</t>
        </is>
      </c>
      <c r="I2954" s="24" t="n">
        <v>815.012573225423</v>
      </c>
      <c r="J2954" s="24" t="n">
        <v>8308.791548992402</v>
      </c>
      <c r="K2954" s="24" t="n">
        <v>4662.037037037037</v>
      </c>
      <c r="L2954" s="24" t="n">
        <v>150</v>
      </c>
      <c r="M2954" s="24">
        <f>I2954+J2954+K2954+L2954</f>
        <v/>
      </c>
      <c r="N2954" s="24">
        <f>M2954*'Dashboard &amp; Optimisation'!$B$18/('Dashboard &amp; Optimisation'!$B$16/3.6)</f>
        <v/>
      </c>
      <c r="O2954" s="24" t="n">
        <v>2086.108586716879</v>
      </c>
      <c r="P2954" s="25" t="n">
        <v>0.05973432874252066</v>
      </c>
      <c r="Q2954" s="26" t="n">
        <v>16.04361268425892</v>
      </c>
      <c r="R2954" s="24" t="n">
        <v>9710.342940406254</v>
      </c>
      <c r="S2954" s="24">
        <f>R2954*IF(A2954=4, 2.0, 3.0)</f>
        <v/>
      </c>
      <c r="T2954" s="22">
        <f>'Dashboard &amp; Optimisation'!$B$18*U2954</f>
        <v/>
      </c>
      <c r="U2954" s="27">
        <f>MIN(1, S2954/M2954)</f>
        <v/>
      </c>
      <c r="V2954" s="27">
        <f>N2954/(N2954+O2954)</f>
        <v/>
      </c>
      <c r="W2954" s="27">
        <f>U2954*V2954</f>
        <v/>
      </c>
      <c r="X2954" s="25">
        <f>T2954/N2954</f>
        <v/>
      </c>
      <c r="Y2954" s="28">
        <f>IF(W2954=MAXIFS(W$2:W$3601, A$2:A$3601, A2954, B$2:B$3601, B2954), "OPTIMAL", "")</f>
        <v/>
      </c>
    </row>
    <row r="2955" ht="20" customHeight="1">
      <c r="A2955" s="29" t="n">
        <v>-18</v>
      </c>
      <c r="B2955" s="29" t="n">
        <v>40</v>
      </c>
      <c r="C2955" s="30" t="n">
        <v>85</v>
      </c>
      <c r="D2955" s="30" t="n">
        <v>3</v>
      </c>
      <c r="E2955" s="6" t="n">
        <v>8</v>
      </c>
      <c r="F2955" s="30" t="n">
        <v>1.5</v>
      </c>
      <c r="G2955" s="6" t="inlineStr">
        <is>
          <t>Oui</t>
        </is>
      </c>
      <c r="H2955" s="6" t="inlineStr">
        <is>
          <t>OFF</t>
        </is>
      </c>
      <c r="I2955" s="31" t="n">
        <v>815.012573225423</v>
      </c>
      <c r="J2955" s="31" t="n">
        <v>8308.791548992402</v>
      </c>
      <c r="K2955" s="31" t="n">
        <v>4662.037037037037</v>
      </c>
      <c r="L2955" s="31" t="n">
        <v>150</v>
      </c>
      <c r="M2955" s="31">
        <f>I2955+J2955+K2955+L2955</f>
        <v/>
      </c>
      <c r="N2955" s="31">
        <f>M2955*'Dashboard &amp; Optimisation'!$B$18/('Dashboard &amp; Optimisation'!$B$16/3.6)</f>
        <v/>
      </c>
      <c r="O2955" s="31" t="n">
        <v>2086.108586716879</v>
      </c>
      <c r="P2955" s="32" t="n">
        <v>0.2617453366738331</v>
      </c>
      <c r="Q2955" s="33" t="n">
        <v>16.04361268425892</v>
      </c>
      <c r="R2955" s="31" t="n">
        <v>2216.050244775303</v>
      </c>
      <c r="S2955" s="31">
        <f>R2955*IF(A2955=4, 2.0, 3.0)</f>
        <v/>
      </c>
      <c r="T2955" s="30">
        <f>'Dashboard &amp; Optimisation'!$B$18*U2955</f>
        <v/>
      </c>
      <c r="U2955" s="34">
        <f>MIN(1, S2955/M2955)</f>
        <v/>
      </c>
      <c r="V2955" s="34">
        <f>N2955/(N2955+O2955)</f>
        <v/>
      </c>
      <c r="W2955" s="34">
        <f>U2955*V2955</f>
        <v/>
      </c>
      <c r="X2955" s="32">
        <f>T2955/N2955</f>
        <v/>
      </c>
      <c r="Y2955" s="35">
        <f>IF(W2955=MAXIFS(W$2:W$3601, A$2:A$3601, A2955, B$2:B$3601, B2955), "OPTIMAL", "")</f>
        <v/>
      </c>
    </row>
    <row r="2956" ht="20" customHeight="1">
      <c r="A2956" s="21" t="n">
        <v>-18</v>
      </c>
      <c r="B2956" s="21" t="n">
        <v>40</v>
      </c>
      <c r="C2956" s="22" t="n">
        <v>85</v>
      </c>
      <c r="D2956" s="22" t="n">
        <v>3</v>
      </c>
      <c r="E2956" s="23" t="n">
        <v>8</v>
      </c>
      <c r="F2956" s="22" t="n">
        <v>1.5</v>
      </c>
      <c r="G2956" s="23" t="inlineStr">
        <is>
          <t>Non</t>
        </is>
      </c>
      <c r="H2956" s="23" t="inlineStr">
        <is>
          <t>ON</t>
        </is>
      </c>
      <c r="I2956" s="24" t="n">
        <v>815.012573225423</v>
      </c>
      <c r="J2956" s="24" t="n">
        <v>8308.791548992402</v>
      </c>
      <c r="K2956" s="24" t="n">
        <v>4662.037037037037</v>
      </c>
      <c r="L2956" s="24" t="n">
        <v>150</v>
      </c>
      <c r="M2956" s="24">
        <f>I2956+J2956+K2956+L2956</f>
        <v/>
      </c>
      <c r="N2956" s="24">
        <f>M2956*'Dashboard &amp; Optimisation'!$B$18/('Dashboard &amp; Optimisation'!$B$16/3.6)</f>
        <v/>
      </c>
      <c r="O2956" s="24" t="n">
        <v>2086.108586716879</v>
      </c>
      <c r="P2956" s="25" t="n">
        <v>0.05598950655212312</v>
      </c>
      <c r="Q2956" s="26" t="n">
        <v>16.04361268425892</v>
      </c>
      <c r="R2956" s="24" t="n">
        <v>10359.81299218731</v>
      </c>
      <c r="S2956" s="24">
        <f>R2956*IF(A2956=4, 2.0, 3.0)</f>
        <v/>
      </c>
      <c r="T2956" s="22">
        <f>'Dashboard &amp; Optimisation'!$B$18*U2956</f>
        <v/>
      </c>
      <c r="U2956" s="27">
        <f>MIN(1, S2956/M2956)</f>
        <v/>
      </c>
      <c r="V2956" s="27">
        <f>N2956/(N2956+O2956)</f>
        <v/>
      </c>
      <c r="W2956" s="27">
        <f>U2956*V2956</f>
        <v/>
      </c>
      <c r="X2956" s="25">
        <f>T2956/N2956</f>
        <v/>
      </c>
      <c r="Y2956" s="28">
        <f>IF(W2956=MAXIFS(W$2:W$3601, A$2:A$3601, A2956, B$2:B$3601, B2956), "OPTIMAL", "")</f>
        <v/>
      </c>
    </row>
    <row r="2957" ht="20" customHeight="1">
      <c r="A2957" s="29" t="n">
        <v>-18</v>
      </c>
      <c r="B2957" s="29" t="n">
        <v>40</v>
      </c>
      <c r="C2957" s="30" t="n">
        <v>85</v>
      </c>
      <c r="D2957" s="30" t="n">
        <v>3</v>
      </c>
      <c r="E2957" s="6" t="n">
        <v>8</v>
      </c>
      <c r="F2957" s="30" t="n">
        <v>1.5</v>
      </c>
      <c r="G2957" s="6" t="inlineStr">
        <is>
          <t>Non</t>
        </is>
      </c>
      <c r="H2957" s="6" t="inlineStr">
        <is>
          <t>OFF</t>
        </is>
      </c>
      <c r="I2957" s="31" t="n">
        <v>815.012573225423</v>
      </c>
      <c r="J2957" s="31" t="n">
        <v>8308.791548992402</v>
      </c>
      <c r="K2957" s="31" t="n">
        <v>4662.037037037037</v>
      </c>
      <c r="L2957" s="31" t="n">
        <v>150</v>
      </c>
      <c r="M2957" s="31">
        <f>I2957+J2957+K2957+L2957</f>
        <v/>
      </c>
      <c r="N2957" s="31">
        <f>M2957*'Dashboard &amp; Optimisation'!$B$18/('Dashboard &amp; Optimisation'!$B$16/3.6)</f>
        <v/>
      </c>
      <c r="O2957" s="31" t="n">
        <v>2086.108586716879</v>
      </c>
      <c r="P2957" s="32" t="n">
        <v>0.2580005144834356</v>
      </c>
      <c r="Q2957" s="33" t="n">
        <v>16.04361268425892</v>
      </c>
      <c r="R2957" s="31" t="n">
        <v>2248.215739283273</v>
      </c>
      <c r="S2957" s="31">
        <f>R2957*IF(A2957=4, 2.0, 3.0)</f>
        <v/>
      </c>
      <c r="T2957" s="30">
        <f>'Dashboard &amp; Optimisation'!$B$18*U2957</f>
        <v/>
      </c>
      <c r="U2957" s="34">
        <f>MIN(1, S2957/M2957)</f>
        <v/>
      </c>
      <c r="V2957" s="34">
        <f>N2957/(N2957+O2957)</f>
        <v/>
      </c>
      <c r="W2957" s="34">
        <f>U2957*V2957</f>
        <v/>
      </c>
      <c r="X2957" s="32">
        <f>T2957/N2957</f>
        <v/>
      </c>
      <c r="Y2957" s="35">
        <f>IF(W2957=MAXIFS(W$2:W$3601, A$2:A$3601, A2957, B$2:B$3601, B2957), "OPTIMAL", "")</f>
        <v/>
      </c>
    </row>
    <row r="2958" ht="20" customHeight="1">
      <c r="A2958" s="21" t="n">
        <v>-18</v>
      </c>
      <c r="B2958" s="21" t="n">
        <v>40</v>
      </c>
      <c r="C2958" s="22" t="n">
        <v>85</v>
      </c>
      <c r="D2958" s="22" t="n">
        <v>3</v>
      </c>
      <c r="E2958" s="23" t="n">
        <v>8</v>
      </c>
      <c r="F2958" s="22" t="n">
        <v>2</v>
      </c>
      <c r="G2958" s="23" t="inlineStr">
        <is>
          <t>Oui</t>
        </is>
      </c>
      <c r="H2958" s="23" t="inlineStr">
        <is>
          <t>ON</t>
        </is>
      </c>
      <c r="I2958" s="24" t="n">
        <v>815.012573225423</v>
      </c>
      <c r="J2958" s="24" t="n">
        <v>8308.791548992402</v>
      </c>
      <c r="K2958" s="24" t="n">
        <v>4662.037037037037</v>
      </c>
      <c r="L2958" s="24" t="n">
        <v>150</v>
      </c>
      <c r="M2958" s="24">
        <f>I2958+J2958+K2958+L2958</f>
        <v/>
      </c>
      <c r="N2958" s="24">
        <f>M2958*'Dashboard &amp; Optimisation'!$B$18/('Dashboard &amp; Optimisation'!$B$16/3.6)</f>
        <v/>
      </c>
      <c r="O2958" s="24" t="n">
        <v>2446.40696225733</v>
      </c>
      <c r="P2958" s="25" t="n">
        <v>0.05880657801325698</v>
      </c>
      <c r="Q2958" s="26" t="n">
        <v>21.32481691234523</v>
      </c>
      <c r="R2958" s="24" t="n">
        <v>10147.1421215248</v>
      </c>
      <c r="S2958" s="24">
        <f>R2958*IF(A2958=4, 2.0, 3.0)</f>
        <v/>
      </c>
      <c r="T2958" s="22">
        <f>'Dashboard &amp; Optimisation'!$B$18*U2958</f>
        <v/>
      </c>
      <c r="U2958" s="27">
        <f>MIN(1, S2958/M2958)</f>
        <v/>
      </c>
      <c r="V2958" s="27">
        <f>N2958/(N2958+O2958)</f>
        <v/>
      </c>
      <c r="W2958" s="27">
        <f>U2958*V2958</f>
        <v/>
      </c>
      <c r="X2958" s="25">
        <f>T2958/N2958</f>
        <v/>
      </c>
      <c r="Y2958" s="28">
        <f>IF(W2958=MAXIFS(W$2:W$3601, A$2:A$3601, A2958, B$2:B$3601, B2958), "OPTIMAL", "")</f>
        <v/>
      </c>
    </row>
    <row r="2959" ht="20" customHeight="1">
      <c r="A2959" s="29" t="n">
        <v>-18</v>
      </c>
      <c r="B2959" s="29" t="n">
        <v>40</v>
      </c>
      <c r="C2959" s="30" t="n">
        <v>85</v>
      </c>
      <c r="D2959" s="30" t="n">
        <v>3</v>
      </c>
      <c r="E2959" s="6" t="n">
        <v>8</v>
      </c>
      <c r="F2959" s="30" t="n">
        <v>2</v>
      </c>
      <c r="G2959" s="6" t="inlineStr">
        <is>
          <t>Oui</t>
        </is>
      </c>
      <c r="H2959" s="6" t="inlineStr">
        <is>
          <t>OFF</t>
        </is>
      </c>
      <c r="I2959" s="31" t="n">
        <v>815.012573225423</v>
      </c>
      <c r="J2959" s="31" t="n">
        <v>8308.791548992402</v>
      </c>
      <c r="K2959" s="31" t="n">
        <v>4662.037037037037</v>
      </c>
      <c r="L2959" s="31" t="n">
        <v>150</v>
      </c>
      <c r="M2959" s="31">
        <f>I2959+J2959+K2959+L2959</f>
        <v/>
      </c>
      <c r="N2959" s="31">
        <f>M2959*'Dashboard &amp; Optimisation'!$B$18/('Dashboard &amp; Optimisation'!$B$16/3.6)</f>
        <v/>
      </c>
      <c r="O2959" s="31" t="n">
        <v>2446.40696225733</v>
      </c>
      <c r="P2959" s="32" t="n">
        <v>0.2624608866531549</v>
      </c>
      <c r="Q2959" s="33" t="n">
        <v>21.32481691234523</v>
      </c>
      <c r="R2959" s="31" t="n">
        <v>2273.552880165435</v>
      </c>
      <c r="S2959" s="31">
        <f>R2959*IF(A2959=4, 2.0, 3.0)</f>
        <v/>
      </c>
      <c r="T2959" s="30">
        <f>'Dashboard &amp; Optimisation'!$B$18*U2959</f>
        <v/>
      </c>
      <c r="U2959" s="34">
        <f>MIN(1, S2959/M2959)</f>
        <v/>
      </c>
      <c r="V2959" s="34">
        <f>N2959/(N2959+O2959)</f>
        <v/>
      </c>
      <c r="W2959" s="34">
        <f>U2959*V2959</f>
        <v/>
      </c>
      <c r="X2959" s="32">
        <f>T2959/N2959</f>
        <v/>
      </c>
      <c r="Y2959" s="35">
        <f>IF(W2959=MAXIFS(W$2:W$3601, A$2:A$3601, A2959, B$2:B$3601, B2959), "OPTIMAL", "")</f>
        <v/>
      </c>
    </row>
    <row r="2960" ht="20" customHeight="1">
      <c r="A2960" s="21" t="n">
        <v>-18</v>
      </c>
      <c r="B2960" s="21" t="n">
        <v>40</v>
      </c>
      <c r="C2960" s="22" t="n">
        <v>85</v>
      </c>
      <c r="D2960" s="22" t="n">
        <v>3</v>
      </c>
      <c r="E2960" s="23" t="n">
        <v>8</v>
      </c>
      <c r="F2960" s="22" t="n">
        <v>2</v>
      </c>
      <c r="G2960" s="23" t="inlineStr">
        <is>
          <t>Non</t>
        </is>
      </c>
      <c r="H2960" s="23" t="inlineStr">
        <is>
          <t>ON</t>
        </is>
      </c>
      <c r="I2960" s="24" t="n">
        <v>815.012573225423</v>
      </c>
      <c r="J2960" s="24" t="n">
        <v>8308.791548992402</v>
      </c>
      <c r="K2960" s="24" t="n">
        <v>4662.037037037037</v>
      </c>
      <c r="L2960" s="24" t="n">
        <v>150</v>
      </c>
      <c r="M2960" s="24">
        <f>I2960+J2960+K2960+L2960</f>
        <v/>
      </c>
      <c r="N2960" s="24">
        <f>M2960*'Dashboard &amp; Optimisation'!$B$18/('Dashboard &amp; Optimisation'!$B$16/3.6)</f>
        <v/>
      </c>
      <c r="O2960" s="24" t="n">
        <v>2446.40696225733</v>
      </c>
      <c r="P2960" s="25" t="n">
        <v>0.05506175582285944</v>
      </c>
      <c r="Q2960" s="26" t="n">
        <v>21.32481691234523</v>
      </c>
      <c r="R2960" s="24" t="n">
        <v>10837.26255844026</v>
      </c>
      <c r="S2960" s="24">
        <f>R2960*IF(A2960=4, 2.0, 3.0)</f>
        <v/>
      </c>
      <c r="T2960" s="22">
        <f>'Dashboard &amp; Optimisation'!$B$18*U2960</f>
        <v/>
      </c>
      <c r="U2960" s="27">
        <f>MIN(1, S2960/M2960)</f>
        <v/>
      </c>
      <c r="V2960" s="27">
        <f>N2960/(N2960+O2960)</f>
        <v/>
      </c>
      <c r="W2960" s="27">
        <f>U2960*V2960</f>
        <v/>
      </c>
      <c r="X2960" s="25">
        <f>T2960/N2960</f>
        <v/>
      </c>
      <c r="Y2960" s="28">
        <f>IF(W2960=MAXIFS(W$2:W$3601, A$2:A$3601, A2960, B$2:B$3601, B2960), "OPTIMAL", "")</f>
        <v/>
      </c>
    </row>
    <row r="2961" ht="20" customHeight="1">
      <c r="A2961" s="29" t="n">
        <v>-18</v>
      </c>
      <c r="B2961" s="29" t="n">
        <v>40</v>
      </c>
      <c r="C2961" s="30" t="n">
        <v>85</v>
      </c>
      <c r="D2961" s="30" t="n">
        <v>3</v>
      </c>
      <c r="E2961" s="6" t="n">
        <v>8</v>
      </c>
      <c r="F2961" s="30" t="n">
        <v>2</v>
      </c>
      <c r="G2961" s="6" t="inlineStr">
        <is>
          <t>Non</t>
        </is>
      </c>
      <c r="H2961" s="6" t="inlineStr">
        <is>
          <t>OFF</t>
        </is>
      </c>
      <c r="I2961" s="31" t="n">
        <v>815.012573225423</v>
      </c>
      <c r="J2961" s="31" t="n">
        <v>8308.791548992402</v>
      </c>
      <c r="K2961" s="31" t="n">
        <v>4662.037037037037</v>
      </c>
      <c r="L2961" s="31" t="n">
        <v>150</v>
      </c>
      <c r="M2961" s="31">
        <f>I2961+J2961+K2961+L2961</f>
        <v/>
      </c>
      <c r="N2961" s="31">
        <f>M2961*'Dashboard &amp; Optimisation'!$B$18/('Dashboard &amp; Optimisation'!$B$16/3.6)</f>
        <v/>
      </c>
      <c r="O2961" s="31" t="n">
        <v>2446.40696225733</v>
      </c>
      <c r="P2961" s="32" t="n">
        <v>0.2587160644627574</v>
      </c>
      <c r="Q2961" s="33" t="n">
        <v>21.32481691234523</v>
      </c>
      <c r="R2961" s="31" t="n">
        <v>2306.461742219927</v>
      </c>
      <c r="S2961" s="31">
        <f>R2961*IF(A2961=4, 2.0, 3.0)</f>
        <v/>
      </c>
      <c r="T2961" s="30">
        <f>'Dashboard &amp; Optimisation'!$B$18*U2961</f>
        <v/>
      </c>
      <c r="U2961" s="34">
        <f>MIN(1, S2961/M2961)</f>
        <v/>
      </c>
      <c r="V2961" s="34">
        <f>N2961/(N2961+O2961)</f>
        <v/>
      </c>
      <c r="W2961" s="34">
        <f>U2961*V2961</f>
        <v/>
      </c>
      <c r="X2961" s="32">
        <f>T2961/N2961</f>
        <v/>
      </c>
      <c r="Y2961" s="35">
        <f>IF(W2961=MAXIFS(W$2:W$3601, A$2:A$3601, A2961, B$2:B$3601, B2961), "OPTIMAL", "")</f>
        <v/>
      </c>
    </row>
    <row r="2962" ht="20" customHeight="1">
      <c r="A2962" s="21" t="n">
        <v>-18</v>
      </c>
      <c r="B2962" s="21" t="n">
        <v>40</v>
      </c>
      <c r="C2962" s="22" t="n">
        <v>90</v>
      </c>
      <c r="D2962" s="22" t="n">
        <v>2</v>
      </c>
      <c r="E2962" s="23" t="n">
        <v>0</v>
      </c>
      <c r="F2962" s="22" t="n">
        <v>0</v>
      </c>
      <c r="G2962" s="23" t="inlineStr">
        <is>
          <t>Oui</t>
        </is>
      </c>
      <c r="H2962" s="23" t="inlineStr">
        <is>
          <t>ON</t>
        </is>
      </c>
      <c r="I2962" s="24" t="n">
        <v>815.012573225423</v>
      </c>
      <c r="J2962" s="24" t="n">
        <v>8308.791548992402</v>
      </c>
      <c r="K2962" s="24" t="n">
        <v>4662.037037037037</v>
      </c>
      <c r="L2962" s="24" t="n">
        <v>150</v>
      </c>
      <c r="M2962" s="24">
        <f>I2962+J2962+K2962+L2962</f>
        <v/>
      </c>
      <c r="N2962" s="24">
        <f>M2962*'Dashboard &amp; Optimisation'!$B$18/('Dashboard &amp; Optimisation'!$B$16/3.6)</f>
        <v/>
      </c>
      <c r="O2962" s="24" t="n">
        <v>674.1767410176991</v>
      </c>
      <c r="P2962" s="25" t="n">
        <v>0.4898788424939614</v>
      </c>
      <c r="Q2962" s="26" t="n">
        <v>0.2</v>
      </c>
      <c r="R2962" s="24" t="n">
        <v>921.8468535484748</v>
      </c>
      <c r="S2962" s="24">
        <f>R2962*IF(A2962=4, 2.0, 3.0)</f>
        <v/>
      </c>
      <c r="T2962" s="22">
        <f>'Dashboard &amp; Optimisation'!$B$18*U2962</f>
        <v/>
      </c>
      <c r="U2962" s="27">
        <f>MIN(1, S2962/M2962)</f>
        <v/>
      </c>
      <c r="V2962" s="27">
        <f>N2962/(N2962+O2962)</f>
        <v/>
      </c>
      <c r="W2962" s="27">
        <f>U2962*V2962</f>
        <v/>
      </c>
      <c r="X2962" s="25">
        <f>T2962/N2962</f>
        <v/>
      </c>
      <c r="Y2962" s="28">
        <f>IF(W2962=MAXIFS(W$2:W$3601, A$2:A$3601, A2962, B$2:B$3601, B2962), "OPTIMAL", "")</f>
        <v/>
      </c>
    </row>
    <row r="2963" ht="20" customHeight="1">
      <c r="A2963" s="29" t="n">
        <v>-18</v>
      </c>
      <c r="B2963" s="29" t="n">
        <v>40</v>
      </c>
      <c r="C2963" s="30" t="n">
        <v>90</v>
      </c>
      <c r="D2963" s="30" t="n">
        <v>2</v>
      </c>
      <c r="E2963" s="6" t="n">
        <v>0</v>
      </c>
      <c r="F2963" s="30" t="n">
        <v>0</v>
      </c>
      <c r="G2963" s="6" t="inlineStr">
        <is>
          <t>Oui</t>
        </is>
      </c>
      <c r="H2963" s="6" t="inlineStr">
        <is>
          <t>OFF</t>
        </is>
      </c>
      <c r="I2963" s="31" t="n">
        <v>815.012573225423</v>
      </c>
      <c r="J2963" s="31" t="n">
        <v>8308.791548992402</v>
      </c>
      <c r="K2963" s="31" t="n">
        <v>4662.037037037037</v>
      </c>
      <c r="L2963" s="31" t="n">
        <v>150</v>
      </c>
      <c r="M2963" s="31">
        <f>I2963+J2963+K2963+L2963</f>
        <v/>
      </c>
      <c r="N2963" s="31">
        <f>M2963*'Dashboard &amp; Optimisation'!$B$18/('Dashboard &amp; Optimisation'!$B$16/3.6)</f>
        <v/>
      </c>
      <c r="O2963" s="31" t="n">
        <v>674.1767410176991</v>
      </c>
      <c r="P2963" s="32" t="n">
        <v>0.8435564938092843</v>
      </c>
      <c r="Q2963" s="33" t="n">
        <v>0.2</v>
      </c>
      <c r="R2963" s="31" t="n">
        <v>535.3444290775926</v>
      </c>
      <c r="S2963" s="31">
        <f>R2963*IF(A2963=4, 2.0, 3.0)</f>
        <v/>
      </c>
      <c r="T2963" s="30">
        <f>'Dashboard &amp; Optimisation'!$B$18*U2963</f>
        <v/>
      </c>
      <c r="U2963" s="34">
        <f>MIN(1, S2963/M2963)</f>
        <v/>
      </c>
      <c r="V2963" s="34">
        <f>N2963/(N2963+O2963)</f>
        <v/>
      </c>
      <c r="W2963" s="34">
        <f>U2963*V2963</f>
        <v/>
      </c>
      <c r="X2963" s="32">
        <f>T2963/N2963</f>
        <v/>
      </c>
      <c r="Y2963" s="35">
        <f>IF(W2963=MAXIFS(W$2:W$3601, A$2:A$3601, A2963, B$2:B$3601, B2963), "OPTIMAL", "")</f>
        <v/>
      </c>
    </row>
    <row r="2964" ht="20" customHeight="1">
      <c r="A2964" s="21" t="n">
        <v>-18</v>
      </c>
      <c r="B2964" s="21" t="n">
        <v>40</v>
      </c>
      <c r="C2964" s="22" t="n">
        <v>90</v>
      </c>
      <c r="D2964" s="22" t="n">
        <v>2</v>
      </c>
      <c r="E2964" s="23" t="n">
        <v>0</v>
      </c>
      <c r="F2964" s="22" t="n">
        <v>0</v>
      </c>
      <c r="G2964" s="23" t="inlineStr">
        <is>
          <t>Non</t>
        </is>
      </c>
      <c r="H2964" s="23" t="inlineStr">
        <is>
          <t>ON</t>
        </is>
      </c>
      <c r="I2964" s="24" t="n">
        <v>815.012573225423</v>
      </c>
      <c r="J2964" s="24" t="n">
        <v>8308.791548992402</v>
      </c>
      <c r="K2964" s="24" t="n">
        <v>4662.037037037037</v>
      </c>
      <c r="L2964" s="24" t="n">
        <v>150</v>
      </c>
      <c r="M2964" s="24">
        <f>I2964+J2964+K2964+L2964</f>
        <v/>
      </c>
      <c r="N2964" s="24">
        <f>M2964*'Dashboard &amp; Optimisation'!$B$18/('Dashboard &amp; Optimisation'!$B$16/3.6)</f>
        <v/>
      </c>
      <c r="O2964" s="24" t="n">
        <v>674.1767410176991</v>
      </c>
      <c r="P2964" s="25" t="n">
        <v>0.4863420659808082</v>
      </c>
      <c r="Q2964" s="26" t="n">
        <v>0.2</v>
      </c>
      <c r="R2964" s="24" t="n">
        <v>928.5507077457859</v>
      </c>
      <c r="S2964" s="24">
        <f>R2964*IF(A2964=4, 2.0, 3.0)</f>
        <v/>
      </c>
      <c r="T2964" s="22">
        <f>'Dashboard &amp; Optimisation'!$B$18*U2964</f>
        <v/>
      </c>
      <c r="U2964" s="27">
        <f>MIN(1, S2964/M2964)</f>
        <v/>
      </c>
      <c r="V2964" s="27">
        <f>N2964/(N2964+O2964)</f>
        <v/>
      </c>
      <c r="W2964" s="27">
        <f>U2964*V2964</f>
        <v/>
      </c>
      <c r="X2964" s="25">
        <f>T2964/N2964</f>
        <v/>
      </c>
      <c r="Y2964" s="28">
        <f>IF(W2964=MAXIFS(W$2:W$3601, A$2:A$3601, A2964, B$2:B$3601, B2964), "OPTIMAL", "")</f>
        <v/>
      </c>
    </row>
    <row r="2965" ht="20" customHeight="1">
      <c r="A2965" s="29" t="n">
        <v>-18</v>
      </c>
      <c r="B2965" s="29" t="n">
        <v>40</v>
      </c>
      <c r="C2965" s="30" t="n">
        <v>90</v>
      </c>
      <c r="D2965" s="30" t="n">
        <v>2</v>
      </c>
      <c r="E2965" s="6" t="n">
        <v>0</v>
      </c>
      <c r="F2965" s="30" t="n">
        <v>0</v>
      </c>
      <c r="G2965" s="6" t="inlineStr">
        <is>
          <t>Non</t>
        </is>
      </c>
      <c r="H2965" s="6" t="inlineStr">
        <is>
          <t>OFF</t>
        </is>
      </c>
      <c r="I2965" s="31" t="n">
        <v>815.012573225423</v>
      </c>
      <c r="J2965" s="31" t="n">
        <v>8308.791548992402</v>
      </c>
      <c r="K2965" s="31" t="n">
        <v>4662.037037037037</v>
      </c>
      <c r="L2965" s="31" t="n">
        <v>150</v>
      </c>
      <c r="M2965" s="31">
        <f>I2965+J2965+K2965+L2965</f>
        <v/>
      </c>
      <c r="N2965" s="31">
        <f>M2965*'Dashboard &amp; Optimisation'!$B$18/('Dashboard &amp; Optimisation'!$B$16/3.6)</f>
        <v/>
      </c>
      <c r="O2965" s="31" t="n">
        <v>674.1767410176991</v>
      </c>
      <c r="P2965" s="32" t="n">
        <v>0.8400197172961312</v>
      </c>
      <c r="Q2965" s="33" t="n">
        <v>0.2</v>
      </c>
      <c r="R2965" s="31" t="n">
        <v>537.5984161736378</v>
      </c>
      <c r="S2965" s="31">
        <f>R2965*IF(A2965=4, 2.0, 3.0)</f>
        <v/>
      </c>
      <c r="T2965" s="30">
        <f>'Dashboard &amp; Optimisation'!$B$18*U2965</f>
        <v/>
      </c>
      <c r="U2965" s="34">
        <f>MIN(1, S2965/M2965)</f>
        <v/>
      </c>
      <c r="V2965" s="34">
        <f>N2965/(N2965+O2965)</f>
        <v/>
      </c>
      <c r="W2965" s="34">
        <f>U2965*V2965</f>
        <v/>
      </c>
      <c r="X2965" s="32">
        <f>T2965/N2965</f>
        <v/>
      </c>
      <c r="Y2965" s="35">
        <f>IF(W2965=MAXIFS(W$2:W$3601, A$2:A$3601, A2965, B$2:B$3601, B2965), "OPTIMAL", "")</f>
        <v/>
      </c>
    </row>
    <row r="2966" ht="20" customHeight="1">
      <c r="A2966" s="21" t="n">
        <v>-18</v>
      </c>
      <c r="B2966" s="21" t="n">
        <v>40</v>
      </c>
      <c r="C2966" s="22" t="n">
        <v>90</v>
      </c>
      <c r="D2966" s="22" t="n">
        <v>2</v>
      </c>
      <c r="E2966" s="23" t="n">
        <v>4</v>
      </c>
      <c r="F2966" s="22" t="n">
        <v>1.5</v>
      </c>
      <c r="G2966" s="23" t="inlineStr">
        <is>
          <t>Oui</t>
        </is>
      </c>
      <c r="H2966" s="23" t="inlineStr">
        <is>
          <t>ON</t>
        </is>
      </c>
      <c r="I2966" s="24" t="n">
        <v>815.012573225423</v>
      </c>
      <c r="J2966" s="24" t="n">
        <v>8308.791548992402</v>
      </c>
      <c r="K2966" s="24" t="n">
        <v>4662.037037037037</v>
      </c>
      <c r="L2966" s="24" t="n">
        <v>150</v>
      </c>
      <c r="M2966" s="24">
        <f>I2966+J2966+K2966+L2966</f>
        <v/>
      </c>
      <c r="N2966" s="24">
        <f>M2966*'Dashboard &amp; Optimisation'!$B$18/('Dashboard &amp; Optimisation'!$B$16/3.6)</f>
        <v/>
      </c>
      <c r="O2966" s="24" t="n">
        <v>1073.729858113836</v>
      </c>
      <c r="P2966" s="25" t="n">
        <v>0.07759354469391215</v>
      </c>
      <c r="Q2966" s="26" t="n">
        <v>7.477008151491015</v>
      </c>
      <c r="R2966" s="24" t="n">
        <v>6034.40098647486</v>
      </c>
      <c r="S2966" s="24">
        <f>R2966*IF(A2966=4, 2.0, 3.0)</f>
        <v/>
      </c>
      <c r="T2966" s="22">
        <f>'Dashboard &amp; Optimisation'!$B$18*U2966</f>
        <v/>
      </c>
      <c r="U2966" s="27">
        <f>MIN(1, S2966/M2966)</f>
        <v/>
      </c>
      <c r="V2966" s="27">
        <f>N2966/(N2966+O2966)</f>
        <v/>
      </c>
      <c r="W2966" s="27">
        <f>U2966*V2966</f>
        <v/>
      </c>
      <c r="X2966" s="25">
        <f>T2966/N2966</f>
        <v/>
      </c>
      <c r="Y2966" s="28">
        <f>IF(W2966=MAXIFS(W$2:W$3601, A$2:A$3601, A2966, B$2:B$3601, B2966), "OPTIMAL", "")</f>
        <v/>
      </c>
    </row>
    <row r="2967" ht="20" customHeight="1">
      <c r="A2967" s="29" t="n">
        <v>-18</v>
      </c>
      <c r="B2967" s="29" t="n">
        <v>40</v>
      </c>
      <c r="C2967" s="30" t="n">
        <v>90</v>
      </c>
      <c r="D2967" s="30" t="n">
        <v>2</v>
      </c>
      <c r="E2967" s="6" t="n">
        <v>4</v>
      </c>
      <c r="F2967" s="30" t="n">
        <v>1.5</v>
      </c>
      <c r="G2967" s="6" t="inlineStr">
        <is>
          <t>Oui</t>
        </is>
      </c>
      <c r="H2967" s="6" t="inlineStr">
        <is>
          <t>OFF</t>
        </is>
      </c>
      <c r="I2967" s="31" t="n">
        <v>815.012573225423</v>
      </c>
      <c r="J2967" s="31" t="n">
        <v>8308.791548992402</v>
      </c>
      <c r="K2967" s="31" t="n">
        <v>4662.037037037037</v>
      </c>
      <c r="L2967" s="31" t="n">
        <v>150</v>
      </c>
      <c r="M2967" s="31">
        <f>I2967+J2967+K2967+L2967</f>
        <v/>
      </c>
      <c r="N2967" s="31">
        <f>M2967*'Dashboard &amp; Optimisation'!$B$18/('Dashboard &amp; Optimisation'!$B$16/3.6)</f>
        <v/>
      </c>
      <c r="O2967" s="31" t="n">
        <v>1073.729858113836</v>
      </c>
      <c r="P2967" s="32" t="n">
        <v>0.3296507660240217</v>
      </c>
      <c r="Q2967" s="33" t="n">
        <v>7.477008151491015</v>
      </c>
      <c r="R2967" s="31" t="n">
        <v>1420.383663270191</v>
      </c>
      <c r="S2967" s="31">
        <f>R2967*IF(A2967=4, 2.0, 3.0)</f>
        <v/>
      </c>
      <c r="T2967" s="30">
        <f>'Dashboard &amp; Optimisation'!$B$18*U2967</f>
        <v/>
      </c>
      <c r="U2967" s="34">
        <f>MIN(1, S2967/M2967)</f>
        <v/>
      </c>
      <c r="V2967" s="34">
        <f>N2967/(N2967+O2967)</f>
        <v/>
      </c>
      <c r="W2967" s="34">
        <f>U2967*V2967</f>
        <v/>
      </c>
      <c r="X2967" s="32">
        <f>T2967/N2967</f>
        <v/>
      </c>
      <c r="Y2967" s="35">
        <f>IF(W2967=MAXIFS(W$2:W$3601, A$2:A$3601, A2967, B$2:B$3601, B2967), "OPTIMAL", "")</f>
        <v/>
      </c>
    </row>
    <row r="2968" ht="20" customHeight="1">
      <c r="A2968" s="21" t="n">
        <v>-18</v>
      </c>
      <c r="B2968" s="21" t="n">
        <v>40</v>
      </c>
      <c r="C2968" s="22" t="n">
        <v>90</v>
      </c>
      <c r="D2968" s="22" t="n">
        <v>2</v>
      </c>
      <c r="E2968" s="23" t="n">
        <v>4</v>
      </c>
      <c r="F2968" s="22" t="n">
        <v>1.5</v>
      </c>
      <c r="G2968" s="23" t="inlineStr">
        <is>
          <t>Non</t>
        </is>
      </c>
      <c r="H2968" s="23" t="inlineStr">
        <is>
          <t>ON</t>
        </is>
      </c>
      <c r="I2968" s="24" t="n">
        <v>815.012573225423</v>
      </c>
      <c r="J2968" s="24" t="n">
        <v>8308.791548992402</v>
      </c>
      <c r="K2968" s="24" t="n">
        <v>4662.037037037037</v>
      </c>
      <c r="L2968" s="24" t="n">
        <v>150</v>
      </c>
      <c r="M2968" s="24">
        <f>I2968+J2968+K2968+L2968</f>
        <v/>
      </c>
      <c r="N2968" s="24">
        <f>M2968*'Dashboard &amp; Optimisation'!$B$18/('Dashboard &amp; Optimisation'!$B$16/3.6)</f>
        <v/>
      </c>
      <c r="O2968" s="24" t="n">
        <v>1073.729858113836</v>
      </c>
      <c r="P2968" s="25" t="n">
        <v>0.07405676818075892</v>
      </c>
      <c r="Q2968" s="26" t="n">
        <v>7.477008151491015</v>
      </c>
      <c r="R2968" s="24" t="n">
        <v>6322.589739565195</v>
      </c>
      <c r="S2968" s="24">
        <f>R2968*IF(A2968=4, 2.0, 3.0)</f>
        <v/>
      </c>
      <c r="T2968" s="22">
        <f>'Dashboard &amp; Optimisation'!$B$18*U2968</f>
        <v/>
      </c>
      <c r="U2968" s="27">
        <f>MIN(1, S2968/M2968)</f>
        <v/>
      </c>
      <c r="V2968" s="27">
        <f>N2968/(N2968+O2968)</f>
        <v/>
      </c>
      <c r="W2968" s="27">
        <f>U2968*V2968</f>
        <v/>
      </c>
      <c r="X2968" s="25">
        <f>T2968/N2968</f>
        <v/>
      </c>
      <c r="Y2968" s="28">
        <f>IF(W2968=MAXIFS(W$2:W$3601, A$2:A$3601, A2968, B$2:B$3601, B2968), "OPTIMAL", "")</f>
        <v/>
      </c>
    </row>
    <row r="2969" ht="20" customHeight="1">
      <c r="A2969" s="29" t="n">
        <v>-18</v>
      </c>
      <c r="B2969" s="29" t="n">
        <v>40</v>
      </c>
      <c r="C2969" s="30" t="n">
        <v>90</v>
      </c>
      <c r="D2969" s="30" t="n">
        <v>2</v>
      </c>
      <c r="E2969" s="6" t="n">
        <v>4</v>
      </c>
      <c r="F2969" s="30" t="n">
        <v>1.5</v>
      </c>
      <c r="G2969" s="6" t="inlineStr">
        <is>
          <t>Non</t>
        </is>
      </c>
      <c r="H2969" s="6" t="inlineStr">
        <is>
          <t>OFF</t>
        </is>
      </c>
      <c r="I2969" s="31" t="n">
        <v>815.012573225423</v>
      </c>
      <c r="J2969" s="31" t="n">
        <v>8308.791548992402</v>
      </c>
      <c r="K2969" s="31" t="n">
        <v>4662.037037037037</v>
      </c>
      <c r="L2969" s="31" t="n">
        <v>150</v>
      </c>
      <c r="M2969" s="31">
        <f>I2969+J2969+K2969+L2969</f>
        <v/>
      </c>
      <c r="N2969" s="31">
        <f>M2969*'Dashboard &amp; Optimisation'!$B$18/('Dashboard &amp; Optimisation'!$B$16/3.6)</f>
        <v/>
      </c>
      <c r="O2969" s="31" t="n">
        <v>1073.729858113836</v>
      </c>
      <c r="P2969" s="32" t="n">
        <v>0.3261139895108685</v>
      </c>
      <c r="Q2969" s="33" t="n">
        <v>7.477008151491015</v>
      </c>
      <c r="R2969" s="31" t="n">
        <v>1435.788030275284</v>
      </c>
      <c r="S2969" s="31">
        <f>R2969*IF(A2969=4, 2.0, 3.0)</f>
        <v/>
      </c>
      <c r="T2969" s="30">
        <f>'Dashboard &amp; Optimisation'!$B$18*U2969</f>
        <v/>
      </c>
      <c r="U2969" s="34">
        <f>MIN(1, S2969/M2969)</f>
        <v/>
      </c>
      <c r="V2969" s="34">
        <f>N2969/(N2969+O2969)</f>
        <v/>
      </c>
      <c r="W2969" s="34">
        <f>U2969*V2969</f>
        <v/>
      </c>
      <c r="X2969" s="32">
        <f>T2969/N2969</f>
        <v/>
      </c>
      <c r="Y2969" s="35">
        <f>IF(W2969=MAXIFS(W$2:W$3601, A$2:A$3601, A2969, B$2:B$3601, B2969), "OPTIMAL", "")</f>
        <v/>
      </c>
    </row>
    <row r="2970" ht="20" customHeight="1">
      <c r="A2970" s="21" t="n">
        <v>-18</v>
      </c>
      <c r="B2970" s="21" t="n">
        <v>40</v>
      </c>
      <c r="C2970" s="22" t="n">
        <v>90</v>
      </c>
      <c r="D2970" s="22" t="n">
        <v>2</v>
      </c>
      <c r="E2970" s="23" t="n">
        <v>4</v>
      </c>
      <c r="F2970" s="22" t="n">
        <v>2</v>
      </c>
      <c r="G2970" s="23" t="inlineStr">
        <is>
          <t>Oui</t>
        </is>
      </c>
      <c r="H2970" s="23" t="inlineStr">
        <is>
          <t>ON</t>
        </is>
      </c>
      <c r="I2970" s="24" t="n">
        <v>815.012573225423</v>
      </c>
      <c r="J2970" s="24" t="n">
        <v>8308.791548992402</v>
      </c>
      <c r="K2970" s="24" t="n">
        <v>4662.037037037037</v>
      </c>
      <c r="L2970" s="24" t="n">
        <v>150</v>
      </c>
      <c r="M2970" s="24">
        <f>I2970+J2970+K2970+L2970</f>
        <v/>
      </c>
      <c r="N2970" s="24">
        <f>M2970*'Dashboard &amp; Optimisation'!$B$18/('Dashboard &amp; Optimisation'!$B$16/3.6)</f>
        <v/>
      </c>
      <c r="O2970" s="24" t="n">
        <v>1213.537822240908</v>
      </c>
      <c r="P2970" s="25" t="n">
        <v>0.07521841927673642</v>
      </c>
      <c r="Q2970" s="26" t="n">
        <v>9.902677535321354</v>
      </c>
      <c r="R2970" s="24" t="n">
        <v>6302.341052696566</v>
      </c>
      <c r="S2970" s="24">
        <f>R2970*IF(A2970=4, 2.0, 3.0)</f>
        <v/>
      </c>
      <c r="T2970" s="22">
        <f>'Dashboard &amp; Optimisation'!$B$18*U2970</f>
        <v/>
      </c>
      <c r="U2970" s="27">
        <f>MIN(1, S2970/M2970)</f>
        <v/>
      </c>
      <c r="V2970" s="27">
        <f>N2970/(N2970+O2970)</f>
        <v/>
      </c>
      <c r="W2970" s="27">
        <f>U2970*V2970</f>
        <v/>
      </c>
      <c r="X2970" s="25">
        <f>T2970/N2970</f>
        <v/>
      </c>
      <c r="Y2970" s="28">
        <f>IF(W2970=MAXIFS(W$2:W$3601, A$2:A$3601, A2970, B$2:B$3601, B2970), "OPTIMAL", "")</f>
        <v/>
      </c>
    </row>
    <row r="2971" ht="20" customHeight="1">
      <c r="A2971" s="29" t="n">
        <v>-18</v>
      </c>
      <c r="B2971" s="29" t="n">
        <v>40</v>
      </c>
      <c r="C2971" s="30" t="n">
        <v>90</v>
      </c>
      <c r="D2971" s="30" t="n">
        <v>2</v>
      </c>
      <c r="E2971" s="6" t="n">
        <v>4</v>
      </c>
      <c r="F2971" s="30" t="n">
        <v>2</v>
      </c>
      <c r="G2971" s="6" t="inlineStr">
        <is>
          <t>Oui</t>
        </is>
      </c>
      <c r="H2971" s="6" t="inlineStr">
        <is>
          <t>OFF</t>
        </is>
      </c>
      <c r="I2971" s="31" t="n">
        <v>815.012573225423</v>
      </c>
      <c r="J2971" s="31" t="n">
        <v>8308.791548992402</v>
      </c>
      <c r="K2971" s="31" t="n">
        <v>4662.037037037037</v>
      </c>
      <c r="L2971" s="31" t="n">
        <v>150</v>
      </c>
      <c r="M2971" s="31">
        <f>I2971+J2971+K2971+L2971</f>
        <v/>
      </c>
      <c r="N2971" s="31">
        <f>M2971*'Dashboard &amp; Optimisation'!$B$18/('Dashboard &amp; Optimisation'!$B$16/3.6)</f>
        <v/>
      </c>
      <c r="O2971" s="31" t="n">
        <v>1213.537822240908</v>
      </c>
      <c r="P2971" s="32" t="n">
        <v>0.328550491855213</v>
      </c>
      <c r="Q2971" s="33" t="n">
        <v>9.902677535321354</v>
      </c>
      <c r="R2971" s="31" t="n">
        <v>1442.859297059357</v>
      </c>
      <c r="S2971" s="31">
        <f>R2971*IF(A2971=4, 2.0, 3.0)</f>
        <v/>
      </c>
      <c r="T2971" s="30">
        <f>'Dashboard &amp; Optimisation'!$B$18*U2971</f>
        <v/>
      </c>
      <c r="U2971" s="34">
        <f>MIN(1, S2971/M2971)</f>
        <v/>
      </c>
      <c r="V2971" s="34">
        <f>N2971/(N2971+O2971)</f>
        <v/>
      </c>
      <c r="W2971" s="34">
        <f>U2971*V2971</f>
        <v/>
      </c>
      <c r="X2971" s="32">
        <f>T2971/N2971</f>
        <v/>
      </c>
      <c r="Y2971" s="35">
        <f>IF(W2971=MAXIFS(W$2:W$3601, A$2:A$3601, A2971, B$2:B$3601, B2971), "OPTIMAL", "")</f>
        <v/>
      </c>
    </row>
    <row r="2972" ht="20" customHeight="1">
      <c r="A2972" s="21" t="n">
        <v>-18</v>
      </c>
      <c r="B2972" s="21" t="n">
        <v>40</v>
      </c>
      <c r="C2972" s="22" t="n">
        <v>90</v>
      </c>
      <c r="D2972" s="22" t="n">
        <v>2</v>
      </c>
      <c r="E2972" s="23" t="n">
        <v>4</v>
      </c>
      <c r="F2972" s="22" t="n">
        <v>2</v>
      </c>
      <c r="G2972" s="23" t="inlineStr">
        <is>
          <t>Non</t>
        </is>
      </c>
      <c r="H2972" s="23" t="inlineStr">
        <is>
          <t>ON</t>
        </is>
      </c>
      <c r="I2972" s="24" t="n">
        <v>815.012573225423</v>
      </c>
      <c r="J2972" s="24" t="n">
        <v>8308.791548992402</v>
      </c>
      <c r="K2972" s="24" t="n">
        <v>4662.037037037037</v>
      </c>
      <c r="L2972" s="24" t="n">
        <v>150</v>
      </c>
      <c r="M2972" s="24">
        <f>I2972+J2972+K2972+L2972</f>
        <v/>
      </c>
      <c r="N2972" s="24">
        <f>M2972*'Dashboard &amp; Optimisation'!$B$18/('Dashboard &amp; Optimisation'!$B$16/3.6)</f>
        <v/>
      </c>
      <c r="O2972" s="24" t="n">
        <v>1213.537822240908</v>
      </c>
      <c r="P2972" s="25" t="n">
        <v>0.07168164276358319</v>
      </c>
      <c r="Q2972" s="26" t="n">
        <v>9.902677535321354</v>
      </c>
      <c r="R2972" s="24" t="n">
        <v>6613.298934710715</v>
      </c>
      <c r="S2972" s="24">
        <f>R2972*IF(A2972=4, 2.0, 3.0)</f>
        <v/>
      </c>
      <c r="T2972" s="22">
        <f>'Dashboard &amp; Optimisation'!$B$18*U2972</f>
        <v/>
      </c>
      <c r="U2972" s="27">
        <f>MIN(1, S2972/M2972)</f>
        <v/>
      </c>
      <c r="V2972" s="27">
        <f>N2972/(N2972+O2972)</f>
        <v/>
      </c>
      <c r="W2972" s="27">
        <f>U2972*V2972</f>
        <v/>
      </c>
      <c r="X2972" s="25">
        <f>T2972/N2972</f>
        <v/>
      </c>
      <c r="Y2972" s="28">
        <f>IF(W2972=MAXIFS(W$2:W$3601, A$2:A$3601, A2972, B$2:B$3601, B2972), "OPTIMAL", "")</f>
        <v/>
      </c>
    </row>
    <row r="2973" ht="20" customHeight="1">
      <c r="A2973" s="29" t="n">
        <v>-18</v>
      </c>
      <c r="B2973" s="29" t="n">
        <v>40</v>
      </c>
      <c r="C2973" s="30" t="n">
        <v>90</v>
      </c>
      <c r="D2973" s="30" t="n">
        <v>2</v>
      </c>
      <c r="E2973" s="6" t="n">
        <v>4</v>
      </c>
      <c r="F2973" s="30" t="n">
        <v>2</v>
      </c>
      <c r="G2973" s="6" t="inlineStr">
        <is>
          <t>Non</t>
        </is>
      </c>
      <c r="H2973" s="6" t="inlineStr">
        <is>
          <t>OFF</t>
        </is>
      </c>
      <c r="I2973" s="31" t="n">
        <v>815.012573225423</v>
      </c>
      <c r="J2973" s="31" t="n">
        <v>8308.791548992402</v>
      </c>
      <c r="K2973" s="31" t="n">
        <v>4662.037037037037</v>
      </c>
      <c r="L2973" s="31" t="n">
        <v>150</v>
      </c>
      <c r="M2973" s="31">
        <f>I2973+J2973+K2973+L2973</f>
        <v/>
      </c>
      <c r="N2973" s="31">
        <f>M2973*'Dashboard &amp; Optimisation'!$B$18/('Dashboard &amp; Optimisation'!$B$16/3.6)</f>
        <v/>
      </c>
      <c r="O2973" s="31" t="n">
        <v>1213.537822240908</v>
      </c>
      <c r="P2973" s="32" t="n">
        <v>0.3250137153420598</v>
      </c>
      <c r="Q2973" s="33" t="n">
        <v>9.902677535321354</v>
      </c>
      <c r="R2973" s="31" t="n">
        <v>1458.560390990897</v>
      </c>
      <c r="S2973" s="31">
        <f>R2973*IF(A2973=4, 2.0, 3.0)</f>
        <v/>
      </c>
      <c r="T2973" s="30">
        <f>'Dashboard &amp; Optimisation'!$B$18*U2973</f>
        <v/>
      </c>
      <c r="U2973" s="34">
        <f>MIN(1, S2973/M2973)</f>
        <v/>
      </c>
      <c r="V2973" s="34">
        <f>N2973/(N2973+O2973)</f>
        <v/>
      </c>
      <c r="W2973" s="34">
        <f>U2973*V2973</f>
        <v/>
      </c>
      <c r="X2973" s="32">
        <f>T2973/N2973</f>
        <v/>
      </c>
      <c r="Y2973" s="35">
        <f>IF(W2973=MAXIFS(W$2:W$3601, A$2:A$3601, A2973, B$2:B$3601, B2973), "OPTIMAL", "")</f>
        <v/>
      </c>
    </row>
    <row r="2974" ht="20" customHeight="1">
      <c r="A2974" s="21" t="n">
        <v>-18</v>
      </c>
      <c r="B2974" s="21" t="n">
        <v>40</v>
      </c>
      <c r="C2974" s="22" t="n">
        <v>90</v>
      </c>
      <c r="D2974" s="22" t="n">
        <v>2</v>
      </c>
      <c r="E2974" s="23" t="n">
        <v>8</v>
      </c>
      <c r="F2974" s="22" t="n">
        <v>1.5</v>
      </c>
      <c r="G2974" s="23" t="inlineStr">
        <is>
          <t>Oui</t>
        </is>
      </c>
      <c r="H2974" s="23" t="inlineStr">
        <is>
          <t>ON</t>
        </is>
      </c>
      <c r="I2974" s="24" t="n">
        <v>815.012573225423</v>
      </c>
      <c r="J2974" s="24" t="n">
        <v>8308.791548992402</v>
      </c>
      <c r="K2974" s="24" t="n">
        <v>4662.037037037037</v>
      </c>
      <c r="L2974" s="24" t="n">
        <v>150</v>
      </c>
      <c r="M2974" s="24">
        <f>I2974+J2974+K2974+L2974</f>
        <v/>
      </c>
      <c r="N2974" s="24">
        <f>M2974*'Dashboard &amp; Optimisation'!$B$18/('Dashboard &amp; Optimisation'!$B$16/3.6)</f>
        <v/>
      </c>
      <c r="O2974" s="24" t="n">
        <v>1503.84920566131</v>
      </c>
      <c r="P2974" s="25" t="n">
        <v>0.05835644876127537</v>
      </c>
      <c r="Q2974" s="26" t="n">
        <v>14.75401630298203</v>
      </c>
      <c r="R2974" s="24" t="n">
        <v>8330.538206484083</v>
      </c>
      <c r="S2974" s="24">
        <f>R2974*IF(A2974=4, 2.0, 3.0)</f>
        <v/>
      </c>
      <c r="T2974" s="22">
        <f>'Dashboard &amp; Optimisation'!$B$18*U2974</f>
        <v/>
      </c>
      <c r="U2974" s="27">
        <f>MIN(1, S2974/M2974)</f>
        <v/>
      </c>
      <c r="V2974" s="27">
        <f>N2974/(N2974+O2974)</f>
        <v/>
      </c>
      <c r="W2974" s="27">
        <f>U2974*V2974</f>
        <v/>
      </c>
      <c r="X2974" s="25">
        <f>T2974/N2974</f>
        <v/>
      </c>
      <c r="Y2974" s="28">
        <f>IF(W2974=MAXIFS(W$2:W$3601, A$2:A$3601, A2974, B$2:B$3601, B2974), "OPTIMAL", "")</f>
        <v/>
      </c>
    </row>
    <row r="2975" ht="20" customHeight="1">
      <c r="A2975" s="29" t="n">
        <v>-18</v>
      </c>
      <c r="B2975" s="29" t="n">
        <v>40</v>
      </c>
      <c r="C2975" s="30" t="n">
        <v>90</v>
      </c>
      <c r="D2975" s="30" t="n">
        <v>2</v>
      </c>
      <c r="E2975" s="6" t="n">
        <v>8</v>
      </c>
      <c r="F2975" s="30" t="n">
        <v>1.5</v>
      </c>
      <c r="G2975" s="6" t="inlineStr">
        <is>
          <t>Oui</t>
        </is>
      </c>
      <c r="H2975" s="6" t="inlineStr">
        <is>
          <t>OFF</t>
        </is>
      </c>
      <c r="I2975" s="31" t="n">
        <v>815.012573225423</v>
      </c>
      <c r="J2975" s="31" t="n">
        <v>8308.791548992402</v>
      </c>
      <c r="K2975" s="31" t="n">
        <v>4662.037037037037</v>
      </c>
      <c r="L2975" s="31" t="n">
        <v>150</v>
      </c>
      <c r="M2975" s="31">
        <f>I2975+J2975+K2975+L2975</f>
        <v/>
      </c>
      <c r="N2975" s="31">
        <f>M2975*'Dashboard &amp; Optimisation'!$B$18/('Dashboard &amp; Optimisation'!$B$16/3.6)</f>
        <v/>
      </c>
      <c r="O2975" s="31" t="n">
        <v>1503.84920566131</v>
      </c>
      <c r="P2975" s="32" t="n">
        <v>0.2541545323509655</v>
      </c>
      <c r="Q2975" s="33" t="n">
        <v>14.75401630298203</v>
      </c>
      <c r="R2975" s="31" t="n">
        <v>1912.775749083306</v>
      </c>
      <c r="S2975" s="31">
        <f>R2975*IF(A2975=4, 2.0, 3.0)</f>
        <v/>
      </c>
      <c r="T2975" s="30">
        <f>'Dashboard &amp; Optimisation'!$B$18*U2975</f>
        <v/>
      </c>
      <c r="U2975" s="34">
        <f>MIN(1, S2975/M2975)</f>
        <v/>
      </c>
      <c r="V2975" s="34">
        <f>N2975/(N2975+O2975)</f>
        <v/>
      </c>
      <c r="W2975" s="34">
        <f>U2975*V2975</f>
        <v/>
      </c>
      <c r="X2975" s="32">
        <f>T2975/N2975</f>
        <v/>
      </c>
      <c r="Y2975" s="35">
        <f>IF(W2975=MAXIFS(W$2:W$3601, A$2:A$3601, A2975, B$2:B$3601, B2975), "OPTIMAL", "")</f>
        <v/>
      </c>
    </row>
    <row r="2976" ht="20" customHeight="1">
      <c r="A2976" s="21" t="n">
        <v>-18</v>
      </c>
      <c r="B2976" s="21" t="n">
        <v>40</v>
      </c>
      <c r="C2976" s="22" t="n">
        <v>90</v>
      </c>
      <c r="D2976" s="22" t="n">
        <v>2</v>
      </c>
      <c r="E2976" s="23" t="n">
        <v>8</v>
      </c>
      <c r="F2976" s="22" t="n">
        <v>1.5</v>
      </c>
      <c r="G2976" s="23" t="inlineStr">
        <is>
          <t>Non</t>
        </is>
      </c>
      <c r="H2976" s="23" t="inlineStr">
        <is>
          <t>ON</t>
        </is>
      </c>
      <c r="I2976" s="24" t="n">
        <v>815.012573225423</v>
      </c>
      <c r="J2976" s="24" t="n">
        <v>8308.791548992402</v>
      </c>
      <c r="K2976" s="24" t="n">
        <v>4662.037037037037</v>
      </c>
      <c r="L2976" s="24" t="n">
        <v>150</v>
      </c>
      <c r="M2976" s="24">
        <f>I2976+J2976+K2976+L2976</f>
        <v/>
      </c>
      <c r="N2976" s="24">
        <f>M2976*'Dashboard &amp; Optimisation'!$B$18/('Dashboard &amp; Optimisation'!$B$16/3.6)</f>
        <v/>
      </c>
      <c r="O2976" s="24" t="n">
        <v>1503.84920566131</v>
      </c>
      <c r="P2976" s="25" t="n">
        <v>0.05481967224812215</v>
      </c>
      <c r="Q2976" s="26" t="n">
        <v>14.75401630298203</v>
      </c>
      <c r="R2976" s="24" t="n">
        <v>8867.99585010631</v>
      </c>
      <c r="S2976" s="24">
        <f>R2976*IF(A2976=4, 2.0, 3.0)</f>
        <v/>
      </c>
      <c r="T2976" s="22">
        <f>'Dashboard &amp; Optimisation'!$B$18*U2976</f>
        <v/>
      </c>
      <c r="U2976" s="27">
        <f>MIN(1, S2976/M2976)</f>
        <v/>
      </c>
      <c r="V2976" s="27">
        <f>N2976/(N2976+O2976)</f>
        <v/>
      </c>
      <c r="W2976" s="27">
        <f>U2976*V2976</f>
        <v/>
      </c>
      <c r="X2976" s="25">
        <f>T2976/N2976</f>
        <v/>
      </c>
      <c r="Y2976" s="28">
        <f>IF(W2976=MAXIFS(W$2:W$3601, A$2:A$3601, A2976, B$2:B$3601, B2976), "OPTIMAL", "")</f>
        <v/>
      </c>
    </row>
    <row r="2977" ht="20" customHeight="1">
      <c r="A2977" s="29" t="n">
        <v>-18</v>
      </c>
      <c r="B2977" s="29" t="n">
        <v>40</v>
      </c>
      <c r="C2977" s="30" t="n">
        <v>90</v>
      </c>
      <c r="D2977" s="30" t="n">
        <v>2</v>
      </c>
      <c r="E2977" s="6" t="n">
        <v>8</v>
      </c>
      <c r="F2977" s="30" t="n">
        <v>1.5</v>
      </c>
      <c r="G2977" s="6" t="inlineStr">
        <is>
          <t>Non</t>
        </is>
      </c>
      <c r="H2977" s="6" t="inlineStr">
        <is>
          <t>OFF</t>
        </is>
      </c>
      <c r="I2977" s="31" t="n">
        <v>815.012573225423</v>
      </c>
      <c r="J2977" s="31" t="n">
        <v>8308.791548992402</v>
      </c>
      <c r="K2977" s="31" t="n">
        <v>4662.037037037037</v>
      </c>
      <c r="L2977" s="31" t="n">
        <v>150</v>
      </c>
      <c r="M2977" s="31">
        <f>I2977+J2977+K2977+L2977</f>
        <v/>
      </c>
      <c r="N2977" s="31">
        <f>M2977*'Dashboard &amp; Optimisation'!$B$18/('Dashboard &amp; Optimisation'!$B$16/3.6)</f>
        <v/>
      </c>
      <c r="O2977" s="31" t="n">
        <v>1503.84920566131</v>
      </c>
      <c r="P2977" s="32" t="n">
        <v>0.2506177558378123</v>
      </c>
      <c r="Q2977" s="33" t="n">
        <v>14.75401630298203</v>
      </c>
      <c r="R2977" s="31" t="n">
        <v>1939.769288793497</v>
      </c>
      <c r="S2977" s="31">
        <f>R2977*IF(A2977=4, 2.0, 3.0)</f>
        <v/>
      </c>
      <c r="T2977" s="30">
        <f>'Dashboard &amp; Optimisation'!$B$18*U2977</f>
        <v/>
      </c>
      <c r="U2977" s="34">
        <f>MIN(1, S2977/M2977)</f>
        <v/>
      </c>
      <c r="V2977" s="34">
        <f>N2977/(N2977+O2977)</f>
        <v/>
      </c>
      <c r="W2977" s="34">
        <f>U2977*V2977</f>
        <v/>
      </c>
      <c r="X2977" s="32">
        <f>T2977/N2977</f>
        <v/>
      </c>
      <c r="Y2977" s="35">
        <f>IF(W2977=MAXIFS(W$2:W$3601, A$2:A$3601, A2977, B$2:B$3601, B2977), "OPTIMAL", "")</f>
        <v/>
      </c>
    </row>
    <row r="2978" ht="20" customHeight="1">
      <c r="A2978" s="21" t="n">
        <v>-18</v>
      </c>
      <c r="B2978" s="21" t="n">
        <v>40</v>
      </c>
      <c r="C2978" s="22" t="n">
        <v>90</v>
      </c>
      <c r="D2978" s="22" t="n">
        <v>2</v>
      </c>
      <c r="E2978" s="23" t="n">
        <v>8</v>
      </c>
      <c r="F2978" s="22" t="n">
        <v>2</v>
      </c>
      <c r="G2978" s="23" t="inlineStr">
        <is>
          <t>Oui</t>
        </is>
      </c>
      <c r="H2978" s="23" t="inlineStr">
        <is>
          <t>ON</t>
        </is>
      </c>
      <c r="I2978" s="24" t="n">
        <v>815.012573225423</v>
      </c>
      <c r="J2978" s="24" t="n">
        <v>8308.791548992402</v>
      </c>
      <c r="K2978" s="24" t="n">
        <v>4662.037037037037</v>
      </c>
      <c r="L2978" s="24" t="n">
        <v>150</v>
      </c>
      <c r="M2978" s="24">
        <f>I2978+J2978+K2978+L2978</f>
        <v/>
      </c>
      <c r="N2978" s="24">
        <f>M2978*'Dashboard &amp; Optimisation'!$B$18/('Dashboard &amp; Optimisation'!$B$16/3.6)</f>
        <v/>
      </c>
      <c r="O2978" s="24" t="n">
        <v>1809.354111738392</v>
      </c>
      <c r="P2978" s="25" t="n">
        <v>0.05730401653259074</v>
      </c>
      <c r="Q2978" s="26" t="n">
        <v>19.60535507064271</v>
      </c>
      <c r="R2978" s="24" t="n">
        <v>8705.528948742247</v>
      </c>
      <c r="S2978" s="24">
        <f>R2978*IF(A2978=4, 2.0, 3.0)</f>
        <v/>
      </c>
      <c r="T2978" s="22">
        <f>'Dashboard &amp; Optimisation'!$B$18*U2978</f>
        <v/>
      </c>
      <c r="U2978" s="27">
        <f>MIN(1, S2978/M2978)</f>
        <v/>
      </c>
      <c r="V2978" s="27">
        <f>N2978/(N2978+O2978)</f>
        <v/>
      </c>
      <c r="W2978" s="27">
        <f>U2978*V2978</f>
        <v/>
      </c>
      <c r="X2978" s="25">
        <f>T2978/N2978</f>
        <v/>
      </c>
      <c r="Y2978" s="28">
        <f>IF(W2978=MAXIFS(W$2:W$3601, A$2:A$3601, A2978, B$2:B$3601, B2978), "OPTIMAL", "")</f>
        <v/>
      </c>
    </row>
    <row r="2979" ht="20" customHeight="1">
      <c r="A2979" s="29" t="n">
        <v>-18</v>
      </c>
      <c r="B2979" s="29" t="n">
        <v>40</v>
      </c>
      <c r="C2979" s="30" t="n">
        <v>90</v>
      </c>
      <c r="D2979" s="30" t="n">
        <v>2</v>
      </c>
      <c r="E2979" s="6" t="n">
        <v>8</v>
      </c>
      <c r="F2979" s="30" t="n">
        <v>2</v>
      </c>
      <c r="G2979" s="6" t="inlineStr">
        <is>
          <t>Oui</t>
        </is>
      </c>
      <c r="H2979" s="6" t="inlineStr">
        <is>
          <t>OFF</t>
        </is>
      </c>
      <c r="I2979" s="31" t="n">
        <v>815.012573225423</v>
      </c>
      <c r="J2979" s="31" t="n">
        <v>8308.791548992402</v>
      </c>
      <c r="K2979" s="31" t="n">
        <v>4662.037037037037</v>
      </c>
      <c r="L2979" s="31" t="n">
        <v>150</v>
      </c>
      <c r="M2979" s="31">
        <f>I2979+J2979+K2979+L2979</f>
        <v/>
      </c>
      <c r="N2979" s="31">
        <f>M2979*'Dashboard &amp; Optimisation'!$B$18/('Dashboard &amp; Optimisation'!$B$16/3.6)</f>
        <v/>
      </c>
      <c r="O2979" s="31" t="n">
        <v>1809.354111738392</v>
      </c>
      <c r="P2979" s="32" t="n">
        <v>0.2546454449662799</v>
      </c>
      <c r="Q2979" s="33" t="n">
        <v>19.60535507064271</v>
      </c>
      <c r="R2979" s="31" t="n">
        <v>1959.044564373544</v>
      </c>
      <c r="S2979" s="31">
        <f>R2979*IF(A2979=4, 2.0, 3.0)</f>
        <v/>
      </c>
      <c r="T2979" s="30">
        <f>'Dashboard &amp; Optimisation'!$B$18*U2979</f>
        <v/>
      </c>
      <c r="U2979" s="34">
        <f>MIN(1, S2979/M2979)</f>
        <v/>
      </c>
      <c r="V2979" s="34">
        <f>N2979/(N2979+O2979)</f>
        <v/>
      </c>
      <c r="W2979" s="34">
        <f>U2979*V2979</f>
        <v/>
      </c>
      <c r="X2979" s="32">
        <f>T2979/N2979</f>
        <v/>
      </c>
      <c r="Y2979" s="35">
        <f>IF(W2979=MAXIFS(W$2:W$3601, A$2:A$3601, A2979, B$2:B$3601, B2979), "OPTIMAL", "")</f>
        <v/>
      </c>
    </row>
    <row r="2980" ht="20" customHeight="1">
      <c r="A2980" s="21" t="n">
        <v>-18</v>
      </c>
      <c r="B2980" s="21" t="n">
        <v>40</v>
      </c>
      <c r="C2980" s="22" t="n">
        <v>90</v>
      </c>
      <c r="D2980" s="22" t="n">
        <v>2</v>
      </c>
      <c r="E2980" s="23" t="n">
        <v>8</v>
      </c>
      <c r="F2980" s="22" t="n">
        <v>2</v>
      </c>
      <c r="G2980" s="23" t="inlineStr">
        <is>
          <t>Non</t>
        </is>
      </c>
      <c r="H2980" s="23" t="inlineStr">
        <is>
          <t>ON</t>
        </is>
      </c>
      <c r="I2980" s="24" t="n">
        <v>815.012573225423</v>
      </c>
      <c r="J2980" s="24" t="n">
        <v>8308.791548992402</v>
      </c>
      <c r="K2980" s="24" t="n">
        <v>4662.037037037037</v>
      </c>
      <c r="L2980" s="24" t="n">
        <v>150</v>
      </c>
      <c r="M2980" s="24">
        <f>I2980+J2980+K2980+L2980</f>
        <v/>
      </c>
      <c r="N2980" s="24">
        <f>M2980*'Dashboard &amp; Optimisation'!$B$18/('Dashboard &amp; Optimisation'!$B$16/3.6)</f>
        <v/>
      </c>
      <c r="O2980" s="24" t="n">
        <v>1809.354111738392</v>
      </c>
      <c r="P2980" s="25" t="n">
        <v>0.05376724001943751</v>
      </c>
      <c r="Q2980" s="26" t="n">
        <v>19.60535507064271</v>
      </c>
      <c r="R2980" s="24" t="n">
        <v>9278.173375150527</v>
      </c>
      <c r="S2980" s="24">
        <f>R2980*IF(A2980=4, 2.0, 3.0)</f>
        <v/>
      </c>
      <c r="T2980" s="22">
        <f>'Dashboard &amp; Optimisation'!$B$18*U2980</f>
        <v/>
      </c>
      <c r="U2980" s="27">
        <f>MIN(1, S2980/M2980)</f>
        <v/>
      </c>
      <c r="V2980" s="27">
        <f>N2980/(N2980+O2980)</f>
        <v/>
      </c>
      <c r="W2980" s="27">
        <f>U2980*V2980</f>
        <v/>
      </c>
      <c r="X2980" s="25">
        <f>T2980/N2980</f>
        <v/>
      </c>
      <c r="Y2980" s="28">
        <f>IF(W2980=MAXIFS(W$2:W$3601, A$2:A$3601, A2980, B$2:B$3601, B2980), "OPTIMAL", "")</f>
        <v/>
      </c>
    </row>
    <row r="2981" ht="20" customHeight="1">
      <c r="A2981" s="29" t="n">
        <v>-18</v>
      </c>
      <c r="B2981" s="29" t="n">
        <v>40</v>
      </c>
      <c r="C2981" s="30" t="n">
        <v>90</v>
      </c>
      <c r="D2981" s="30" t="n">
        <v>2</v>
      </c>
      <c r="E2981" s="6" t="n">
        <v>8</v>
      </c>
      <c r="F2981" s="30" t="n">
        <v>2</v>
      </c>
      <c r="G2981" s="6" t="inlineStr">
        <is>
          <t>Non</t>
        </is>
      </c>
      <c r="H2981" s="6" t="inlineStr">
        <is>
          <t>OFF</t>
        </is>
      </c>
      <c r="I2981" s="31" t="n">
        <v>815.012573225423</v>
      </c>
      <c r="J2981" s="31" t="n">
        <v>8308.791548992402</v>
      </c>
      <c r="K2981" s="31" t="n">
        <v>4662.037037037037</v>
      </c>
      <c r="L2981" s="31" t="n">
        <v>150</v>
      </c>
      <c r="M2981" s="31">
        <f>I2981+J2981+K2981+L2981</f>
        <v/>
      </c>
      <c r="N2981" s="31">
        <f>M2981*'Dashboard &amp; Optimisation'!$B$18/('Dashboard &amp; Optimisation'!$B$16/3.6)</f>
        <v/>
      </c>
      <c r="O2981" s="31" t="n">
        <v>1809.354111738392</v>
      </c>
      <c r="P2981" s="32" t="n">
        <v>0.2511086684531266</v>
      </c>
      <c r="Q2981" s="33" t="n">
        <v>19.60535507064271</v>
      </c>
      <c r="R2981" s="31" t="n">
        <v>1986.637012082255</v>
      </c>
      <c r="S2981" s="31">
        <f>R2981*IF(A2981=4, 2.0, 3.0)</f>
        <v/>
      </c>
      <c r="T2981" s="30">
        <f>'Dashboard &amp; Optimisation'!$B$18*U2981</f>
        <v/>
      </c>
      <c r="U2981" s="34">
        <f>MIN(1, S2981/M2981)</f>
        <v/>
      </c>
      <c r="V2981" s="34">
        <f>N2981/(N2981+O2981)</f>
        <v/>
      </c>
      <c r="W2981" s="34">
        <f>U2981*V2981</f>
        <v/>
      </c>
      <c r="X2981" s="32">
        <f>T2981/N2981</f>
        <v/>
      </c>
      <c r="Y2981" s="35">
        <f>IF(W2981=MAXIFS(W$2:W$3601, A$2:A$3601, A2981, B$2:B$3601, B2981), "OPTIMAL", "")</f>
        <v/>
      </c>
    </row>
    <row r="2982" ht="20" customHeight="1">
      <c r="A2982" s="21" t="n">
        <v>-18</v>
      </c>
      <c r="B2982" s="21" t="n">
        <v>40</v>
      </c>
      <c r="C2982" s="22" t="n">
        <v>90</v>
      </c>
      <c r="D2982" s="22" t="n">
        <v>3</v>
      </c>
      <c r="E2982" s="23" t="n">
        <v>0</v>
      </c>
      <c r="F2982" s="22" t="n">
        <v>0</v>
      </c>
      <c r="G2982" s="23" t="inlineStr">
        <is>
          <t>Oui</t>
        </is>
      </c>
      <c r="H2982" s="23" t="inlineStr">
        <is>
          <t>ON</t>
        </is>
      </c>
      <c r="I2982" s="24" t="n">
        <v>815.012573225423</v>
      </c>
      <c r="J2982" s="24" t="n">
        <v>8308.791548992402</v>
      </c>
      <c r="K2982" s="24" t="n">
        <v>4662.037037037037</v>
      </c>
      <c r="L2982" s="24" t="n">
        <v>150</v>
      </c>
      <c r="M2982" s="24">
        <f>I2982+J2982+K2982+L2982</f>
        <v/>
      </c>
      <c r="N2982" s="24">
        <f>M2982*'Dashboard &amp; Optimisation'!$B$18/('Dashboard &amp; Optimisation'!$B$16/3.6)</f>
        <v/>
      </c>
      <c r="O2982" s="24" t="n">
        <v>1047.948487653932</v>
      </c>
      <c r="P2982" s="25" t="n">
        <v>0.4898971107621382</v>
      </c>
      <c r="Q2982" s="26" t="n">
        <v>0.2</v>
      </c>
      <c r="R2982" s="24" t="n">
        <v>966.2308795814799</v>
      </c>
      <c r="S2982" s="24">
        <f>R2982*IF(A2982=4, 2.0, 3.0)</f>
        <v/>
      </c>
      <c r="T2982" s="22">
        <f>'Dashboard &amp; Optimisation'!$B$18*U2982</f>
        <v/>
      </c>
      <c r="U2982" s="27">
        <f>MIN(1, S2982/M2982)</f>
        <v/>
      </c>
      <c r="V2982" s="27">
        <f>N2982/(N2982+O2982)</f>
        <v/>
      </c>
      <c r="W2982" s="27">
        <f>U2982*V2982</f>
        <v/>
      </c>
      <c r="X2982" s="25">
        <f>T2982/N2982</f>
        <v/>
      </c>
      <c r="Y2982" s="28">
        <f>IF(W2982=MAXIFS(W$2:W$3601, A$2:A$3601, A2982, B$2:B$3601, B2982), "OPTIMAL", "")</f>
        <v/>
      </c>
    </row>
    <row r="2983" ht="20" customHeight="1">
      <c r="A2983" s="29" t="n">
        <v>-18</v>
      </c>
      <c r="B2983" s="29" t="n">
        <v>40</v>
      </c>
      <c r="C2983" s="30" t="n">
        <v>90</v>
      </c>
      <c r="D2983" s="30" t="n">
        <v>3</v>
      </c>
      <c r="E2983" s="6" t="n">
        <v>0</v>
      </c>
      <c r="F2983" s="30" t="n">
        <v>0</v>
      </c>
      <c r="G2983" s="6" t="inlineStr">
        <is>
          <t>Oui</t>
        </is>
      </c>
      <c r="H2983" s="6" t="inlineStr">
        <is>
          <t>OFF</t>
        </is>
      </c>
      <c r="I2983" s="31" t="n">
        <v>815.012573225423</v>
      </c>
      <c r="J2983" s="31" t="n">
        <v>8308.791548992402</v>
      </c>
      <c r="K2983" s="31" t="n">
        <v>4662.037037037037</v>
      </c>
      <c r="L2983" s="31" t="n">
        <v>150</v>
      </c>
      <c r="M2983" s="31">
        <f>I2983+J2983+K2983+L2983</f>
        <v/>
      </c>
      <c r="N2983" s="31">
        <f>M2983*'Dashboard &amp; Optimisation'!$B$18/('Dashboard &amp; Optimisation'!$B$16/3.6)</f>
        <v/>
      </c>
      <c r="O2983" s="31" t="n">
        <v>1047.948487653932</v>
      </c>
      <c r="P2983" s="32" t="n">
        <v>0.8435747620774612</v>
      </c>
      <c r="Q2983" s="33" t="n">
        <v>0.2</v>
      </c>
      <c r="R2983" s="31" t="n">
        <v>561.1283522404157</v>
      </c>
      <c r="S2983" s="31">
        <f>R2983*IF(A2983=4, 2.0, 3.0)</f>
        <v/>
      </c>
      <c r="T2983" s="30">
        <f>'Dashboard &amp; Optimisation'!$B$18*U2983</f>
        <v/>
      </c>
      <c r="U2983" s="34">
        <f>MIN(1, S2983/M2983)</f>
        <v/>
      </c>
      <c r="V2983" s="34">
        <f>N2983/(N2983+O2983)</f>
        <v/>
      </c>
      <c r="W2983" s="34">
        <f>U2983*V2983</f>
        <v/>
      </c>
      <c r="X2983" s="32">
        <f>T2983/N2983</f>
        <v/>
      </c>
      <c r="Y2983" s="35">
        <f>IF(W2983=MAXIFS(W$2:W$3601, A$2:A$3601, A2983, B$2:B$3601, B2983), "OPTIMAL", "")</f>
        <v/>
      </c>
    </row>
    <row r="2984" ht="20" customHeight="1">
      <c r="A2984" s="21" t="n">
        <v>-18</v>
      </c>
      <c r="B2984" s="21" t="n">
        <v>40</v>
      </c>
      <c r="C2984" s="22" t="n">
        <v>90</v>
      </c>
      <c r="D2984" s="22" t="n">
        <v>3</v>
      </c>
      <c r="E2984" s="23" t="n">
        <v>0</v>
      </c>
      <c r="F2984" s="22" t="n">
        <v>0</v>
      </c>
      <c r="G2984" s="23" t="inlineStr">
        <is>
          <t>Non</t>
        </is>
      </c>
      <c r="H2984" s="23" t="inlineStr">
        <is>
          <t>ON</t>
        </is>
      </c>
      <c r="I2984" s="24" t="n">
        <v>815.012573225423</v>
      </c>
      <c r="J2984" s="24" t="n">
        <v>8308.791548992402</v>
      </c>
      <c r="K2984" s="24" t="n">
        <v>4662.037037037037</v>
      </c>
      <c r="L2984" s="24" t="n">
        <v>150</v>
      </c>
      <c r="M2984" s="24">
        <f>I2984+J2984+K2984+L2984</f>
        <v/>
      </c>
      <c r="N2984" s="24">
        <f>M2984*'Dashboard &amp; Optimisation'!$B$18/('Dashboard &amp; Optimisation'!$B$16/3.6)</f>
        <v/>
      </c>
      <c r="O2984" s="24" t="n">
        <v>1047.948487653932</v>
      </c>
      <c r="P2984" s="25" t="n">
        <v>0.486360334248985</v>
      </c>
      <c r="Q2984" s="26" t="n">
        <v>0.2</v>
      </c>
      <c r="R2984" s="24" t="n">
        <v>973.2572393409863</v>
      </c>
      <c r="S2984" s="24">
        <f>R2984*IF(A2984=4, 2.0, 3.0)</f>
        <v/>
      </c>
      <c r="T2984" s="22">
        <f>'Dashboard &amp; Optimisation'!$B$18*U2984</f>
        <v/>
      </c>
      <c r="U2984" s="27">
        <f>MIN(1, S2984/M2984)</f>
        <v/>
      </c>
      <c r="V2984" s="27">
        <f>N2984/(N2984+O2984)</f>
        <v/>
      </c>
      <c r="W2984" s="27">
        <f>U2984*V2984</f>
        <v/>
      </c>
      <c r="X2984" s="25">
        <f>T2984/N2984</f>
        <v/>
      </c>
      <c r="Y2984" s="28">
        <f>IF(W2984=MAXIFS(W$2:W$3601, A$2:A$3601, A2984, B$2:B$3601, B2984), "OPTIMAL", "")</f>
        <v/>
      </c>
    </row>
    <row r="2985" ht="20" customHeight="1">
      <c r="A2985" s="29" t="n">
        <v>-18</v>
      </c>
      <c r="B2985" s="29" t="n">
        <v>40</v>
      </c>
      <c r="C2985" s="30" t="n">
        <v>90</v>
      </c>
      <c r="D2985" s="30" t="n">
        <v>3</v>
      </c>
      <c r="E2985" s="6" t="n">
        <v>0</v>
      </c>
      <c r="F2985" s="30" t="n">
        <v>0</v>
      </c>
      <c r="G2985" s="6" t="inlineStr">
        <is>
          <t>Non</t>
        </is>
      </c>
      <c r="H2985" s="6" t="inlineStr">
        <is>
          <t>OFF</t>
        </is>
      </c>
      <c r="I2985" s="31" t="n">
        <v>815.012573225423</v>
      </c>
      <c r="J2985" s="31" t="n">
        <v>8308.791548992402</v>
      </c>
      <c r="K2985" s="31" t="n">
        <v>4662.037037037037</v>
      </c>
      <c r="L2985" s="31" t="n">
        <v>150</v>
      </c>
      <c r="M2985" s="31">
        <f>I2985+J2985+K2985+L2985</f>
        <v/>
      </c>
      <c r="N2985" s="31">
        <f>M2985*'Dashboard &amp; Optimisation'!$B$18/('Dashboard &amp; Optimisation'!$B$16/3.6)</f>
        <v/>
      </c>
      <c r="O2985" s="31" t="n">
        <v>1047.948487653932</v>
      </c>
      <c r="P2985" s="32" t="n">
        <v>0.840037985564308</v>
      </c>
      <c r="Q2985" s="33" t="n">
        <v>0.2</v>
      </c>
      <c r="R2985" s="31" t="n">
        <v>563.4908472837025</v>
      </c>
      <c r="S2985" s="31">
        <f>R2985*IF(A2985=4, 2.0, 3.0)</f>
        <v/>
      </c>
      <c r="T2985" s="30">
        <f>'Dashboard &amp; Optimisation'!$B$18*U2985</f>
        <v/>
      </c>
      <c r="U2985" s="34">
        <f>MIN(1, S2985/M2985)</f>
        <v/>
      </c>
      <c r="V2985" s="34">
        <f>N2985/(N2985+O2985)</f>
        <v/>
      </c>
      <c r="W2985" s="34">
        <f>U2985*V2985</f>
        <v/>
      </c>
      <c r="X2985" s="32">
        <f>T2985/N2985</f>
        <v/>
      </c>
      <c r="Y2985" s="35">
        <f>IF(W2985=MAXIFS(W$2:W$3601, A$2:A$3601, A2985, B$2:B$3601, B2985), "OPTIMAL", "")</f>
        <v/>
      </c>
    </row>
    <row r="2986" ht="20" customHeight="1">
      <c r="A2986" s="21" t="n">
        <v>-18</v>
      </c>
      <c r="B2986" s="21" t="n">
        <v>40</v>
      </c>
      <c r="C2986" s="22" t="n">
        <v>90</v>
      </c>
      <c r="D2986" s="22" t="n">
        <v>3</v>
      </c>
      <c r="E2986" s="23" t="n">
        <v>4</v>
      </c>
      <c r="F2986" s="22" t="n">
        <v>1.5</v>
      </c>
      <c r="G2986" s="23" t="inlineStr">
        <is>
          <t>Oui</t>
        </is>
      </c>
      <c r="H2986" s="23" t="inlineStr">
        <is>
          <t>ON</t>
        </is>
      </c>
      <c r="I2986" s="24" t="n">
        <v>815.012573225423</v>
      </c>
      <c r="J2986" s="24" t="n">
        <v>8308.791548992402</v>
      </c>
      <c r="K2986" s="24" t="n">
        <v>4662.037037037037</v>
      </c>
      <c r="L2986" s="24" t="n">
        <v>150</v>
      </c>
      <c r="M2986" s="24">
        <f>I2986+J2986+K2986+L2986</f>
        <v/>
      </c>
      <c r="N2986" s="24">
        <f>M2986*'Dashboard &amp; Optimisation'!$B$18/('Dashboard &amp; Optimisation'!$B$16/3.6)</f>
        <v/>
      </c>
      <c r="O2986" s="24" t="n">
        <v>1474.260381728178</v>
      </c>
      <c r="P2986" s="25" t="n">
        <v>0.07737077298591719</v>
      </c>
      <c r="Q2986" s="26" t="n">
        <v>7.65027025033604</v>
      </c>
      <c r="R2986" s="24" t="n">
        <v>6348.95533147573</v>
      </c>
      <c r="S2986" s="24">
        <f>R2986*IF(A2986=4, 2.0, 3.0)</f>
        <v/>
      </c>
      <c r="T2986" s="22">
        <f>'Dashboard &amp; Optimisation'!$B$18*U2986</f>
        <v/>
      </c>
      <c r="U2986" s="27">
        <f>MIN(1, S2986/M2986)</f>
        <v/>
      </c>
      <c r="V2986" s="27">
        <f>N2986/(N2986+O2986)</f>
        <v/>
      </c>
      <c r="W2986" s="27">
        <f>U2986*V2986</f>
        <v/>
      </c>
      <c r="X2986" s="25">
        <f>T2986/N2986</f>
        <v/>
      </c>
      <c r="Y2986" s="28">
        <f>IF(W2986=MAXIFS(W$2:W$3601, A$2:A$3601, A2986, B$2:B$3601, B2986), "OPTIMAL", "")</f>
        <v/>
      </c>
    </row>
    <row r="2987" ht="20" customHeight="1">
      <c r="A2987" s="29" t="n">
        <v>-18</v>
      </c>
      <c r="B2987" s="29" t="n">
        <v>40</v>
      </c>
      <c r="C2987" s="30" t="n">
        <v>90</v>
      </c>
      <c r="D2987" s="30" t="n">
        <v>3</v>
      </c>
      <c r="E2987" s="6" t="n">
        <v>4</v>
      </c>
      <c r="F2987" s="30" t="n">
        <v>1.5</v>
      </c>
      <c r="G2987" s="6" t="inlineStr">
        <is>
          <t>Oui</t>
        </is>
      </c>
      <c r="H2987" s="6" t="inlineStr">
        <is>
          <t>OFF</t>
        </is>
      </c>
      <c r="I2987" s="31" t="n">
        <v>815.012573225423</v>
      </c>
      <c r="J2987" s="31" t="n">
        <v>8308.791548992402</v>
      </c>
      <c r="K2987" s="31" t="n">
        <v>4662.037037037037</v>
      </c>
      <c r="L2987" s="31" t="n">
        <v>150</v>
      </c>
      <c r="M2987" s="31">
        <f>I2987+J2987+K2987+L2987</f>
        <v/>
      </c>
      <c r="N2987" s="31">
        <f>M2987*'Dashboard &amp; Optimisation'!$B$18/('Dashboard &amp; Optimisation'!$B$16/3.6)</f>
        <v/>
      </c>
      <c r="O2987" s="31" t="n">
        <v>1474.260381728178</v>
      </c>
      <c r="P2987" s="32" t="n">
        <v>0.3294279943160268</v>
      </c>
      <c r="Q2987" s="33" t="n">
        <v>7.65027025033604</v>
      </c>
      <c r="R2987" s="31" t="n">
        <v>1491.140978073943</v>
      </c>
      <c r="S2987" s="31">
        <f>R2987*IF(A2987=4, 2.0, 3.0)</f>
        <v/>
      </c>
      <c r="T2987" s="30">
        <f>'Dashboard &amp; Optimisation'!$B$18*U2987</f>
        <v/>
      </c>
      <c r="U2987" s="34">
        <f>MIN(1, S2987/M2987)</f>
        <v/>
      </c>
      <c r="V2987" s="34">
        <f>N2987/(N2987+O2987)</f>
        <v/>
      </c>
      <c r="W2987" s="34">
        <f>U2987*V2987</f>
        <v/>
      </c>
      <c r="X2987" s="32">
        <f>T2987/N2987</f>
        <v/>
      </c>
      <c r="Y2987" s="35">
        <f>IF(W2987=MAXIFS(W$2:W$3601, A$2:A$3601, A2987, B$2:B$3601, B2987), "OPTIMAL", "")</f>
        <v/>
      </c>
    </row>
    <row r="2988" ht="20" customHeight="1">
      <c r="A2988" s="21" t="n">
        <v>-18</v>
      </c>
      <c r="B2988" s="21" t="n">
        <v>40</v>
      </c>
      <c r="C2988" s="22" t="n">
        <v>90</v>
      </c>
      <c r="D2988" s="22" t="n">
        <v>3</v>
      </c>
      <c r="E2988" s="23" t="n">
        <v>4</v>
      </c>
      <c r="F2988" s="22" t="n">
        <v>1.5</v>
      </c>
      <c r="G2988" s="23" t="inlineStr">
        <is>
          <t>Non</t>
        </is>
      </c>
      <c r="H2988" s="23" t="inlineStr">
        <is>
          <t>ON</t>
        </is>
      </c>
      <c r="I2988" s="24" t="n">
        <v>815.012573225423</v>
      </c>
      <c r="J2988" s="24" t="n">
        <v>8308.791548992402</v>
      </c>
      <c r="K2988" s="24" t="n">
        <v>4662.037037037037</v>
      </c>
      <c r="L2988" s="24" t="n">
        <v>150</v>
      </c>
      <c r="M2988" s="24">
        <f>I2988+J2988+K2988+L2988</f>
        <v/>
      </c>
      <c r="N2988" s="24">
        <f>M2988*'Dashboard &amp; Optimisation'!$B$18/('Dashboard &amp; Optimisation'!$B$16/3.6)</f>
        <v/>
      </c>
      <c r="O2988" s="24" t="n">
        <v>1474.260381728178</v>
      </c>
      <c r="P2988" s="25" t="n">
        <v>0.07383399647276395</v>
      </c>
      <c r="Q2988" s="26" t="n">
        <v>7.65027025033604</v>
      </c>
      <c r="R2988" s="24" t="n">
        <v>6653.081305581785</v>
      </c>
      <c r="S2988" s="24">
        <f>R2988*IF(A2988=4, 2.0, 3.0)</f>
        <v/>
      </c>
      <c r="T2988" s="22">
        <f>'Dashboard &amp; Optimisation'!$B$18*U2988</f>
        <v/>
      </c>
      <c r="U2988" s="27">
        <f>MIN(1, S2988/M2988)</f>
        <v/>
      </c>
      <c r="V2988" s="27">
        <f>N2988/(N2988+O2988)</f>
        <v/>
      </c>
      <c r="W2988" s="27">
        <f>U2988*V2988</f>
        <v/>
      </c>
      <c r="X2988" s="25">
        <f>T2988/N2988</f>
        <v/>
      </c>
      <c r="Y2988" s="28">
        <f>IF(W2988=MAXIFS(W$2:W$3601, A$2:A$3601, A2988, B$2:B$3601, B2988), "OPTIMAL", "")</f>
        <v/>
      </c>
    </row>
    <row r="2989" ht="20" customHeight="1">
      <c r="A2989" s="29" t="n">
        <v>-18</v>
      </c>
      <c r="B2989" s="29" t="n">
        <v>40</v>
      </c>
      <c r="C2989" s="30" t="n">
        <v>90</v>
      </c>
      <c r="D2989" s="30" t="n">
        <v>3</v>
      </c>
      <c r="E2989" s="6" t="n">
        <v>4</v>
      </c>
      <c r="F2989" s="30" t="n">
        <v>1.5</v>
      </c>
      <c r="G2989" s="6" t="inlineStr">
        <is>
          <t>Non</t>
        </is>
      </c>
      <c r="H2989" s="6" t="inlineStr">
        <is>
          <t>OFF</t>
        </is>
      </c>
      <c r="I2989" s="31" t="n">
        <v>815.012573225423</v>
      </c>
      <c r="J2989" s="31" t="n">
        <v>8308.791548992402</v>
      </c>
      <c r="K2989" s="31" t="n">
        <v>4662.037037037037</v>
      </c>
      <c r="L2989" s="31" t="n">
        <v>150</v>
      </c>
      <c r="M2989" s="31">
        <f>I2989+J2989+K2989+L2989</f>
        <v/>
      </c>
      <c r="N2989" s="31">
        <f>M2989*'Dashboard &amp; Optimisation'!$B$18/('Dashboard &amp; Optimisation'!$B$16/3.6)</f>
        <v/>
      </c>
      <c r="O2989" s="31" t="n">
        <v>1474.260381728178</v>
      </c>
      <c r="P2989" s="32" t="n">
        <v>0.3258912178028736</v>
      </c>
      <c r="Q2989" s="33" t="n">
        <v>7.65027025033604</v>
      </c>
      <c r="R2989" s="31" t="n">
        <v>1507.323778042005</v>
      </c>
      <c r="S2989" s="31">
        <f>R2989*IF(A2989=4, 2.0, 3.0)</f>
        <v/>
      </c>
      <c r="T2989" s="30">
        <f>'Dashboard &amp; Optimisation'!$B$18*U2989</f>
        <v/>
      </c>
      <c r="U2989" s="34">
        <f>MIN(1, S2989/M2989)</f>
        <v/>
      </c>
      <c r="V2989" s="34">
        <f>N2989/(N2989+O2989)</f>
        <v/>
      </c>
      <c r="W2989" s="34">
        <f>U2989*V2989</f>
        <v/>
      </c>
      <c r="X2989" s="32">
        <f>T2989/N2989</f>
        <v/>
      </c>
      <c r="Y2989" s="35">
        <f>IF(W2989=MAXIFS(W$2:W$3601, A$2:A$3601, A2989, B$2:B$3601, B2989), "OPTIMAL", "")</f>
        <v/>
      </c>
    </row>
    <row r="2990" ht="20" customHeight="1">
      <c r="A2990" s="21" t="n">
        <v>-18</v>
      </c>
      <c r="B2990" s="21" t="n">
        <v>40</v>
      </c>
      <c r="C2990" s="22" t="n">
        <v>90</v>
      </c>
      <c r="D2990" s="22" t="n">
        <v>3</v>
      </c>
      <c r="E2990" s="23" t="n">
        <v>4</v>
      </c>
      <c r="F2990" s="22" t="n">
        <v>2</v>
      </c>
      <c r="G2990" s="23" t="inlineStr">
        <is>
          <t>Oui</t>
        </is>
      </c>
      <c r="H2990" s="23" t="inlineStr">
        <is>
          <t>ON</t>
        </is>
      </c>
      <c r="I2990" s="24" t="n">
        <v>815.012573225423</v>
      </c>
      <c r="J2990" s="24" t="n">
        <v>8308.791548992402</v>
      </c>
      <c r="K2990" s="24" t="n">
        <v>4662.037037037037</v>
      </c>
      <c r="L2990" s="24" t="n">
        <v>150</v>
      </c>
      <c r="M2990" s="24">
        <f>I2990+J2990+K2990+L2990</f>
        <v/>
      </c>
      <c r="N2990" s="24">
        <f>M2990*'Dashboard &amp; Optimisation'!$B$18/('Dashboard &amp; Optimisation'!$B$16/3.6)</f>
        <v/>
      </c>
      <c r="O2990" s="24" t="n">
        <v>1623.608375829766</v>
      </c>
      <c r="P2990" s="25" t="n">
        <v>0.07505349321204312</v>
      </c>
      <c r="Q2990" s="26" t="n">
        <v>10.13369366711472</v>
      </c>
      <c r="R2990" s="24" t="n">
        <v>6628.390401145101</v>
      </c>
      <c r="S2990" s="24">
        <f>R2990*IF(A2990=4, 2.0, 3.0)</f>
        <v/>
      </c>
      <c r="T2990" s="22">
        <f>'Dashboard &amp; Optimisation'!$B$18*U2990</f>
        <v/>
      </c>
      <c r="U2990" s="27">
        <f>MIN(1, S2990/M2990)</f>
        <v/>
      </c>
      <c r="V2990" s="27">
        <f>N2990/(N2990+O2990)</f>
        <v/>
      </c>
      <c r="W2990" s="27">
        <f>U2990*V2990</f>
        <v/>
      </c>
      <c r="X2990" s="25">
        <f>T2990/N2990</f>
        <v/>
      </c>
      <c r="Y2990" s="28">
        <f>IF(W2990=MAXIFS(W$2:W$3601, A$2:A$3601, A2990, B$2:B$3601, B2990), "OPTIMAL", "")</f>
        <v/>
      </c>
    </row>
    <row r="2991" ht="20" customHeight="1">
      <c r="A2991" s="29" t="n">
        <v>-18</v>
      </c>
      <c r="B2991" s="29" t="n">
        <v>40</v>
      </c>
      <c r="C2991" s="30" t="n">
        <v>90</v>
      </c>
      <c r="D2991" s="30" t="n">
        <v>3</v>
      </c>
      <c r="E2991" s="6" t="n">
        <v>4</v>
      </c>
      <c r="F2991" s="30" t="n">
        <v>2</v>
      </c>
      <c r="G2991" s="6" t="inlineStr">
        <is>
          <t>Oui</t>
        </is>
      </c>
      <c r="H2991" s="6" t="inlineStr">
        <is>
          <t>OFF</t>
        </is>
      </c>
      <c r="I2991" s="31" t="n">
        <v>815.012573225423</v>
      </c>
      <c r="J2991" s="31" t="n">
        <v>8308.791548992402</v>
      </c>
      <c r="K2991" s="31" t="n">
        <v>4662.037037037037</v>
      </c>
      <c r="L2991" s="31" t="n">
        <v>150</v>
      </c>
      <c r="M2991" s="31">
        <f>I2991+J2991+K2991+L2991</f>
        <v/>
      </c>
      <c r="N2991" s="31">
        <f>M2991*'Dashboard &amp; Optimisation'!$B$18/('Dashboard &amp; Optimisation'!$B$16/3.6)</f>
        <v/>
      </c>
      <c r="O2991" s="31" t="n">
        <v>1623.608375829766</v>
      </c>
      <c r="P2991" s="32" t="n">
        <v>0.3283855657905198</v>
      </c>
      <c r="Q2991" s="33" t="n">
        <v>10.13369366711472</v>
      </c>
      <c r="R2991" s="31" t="n">
        <v>1514.938248828102</v>
      </c>
      <c r="S2991" s="31">
        <f>R2991*IF(A2991=4, 2.0, 3.0)</f>
        <v/>
      </c>
      <c r="T2991" s="30">
        <f>'Dashboard &amp; Optimisation'!$B$18*U2991</f>
        <v/>
      </c>
      <c r="U2991" s="34">
        <f>MIN(1, S2991/M2991)</f>
        <v/>
      </c>
      <c r="V2991" s="34">
        <f>N2991/(N2991+O2991)</f>
        <v/>
      </c>
      <c r="W2991" s="34">
        <f>U2991*V2991</f>
        <v/>
      </c>
      <c r="X2991" s="32">
        <f>T2991/N2991</f>
        <v/>
      </c>
      <c r="Y2991" s="35">
        <f>IF(W2991=MAXIFS(W$2:W$3601, A$2:A$3601, A2991, B$2:B$3601, B2991), "OPTIMAL", "")</f>
        <v/>
      </c>
    </row>
    <row r="2992" ht="20" customHeight="1">
      <c r="A2992" s="21" t="n">
        <v>-18</v>
      </c>
      <c r="B2992" s="21" t="n">
        <v>40</v>
      </c>
      <c r="C2992" s="22" t="n">
        <v>90</v>
      </c>
      <c r="D2992" s="22" t="n">
        <v>3</v>
      </c>
      <c r="E2992" s="23" t="n">
        <v>4</v>
      </c>
      <c r="F2992" s="22" t="n">
        <v>2</v>
      </c>
      <c r="G2992" s="23" t="inlineStr">
        <is>
          <t>Non</t>
        </is>
      </c>
      <c r="H2992" s="23" t="inlineStr">
        <is>
          <t>ON</t>
        </is>
      </c>
      <c r="I2992" s="24" t="n">
        <v>815.012573225423</v>
      </c>
      <c r="J2992" s="24" t="n">
        <v>8308.791548992402</v>
      </c>
      <c r="K2992" s="24" t="n">
        <v>4662.037037037037</v>
      </c>
      <c r="L2992" s="24" t="n">
        <v>150</v>
      </c>
      <c r="M2992" s="24">
        <f>I2992+J2992+K2992+L2992</f>
        <v/>
      </c>
      <c r="N2992" s="24">
        <f>M2992*'Dashboard &amp; Optimisation'!$B$18/('Dashboard &amp; Optimisation'!$B$16/3.6)</f>
        <v/>
      </c>
      <c r="O2992" s="24" t="n">
        <v>1623.608375829766</v>
      </c>
      <c r="P2992" s="25" t="n">
        <v>0.07151671669888988</v>
      </c>
      <c r="Q2992" s="26" t="n">
        <v>10.13369366711472</v>
      </c>
      <c r="R2992" s="24" t="n">
        <v>6956.189782504904</v>
      </c>
      <c r="S2992" s="24">
        <f>R2992*IF(A2992=4, 2.0, 3.0)</f>
        <v/>
      </c>
      <c r="T2992" s="22">
        <f>'Dashboard &amp; Optimisation'!$B$18*U2992</f>
        <v/>
      </c>
      <c r="U2992" s="27">
        <f>MIN(1, S2992/M2992)</f>
        <v/>
      </c>
      <c r="V2992" s="27">
        <f>N2992/(N2992+O2992)</f>
        <v/>
      </c>
      <c r="W2992" s="27">
        <f>U2992*V2992</f>
        <v/>
      </c>
      <c r="X2992" s="25">
        <f>T2992/N2992</f>
        <v/>
      </c>
      <c r="Y2992" s="28">
        <f>IF(W2992=MAXIFS(W$2:W$3601, A$2:A$3601, A2992, B$2:B$3601, B2992), "OPTIMAL", "")</f>
        <v/>
      </c>
    </row>
    <row r="2993" ht="20" customHeight="1">
      <c r="A2993" s="29" t="n">
        <v>-18</v>
      </c>
      <c r="B2993" s="29" t="n">
        <v>40</v>
      </c>
      <c r="C2993" s="30" t="n">
        <v>90</v>
      </c>
      <c r="D2993" s="30" t="n">
        <v>3</v>
      </c>
      <c r="E2993" s="6" t="n">
        <v>4</v>
      </c>
      <c r="F2993" s="30" t="n">
        <v>2</v>
      </c>
      <c r="G2993" s="6" t="inlineStr">
        <is>
          <t>Non</t>
        </is>
      </c>
      <c r="H2993" s="6" t="inlineStr">
        <is>
          <t>OFF</t>
        </is>
      </c>
      <c r="I2993" s="31" t="n">
        <v>815.012573225423</v>
      </c>
      <c r="J2993" s="31" t="n">
        <v>8308.791548992402</v>
      </c>
      <c r="K2993" s="31" t="n">
        <v>4662.037037037037</v>
      </c>
      <c r="L2993" s="31" t="n">
        <v>150</v>
      </c>
      <c r="M2993" s="31">
        <f>I2993+J2993+K2993+L2993</f>
        <v/>
      </c>
      <c r="N2993" s="31">
        <f>M2993*'Dashboard &amp; Optimisation'!$B$18/('Dashboard &amp; Optimisation'!$B$16/3.6)</f>
        <v/>
      </c>
      <c r="O2993" s="31" t="n">
        <v>1623.608375829766</v>
      </c>
      <c r="P2993" s="32" t="n">
        <v>0.3248487892773665</v>
      </c>
      <c r="Q2993" s="33" t="n">
        <v>10.13369366711472</v>
      </c>
      <c r="R2993" s="31" t="n">
        <v>1531.432070551285</v>
      </c>
      <c r="S2993" s="31">
        <f>R2993*IF(A2993=4, 2.0, 3.0)</f>
        <v/>
      </c>
      <c r="T2993" s="30">
        <f>'Dashboard &amp; Optimisation'!$B$18*U2993</f>
        <v/>
      </c>
      <c r="U2993" s="34">
        <f>MIN(1, S2993/M2993)</f>
        <v/>
      </c>
      <c r="V2993" s="34">
        <f>N2993/(N2993+O2993)</f>
        <v/>
      </c>
      <c r="W2993" s="34">
        <f>U2993*V2993</f>
        <v/>
      </c>
      <c r="X2993" s="32">
        <f>T2993/N2993</f>
        <v/>
      </c>
      <c r="Y2993" s="35">
        <f>IF(W2993=MAXIFS(W$2:W$3601, A$2:A$3601, A2993, B$2:B$3601, B2993), "OPTIMAL", "")</f>
        <v/>
      </c>
    </row>
    <row r="2994" ht="20" customHeight="1">
      <c r="A2994" s="21" t="n">
        <v>-18</v>
      </c>
      <c r="B2994" s="21" t="n">
        <v>40</v>
      </c>
      <c r="C2994" s="22" t="n">
        <v>90</v>
      </c>
      <c r="D2994" s="22" t="n">
        <v>3</v>
      </c>
      <c r="E2994" s="23" t="n">
        <v>8</v>
      </c>
      <c r="F2994" s="22" t="n">
        <v>1.5</v>
      </c>
      <c r="G2994" s="23" t="inlineStr">
        <is>
          <t>Oui</t>
        </is>
      </c>
      <c r="H2994" s="23" t="inlineStr">
        <is>
          <t>ON</t>
        </is>
      </c>
      <c r="I2994" s="24" t="n">
        <v>815.012573225423</v>
      </c>
      <c r="J2994" s="24" t="n">
        <v>8308.791548992402</v>
      </c>
      <c r="K2994" s="24" t="n">
        <v>4662.037037037037</v>
      </c>
      <c r="L2994" s="24" t="n">
        <v>150</v>
      </c>
      <c r="M2994" s="24">
        <f>I2994+J2994+K2994+L2994</f>
        <v/>
      </c>
      <c r="N2994" s="24">
        <f>M2994*'Dashboard &amp; Optimisation'!$B$18/('Dashboard &amp; Optimisation'!$B$16/3.6)</f>
        <v/>
      </c>
      <c r="O2994" s="24" t="n">
        <v>1934.023016843602</v>
      </c>
      <c r="P2994" s="25" t="n">
        <v>0.05825094544482953</v>
      </c>
      <c r="Q2994" s="26" t="n">
        <v>15.10054050067208</v>
      </c>
      <c r="R2994" s="24" t="n">
        <v>8763.730951086656</v>
      </c>
      <c r="S2994" s="24">
        <f>R2994*IF(A2994=4, 2.0, 3.0)</f>
        <v/>
      </c>
      <c r="T2994" s="22">
        <f>'Dashboard &amp; Optimisation'!$B$18*U2994</f>
        <v/>
      </c>
      <c r="U2994" s="27">
        <f>MIN(1, S2994/M2994)</f>
        <v/>
      </c>
      <c r="V2994" s="27">
        <f>N2994/(N2994+O2994)</f>
        <v/>
      </c>
      <c r="W2994" s="27">
        <f>U2994*V2994</f>
        <v/>
      </c>
      <c r="X2994" s="25">
        <f>T2994/N2994</f>
        <v/>
      </c>
      <c r="Y2994" s="28">
        <f>IF(W2994=MAXIFS(W$2:W$3601, A$2:A$3601, A2994, B$2:B$3601, B2994), "OPTIMAL", "")</f>
        <v/>
      </c>
    </row>
    <row r="2995" ht="20" customHeight="1">
      <c r="A2995" s="29" t="n">
        <v>-18</v>
      </c>
      <c r="B2995" s="29" t="n">
        <v>40</v>
      </c>
      <c r="C2995" s="30" t="n">
        <v>90</v>
      </c>
      <c r="D2995" s="30" t="n">
        <v>3</v>
      </c>
      <c r="E2995" s="6" t="n">
        <v>8</v>
      </c>
      <c r="F2995" s="30" t="n">
        <v>1.5</v>
      </c>
      <c r="G2995" s="6" t="inlineStr">
        <is>
          <t>Oui</t>
        </is>
      </c>
      <c r="H2995" s="6" t="inlineStr">
        <is>
          <t>OFF</t>
        </is>
      </c>
      <c r="I2995" s="31" t="n">
        <v>815.012573225423</v>
      </c>
      <c r="J2995" s="31" t="n">
        <v>8308.791548992402</v>
      </c>
      <c r="K2995" s="31" t="n">
        <v>4662.037037037037</v>
      </c>
      <c r="L2995" s="31" t="n">
        <v>150</v>
      </c>
      <c r="M2995" s="31">
        <f>I2995+J2995+K2995+L2995</f>
        <v/>
      </c>
      <c r="N2995" s="31">
        <f>M2995*'Dashboard &amp; Optimisation'!$B$18/('Dashboard &amp; Optimisation'!$B$16/3.6)</f>
        <v/>
      </c>
      <c r="O2995" s="31" t="n">
        <v>1934.023016843602</v>
      </c>
      <c r="P2995" s="32" t="n">
        <v>0.2540490290345196</v>
      </c>
      <c r="Q2995" s="33" t="n">
        <v>15.10054050067208</v>
      </c>
      <c r="R2995" s="31" t="n">
        <v>2009.4373730338</v>
      </c>
      <c r="S2995" s="31">
        <f>R2995*IF(A2995=4, 2.0, 3.0)</f>
        <v/>
      </c>
      <c r="T2995" s="30">
        <f>'Dashboard &amp; Optimisation'!$B$18*U2995</f>
        <v/>
      </c>
      <c r="U2995" s="34">
        <f>MIN(1, S2995/M2995)</f>
        <v/>
      </c>
      <c r="V2995" s="34">
        <f>N2995/(N2995+O2995)</f>
        <v/>
      </c>
      <c r="W2995" s="34">
        <f>U2995*V2995</f>
        <v/>
      </c>
      <c r="X2995" s="32">
        <f>T2995/N2995</f>
        <v/>
      </c>
      <c r="Y2995" s="35">
        <f>IF(W2995=MAXIFS(W$2:W$3601, A$2:A$3601, A2995, B$2:B$3601, B2995), "OPTIMAL", "")</f>
        <v/>
      </c>
    </row>
    <row r="2996" ht="20" customHeight="1">
      <c r="A2996" s="21" t="n">
        <v>-18</v>
      </c>
      <c r="B2996" s="21" t="n">
        <v>40</v>
      </c>
      <c r="C2996" s="22" t="n">
        <v>90</v>
      </c>
      <c r="D2996" s="22" t="n">
        <v>3</v>
      </c>
      <c r="E2996" s="23" t="n">
        <v>8</v>
      </c>
      <c r="F2996" s="22" t="n">
        <v>1.5</v>
      </c>
      <c r="G2996" s="23" t="inlineStr">
        <is>
          <t>Non</t>
        </is>
      </c>
      <c r="H2996" s="23" t="inlineStr">
        <is>
          <t>ON</t>
        </is>
      </c>
      <c r="I2996" s="24" t="n">
        <v>815.012573225423</v>
      </c>
      <c r="J2996" s="24" t="n">
        <v>8308.791548992402</v>
      </c>
      <c r="K2996" s="24" t="n">
        <v>4662.037037037037</v>
      </c>
      <c r="L2996" s="24" t="n">
        <v>150</v>
      </c>
      <c r="M2996" s="24">
        <f>I2996+J2996+K2996+L2996</f>
        <v/>
      </c>
      <c r="N2996" s="24">
        <f>M2996*'Dashboard &amp; Optimisation'!$B$18/('Dashboard &amp; Optimisation'!$B$16/3.6)</f>
        <v/>
      </c>
      <c r="O2996" s="24" t="n">
        <v>1934.023016843602</v>
      </c>
      <c r="P2996" s="25" t="n">
        <v>0.0547141689316763</v>
      </c>
      <c r="Q2996" s="26" t="n">
        <v>15.10054050067208</v>
      </c>
      <c r="R2996" s="24" t="n">
        <v>9330.226950214457</v>
      </c>
      <c r="S2996" s="24">
        <f>R2996*IF(A2996=4, 2.0, 3.0)</f>
        <v/>
      </c>
      <c r="T2996" s="22">
        <f>'Dashboard &amp; Optimisation'!$B$18*U2996</f>
        <v/>
      </c>
      <c r="U2996" s="27">
        <f>MIN(1, S2996/M2996)</f>
        <v/>
      </c>
      <c r="V2996" s="27">
        <f>N2996/(N2996+O2996)</f>
        <v/>
      </c>
      <c r="W2996" s="27">
        <f>U2996*V2996</f>
        <v/>
      </c>
      <c r="X2996" s="25">
        <f>T2996/N2996</f>
        <v/>
      </c>
      <c r="Y2996" s="28">
        <f>IF(W2996=MAXIFS(W$2:W$3601, A$2:A$3601, A2996, B$2:B$3601, B2996), "OPTIMAL", "")</f>
        <v/>
      </c>
    </row>
    <row r="2997" ht="20" customHeight="1">
      <c r="A2997" s="29" t="n">
        <v>-18</v>
      </c>
      <c r="B2997" s="29" t="n">
        <v>40</v>
      </c>
      <c r="C2997" s="30" t="n">
        <v>90</v>
      </c>
      <c r="D2997" s="30" t="n">
        <v>3</v>
      </c>
      <c r="E2997" s="6" t="n">
        <v>8</v>
      </c>
      <c r="F2997" s="30" t="n">
        <v>1.5</v>
      </c>
      <c r="G2997" s="6" t="inlineStr">
        <is>
          <t>Non</t>
        </is>
      </c>
      <c r="H2997" s="6" t="inlineStr">
        <is>
          <t>OFF</t>
        </is>
      </c>
      <c r="I2997" s="31" t="n">
        <v>815.012573225423</v>
      </c>
      <c r="J2997" s="31" t="n">
        <v>8308.791548992402</v>
      </c>
      <c r="K2997" s="31" t="n">
        <v>4662.037037037037</v>
      </c>
      <c r="L2997" s="31" t="n">
        <v>150</v>
      </c>
      <c r="M2997" s="31">
        <f>I2997+J2997+K2997+L2997</f>
        <v/>
      </c>
      <c r="N2997" s="31">
        <f>M2997*'Dashboard &amp; Optimisation'!$B$18/('Dashboard &amp; Optimisation'!$B$16/3.6)</f>
        <v/>
      </c>
      <c r="O2997" s="31" t="n">
        <v>1934.023016843602</v>
      </c>
      <c r="P2997" s="32" t="n">
        <v>0.2505122525213664</v>
      </c>
      <c r="Q2997" s="33" t="n">
        <v>15.10054050067208</v>
      </c>
      <c r="R2997" s="31" t="n">
        <v>2037.806967071888</v>
      </c>
      <c r="S2997" s="31">
        <f>R2997*IF(A2997=4, 2.0, 3.0)</f>
        <v/>
      </c>
      <c r="T2997" s="30">
        <f>'Dashboard &amp; Optimisation'!$B$18*U2997</f>
        <v/>
      </c>
      <c r="U2997" s="34">
        <f>MIN(1, S2997/M2997)</f>
        <v/>
      </c>
      <c r="V2997" s="34">
        <f>N2997/(N2997+O2997)</f>
        <v/>
      </c>
      <c r="W2997" s="34">
        <f>U2997*V2997</f>
        <v/>
      </c>
      <c r="X2997" s="32">
        <f>T2997/N2997</f>
        <v/>
      </c>
      <c r="Y2997" s="35">
        <f>IF(W2997=MAXIFS(W$2:W$3601, A$2:A$3601, A2997, B$2:B$3601, B2997), "OPTIMAL", "")</f>
        <v/>
      </c>
    </row>
    <row r="2998" ht="20" customHeight="1">
      <c r="A2998" s="21" t="n">
        <v>-18</v>
      </c>
      <c r="B2998" s="21" t="n">
        <v>40</v>
      </c>
      <c r="C2998" s="22" t="n">
        <v>90</v>
      </c>
      <c r="D2998" s="22" t="n">
        <v>3</v>
      </c>
      <c r="E2998" s="23" t="n">
        <v>8</v>
      </c>
      <c r="F2998" s="22" t="n">
        <v>2</v>
      </c>
      <c r="G2998" s="23" t="inlineStr">
        <is>
          <t>Oui</t>
        </is>
      </c>
      <c r="H2998" s="23" t="inlineStr">
        <is>
          <t>ON</t>
        </is>
      </c>
      <c r="I2998" s="24" t="n">
        <v>815.012573225423</v>
      </c>
      <c r="J2998" s="24" t="n">
        <v>8308.791548992402</v>
      </c>
      <c r="K2998" s="24" t="n">
        <v>4662.037037037037</v>
      </c>
      <c r="L2998" s="24" t="n">
        <v>150</v>
      </c>
      <c r="M2998" s="24">
        <f>I2998+J2998+K2998+L2998</f>
        <v/>
      </c>
      <c r="N2998" s="24">
        <f>M2998*'Dashboard &amp; Optimisation'!$B$18/('Dashboard &amp; Optimisation'!$B$16/3.6)</f>
        <v/>
      </c>
      <c r="O2998" s="24" t="n">
        <v>2261.111644717677</v>
      </c>
      <c r="P2998" s="25" t="n">
        <v>0.05722883101616391</v>
      </c>
      <c r="Q2998" s="26" t="n">
        <v>20.06738733422944</v>
      </c>
      <c r="R2998" s="24" t="n">
        <v>9159.828938090543</v>
      </c>
      <c r="S2998" s="24">
        <f>R2998*IF(A2998=4, 2.0, 3.0)</f>
        <v/>
      </c>
      <c r="T2998" s="22">
        <f>'Dashboard &amp; Optimisation'!$B$18*U2998</f>
        <v/>
      </c>
      <c r="U2998" s="27">
        <f>MIN(1, S2998/M2998)</f>
        <v/>
      </c>
      <c r="V2998" s="27">
        <f>N2998/(N2998+O2998)</f>
        <v/>
      </c>
      <c r="W2998" s="27">
        <f>U2998*V2998</f>
        <v/>
      </c>
      <c r="X2998" s="25">
        <f>T2998/N2998</f>
        <v/>
      </c>
      <c r="Y2998" s="28">
        <f>IF(W2998=MAXIFS(W$2:W$3601, A$2:A$3601, A2998, B$2:B$3601, B2998), "OPTIMAL", "")</f>
        <v/>
      </c>
    </row>
    <row r="2999" ht="20" customHeight="1">
      <c r="A2999" s="29" t="n">
        <v>-18</v>
      </c>
      <c r="B2999" s="29" t="n">
        <v>40</v>
      </c>
      <c r="C2999" s="30" t="n">
        <v>90</v>
      </c>
      <c r="D2999" s="30" t="n">
        <v>3</v>
      </c>
      <c r="E2999" s="6" t="n">
        <v>8</v>
      </c>
      <c r="F2999" s="30" t="n">
        <v>2</v>
      </c>
      <c r="G2999" s="6" t="inlineStr">
        <is>
          <t>Oui</t>
        </is>
      </c>
      <c r="H2999" s="6" t="inlineStr">
        <is>
          <t>OFF</t>
        </is>
      </c>
      <c r="I2999" s="31" t="n">
        <v>815.012573225423</v>
      </c>
      <c r="J2999" s="31" t="n">
        <v>8308.791548992402</v>
      </c>
      <c r="K2999" s="31" t="n">
        <v>4662.037037037037</v>
      </c>
      <c r="L2999" s="31" t="n">
        <v>150</v>
      </c>
      <c r="M2999" s="31">
        <f>I2999+J2999+K2999+L2999</f>
        <v/>
      </c>
      <c r="N2999" s="31">
        <f>M2999*'Dashboard &amp; Optimisation'!$B$18/('Dashboard &amp; Optimisation'!$B$16/3.6)</f>
        <v/>
      </c>
      <c r="O2999" s="31" t="n">
        <v>2261.111644717677</v>
      </c>
      <c r="P2999" s="32" t="n">
        <v>0.2545702594498531</v>
      </c>
      <c r="Q2999" s="33" t="n">
        <v>20.06738733422944</v>
      </c>
      <c r="R2999" s="31" t="n">
        <v>2059.181239661711</v>
      </c>
      <c r="S2999" s="31">
        <f>R2999*IF(A2999=4, 2.0, 3.0)</f>
        <v/>
      </c>
      <c r="T2999" s="30">
        <f>'Dashboard &amp; Optimisation'!$B$18*U2999</f>
        <v/>
      </c>
      <c r="U2999" s="34">
        <f>MIN(1, S2999/M2999)</f>
        <v/>
      </c>
      <c r="V2999" s="34">
        <f>N2999/(N2999+O2999)</f>
        <v/>
      </c>
      <c r="W2999" s="34">
        <f>U2999*V2999</f>
        <v/>
      </c>
      <c r="X2999" s="32">
        <f>T2999/N2999</f>
        <v/>
      </c>
      <c r="Y2999" s="35">
        <f>IF(W2999=MAXIFS(W$2:W$3601, A$2:A$3601, A2999, B$2:B$3601, B2999), "OPTIMAL", "")</f>
        <v/>
      </c>
    </row>
    <row r="3000" ht="20" customHeight="1">
      <c r="A3000" s="21" t="n">
        <v>-18</v>
      </c>
      <c r="B3000" s="21" t="n">
        <v>40</v>
      </c>
      <c r="C3000" s="22" t="n">
        <v>90</v>
      </c>
      <c r="D3000" s="22" t="n">
        <v>3</v>
      </c>
      <c r="E3000" s="23" t="n">
        <v>8</v>
      </c>
      <c r="F3000" s="22" t="n">
        <v>2</v>
      </c>
      <c r="G3000" s="23" t="inlineStr">
        <is>
          <t>Non</t>
        </is>
      </c>
      <c r="H3000" s="23" t="inlineStr">
        <is>
          <t>ON</t>
        </is>
      </c>
      <c r="I3000" s="24" t="n">
        <v>815.012573225423</v>
      </c>
      <c r="J3000" s="24" t="n">
        <v>8308.791548992402</v>
      </c>
      <c r="K3000" s="24" t="n">
        <v>4662.037037037037</v>
      </c>
      <c r="L3000" s="24" t="n">
        <v>150</v>
      </c>
      <c r="M3000" s="24">
        <f>I3000+J3000+K3000+L3000</f>
        <v/>
      </c>
      <c r="N3000" s="24">
        <f>M3000*'Dashboard &amp; Optimisation'!$B$18/('Dashboard &amp; Optimisation'!$B$16/3.6)</f>
        <v/>
      </c>
      <c r="O3000" s="24" t="n">
        <v>2261.111644717677</v>
      </c>
      <c r="P3000" s="25" t="n">
        <v>0.05369205450301068</v>
      </c>
      <c r="Q3000" s="26" t="n">
        <v>20.06738733422944</v>
      </c>
      <c r="R3000" s="24" t="n">
        <v>9763.200668835609</v>
      </c>
      <c r="S3000" s="24">
        <f>R3000*IF(A3000=4, 2.0, 3.0)</f>
        <v/>
      </c>
      <c r="T3000" s="22">
        <f>'Dashboard &amp; Optimisation'!$B$18*U3000</f>
        <v/>
      </c>
      <c r="U3000" s="27">
        <f>MIN(1, S3000/M3000)</f>
        <v/>
      </c>
      <c r="V3000" s="27">
        <f>N3000/(N3000+O3000)</f>
        <v/>
      </c>
      <c r="W3000" s="27">
        <f>U3000*V3000</f>
        <v/>
      </c>
      <c r="X3000" s="25">
        <f>T3000/N3000</f>
        <v/>
      </c>
      <c r="Y3000" s="28">
        <f>IF(W3000=MAXIFS(W$2:W$3601, A$2:A$3601, A3000, B$2:B$3601, B3000), "OPTIMAL", "")</f>
        <v/>
      </c>
    </row>
    <row r="3001" ht="20" customHeight="1">
      <c r="A3001" s="29" t="n">
        <v>-18</v>
      </c>
      <c r="B3001" s="29" t="n">
        <v>40</v>
      </c>
      <c r="C3001" s="30" t="n">
        <v>90</v>
      </c>
      <c r="D3001" s="30" t="n">
        <v>3</v>
      </c>
      <c r="E3001" s="6" t="n">
        <v>8</v>
      </c>
      <c r="F3001" s="30" t="n">
        <v>2</v>
      </c>
      <c r="G3001" s="6" t="inlineStr">
        <is>
          <t>Non</t>
        </is>
      </c>
      <c r="H3001" s="6" t="inlineStr">
        <is>
          <t>OFF</t>
        </is>
      </c>
      <c r="I3001" s="31" t="n">
        <v>815.012573225423</v>
      </c>
      <c r="J3001" s="31" t="n">
        <v>8308.791548992402</v>
      </c>
      <c r="K3001" s="31" t="n">
        <v>4662.037037037037</v>
      </c>
      <c r="L3001" s="31" t="n">
        <v>150</v>
      </c>
      <c r="M3001" s="31">
        <f>I3001+J3001+K3001+L3001</f>
        <v/>
      </c>
      <c r="N3001" s="31">
        <f>M3001*'Dashboard &amp; Optimisation'!$B$18/('Dashboard &amp; Optimisation'!$B$16/3.6)</f>
        <v/>
      </c>
      <c r="O3001" s="31" t="n">
        <v>2261.111644717677</v>
      </c>
      <c r="P3001" s="32" t="n">
        <v>0.2510334829366998</v>
      </c>
      <c r="Q3001" s="33" t="n">
        <v>20.06738733422944</v>
      </c>
      <c r="R3001" s="31" t="n">
        <v>2088.192763381827</v>
      </c>
      <c r="S3001" s="31">
        <f>R3001*IF(A3001=4, 2.0, 3.0)</f>
        <v/>
      </c>
      <c r="T3001" s="30">
        <f>'Dashboard &amp; Optimisation'!$B$18*U3001</f>
        <v/>
      </c>
      <c r="U3001" s="34">
        <f>MIN(1, S3001/M3001)</f>
        <v/>
      </c>
      <c r="V3001" s="34">
        <f>N3001/(N3001+O3001)</f>
        <v/>
      </c>
      <c r="W3001" s="34">
        <f>U3001*V3001</f>
        <v/>
      </c>
      <c r="X3001" s="32">
        <f>T3001/N3001</f>
        <v/>
      </c>
      <c r="Y3001" s="35">
        <f>IF(W3001=MAXIFS(W$2:W$3601, A$2:A$3601, A3001, B$2:B$3601, B3001), "OPTIMAL", "")</f>
        <v/>
      </c>
    </row>
    <row r="3002" ht="20" customHeight="1">
      <c r="A3002" s="21" t="n">
        <v>-18</v>
      </c>
      <c r="B3002" s="21" t="n">
        <v>40</v>
      </c>
      <c r="C3002" s="22" t="n">
        <v>95</v>
      </c>
      <c r="D3002" s="22" t="n">
        <v>2</v>
      </c>
      <c r="E3002" s="23" t="n">
        <v>0</v>
      </c>
      <c r="F3002" s="22" t="n">
        <v>0</v>
      </c>
      <c r="G3002" s="23" t="inlineStr">
        <is>
          <t>Oui</t>
        </is>
      </c>
      <c r="H3002" s="23" t="inlineStr">
        <is>
          <t>ON</t>
        </is>
      </c>
      <c r="I3002" s="24" t="n">
        <v>815.012573225423</v>
      </c>
      <c r="J3002" s="24" t="n">
        <v>8308.791548992402</v>
      </c>
      <c r="K3002" s="24" t="n">
        <v>4662.037037037037</v>
      </c>
      <c r="L3002" s="24" t="n">
        <v>150</v>
      </c>
      <c r="M3002" s="24">
        <f>I3002+J3002+K3002+L3002</f>
        <v/>
      </c>
      <c r="N3002" s="24">
        <f>M3002*'Dashboard &amp; Optimisation'!$B$18/('Dashboard &amp; Optimisation'!$B$16/3.6)</f>
        <v/>
      </c>
      <c r="O3002" s="24" t="n">
        <v>636.3384409830845</v>
      </c>
      <c r="P3002" s="25" t="n">
        <v>0.4850371448496216</v>
      </c>
      <c r="Q3002" s="26" t="n">
        <v>0.2</v>
      </c>
      <c r="R3002" s="24" t="n">
        <v>831.5465762379677</v>
      </c>
      <c r="S3002" s="24">
        <f>R3002*IF(A3002=4, 2.0, 3.0)</f>
        <v/>
      </c>
      <c r="T3002" s="22">
        <f>'Dashboard &amp; Optimisation'!$B$18*U3002</f>
        <v/>
      </c>
      <c r="U3002" s="27">
        <f>MIN(1, S3002/M3002)</f>
        <v/>
      </c>
      <c r="V3002" s="27">
        <f>N3002/(N3002+O3002)</f>
        <v/>
      </c>
      <c r="W3002" s="27">
        <f>U3002*V3002</f>
        <v/>
      </c>
      <c r="X3002" s="25">
        <f>T3002/N3002</f>
        <v/>
      </c>
      <c r="Y3002" s="28">
        <f>IF(W3002=MAXIFS(W$2:W$3601, A$2:A$3601, A3002, B$2:B$3601, B3002), "OPTIMAL", "")</f>
        <v/>
      </c>
    </row>
    <row r="3003" ht="20" customHeight="1">
      <c r="A3003" s="29" t="n">
        <v>-18</v>
      </c>
      <c r="B3003" s="29" t="n">
        <v>40</v>
      </c>
      <c r="C3003" s="30" t="n">
        <v>95</v>
      </c>
      <c r="D3003" s="30" t="n">
        <v>2</v>
      </c>
      <c r="E3003" s="6" t="n">
        <v>0</v>
      </c>
      <c r="F3003" s="30" t="n">
        <v>0</v>
      </c>
      <c r="G3003" s="6" t="inlineStr">
        <is>
          <t>Oui</t>
        </is>
      </c>
      <c r="H3003" s="6" t="inlineStr">
        <is>
          <t>OFF</t>
        </is>
      </c>
      <c r="I3003" s="31" t="n">
        <v>815.012573225423</v>
      </c>
      <c r="J3003" s="31" t="n">
        <v>8308.791548992402</v>
      </c>
      <c r="K3003" s="31" t="n">
        <v>4662.037037037037</v>
      </c>
      <c r="L3003" s="31" t="n">
        <v>150</v>
      </c>
      <c r="M3003" s="31">
        <f>I3003+J3003+K3003+L3003</f>
        <v/>
      </c>
      <c r="N3003" s="31">
        <f>M3003*'Dashboard &amp; Optimisation'!$B$18/('Dashboard &amp; Optimisation'!$B$16/3.6)</f>
        <v/>
      </c>
      <c r="O3003" s="31" t="n">
        <v>636.3384409830845</v>
      </c>
      <c r="P3003" s="32" t="n">
        <v>0.8201001829378223</v>
      </c>
      <c r="Q3003" s="33" t="n">
        <v>0.2</v>
      </c>
      <c r="R3003" s="31" t="n">
        <v>491.8069591243116</v>
      </c>
      <c r="S3003" s="31">
        <f>R3003*IF(A3003=4, 2.0, 3.0)</f>
        <v/>
      </c>
      <c r="T3003" s="30">
        <f>'Dashboard &amp; Optimisation'!$B$18*U3003</f>
        <v/>
      </c>
      <c r="U3003" s="34">
        <f>MIN(1, S3003/M3003)</f>
        <v/>
      </c>
      <c r="V3003" s="34">
        <f>N3003/(N3003+O3003)</f>
        <v/>
      </c>
      <c r="W3003" s="34">
        <f>U3003*V3003</f>
        <v/>
      </c>
      <c r="X3003" s="32">
        <f>T3003/N3003</f>
        <v/>
      </c>
      <c r="Y3003" s="35">
        <f>IF(W3003=MAXIFS(W$2:W$3601, A$2:A$3601, A3003, B$2:B$3601, B3003), "OPTIMAL", "")</f>
        <v/>
      </c>
    </row>
    <row r="3004" ht="20" customHeight="1">
      <c r="A3004" s="21" t="n">
        <v>-18</v>
      </c>
      <c r="B3004" s="21" t="n">
        <v>40</v>
      </c>
      <c r="C3004" s="22" t="n">
        <v>95</v>
      </c>
      <c r="D3004" s="22" t="n">
        <v>2</v>
      </c>
      <c r="E3004" s="23" t="n">
        <v>0</v>
      </c>
      <c r="F3004" s="22" t="n">
        <v>0</v>
      </c>
      <c r="G3004" s="23" t="inlineStr">
        <is>
          <t>Non</t>
        </is>
      </c>
      <c r="H3004" s="23" t="inlineStr">
        <is>
          <t>ON</t>
        </is>
      </c>
      <c r="I3004" s="24" t="n">
        <v>815.012573225423</v>
      </c>
      <c r="J3004" s="24" t="n">
        <v>8308.791548992402</v>
      </c>
      <c r="K3004" s="24" t="n">
        <v>4662.037037037037</v>
      </c>
      <c r="L3004" s="24" t="n">
        <v>150</v>
      </c>
      <c r="M3004" s="24">
        <f>I3004+J3004+K3004+L3004</f>
        <v/>
      </c>
      <c r="N3004" s="24">
        <f>M3004*'Dashboard &amp; Optimisation'!$B$18/('Dashboard &amp; Optimisation'!$B$16/3.6)</f>
        <v/>
      </c>
      <c r="O3004" s="24" t="n">
        <v>636.3384409830845</v>
      </c>
      <c r="P3004" s="25" t="n">
        <v>0.4816865144687396</v>
      </c>
      <c r="Q3004" s="26" t="n">
        <v>0.2</v>
      </c>
      <c r="R3004" s="24" t="n">
        <v>837.33084699866</v>
      </c>
      <c r="S3004" s="24">
        <f>R3004*IF(A3004=4, 2.0, 3.0)</f>
        <v/>
      </c>
      <c r="T3004" s="22">
        <f>'Dashboard &amp; Optimisation'!$B$18*U3004</f>
        <v/>
      </c>
      <c r="U3004" s="27">
        <f>MIN(1, S3004/M3004)</f>
        <v/>
      </c>
      <c r="V3004" s="27">
        <f>N3004/(N3004+O3004)</f>
        <v/>
      </c>
      <c r="W3004" s="27">
        <f>U3004*V3004</f>
        <v/>
      </c>
      <c r="X3004" s="25">
        <f>T3004/N3004</f>
        <v/>
      </c>
      <c r="Y3004" s="28">
        <f>IF(W3004=MAXIFS(W$2:W$3601, A$2:A$3601, A3004, B$2:B$3601, B3004), "OPTIMAL", "")</f>
        <v/>
      </c>
    </row>
    <row r="3005" ht="20" customHeight="1">
      <c r="A3005" s="29" t="n">
        <v>-18</v>
      </c>
      <c r="B3005" s="29" t="n">
        <v>40</v>
      </c>
      <c r="C3005" s="30" t="n">
        <v>95</v>
      </c>
      <c r="D3005" s="30" t="n">
        <v>2</v>
      </c>
      <c r="E3005" s="6" t="n">
        <v>0</v>
      </c>
      <c r="F3005" s="30" t="n">
        <v>0</v>
      </c>
      <c r="G3005" s="6" t="inlineStr">
        <is>
          <t>Non</t>
        </is>
      </c>
      <c r="H3005" s="6" t="inlineStr">
        <is>
          <t>OFF</t>
        </is>
      </c>
      <c r="I3005" s="31" t="n">
        <v>815.012573225423</v>
      </c>
      <c r="J3005" s="31" t="n">
        <v>8308.791548992402</v>
      </c>
      <c r="K3005" s="31" t="n">
        <v>4662.037037037037</v>
      </c>
      <c r="L3005" s="31" t="n">
        <v>150</v>
      </c>
      <c r="M3005" s="31">
        <f>I3005+J3005+K3005+L3005</f>
        <v/>
      </c>
      <c r="N3005" s="31">
        <f>M3005*'Dashboard &amp; Optimisation'!$B$18/('Dashboard &amp; Optimisation'!$B$16/3.6)</f>
        <v/>
      </c>
      <c r="O3005" s="31" t="n">
        <v>636.3384409830845</v>
      </c>
      <c r="P3005" s="32" t="n">
        <v>0.8167495525569404</v>
      </c>
      <c r="Q3005" s="33" t="n">
        <v>0.2</v>
      </c>
      <c r="R3005" s="31" t="n">
        <v>493.8245461968875</v>
      </c>
      <c r="S3005" s="31">
        <f>R3005*IF(A3005=4, 2.0, 3.0)</f>
        <v/>
      </c>
      <c r="T3005" s="30">
        <f>'Dashboard &amp; Optimisation'!$B$18*U3005</f>
        <v/>
      </c>
      <c r="U3005" s="34">
        <f>MIN(1, S3005/M3005)</f>
        <v/>
      </c>
      <c r="V3005" s="34">
        <f>N3005/(N3005+O3005)</f>
        <v/>
      </c>
      <c r="W3005" s="34">
        <f>U3005*V3005</f>
        <v/>
      </c>
      <c r="X3005" s="32">
        <f>T3005/N3005</f>
        <v/>
      </c>
      <c r="Y3005" s="35">
        <f>IF(W3005=MAXIFS(W$2:W$3601, A$2:A$3601, A3005, B$2:B$3601, B3005), "OPTIMAL", "")</f>
        <v/>
      </c>
    </row>
    <row r="3006" ht="20" customHeight="1">
      <c r="A3006" s="21" t="n">
        <v>-18</v>
      </c>
      <c r="B3006" s="21" t="n">
        <v>40</v>
      </c>
      <c r="C3006" s="22" t="n">
        <v>95</v>
      </c>
      <c r="D3006" s="22" t="n">
        <v>2</v>
      </c>
      <c r="E3006" s="23" t="n">
        <v>4</v>
      </c>
      <c r="F3006" s="22" t="n">
        <v>1.5</v>
      </c>
      <c r="G3006" s="23" t="inlineStr">
        <is>
          <t>Oui</t>
        </is>
      </c>
      <c r="H3006" s="23" t="inlineStr">
        <is>
          <t>ON</t>
        </is>
      </c>
      <c r="I3006" s="24" t="n">
        <v>815.012573225423</v>
      </c>
      <c r="J3006" s="24" t="n">
        <v>8308.791548992402</v>
      </c>
      <c r="K3006" s="24" t="n">
        <v>4662.037037037037</v>
      </c>
      <c r="L3006" s="24" t="n">
        <v>150</v>
      </c>
      <c r="M3006" s="24">
        <f>I3006+J3006+K3006+L3006</f>
        <v/>
      </c>
      <c r="N3006" s="24">
        <f>M3006*'Dashboard &amp; Optimisation'!$B$18/('Dashboard &amp; Optimisation'!$B$16/3.6)</f>
        <v/>
      </c>
      <c r="O3006" s="24" t="n">
        <v>1005.964304068442</v>
      </c>
      <c r="P3006" s="25" t="n">
        <v>0.07557959322797822</v>
      </c>
      <c r="Q3006" s="26" t="n">
        <v>7.077172538771729</v>
      </c>
      <c r="R3006" s="24" t="n">
        <v>5521.932507540348</v>
      </c>
      <c r="S3006" s="24">
        <f>R3006*IF(A3006=4, 2.0, 3.0)</f>
        <v/>
      </c>
      <c r="T3006" s="22">
        <f>'Dashboard &amp; Optimisation'!$B$18*U3006</f>
        <v/>
      </c>
      <c r="U3006" s="27">
        <f>MIN(1, S3006/M3006)</f>
        <v/>
      </c>
      <c r="V3006" s="27">
        <f>N3006/(N3006+O3006)</f>
        <v/>
      </c>
      <c r="W3006" s="27">
        <f>U3006*V3006</f>
        <v/>
      </c>
      <c r="X3006" s="25">
        <f>T3006/N3006</f>
        <v/>
      </c>
      <c r="Y3006" s="28">
        <f>IF(W3006=MAXIFS(W$2:W$3601, A$2:A$3601, A3006, B$2:B$3601, B3006), "OPTIMAL", "")</f>
        <v/>
      </c>
    </row>
    <row r="3007" ht="20" customHeight="1">
      <c r="A3007" s="29" t="n">
        <v>-18</v>
      </c>
      <c r="B3007" s="29" t="n">
        <v>40</v>
      </c>
      <c r="C3007" s="30" t="n">
        <v>95</v>
      </c>
      <c r="D3007" s="30" t="n">
        <v>2</v>
      </c>
      <c r="E3007" s="6" t="n">
        <v>4</v>
      </c>
      <c r="F3007" s="30" t="n">
        <v>1.5</v>
      </c>
      <c r="G3007" s="6" t="inlineStr">
        <is>
          <t>Oui</t>
        </is>
      </c>
      <c r="H3007" s="6" t="inlineStr">
        <is>
          <t>OFF</t>
        </is>
      </c>
      <c r="I3007" s="31" t="n">
        <v>815.012573225423</v>
      </c>
      <c r="J3007" s="31" t="n">
        <v>8308.791548992402</v>
      </c>
      <c r="K3007" s="31" t="n">
        <v>4662.037037037037</v>
      </c>
      <c r="L3007" s="31" t="n">
        <v>150</v>
      </c>
      <c r="M3007" s="31">
        <f>I3007+J3007+K3007+L3007</f>
        <v/>
      </c>
      <c r="N3007" s="31">
        <f>M3007*'Dashboard &amp; Optimisation'!$B$18/('Dashboard &amp; Optimisation'!$B$16/3.6)</f>
        <v/>
      </c>
      <c r="O3007" s="31" t="n">
        <v>1005.964304068442</v>
      </c>
      <c r="P3007" s="32" t="n">
        <v>0.3180372372232345</v>
      </c>
      <c r="Q3007" s="33" t="n">
        <v>7.077172538771729</v>
      </c>
      <c r="R3007" s="31" t="n">
        <v>1312.253295859532</v>
      </c>
      <c r="S3007" s="31">
        <f>R3007*IF(A3007=4, 2.0, 3.0)</f>
        <v/>
      </c>
      <c r="T3007" s="30">
        <f>'Dashboard &amp; Optimisation'!$B$18*U3007</f>
        <v/>
      </c>
      <c r="U3007" s="34">
        <f>MIN(1, S3007/M3007)</f>
        <v/>
      </c>
      <c r="V3007" s="34">
        <f>N3007/(N3007+O3007)</f>
        <v/>
      </c>
      <c r="W3007" s="34">
        <f>U3007*V3007</f>
        <v/>
      </c>
      <c r="X3007" s="32">
        <f>T3007/N3007</f>
        <v/>
      </c>
      <c r="Y3007" s="35">
        <f>IF(W3007=MAXIFS(W$2:W$3601, A$2:A$3601, A3007, B$2:B$3601, B3007), "OPTIMAL", "")</f>
        <v/>
      </c>
    </row>
    <row r="3008" ht="20" customHeight="1">
      <c r="A3008" s="21" t="n">
        <v>-18</v>
      </c>
      <c r="B3008" s="21" t="n">
        <v>40</v>
      </c>
      <c r="C3008" s="22" t="n">
        <v>95</v>
      </c>
      <c r="D3008" s="22" t="n">
        <v>2</v>
      </c>
      <c r="E3008" s="23" t="n">
        <v>4</v>
      </c>
      <c r="F3008" s="22" t="n">
        <v>1.5</v>
      </c>
      <c r="G3008" s="23" t="inlineStr">
        <is>
          <t>Non</t>
        </is>
      </c>
      <c r="H3008" s="23" t="inlineStr">
        <is>
          <t>ON</t>
        </is>
      </c>
      <c r="I3008" s="24" t="n">
        <v>815.012573225423</v>
      </c>
      <c r="J3008" s="24" t="n">
        <v>8308.791548992402</v>
      </c>
      <c r="K3008" s="24" t="n">
        <v>4662.037037037037</v>
      </c>
      <c r="L3008" s="24" t="n">
        <v>150</v>
      </c>
      <c r="M3008" s="24">
        <f>I3008+J3008+K3008+L3008</f>
        <v/>
      </c>
      <c r="N3008" s="24">
        <f>M3008*'Dashboard &amp; Optimisation'!$B$18/('Dashboard &amp; Optimisation'!$B$16/3.6)</f>
        <v/>
      </c>
      <c r="O3008" s="24" t="n">
        <v>1005.964304068442</v>
      </c>
      <c r="P3008" s="25" t="n">
        <v>0.07222896284709622</v>
      </c>
      <c r="Q3008" s="26" t="n">
        <v>7.077172538771729</v>
      </c>
      <c r="R3008" s="24" t="n">
        <v>5778.089512869526</v>
      </c>
      <c r="S3008" s="24">
        <f>R3008*IF(A3008=4, 2.0, 3.0)</f>
        <v/>
      </c>
      <c r="T3008" s="22">
        <f>'Dashboard &amp; Optimisation'!$B$18*U3008</f>
        <v/>
      </c>
      <c r="U3008" s="27">
        <f>MIN(1, S3008/M3008)</f>
        <v/>
      </c>
      <c r="V3008" s="27">
        <f>N3008/(N3008+O3008)</f>
        <v/>
      </c>
      <c r="W3008" s="27">
        <f>U3008*V3008</f>
        <v/>
      </c>
      <c r="X3008" s="25">
        <f>T3008/N3008</f>
        <v/>
      </c>
      <c r="Y3008" s="28">
        <f>IF(W3008=MAXIFS(W$2:W$3601, A$2:A$3601, A3008, B$2:B$3601, B3008), "OPTIMAL", "")</f>
        <v/>
      </c>
    </row>
    <row r="3009" ht="20" customHeight="1">
      <c r="A3009" s="29" t="n">
        <v>-18</v>
      </c>
      <c r="B3009" s="29" t="n">
        <v>40</v>
      </c>
      <c r="C3009" s="30" t="n">
        <v>95</v>
      </c>
      <c r="D3009" s="30" t="n">
        <v>2</v>
      </c>
      <c r="E3009" s="6" t="n">
        <v>4</v>
      </c>
      <c r="F3009" s="30" t="n">
        <v>1.5</v>
      </c>
      <c r="G3009" s="6" t="inlineStr">
        <is>
          <t>Non</t>
        </is>
      </c>
      <c r="H3009" s="6" t="inlineStr">
        <is>
          <t>OFF</t>
        </is>
      </c>
      <c r="I3009" s="31" t="n">
        <v>815.012573225423</v>
      </c>
      <c r="J3009" s="31" t="n">
        <v>8308.791548992402</v>
      </c>
      <c r="K3009" s="31" t="n">
        <v>4662.037037037037</v>
      </c>
      <c r="L3009" s="31" t="n">
        <v>150</v>
      </c>
      <c r="M3009" s="31">
        <f>I3009+J3009+K3009+L3009</f>
        <v/>
      </c>
      <c r="N3009" s="31">
        <f>M3009*'Dashboard &amp; Optimisation'!$B$18/('Dashboard &amp; Optimisation'!$B$16/3.6)</f>
        <v/>
      </c>
      <c r="O3009" s="31" t="n">
        <v>1005.964304068442</v>
      </c>
      <c r="P3009" s="32" t="n">
        <v>0.3146866068423525</v>
      </c>
      <c r="Q3009" s="33" t="n">
        <v>7.077172538771729</v>
      </c>
      <c r="R3009" s="31" t="n">
        <v>1326.225532570331</v>
      </c>
      <c r="S3009" s="31">
        <f>R3009*IF(A3009=4, 2.0, 3.0)</f>
        <v/>
      </c>
      <c r="T3009" s="30">
        <f>'Dashboard &amp; Optimisation'!$B$18*U3009</f>
        <v/>
      </c>
      <c r="U3009" s="34">
        <f>MIN(1, S3009/M3009)</f>
        <v/>
      </c>
      <c r="V3009" s="34">
        <f>N3009/(N3009+O3009)</f>
        <v/>
      </c>
      <c r="W3009" s="34">
        <f>U3009*V3009</f>
        <v/>
      </c>
      <c r="X3009" s="32">
        <f>T3009/N3009</f>
        <v/>
      </c>
      <c r="Y3009" s="35">
        <f>IF(W3009=MAXIFS(W$2:W$3601, A$2:A$3601, A3009, B$2:B$3601, B3009), "OPTIMAL", "")</f>
        <v/>
      </c>
    </row>
    <row r="3010" ht="20" customHeight="1">
      <c r="A3010" s="21" t="n">
        <v>-18</v>
      </c>
      <c r="B3010" s="21" t="n">
        <v>40</v>
      </c>
      <c r="C3010" s="22" t="n">
        <v>95</v>
      </c>
      <c r="D3010" s="22" t="n">
        <v>2</v>
      </c>
      <c r="E3010" s="23" t="n">
        <v>4</v>
      </c>
      <c r="F3010" s="22" t="n">
        <v>2</v>
      </c>
      <c r="G3010" s="23" t="inlineStr">
        <is>
          <t>Oui</t>
        </is>
      </c>
      <c r="H3010" s="23" t="inlineStr">
        <is>
          <t>ON</t>
        </is>
      </c>
      <c r="I3010" s="24" t="n">
        <v>815.012573225423</v>
      </c>
      <c r="J3010" s="24" t="n">
        <v>8308.791548992402</v>
      </c>
      <c r="K3010" s="24" t="n">
        <v>4662.037037037037</v>
      </c>
      <c r="L3010" s="24" t="n">
        <v>150</v>
      </c>
      <c r="M3010" s="24">
        <f>I3010+J3010+K3010+L3010</f>
        <v/>
      </c>
      <c r="N3010" s="24">
        <f>M3010*'Dashboard &amp; Optimisation'!$B$18/('Dashboard &amp; Optimisation'!$B$16/3.6)</f>
        <v/>
      </c>
      <c r="O3010" s="24" t="n">
        <v>1134.947942929758</v>
      </c>
      <c r="P3010" s="25" t="n">
        <v>0.07304296145994044</v>
      </c>
      <c r="Q3010" s="26" t="n">
        <v>9.36956338502897</v>
      </c>
      <c r="R3010" s="24" t="n">
        <v>5780.650780829955</v>
      </c>
      <c r="S3010" s="24">
        <f>R3010*IF(A3010=4, 2.0, 3.0)</f>
        <v/>
      </c>
      <c r="T3010" s="22">
        <f>'Dashboard &amp; Optimisation'!$B$18*U3010</f>
        <v/>
      </c>
      <c r="U3010" s="27">
        <f>MIN(1, S3010/M3010)</f>
        <v/>
      </c>
      <c r="V3010" s="27">
        <f>N3010/(N3010+O3010)</f>
        <v/>
      </c>
      <c r="W3010" s="27">
        <f>U3010*V3010</f>
        <v/>
      </c>
      <c r="X3010" s="25">
        <f>T3010/N3010</f>
        <v/>
      </c>
      <c r="Y3010" s="28">
        <f>IF(W3010=MAXIFS(W$2:W$3601, A$2:A$3601, A3010, B$2:B$3601, B3010), "OPTIMAL", "")</f>
        <v/>
      </c>
    </row>
    <row r="3011" ht="20" customHeight="1">
      <c r="A3011" s="29" t="n">
        <v>-18</v>
      </c>
      <c r="B3011" s="29" t="n">
        <v>40</v>
      </c>
      <c r="C3011" s="30" t="n">
        <v>95</v>
      </c>
      <c r="D3011" s="30" t="n">
        <v>2</v>
      </c>
      <c r="E3011" s="6" t="n">
        <v>4</v>
      </c>
      <c r="F3011" s="30" t="n">
        <v>2</v>
      </c>
      <c r="G3011" s="6" t="inlineStr">
        <is>
          <t>Oui</t>
        </is>
      </c>
      <c r="H3011" s="6" t="inlineStr">
        <is>
          <t>OFF</t>
        </is>
      </c>
      <c r="I3011" s="31" t="n">
        <v>815.012573225423</v>
      </c>
      <c r="J3011" s="31" t="n">
        <v>8308.791548992402</v>
      </c>
      <c r="K3011" s="31" t="n">
        <v>4662.037037037037</v>
      </c>
      <c r="L3011" s="31" t="n">
        <v>150</v>
      </c>
      <c r="M3011" s="31">
        <f>I3011+J3011+K3011+L3011</f>
        <v/>
      </c>
      <c r="N3011" s="31">
        <f>M3011*'Dashboard &amp; Optimisation'!$B$18/('Dashboard &amp; Optimisation'!$B$16/3.6)</f>
        <v/>
      </c>
      <c r="O3011" s="31" t="n">
        <v>1134.947942929758</v>
      </c>
      <c r="P3011" s="32" t="n">
        <v>0.316679947936384</v>
      </c>
      <c r="Q3011" s="33" t="n">
        <v>9.36956338502897</v>
      </c>
      <c r="R3011" s="31" t="n">
        <v>1333.320454765129</v>
      </c>
      <c r="S3011" s="31">
        <f>R3011*IF(A3011=4, 2.0, 3.0)</f>
        <v/>
      </c>
      <c r="T3011" s="30">
        <f>'Dashboard &amp; Optimisation'!$B$18*U3011</f>
        <v/>
      </c>
      <c r="U3011" s="34">
        <f>MIN(1, S3011/M3011)</f>
        <v/>
      </c>
      <c r="V3011" s="34">
        <f>N3011/(N3011+O3011)</f>
        <v/>
      </c>
      <c r="W3011" s="34">
        <f>U3011*V3011</f>
        <v/>
      </c>
      <c r="X3011" s="32">
        <f>T3011/N3011</f>
        <v/>
      </c>
      <c r="Y3011" s="35">
        <f>IF(W3011=MAXIFS(W$2:W$3601, A$2:A$3601, A3011, B$2:B$3601, B3011), "OPTIMAL", "")</f>
        <v/>
      </c>
    </row>
    <row r="3012" ht="20" customHeight="1">
      <c r="A3012" s="21" t="n">
        <v>-18</v>
      </c>
      <c r="B3012" s="21" t="n">
        <v>40</v>
      </c>
      <c r="C3012" s="22" t="n">
        <v>95</v>
      </c>
      <c r="D3012" s="22" t="n">
        <v>2</v>
      </c>
      <c r="E3012" s="23" t="n">
        <v>4</v>
      </c>
      <c r="F3012" s="22" t="n">
        <v>2</v>
      </c>
      <c r="G3012" s="23" t="inlineStr">
        <is>
          <t>Non</t>
        </is>
      </c>
      <c r="H3012" s="23" t="inlineStr">
        <is>
          <t>ON</t>
        </is>
      </c>
      <c r="I3012" s="24" t="n">
        <v>815.012573225423</v>
      </c>
      <c r="J3012" s="24" t="n">
        <v>8308.791548992402</v>
      </c>
      <c r="K3012" s="24" t="n">
        <v>4662.037037037037</v>
      </c>
      <c r="L3012" s="24" t="n">
        <v>150</v>
      </c>
      <c r="M3012" s="24">
        <f>I3012+J3012+K3012+L3012</f>
        <v/>
      </c>
      <c r="N3012" s="24">
        <f>M3012*'Dashboard &amp; Optimisation'!$B$18/('Dashboard &amp; Optimisation'!$B$16/3.6)</f>
        <v/>
      </c>
      <c r="O3012" s="24" t="n">
        <v>1134.947942929758</v>
      </c>
      <c r="P3012" s="25" t="n">
        <v>0.06969233107905842</v>
      </c>
      <c r="Q3012" s="26" t="n">
        <v>9.36956338502897</v>
      </c>
      <c r="R3012" s="24" t="n">
        <v>6058.569797565761</v>
      </c>
      <c r="S3012" s="24">
        <f>R3012*IF(A3012=4, 2.0, 3.0)</f>
        <v/>
      </c>
      <c r="T3012" s="22">
        <f>'Dashboard &amp; Optimisation'!$B$18*U3012</f>
        <v/>
      </c>
      <c r="U3012" s="27">
        <f>MIN(1, S3012/M3012)</f>
        <v/>
      </c>
      <c r="V3012" s="27">
        <f>N3012/(N3012+O3012)</f>
        <v/>
      </c>
      <c r="W3012" s="27">
        <f>U3012*V3012</f>
        <v/>
      </c>
      <c r="X3012" s="25">
        <f>T3012/N3012</f>
        <v/>
      </c>
      <c r="Y3012" s="28">
        <f>IF(W3012=MAXIFS(W$2:W$3601, A$2:A$3601, A3012, B$2:B$3601, B3012), "OPTIMAL", "")</f>
        <v/>
      </c>
    </row>
    <row r="3013" ht="20" customHeight="1">
      <c r="A3013" s="29" t="n">
        <v>-18</v>
      </c>
      <c r="B3013" s="29" t="n">
        <v>40</v>
      </c>
      <c r="C3013" s="30" t="n">
        <v>95</v>
      </c>
      <c r="D3013" s="30" t="n">
        <v>2</v>
      </c>
      <c r="E3013" s="6" t="n">
        <v>4</v>
      </c>
      <c r="F3013" s="30" t="n">
        <v>2</v>
      </c>
      <c r="G3013" s="6" t="inlineStr">
        <is>
          <t>Non</t>
        </is>
      </c>
      <c r="H3013" s="6" t="inlineStr">
        <is>
          <t>OFF</t>
        </is>
      </c>
      <c r="I3013" s="31" t="n">
        <v>815.012573225423</v>
      </c>
      <c r="J3013" s="31" t="n">
        <v>8308.791548992402</v>
      </c>
      <c r="K3013" s="31" t="n">
        <v>4662.037037037037</v>
      </c>
      <c r="L3013" s="31" t="n">
        <v>150</v>
      </c>
      <c r="M3013" s="31">
        <f>I3013+J3013+K3013+L3013</f>
        <v/>
      </c>
      <c r="N3013" s="31">
        <f>M3013*'Dashboard &amp; Optimisation'!$B$18/('Dashboard &amp; Optimisation'!$B$16/3.6)</f>
        <v/>
      </c>
      <c r="O3013" s="31" t="n">
        <v>1134.947942929758</v>
      </c>
      <c r="P3013" s="32" t="n">
        <v>0.313329317555502</v>
      </c>
      <c r="Q3013" s="33" t="n">
        <v>9.36956338502897</v>
      </c>
      <c r="R3013" s="31" t="n">
        <v>1347.578501404497</v>
      </c>
      <c r="S3013" s="31">
        <f>R3013*IF(A3013=4, 2.0, 3.0)</f>
        <v/>
      </c>
      <c r="T3013" s="30">
        <f>'Dashboard &amp; Optimisation'!$B$18*U3013</f>
        <v/>
      </c>
      <c r="U3013" s="34">
        <f>MIN(1, S3013/M3013)</f>
        <v/>
      </c>
      <c r="V3013" s="34">
        <f>N3013/(N3013+O3013)</f>
        <v/>
      </c>
      <c r="W3013" s="34">
        <f>U3013*V3013</f>
        <v/>
      </c>
      <c r="X3013" s="32">
        <f>T3013/N3013</f>
        <v/>
      </c>
      <c r="Y3013" s="35">
        <f>IF(W3013=MAXIFS(W$2:W$3601, A$2:A$3601, A3013, B$2:B$3601, B3013), "OPTIMAL", "")</f>
        <v/>
      </c>
    </row>
    <row r="3014" ht="20" customHeight="1">
      <c r="A3014" s="21" t="n">
        <v>-18</v>
      </c>
      <c r="B3014" s="21" t="n">
        <v>40</v>
      </c>
      <c r="C3014" s="22" t="n">
        <v>95</v>
      </c>
      <c r="D3014" s="22" t="n">
        <v>2</v>
      </c>
      <c r="E3014" s="23" t="n">
        <v>8</v>
      </c>
      <c r="F3014" s="22" t="n">
        <v>1.5</v>
      </c>
      <c r="G3014" s="23" t="inlineStr">
        <is>
          <t>Oui</t>
        </is>
      </c>
      <c r="H3014" s="23" t="inlineStr">
        <is>
          <t>ON</t>
        </is>
      </c>
      <c r="I3014" s="24" t="n">
        <v>815.012573225423</v>
      </c>
      <c r="J3014" s="24" t="n">
        <v>8308.791548992402</v>
      </c>
      <c r="K3014" s="24" t="n">
        <v>4662.037037037037</v>
      </c>
      <c r="L3014" s="24" t="n">
        <v>150</v>
      </c>
      <c r="M3014" s="24">
        <f>I3014+J3014+K3014+L3014</f>
        <v/>
      </c>
      <c r="N3014" s="24">
        <f>M3014*'Dashboard &amp; Optimisation'!$B$18/('Dashboard &amp; Optimisation'!$B$16/3.6)</f>
        <v/>
      </c>
      <c r="O3014" s="24" t="n">
        <v>1402.201406611323</v>
      </c>
      <c r="P3014" s="25" t="n">
        <v>0.05699087655301123</v>
      </c>
      <c r="Q3014" s="26" t="n">
        <v>13.95434507754346</v>
      </c>
      <c r="R3014" s="24" t="n">
        <v>7586.63219033756</v>
      </c>
      <c r="S3014" s="24">
        <f>R3014*IF(A3014=4, 2.0, 3.0)</f>
        <v/>
      </c>
      <c r="T3014" s="22">
        <f>'Dashboard &amp; Optimisation'!$B$18*U3014</f>
        <v/>
      </c>
      <c r="U3014" s="27">
        <f>MIN(1, S3014/M3014)</f>
        <v/>
      </c>
      <c r="V3014" s="27">
        <f>N3014/(N3014+O3014)</f>
        <v/>
      </c>
      <c r="W3014" s="27">
        <f>U3014*V3014</f>
        <v/>
      </c>
      <c r="X3014" s="25">
        <f>T3014/N3014</f>
        <v/>
      </c>
      <c r="Y3014" s="28">
        <f>IF(W3014=MAXIFS(W$2:W$3601, A$2:A$3601, A3014, B$2:B$3601, B3014), "OPTIMAL", "")</f>
        <v/>
      </c>
    </row>
    <row r="3015" ht="20" customHeight="1">
      <c r="A3015" s="29" t="n">
        <v>-18</v>
      </c>
      <c r="B3015" s="29" t="n">
        <v>40</v>
      </c>
      <c r="C3015" s="30" t="n">
        <v>95</v>
      </c>
      <c r="D3015" s="30" t="n">
        <v>2</v>
      </c>
      <c r="E3015" s="6" t="n">
        <v>8</v>
      </c>
      <c r="F3015" s="30" t="n">
        <v>1.5</v>
      </c>
      <c r="G3015" s="6" t="inlineStr">
        <is>
          <t>Oui</t>
        </is>
      </c>
      <c r="H3015" s="6" t="inlineStr">
        <is>
          <t>OFF</t>
        </is>
      </c>
      <c r="I3015" s="31" t="n">
        <v>815.012573225423</v>
      </c>
      <c r="J3015" s="31" t="n">
        <v>8308.791548992402</v>
      </c>
      <c r="K3015" s="31" t="n">
        <v>4662.037037037037</v>
      </c>
      <c r="L3015" s="31" t="n">
        <v>150</v>
      </c>
      <c r="M3015" s="31">
        <f>I3015+J3015+K3015+L3015</f>
        <v/>
      </c>
      <c r="N3015" s="31">
        <f>M3015*'Dashboard &amp; Optimisation'!$B$18/('Dashboard &amp; Optimisation'!$B$16/3.6)</f>
        <v/>
      </c>
      <c r="O3015" s="31" t="n">
        <v>1402.201406611323</v>
      </c>
      <c r="P3015" s="32" t="n">
        <v>0.2469467888801933</v>
      </c>
      <c r="Q3015" s="33" t="n">
        <v>13.95434507754346</v>
      </c>
      <c r="R3015" s="31" t="n">
        <v>1750.858233764658</v>
      </c>
      <c r="S3015" s="31">
        <f>R3015*IF(A3015=4, 2.0, 3.0)</f>
        <v/>
      </c>
      <c r="T3015" s="30">
        <f>'Dashboard &amp; Optimisation'!$B$18*U3015</f>
        <v/>
      </c>
      <c r="U3015" s="34">
        <f>MIN(1, S3015/M3015)</f>
        <v/>
      </c>
      <c r="V3015" s="34">
        <f>N3015/(N3015+O3015)</f>
        <v/>
      </c>
      <c r="W3015" s="34">
        <f>U3015*V3015</f>
        <v/>
      </c>
      <c r="X3015" s="32">
        <f>T3015/N3015</f>
        <v/>
      </c>
      <c r="Y3015" s="35">
        <f>IF(W3015=MAXIFS(W$2:W$3601, A$2:A$3601, A3015, B$2:B$3601, B3015), "OPTIMAL", "")</f>
        <v/>
      </c>
    </row>
    <row r="3016" ht="20" customHeight="1">
      <c r="A3016" s="21" t="n">
        <v>-18</v>
      </c>
      <c r="B3016" s="21" t="n">
        <v>40</v>
      </c>
      <c r="C3016" s="22" t="n">
        <v>95</v>
      </c>
      <c r="D3016" s="22" t="n">
        <v>2</v>
      </c>
      <c r="E3016" s="23" t="n">
        <v>8</v>
      </c>
      <c r="F3016" s="22" t="n">
        <v>1.5</v>
      </c>
      <c r="G3016" s="23" t="inlineStr">
        <is>
          <t>Non</t>
        </is>
      </c>
      <c r="H3016" s="23" t="inlineStr">
        <is>
          <t>ON</t>
        </is>
      </c>
      <c r="I3016" s="24" t="n">
        <v>815.012573225423</v>
      </c>
      <c r="J3016" s="24" t="n">
        <v>8308.791548992402</v>
      </c>
      <c r="K3016" s="24" t="n">
        <v>4662.037037037037</v>
      </c>
      <c r="L3016" s="24" t="n">
        <v>150</v>
      </c>
      <c r="M3016" s="24">
        <f>I3016+J3016+K3016+L3016</f>
        <v/>
      </c>
      <c r="N3016" s="24">
        <f>M3016*'Dashboard &amp; Optimisation'!$B$18/('Dashboard &amp; Optimisation'!$B$16/3.6)</f>
        <v/>
      </c>
      <c r="O3016" s="24" t="n">
        <v>1402.201406611323</v>
      </c>
      <c r="P3016" s="25" t="n">
        <v>0.05364024617212922</v>
      </c>
      <c r="Q3016" s="26" t="n">
        <v>13.95434507754346</v>
      </c>
      <c r="R3016" s="24" t="n">
        <v>8060.530095726561</v>
      </c>
      <c r="S3016" s="24">
        <f>R3016*IF(A3016=4, 2.0, 3.0)</f>
        <v/>
      </c>
      <c r="T3016" s="22">
        <f>'Dashboard &amp; Optimisation'!$B$18*U3016</f>
        <v/>
      </c>
      <c r="U3016" s="27">
        <f>MIN(1, S3016/M3016)</f>
        <v/>
      </c>
      <c r="V3016" s="27">
        <f>N3016/(N3016+O3016)</f>
        <v/>
      </c>
      <c r="W3016" s="27">
        <f>U3016*V3016</f>
        <v/>
      </c>
      <c r="X3016" s="25">
        <f>T3016/N3016</f>
        <v/>
      </c>
      <c r="Y3016" s="28">
        <f>IF(W3016=MAXIFS(W$2:W$3601, A$2:A$3601, A3016, B$2:B$3601, B3016), "OPTIMAL", "")</f>
        <v/>
      </c>
    </row>
    <row r="3017" ht="20" customHeight="1">
      <c r="A3017" s="29" t="n">
        <v>-18</v>
      </c>
      <c r="B3017" s="29" t="n">
        <v>40</v>
      </c>
      <c r="C3017" s="30" t="n">
        <v>95</v>
      </c>
      <c r="D3017" s="30" t="n">
        <v>2</v>
      </c>
      <c r="E3017" s="6" t="n">
        <v>8</v>
      </c>
      <c r="F3017" s="30" t="n">
        <v>1.5</v>
      </c>
      <c r="G3017" s="6" t="inlineStr">
        <is>
          <t>Non</t>
        </is>
      </c>
      <c r="H3017" s="6" t="inlineStr">
        <is>
          <t>OFF</t>
        </is>
      </c>
      <c r="I3017" s="31" t="n">
        <v>815.012573225423</v>
      </c>
      <c r="J3017" s="31" t="n">
        <v>8308.791548992402</v>
      </c>
      <c r="K3017" s="31" t="n">
        <v>4662.037037037037</v>
      </c>
      <c r="L3017" s="31" t="n">
        <v>150</v>
      </c>
      <c r="M3017" s="31">
        <f>I3017+J3017+K3017+L3017</f>
        <v/>
      </c>
      <c r="N3017" s="31">
        <f>M3017*'Dashboard &amp; Optimisation'!$B$18/('Dashboard &amp; Optimisation'!$B$16/3.6)</f>
        <v/>
      </c>
      <c r="O3017" s="31" t="n">
        <v>1402.201406611323</v>
      </c>
      <c r="P3017" s="32" t="n">
        <v>0.2435961584993113</v>
      </c>
      <c r="Q3017" s="33" t="n">
        <v>13.95434507754346</v>
      </c>
      <c r="R3017" s="31" t="n">
        <v>1774.941038792496</v>
      </c>
      <c r="S3017" s="31">
        <f>R3017*IF(A3017=4, 2.0, 3.0)</f>
        <v/>
      </c>
      <c r="T3017" s="30">
        <f>'Dashboard &amp; Optimisation'!$B$18*U3017</f>
        <v/>
      </c>
      <c r="U3017" s="34">
        <f>MIN(1, S3017/M3017)</f>
        <v/>
      </c>
      <c r="V3017" s="34">
        <f>N3017/(N3017+O3017)</f>
        <v/>
      </c>
      <c r="W3017" s="34">
        <f>U3017*V3017</f>
        <v/>
      </c>
      <c r="X3017" s="32">
        <f>T3017/N3017</f>
        <v/>
      </c>
      <c r="Y3017" s="35">
        <f>IF(W3017=MAXIFS(W$2:W$3601, A$2:A$3601, A3017, B$2:B$3601, B3017), "OPTIMAL", "")</f>
        <v/>
      </c>
    </row>
    <row r="3018" ht="20" customHeight="1">
      <c r="A3018" s="21" t="n">
        <v>-18</v>
      </c>
      <c r="B3018" s="21" t="n">
        <v>40</v>
      </c>
      <c r="C3018" s="22" t="n">
        <v>95</v>
      </c>
      <c r="D3018" s="22" t="n">
        <v>2</v>
      </c>
      <c r="E3018" s="23" t="n">
        <v>8</v>
      </c>
      <c r="F3018" s="22" t="n">
        <v>2</v>
      </c>
      <c r="G3018" s="23" t="inlineStr">
        <is>
          <t>Oui</t>
        </is>
      </c>
      <c r="H3018" s="23" t="inlineStr">
        <is>
          <t>ON</t>
        </is>
      </c>
      <c r="I3018" s="24" t="n">
        <v>815.012573225423</v>
      </c>
      <c r="J3018" s="24" t="n">
        <v>8308.791548992402</v>
      </c>
      <c r="K3018" s="24" t="n">
        <v>4662.037037037037</v>
      </c>
      <c r="L3018" s="24" t="n">
        <v>150</v>
      </c>
      <c r="M3018" s="24">
        <f>I3018+J3018+K3018+L3018</f>
        <v/>
      </c>
      <c r="N3018" s="24">
        <f>M3018*'Dashboard &amp; Optimisation'!$B$18/('Dashboard &amp; Optimisation'!$B$16/3.6)</f>
        <v/>
      </c>
      <c r="O3018" s="24" t="n">
        <v>1682.597560942387</v>
      </c>
      <c r="P3018" s="25" t="n">
        <v>0.05584601824581075</v>
      </c>
      <c r="Q3018" s="26" t="n">
        <v>18.53912677005794</v>
      </c>
      <c r="R3018" s="24" t="n">
        <v>7932.527807417133</v>
      </c>
      <c r="S3018" s="24">
        <f>R3018*IF(A3018=4, 2.0, 3.0)</f>
        <v/>
      </c>
      <c r="T3018" s="22">
        <f>'Dashboard &amp; Optimisation'!$B$18*U3018</f>
        <v/>
      </c>
      <c r="U3018" s="27">
        <f>MIN(1, S3018/M3018)</f>
        <v/>
      </c>
      <c r="V3018" s="27">
        <f>N3018/(N3018+O3018)</f>
        <v/>
      </c>
      <c r="W3018" s="27">
        <f>U3018*V3018</f>
        <v/>
      </c>
      <c r="X3018" s="25">
        <f>T3018/N3018</f>
        <v/>
      </c>
      <c r="Y3018" s="28">
        <f>IF(W3018=MAXIFS(W$2:W$3601, A$2:A$3601, A3018, B$2:B$3601, B3018), "OPTIMAL", "")</f>
        <v/>
      </c>
    </row>
    <row r="3019" ht="20" customHeight="1">
      <c r="A3019" s="29" t="n">
        <v>-18</v>
      </c>
      <c r="B3019" s="29" t="n">
        <v>40</v>
      </c>
      <c r="C3019" s="30" t="n">
        <v>95</v>
      </c>
      <c r="D3019" s="30" t="n">
        <v>2</v>
      </c>
      <c r="E3019" s="6" t="n">
        <v>8</v>
      </c>
      <c r="F3019" s="30" t="n">
        <v>2</v>
      </c>
      <c r="G3019" s="6" t="inlineStr">
        <is>
          <t>Oui</t>
        </is>
      </c>
      <c r="H3019" s="6" t="inlineStr">
        <is>
          <t>OFF</t>
        </is>
      </c>
      <c r="I3019" s="31" t="n">
        <v>815.012573225423</v>
      </c>
      <c r="J3019" s="31" t="n">
        <v>8308.791548992402</v>
      </c>
      <c r="K3019" s="31" t="n">
        <v>4662.037037037037</v>
      </c>
      <c r="L3019" s="31" t="n">
        <v>150</v>
      </c>
      <c r="M3019" s="31">
        <f>I3019+J3019+K3019+L3019</f>
        <v/>
      </c>
      <c r="N3019" s="31">
        <f>M3019*'Dashboard &amp; Optimisation'!$B$18/('Dashboard &amp; Optimisation'!$B$16/3.6)</f>
        <v/>
      </c>
      <c r="O3019" s="31" t="n">
        <v>1682.597560942387</v>
      </c>
      <c r="P3019" s="32" t="n">
        <v>0.2472541696165357</v>
      </c>
      <c r="Q3019" s="33" t="n">
        <v>18.53912677005794</v>
      </c>
      <c r="R3019" s="31" t="n">
        <v>1791.678956741005</v>
      </c>
      <c r="S3019" s="31">
        <f>R3019*IF(A3019=4, 2.0, 3.0)</f>
        <v/>
      </c>
      <c r="T3019" s="30">
        <f>'Dashboard &amp; Optimisation'!$B$18*U3019</f>
        <v/>
      </c>
      <c r="U3019" s="34">
        <f>MIN(1, S3019/M3019)</f>
        <v/>
      </c>
      <c r="V3019" s="34">
        <f>N3019/(N3019+O3019)</f>
        <v/>
      </c>
      <c r="W3019" s="34">
        <f>U3019*V3019</f>
        <v/>
      </c>
      <c r="X3019" s="32">
        <f>T3019/N3019</f>
        <v/>
      </c>
      <c r="Y3019" s="35">
        <f>IF(W3019=MAXIFS(W$2:W$3601, A$2:A$3601, A3019, B$2:B$3601, B3019), "OPTIMAL", "")</f>
        <v/>
      </c>
    </row>
    <row r="3020" ht="20" customHeight="1">
      <c r="A3020" s="21" t="n">
        <v>-18</v>
      </c>
      <c r="B3020" s="21" t="n">
        <v>40</v>
      </c>
      <c r="C3020" s="22" t="n">
        <v>95</v>
      </c>
      <c r="D3020" s="22" t="n">
        <v>2</v>
      </c>
      <c r="E3020" s="23" t="n">
        <v>8</v>
      </c>
      <c r="F3020" s="22" t="n">
        <v>2</v>
      </c>
      <c r="G3020" s="23" t="inlineStr">
        <is>
          <t>Non</t>
        </is>
      </c>
      <c r="H3020" s="23" t="inlineStr">
        <is>
          <t>ON</t>
        </is>
      </c>
      <c r="I3020" s="24" t="n">
        <v>815.012573225423</v>
      </c>
      <c r="J3020" s="24" t="n">
        <v>8308.791548992402</v>
      </c>
      <c r="K3020" s="24" t="n">
        <v>4662.037037037037</v>
      </c>
      <c r="L3020" s="24" t="n">
        <v>150</v>
      </c>
      <c r="M3020" s="24">
        <f>I3020+J3020+K3020+L3020</f>
        <v/>
      </c>
      <c r="N3020" s="24">
        <f>M3020*'Dashboard &amp; Optimisation'!$B$18/('Dashboard &amp; Optimisation'!$B$16/3.6)</f>
        <v/>
      </c>
      <c r="O3020" s="24" t="n">
        <v>1682.597560942387</v>
      </c>
      <c r="P3020" s="25" t="n">
        <v>0.05249538786492874</v>
      </c>
      <c r="Q3020" s="26" t="n">
        <v>18.53912677005794</v>
      </c>
      <c r="R3020" s="24" t="n">
        <v>8438.838356776463</v>
      </c>
      <c r="S3020" s="24">
        <f>R3020*IF(A3020=4, 2.0, 3.0)</f>
        <v/>
      </c>
      <c r="T3020" s="22">
        <f>'Dashboard &amp; Optimisation'!$B$18*U3020</f>
        <v/>
      </c>
      <c r="U3020" s="27">
        <f>MIN(1, S3020/M3020)</f>
        <v/>
      </c>
      <c r="V3020" s="27">
        <f>N3020/(N3020+O3020)</f>
        <v/>
      </c>
      <c r="W3020" s="27">
        <f>U3020*V3020</f>
        <v/>
      </c>
      <c r="X3020" s="25">
        <f>T3020/N3020</f>
        <v/>
      </c>
      <c r="Y3020" s="28">
        <f>IF(W3020=MAXIFS(W$2:W$3601, A$2:A$3601, A3020, B$2:B$3601, B3020), "OPTIMAL", "")</f>
        <v/>
      </c>
    </row>
    <row r="3021" ht="20" customHeight="1">
      <c r="A3021" s="29" t="n">
        <v>-18</v>
      </c>
      <c r="B3021" s="29" t="n">
        <v>40</v>
      </c>
      <c r="C3021" s="30" t="n">
        <v>95</v>
      </c>
      <c r="D3021" s="30" t="n">
        <v>2</v>
      </c>
      <c r="E3021" s="6" t="n">
        <v>8</v>
      </c>
      <c r="F3021" s="30" t="n">
        <v>2</v>
      </c>
      <c r="G3021" s="6" t="inlineStr">
        <is>
          <t>Non</t>
        </is>
      </c>
      <c r="H3021" s="6" t="inlineStr">
        <is>
          <t>OFF</t>
        </is>
      </c>
      <c r="I3021" s="31" t="n">
        <v>815.012573225423</v>
      </c>
      <c r="J3021" s="31" t="n">
        <v>8308.791548992402</v>
      </c>
      <c r="K3021" s="31" t="n">
        <v>4662.037037037037</v>
      </c>
      <c r="L3021" s="31" t="n">
        <v>150</v>
      </c>
      <c r="M3021" s="31">
        <f>I3021+J3021+K3021+L3021</f>
        <v/>
      </c>
      <c r="N3021" s="31">
        <f>M3021*'Dashboard &amp; Optimisation'!$B$18/('Dashboard &amp; Optimisation'!$B$16/3.6)</f>
        <v/>
      </c>
      <c r="O3021" s="31" t="n">
        <v>1682.597560942387</v>
      </c>
      <c r="P3021" s="32" t="n">
        <v>0.2439035392356537</v>
      </c>
      <c r="Q3021" s="33" t="n">
        <v>18.53912677005794</v>
      </c>
      <c r="R3021" s="31" t="n">
        <v>1816.292186889516</v>
      </c>
      <c r="S3021" s="31">
        <f>R3021*IF(A3021=4, 2.0, 3.0)</f>
        <v/>
      </c>
      <c r="T3021" s="30">
        <f>'Dashboard &amp; Optimisation'!$B$18*U3021</f>
        <v/>
      </c>
      <c r="U3021" s="34">
        <f>MIN(1, S3021/M3021)</f>
        <v/>
      </c>
      <c r="V3021" s="34">
        <f>N3021/(N3021+O3021)</f>
        <v/>
      </c>
      <c r="W3021" s="34">
        <f>U3021*V3021</f>
        <v/>
      </c>
      <c r="X3021" s="32">
        <f>T3021/N3021</f>
        <v/>
      </c>
      <c r="Y3021" s="35">
        <f>IF(W3021=MAXIFS(W$2:W$3601, A$2:A$3601, A3021, B$2:B$3601, B3021), "OPTIMAL", "")</f>
        <v/>
      </c>
    </row>
    <row r="3022" ht="20" customHeight="1">
      <c r="A3022" s="21" t="n">
        <v>-18</v>
      </c>
      <c r="B3022" s="21" t="n">
        <v>40</v>
      </c>
      <c r="C3022" s="22" t="n">
        <v>95</v>
      </c>
      <c r="D3022" s="22" t="n">
        <v>3</v>
      </c>
      <c r="E3022" s="23" t="n">
        <v>0</v>
      </c>
      <c r="F3022" s="22" t="n">
        <v>0</v>
      </c>
      <c r="G3022" s="23" t="inlineStr">
        <is>
          <t>Oui</t>
        </is>
      </c>
      <c r="H3022" s="23" t="inlineStr">
        <is>
          <t>ON</t>
        </is>
      </c>
      <c r="I3022" s="24" t="n">
        <v>815.012573225423</v>
      </c>
      <c r="J3022" s="24" t="n">
        <v>8308.791548992402</v>
      </c>
      <c r="K3022" s="24" t="n">
        <v>4662.037037037037</v>
      </c>
      <c r="L3022" s="24" t="n">
        <v>150</v>
      </c>
      <c r="M3022" s="24">
        <f>I3022+J3022+K3022+L3022</f>
        <v/>
      </c>
      <c r="N3022" s="24">
        <f>M3022*'Dashboard &amp; Optimisation'!$B$18/('Dashboard &amp; Optimisation'!$B$16/3.6)</f>
        <v/>
      </c>
      <c r="O3022" s="24" t="n">
        <v>987.1589078029524</v>
      </c>
      <c r="P3022" s="25" t="n">
        <v>0.4850543981280133</v>
      </c>
      <c r="Q3022" s="26" t="n">
        <v>0.2</v>
      </c>
      <c r="R3022" s="24" t="n">
        <v>869.3084538563453</v>
      </c>
      <c r="S3022" s="24">
        <f>R3022*IF(A3022=4, 2.0, 3.0)</f>
        <v/>
      </c>
      <c r="T3022" s="22">
        <f>'Dashboard &amp; Optimisation'!$B$18*U3022</f>
        <v/>
      </c>
      <c r="U3022" s="27">
        <f>MIN(1, S3022/M3022)</f>
        <v/>
      </c>
      <c r="V3022" s="27">
        <f>N3022/(N3022+O3022)</f>
        <v/>
      </c>
      <c r="W3022" s="27">
        <f>U3022*V3022</f>
        <v/>
      </c>
      <c r="X3022" s="25">
        <f>T3022/N3022</f>
        <v/>
      </c>
      <c r="Y3022" s="28">
        <f>IF(W3022=MAXIFS(W$2:W$3601, A$2:A$3601, A3022, B$2:B$3601, B3022), "OPTIMAL", "")</f>
        <v/>
      </c>
    </row>
    <row r="3023" ht="20" customHeight="1">
      <c r="A3023" s="29" t="n">
        <v>-18</v>
      </c>
      <c r="B3023" s="29" t="n">
        <v>40</v>
      </c>
      <c r="C3023" s="30" t="n">
        <v>95</v>
      </c>
      <c r="D3023" s="30" t="n">
        <v>3</v>
      </c>
      <c r="E3023" s="6" t="n">
        <v>0</v>
      </c>
      <c r="F3023" s="30" t="n">
        <v>0</v>
      </c>
      <c r="G3023" s="6" t="inlineStr">
        <is>
          <t>Oui</t>
        </is>
      </c>
      <c r="H3023" s="6" t="inlineStr">
        <is>
          <t>OFF</t>
        </is>
      </c>
      <c r="I3023" s="31" t="n">
        <v>815.012573225423</v>
      </c>
      <c r="J3023" s="31" t="n">
        <v>8308.791548992402</v>
      </c>
      <c r="K3023" s="31" t="n">
        <v>4662.037037037037</v>
      </c>
      <c r="L3023" s="31" t="n">
        <v>150</v>
      </c>
      <c r="M3023" s="31">
        <f>I3023+J3023+K3023+L3023</f>
        <v/>
      </c>
      <c r="N3023" s="31">
        <f>M3023*'Dashboard &amp; Optimisation'!$B$18/('Dashboard &amp; Optimisation'!$B$16/3.6)</f>
        <v/>
      </c>
      <c r="O3023" s="31" t="n">
        <v>987.1589078029524</v>
      </c>
      <c r="P3023" s="32" t="n">
        <v>0.820117436216214</v>
      </c>
      <c r="Q3023" s="33" t="n">
        <v>0.2</v>
      </c>
      <c r="R3023" s="31" t="n">
        <v>514.1481820192851</v>
      </c>
      <c r="S3023" s="31">
        <f>R3023*IF(A3023=4, 2.0, 3.0)</f>
        <v/>
      </c>
      <c r="T3023" s="30">
        <f>'Dashboard &amp; Optimisation'!$B$18*U3023</f>
        <v/>
      </c>
      <c r="U3023" s="34">
        <f>MIN(1, S3023/M3023)</f>
        <v/>
      </c>
      <c r="V3023" s="34">
        <f>N3023/(N3023+O3023)</f>
        <v/>
      </c>
      <c r="W3023" s="34">
        <f>U3023*V3023</f>
        <v/>
      </c>
      <c r="X3023" s="32">
        <f>T3023/N3023</f>
        <v/>
      </c>
      <c r="Y3023" s="35">
        <f>IF(W3023=MAXIFS(W$2:W$3601, A$2:A$3601, A3023, B$2:B$3601, B3023), "OPTIMAL", "")</f>
        <v/>
      </c>
    </row>
    <row r="3024" ht="20" customHeight="1">
      <c r="A3024" s="21" t="n">
        <v>-18</v>
      </c>
      <c r="B3024" s="21" t="n">
        <v>40</v>
      </c>
      <c r="C3024" s="22" t="n">
        <v>95</v>
      </c>
      <c r="D3024" s="22" t="n">
        <v>3</v>
      </c>
      <c r="E3024" s="23" t="n">
        <v>0</v>
      </c>
      <c r="F3024" s="22" t="n">
        <v>0</v>
      </c>
      <c r="G3024" s="23" t="inlineStr">
        <is>
          <t>Non</t>
        </is>
      </c>
      <c r="H3024" s="23" t="inlineStr">
        <is>
          <t>ON</t>
        </is>
      </c>
      <c r="I3024" s="24" t="n">
        <v>815.012573225423</v>
      </c>
      <c r="J3024" s="24" t="n">
        <v>8308.791548992402</v>
      </c>
      <c r="K3024" s="24" t="n">
        <v>4662.037037037037</v>
      </c>
      <c r="L3024" s="24" t="n">
        <v>150</v>
      </c>
      <c r="M3024" s="24">
        <f>I3024+J3024+K3024+L3024</f>
        <v/>
      </c>
      <c r="N3024" s="24">
        <f>M3024*'Dashboard &amp; Optimisation'!$B$18/('Dashboard &amp; Optimisation'!$B$16/3.6)</f>
        <v/>
      </c>
      <c r="O3024" s="24" t="n">
        <v>987.1589078029524</v>
      </c>
      <c r="P3024" s="25" t="n">
        <v>0.4817037677471313</v>
      </c>
      <c r="Q3024" s="26" t="n">
        <v>0.2</v>
      </c>
      <c r="R3024" s="24" t="n">
        <v>875.3551811416044</v>
      </c>
      <c r="S3024" s="24">
        <f>R3024*IF(A3024=4, 2.0, 3.0)</f>
        <v/>
      </c>
      <c r="T3024" s="22">
        <f>'Dashboard &amp; Optimisation'!$B$18*U3024</f>
        <v/>
      </c>
      <c r="U3024" s="27">
        <f>MIN(1, S3024/M3024)</f>
        <v/>
      </c>
      <c r="V3024" s="27">
        <f>N3024/(N3024+O3024)</f>
        <v/>
      </c>
      <c r="W3024" s="27">
        <f>U3024*V3024</f>
        <v/>
      </c>
      <c r="X3024" s="25">
        <f>T3024/N3024</f>
        <v/>
      </c>
      <c r="Y3024" s="28">
        <f>IF(W3024=MAXIFS(W$2:W$3601, A$2:A$3601, A3024, B$2:B$3601, B3024), "OPTIMAL", "")</f>
        <v/>
      </c>
    </row>
    <row r="3025" ht="20" customHeight="1">
      <c r="A3025" s="29" t="n">
        <v>-18</v>
      </c>
      <c r="B3025" s="29" t="n">
        <v>40</v>
      </c>
      <c r="C3025" s="30" t="n">
        <v>95</v>
      </c>
      <c r="D3025" s="30" t="n">
        <v>3</v>
      </c>
      <c r="E3025" s="6" t="n">
        <v>0</v>
      </c>
      <c r="F3025" s="30" t="n">
        <v>0</v>
      </c>
      <c r="G3025" s="6" t="inlineStr">
        <is>
          <t>Non</t>
        </is>
      </c>
      <c r="H3025" s="6" t="inlineStr">
        <is>
          <t>OFF</t>
        </is>
      </c>
      <c r="I3025" s="31" t="n">
        <v>815.012573225423</v>
      </c>
      <c r="J3025" s="31" t="n">
        <v>8308.791548992402</v>
      </c>
      <c r="K3025" s="31" t="n">
        <v>4662.037037037037</v>
      </c>
      <c r="L3025" s="31" t="n">
        <v>150</v>
      </c>
      <c r="M3025" s="31">
        <f>I3025+J3025+K3025+L3025</f>
        <v/>
      </c>
      <c r="N3025" s="31">
        <f>M3025*'Dashboard &amp; Optimisation'!$B$18/('Dashboard &amp; Optimisation'!$B$16/3.6)</f>
        <v/>
      </c>
      <c r="O3025" s="31" t="n">
        <v>987.1589078029524</v>
      </c>
      <c r="P3025" s="32" t="n">
        <v>0.816766805835332</v>
      </c>
      <c r="Q3025" s="33" t="n">
        <v>0.2</v>
      </c>
      <c r="R3025" s="31" t="n">
        <v>516.2573770877442</v>
      </c>
      <c r="S3025" s="31">
        <f>R3025*IF(A3025=4, 2.0, 3.0)</f>
        <v/>
      </c>
      <c r="T3025" s="30">
        <f>'Dashboard &amp; Optimisation'!$B$18*U3025</f>
        <v/>
      </c>
      <c r="U3025" s="34">
        <f>MIN(1, S3025/M3025)</f>
        <v/>
      </c>
      <c r="V3025" s="34">
        <f>N3025/(N3025+O3025)</f>
        <v/>
      </c>
      <c r="W3025" s="34">
        <f>U3025*V3025</f>
        <v/>
      </c>
      <c r="X3025" s="32">
        <f>T3025/N3025</f>
        <v/>
      </c>
      <c r="Y3025" s="35">
        <f>IF(W3025=MAXIFS(W$2:W$3601, A$2:A$3601, A3025, B$2:B$3601, B3025), "OPTIMAL", "")</f>
        <v/>
      </c>
    </row>
    <row r="3026" ht="20" customHeight="1">
      <c r="A3026" s="21" t="n">
        <v>-18</v>
      </c>
      <c r="B3026" s="21" t="n">
        <v>40</v>
      </c>
      <c r="C3026" s="22" t="n">
        <v>95</v>
      </c>
      <c r="D3026" s="22" t="n">
        <v>3</v>
      </c>
      <c r="E3026" s="23" t="n">
        <v>4</v>
      </c>
      <c r="F3026" s="22" t="n">
        <v>1.5</v>
      </c>
      <c r="G3026" s="23" t="inlineStr">
        <is>
          <t>Oui</t>
        </is>
      </c>
      <c r="H3026" s="23" t="inlineStr">
        <is>
          <t>ON</t>
        </is>
      </c>
      <c r="I3026" s="24" t="n">
        <v>815.012573225423</v>
      </c>
      <c r="J3026" s="24" t="n">
        <v>8308.791548992402</v>
      </c>
      <c r="K3026" s="24" t="n">
        <v>4662.037037037037</v>
      </c>
      <c r="L3026" s="24" t="n">
        <v>150</v>
      </c>
      <c r="M3026" s="24">
        <f>I3026+J3026+K3026+L3026</f>
        <v/>
      </c>
      <c r="N3026" s="24">
        <f>M3026*'Dashboard &amp; Optimisation'!$B$18/('Dashboard &amp; Optimisation'!$B$16/3.6)</f>
        <v/>
      </c>
      <c r="O3026" s="24" t="n">
        <v>1380.19185701285</v>
      </c>
      <c r="P3026" s="25" t="n">
        <v>0.07535655472626097</v>
      </c>
      <c r="Q3026" s="26" t="n">
        <v>7.231715741890194</v>
      </c>
      <c r="R3026" s="24" t="n">
        <v>5794.508735368307</v>
      </c>
      <c r="S3026" s="24">
        <f>R3026*IF(A3026=4, 2.0, 3.0)</f>
        <v/>
      </c>
      <c r="T3026" s="22">
        <f>'Dashboard &amp; Optimisation'!$B$18*U3026</f>
        <v/>
      </c>
      <c r="U3026" s="27">
        <f>MIN(1, S3026/M3026)</f>
        <v/>
      </c>
      <c r="V3026" s="27">
        <f>N3026/(N3026+O3026)</f>
        <v/>
      </c>
      <c r="W3026" s="27">
        <f>U3026*V3026</f>
        <v/>
      </c>
      <c r="X3026" s="25">
        <f>T3026/N3026</f>
        <v/>
      </c>
      <c r="Y3026" s="28">
        <f>IF(W3026=MAXIFS(W$2:W$3601, A$2:A$3601, A3026, B$2:B$3601, B3026), "OPTIMAL", "")</f>
        <v/>
      </c>
    </row>
    <row r="3027" ht="20" customHeight="1">
      <c r="A3027" s="29" t="n">
        <v>-18</v>
      </c>
      <c r="B3027" s="29" t="n">
        <v>40</v>
      </c>
      <c r="C3027" s="30" t="n">
        <v>95</v>
      </c>
      <c r="D3027" s="30" t="n">
        <v>3</v>
      </c>
      <c r="E3027" s="6" t="n">
        <v>4</v>
      </c>
      <c r="F3027" s="30" t="n">
        <v>1.5</v>
      </c>
      <c r="G3027" s="6" t="inlineStr">
        <is>
          <t>Oui</t>
        </is>
      </c>
      <c r="H3027" s="6" t="inlineStr">
        <is>
          <t>OFF</t>
        </is>
      </c>
      <c r="I3027" s="31" t="n">
        <v>815.012573225423</v>
      </c>
      <c r="J3027" s="31" t="n">
        <v>8308.791548992402</v>
      </c>
      <c r="K3027" s="31" t="n">
        <v>4662.037037037037</v>
      </c>
      <c r="L3027" s="31" t="n">
        <v>150</v>
      </c>
      <c r="M3027" s="31">
        <f>I3027+J3027+K3027+L3027</f>
        <v/>
      </c>
      <c r="N3027" s="31">
        <f>M3027*'Dashboard &amp; Optimisation'!$B$18/('Dashboard &amp; Optimisation'!$B$16/3.6)</f>
        <v/>
      </c>
      <c r="O3027" s="31" t="n">
        <v>1380.19185701285</v>
      </c>
      <c r="P3027" s="32" t="n">
        <v>0.3178141987215173</v>
      </c>
      <c r="Q3027" s="33" t="n">
        <v>7.231715741890194</v>
      </c>
      <c r="R3027" s="31" t="n">
        <v>1373.929221492066</v>
      </c>
      <c r="S3027" s="31">
        <f>R3027*IF(A3027=4, 2.0, 3.0)</f>
        <v/>
      </c>
      <c r="T3027" s="30">
        <f>'Dashboard &amp; Optimisation'!$B$18*U3027</f>
        <v/>
      </c>
      <c r="U3027" s="34">
        <f>MIN(1, S3027/M3027)</f>
        <v/>
      </c>
      <c r="V3027" s="34">
        <f>N3027/(N3027+O3027)</f>
        <v/>
      </c>
      <c r="W3027" s="34">
        <f>U3027*V3027</f>
        <v/>
      </c>
      <c r="X3027" s="32">
        <f>T3027/N3027</f>
        <v/>
      </c>
      <c r="Y3027" s="35">
        <f>IF(W3027=MAXIFS(W$2:W$3601, A$2:A$3601, A3027, B$2:B$3601, B3027), "OPTIMAL", "")</f>
        <v/>
      </c>
    </row>
    <row r="3028" ht="20" customHeight="1">
      <c r="A3028" s="21" t="n">
        <v>-18</v>
      </c>
      <c r="B3028" s="21" t="n">
        <v>40</v>
      </c>
      <c r="C3028" s="22" t="n">
        <v>95</v>
      </c>
      <c r="D3028" s="22" t="n">
        <v>3</v>
      </c>
      <c r="E3028" s="23" t="n">
        <v>4</v>
      </c>
      <c r="F3028" s="22" t="n">
        <v>1.5</v>
      </c>
      <c r="G3028" s="23" t="inlineStr">
        <is>
          <t>Non</t>
        </is>
      </c>
      <c r="H3028" s="23" t="inlineStr">
        <is>
          <t>ON</t>
        </is>
      </c>
      <c r="I3028" s="24" t="n">
        <v>815.012573225423</v>
      </c>
      <c r="J3028" s="24" t="n">
        <v>8308.791548992402</v>
      </c>
      <c r="K3028" s="24" t="n">
        <v>4662.037037037037</v>
      </c>
      <c r="L3028" s="24" t="n">
        <v>150</v>
      </c>
      <c r="M3028" s="24">
        <f>I3028+J3028+K3028+L3028</f>
        <v/>
      </c>
      <c r="N3028" s="24">
        <f>M3028*'Dashboard &amp; Optimisation'!$B$18/('Dashboard &amp; Optimisation'!$B$16/3.6)</f>
        <v/>
      </c>
      <c r="O3028" s="24" t="n">
        <v>1380.19185701285</v>
      </c>
      <c r="P3028" s="25" t="n">
        <v>0.07200592434537897</v>
      </c>
      <c r="Q3028" s="26" t="n">
        <v>7.231715741890194</v>
      </c>
      <c r="R3028" s="24" t="n">
        <v>6064.142896550451</v>
      </c>
      <c r="S3028" s="24">
        <f>R3028*IF(A3028=4, 2.0, 3.0)</f>
        <v/>
      </c>
      <c r="T3028" s="22">
        <f>'Dashboard &amp; Optimisation'!$B$18*U3028</f>
        <v/>
      </c>
      <c r="U3028" s="27">
        <f>MIN(1, S3028/M3028)</f>
        <v/>
      </c>
      <c r="V3028" s="27">
        <f>N3028/(N3028+O3028)</f>
        <v/>
      </c>
      <c r="W3028" s="27">
        <f>U3028*V3028</f>
        <v/>
      </c>
      <c r="X3028" s="25">
        <f>T3028/N3028</f>
        <v/>
      </c>
      <c r="Y3028" s="28">
        <f>IF(W3028=MAXIFS(W$2:W$3601, A$2:A$3601, A3028, B$2:B$3601, B3028), "OPTIMAL", "")</f>
        <v/>
      </c>
    </row>
    <row r="3029" ht="20" customHeight="1">
      <c r="A3029" s="29" t="n">
        <v>-18</v>
      </c>
      <c r="B3029" s="29" t="n">
        <v>40</v>
      </c>
      <c r="C3029" s="30" t="n">
        <v>95</v>
      </c>
      <c r="D3029" s="30" t="n">
        <v>3</v>
      </c>
      <c r="E3029" s="6" t="n">
        <v>4</v>
      </c>
      <c r="F3029" s="30" t="n">
        <v>1.5</v>
      </c>
      <c r="G3029" s="6" t="inlineStr">
        <is>
          <t>Non</t>
        </is>
      </c>
      <c r="H3029" s="6" t="inlineStr">
        <is>
          <t>OFF</t>
        </is>
      </c>
      <c r="I3029" s="31" t="n">
        <v>815.012573225423</v>
      </c>
      <c r="J3029" s="31" t="n">
        <v>8308.791548992402</v>
      </c>
      <c r="K3029" s="31" t="n">
        <v>4662.037037037037</v>
      </c>
      <c r="L3029" s="31" t="n">
        <v>150</v>
      </c>
      <c r="M3029" s="31">
        <f>I3029+J3029+K3029+L3029</f>
        <v/>
      </c>
      <c r="N3029" s="31">
        <f>M3029*'Dashboard &amp; Optimisation'!$B$18/('Dashboard &amp; Optimisation'!$B$16/3.6)</f>
        <v/>
      </c>
      <c r="O3029" s="31" t="n">
        <v>1380.19185701285</v>
      </c>
      <c r="P3029" s="32" t="n">
        <v>0.3144635683406353</v>
      </c>
      <c r="Q3029" s="33" t="n">
        <v>7.231715741890194</v>
      </c>
      <c r="R3029" s="31" t="n">
        <v>1388.56852936167</v>
      </c>
      <c r="S3029" s="31">
        <f>R3029*IF(A3029=4, 2.0, 3.0)</f>
        <v/>
      </c>
      <c r="T3029" s="30">
        <f>'Dashboard &amp; Optimisation'!$B$18*U3029</f>
        <v/>
      </c>
      <c r="U3029" s="34">
        <f>MIN(1, S3029/M3029)</f>
        <v/>
      </c>
      <c r="V3029" s="34">
        <f>N3029/(N3029+O3029)</f>
        <v/>
      </c>
      <c r="W3029" s="34">
        <f>U3029*V3029</f>
        <v/>
      </c>
      <c r="X3029" s="32">
        <f>T3029/N3029</f>
        <v/>
      </c>
      <c r="Y3029" s="35">
        <f>IF(W3029=MAXIFS(W$2:W$3601, A$2:A$3601, A3029, B$2:B$3601, B3029), "OPTIMAL", "")</f>
        <v/>
      </c>
    </row>
    <row r="3030" ht="20" customHeight="1">
      <c r="A3030" s="21" t="n">
        <v>-18</v>
      </c>
      <c r="B3030" s="21" t="n">
        <v>40</v>
      </c>
      <c r="C3030" s="22" t="n">
        <v>95</v>
      </c>
      <c r="D3030" s="22" t="n">
        <v>3</v>
      </c>
      <c r="E3030" s="23" t="n">
        <v>4</v>
      </c>
      <c r="F3030" s="22" t="n">
        <v>2</v>
      </c>
      <c r="G3030" s="23" t="inlineStr">
        <is>
          <t>Oui</t>
        </is>
      </c>
      <c r="H3030" s="23" t="inlineStr">
        <is>
          <t>ON</t>
        </is>
      </c>
      <c r="I3030" s="24" t="n">
        <v>815.012573225423</v>
      </c>
      <c r="J3030" s="24" t="n">
        <v>8308.791548992402</v>
      </c>
      <c r="K3030" s="24" t="n">
        <v>4662.037037037037</v>
      </c>
      <c r="L3030" s="24" t="n">
        <v>150</v>
      </c>
      <c r="M3030" s="24">
        <f>I3030+J3030+K3030+L3030</f>
        <v/>
      </c>
      <c r="N3030" s="24">
        <f>M3030*'Dashboard &amp; Optimisation'!$B$18/('Dashboard &amp; Optimisation'!$B$16/3.6)</f>
        <v/>
      </c>
      <c r="O3030" s="24" t="n">
        <v>1517.488183441214</v>
      </c>
      <c r="P3030" s="25" t="n">
        <v>0.072877449969957</v>
      </c>
      <c r="Q3030" s="26" t="n">
        <v>9.575620989186925</v>
      </c>
      <c r="R3030" s="24" t="n">
        <v>6063.486201747802</v>
      </c>
      <c r="S3030" s="24">
        <f>R3030*IF(A3030=4, 2.0, 3.0)</f>
        <v/>
      </c>
      <c r="T3030" s="22">
        <f>'Dashboard &amp; Optimisation'!$B$18*U3030</f>
        <v/>
      </c>
      <c r="U3030" s="27">
        <f>MIN(1, S3030/M3030)</f>
        <v/>
      </c>
      <c r="V3030" s="27">
        <f>N3030/(N3030+O3030)</f>
        <v/>
      </c>
      <c r="W3030" s="27">
        <f>U3030*V3030</f>
        <v/>
      </c>
      <c r="X3030" s="25">
        <f>T3030/N3030</f>
        <v/>
      </c>
      <c r="Y3030" s="28">
        <f>IF(W3030=MAXIFS(W$2:W$3601, A$2:A$3601, A3030, B$2:B$3601, B3030), "OPTIMAL", "")</f>
        <v/>
      </c>
    </row>
    <row r="3031" ht="20" customHeight="1">
      <c r="A3031" s="29" t="n">
        <v>-18</v>
      </c>
      <c r="B3031" s="29" t="n">
        <v>40</v>
      </c>
      <c r="C3031" s="30" t="n">
        <v>95</v>
      </c>
      <c r="D3031" s="30" t="n">
        <v>3</v>
      </c>
      <c r="E3031" s="6" t="n">
        <v>4</v>
      </c>
      <c r="F3031" s="30" t="n">
        <v>2</v>
      </c>
      <c r="G3031" s="6" t="inlineStr">
        <is>
          <t>Oui</t>
        </is>
      </c>
      <c r="H3031" s="6" t="inlineStr">
        <is>
          <t>OFF</t>
        </is>
      </c>
      <c r="I3031" s="31" t="n">
        <v>815.012573225423</v>
      </c>
      <c r="J3031" s="31" t="n">
        <v>8308.791548992402</v>
      </c>
      <c r="K3031" s="31" t="n">
        <v>4662.037037037037</v>
      </c>
      <c r="L3031" s="31" t="n">
        <v>150</v>
      </c>
      <c r="M3031" s="31">
        <f>I3031+J3031+K3031+L3031</f>
        <v/>
      </c>
      <c r="N3031" s="31">
        <f>M3031*'Dashboard &amp; Optimisation'!$B$18/('Dashboard &amp; Optimisation'!$B$16/3.6)</f>
        <v/>
      </c>
      <c r="O3031" s="31" t="n">
        <v>1517.488183441214</v>
      </c>
      <c r="P3031" s="32" t="n">
        <v>0.3165144364464006</v>
      </c>
      <c r="Q3031" s="33" t="n">
        <v>9.575620989186925</v>
      </c>
      <c r="R3031" s="31" t="n">
        <v>1396.117716691356</v>
      </c>
      <c r="S3031" s="31">
        <f>R3031*IF(A3031=4, 2.0, 3.0)</f>
        <v/>
      </c>
      <c r="T3031" s="30">
        <f>'Dashboard &amp; Optimisation'!$B$18*U3031</f>
        <v/>
      </c>
      <c r="U3031" s="34">
        <f>MIN(1, S3031/M3031)</f>
        <v/>
      </c>
      <c r="V3031" s="34">
        <f>N3031/(N3031+O3031)</f>
        <v/>
      </c>
      <c r="W3031" s="34">
        <f>U3031*V3031</f>
        <v/>
      </c>
      <c r="X3031" s="32">
        <f>T3031/N3031</f>
        <v/>
      </c>
      <c r="Y3031" s="35">
        <f>IF(W3031=MAXIFS(W$2:W$3601, A$2:A$3601, A3031, B$2:B$3601, B3031), "OPTIMAL", "")</f>
        <v/>
      </c>
    </row>
    <row r="3032" ht="20" customHeight="1">
      <c r="A3032" s="21" t="n">
        <v>-18</v>
      </c>
      <c r="B3032" s="21" t="n">
        <v>40</v>
      </c>
      <c r="C3032" s="22" t="n">
        <v>95</v>
      </c>
      <c r="D3032" s="22" t="n">
        <v>3</v>
      </c>
      <c r="E3032" s="23" t="n">
        <v>4</v>
      </c>
      <c r="F3032" s="22" t="n">
        <v>2</v>
      </c>
      <c r="G3032" s="23" t="inlineStr">
        <is>
          <t>Non</t>
        </is>
      </c>
      <c r="H3032" s="23" t="inlineStr">
        <is>
          <t>ON</t>
        </is>
      </c>
      <c r="I3032" s="24" t="n">
        <v>815.012573225423</v>
      </c>
      <c r="J3032" s="24" t="n">
        <v>8308.791548992402</v>
      </c>
      <c r="K3032" s="24" t="n">
        <v>4662.037037037037</v>
      </c>
      <c r="L3032" s="24" t="n">
        <v>150</v>
      </c>
      <c r="M3032" s="24">
        <f>I3032+J3032+K3032+L3032</f>
        <v/>
      </c>
      <c r="N3032" s="24">
        <f>M3032*'Dashboard &amp; Optimisation'!$B$18/('Dashboard &amp; Optimisation'!$B$16/3.6)</f>
        <v/>
      </c>
      <c r="O3032" s="24" t="n">
        <v>1517.488183441214</v>
      </c>
      <c r="P3032" s="25" t="n">
        <v>0.06952681958907499</v>
      </c>
      <c r="Q3032" s="26" t="n">
        <v>9.575620989186925</v>
      </c>
      <c r="R3032" s="24" t="n">
        <v>6355.697196033343</v>
      </c>
      <c r="S3032" s="24">
        <f>R3032*IF(A3032=4, 2.0, 3.0)</f>
        <v/>
      </c>
      <c r="T3032" s="22">
        <f>'Dashboard &amp; Optimisation'!$B$18*U3032</f>
        <v/>
      </c>
      <c r="U3032" s="27">
        <f>MIN(1, S3032/M3032)</f>
        <v/>
      </c>
      <c r="V3032" s="27">
        <f>N3032/(N3032+O3032)</f>
        <v/>
      </c>
      <c r="W3032" s="27">
        <f>U3032*V3032</f>
        <v/>
      </c>
      <c r="X3032" s="25">
        <f>T3032/N3032</f>
        <v/>
      </c>
      <c r="Y3032" s="28">
        <f>IF(W3032=MAXIFS(W$2:W$3601, A$2:A$3601, A3032, B$2:B$3601, B3032), "OPTIMAL", "")</f>
        <v/>
      </c>
    </row>
    <row r="3033" ht="20" customHeight="1">
      <c r="A3033" s="29" t="n">
        <v>-18</v>
      </c>
      <c r="B3033" s="29" t="n">
        <v>40</v>
      </c>
      <c r="C3033" s="30" t="n">
        <v>95</v>
      </c>
      <c r="D3033" s="30" t="n">
        <v>3</v>
      </c>
      <c r="E3033" s="6" t="n">
        <v>4</v>
      </c>
      <c r="F3033" s="30" t="n">
        <v>2</v>
      </c>
      <c r="G3033" s="6" t="inlineStr">
        <is>
          <t>Non</t>
        </is>
      </c>
      <c r="H3033" s="6" t="inlineStr">
        <is>
          <t>OFF</t>
        </is>
      </c>
      <c r="I3033" s="31" t="n">
        <v>815.012573225423</v>
      </c>
      <c r="J3033" s="31" t="n">
        <v>8308.791548992402</v>
      </c>
      <c r="K3033" s="31" t="n">
        <v>4662.037037037037</v>
      </c>
      <c r="L3033" s="31" t="n">
        <v>150</v>
      </c>
      <c r="M3033" s="31">
        <f>I3033+J3033+K3033+L3033</f>
        <v/>
      </c>
      <c r="N3033" s="31">
        <f>M3033*'Dashboard &amp; Optimisation'!$B$18/('Dashboard &amp; Optimisation'!$B$16/3.6)</f>
        <v/>
      </c>
      <c r="O3033" s="31" t="n">
        <v>1517.488183441214</v>
      </c>
      <c r="P3033" s="32" t="n">
        <v>0.3131638060655186</v>
      </c>
      <c r="Q3033" s="33" t="n">
        <v>9.575620989186925</v>
      </c>
      <c r="R3033" s="31" t="n">
        <v>1411.055185026554</v>
      </c>
      <c r="S3033" s="31">
        <f>R3033*IF(A3033=4, 2.0, 3.0)</f>
        <v/>
      </c>
      <c r="T3033" s="30">
        <f>'Dashboard &amp; Optimisation'!$B$18*U3033</f>
        <v/>
      </c>
      <c r="U3033" s="34">
        <f>MIN(1, S3033/M3033)</f>
        <v/>
      </c>
      <c r="V3033" s="34">
        <f>N3033/(N3033+O3033)</f>
        <v/>
      </c>
      <c r="W3033" s="34">
        <f>U3033*V3033</f>
        <v/>
      </c>
      <c r="X3033" s="32">
        <f>T3033/N3033</f>
        <v/>
      </c>
      <c r="Y3033" s="35">
        <f>IF(W3033=MAXIFS(W$2:W$3601, A$2:A$3601, A3033, B$2:B$3601, B3033), "OPTIMAL", "")</f>
        <v/>
      </c>
    </row>
    <row r="3034" ht="20" customHeight="1">
      <c r="A3034" s="21" t="n">
        <v>-18</v>
      </c>
      <c r="B3034" s="21" t="n">
        <v>40</v>
      </c>
      <c r="C3034" s="22" t="n">
        <v>95</v>
      </c>
      <c r="D3034" s="22" t="n">
        <v>3</v>
      </c>
      <c r="E3034" s="23" t="n">
        <v>8</v>
      </c>
      <c r="F3034" s="22" t="n">
        <v>1.5</v>
      </c>
      <c r="G3034" s="23" t="inlineStr">
        <is>
          <t>Oui</t>
        </is>
      </c>
      <c r="H3034" s="23" t="inlineStr">
        <is>
          <t>ON</t>
        </is>
      </c>
      <c r="I3034" s="24" t="n">
        <v>815.012573225423</v>
      </c>
      <c r="J3034" s="24" t="n">
        <v>8308.791548992402</v>
      </c>
      <c r="K3034" s="24" t="n">
        <v>4662.037037037037</v>
      </c>
      <c r="L3034" s="24" t="n">
        <v>150</v>
      </c>
      <c r="M3034" s="24">
        <f>I3034+J3034+K3034+L3034</f>
        <v/>
      </c>
      <c r="N3034" s="24">
        <f>M3034*'Dashboard &amp; Optimisation'!$B$18/('Dashboard &amp; Optimisation'!$B$16/3.6)</f>
        <v/>
      </c>
      <c r="O3034" s="24" t="n">
        <v>1802.203999856564</v>
      </c>
      <c r="P3034" s="25" t="n">
        <v>0.05688455314032285</v>
      </c>
      <c r="Q3034" s="26" t="n">
        <v>14.26343148378039</v>
      </c>
      <c r="R3034" s="24" t="n">
        <v>7959.137110479142</v>
      </c>
      <c r="S3034" s="24">
        <f>R3034*IF(A3034=4, 2.0, 3.0)</f>
        <v/>
      </c>
      <c r="T3034" s="22">
        <f>'Dashboard &amp; Optimisation'!$B$18*U3034</f>
        <v/>
      </c>
      <c r="U3034" s="27">
        <f>MIN(1, S3034/M3034)</f>
        <v/>
      </c>
      <c r="V3034" s="27">
        <f>N3034/(N3034+O3034)</f>
        <v/>
      </c>
      <c r="W3034" s="27">
        <f>U3034*V3034</f>
        <v/>
      </c>
      <c r="X3034" s="25">
        <f>T3034/N3034</f>
        <v/>
      </c>
      <c r="Y3034" s="28">
        <f>IF(W3034=MAXIFS(W$2:W$3601, A$2:A$3601, A3034, B$2:B$3601, B3034), "OPTIMAL", "")</f>
        <v/>
      </c>
    </row>
    <row r="3035" ht="20" customHeight="1">
      <c r="A3035" s="29" t="n">
        <v>-18</v>
      </c>
      <c r="B3035" s="29" t="n">
        <v>40</v>
      </c>
      <c r="C3035" s="30" t="n">
        <v>95</v>
      </c>
      <c r="D3035" s="30" t="n">
        <v>3</v>
      </c>
      <c r="E3035" s="6" t="n">
        <v>8</v>
      </c>
      <c r="F3035" s="30" t="n">
        <v>1.5</v>
      </c>
      <c r="G3035" s="6" t="inlineStr">
        <is>
          <t>Oui</t>
        </is>
      </c>
      <c r="H3035" s="6" t="inlineStr">
        <is>
          <t>OFF</t>
        </is>
      </c>
      <c r="I3035" s="31" t="n">
        <v>815.012573225423</v>
      </c>
      <c r="J3035" s="31" t="n">
        <v>8308.791548992402</v>
      </c>
      <c r="K3035" s="31" t="n">
        <v>4662.037037037037</v>
      </c>
      <c r="L3035" s="31" t="n">
        <v>150</v>
      </c>
      <c r="M3035" s="31">
        <f>I3035+J3035+K3035+L3035</f>
        <v/>
      </c>
      <c r="N3035" s="31">
        <f>M3035*'Dashboard &amp; Optimisation'!$B$18/('Dashboard &amp; Optimisation'!$B$16/3.6)</f>
        <v/>
      </c>
      <c r="O3035" s="31" t="n">
        <v>1802.203999856564</v>
      </c>
      <c r="P3035" s="32" t="n">
        <v>0.246840465467505</v>
      </c>
      <c r="Q3035" s="33" t="n">
        <v>14.26343148378039</v>
      </c>
      <c r="R3035" s="31" t="n">
        <v>1834.188560026713</v>
      </c>
      <c r="S3035" s="31">
        <f>R3035*IF(A3035=4, 2.0, 3.0)</f>
        <v/>
      </c>
      <c r="T3035" s="30">
        <f>'Dashboard &amp; Optimisation'!$B$18*U3035</f>
        <v/>
      </c>
      <c r="U3035" s="34">
        <f>MIN(1, S3035/M3035)</f>
        <v/>
      </c>
      <c r="V3035" s="34">
        <f>N3035/(N3035+O3035)</f>
        <v/>
      </c>
      <c r="W3035" s="34">
        <f>U3035*V3035</f>
        <v/>
      </c>
      <c r="X3035" s="32">
        <f>T3035/N3035</f>
        <v/>
      </c>
      <c r="Y3035" s="35">
        <f>IF(W3035=MAXIFS(W$2:W$3601, A$2:A$3601, A3035, B$2:B$3601, B3035), "OPTIMAL", "")</f>
        <v/>
      </c>
    </row>
    <row r="3036" ht="20" customHeight="1">
      <c r="A3036" s="21" t="n">
        <v>-18</v>
      </c>
      <c r="B3036" s="21" t="n">
        <v>40</v>
      </c>
      <c r="C3036" s="22" t="n">
        <v>95</v>
      </c>
      <c r="D3036" s="22" t="n">
        <v>3</v>
      </c>
      <c r="E3036" s="23" t="n">
        <v>8</v>
      </c>
      <c r="F3036" s="22" t="n">
        <v>1.5</v>
      </c>
      <c r="G3036" s="23" t="inlineStr">
        <is>
          <t>Non</t>
        </is>
      </c>
      <c r="H3036" s="23" t="inlineStr">
        <is>
          <t>ON</t>
        </is>
      </c>
      <c r="I3036" s="24" t="n">
        <v>815.012573225423</v>
      </c>
      <c r="J3036" s="24" t="n">
        <v>8308.791548992402</v>
      </c>
      <c r="K3036" s="24" t="n">
        <v>4662.037037037037</v>
      </c>
      <c r="L3036" s="24" t="n">
        <v>150</v>
      </c>
      <c r="M3036" s="24">
        <f>I3036+J3036+K3036+L3036</f>
        <v/>
      </c>
      <c r="N3036" s="24">
        <f>M3036*'Dashboard &amp; Optimisation'!$B$18/('Dashboard &amp; Optimisation'!$B$16/3.6)</f>
        <v/>
      </c>
      <c r="O3036" s="24" t="n">
        <v>1802.203999856564</v>
      </c>
      <c r="P3036" s="25" t="n">
        <v>0.05353392275944084</v>
      </c>
      <c r="Q3036" s="26" t="n">
        <v>14.26343148378039</v>
      </c>
      <c r="R3036" s="24" t="n">
        <v>8457.290902193832</v>
      </c>
      <c r="S3036" s="24">
        <f>R3036*IF(A3036=4, 2.0, 3.0)</f>
        <v/>
      </c>
      <c r="T3036" s="22">
        <f>'Dashboard &amp; Optimisation'!$B$18*U3036</f>
        <v/>
      </c>
      <c r="U3036" s="27">
        <f>MIN(1, S3036/M3036)</f>
        <v/>
      </c>
      <c r="V3036" s="27">
        <f>N3036/(N3036+O3036)</f>
        <v/>
      </c>
      <c r="W3036" s="27">
        <f>U3036*V3036</f>
        <v/>
      </c>
      <c r="X3036" s="25">
        <f>T3036/N3036</f>
        <v/>
      </c>
      <c r="Y3036" s="28">
        <f>IF(W3036=MAXIFS(W$2:W$3601, A$2:A$3601, A3036, B$2:B$3601, B3036), "OPTIMAL", "")</f>
        <v/>
      </c>
    </row>
    <row r="3037" ht="20" customHeight="1">
      <c r="A3037" s="29" t="n">
        <v>-18</v>
      </c>
      <c r="B3037" s="29" t="n">
        <v>40</v>
      </c>
      <c r="C3037" s="30" t="n">
        <v>95</v>
      </c>
      <c r="D3037" s="30" t="n">
        <v>3</v>
      </c>
      <c r="E3037" s="6" t="n">
        <v>8</v>
      </c>
      <c r="F3037" s="30" t="n">
        <v>1.5</v>
      </c>
      <c r="G3037" s="6" t="inlineStr">
        <is>
          <t>Non</t>
        </is>
      </c>
      <c r="H3037" s="6" t="inlineStr">
        <is>
          <t>OFF</t>
        </is>
      </c>
      <c r="I3037" s="31" t="n">
        <v>815.012573225423</v>
      </c>
      <c r="J3037" s="31" t="n">
        <v>8308.791548992402</v>
      </c>
      <c r="K3037" s="31" t="n">
        <v>4662.037037037037</v>
      </c>
      <c r="L3037" s="31" t="n">
        <v>150</v>
      </c>
      <c r="M3037" s="31">
        <f>I3037+J3037+K3037+L3037</f>
        <v/>
      </c>
      <c r="N3037" s="31">
        <f>M3037*'Dashboard &amp; Optimisation'!$B$18/('Dashboard &amp; Optimisation'!$B$16/3.6)</f>
        <v/>
      </c>
      <c r="O3037" s="31" t="n">
        <v>1802.203999856564</v>
      </c>
      <c r="P3037" s="32" t="n">
        <v>0.2434898350866229</v>
      </c>
      <c r="Q3037" s="33" t="n">
        <v>14.26343148378039</v>
      </c>
      <c r="R3037" s="31" t="n">
        <v>1859.428578409022</v>
      </c>
      <c r="S3037" s="31">
        <f>R3037*IF(A3037=4, 2.0, 3.0)</f>
        <v/>
      </c>
      <c r="T3037" s="30">
        <f>'Dashboard &amp; Optimisation'!$B$18*U3037</f>
        <v/>
      </c>
      <c r="U3037" s="34">
        <f>MIN(1, S3037/M3037)</f>
        <v/>
      </c>
      <c r="V3037" s="34">
        <f>N3037/(N3037+O3037)</f>
        <v/>
      </c>
      <c r="W3037" s="34">
        <f>U3037*V3037</f>
        <v/>
      </c>
      <c r="X3037" s="32">
        <f>T3037/N3037</f>
        <v/>
      </c>
      <c r="Y3037" s="35">
        <f>IF(W3037=MAXIFS(W$2:W$3601, A$2:A$3601, A3037, B$2:B$3601, B3037), "OPTIMAL", "")</f>
        <v/>
      </c>
    </row>
    <row r="3038" ht="20" customHeight="1">
      <c r="A3038" s="21" t="n">
        <v>-18</v>
      </c>
      <c r="B3038" s="21" t="n">
        <v>40</v>
      </c>
      <c r="C3038" s="22" t="n">
        <v>95</v>
      </c>
      <c r="D3038" s="22" t="n">
        <v>3</v>
      </c>
      <c r="E3038" s="23" t="n">
        <v>8</v>
      </c>
      <c r="F3038" s="22" t="n">
        <v>2</v>
      </c>
      <c r="G3038" s="23" t="inlineStr">
        <is>
          <t>Oui</t>
        </is>
      </c>
      <c r="H3038" s="23" t="inlineStr">
        <is>
          <t>ON</t>
        </is>
      </c>
      <c r="I3038" s="24" t="n">
        <v>815.012573225423</v>
      </c>
      <c r="J3038" s="24" t="n">
        <v>8308.791548992402</v>
      </c>
      <c r="K3038" s="24" t="n">
        <v>4662.037037037037</v>
      </c>
      <c r="L3038" s="24" t="n">
        <v>150</v>
      </c>
      <c r="M3038" s="24">
        <f>I3038+J3038+K3038+L3038</f>
        <v/>
      </c>
      <c r="N3038" s="24">
        <f>M3038*'Dashboard &amp; Optimisation'!$B$18/('Dashboard &amp; Optimisation'!$B$16/3.6)</f>
        <v/>
      </c>
      <c r="O3038" s="24" t="n">
        <v>2101.267601297317</v>
      </c>
      <c r="P3038" s="25" t="n">
        <v>0.0557699285087862</v>
      </c>
      <c r="Q3038" s="26" t="n">
        <v>18.95124197837385</v>
      </c>
      <c r="R3038" s="24" t="n">
        <v>8322.761302494604</v>
      </c>
      <c r="S3038" s="24">
        <f>R3038*IF(A3038=4, 2.0, 3.0)</f>
        <v/>
      </c>
      <c r="T3038" s="22">
        <f>'Dashboard &amp; Optimisation'!$B$18*U3038</f>
        <v/>
      </c>
      <c r="U3038" s="27">
        <f>MIN(1, S3038/M3038)</f>
        <v/>
      </c>
      <c r="V3038" s="27">
        <f>N3038/(N3038+O3038)</f>
        <v/>
      </c>
      <c r="W3038" s="27">
        <f>U3038*V3038</f>
        <v/>
      </c>
      <c r="X3038" s="25">
        <f>T3038/N3038</f>
        <v/>
      </c>
      <c r="Y3038" s="28">
        <f>IF(W3038=MAXIFS(W$2:W$3601, A$2:A$3601, A3038, B$2:B$3601, B3038), "OPTIMAL", "")</f>
        <v/>
      </c>
    </row>
    <row r="3039" ht="20" customHeight="1">
      <c r="A3039" s="29" t="n">
        <v>-18</v>
      </c>
      <c r="B3039" s="29" t="n">
        <v>40</v>
      </c>
      <c r="C3039" s="30" t="n">
        <v>95</v>
      </c>
      <c r="D3039" s="30" t="n">
        <v>3</v>
      </c>
      <c r="E3039" s="6" t="n">
        <v>8</v>
      </c>
      <c r="F3039" s="30" t="n">
        <v>2</v>
      </c>
      <c r="G3039" s="6" t="inlineStr">
        <is>
          <t>Oui</t>
        </is>
      </c>
      <c r="H3039" s="6" t="inlineStr">
        <is>
          <t>OFF</t>
        </is>
      </c>
      <c r="I3039" s="31" t="n">
        <v>815.012573225423</v>
      </c>
      <c r="J3039" s="31" t="n">
        <v>8308.791548992402</v>
      </c>
      <c r="K3039" s="31" t="n">
        <v>4662.037037037037</v>
      </c>
      <c r="L3039" s="31" t="n">
        <v>150</v>
      </c>
      <c r="M3039" s="31">
        <f>I3039+J3039+K3039+L3039</f>
        <v/>
      </c>
      <c r="N3039" s="31">
        <f>M3039*'Dashboard &amp; Optimisation'!$B$18/('Dashboard &amp; Optimisation'!$B$16/3.6)</f>
        <v/>
      </c>
      <c r="O3039" s="31" t="n">
        <v>2101.267601297317</v>
      </c>
      <c r="P3039" s="32" t="n">
        <v>0.2471780798795112</v>
      </c>
      <c r="Q3039" s="33" t="n">
        <v>18.95124197837385</v>
      </c>
      <c r="R3039" s="31" t="n">
        <v>1877.835619817399</v>
      </c>
      <c r="S3039" s="31">
        <f>R3039*IF(A3039=4, 2.0, 3.0)</f>
        <v/>
      </c>
      <c r="T3039" s="30">
        <f>'Dashboard &amp; Optimisation'!$B$18*U3039</f>
        <v/>
      </c>
      <c r="U3039" s="34">
        <f>MIN(1, S3039/M3039)</f>
        <v/>
      </c>
      <c r="V3039" s="34">
        <f>N3039/(N3039+O3039)</f>
        <v/>
      </c>
      <c r="W3039" s="34">
        <f>U3039*V3039</f>
        <v/>
      </c>
      <c r="X3039" s="32">
        <f>T3039/N3039</f>
        <v/>
      </c>
      <c r="Y3039" s="35">
        <f>IF(W3039=MAXIFS(W$2:W$3601, A$2:A$3601, A3039, B$2:B$3601, B3039), "OPTIMAL", "")</f>
        <v/>
      </c>
    </row>
    <row r="3040" ht="20" customHeight="1">
      <c r="A3040" s="21" t="n">
        <v>-18</v>
      </c>
      <c r="B3040" s="21" t="n">
        <v>40</v>
      </c>
      <c r="C3040" s="22" t="n">
        <v>95</v>
      </c>
      <c r="D3040" s="22" t="n">
        <v>3</v>
      </c>
      <c r="E3040" s="23" t="n">
        <v>8</v>
      </c>
      <c r="F3040" s="22" t="n">
        <v>2</v>
      </c>
      <c r="G3040" s="23" t="inlineStr">
        <is>
          <t>Non</t>
        </is>
      </c>
      <c r="H3040" s="23" t="inlineStr">
        <is>
          <t>ON</t>
        </is>
      </c>
      <c r="I3040" s="24" t="n">
        <v>815.012573225423</v>
      </c>
      <c r="J3040" s="24" t="n">
        <v>8308.791548992402</v>
      </c>
      <c r="K3040" s="24" t="n">
        <v>4662.037037037037</v>
      </c>
      <c r="L3040" s="24" t="n">
        <v>150</v>
      </c>
      <c r="M3040" s="24">
        <f>I3040+J3040+K3040+L3040</f>
        <v/>
      </c>
      <c r="N3040" s="24">
        <f>M3040*'Dashboard &amp; Optimisation'!$B$18/('Dashboard &amp; Optimisation'!$B$16/3.6)</f>
        <v/>
      </c>
      <c r="O3040" s="24" t="n">
        <v>2101.267601297317</v>
      </c>
      <c r="P3040" s="25" t="n">
        <v>0.05241929812790419</v>
      </c>
      <c r="Q3040" s="26" t="n">
        <v>18.95124197837385</v>
      </c>
      <c r="R3040" s="24" t="n">
        <v>8854.750433766905</v>
      </c>
      <c r="S3040" s="24">
        <f>R3040*IF(A3040=4, 2.0, 3.0)</f>
        <v/>
      </c>
      <c r="T3040" s="22">
        <f>'Dashboard &amp; Optimisation'!$B$18*U3040</f>
        <v/>
      </c>
      <c r="U3040" s="27">
        <f>MIN(1, S3040/M3040)</f>
        <v/>
      </c>
      <c r="V3040" s="27">
        <f>N3040/(N3040+O3040)</f>
        <v/>
      </c>
      <c r="W3040" s="27">
        <f>U3040*V3040</f>
        <v/>
      </c>
      <c r="X3040" s="25">
        <f>T3040/N3040</f>
        <v/>
      </c>
      <c r="Y3040" s="28">
        <f>IF(W3040=MAXIFS(W$2:W$3601, A$2:A$3601, A3040, B$2:B$3601, B3040), "OPTIMAL", "")</f>
        <v/>
      </c>
    </row>
    <row r="3041" ht="20" customHeight="1">
      <c r="A3041" s="29" t="n">
        <v>-18</v>
      </c>
      <c r="B3041" s="29" t="n">
        <v>40</v>
      </c>
      <c r="C3041" s="30" t="n">
        <v>95</v>
      </c>
      <c r="D3041" s="30" t="n">
        <v>3</v>
      </c>
      <c r="E3041" s="6" t="n">
        <v>8</v>
      </c>
      <c r="F3041" s="30" t="n">
        <v>2</v>
      </c>
      <c r="G3041" s="6" t="inlineStr">
        <is>
          <t>Non</t>
        </is>
      </c>
      <c r="H3041" s="6" t="inlineStr">
        <is>
          <t>OFF</t>
        </is>
      </c>
      <c r="I3041" s="31" t="n">
        <v>815.012573225423</v>
      </c>
      <c r="J3041" s="31" t="n">
        <v>8308.791548992402</v>
      </c>
      <c r="K3041" s="31" t="n">
        <v>4662.037037037037</v>
      </c>
      <c r="L3041" s="31" t="n">
        <v>150</v>
      </c>
      <c r="M3041" s="31">
        <f>I3041+J3041+K3041+L3041</f>
        <v/>
      </c>
      <c r="N3041" s="31">
        <f>M3041*'Dashboard &amp; Optimisation'!$B$18/('Dashboard &amp; Optimisation'!$B$16/3.6)</f>
        <v/>
      </c>
      <c r="O3041" s="31" t="n">
        <v>2101.267601297317</v>
      </c>
      <c r="P3041" s="32" t="n">
        <v>0.2438274494986292</v>
      </c>
      <c r="Q3041" s="33" t="n">
        <v>18.95124197837385</v>
      </c>
      <c r="R3041" s="31" t="n">
        <v>1903.64047932358</v>
      </c>
      <c r="S3041" s="31">
        <f>R3041*IF(A3041=4, 2.0, 3.0)</f>
        <v/>
      </c>
      <c r="T3041" s="30">
        <f>'Dashboard &amp; Optimisation'!$B$18*U3041</f>
        <v/>
      </c>
      <c r="U3041" s="34">
        <f>MIN(1, S3041/M3041)</f>
        <v/>
      </c>
      <c r="V3041" s="34">
        <f>N3041/(N3041+O3041)</f>
        <v/>
      </c>
      <c r="W3041" s="34">
        <f>U3041*V3041</f>
        <v/>
      </c>
      <c r="X3041" s="32">
        <f>T3041/N3041</f>
        <v/>
      </c>
      <c r="Y3041" s="35">
        <f>IF(W3041=MAXIFS(W$2:W$3601, A$2:A$3601, A3041, B$2:B$3601, B3041), "OPTIMAL", "")</f>
        <v/>
      </c>
    </row>
    <row r="3042" ht="20" customHeight="1">
      <c r="A3042" s="21" t="n">
        <v>-18</v>
      </c>
      <c r="B3042" s="21" t="n">
        <v>40</v>
      </c>
      <c r="C3042" s="22" t="n">
        <v>100</v>
      </c>
      <c r="D3042" s="22" t="n">
        <v>2</v>
      </c>
      <c r="E3042" s="23" t="n">
        <v>0</v>
      </c>
      <c r="F3042" s="22" t="n">
        <v>0</v>
      </c>
      <c r="G3042" s="23" t="inlineStr">
        <is>
          <t>Oui</t>
        </is>
      </c>
      <c r="H3042" s="23" t="inlineStr">
        <is>
          <t>ON</t>
        </is>
      </c>
      <c r="I3042" s="24" t="n">
        <v>815.012573225423</v>
      </c>
      <c r="J3042" s="24" t="n">
        <v>8308.791548992402</v>
      </c>
      <c r="K3042" s="24" t="n">
        <v>4662.037037037037</v>
      </c>
      <c r="L3042" s="24" t="n">
        <v>150</v>
      </c>
      <c r="M3042" s="24">
        <f>I3042+J3042+K3042+L3042</f>
        <v/>
      </c>
      <c r="N3042" s="24">
        <f>M3042*'Dashboard &amp; Optimisation'!$B$18/('Dashboard &amp; Optimisation'!$B$16/3.6)</f>
        <v/>
      </c>
      <c r="O3042" s="24" t="n">
        <v>602.5201912971968</v>
      </c>
      <c r="P3042" s="25" t="n">
        <v>0.4806796209288155</v>
      </c>
      <c r="Q3042" s="26" t="n">
        <v>0.2</v>
      </c>
      <c r="R3042" s="24" t="n">
        <v>753.9563218698518</v>
      </c>
      <c r="S3042" s="24">
        <f>R3042*IF(A3042=4, 2.0, 3.0)</f>
        <v/>
      </c>
      <c r="T3042" s="22">
        <f>'Dashboard &amp; Optimisation'!$B$18*U3042</f>
        <v/>
      </c>
      <c r="U3042" s="27">
        <f>MIN(1, S3042/M3042)</f>
        <v/>
      </c>
      <c r="V3042" s="27">
        <f>N3042/(N3042+O3042)</f>
        <v/>
      </c>
      <c r="W3042" s="27">
        <f>U3042*V3042</f>
        <v/>
      </c>
      <c r="X3042" s="25">
        <f>T3042/N3042</f>
        <v/>
      </c>
      <c r="Y3042" s="28">
        <f>IF(W3042=MAXIFS(W$2:W$3601, A$2:A$3601, A3042, B$2:B$3601, B3042), "OPTIMAL", "")</f>
        <v/>
      </c>
    </row>
    <row r="3043" ht="20" customHeight="1">
      <c r="A3043" s="29" t="n">
        <v>-18</v>
      </c>
      <c r="B3043" s="29" t="n">
        <v>40</v>
      </c>
      <c r="C3043" s="30" t="n">
        <v>100</v>
      </c>
      <c r="D3043" s="30" t="n">
        <v>2</v>
      </c>
      <c r="E3043" s="6" t="n">
        <v>0</v>
      </c>
      <c r="F3043" s="30" t="n">
        <v>0</v>
      </c>
      <c r="G3043" s="6" t="inlineStr">
        <is>
          <t>Oui</t>
        </is>
      </c>
      <c r="H3043" s="6" t="inlineStr">
        <is>
          <t>OFF</t>
        </is>
      </c>
      <c r="I3043" s="31" t="n">
        <v>815.012573225423</v>
      </c>
      <c r="J3043" s="31" t="n">
        <v>8308.791548992402</v>
      </c>
      <c r="K3043" s="31" t="n">
        <v>4662.037037037037</v>
      </c>
      <c r="L3043" s="31" t="n">
        <v>150</v>
      </c>
      <c r="M3043" s="31">
        <f>I3043+J3043+K3043+L3043</f>
        <v/>
      </c>
      <c r="N3043" s="31">
        <f>M3043*'Dashboard &amp; Optimisation'!$B$18/('Dashboard &amp; Optimisation'!$B$16/3.6)</f>
        <v/>
      </c>
      <c r="O3043" s="31" t="n">
        <v>602.5201912971968</v>
      </c>
      <c r="P3043" s="32" t="n">
        <v>0.7989895071126063</v>
      </c>
      <c r="Q3043" s="33" t="n">
        <v>0.2</v>
      </c>
      <c r="R3043" s="31" t="n">
        <v>453.587232081394</v>
      </c>
      <c r="S3043" s="31">
        <f>R3043*IF(A3043=4, 2.0, 3.0)</f>
        <v/>
      </c>
      <c r="T3043" s="30">
        <f>'Dashboard &amp; Optimisation'!$B$18*U3043</f>
        <v/>
      </c>
      <c r="U3043" s="34">
        <f>MIN(1, S3043/M3043)</f>
        <v/>
      </c>
      <c r="V3043" s="34">
        <f>N3043/(N3043+O3043)</f>
        <v/>
      </c>
      <c r="W3043" s="34">
        <f>U3043*V3043</f>
        <v/>
      </c>
      <c r="X3043" s="32">
        <f>T3043/N3043</f>
        <v/>
      </c>
      <c r="Y3043" s="35">
        <f>IF(W3043=MAXIFS(W$2:W$3601, A$2:A$3601, A3043, B$2:B$3601, B3043), "OPTIMAL", "")</f>
        <v/>
      </c>
    </row>
    <row r="3044" ht="20" customHeight="1">
      <c r="A3044" s="21" t="n">
        <v>-18</v>
      </c>
      <c r="B3044" s="21" t="n">
        <v>40</v>
      </c>
      <c r="C3044" s="22" t="n">
        <v>100</v>
      </c>
      <c r="D3044" s="22" t="n">
        <v>2</v>
      </c>
      <c r="E3044" s="23" t="n">
        <v>0</v>
      </c>
      <c r="F3044" s="22" t="n">
        <v>0</v>
      </c>
      <c r="G3044" s="23" t="inlineStr">
        <is>
          <t>Non</t>
        </is>
      </c>
      <c r="H3044" s="23" t="inlineStr">
        <is>
          <t>ON</t>
        </is>
      </c>
      <c r="I3044" s="24" t="n">
        <v>815.012573225423</v>
      </c>
      <c r="J3044" s="24" t="n">
        <v>8308.791548992402</v>
      </c>
      <c r="K3044" s="24" t="n">
        <v>4662.037037037037</v>
      </c>
      <c r="L3044" s="24" t="n">
        <v>150</v>
      </c>
      <c r="M3044" s="24">
        <f>I3044+J3044+K3044+L3044</f>
        <v/>
      </c>
      <c r="N3044" s="24">
        <f>M3044*'Dashboard &amp; Optimisation'!$B$18/('Dashboard &amp; Optimisation'!$B$16/3.6)</f>
        <v/>
      </c>
      <c r="O3044" s="24" t="n">
        <v>602.5201912971968</v>
      </c>
      <c r="P3044" s="25" t="n">
        <v>0.4774965220669776</v>
      </c>
      <c r="Q3044" s="26" t="n">
        <v>0.2</v>
      </c>
      <c r="R3044" s="24" t="n">
        <v>758.982363734263</v>
      </c>
      <c r="S3044" s="24">
        <f>R3044*IF(A3044=4, 2.0, 3.0)</f>
        <v/>
      </c>
      <c r="T3044" s="22">
        <f>'Dashboard &amp; Optimisation'!$B$18*U3044</f>
        <v/>
      </c>
      <c r="U3044" s="27">
        <f>MIN(1, S3044/M3044)</f>
        <v/>
      </c>
      <c r="V3044" s="27">
        <f>N3044/(N3044+O3044)</f>
        <v/>
      </c>
      <c r="W3044" s="27">
        <f>U3044*V3044</f>
        <v/>
      </c>
      <c r="X3044" s="25">
        <f>T3044/N3044</f>
        <v/>
      </c>
      <c r="Y3044" s="28">
        <f>IF(W3044=MAXIFS(W$2:W$3601, A$2:A$3601, A3044, B$2:B$3601, B3044), "OPTIMAL", "")</f>
        <v/>
      </c>
    </row>
    <row r="3045" ht="20" customHeight="1">
      <c r="A3045" s="29" t="n">
        <v>-18</v>
      </c>
      <c r="B3045" s="29" t="n">
        <v>40</v>
      </c>
      <c r="C3045" s="30" t="n">
        <v>100</v>
      </c>
      <c r="D3045" s="30" t="n">
        <v>2</v>
      </c>
      <c r="E3045" s="6" t="n">
        <v>0</v>
      </c>
      <c r="F3045" s="30" t="n">
        <v>0</v>
      </c>
      <c r="G3045" s="6" t="inlineStr">
        <is>
          <t>Non</t>
        </is>
      </c>
      <c r="H3045" s="6" t="inlineStr">
        <is>
          <t>OFF</t>
        </is>
      </c>
      <c r="I3045" s="31" t="n">
        <v>815.012573225423</v>
      </c>
      <c r="J3045" s="31" t="n">
        <v>8308.791548992402</v>
      </c>
      <c r="K3045" s="31" t="n">
        <v>4662.037037037037</v>
      </c>
      <c r="L3045" s="31" t="n">
        <v>150</v>
      </c>
      <c r="M3045" s="31">
        <f>I3045+J3045+K3045+L3045</f>
        <v/>
      </c>
      <c r="N3045" s="31">
        <f>M3045*'Dashboard &amp; Optimisation'!$B$18/('Dashboard &amp; Optimisation'!$B$16/3.6)</f>
        <v/>
      </c>
      <c r="O3045" s="31" t="n">
        <v>602.5201912971968</v>
      </c>
      <c r="P3045" s="32" t="n">
        <v>0.7958064082507683</v>
      </c>
      <c r="Q3045" s="33" t="n">
        <v>0.2</v>
      </c>
      <c r="R3045" s="31" t="n">
        <v>455.4015087537271</v>
      </c>
      <c r="S3045" s="31">
        <f>R3045*IF(A3045=4, 2.0, 3.0)</f>
        <v/>
      </c>
      <c r="T3045" s="30">
        <f>'Dashboard &amp; Optimisation'!$B$18*U3045</f>
        <v/>
      </c>
      <c r="U3045" s="34">
        <f>MIN(1, S3045/M3045)</f>
        <v/>
      </c>
      <c r="V3045" s="34">
        <f>N3045/(N3045+O3045)</f>
        <v/>
      </c>
      <c r="W3045" s="34">
        <f>U3045*V3045</f>
        <v/>
      </c>
      <c r="X3045" s="32">
        <f>T3045/N3045</f>
        <v/>
      </c>
      <c r="Y3045" s="35">
        <f>IF(W3045=MAXIFS(W$2:W$3601, A$2:A$3601, A3045, B$2:B$3601, B3045), "OPTIMAL", "")</f>
        <v/>
      </c>
    </row>
    <row r="3046" ht="20" customHeight="1">
      <c r="A3046" s="21" t="n">
        <v>-18</v>
      </c>
      <c r="B3046" s="21" t="n">
        <v>40</v>
      </c>
      <c r="C3046" s="22" t="n">
        <v>100</v>
      </c>
      <c r="D3046" s="22" t="n">
        <v>2</v>
      </c>
      <c r="E3046" s="23" t="n">
        <v>4</v>
      </c>
      <c r="F3046" s="22" t="n">
        <v>1.5</v>
      </c>
      <c r="G3046" s="23" t="inlineStr">
        <is>
          <t>Oui</t>
        </is>
      </c>
      <c r="H3046" s="23" t="inlineStr">
        <is>
          <t>ON</t>
        </is>
      </c>
      <c r="I3046" s="24" t="n">
        <v>815.012573225423</v>
      </c>
      <c r="J3046" s="24" t="n">
        <v>8308.791548992402</v>
      </c>
      <c r="K3046" s="24" t="n">
        <v>4662.037037037037</v>
      </c>
      <c r="L3046" s="24" t="n">
        <v>150</v>
      </c>
      <c r="M3046" s="24">
        <f>I3046+J3046+K3046+L3046</f>
        <v/>
      </c>
      <c r="N3046" s="24">
        <f>M3046*'Dashboard &amp; Optimisation'!$B$18/('Dashboard &amp; Optimisation'!$B$16/3.6)</f>
        <v/>
      </c>
      <c r="O3046" s="24" t="n">
        <v>946.1520335527821</v>
      </c>
      <c r="P3046" s="25" t="n">
        <v>0.07376163664698646</v>
      </c>
      <c r="Q3046" s="26" t="n">
        <v>6.718986469044035</v>
      </c>
      <c r="R3046" s="24" t="n">
        <v>5074.814531871421</v>
      </c>
      <c r="S3046" s="24">
        <f>R3046*IF(A3046=4, 2.0, 3.0)</f>
        <v/>
      </c>
      <c r="T3046" s="22">
        <f>'Dashboard &amp; Optimisation'!$B$18*U3046</f>
        <v/>
      </c>
      <c r="U3046" s="27">
        <f>MIN(1, S3046/M3046)</f>
        <v/>
      </c>
      <c r="V3046" s="27">
        <f>N3046/(N3046+O3046)</f>
        <v/>
      </c>
      <c r="W3046" s="27">
        <f>U3046*V3046</f>
        <v/>
      </c>
      <c r="X3046" s="25">
        <f>T3046/N3046</f>
        <v/>
      </c>
      <c r="Y3046" s="28">
        <f>IF(W3046=MAXIFS(W$2:W$3601, A$2:A$3601, A3046, B$2:B$3601, B3046), "OPTIMAL", "")</f>
        <v/>
      </c>
    </row>
    <row r="3047" ht="20" customHeight="1">
      <c r="A3047" s="29" t="n">
        <v>-18</v>
      </c>
      <c r="B3047" s="29" t="n">
        <v>40</v>
      </c>
      <c r="C3047" s="30" t="n">
        <v>100</v>
      </c>
      <c r="D3047" s="30" t="n">
        <v>2</v>
      </c>
      <c r="E3047" s="6" t="n">
        <v>4</v>
      </c>
      <c r="F3047" s="30" t="n">
        <v>1.5</v>
      </c>
      <c r="G3047" s="6" t="inlineStr">
        <is>
          <t>Oui</t>
        </is>
      </c>
      <c r="H3047" s="6" t="inlineStr">
        <is>
          <t>OFF</t>
        </is>
      </c>
      <c r="I3047" s="31" t="n">
        <v>815.012573225423</v>
      </c>
      <c r="J3047" s="31" t="n">
        <v>8308.791548992402</v>
      </c>
      <c r="K3047" s="31" t="n">
        <v>4662.037037037037</v>
      </c>
      <c r="L3047" s="31" t="n">
        <v>150</v>
      </c>
      <c r="M3047" s="31">
        <f>I3047+J3047+K3047+L3047</f>
        <v/>
      </c>
      <c r="N3047" s="31">
        <f>M3047*'Dashboard &amp; Optimisation'!$B$18/('Dashboard &amp; Optimisation'!$B$16/3.6)</f>
        <v/>
      </c>
      <c r="O3047" s="31" t="n">
        <v>946.1520335527821</v>
      </c>
      <c r="P3047" s="32" t="n">
        <v>0.3073240714228834</v>
      </c>
      <c r="Q3047" s="33" t="n">
        <v>6.718986469044035</v>
      </c>
      <c r="R3047" s="31" t="n">
        <v>1218.019219313499</v>
      </c>
      <c r="S3047" s="31">
        <f>R3047*IF(A3047=4, 2.0, 3.0)</f>
        <v/>
      </c>
      <c r="T3047" s="30">
        <f>'Dashboard &amp; Optimisation'!$B$18*U3047</f>
        <v/>
      </c>
      <c r="U3047" s="34">
        <f>MIN(1, S3047/M3047)</f>
        <v/>
      </c>
      <c r="V3047" s="34">
        <f>N3047/(N3047+O3047)</f>
        <v/>
      </c>
      <c r="W3047" s="34">
        <f>U3047*V3047</f>
        <v/>
      </c>
      <c r="X3047" s="32">
        <f>T3047/N3047</f>
        <v/>
      </c>
      <c r="Y3047" s="35">
        <f>IF(W3047=MAXIFS(W$2:W$3601, A$2:A$3601, A3047, B$2:B$3601, B3047), "OPTIMAL", "")</f>
        <v/>
      </c>
    </row>
    <row r="3048" ht="20" customHeight="1">
      <c r="A3048" s="21" t="n">
        <v>-18</v>
      </c>
      <c r="B3048" s="21" t="n">
        <v>40</v>
      </c>
      <c r="C3048" s="22" t="n">
        <v>100</v>
      </c>
      <c r="D3048" s="22" t="n">
        <v>2</v>
      </c>
      <c r="E3048" s="23" t="n">
        <v>4</v>
      </c>
      <c r="F3048" s="22" t="n">
        <v>1.5</v>
      </c>
      <c r="G3048" s="23" t="inlineStr">
        <is>
          <t>Non</t>
        </is>
      </c>
      <c r="H3048" s="23" t="inlineStr">
        <is>
          <t>ON</t>
        </is>
      </c>
      <c r="I3048" s="24" t="n">
        <v>815.012573225423</v>
      </c>
      <c r="J3048" s="24" t="n">
        <v>8308.791548992402</v>
      </c>
      <c r="K3048" s="24" t="n">
        <v>4662.037037037037</v>
      </c>
      <c r="L3048" s="24" t="n">
        <v>150</v>
      </c>
      <c r="M3048" s="24">
        <f>I3048+J3048+K3048+L3048</f>
        <v/>
      </c>
      <c r="N3048" s="24">
        <f>M3048*'Dashboard &amp; Optimisation'!$B$18/('Dashboard &amp; Optimisation'!$B$16/3.6)</f>
        <v/>
      </c>
      <c r="O3048" s="24" t="n">
        <v>946.1520335527821</v>
      </c>
      <c r="P3048" s="25" t="n">
        <v>0.07057853778514854</v>
      </c>
      <c r="Q3048" s="26" t="n">
        <v>6.718986469044035</v>
      </c>
      <c r="R3048" s="24" t="n">
        <v>5303.68915675544</v>
      </c>
      <c r="S3048" s="24">
        <f>R3048*IF(A3048=4, 2.0, 3.0)</f>
        <v/>
      </c>
      <c r="T3048" s="22">
        <f>'Dashboard &amp; Optimisation'!$B$18*U3048</f>
        <v/>
      </c>
      <c r="U3048" s="27">
        <f>MIN(1, S3048/M3048)</f>
        <v/>
      </c>
      <c r="V3048" s="27">
        <f>N3048/(N3048+O3048)</f>
        <v/>
      </c>
      <c r="W3048" s="27">
        <f>U3048*V3048</f>
        <v/>
      </c>
      <c r="X3048" s="25">
        <f>T3048/N3048</f>
        <v/>
      </c>
      <c r="Y3048" s="28">
        <f>IF(W3048=MAXIFS(W$2:W$3601, A$2:A$3601, A3048, B$2:B$3601, B3048), "OPTIMAL", "")</f>
        <v/>
      </c>
    </row>
    <row r="3049" ht="20" customHeight="1">
      <c r="A3049" s="29" t="n">
        <v>-18</v>
      </c>
      <c r="B3049" s="29" t="n">
        <v>40</v>
      </c>
      <c r="C3049" s="30" t="n">
        <v>100</v>
      </c>
      <c r="D3049" s="30" t="n">
        <v>2</v>
      </c>
      <c r="E3049" s="6" t="n">
        <v>4</v>
      </c>
      <c r="F3049" s="30" t="n">
        <v>1.5</v>
      </c>
      <c r="G3049" s="6" t="inlineStr">
        <is>
          <t>Non</t>
        </is>
      </c>
      <c r="H3049" s="6" t="inlineStr">
        <is>
          <t>OFF</t>
        </is>
      </c>
      <c r="I3049" s="31" t="n">
        <v>815.012573225423</v>
      </c>
      <c r="J3049" s="31" t="n">
        <v>8308.791548992402</v>
      </c>
      <c r="K3049" s="31" t="n">
        <v>4662.037037037037</v>
      </c>
      <c r="L3049" s="31" t="n">
        <v>150</v>
      </c>
      <c r="M3049" s="31">
        <f>I3049+J3049+K3049+L3049</f>
        <v/>
      </c>
      <c r="N3049" s="31">
        <f>M3049*'Dashboard &amp; Optimisation'!$B$18/('Dashboard &amp; Optimisation'!$B$16/3.6)</f>
        <v/>
      </c>
      <c r="O3049" s="31" t="n">
        <v>946.1520335527821</v>
      </c>
      <c r="P3049" s="32" t="n">
        <v>0.3041409725610454</v>
      </c>
      <c r="Q3049" s="33" t="n">
        <v>6.718986469044035</v>
      </c>
      <c r="R3049" s="31" t="n">
        <v>1230.766846040823</v>
      </c>
      <c r="S3049" s="31">
        <f>R3049*IF(A3049=4, 2.0, 3.0)</f>
        <v/>
      </c>
      <c r="T3049" s="30">
        <f>'Dashboard &amp; Optimisation'!$B$18*U3049</f>
        <v/>
      </c>
      <c r="U3049" s="34">
        <f>MIN(1, S3049/M3049)</f>
        <v/>
      </c>
      <c r="V3049" s="34">
        <f>N3049/(N3049+O3049)</f>
        <v/>
      </c>
      <c r="W3049" s="34">
        <f>U3049*V3049</f>
        <v/>
      </c>
      <c r="X3049" s="32">
        <f>T3049/N3049</f>
        <v/>
      </c>
      <c r="Y3049" s="35">
        <f>IF(W3049=MAXIFS(W$2:W$3601, A$2:A$3601, A3049, B$2:B$3601, B3049), "OPTIMAL", "")</f>
        <v/>
      </c>
    </row>
    <row r="3050" ht="20" customHeight="1">
      <c r="A3050" s="21" t="n">
        <v>-18</v>
      </c>
      <c r="B3050" s="21" t="n">
        <v>40</v>
      </c>
      <c r="C3050" s="22" t="n">
        <v>100</v>
      </c>
      <c r="D3050" s="22" t="n">
        <v>2</v>
      </c>
      <c r="E3050" s="23" t="n">
        <v>4</v>
      </c>
      <c r="F3050" s="22" t="n">
        <v>2</v>
      </c>
      <c r="G3050" s="23" t="inlineStr">
        <is>
          <t>Oui</t>
        </is>
      </c>
      <c r="H3050" s="23" t="inlineStr">
        <is>
          <t>ON</t>
        </is>
      </c>
      <c r="I3050" s="24" t="n">
        <v>815.012573225423</v>
      </c>
      <c r="J3050" s="24" t="n">
        <v>8308.791548992402</v>
      </c>
      <c r="K3050" s="24" t="n">
        <v>4662.037037037037</v>
      </c>
      <c r="L3050" s="24" t="n">
        <v>150</v>
      </c>
      <c r="M3050" s="24">
        <f>I3050+J3050+K3050+L3050</f>
        <v/>
      </c>
      <c r="N3050" s="24">
        <f>M3050*'Dashboard &amp; Optimisation'!$B$18/('Dashboard &amp; Optimisation'!$B$16/3.6)</f>
        <v/>
      </c>
      <c r="O3050" s="24" t="n">
        <v>1065.77284592761</v>
      </c>
      <c r="P3050" s="25" t="n">
        <v>0.07106618988155999</v>
      </c>
      <c r="Q3050" s="26" t="n">
        <v>8.891981958725379</v>
      </c>
      <c r="R3050" s="24" t="n">
        <v>5325.660369138829</v>
      </c>
      <c r="S3050" s="24">
        <f>R3050*IF(A3050=4, 2.0, 3.0)</f>
        <v/>
      </c>
      <c r="T3050" s="22">
        <f>'Dashboard &amp; Optimisation'!$B$18*U3050</f>
        <v/>
      </c>
      <c r="U3050" s="27">
        <f>MIN(1, S3050/M3050)</f>
        <v/>
      </c>
      <c r="V3050" s="27">
        <f>N3050/(N3050+O3050)</f>
        <v/>
      </c>
      <c r="W3050" s="27">
        <f>U3050*V3050</f>
        <v/>
      </c>
      <c r="X3050" s="25">
        <f>T3050/N3050</f>
        <v/>
      </c>
      <c r="Y3050" s="28">
        <f>IF(W3050=MAXIFS(W$2:W$3601, A$2:A$3601, A3050, B$2:B$3601, B3050), "OPTIMAL", "")</f>
        <v/>
      </c>
    </row>
    <row r="3051" ht="20" customHeight="1">
      <c r="A3051" s="29" t="n">
        <v>-18</v>
      </c>
      <c r="B3051" s="29" t="n">
        <v>40</v>
      </c>
      <c r="C3051" s="30" t="n">
        <v>100</v>
      </c>
      <c r="D3051" s="30" t="n">
        <v>2</v>
      </c>
      <c r="E3051" s="6" t="n">
        <v>4</v>
      </c>
      <c r="F3051" s="30" t="n">
        <v>2</v>
      </c>
      <c r="G3051" s="6" t="inlineStr">
        <is>
          <t>Oui</t>
        </is>
      </c>
      <c r="H3051" s="6" t="inlineStr">
        <is>
          <t>OFF</t>
        </is>
      </c>
      <c r="I3051" s="31" t="n">
        <v>815.012573225423</v>
      </c>
      <c r="J3051" s="31" t="n">
        <v>8308.791548992402</v>
      </c>
      <c r="K3051" s="31" t="n">
        <v>4662.037037037037</v>
      </c>
      <c r="L3051" s="31" t="n">
        <v>150</v>
      </c>
      <c r="M3051" s="31">
        <f>I3051+J3051+K3051+L3051</f>
        <v/>
      </c>
      <c r="N3051" s="31">
        <f>M3051*'Dashboard &amp; Optimisation'!$B$18/('Dashboard &amp; Optimisation'!$B$16/3.6)</f>
        <v/>
      </c>
      <c r="O3051" s="31" t="n">
        <v>1065.77284592761</v>
      </c>
      <c r="P3051" s="32" t="n">
        <v>0.3057228026390766</v>
      </c>
      <c r="Q3051" s="33" t="n">
        <v>8.891981958725379</v>
      </c>
      <c r="R3051" s="31" t="n">
        <v>1237.965855902249</v>
      </c>
      <c r="S3051" s="31">
        <f>R3051*IF(A3051=4, 2.0, 3.0)</f>
        <v/>
      </c>
      <c r="T3051" s="30">
        <f>'Dashboard &amp; Optimisation'!$B$18*U3051</f>
        <v/>
      </c>
      <c r="U3051" s="34">
        <f>MIN(1, S3051/M3051)</f>
        <v/>
      </c>
      <c r="V3051" s="34">
        <f>N3051/(N3051+O3051)</f>
        <v/>
      </c>
      <c r="W3051" s="34">
        <f>U3051*V3051</f>
        <v/>
      </c>
      <c r="X3051" s="32">
        <f>T3051/N3051</f>
        <v/>
      </c>
      <c r="Y3051" s="35">
        <f>IF(W3051=MAXIFS(W$2:W$3601, A$2:A$3601, A3051, B$2:B$3601, B3051), "OPTIMAL", "")</f>
        <v/>
      </c>
    </row>
    <row r="3052" ht="20" customHeight="1">
      <c r="A3052" s="21" t="n">
        <v>-18</v>
      </c>
      <c r="B3052" s="21" t="n">
        <v>40</v>
      </c>
      <c r="C3052" s="22" t="n">
        <v>100</v>
      </c>
      <c r="D3052" s="22" t="n">
        <v>2</v>
      </c>
      <c r="E3052" s="23" t="n">
        <v>4</v>
      </c>
      <c r="F3052" s="22" t="n">
        <v>2</v>
      </c>
      <c r="G3052" s="23" t="inlineStr">
        <is>
          <t>Non</t>
        </is>
      </c>
      <c r="H3052" s="23" t="inlineStr">
        <is>
          <t>ON</t>
        </is>
      </c>
      <c r="I3052" s="24" t="n">
        <v>815.012573225423</v>
      </c>
      <c r="J3052" s="24" t="n">
        <v>8308.791548992402</v>
      </c>
      <c r="K3052" s="24" t="n">
        <v>4662.037037037037</v>
      </c>
      <c r="L3052" s="24" t="n">
        <v>150</v>
      </c>
      <c r="M3052" s="24">
        <f>I3052+J3052+K3052+L3052</f>
        <v/>
      </c>
      <c r="N3052" s="24">
        <f>M3052*'Dashboard &amp; Optimisation'!$B$18/('Dashboard &amp; Optimisation'!$B$16/3.6)</f>
        <v/>
      </c>
      <c r="O3052" s="24" t="n">
        <v>1065.77284592761</v>
      </c>
      <c r="P3052" s="25" t="n">
        <v>0.06788309101972209</v>
      </c>
      <c r="Q3052" s="26" t="n">
        <v>8.891981958725379</v>
      </c>
      <c r="R3052" s="24" t="n">
        <v>5575.385347846943</v>
      </c>
      <c r="S3052" s="24">
        <f>R3052*IF(A3052=4, 2.0, 3.0)</f>
        <v/>
      </c>
      <c r="T3052" s="22">
        <f>'Dashboard &amp; Optimisation'!$B$18*U3052</f>
        <v/>
      </c>
      <c r="U3052" s="27">
        <f>MIN(1, S3052/M3052)</f>
        <v/>
      </c>
      <c r="V3052" s="27">
        <f>N3052/(N3052+O3052)</f>
        <v/>
      </c>
      <c r="W3052" s="27">
        <f>U3052*V3052</f>
        <v/>
      </c>
      <c r="X3052" s="25">
        <f>T3052/N3052</f>
        <v/>
      </c>
      <c r="Y3052" s="28">
        <f>IF(W3052=MAXIFS(W$2:W$3601, A$2:A$3601, A3052, B$2:B$3601, B3052), "OPTIMAL", "")</f>
        <v/>
      </c>
    </row>
    <row r="3053" ht="20" customHeight="1">
      <c r="A3053" s="29" t="n">
        <v>-18</v>
      </c>
      <c r="B3053" s="29" t="n">
        <v>40</v>
      </c>
      <c r="C3053" s="30" t="n">
        <v>100</v>
      </c>
      <c r="D3053" s="30" t="n">
        <v>2</v>
      </c>
      <c r="E3053" s="6" t="n">
        <v>4</v>
      </c>
      <c r="F3053" s="30" t="n">
        <v>2</v>
      </c>
      <c r="G3053" s="6" t="inlineStr">
        <is>
          <t>Non</t>
        </is>
      </c>
      <c r="H3053" s="6" t="inlineStr">
        <is>
          <t>OFF</t>
        </is>
      </c>
      <c r="I3053" s="31" t="n">
        <v>815.012573225423</v>
      </c>
      <c r="J3053" s="31" t="n">
        <v>8308.791548992402</v>
      </c>
      <c r="K3053" s="31" t="n">
        <v>4662.037037037037</v>
      </c>
      <c r="L3053" s="31" t="n">
        <v>150</v>
      </c>
      <c r="M3053" s="31">
        <f>I3053+J3053+K3053+L3053</f>
        <v/>
      </c>
      <c r="N3053" s="31">
        <f>M3053*'Dashboard &amp; Optimisation'!$B$18/('Dashboard &amp; Optimisation'!$B$16/3.6)</f>
        <v/>
      </c>
      <c r="O3053" s="31" t="n">
        <v>1065.77284592761</v>
      </c>
      <c r="P3053" s="32" t="n">
        <v>0.3025397037772387</v>
      </c>
      <c r="Q3053" s="33" t="n">
        <v>8.891981958725379</v>
      </c>
      <c r="R3053" s="31" t="n">
        <v>1250.990816453603</v>
      </c>
      <c r="S3053" s="31">
        <f>R3053*IF(A3053=4, 2.0, 3.0)</f>
        <v/>
      </c>
      <c r="T3053" s="30">
        <f>'Dashboard &amp; Optimisation'!$B$18*U3053</f>
        <v/>
      </c>
      <c r="U3053" s="34">
        <f>MIN(1, S3053/M3053)</f>
        <v/>
      </c>
      <c r="V3053" s="34">
        <f>N3053/(N3053+O3053)</f>
        <v/>
      </c>
      <c r="W3053" s="34">
        <f>U3053*V3053</f>
        <v/>
      </c>
      <c r="X3053" s="32">
        <f>T3053/N3053</f>
        <v/>
      </c>
      <c r="Y3053" s="35">
        <f>IF(W3053=MAXIFS(W$2:W$3601, A$2:A$3601, A3053, B$2:B$3601, B3053), "OPTIMAL", "")</f>
        <v/>
      </c>
    </row>
    <row r="3054" ht="20" customHeight="1">
      <c r="A3054" s="21" t="n">
        <v>-18</v>
      </c>
      <c r="B3054" s="21" t="n">
        <v>40</v>
      </c>
      <c r="C3054" s="22" t="n">
        <v>100</v>
      </c>
      <c r="D3054" s="22" t="n">
        <v>2</v>
      </c>
      <c r="E3054" s="23" t="n">
        <v>8</v>
      </c>
      <c r="F3054" s="22" t="n">
        <v>1.5</v>
      </c>
      <c r="G3054" s="23" t="inlineStr">
        <is>
          <t>Oui</t>
        </is>
      </c>
      <c r="H3054" s="23" t="inlineStr">
        <is>
          <t>ON</t>
        </is>
      </c>
      <c r="I3054" s="24" t="n">
        <v>815.012573225423</v>
      </c>
      <c r="J3054" s="24" t="n">
        <v>8308.791548992402</v>
      </c>
      <c r="K3054" s="24" t="n">
        <v>4662.037037037037</v>
      </c>
      <c r="L3054" s="24" t="n">
        <v>150</v>
      </c>
      <c r="M3054" s="24">
        <f>I3054+J3054+K3054+L3054</f>
        <v/>
      </c>
      <c r="N3054" s="24">
        <f>M3054*'Dashboard &amp; Optimisation'!$B$18/('Dashboard &amp; Optimisation'!$B$16/3.6)</f>
        <v/>
      </c>
      <c r="O3054" s="24" t="n">
        <v>1313.147535072082</v>
      </c>
      <c r="P3054" s="25" t="n">
        <v>0.05573050288457804</v>
      </c>
      <c r="Q3054" s="26" t="n">
        <v>13.23797293808807</v>
      </c>
      <c r="R3054" s="24" t="n">
        <v>6945.064374571059</v>
      </c>
      <c r="S3054" s="24">
        <f>R3054*IF(A3054=4, 2.0, 3.0)</f>
        <v/>
      </c>
      <c r="T3054" s="22">
        <f>'Dashboard &amp; Optimisation'!$B$18*U3054</f>
        <v/>
      </c>
      <c r="U3054" s="27">
        <f>MIN(1, S3054/M3054)</f>
        <v/>
      </c>
      <c r="V3054" s="27">
        <f>N3054/(N3054+O3054)</f>
        <v/>
      </c>
      <c r="W3054" s="27">
        <f>U3054*V3054</f>
        <v/>
      </c>
      <c r="X3054" s="25">
        <f>T3054/N3054</f>
        <v/>
      </c>
      <c r="Y3054" s="28">
        <f>IF(W3054=MAXIFS(W$2:W$3601, A$2:A$3601, A3054, B$2:B$3601, B3054), "OPTIMAL", "")</f>
        <v/>
      </c>
    </row>
    <row r="3055" ht="20" customHeight="1">
      <c r="A3055" s="29" t="n">
        <v>-18</v>
      </c>
      <c r="B3055" s="29" t="n">
        <v>40</v>
      </c>
      <c r="C3055" s="30" t="n">
        <v>100</v>
      </c>
      <c r="D3055" s="30" t="n">
        <v>2</v>
      </c>
      <c r="E3055" s="6" t="n">
        <v>8</v>
      </c>
      <c r="F3055" s="30" t="n">
        <v>1.5</v>
      </c>
      <c r="G3055" s="6" t="inlineStr">
        <is>
          <t>Oui</t>
        </is>
      </c>
      <c r="H3055" s="6" t="inlineStr">
        <is>
          <t>OFF</t>
        </is>
      </c>
      <c r="I3055" s="31" t="n">
        <v>815.012573225423</v>
      </c>
      <c r="J3055" s="31" t="n">
        <v>8308.791548992402</v>
      </c>
      <c r="K3055" s="31" t="n">
        <v>4662.037037037037</v>
      </c>
      <c r="L3055" s="31" t="n">
        <v>150</v>
      </c>
      <c r="M3055" s="31">
        <f>I3055+J3055+K3055+L3055</f>
        <v/>
      </c>
      <c r="N3055" s="31">
        <f>M3055*'Dashboard &amp; Optimisation'!$B$18/('Dashboard &amp; Optimisation'!$B$16/3.6)</f>
        <v/>
      </c>
      <c r="O3055" s="31" t="n">
        <v>1313.147535072082</v>
      </c>
      <c r="P3055" s="32" t="n">
        <v>0.2401827722650424</v>
      </c>
      <c r="Q3055" s="33" t="n">
        <v>13.23797293808807</v>
      </c>
      <c r="R3055" s="31" t="n">
        <v>1611.489144331716</v>
      </c>
      <c r="S3055" s="31">
        <f>R3055*IF(A3055=4, 2.0, 3.0)</f>
        <v/>
      </c>
      <c r="T3055" s="30">
        <f>'Dashboard &amp; Optimisation'!$B$18*U3055</f>
        <v/>
      </c>
      <c r="U3055" s="34">
        <f>MIN(1, S3055/M3055)</f>
        <v/>
      </c>
      <c r="V3055" s="34">
        <f>N3055/(N3055+O3055)</f>
        <v/>
      </c>
      <c r="W3055" s="34">
        <f>U3055*V3055</f>
        <v/>
      </c>
      <c r="X3055" s="32">
        <f>T3055/N3055</f>
        <v/>
      </c>
      <c r="Y3055" s="35">
        <f>IF(W3055=MAXIFS(W$2:W$3601, A$2:A$3601, A3055, B$2:B$3601, B3055), "OPTIMAL", "")</f>
        <v/>
      </c>
    </row>
    <row r="3056" ht="20" customHeight="1">
      <c r="A3056" s="21" t="n">
        <v>-18</v>
      </c>
      <c r="B3056" s="21" t="n">
        <v>40</v>
      </c>
      <c r="C3056" s="22" t="n">
        <v>100</v>
      </c>
      <c r="D3056" s="22" t="n">
        <v>2</v>
      </c>
      <c r="E3056" s="23" t="n">
        <v>8</v>
      </c>
      <c r="F3056" s="22" t="n">
        <v>1.5</v>
      </c>
      <c r="G3056" s="23" t="inlineStr">
        <is>
          <t>Non</t>
        </is>
      </c>
      <c r="H3056" s="23" t="inlineStr">
        <is>
          <t>ON</t>
        </is>
      </c>
      <c r="I3056" s="24" t="n">
        <v>815.012573225423</v>
      </c>
      <c r="J3056" s="24" t="n">
        <v>8308.791548992402</v>
      </c>
      <c r="K3056" s="24" t="n">
        <v>4662.037037037037</v>
      </c>
      <c r="L3056" s="24" t="n">
        <v>150</v>
      </c>
      <c r="M3056" s="24">
        <f>I3056+J3056+K3056+L3056</f>
        <v/>
      </c>
      <c r="N3056" s="24">
        <f>M3056*'Dashboard &amp; Optimisation'!$B$18/('Dashboard &amp; Optimisation'!$B$16/3.6)</f>
        <v/>
      </c>
      <c r="O3056" s="24" t="n">
        <v>1313.147535072082</v>
      </c>
      <c r="P3056" s="25" t="n">
        <v>0.05254740402274013</v>
      </c>
      <c r="Q3056" s="26" t="n">
        <v>13.23797293808807</v>
      </c>
      <c r="R3056" s="24" t="n">
        <v>7365.766917679018</v>
      </c>
      <c r="S3056" s="24">
        <f>R3056*IF(A3056=4, 2.0, 3.0)</f>
        <v/>
      </c>
      <c r="T3056" s="22">
        <f>'Dashboard &amp; Optimisation'!$B$18*U3056</f>
        <v/>
      </c>
      <c r="U3056" s="27">
        <f>MIN(1, S3056/M3056)</f>
        <v/>
      </c>
      <c r="V3056" s="27">
        <f>N3056/(N3056+O3056)</f>
        <v/>
      </c>
      <c r="W3056" s="27">
        <f>U3056*V3056</f>
        <v/>
      </c>
      <c r="X3056" s="25">
        <f>T3056/N3056</f>
        <v/>
      </c>
      <c r="Y3056" s="28">
        <f>IF(W3056=MAXIFS(W$2:W$3601, A$2:A$3601, A3056, B$2:B$3601, B3056), "OPTIMAL", "")</f>
        <v/>
      </c>
    </row>
    <row r="3057" ht="20" customHeight="1">
      <c r="A3057" s="29" t="n">
        <v>-18</v>
      </c>
      <c r="B3057" s="29" t="n">
        <v>40</v>
      </c>
      <c r="C3057" s="30" t="n">
        <v>100</v>
      </c>
      <c r="D3057" s="30" t="n">
        <v>2</v>
      </c>
      <c r="E3057" s="6" t="n">
        <v>8</v>
      </c>
      <c r="F3057" s="30" t="n">
        <v>1.5</v>
      </c>
      <c r="G3057" s="6" t="inlineStr">
        <is>
          <t>Non</t>
        </is>
      </c>
      <c r="H3057" s="6" t="inlineStr">
        <is>
          <t>OFF</t>
        </is>
      </c>
      <c r="I3057" s="31" t="n">
        <v>815.012573225423</v>
      </c>
      <c r="J3057" s="31" t="n">
        <v>8308.791548992402</v>
      </c>
      <c r="K3057" s="31" t="n">
        <v>4662.037037037037</v>
      </c>
      <c r="L3057" s="31" t="n">
        <v>150</v>
      </c>
      <c r="M3057" s="31">
        <f>I3057+J3057+K3057+L3057</f>
        <v/>
      </c>
      <c r="N3057" s="31">
        <f>M3057*'Dashboard &amp; Optimisation'!$B$18/('Dashboard &amp; Optimisation'!$B$16/3.6)</f>
        <v/>
      </c>
      <c r="O3057" s="31" t="n">
        <v>1313.147535072082</v>
      </c>
      <c r="P3057" s="32" t="n">
        <v>0.2369996734032044</v>
      </c>
      <c r="Q3057" s="33" t="n">
        <v>13.23797293808807</v>
      </c>
      <c r="R3057" s="31" t="n">
        <v>1633.132757538135</v>
      </c>
      <c r="S3057" s="31">
        <f>R3057*IF(A3057=4, 2.0, 3.0)</f>
        <v/>
      </c>
      <c r="T3057" s="30">
        <f>'Dashboard &amp; Optimisation'!$B$18*U3057</f>
        <v/>
      </c>
      <c r="U3057" s="34">
        <f>MIN(1, S3057/M3057)</f>
        <v/>
      </c>
      <c r="V3057" s="34">
        <f>N3057/(N3057+O3057)</f>
        <v/>
      </c>
      <c r="W3057" s="34">
        <f>U3057*V3057</f>
        <v/>
      </c>
      <c r="X3057" s="32">
        <f>T3057/N3057</f>
        <v/>
      </c>
      <c r="Y3057" s="35">
        <f>IF(W3057=MAXIFS(W$2:W$3601, A$2:A$3601, A3057, B$2:B$3601, B3057), "OPTIMAL", "")</f>
        <v/>
      </c>
    </row>
    <row r="3058" ht="20" customHeight="1">
      <c r="A3058" s="21" t="n">
        <v>-18</v>
      </c>
      <c r="B3058" s="21" t="n">
        <v>40</v>
      </c>
      <c r="C3058" s="22" t="n">
        <v>100</v>
      </c>
      <c r="D3058" s="22" t="n">
        <v>2</v>
      </c>
      <c r="E3058" s="23" t="n">
        <v>8</v>
      </c>
      <c r="F3058" s="22" t="n">
        <v>2</v>
      </c>
      <c r="G3058" s="23" t="inlineStr">
        <is>
          <t>Oui</t>
        </is>
      </c>
      <c r="H3058" s="23" t="inlineStr">
        <is>
          <t>ON</t>
        </is>
      </c>
      <c r="I3058" s="24" t="n">
        <v>815.012573225423</v>
      </c>
      <c r="J3058" s="24" t="n">
        <v>8308.791548992402</v>
      </c>
      <c r="K3058" s="24" t="n">
        <v>4662.037037037037</v>
      </c>
      <c r="L3058" s="24" t="n">
        <v>150</v>
      </c>
      <c r="M3058" s="24">
        <f>I3058+J3058+K3058+L3058</f>
        <v/>
      </c>
      <c r="N3058" s="24">
        <f>M3058*'Dashboard &amp; Optimisation'!$B$18/('Dashboard &amp; Optimisation'!$B$16/3.6)</f>
        <v/>
      </c>
      <c r="O3058" s="24" t="n">
        <v>1571.994968918837</v>
      </c>
      <c r="P3058" s="25" t="n">
        <v>0.05449488140602117</v>
      </c>
      <c r="Q3058" s="26" t="n">
        <v>17.58396391745076</v>
      </c>
      <c r="R3058" s="24" t="n">
        <v>7267.238100576088</v>
      </c>
      <c r="S3058" s="24">
        <f>R3058*IF(A3058=4, 2.0, 3.0)</f>
        <v/>
      </c>
      <c r="T3058" s="22">
        <f>'Dashboard &amp; Optimisation'!$B$18*U3058</f>
        <v/>
      </c>
      <c r="U3058" s="27">
        <f>MIN(1, S3058/M3058)</f>
        <v/>
      </c>
      <c r="V3058" s="27">
        <f>N3058/(N3058+O3058)</f>
        <v/>
      </c>
      <c r="W3058" s="27">
        <f>U3058*V3058</f>
        <v/>
      </c>
      <c r="X3058" s="25">
        <f>T3058/N3058</f>
        <v/>
      </c>
      <c r="Y3058" s="28">
        <f>IF(W3058=MAXIFS(W$2:W$3601, A$2:A$3601, A3058, B$2:B$3601, B3058), "OPTIMAL", "")</f>
        <v/>
      </c>
    </row>
    <row r="3059" ht="20" customHeight="1">
      <c r="A3059" s="29" t="n">
        <v>-18</v>
      </c>
      <c r="B3059" s="29" t="n">
        <v>40</v>
      </c>
      <c r="C3059" s="30" t="n">
        <v>100</v>
      </c>
      <c r="D3059" s="30" t="n">
        <v>2</v>
      </c>
      <c r="E3059" s="6" t="n">
        <v>8</v>
      </c>
      <c r="F3059" s="30" t="n">
        <v>2</v>
      </c>
      <c r="G3059" s="6" t="inlineStr">
        <is>
          <t>Oui</t>
        </is>
      </c>
      <c r="H3059" s="6" t="inlineStr">
        <is>
          <t>OFF</t>
        </is>
      </c>
      <c r="I3059" s="31" t="n">
        <v>815.012573225423</v>
      </c>
      <c r="J3059" s="31" t="n">
        <v>8308.791548992402</v>
      </c>
      <c r="K3059" s="31" t="n">
        <v>4662.037037037037</v>
      </c>
      <c r="L3059" s="31" t="n">
        <v>150</v>
      </c>
      <c r="M3059" s="31">
        <f>I3059+J3059+K3059+L3059</f>
        <v/>
      </c>
      <c r="N3059" s="31">
        <f>M3059*'Dashboard &amp; Optimisation'!$B$18/('Dashboard &amp; Optimisation'!$B$16/3.6)</f>
        <v/>
      </c>
      <c r="O3059" s="31" t="n">
        <v>1571.994968918837</v>
      </c>
      <c r="P3059" s="32" t="n">
        <v>0.2403161193409352</v>
      </c>
      <c r="Q3059" s="33" t="n">
        <v>17.58396391745076</v>
      </c>
      <c r="R3059" s="31" t="n">
        <v>1647.943049040213</v>
      </c>
      <c r="S3059" s="31">
        <f>R3059*IF(A3059=4, 2.0, 3.0)</f>
        <v/>
      </c>
      <c r="T3059" s="30">
        <f>'Dashboard &amp; Optimisation'!$B$18*U3059</f>
        <v/>
      </c>
      <c r="U3059" s="34">
        <f>MIN(1, S3059/M3059)</f>
        <v/>
      </c>
      <c r="V3059" s="34">
        <f>N3059/(N3059+O3059)</f>
        <v/>
      </c>
      <c r="W3059" s="34">
        <f>U3059*V3059</f>
        <v/>
      </c>
      <c r="X3059" s="32">
        <f>T3059/N3059</f>
        <v/>
      </c>
      <c r="Y3059" s="35">
        <f>IF(W3059=MAXIFS(W$2:W$3601, A$2:A$3601, A3059, B$2:B$3601, B3059), "OPTIMAL", "")</f>
        <v/>
      </c>
    </row>
    <row r="3060" ht="20" customHeight="1">
      <c r="A3060" s="21" t="n">
        <v>-18</v>
      </c>
      <c r="B3060" s="21" t="n">
        <v>40</v>
      </c>
      <c r="C3060" s="22" t="n">
        <v>100</v>
      </c>
      <c r="D3060" s="22" t="n">
        <v>2</v>
      </c>
      <c r="E3060" s="23" t="n">
        <v>8</v>
      </c>
      <c r="F3060" s="22" t="n">
        <v>2</v>
      </c>
      <c r="G3060" s="23" t="inlineStr">
        <is>
          <t>Non</t>
        </is>
      </c>
      <c r="H3060" s="23" t="inlineStr">
        <is>
          <t>ON</t>
        </is>
      </c>
      <c r="I3060" s="24" t="n">
        <v>815.012573225423</v>
      </c>
      <c r="J3060" s="24" t="n">
        <v>8308.791548992402</v>
      </c>
      <c r="K3060" s="24" t="n">
        <v>4662.037037037037</v>
      </c>
      <c r="L3060" s="24" t="n">
        <v>150</v>
      </c>
      <c r="M3060" s="24">
        <f>I3060+J3060+K3060+L3060</f>
        <v/>
      </c>
      <c r="N3060" s="24">
        <f>M3060*'Dashboard &amp; Optimisation'!$B$18/('Dashboard &amp; Optimisation'!$B$16/3.6)</f>
        <v/>
      </c>
      <c r="O3060" s="24" t="n">
        <v>1571.994968918837</v>
      </c>
      <c r="P3060" s="25" t="n">
        <v>0.05131178254418326</v>
      </c>
      <c r="Q3060" s="26" t="n">
        <v>17.58396391745076</v>
      </c>
      <c r="R3060" s="24" t="n">
        <v>7718.057311675024</v>
      </c>
      <c r="S3060" s="24">
        <f>R3060*IF(A3060=4, 2.0, 3.0)</f>
        <v/>
      </c>
      <c r="T3060" s="22">
        <f>'Dashboard &amp; Optimisation'!$B$18*U3060</f>
        <v/>
      </c>
      <c r="U3060" s="27">
        <f>MIN(1, S3060/M3060)</f>
        <v/>
      </c>
      <c r="V3060" s="27">
        <f>N3060/(N3060+O3060)</f>
        <v/>
      </c>
      <c r="W3060" s="27">
        <f>U3060*V3060</f>
        <v/>
      </c>
      <c r="X3060" s="25">
        <f>T3060/N3060</f>
        <v/>
      </c>
      <c r="Y3060" s="28">
        <f>IF(W3060=MAXIFS(W$2:W$3601, A$2:A$3601, A3060, B$2:B$3601, B3060), "OPTIMAL", "")</f>
        <v/>
      </c>
    </row>
    <row r="3061" ht="20" customHeight="1">
      <c r="A3061" s="29" t="n">
        <v>-18</v>
      </c>
      <c r="B3061" s="29" t="n">
        <v>40</v>
      </c>
      <c r="C3061" s="30" t="n">
        <v>100</v>
      </c>
      <c r="D3061" s="30" t="n">
        <v>2</v>
      </c>
      <c r="E3061" s="6" t="n">
        <v>8</v>
      </c>
      <c r="F3061" s="30" t="n">
        <v>2</v>
      </c>
      <c r="G3061" s="6" t="inlineStr">
        <is>
          <t>Non</t>
        </is>
      </c>
      <c r="H3061" s="6" t="inlineStr">
        <is>
          <t>OFF</t>
        </is>
      </c>
      <c r="I3061" s="31" t="n">
        <v>815.012573225423</v>
      </c>
      <c r="J3061" s="31" t="n">
        <v>8308.791548992402</v>
      </c>
      <c r="K3061" s="31" t="n">
        <v>4662.037037037037</v>
      </c>
      <c r="L3061" s="31" t="n">
        <v>150</v>
      </c>
      <c r="M3061" s="31">
        <f>I3061+J3061+K3061+L3061</f>
        <v/>
      </c>
      <c r="N3061" s="31">
        <f>M3061*'Dashboard &amp; Optimisation'!$B$18/('Dashboard &amp; Optimisation'!$B$16/3.6)</f>
        <v/>
      </c>
      <c r="O3061" s="31" t="n">
        <v>1571.994968918837</v>
      </c>
      <c r="P3061" s="32" t="n">
        <v>0.2371330204790973</v>
      </c>
      <c r="Q3061" s="33" t="n">
        <v>17.58396391745076</v>
      </c>
      <c r="R3061" s="31" t="n">
        <v>1670.063821732163</v>
      </c>
      <c r="S3061" s="31">
        <f>R3061*IF(A3061=4, 2.0, 3.0)</f>
        <v/>
      </c>
      <c r="T3061" s="30">
        <f>'Dashboard &amp; Optimisation'!$B$18*U3061</f>
        <v/>
      </c>
      <c r="U3061" s="34">
        <f>MIN(1, S3061/M3061)</f>
        <v/>
      </c>
      <c r="V3061" s="34">
        <f>N3061/(N3061+O3061)</f>
        <v/>
      </c>
      <c r="W3061" s="34">
        <f>U3061*V3061</f>
        <v/>
      </c>
      <c r="X3061" s="32">
        <f>T3061/N3061</f>
        <v/>
      </c>
      <c r="Y3061" s="35">
        <f>IF(W3061=MAXIFS(W$2:W$3601, A$2:A$3601, A3061, B$2:B$3601, B3061), "OPTIMAL", "")</f>
        <v/>
      </c>
    </row>
    <row r="3062" ht="20" customHeight="1">
      <c r="A3062" s="21" t="n">
        <v>-18</v>
      </c>
      <c r="B3062" s="21" t="n">
        <v>40</v>
      </c>
      <c r="C3062" s="22" t="n">
        <v>100</v>
      </c>
      <c r="D3062" s="22" t="n">
        <v>3</v>
      </c>
      <c r="E3062" s="23" t="n">
        <v>0</v>
      </c>
      <c r="F3062" s="22" t="n">
        <v>0</v>
      </c>
      <c r="G3062" s="23" t="inlineStr">
        <is>
          <t>Oui</t>
        </is>
      </c>
      <c r="H3062" s="23" t="inlineStr">
        <is>
          <t>ON</t>
        </is>
      </c>
      <c r="I3062" s="24" t="n">
        <v>815.012573225423</v>
      </c>
      <c r="J3062" s="24" t="n">
        <v>8308.791548992402</v>
      </c>
      <c r="K3062" s="24" t="n">
        <v>4662.037037037037</v>
      </c>
      <c r="L3062" s="24" t="n">
        <v>150</v>
      </c>
      <c r="M3062" s="24">
        <f>I3062+J3062+K3062+L3062</f>
        <v/>
      </c>
      <c r="N3062" s="24">
        <f>M3062*'Dashboard &amp; Optimisation'!$B$18/('Dashboard &amp; Optimisation'!$B$16/3.6)</f>
        <v/>
      </c>
      <c r="O3062" s="24" t="n">
        <v>933.0292992902031</v>
      </c>
      <c r="P3062" s="25" t="n">
        <v>0.4806959660709754</v>
      </c>
      <c r="Q3062" s="26" t="n">
        <v>0.2</v>
      </c>
      <c r="R3062" s="24" t="n">
        <v>786.3541413851691</v>
      </c>
      <c r="S3062" s="24">
        <f>R3062*IF(A3062=4, 2.0, 3.0)</f>
        <v/>
      </c>
      <c r="T3062" s="22">
        <f>'Dashboard &amp; Optimisation'!$B$18*U3062</f>
        <v/>
      </c>
      <c r="U3062" s="27">
        <f>MIN(1, S3062/M3062)</f>
        <v/>
      </c>
      <c r="V3062" s="27">
        <f>N3062/(N3062+O3062)</f>
        <v/>
      </c>
      <c r="W3062" s="27">
        <f>U3062*V3062</f>
        <v/>
      </c>
      <c r="X3062" s="25">
        <f>T3062/N3062</f>
        <v/>
      </c>
      <c r="Y3062" s="28">
        <f>IF(W3062=MAXIFS(W$2:W$3601, A$2:A$3601, A3062, B$2:B$3601, B3062), "OPTIMAL", "")</f>
        <v/>
      </c>
    </row>
    <row r="3063" ht="20" customHeight="1">
      <c r="A3063" s="29" t="n">
        <v>-18</v>
      </c>
      <c r="B3063" s="29" t="n">
        <v>40</v>
      </c>
      <c r="C3063" s="30" t="n">
        <v>100</v>
      </c>
      <c r="D3063" s="30" t="n">
        <v>3</v>
      </c>
      <c r="E3063" s="6" t="n">
        <v>0</v>
      </c>
      <c r="F3063" s="30" t="n">
        <v>0</v>
      </c>
      <c r="G3063" s="6" t="inlineStr">
        <is>
          <t>Oui</t>
        </is>
      </c>
      <c r="H3063" s="6" t="inlineStr">
        <is>
          <t>OFF</t>
        </is>
      </c>
      <c r="I3063" s="31" t="n">
        <v>815.012573225423</v>
      </c>
      <c r="J3063" s="31" t="n">
        <v>8308.791548992402</v>
      </c>
      <c r="K3063" s="31" t="n">
        <v>4662.037037037037</v>
      </c>
      <c r="L3063" s="31" t="n">
        <v>150</v>
      </c>
      <c r="M3063" s="31">
        <f>I3063+J3063+K3063+L3063</f>
        <v/>
      </c>
      <c r="N3063" s="31">
        <f>M3063*'Dashboard &amp; Optimisation'!$B$18/('Dashboard &amp; Optimisation'!$B$16/3.6)</f>
        <v/>
      </c>
      <c r="O3063" s="31" t="n">
        <v>933.0292992902031</v>
      </c>
      <c r="P3063" s="32" t="n">
        <v>0.7990058522547661</v>
      </c>
      <c r="Q3063" s="33" t="n">
        <v>0.2</v>
      </c>
      <c r="R3063" s="31" t="n">
        <v>473.0844744132492</v>
      </c>
      <c r="S3063" s="31">
        <f>R3063*IF(A3063=4, 2.0, 3.0)</f>
        <v/>
      </c>
      <c r="T3063" s="30">
        <f>'Dashboard &amp; Optimisation'!$B$18*U3063</f>
        <v/>
      </c>
      <c r="U3063" s="34">
        <f>MIN(1, S3063/M3063)</f>
        <v/>
      </c>
      <c r="V3063" s="34">
        <f>N3063/(N3063+O3063)</f>
        <v/>
      </c>
      <c r="W3063" s="34">
        <f>U3063*V3063</f>
        <v/>
      </c>
      <c r="X3063" s="32">
        <f>T3063/N3063</f>
        <v/>
      </c>
      <c r="Y3063" s="35">
        <f>IF(W3063=MAXIFS(W$2:W$3601, A$2:A$3601, A3063, B$2:B$3601, B3063), "OPTIMAL", "")</f>
        <v/>
      </c>
    </row>
    <row r="3064" ht="20" customHeight="1">
      <c r="A3064" s="21" t="n">
        <v>-18</v>
      </c>
      <c r="B3064" s="21" t="n">
        <v>40</v>
      </c>
      <c r="C3064" s="22" t="n">
        <v>100</v>
      </c>
      <c r="D3064" s="22" t="n">
        <v>3</v>
      </c>
      <c r="E3064" s="23" t="n">
        <v>0</v>
      </c>
      <c r="F3064" s="22" t="n">
        <v>0</v>
      </c>
      <c r="G3064" s="23" t="inlineStr">
        <is>
          <t>Non</t>
        </is>
      </c>
      <c r="H3064" s="23" t="inlineStr">
        <is>
          <t>ON</t>
        </is>
      </c>
      <c r="I3064" s="24" t="n">
        <v>815.012573225423</v>
      </c>
      <c r="J3064" s="24" t="n">
        <v>8308.791548992402</v>
      </c>
      <c r="K3064" s="24" t="n">
        <v>4662.037037037037</v>
      </c>
      <c r="L3064" s="24" t="n">
        <v>150</v>
      </c>
      <c r="M3064" s="24">
        <f>I3064+J3064+K3064+L3064</f>
        <v/>
      </c>
      <c r="N3064" s="24">
        <f>M3064*'Dashboard &amp; Optimisation'!$B$18/('Dashboard &amp; Optimisation'!$B$16/3.6)</f>
        <v/>
      </c>
      <c r="O3064" s="24" t="n">
        <v>933.0292992902031</v>
      </c>
      <c r="P3064" s="25" t="n">
        <v>0.4775128672091374</v>
      </c>
      <c r="Q3064" s="26" t="n">
        <v>0.2</v>
      </c>
      <c r="R3064" s="24" t="n">
        <v>791.5959749446999</v>
      </c>
      <c r="S3064" s="24">
        <f>R3064*IF(A3064=4, 2.0, 3.0)</f>
        <v/>
      </c>
      <c r="T3064" s="22">
        <f>'Dashboard &amp; Optimisation'!$B$18*U3064</f>
        <v/>
      </c>
      <c r="U3064" s="27">
        <f>MIN(1, S3064/M3064)</f>
        <v/>
      </c>
      <c r="V3064" s="27">
        <f>N3064/(N3064+O3064)</f>
        <v/>
      </c>
      <c r="W3064" s="27">
        <f>U3064*V3064</f>
        <v/>
      </c>
      <c r="X3064" s="25">
        <f>T3064/N3064</f>
        <v/>
      </c>
      <c r="Y3064" s="28">
        <f>IF(W3064=MAXIFS(W$2:W$3601, A$2:A$3601, A3064, B$2:B$3601, B3064), "OPTIMAL", "")</f>
        <v/>
      </c>
    </row>
    <row r="3065" ht="20" customHeight="1">
      <c r="A3065" s="29" t="n">
        <v>-18</v>
      </c>
      <c r="B3065" s="29" t="n">
        <v>40</v>
      </c>
      <c r="C3065" s="30" t="n">
        <v>100</v>
      </c>
      <c r="D3065" s="30" t="n">
        <v>3</v>
      </c>
      <c r="E3065" s="6" t="n">
        <v>0</v>
      </c>
      <c r="F3065" s="30" t="n">
        <v>0</v>
      </c>
      <c r="G3065" s="6" t="inlineStr">
        <is>
          <t>Non</t>
        </is>
      </c>
      <c r="H3065" s="6" t="inlineStr">
        <is>
          <t>OFF</t>
        </is>
      </c>
      <c r="I3065" s="31" t="n">
        <v>815.012573225423</v>
      </c>
      <c r="J3065" s="31" t="n">
        <v>8308.791548992402</v>
      </c>
      <c r="K3065" s="31" t="n">
        <v>4662.037037037037</v>
      </c>
      <c r="L3065" s="31" t="n">
        <v>150</v>
      </c>
      <c r="M3065" s="31">
        <f>I3065+J3065+K3065+L3065</f>
        <v/>
      </c>
      <c r="N3065" s="31">
        <f>M3065*'Dashboard &amp; Optimisation'!$B$18/('Dashboard &amp; Optimisation'!$B$16/3.6)</f>
        <v/>
      </c>
      <c r="O3065" s="31" t="n">
        <v>933.0292992902031</v>
      </c>
      <c r="P3065" s="32" t="n">
        <v>0.7958227533929282</v>
      </c>
      <c r="Q3065" s="33" t="n">
        <v>0.2</v>
      </c>
      <c r="R3065" s="31" t="n">
        <v>474.9766980844596</v>
      </c>
      <c r="S3065" s="31">
        <f>R3065*IF(A3065=4, 2.0, 3.0)</f>
        <v/>
      </c>
      <c r="T3065" s="30">
        <f>'Dashboard &amp; Optimisation'!$B$18*U3065</f>
        <v/>
      </c>
      <c r="U3065" s="34">
        <f>MIN(1, S3065/M3065)</f>
        <v/>
      </c>
      <c r="V3065" s="34">
        <f>N3065/(N3065+O3065)</f>
        <v/>
      </c>
      <c r="W3065" s="34">
        <f>U3065*V3065</f>
        <v/>
      </c>
      <c r="X3065" s="32">
        <f>T3065/N3065</f>
        <v/>
      </c>
      <c r="Y3065" s="35">
        <f>IF(W3065=MAXIFS(W$2:W$3601, A$2:A$3601, A3065, B$2:B$3601, B3065), "OPTIMAL", "")</f>
        <v/>
      </c>
    </row>
    <row r="3066" ht="20" customHeight="1">
      <c r="A3066" s="21" t="n">
        <v>-18</v>
      </c>
      <c r="B3066" s="21" t="n">
        <v>40</v>
      </c>
      <c r="C3066" s="22" t="n">
        <v>100</v>
      </c>
      <c r="D3066" s="22" t="n">
        <v>3</v>
      </c>
      <c r="E3066" s="23" t="n">
        <v>4</v>
      </c>
      <c r="F3066" s="22" t="n">
        <v>1.5</v>
      </c>
      <c r="G3066" s="23" t="inlineStr">
        <is>
          <t>Oui</t>
        </is>
      </c>
      <c r="H3066" s="23" t="inlineStr">
        <is>
          <t>ON</t>
        </is>
      </c>
      <c r="I3066" s="24" t="n">
        <v>815.012573225423</v>
      </c>
      <c r="J3066" s="24" t="n">
        <v>8308.791548992402</v>
      </c>
      <c r="K3066" s="24" t="n">
        <v>4662.037037037037</v>
      </c>
      <c r="L3066" s="24" t="n">
        <v>150</v>
      </c>
      <c r="M3066" s="24">
        <f>I3066+J3066+K3066+L3066</f>
        <v/>
      </c>
      <c r="N3066" s="24">
        <f>M3066*'Dashboard &amp; Optimisation'!$B$18/('Dashboard &amp; Optimisation'!$B$16/3.6)</f>
        <v/>
      </c>
      <c r="O3066" s="24" t="n">
        <v>1297.301314897171</v>
      </c>
      <c r="P3066" s="25" t="n">
        <v>0.0735384347268611</v>
      </c>
      <c r="Q3066" s="26" t="n">
        <v>6.857688308810928</v>
      </c>
      <c r="R3066" s="24" t="n">
        <v>5312.843230992317</v>
      </c>
      <c r="S3066" s="24">
        <f>R3066*IF(A3066=4, 2.0, 3.0)</f>
        <v/>
      </c>
      <c r="T3066" s="22">
        <f>'Dashboard &amp; Optimisation'!$B$18*U3066</f>
        <v/>
      </c>
      <c r="U3066" s="27">
        <f>MIN(1, S3066/M3066)</f>
        <v/>
      </c>
      <c r="V3066" s="27">
        <f>N3066/(N3066+O3066)</f>
        <v/>
      </c>
      <c r="W3066" s="27">
        <f>U3066*V3066</f>
        <v/>
      </c>
      <c r="X3066" s="25">
        <f>T3066/N3066</f>
        <v/>
      </c>
      <c r="Y3066" s="28">
        <f>IF(W3066=MAXIFS(W$2:W$3601, A$2:A$3601, A3066, B$2:B$3601, B3066), "OPTIMAL", "")</f>
        <v/>
      </c>
    </row>
    <row r="3067" ht="20" customHeight="1">
      <c r="A3067" s="29" t="n">
        <v>-18</v>
      </c>
      <c r="B3067" s="29" t="n">
        <v>40</v>
      </c>
      <c r="C3067" s="30" t="n">
        <v>100</v>
      </c>
      <c r="D3067" s="30" t="n">
        <v>3</v>
      </c>
      <c r="E3067" s="6" t="n">
        <v>4</v>
      </c>
      <c r="F3067" s="30" t="n">
        <v>1.5</v>
      </c>
      <c r="G3067" s="6" t="inlineStr">
        <is>
          <t>Oui</t>
        </is>
      </c>
      <c r="H3067" s="6" t="inlineStr">
        <is>
          <t>OFF</t>
        </is>
      </c>
      <c r="I3067" s="31" t="n">
        <v>815.012573225423</v>
      </c>
      <c r="J3067" s="31" t="n">
        <v>8308.791548992402</v>
      </c>
      <c r="K3067" s="31" t="n">
        <v>4662.037037037037</v>
      </c>
      <c r="L3067" s="31" t="n">
        <v>150</v>
      </c>
      <c r="M3067" s="31">
        <f>I3067+J3067+K3067+L3067</f>
        <v/>
      </c>
      <c r="N3067" s="31">
        <f>M3067*'Dashboard &amp; Optimisation'!$B$18/('Dashboard &amp; Optimisation'!$B$16/3.6)</f>
        <v/>
      </c>
      <c r="O3067" s="31" t="n">
        <v>1297.301314897171</v>
      </c>
      <c r="P3067" s="32" t="n">
        <v>0.307100869502758</v>
      </c>
      <c r="Q3067" s="33" t="n">
        <v>6.857688308810928</v>
      </c>
      <c r="R3067" s="31" t="n">
        <v>1272.214487015204</v>
      </c>
      <c r="S3067" s="31">
        <f>R3067*IF(A3067=4, 2.0, 3.0)</f>
        <v/>
      </c>
      <c r="T3067" s="30">
        <f>'Dashboard &amp; Optimisation'!$B$18*U3067</f>
        <v/>
      </c>
      <c r="U3067" s="34">
        <f>MIN(1, S3067/M3067)</f>
        <v/>
      </c>
      <c r="V3067" s="34">
        <f>N3067/(N3067+O3067)</f>
        <v/>
      </c>
      <c r="W3067" s="34">
        <f>U3067*V3067</f>
        <v/>
      </c>
      <c r="X3067" s="32">
        <f>T3067/N3067</f>
        <v/>
      </c>
      <c r="Y3067" s="35">
        <f>IF(W3067=MAXIFS(W$2:W$3601, A$2:A$3601, A3067, B$2:B$3601, B3067), "OPTIMAL", "")</f>
        <v/>
      </c>
    </row>
    <row r="3068" ht="20" customHeight="1">
      <c r="A3068" s="21" t="n">
        <v>-18</v>
      </c>
      <c r="B3068" s="21" t="n">
        <v>40</v>
      </c>
      <c r="C3068" s="22" t="n">
        <v>100</v>
      </c>
      <c r="D3068" s="22" t="n">
        <v>3</v>
      </c>
      <c r="E3068" s="23" t="n">
        <v>4</v>
      </c>
      <c r="F3068" s="22" t="n">
        <v>1.5</v>
      </c>
      <c r="G3068" s="23" t="inlineStr">
        <is>
          <t>Non</t>
        </is>
      </c>
      <c r="H3068" s="23" t="inlineStr">
        <is>
          <t>ON</t>
        </is>
      </c>
      <c r="I3068" s="24" t="n">
        <v>815.012573225423</v>
      </c>
      <c r="J3068" s="24" t="n">
        <v>8308.791548992402</v>
      </c>
      <c r="K3068" s="24" t="n">
        <v>4662.037037037037</v>
      </c>
      <c r="L3068" s="24" t="n">
        <v>150</v>
      </c>
      <c r="M3068" s="24">
        <f>I3068+J3068+K3068+L3068</f>
        <v/>
      </c>
      <c r="N3068" s="24">
        <f>M3068*'Dashboard &amp; Optimisation'!$B$18/('Dashboard &amp; Optimisation'!$B$16/3.6)</f>
        <v/>
      </c>
      <c r="O3068" s="24" t="n">
        <v>1297.301314897171</v>
      </c>
      <c r="P3068" s="25" t="n">
        <v>0.07035533586502318</v>
      </c>
      <c r="Q3068" s="26" t="n">
        <v>6.857688308810928</v>
      </c>
      <c r="R3068" s="24" t="n">
        <v>5553.213133768978</v>
      </c>
      <c r="S3068" s="24">
        <f>R3068*IF(A3068=4, 2.0, 3.0)</f>
        <v/>
      </c>
      <c r="T3068" s="22">
        <f>'Dashboard &amp; Optimisation'!$B$18*U3068</f>
        <v/>
      </c>
      <c r="U3068" s="27">
        <f>MIN(1, S3068/M3068)</f>
        <v/>
      </c>
      <c r="V3068" s="27">
        <f>N3068/(N3068+O3068)</f>
        <v/>
      </c>
      <c r="W3068" s="27">
        <f>U3068*V3068</f>
        <v/>
      </c>
      <c r="X3068" s="25">
        <f>T3068/N3068</f>
        <v/>
      </c>
      <c r="Y3068" s="28">
        <f>IF(W3068=MAXIFS(W$2:W$3601, A$2:A$3601, A3068, B$2:B$3601, B3068), "OPTIMAL", "")</f>
        <v/>
      </c>
    </row>
    <row r="3069" ht="20" customHeight="1">
      <c r="A3069" s="29" t="n">
        <v>-18</v>
      </c>
      <c r="B3069" s="29" t="n">
        <v>40</v>
      </c>
      <c r="C3069" s="30" t="n">
        <v>100</v>
      </c>
      <c r="D3069" s="30" t="n">
        <v>3</v>
      </c>
      <c r="E3069" s="6" t="n">
        <v>4</v>
      </c>
      <c r="F3069" s="30" t="n">
        <v>1.5</v>
      </c>
      <c r="G3069" s="6" t="inlineStr">
        <is>
          <t>Non</t>
        </is>
      </c>
      <c r="H3069" s="6" t="inlineStr">
        <is>
          <t>OFF</t>
        </is>
      </c>
      <c r="I3069" s="31" t="n">
        <v>815.012573225423</v>
      </c>
      <c r="J3069" s="31" t="n">
        <v>8308.791548992402</v>
      </c>
      <c r="K3069" s="31" t="n">
        <v>4662.037037037037</v>
      </c>
      <c r="L3069" s="31" t="n">
        <v>150</v>
      </c>
      <c r="M3069" s="31">
        <f>I3069+J3069+K3069+L3069</f>
        <v/>
      </c>
      <c r="N3069" s="31">
        <f>M3069*'Dashboard &amp; Optimisation'!$B$18/('Dashboard &amp; Optimisation'!$B$16/3.6)</f>
        <v/>
      </c>
      <c r="O3069" s="31" t="n">
        <v>1297.301314897171</v>
      </c>
      <c r="P3069" s="32" t="n">
        <v>0.3039177706409201</v>
      </c>
      <c r="Q3069" s="33" t="n">
        <v>6.857688308810928</v>
      </c>
      <c r="R3069" s="31" t="n">
        <v>1285.539092802789</v>
      </c>
      <c r="S3069" s="31">
        <f>R3069*IF(A3069=4, 2.0, 3.0)</f>
        <v/>
      </c>
      <c r="T3069" s="30">
        <f>'Dashboard &amp; Optimisation'!$B$18*U3069</f>
        <v/>
      </c>
      <c r="U3069" s="34">
        <f>MIN(1, S3069/M3069)</f>
        <v/>
      </c>
      <c r="V3069" s="34">
        <f>N3069/(N3069+O3069)</f>
        <v/>
      </c>
      <c r="W3069" s="34">
        <f>U3069*V3069</f>
        <v/>
      </c>
      <c r="X3069" s="32">
        <f>T3069/N3069</f>
        <v/>
      </c>
      <c r="Y3069" s="35">
        <f>IF(W3069=MAXIFS(W$2:W$3601, A$2:A$3601, A3069, B$2:B$3601, B3069), "OPTIMAL", "")</f>
        <v/>
      </c>
    </row>
    <row r="3070" ht="20" customHeight="1">
      <c r="A3070" s="21" t="n">
        <v>-18</v>
      </c>
      <c r="B3070" s="21" t="n">
        <v>40</v>
      </c>
      <c r="C3070" s="22" t="n">
        <v>100</v>
      </c>
      <c r="D3070" s="22" t="n">
        <v>3</v>
      </c>
      <c r="E3070" s="23" t="n">
        <v>4</v>
      </c>
      <c r="F3070" s="22" t="n">
        <v>2</v>
      </c>
      <c r="G3070" s="23" t="inlineStr">
        <is>
          <t>Oui</t>
        </is>
      </c>
      <c r="H3070" s="23" t="inlineStr">
        <is>
          <t>ON</t>
        </is>
      </c>
      <c r="I3070" s="24" t="n">
        <v>815.012573225423</v>
      </c>
      <c r="J3070" s="24" t="n">
        <v>8308.791548992402</v>
      </c>
      <c r="K3070" s="24" t="n">
        <v>4662.037037037037</v>
      </c>
      <c r="L3070" s="24" t="n">
        <v>150</v>
      </c>
      <c r="M3070" s="24">
        <f>I3070+J3070+K3070+L3070</f>
        <v/>
      </c>
      <c r="N3070" s="24">
        <f>M3070*'Dashboard &amp; Optimisation'!$B$18/('Dashboard &amp; Optimisation'!$B$16/3.6)</f>
        <v/>
      </c>
      <c r="O3070" s="24" t="n">
        <v>1424.226820453887</v>
      </c>
      <c r="P3070" s="25" t="n">
        <v>0.07090019831070833</v>
      </c>
      <c r="Q3070" s="26" t="n">
        <v>9.076917745081236</v>
      </c>
      <c r="R3070" s="24" t="n">
        <v>5572.955226035678</v>
      </c>
      <c r="S3070" s="24">
        <f>R3070*IF(A3070=4, 2.0, 3.0)</f>
        <v/>
      </c>
      <c r="T3070" s="22">
        <f>'Dashboard &amp; Optimisation'!$B$18*U3070</f>
        <v/>
      </c>
      <c r="U3070" s="27">
        <f>MIN(1, S3070/M3070)</f>
        <v/>
      </c>
      <c r="V3070" s="27">
        <f>N3070/(N3070+O3070)</f>
        <v/>
      </c>
      <c r="W3070" s="27">
        <f>U3070*V3070</f>
        <v/>
      </c>
      <c r="X3070" s="25">
        <f>T3070/N3070</f>
        <v/>
      </c>
      <c r="Y3070" s="28">
        <f>IF(W3070=MAXIFS(W$2:W$3601, A$2:A$3601, A3070, B$2:B$3601, B3070), "OPTIMAL", "")</f>
        <v/>
      </c>
    </row>
    <row r="3071" ht="20" customHeight="1">
      <c r="A3071" s="29" t="n">
        <v>-18</v>
      </c>
      <c r="B3071" s="29" t="n">
        <v>40</v>
      </c>
      <c r="C3071" s="30" t="n">
        <v>100</v>
      </c>
      <c r="D3071" s="30" t="n">
        <v>3</v>
      </c>
      <c r="E3071" s="6" t="n">
        <v>4</v>
      </c>
      <c r="F3071" s="30" t="n">
        <v>2</v>
      </c>
      <c r="G3071" s="6" t="inlineStr">
        <is>
          <t>Oui</t>
        </is>
      </c>
      <c r="H3071" s="6" t="inlineStr">
        <is>
          <t>OFF</t>
        </is>
      </c>
      <c r="I3071" s="31" t="n">
        <v>815.012573225423</v>
      </c>
      <c r="J3071" s="31" t="n">
        <v>8308.791548992402</v>
      </c>
      <c r="K3071" s="31" t="n">
        <v>4662.037037037037</v>
      </c>
      <c r="L3071" s="31" t="n">
        <v>150</v>
      </c>
      <c r="M3071" s="31">
        <f>I3071+J3071+K3071+L3071</f>
        <v/>
      </c>
      <c r="N3071" s="31">
        <f>M3071*'Dashboard &amp; Optimisation'!$B$18/('Dashboard &amp; Optimisation'!$B$16/3.6)</f>
        <v/>
      </c>
      <c r="O3071" s="31" t="n">
        <v>1424.226820453887</v>
      </c>
      <c r="P3071" s="32" t="n">
        <v>0.305556811068225</v>
      </c>
      <c r="Q3071" s="33" t="n">
        <v>9.076917745081236</v>
      </c>
      <c r="R3071" s="31" t="n">
        <v>1293.126568906377</v>
      </c>
      <c r="S3071" s="31">
        <f>R3071*IF(A3071=4, 2.0, 3.0)</f>
        <v/>
      </c>
      <c r="T3071" s="30">
        <f>'Dashboard &amp; Optimisation'!$B$18*U3071</f>
        <v/>
      </c>
      <c r="U3071" s="34">
        <f>MIN(1, S3071/M3071)</f>
        <v/>
      </c>
      <c r="V3071" s="34">
        <f>N3071/(N3071+O3071)</f>
        <v/>
      </c>
      <c r="W3071" s="34">
        <f>U3071*V3071</f>
        <v/>
      </c>
      <c r="X3071" s="32">
        <f>T3071/N3071</f>
        <v/>
      </c>
      <c r="Y3071" s="35">
        <f>IF(W3071=MAXIFS(W$2:W$3601, A$2:A$3601, A3071, B$2:B$3601, B3071), "OPTIMAL", "")</f>
        <v/>
      </c>
    </row>
    <row r="3072" ht="20" customHeight="1">
      <c r="A3072" s="21" t="n">
        <v>-18</v>
      </c>
      <c r="B3072" s="21" t="n">
        <v>40</v>
      </c>
      <c r="C3072" s="22" t="n">
        <v>100</v>
      </c>
      <c r="D3072" s="22" t="n">
        <v>3</v>
      </c>
      <c r="E3072" s="23" t="n">
        <v>4</v>
      </c>
      <c r="F3072" s="22" t="n">
        <v>2</v>
      </c>
      <c r="G3072" s="23" t="inlineStr">
        <is>
          <t>Non</t>
        </is>
      </c>
      <c r="H3072" s="23" t="inlineStr">
        <is>
          <t>ON</t>
        </is>
      </c>
      <c r="I3072" s="24" t="n">
        <v>815.012573225423</v>
      </c>
      <c r="J3072" s="24" t="n">
        <v>8308.791548992402</v>
      </c>
      <c r="K3072" s="24" t="n">
        <v>4662.037037037037</v>
      </c>
      <c r="L3072" s="24" t="n">
        <v>150</v>
      </c>
      <c r="M3072" s="24">
        <f>I3072+J3072+K3072+L3072</f>
        <v/>
      </c>
      <c r="N3072" s="24">
        <f>M3072*'Dashboard &amp; Optimisation'!$B$18/('Dashboard &amp; Optimisation'!$B$16/3.6)</f>
        <v/>
      </c>
      <c r="O3072" s="24" t="n">
        <v>1424.226820453887</v>
      </c>
      <c r="P3072" s="25" t="n">
        <v>0.06771709944887042</v>
      </c>
      <c r="Q3072" s="26" t="n">
        <v>9.076917745081236</v>
      </c>
      <c r="R3072" s="24" t="n">
        <v>5834.916644664687</v>
      </c>
      <c r="S3072" s="24">
        <f>R3072*IF(A3072=4, 2.0, 3.0)</f>
        <v/>
      </c>
      <c r="T3072" s="22">
        <f>'Dashboard &amp; Optimisation'!$B$18*U3072</f>
        <v/>
      </c>
      <c r="U3072" s="27">
        <f>MIN(1, S3072/M3072)</f>
        <v/>
      </c>
      <c r="V3072" s="27">
        <f>N3072/(N3072+O3072)</f>
        <v/>
      </c>
      <c r="W3072" s="27">
        <f>U3072*V3072</f>
        <v/>
      </c>
      <c r="X3072" s="25">
        <f>T3072/N3072</f>
        <v/>
      </c>
      <c r="Y3072" s="28">
        <f>IF(W3072=MAXIFS(W$2:W$3601, A$2:A$3601, A3072, B$2:B$3601, B3072), "OPTIMAL", "")</f>
        <v/>
      </c>
    </row>
    <row r="3073" ht="20" customHeight="1">
      <c r="A3073" s="29" t="n">
        <v>-18</v>
      </c>
      <c r="B3073" s="29" t="n">
        <v>40</v>
      </c>
      <c r="C3073" s="30" t="n">
        <v>100</v>
      </c>
      <c r="D3073" s="30" t="n">
        <v>3</v>
      </c>
      <c r="E3073" s="6" t="n">
        <v>4</v>
      </c>
      <c r="F3073" s="30" t="n">
        <v>2</v>
      </c>
      <c r="G3073" s="6" t="inlineStr">
        <is>
          <t>Non</t>
        </is>
      </c>
      <c r="H3073" s="6" t="inlineStr">
        <is>
          <t>OFF</t>
        </is>
      </c>
      <c r="I3073" s="31" t="n">
        <v>815.012573225423</v>
      </c>
      <c r="J3073" s="31" t="n">
        <v>8308.791548992402</v>
      </c>
      <c r="K3073" s="31" t="n">
        <v>4662.037037037037</v>
      </c>
      <c r="L3073" s="31" t="n">
        <v>150</v>
      </c>
      <c r="M3073" s="31">
        <f>I3073+J3073+K3073+L3073</f>
        <v/>
      </c>
      <c r="N3073" s="31">
        <f>M3073*'Dashboard &amp; Optimisation'!$B$18/('Dashboard &amp; Optimisation'!$B$16/3.6)</f>
        <v/>
      </c>
      <c r="O3073" s="31" t="n">
        <v>1424.226820453887</v>
      </c>
      <c r="P3073" s="32" t="n">
        <v>0.302373712206387</v>
      </c>
      <c r="Q3073" s="33" t="n">
        <v>9.076917745081236</v>
      </c>
      <c r="R3073" s="31" t="n">
        <v>1306.739358456313</v>
      </c>
      <c r="S3073" s="31">
        <f>R3073*IF(A3073=4, 2.0, 3.0)</f>
        <v/>
      </c>
      <c r="T3073" s="30">
        <f>'Dashboard &amp; Optimisation'!$B$18*U3073</f>
        <v/>
      </c>
      <c r="U3073" s="34">
        <f>MIN(1, S3073/M3073)</f>
        <v/>
      </c>
      <c r="V3073" s="34">
        <f>N3073/(N3073+O3073)</f>
        <v/>
      </c>
      <c r="W3073" s="34">
        <f>U3073*V3073</f>
        <v/>
      </c>
      <c r="X3073" s="32">
        <f>T3073/N3073</f>
        <v/>
      </c>
      <c r="Y3073" s="35">
        <f>IF(W3073=MAXIFS(W$2:W$3601, A$2:A$3601, A3073, B$2:B$3601, B3073), "OPTIMAL", "")</f>
        <v/>
      </c>
    </row>
    <row r="3074" ht="20" customHeight="1">
      <c r="A3074" s="21" t="n">
        <v>-18</v>
      </c>
      <c r="B3074" s="21" t="n">
        <v>40</v>
      </c>
      <c r="C3074" s="22" t="n">
        <v>100</v>
      </c>
      <c r="D3074" s="22" t="n">
        <v>3</v>
      </c>
      <c r="E3074" s="23" t="n">
        <v>8</v>
      </c>
      <c r="F3074" s="22" t="n">
        <v>1.5</v>
      </c>
      <c r="G3074" s="23" t="inlineStr">
        <is>
          <t>Oui</t>
        </is>
      </c>
      <c r="H3074" s="23" t="inlineStr">
        <is>
          <t>ON</t>
        </is>
      </c>
      <c r="I3074" s="24" t="n">
        <v>815.012573225423</v>
      </c>
      <c r="J3074" s="24" t="n">
        <v>8308.791548992402</v>
      </c>
      <c r="K3074" s="24" t="n">
        <v>4662.037037037037</v>
      </c>
      <c r="L3074" s="24" t="n">
        <v>150</v>
      </c>
      <c r="M3074" s="24">
        <f>I3074+J3074+K3074+L3074</f>
        <v/>
      </c>
      <c r="N3074" s="24">
        <f>M3074*'Dashboard &amp; Optimisation'!$B$18/('Dashboard &amp; Optimisation'!$B$16/3.6)</f>
        <v/>
      </c>
      <c r="O3074" s="24" t="n">
        <v>1686.903923600281</v>
      </c>
      <c r="P3074" s="25" t="n">
        <v>0.05562346576923688</v>
      </c>
      <c r="Q3074" s="26" t="n">
        <v>13.51537661762185</v>
      </c>
      <c r="R3074" s="24" t="n">
        <v>7268.196464515211</v>
      </c>
      <c r="S3074" s="24">
        <f>R3074*IF(A3074=4, 2.0, 3.0)</f>
        <v/>
      </c>
      <c r="T3074" s="22">
        <f>'Dashboard &amp; Optimisation'!$B$18*U3074</f>
        <v/>
      </c>
      <c r="U3074" s="27">
        <f>MIN(1, S3074/M3074)</f>
        <v/>
      </c>
      <c r="V3074" s="27">
        <f>N3074/(N3074+O3074)</f>
        <v/>
      </c>
      <c r="W3074" s="27">
        <f>U3074*V3074</f>
        <v/>
      </c>
      <c r="X3074" s="25">
        <f>T3074/N3074</f>
        <v/>
      </c>
      <c r="Y3074" s="28">
        <f>IF(W3074=MAXIFS(W$2:W$3601, A$2:A$3601, A3074, B$2:B$3601, B3074), "OPTIMAL", "")</f>
        <v/>
      </c>
    </row>
    <row r="3075" ht="20" customHeight="1">
      <c r="A3075" s="29" t="n">
        <v>-18</v>
      </c>
      <c r="B3075" s="29" t="n">
        <v>40</v>
      </c>
      <c r="C3075" s="30" t="n">
        <v>100</v>
      </c>
      <c r="D3075" s="30" t="n">
        <v>3</v>
      </c>
      <c r="E3075" s="6" t="n">
        <v>8</v>
      </c>
      <c r="F3075" s="30" t="n">
        <v>1.5</v>
      </c>
      <c r="G3075" s="6" t="inlineStr">
        <is>
          <t>Oui</t>
        </is>
      </c>
      <c r="H3075" s="6" t="inlineStr">
        <is>
          <t>OFF</t>
        </is>
      </c>
      <c r="I3075" s="31" t="n">
        <v>815.012573225423</v>
      </c>
      <c r="J3075" s="31" t="n">
        <v>8308.791548992402</v>
      </c>
      <c r="K3075" s="31" t="n">
        <v>4662.037037037037</v>
      </c>
      <c r="L3075" s="31" t="n">
        <v>150</v>
      </c>
      <c r="M3075" s="31">
        <f>I3075+J3075+K3075+L3075</f>
        <v/>
      </c>
      <c r="N3075" s="31">
        <f>M3075*'Dashboard &amp; Optimisation'!$B$18/('Dashboard &amp; Optimisation'!$B$16/3.6)</f>
        <v/>
      </c>
      <c r="O3075" s="31" t="n">
        <v>1686.903923600281</v>
      </c>
      <c r="P3075" s="32" t="n">
        <v>0.2400757351497012</v>
      </c>
      <c r="Q3075" s="33" t="n">
        <v>13.51537661762185</v>
      </c>
      <c r="R3075" s="31" t="n">
        <v>1683.978087148028</v>
      </c>
      <c r="S3075" s="31">
        <f>R3075*IF(A3075=4, 2.0, 3.0)</f>
        <v/>
      </c>
      <c r="T3075" s="30">
        <f>'Dashboard &amp; Optimisation'!$B$18*U3075</f>
        <v/>
      </c>
      <c r="U3075" s="34">
        <f>MIN(1, S3075/M3075)</f>
        <v/>
      </c>
      <c r="V3075" s="34">
        <f>N3075/(N3075+O3075)</f>
        <v/>
      </c>
      <c r="W3075" s="34">
        <f>U3075*V3075</f>
        <v/>
      </c>
      <c r="X3075" s="32">
        <f>T3075/N3075</f>
        <v/>
      </c>
      <c r="Y3075" s="35">
        <f>IF(W3075=MAXIFS(W$2:W$3601, A$2:A$3601, A3075, B$2:B$3601, B3075), "OPTIMAL", "")</f>
        <v/>
      </c>
    </row>
    <row r="3076" ht="20" customHeight="1">
      <c r="A3076" s="21" t="n">
        <v>-18</v>
      </c>
      <c r="B3076" s="21" t="n">
        <v>40</v>
      </c>
      <c r="C3076" s="22" t="n">
        <v>100</v>
      </c>
      <c r="D3076" s="22" t="n">
        <v>3</v>
      </c>
      <c r="E3076" s="23" t="n">
        <v>8</v>
      </c>
      <c r="F3076" s="22" t="n">
        <v>1.5</v>
      </c>
      <c r="G3076" s="23" t="inlineStr">
        <is>
          <t>Non</t>
        </is>
      </c>
      <c r="H3076" s="23" t="inlineStr">
        <is>
          <t>ON</t>
        </is>
      </c>
      <c r="I3076" s="24" t="n">
        <v>815.012573225423</v>
      </c>
      <c r="J3076" s="24" t="n">
        <v>8308.791548992402</v>
      </c>
      <c r="K3076" s="24" t="n">
        <v>4662.037037037037</v>
      </c>
      <c r="L3076" s="24" t="n">
        <v>150</v>
      </c>
      <c r="M3076" s="24">
        <f>I3076+J3076+K3076+L3076</f>
        <v/>
      </c>
      <c r="N3076" s="24">
        <f>M3076*'Dashboard &amp; Optimisation'!$B$18/('Dashboard &amp; Optimisation'!$B$16/3.6)</f>
        <v/>
      </c>
      <c r="O3076" s="24" t="n">
        <v>1686.903923600281</v>
      </c>
      <c r="P3076" s="25" t="n">
        <v>0.05244036690739898</v>
      </c>
      <c r="Q3076" s="26" t="n">
        <v>13.51537661762185</v>
      </c>
      <c r="R3076" s="24" t="n">
        <v>7709.371636585725</v>
      </c>
      <c r="S3076" s="24">
        <f>R3076*IF(A3076=4, 2.0, 3.0)</f>
        <v/>
      </c>
      <c r="T3076" s="22">
        <f>'Dashboard &amp; Optimisation'!$B$18*U3076</f>
        <v/>
      </c>
      <c r="U3076" s="27">
        <f>MIN(1, S3076/M3076)</f>
        <v/>
      </c>
      <c r="V3076" s="27">
        <f>N3076/(N3076+O3076)</f>
        <v/>
      </c>
      <c r="W3076" s="27">
        <f>U3076*V3076</f>
        <v/>
      </c>
      <c r="X3076" s="25">
        <f>T3076/N3076</f>
        <v/>
      </c>
      <c r="Y3076" s="28">
        <f>IF(W3076=MAXIFS(W$2:W$3601, A$2:A$3601, A3076, B$2:B$3601, B3076), "OPTIMAL", "")</f>
        <v/>
      </c>
    </row>
    <row r="3077" ht="20" customHeight="1">
      <c r="A3077" s="29" t="n">
        <v>-18</v>
      </c>
      <c r="B3077" s="29" t="n">
        <v>40</v>
      </c>
      <c r="C3077" s="30" t="n">
        <v>100</v>
      </c>
      <c r="D3077" s="30" t="n">
        <v>3</v>
      </c>
      <c r="E3077" s="6" t="n">
        <v>8</v>
      </c>
      <c r="F3077" s="30" t="n">
        <v>1.5</v>
      </c>
      <c r="G3077" s="6" t="inlineStr">
        <is>
          <t>Non</t>
        </is>
      </c>
      <c r="H3077" s="6" t="inlineStr">
        <is>
          <t>OFF</t>
        </is>
      </c>
      <c r="I3077" s="31" t="n">
        <v>815.012573225423</v>
      </c>
      <c r="J3077" s="31" t="n">
        <v>8308.791548992402</v>
      </c>
      <c r="K3077" s="31" t="n">
        <v>4662.037037037037</v>
      </c>
      <c r="L3077" s="31" t="n">
        <v>150</v>
      </c>
      <c r="M3077" s="31">
        <f>I3077+J3077+K3077+L3077</f>
        <v/>
      </c>
      <c r="N3077" s="31">
        <f>M3077*'Dashboard &amp; Optimisation'!$B$18/('Dashboard &amp; Optimisation'!$B$16/3.6)</f>
        <v/>
      </c>
      <c r="O3077" s="31" t="n">
        <v>1686.903923600281</v>
      </c>
      <c r="P3077" s="32" t="n">
        <v>0.2368926362878633</v>
      </c>
      <c r="Q3077" s="33" t="n">
        <v>13.51537661762185</v>
      </c>
      <c r="R3077" s="31" t="n">
        <v>1706.605505275315</v>
      </c>
      <c r="S3077" s="31">
        <f>R3077*IF(A3077=4, 2.0, 3.0)</f>
        <v/>
      </c>
      <c r="T3077" s="30">
        <f>'Dashboard &amp; Optimisation'!$B$18*U3077</f>
        <v/>
      </c>
      <c r="U3077" s="34">
        <f>MIN(1, S3077/M3077)</f>
        <v/>
      </c>
      <c r="V3077" s="34">
        <f>N3077/(N3077+O3077)</f>
        <v/>
      </c>
      <c r="W3077" s="34">
        <f>U3077*V3077</f>
        <v/>
      </c>
      <c r="X3077" s="32">
        <f>T3077/N3077</f>
        <v/>
      </c>
      <c r="Y3077" s="35">
        <f>IF(W3077=MAXIFS(W$2:W$3601, A$2:A$3601, A3077, B$2:B$3601, B3077), "OPTIMAL", "")</f>
        <v/>
      </c>
    </row>
    <row r="3078" ht="20" customHeight="1">
      <c r="A3078" s="21" t="n">
        <v>-18</v>
      </c>
      <c r="B3078" s="21" t="n">
        <v>40</v>
      </c>
      <c r="C3078" s="22" t="n">
        <v>100</v>
      </c>
      <c r="D3078" s="22" t="n">
        <v>3</v>
      </c>
      <c r="E3078" s="23" t="n">
        <v>8</v>
      </c>
      <c r="F3078" s="22" t="n">
        <v>2</v>
      </c>
      <c r="G3078" s="23" t="inlineStr">
        <is>
          <t>Oui</t>
        </is>
      </c>
      <c r="H3078" s="23" t="inlineStr">
        <is>
          <t>ON</t>
        </is>
      </c>
      <c r="I3078" s="24" t="n">
        <v>815.012573225423</v>
      </c>
      <c r="J3078" s="24" t="n">
        <v>8308.791548992402</v>
      </c>
      <c r="K3078" s="24" t="n">
        <v>4662.037037037037</v>
      </c>
      <c r="L3078" s="24" t="n">
        <v>150</v>
      </c>
      <c r="M3078" s="24">
        <f>I3078+J3078+K3078+L3078</f>
        <v/>
      </c>
      <c r="N3078" s="24">
        <f>M3078*'Dashboard &amp; Optimisation'!$B$18/('Dashboard &amp; Optimisation'!$B$16/3.6)</f>
        <v/>
      </c>
      <c r="O3078" s="24" t="n">
        <v>1962.047270276752</v>
      </c>
      <c r="P3078" s="25" t="n">
        <v>0.05441799410512958</v>
      </c>
      <c r="Q3078" s="26" t="n">
        <v>17.95383549016247</v>
      </c>
      <c r="R3078" s="24" t="n">
        <v>7605.491264551613</v>
      </c>
      <c r="S3078" s="24">
        <f>R3078*IF(A3078=4, 2.0, 3.0)</f>
        <v/>
      </c>
      <c r="T3078" s="22">
        <f>'Dashboard &amp; Optimisation'!$B$18*U3078</f>
        <v/>
      </c>
      <c r="U3078" s="27">
        <f>MIN(1, S3078/M3078)</f>
        <v/>
      </c>
      <c r="V3078" s="27">
        <f>N3078/(N3078+O3078)</f>
        <v/>
      </c>
      <c r="W3078" s="27">
        <f>U3078*V3078</f>
        <v/>
      </c>
      <c r="X3078" s="25">
        <f>T3078/N3078</f>
        <v/>
      </c>
      <c r="Y3078" s="28">
        <f>IF(W3078=MAXIFS(W$2:W$3601, A$2:A$3601, A3078, B$2:B$3601, B3078), "OPTIMAL", "")</f>
        <v/>
      </c>
    </row>
    <row r="3079" ht="20" customHeight="1">
      <c r="A3079" s="29" t="n">
        <v>-18</v>
      </c>
      <c r="B3079" s="29" t="n">
        <v>40</v>
      </c>
      <c r="C3079" s="30" t="n">
        <v>100</v>
      </c>
      <c r="D3079" s="30" t="n">
        <v>3</v>
      </c>
      <c r="E3079" s="6" t="n">
        <v>8</v>
      </c>
      <c r="F3079" s="30" t="n">
        <v>2</v>
      </c>
      <c r="G3079" s="6" t="inlineStr">
        <is>
          <t>Oui</t>
        </is>
      </c>
      <c r="H3079" s="6" t="inlineStr">
        <is>
          <t>OFF</t>
        </is>
      </c>
      <c r="I3079" s="31" t="n">
        <v>815.012573225423</v>
      </c>
      <c r="J3079" s="31" t="n">
        <v>8308.791548992402</v>
      </c>
      <c r="K3079" s="31" t="n">
        <v>4662.037037037037</v>
      </c>
      <c r="L3079" s="31" t="n">
        <v>150</v>
      </c>
      <c r="M3079" s="31">
        <f>I3079+J3079+K3079+L3079</f>
        <v/>
      </c>
      <c r="N3079" s="31">
        <f>M3079*'Dashboard &amp; Optimisation'!$B$18/('Dashboard &amp; Optimisation'!$B$16/3.6)</f>
        <v/>
      </c>
      <c r="O3079" s="31" t="n">
        <v>1962.047270276752</v>
      </c>
      <c r="P3079" s="32" t="n">
        <v>0.2402392320400437</v>
      </c>
      <c r="Q3079" s="33" t="n">
        <v>17.95383549016247</v>
      </c>
      <c r="R3079" s="31" t="n">
        <v>1722.764326569269</v>
      </c>
      <c r="S3079" s="31">
        <f>R3079*IF(A3079=4, 2.0, 3.0)</f>
        <v/>
      </c>
      <c r="T3079" s="30">
        <f>'Dashboard &amp; Optimisation'!$B$18*U3079</f>
        <v/>
      </c>
      <c r="U3079" s="34">
        <f>MIN(1, S3079/M3079)</f>
        <v/>
      </c>
      <c r="V3079" s="34">
        <f>N3079/(N3079+O3079)</f>
        <v/>
      </c>
      <c r="W3079" s="34">
        <f>U3079*V3079</f>
        <v/>
      </c>
      <c r="X3079" s="32">
        <f>T3079/N3079</f>
        <v/>
      </c>
      <c r="Y3079" s="35">
        <f>IF(W3079=MAXIFS(W$2:W$3601, A$2:A$3601, A3079, B$2:B$3601, B3079), "OPTIMAL", "")</f>
        <v/>
      </c>
    </row>
    <row r="3080" ht="20" customHeight="1">
      <c r="A3080" s="21" t="n">
        <v>-18</v>
      </c>
      <c r="B3080" s="21" t="n">
        <v>40</v>
      </c>
      <c r="C3080" s="22" t="n">
        <v>100</v>
      </c>
      <c r="D3080" s="22" t="n">
        <v>3</v>
      </c>
      <c r="E3080" s="23" t="n">
        <v>8</v>
      </c>
      <c r="F3080" s="22" t="n">
        <v>2</v>
      </c>
      <c r="G3080" s="23" t="inlineStr">
        <is>
          <t>Non</t>
        </is>
      </c>
      <c r="H3080" s="23" t="inlineStr">
        <is>
          <t>ON</t>
        </is>
      </c>
      <c r="I3080" s="24" t="n">
        <v>815.012573225423</v>
      </c>
      <c r="J3080" s="24" t="n">
        <v>8308.791548992402</v>
      </c>
      <c r="K3080" s="24" t="n">
        <v>4662.037037037037</v>
      </c>
      <c r="L3080" s="24" t="n">
        <v>150</v>
      </c>
      <c r="M3080" s="24">
        <f>I3080+J3080+K3080+L3080</f>
        <v/>
      </c>
      <c r="N3080" s="24">
        <f>M3080*'Dashboard &amp; Optimisation'!$B$18/('Dashboard &amp; Optimisation'!$B$16/3.6)</f>
        <v/>
      </c>
      <c r="O3080" s="24" t="n">
        <v>1962.047270276752</v>
      </c>
      <c r="P3080" s="25" t="n">
        <v>0.05123489524329167</v>
      </c>
      <c r="Q3080" s="26" t="n">
        <v>17.95383549016247</v>
      </c>
      <c r="R3080" s="24" t="n">
        <v>8078.001854706126</v>
      </c>
      <c r="S3080" s="24">
        <f>R3080*IF(A3080=4, 2.0, 3.0)</f>
        <v/>
      </c>
      <c r="T3080" s="22">
        <f>'Dashboard &amp; Optimisation'!$B$18*U3080</f>
        <v/>
      </c>
      <c r="U3080" s="27">
        <f>MIN(1, S3080/M3080)</f>
        <v/>
      </c>
      <c r="V3080" s="27">
        <f>N3080/(N3080+O3080)</f>
        <v/>
      </c>
      <c r="W3080" s="27">
        <f>U3080*V3080</f>
        <v/>
      </c>
      <c r="X3080" s="25">
        <f>T3080/N3080</f>
        <v/>
      </c>
      <c r="Y3080" s="28">
        <f>IF(W3080=MAXIFS(W$2:W$3601, A$2:A$3601, A3080, B$2:B$3601, B3080), "OPTIMAL", "")</f>
        <v/>
      </c>
    </row>
    <row r="3081" ht="20" customHeight="1">
      <c r="A3081" s="29" t="n">
        <v>-18</v>
      </c>
      <c r="B3081" s="29" t="n">
        <v>40</v>
      </c>
      <c r="C3081" s="30" t="n">
        <v>100</v>
      </c>
      <c r="D3081" s="30" t="n">
        <v>3</v>
      </c>
      <c r="E3081" s="6" t="n">
        <v>8</v>
      </c>
      <c r="F3081" s="30" t="n">
        <v>2</v>
      </c>
      <c r="G3081" s="6" t="inlineStr">
        <is>
          <t>Non</t>
        </is>
      </c>
      <c r="H3081" s="6" t="inlineStr">
        <is>
          <t>OFF</t>
        </is>
      </c>
      <c r="I3081" s="31" t="n">
        <v>815.012573225423</v>
      </c>
      <c r="J3081" s="31" t="n">
        <v>8308.791548992402</v>
      </c>
      <c r="K3081" s="31" t="n">
        <v>4662.037037037037</v>
      </c>
      <c r="L3081" s="31" t="n">
        <v>150</v>
      </c>
      <c r="M3081" s="31">
        <f>I3081+J3081+K3081+L3081</f>
        <v/>
      </c>
      <c r="N3081" s="31">
        <f>M3081*'Dashboard &amp; Optimisation'!$B$18/('Dashboard &amp; Optimisation'!$B$16/3.6)</f>
        <v/>
      </c>
      <c r="O3081" s="31" t="n">
        <v>1962.047270276752</v>
      </c>
      <c r="P3081" s="32" t="n">
        <v>0.2370561331782058</v>
      </c>
      <c r="Q3081" s="33" t="n">
        <v>17.95383549016247</v>
      </c>
      <c r="R3081" s="31" t="n">
        <v>1745.896945386582</v>
      </c>
      <c r="S3081" s="31">
        <f>R3081*IF(A3081=4, 2.0, 3.0)</f>
        <v/>
      </c>
      <c r="T3081" s="30">
        <f>'Dashboard &amp; Optimisation'!$B$18*U3081</f>
        <v/>
      </c>
      <c r="U3081" s="34">
        <f>MIN(1, S3081/M3081)</f>
        <v/>
      </c>
      <c r="V3081" s="34">
        <f>N3081/(N3081+O3081)</f>
        <v/>
      </c>
      <c r="W3081" s="34">
        <f>U3081*V3081</f>
        <v/>
      </c>
      <c r="X3081" s="32">
        <f>T3081/N3081</f>
        <v/>
      </c>
      <c r="Y3081" s="35">
        <f>IF(W3081=MAXIFS(W$2:W$3601, A$2:A$3601, A3081, B$2:B$3601, B3081), "OPTIMAL", "")</f>
        <v/>
      </c>
    </row>
    <row r="3082" ht="20" customHeight="1">
      <c r="A3082" s="21" t="n">
        <v>-18</v>
      </c>
      <c r="B3082" s="21" t="n">
        <v>40</v>
      </c>
      <c r="C3082" s="22" t="n">
        <v>105</v>
      </c>
      <c r="D3082" s="22" t="n">
        <v>2</v>
      </c>
      <c r="E3082" s="23" t="n">
        <v>0</v>
      </c>
      <c r="F3082" s="22" t="n">
        <v>0</v>
      </c>
      <c r="G3082" s="23" t="inlineStr">
        <is>
          <t>Oui</t>
        </is>
      </c>
      <c r="H3082" s="23" t="inlineStr">
        <is>
          <t>ON</t>
        </is>
      </c>
      <c r="I3082" s="24" t="n">
        <v>815.012573225423</v>
      </c>
      <c r="J3082" s="24" t="n">
        <v>8308.791548992402</v>
      </c>
      <c r="K3082" s="24" t="n">
        <v>4662.037037037037</v>
      </c>
      <c r="L3082" s="24" t="n">
        <v>150</v>
      </c>
      <c r="M3082" s="24">
        <f>I3082+J3082+K3082+L3082</f>
        <v/>
      </c>
      <c r="N3082" s="24">
        <f>M3082*'Dashboard &amp; Optimisation'!$B$18/('Dashboard &amp; Optimisation'!$B$16/3.6)</f>
        <v/>
      </c>
      <c r="O3082" s="24" t="n">
        <v>572.1138649356909</v>
      </c>
      <c r="P3082" s="25" t="n">
        <v>0.4767371025038626</v>
      </c>
      <c r="Q3082" s="26" t="n">
        <v>0.2</v>
      </c>
      <c r="R3082" s="24" t="n">
        <v>686.7879442066073</v>
      </c>
      <c r="S3082" s="24">
        <f>R3082*IF(A3082=4, 2.0, 3.0)</f>
        <v/>
      </c>
      <c r="T3082" s="22">
        <f>'Dashboard &amp; Optimisation'!$B$18*U3082</f>
        <v/>
      </c>
      <c r="U3082" s="27">
        <f>MIN(1, S3082/M3082)</f>
        <v/>
      </c>
      <c r="V3082" s="27">
        <f>N3082/(N3082+O3082)</f>
        <v/>
      </c>
      <c r="W3082" s="27">
        <f>U3082*V3082</f>
        <v/>
      </c>
      <c r="X3082" s="25">
        <f>T3082/N3082</f>
        <v/>
      </c>
      <c r="Y3082" s="28">
        <f>IF(W3082=MAXIFS(W$2:W$3601, A$2:A$3601, A3082, B$2:B$3601, B3082), "OPTIMAL", "")</f>
        <v/>
      </c>
    </row>
    <row r="3083" ht="20" customHeight="1">
      <c r="A3083" s="29" t="n">
        <v>-18</v>
      </c>
      <c r="B3083" s="29" t="n">
        <v>40</v>
      </c>
      <c r="C3083" s="30" t="n">
        <v>105</v>
      </c>
      <c r="D3083" s="30" t="n">
        <v>2</v>
      </c>
      <c r="E3083" s="6" t="n">
        <v>0</v>
      </c>
      <c r="F3083" s="30" t="n">
        <v>0</v>
      </c>
      <c r="G3083" s="6" t="inlineStr">
        <is>
          <t>Oui</t>
        </is>
      </c>
      <c r="H3083" s="6" t="inlineStr">
        <is>
          <t>OFF</t>
        </is>
      </c>
      <c r="I3083" s="31" t="n">
        <v>815.012573225423</v>
      </c>
      <c r="J3083" s="31" t="n">
        <v>8308.791548992402</v>
      </c>
      <c r="K3083" s="31" t="n">
        <v>4662.037037037037</v>
      </c>
      <c r="L3083" s="31" t="n">
        <v>150</v>
      </c>
      <c r="M3083" s="31">
        <f>I3083+J3083+K3083+L3083</f>
        <v/>
      </c>
      <c r="N3083" s="31">
        <f>M3083*'Dashboard &amp; Optimisation'!$B$18/('Dashboard &amp; Optimisation'!$B$16/3.6)</f>
        <v/>
      </c>
      <c r="O3083" s="31" t="n">
        <v>572.1138649356909</v>
      </c>
      <c r="P3083" s="32" t="n">
        <v>0.7798893750598538</v>
      </c>
      <c r="Q3083" s="33" t="n">
        <v>0.2</v>
      </c>
      <c r="R3083" s="31" t="n">
        <v>419.8253047498106</v>
      </c>
      <c r="S3083" s="31">
        <f>R3083*IF(A3083=4, 2.0, 3.0)</f>
        <v/>
      </c>
      <c r="T3083" s="30">
        <f>'Dashboard &amp; Optimisation'!$B$18*U3083</f>
        <v/>
      </c>
      <c r="U3083" s="34">
        <f>MIN(1, S3083/M3083)</f>
        <v/>
      </c>
      <c r="V3083" s="34">
        <f>N3083/(N3083+O3083)</f>
        <v/>
      </c>
      <c r="W3083" s="34">
        <f>U3083*V3083</f>
        <v/>
      </c>
      <c r="X3083" s="32">
        <f>T3083/N3083</f>
        <v/>
      </c>
      <c r="Y3083" s="35">
        <f>IF(W3083=MAXIFS(W$2:W$3601, A$2:A$3601, A3083, B$2:B$3601, B3083), "OPTIMAL", "")</f>
        <v/>
      </c>
    </row>
    <row r="3084" ht="20" customHeight="1">
      <c r="A3084" s="21" t="n">
        <v>-18</v>
      </c>
      <c r="B3084" s="21" t="n">
        <v>40</v>
      </c>
      <c r="C3084" s="22" t="n">
        <v>105</v>
      </c>
      <c r="D3084" s="22" t="n">
        <v>2</v>
      </c>
      <c r="E3084" s="23" t="n">
        <v>0</v>
      </c>
      <c r="F3084" s="22" t="n">
        <v>0</v>
      </c>
      <c r="G3084" s="23" t="inlineStr">
        <is>
          <t>Non</t>
        </is>
      </c>
      <c r="H3084" s="23" t="inlineStr">
        <is>
          <t>ON</t>
        </is>
      </c>
      <c r="I3084" s="24" t="n">
        <v>815.012573225423</v>
      </c>
      <c r="J3084" s="24" t="n">
        <v>8308.791548992402</v>
      </c>
      <c r="K3084" s="24" t="n">
        <v>4662.037037037037</v>
      </c>
      <c r="L3084" s="24" t="n">
        <v>150</v>
      </c>
      <c r="M3084" s="24">
        <f>I3084+J3084+K3084+L3084</f>
        <v/>
      </c>
      <c r="N3084" s="24">
        <f>M3084*'Dashboard &amp; Optimisation'!$B$18/('Dashboard &amp; Optimisation'!$B$16/3.6)</f>
        <v/>
      </c>
      <c r="O3084" s="24" t="n">
        <v>572.1138649356909</v>
      </c>
      <c r="P3084" s="25" t="n">
        <v>0.4737055797783027</v>
      </c>
      <c r="Q3084" s="26" t="n">
        <v>0.2</v>
      </c>
      <c r="R3084" s="24" t="n">
        <v>691.183107255937</v>
      </c>
      <c r="S3084" s="24">
        <f>R3084*IF(A3084=4, 2.0, 3.0)</f>
        <v/>
      </c>
      <c r="T3084" s="22">
        <f>'Dashboard &amp; Optimisation'!$B$18*U3084</f>
        <v/>
      </c>
      <c r="U3084" s="27">
        <f>MIN(1, S3084/M3084)</f>
        <v/>
      </c>
      <c r="V3084" s="27">
        <f>N3084/(N3084+O3084)</f>
        <v/>
      </c>
      <c r="W3084" s="27">
        <f>U3084*V3084</f>
        <v/>
      </c>
      <c r="X3084" s="25">
        <f>T3084/N3084</f>
        <v/>
      </c>
      <c r="Y3084" s="28">
        <f>IF(W3084=MAXIFS(W$2:W$3601, A$2:A$3601, A3084, B$2:B$3601, B3084), "OPTIMAL", "")</f>
        <v/>
      </c>
    </row>
    <row r="3085" ht="20" customHeight="1">
      <c r="A3085" s="29" t="n">
        <v>-18</v>
      </c>
      <c r="B3085" s="29" t="n">
        <v>40</v>
      </c>
      <c r="C3085" s="30" t="n">
        <v>105</v>
      </c>
      <c r="D3085" s="30" t="n">
        <v>2</v>
      </c>
      <c r="E3085" s="6" t="n">
        <v>0</v>
      </c>
      <c r="F3085" s="30" t="n">
        <v>0</v>
      </c>
      <c r="G3085" s="6" t="inlineStr">
        <is>
          <t>Non</t>
        </is>
      </c>
      <c r="H3085" s="6" t="inlineStr">
        <is>
          <t>OFF</t>
        </is>
      </c>
      <c r="I3085" s="31" t="n">
        <v>815.012573225423</v>
      </c>
      <c r="J3085" s="31" t="n">
        <v>8308.791548992402</v>
      </c>
      <c r="K3085" s="31" t="n">
        <v>4662.037037037037</v>
      </c>
      <c r="L3085" s="31" t="n">
        <v>150</v>
      </c>
      <c r="M3085" s="31">
        <f>I3085+J3085+K3085+L3085</f>
        <v/>
      </c>
      <c r="N3085" s="31">
        <f>M3085*'Dashboard &amp; Optimisation'!$B$18/('Dashboard &amp; Optimisation'!$B$16/3.6)</f>
        <v/>
      </c>
      <c r="O3085" s="31" t="n">
        <v>572.1138649356909</v>
      </c>
      <c r="P3085" s="32" t="n">
        <v>0.7768578523342939</v>
      </c>
      <c r="Q3085" s="33" t="n">
        <v>0.2</v>
      </c>
      <c r="R3085" s="31" t="n">
        <v>421.4635838098599</v>
      </c>
      <c r="S3085" s="31">
        <f>R3085*IF(A3085=4, 2.0, 3.0)</f>
        <v/>
      </c>
      <c r="T3085" s="30">
        <f>'Dashboard &amp; Optimisation'!$B$18*U3085</f>
        <v/>
      </c>
      <c r="U3085" s="34">
        <f>MIN(1, S3085/M3085)</f>
        <v/>
      </c>
      <c r="V3085" s="34">
        <f>N3085/(N3085+O3085)</f>
        <v/>
      </c>
      <c r="W3085" s="34">
        <f>U3085*V3085</f>
        <v/>
      </c>
      <c r="X3085" s="32">
        <f>T3085/N3085</f>
        <v/>
      </c>
      <c r="Y3085" s="35">
        <f>IF(W3085=MAXIFS(W$2:W$3601, A$2:A$3601, A3085, B$2:B$3601, B3085), "OPTIMAL", "")</f>
        <v/>
      </c>
    </row>
    <row r="3086" ht="20" customHeight="1">
      <c r="A3086" s="36" t="n">
        <v>-18</v>
      </c>
      <c r="B3086" s="36" t="n">
        <v>40</v>
      </c>
      <c r="C3086" s="37" t="n">
        <v>105</v>
      </c>
      <c r="D3086" s="37" t="n">
        <v>2</v>
      </c>
      <c r="E3086" s="38" t="n">
        <v>4</v>
      </c>
      <c r="F3086" s="37" t="n">
        <v>1.5</v>
      </c>
      <c r="G3086" s="38" t="inlineStr">
        <is>
          <t>Oui</t>
        </is>
      </c>
      <c r="H3086" s="38" t="inlineStr">
        <is>
          <t>ON</t>
        </is>
      </c>
      <c r="I3086" s="39" t="n">
        <v>815.012573225423</v>
      </c>
      <c r="J3086" s="39" t="n">
        <v>8308.791548992402</v>
      </c>
      <c r="K3086" s="39" t="n">
        <v>4662.037037037037</v>
      </c>
      <c r="L3086" s="39" t="n">
        <v>150</v>
      </c>
      <c r="M3086" s="39">
        <f>I3086+J3086+K3086+L3086</f>
        <v/>
      </c>
      <c r="N3086" s="39">
        <f>M3086*'Dashboard &amp; Optimisation'!$B$18/('Dashboard &amp; Optimisation'!$B$16/3.6)</f>
        <v/>
      </c>
      <c r="O3086" s="39" t="n">
        <v>892.9816750408764</v>
      </c>
      <c r="P3086" s="40" t="n">
        <v>0.07211788842163316</v>
      </c>
      <c r="Q3086" s="41" t="n">
        <v>6.39626436661611</v>
      </c>
      <c r="R3086" s="39" t="n">
        <v>4681.673821453467</v>
      </c>
      <c r="S3086" s="39">
        <f>R3086*IF(A3086=4, 2.0, 3.0)</f>
        <v/>
      </c>
      <c r="T3086" s="37">
        <f>'Dashboard &amp; Optimisation'!$B$18*U3086</f>
        <v/>
      </c>
      <c r="U3086" s="42">
        <f>MIN(1, S3086/M3086)</f>
        <v/>
      </c>
      <c r="V3086" s="42">
        <f>N3086/(N3086+O3086)</f>
        <v/>
      </c>
      <c r="W3086" s="42">
        <f>U3086*V3086</f>
        <v/>
      </c>
      <c r="X3086" s="40">
        <f>T3086/N3086</f>
        <v/>
      </c>
      <c r="Y3086" s="15">
        <f>IF(W3086=MAXIFS(W$2:W$3601, A$2:A$3601, A3086, B$2:B$3601, B3086), "OPTIMAL", "")</f>
        <v/>
      </c>
    </row>
    <row r="3087" ht="20" customHeight="1">
      <c r="A3087" s="29" t="n">
        <v>-18</v>
      </c>
      <c r="B3087" s="29" t="n">
        <v>40</v>
      </c>
      <c r="C3087" s="30" t="n">
        <v>105</v>
      </c>
      <c r="D3087" s="30" t="n">
        <v>2</v>
      </c>
      <c r="E3087" s="6" t="n">
        <v>4</v>
      </c>
      <c r="F3087" s="30" t="n">
        <v>1.5</v>
      </c>
      <c r="G3087" s="6" t="inlineStr">
        <is>
          <t>Oui</t>
        </is>
      </c>
      <c r="H3087" s="6" t="inlineStr">
        <is>
          <t>OFF</t>
        </is>
      </c>
      <c r="I3087" s="31" t="n">
        <v>815.012573225423</v>
      </c>
      <c r="J3087" s="31" t="n">
        <v>8308.791548992402</v>
      </c>
      <c r="K3087" s="31" t="n">
        <v>4662.037037037037</v>
      </c>
      <c r="L3087" s="31" t="n">
        <v>150</v>
      </c>
      <c r="M3087" s="31">
        <f>I3087+J3087+K3087+L3087</f>
        <v/>
      </c>
      <c r="N3087" s="31">
        <f>M3087*'Dashboard &amp; Optimisation'!$B$18/('Dashboard &amp; Optimisation'!$B$16/3.6)</f>
        <v/>
      </c>
      <c r="O3087" s="31" t="n">
        <v>892.9816750408764</v>
      </c>
      <c r="P3087" s="32" t="n">
        <v>0.297414701598841</v>
      </c>
      <c r="Q3087" s="33" t="n">
        <v>6.39626436661611</v>
      </c>
      <c r="R3087" s="31" t="n">
        <v>1135.224413813503</v>
      </c>
      <c r="S3087" s="31">
        <f>R3087*IF(A3087=4, 2.0, 3.0)</f>
        <v/>
      </c>
      <c r="T3087" s="30">
        <f>'Dashboard &amp; Optimisation'!$B$18*U3087</f>
        <v/>
      </c>
      <c r="U3087" s="34">
        <f>MIN(1, S3087/M3087)</f>
        <v/>
      </c>
      <c r="V3087" s="34">
        <f>N3087/(N3087+O3087)</f>
        <v/>
      </c>
      <c r="W3087" s="34">
        <f>U3087*V3087</f>
        <v/>
      </c>
      <c r="X3087" s="32">
        <f>T3087/N3087</f>
        <v/>
      </c>
      <c r="Y3087" s="35">
        <f>IF(W3087=MAXIFS(W$2:W$3601, A$2:A$3601, A3087, B$2:B$3601, B3087), "OPTIMAL", "")</f>
        <v/>
      </c>
    </row>
    <row r="3088" ht="20" customHeight="1">
      <c r="A3088" s="36" t="n">
        <v>-18</v>
      </c>
      <c r="B3088" s="36" t="n">
        <v>40</v>
      </c>
      <c r="C3088" s="37" t="n">
        <v>105</v>
      </c>
      <c r="D3088" s="37" t="n">
        <v>2</v>
      </c>
      <c r="E3088" s="38" t="n">
        <v>4</v>
      </c>
      <c r="F3088" s="37" t="n">
        <v>1.5</v>
      </c>
      <c r="G3088" s="38" t="inlineStr">
        <is>
          <t>Non</t>
        </is>
      </c>
      <c r="H3088" s="38" t="inlineStr">
        <is>
          <t>ON</t>
        </is>
      </c>
      <c r="I3088" s="39" t="n">
        <v>815.012573225423</v>
      </c>
      <c r="J3088" s="39" t="n">
        <v>8308.791548992402</v>
      </c>
      <c r="K3088" s="39" t="n">
        <v>4662.037037037037</v>
      </c>
      <c r="L3088" s="39" t="n">
        <v>150</v>
      </c>
      <c r="M3088" s="39">
        <f>I3088+J3088+K3088+L3088</f>
        <v/>
      </c>
      <c r="N3088" s="39">
        <f>M3088*'Dashboard &amp; Optimisation'!$B$18/('Dashboard &amp; Optimisation'!$B$16/3.6)</f>
        <v/>
      </c>
      <c r="O3088" s="39" t="n">
        <v>892.9816750408764</v>
      </c>
      <c r="P3088" s="40" t="n">
        <v>0.06908636569607325</v>
      </c>
      <c r="Q3088" s="41" t="n">
        <v>6.39626436661611</v>
      </c>
      <c r="R3088" s="39" t="n">
        <v>4887.106549610447</v>
      </c>
      <c r="S3088" s="39">
        <f>R3088*IF(A3088=4, 2.0, 3.0)</f>
        <v/>
      </c>
      <c r="T3088" s="37">
        <f>'Dashboard &amp; Optimisation'!$B$18*U3088</f>
        <v/>
      </c>
      <c r="U3088" s="42">
        <f>MIN(1, S3088/M3088)</f>
        <v/>
      </c>
      <c r="V3088" s="42">
        <f>N3088/(N3088+O3088)</f>
        <v/>
      </c>
      <c r="W3088" s="42">
        <f>U3088*V3088</f>
        <v/>
      </c>
      <c r="X3088" s="40">
        <f>T3088/N3088</f>
        <v/>
      </c>
      <c r="Y3088" s="15">
        <f>IF(W3088=MAXIFS(W$2:W$3601, A$2:A$3601, A3088, B$2:B$3601, B3088), "OPTIMAL", "")</f>
        <v/>
      </c>
    </row>
    <row r="3089" ht="20" customHeight="1">
      <c r="A3089" s="29" t="n">
        <v>-18</v>
      </c>
      <c r="B3089" s="29" t="n">
        <v>40</v>
      </c>
      <c r="C3089" s="30" t="n">
        <v>105</v>
      </c>
      <c r="D3089" s="30" t="n">
        <v>2</v>
      </c>
      <c r="E3089" s="6" t="n">
        <v>4</v>
      </c>
      <c r="F3089" s="30" t="n">
        <v>1.5</v>
      </c>
      <c r="G3089" s="6" t="inlineStr">
        <is>
          <t>Non</t>
        </is>
      </c>
      <c r="H3089" s="6" t="inlineStr">
        <is>
          <t>OFF</t>
        </is>
      </c>
      <c r="I3089" s="31" t="n">
        <v>815.012573225423</v>
      </c>
      <c r="J3089" s="31" t="n">
        <v>8308.791548992402</v>
      </c>
      <c r="K3089" s="31" t="n">
        <v>4662.037037037037</v>
      </c>
      <c r="L3089" s="31" t="n">
        <v>150</v>
      </c>
      <c r="M3089" s="31">
        <f>I3089+J3089+K3089+L3089</f>
        <v/>
      </c>
      <c r="N3089" s="31">
        <f>M3089*'Dashboard &amp; Optimisation'!$B$18/('Dashboard &amp; Optimisation'!$B$16/3.6)</f>
        <v/>
      </c>
      <c r="O3089" s="31" t="n">
        <v>892.9816750408764</v>
      </c>
      <c r="P3089" s="32" t="n">
        <v>0.2943831788732811</v>
      </c>
      <c r="Q3089" s="33" t="n">
        <v>6.39626436661611</v>
      </c>
      <c r="R3089" s="31" t="n">
        <v>1146.91481889119</v>
      </c>
      <c r="S3089" s="31">
        <f>R3089*IF(A3089=4, 2.0, 3.0)</f>
        <v/>
      </c>
      <c r="T3089" s="30">
        <f>'Dashboard &amp; Optimisation'!$B$18*U3089</f>
        <v/>
      </c>
      <c r="U3089" s="34">
        <f>MIN(1, S3089/M3089)</f>
        <v/>
      </c>
      <c r="V3089" s="34">
        <f>N3089/(N3089+O3089)</f>
        <v/>
      </c>
      <c r="W3089" s="34">
        <f>U3089*V3089</f>
        <v/>
      </c>
      <c r="X3089" s="32">
        <f>T3089/N3089</f>
        <v/>
      </c>
      <c r="Y3089" s="35">
        <f>IF(W3089=MAXIFS(W$2:W$3601, A$2:A$3601, A3089, B$2:B$3601, B3089), "OPTIMAL", "")</f>
        <v/>
      </c>
    </row>
    <row r="3090" ht="20" customHeight="1">
      <c r="A3090" s="21" t="n">
        <v>-18</v>
      </c>
      <c r="B3090" s="21" t="n">
        <v>40</v>
      </c>
      <c r="C3090" s="22" t="n">
        <v>105</v>
      </c>
      <c r="D3090" s="22" t="n">
        <v>2</v>
      </c>
      <c r="E3090" s="23" t="n">
        <v>4</v>
      </c>
      <c r="F3090" s="22" t="n">
        <v>2</v>
      </c>
      <c r="G3090" s="23" t="inlineStr">
        <is>
          <t>Oui</t>
        </is>
      </c>
      <c r="H3090" s="23" t="inlineStr">
        <is>
          <t>ON</t>
        </is>
      </c>
      <c r="I3090" s="24" t="n">
        <v>815.012573225423</v>
      </c>
      <c r="J3090" s="24" t="n">
        <v>8308.791548992402</v>
      </c>
      <c r="K3090" s="24" t="n">
        <v>4662.037037037037</v>
      </c>
      <c r="L3090" s="24" t="n">
        <v>150</v>
      </c>
      <c r="M3090" s="24">
        <f>I3090+J3090+K3090+L3090</f>
        <v/>
      </c>
      <c r="N3090" s="24">
        <f>M3090*'Dashboard &amp; Optimisation'!$B$18/('Dashboard &amp; Optimisation'!$B$16/3.6)</f>
        <v/>
      </c>
      <c r="O3090" s="24" t="n">
        <v>1004.433612176619</v>
      </c>
      <c r="P3090" s="25" t="n">
        <v>0.06926604745833413</v>
      </c>
      <c r="Q3090" s="26" t="n">
        <v>8.461685822154816</v>
      </c>
      <c r="R3090" s="24" t="n">
        <v>4925.654379699421</v>
      </c>
      <c r="S3090" s="24">
        <f>R3090*IF(A3090=4, 2.0, 3.0)</f>
        <v/>
      </c>
      <c r="T3090" s="22">
        <f>'Dashboard &amp; Optimisation'!$B$18*U3090</f>
        <v/>
      </c>
      <c r="U3090" s="27">
        <f>MIN(1, S3090/M3090)</f>
        <v/>
      </c>
      <c r="V3090" s="27">
        <f>N3090/(N3090+O3090)</f>
        <v/>
      </c>
      <c r="W3090" s="27">
        <f>U3090*V3090</f>
        <v/>
      </c>
      <c r="X3090" s="25">
        <f>T3090/N3090</f>
        <v/>
      </c>
      <c r="Y3090" s="28">
        <f>IF(W3090=MAXIFS(W$2:W$3601, A$2:A$3601, A3090, B$2:B$3601, B3090), "OPTIMAL", "")</f>
        <v/>
      </c>
    </row>
    <row r="3091" ht="20" customHeight="1">
      <c r="A3091" s="29" t="n">
        <v>-18</v>
      </c>
      <c r="B3091" s="29" t="n">
        <v>40</v>
      </c>
      <c r="C3091" s="30" t="n">
        <v>105</v>
      </c>
      <c r="D3091" s="30" t="n">
        <v>2</v>
      </c>
      <c r="E3091" s="6" t="n">
        <v>4</v>
      </c>
      <c r="F3091" s="30" t="n">
        <v>2</v>
      </c>
      <c r="G3091" s="6" t="inlineStr">
        <is>
          <t>Oui</t>
        </is>
      </c>
      <c r="H3091" s="6" t="inlineStr">
        <is>
          <t>OFF</t>
        </is>
      </c>
      <c r="I3091" s="31" t="n">
        <v>815.012573225423</v>
      </c>
      <c r="J3091" s="31" t="n">
        <v>8308.791548992402</v>
      </c>
      <c r="K3091" s="31" t="n">
        <v>4662.037037037037</v>
      </c>
      <c r="L3091" s="31" t="n">
        <v>150</v>
      </c>
      <c r="M3091" s="31">
        <f>I3091+J3091+K3091+L3091</f>
        <v/>
      </c>
      <c r="N3091" s="31">
        <f>M3091*'Dashboard &amp; Optimisation'!$B$18/('Dashboard &amp; Optimisation'!$B$16/3.6)</f>
        <v/>
      </c>
      <c r="O3091" s="31" t="n">
        <v>1004.433612176619</v>
      </c>
      <c r="P3091" s="32" t="n">
        <v>0.2955807767744409</v>
      </c>
      <c r="Q3091" s="33" t="n">
        <v>8.461685822154816</v>
      </c>
      <c r="R3091" s="31" t="n">
        <v>1154.271985312387</v>
      </c>
      <c r="S3091" s="31">
        <f>R3091*IF(A3091=4, 2.0, 3.0)</f>
        <v/>
      </c>
      <c r="T3091" s="30">
        <f>'Dashboard &amp; Optimisation'!$B$18*U3091</f>
        <v/>
      </c>
      <c r="U3091" s="34">
        <f>MIN(1, S3091/M3091)</f>
        <v/>
      </c>
      <c r="V3091" s="34">
        <f>N3091/(N3091+O3091)</f>
        <v/>
      </c>
      <c r="W3091" s="34">
        <f>U3091*V3091</f>
        <v/>
      </c>
      <c r="X3091" s="32">
        <f>T3091/N3091</f>
        <v/>
      </c>
      <c r="Y3091" s="35">
        <f>IF(W3091=MAXIFS(W$2:W$3601, A$2:A$3601, A3091, B$2:B$3601, B3091), "OPTIMAL", "")</f>
        <v/>
      </c>
    </row>
    <row r="3092" ht="20" customHeight="1">
      <c r="A3092" s="21" t="n">
        <v>-18</v>
      </c>
      <c r="B3092" s="21" t="n">
        <v>40</v>
      </c>
      <c r="C3092" s="22" t="n">
        <v>105</v>
      </c>
      <c r="D3092" s="22" t="n">
        <v>2</v>
      </c>
      <c r="E3092" s="23" t="n">
        <v>4</v>
      </c>
      <c r="F3092" s="22" t="n">
        <v>2</v>
      </c>
      <c r="G3092" s="23" t="inlineStr">
        <is>
          <t>Non</t>
        </is>
      </c>
      <c r="H3092" s="23" t="inlineStr">
        <is>
          <t>ON</t>
        </is>
      </c>
      <c r="I3092" s="24" t="n">
        <v>815.012573225423</v>
      </c>
      <c r="J3092" s="24" t="n">
        <v>8308.791548992402</v>
      </c>
      <c r="K3092" s="24" t="n">
        <v>4662.037037037037</v>
      </c>
      <c r="L3092" s="24" t="n">
        <v>150</v>
      </c>
      <c r="M3092" s="24">
        <f>I3092+J3092+K3092+L3092</f>
        <v/>
      </c>
      <c r="N3092" s="24">
        <f>M3092*'Dashboard &amp; Optimisation'!$B$18/('Dashboard &amp; Optimisation'!$B$16/3.6)</f>
        <v/>
      </c>
      <c r="O3092" s="24" t="n">
        <v>1004.433612176619</v>
      </c>
      <c r="P3092" s="25" t="n">
        <v>0.06623452473277422</v>
      </c>
      <c r="Q3092" s="26" t="n">
        <v>8.461685822154816</v>
      </c>
      <c r="R3092" s="24" t="n">
        <v>5151.099240224309</v>
      </c>
      <c r="S3092" s="24">
        <f>R3092*IF(A3092=4, 2.0, 3.0)</f>
        <v/>
      </c>
      <c r="T3092" s="22">
        <f>'Dashboard &amp; Optimisation'!$B$18*U3092</f>
        <v/>
      </c>
      <c r="U3092" s="27">
        <f>MIN(1, S3092/M3092)</f>
        <v/>
      </c>
      <c r="V3092" s="27">
        <f>N3092/(N3092+O3092)</f>
        <v/>
      </c>
      <c r="W3092" s="27">
        <f>U3092*V3092</f>
        <v/>
      </c>
      <c r="X3092" s="25">
        <f>T3092/N3092</f>
        <v/>
      </c>
      <c r="Y3092" s="28">
        <f>IF(W3092=MAXIFS(W$2:W$3601, A$2:A$3601, A3092, B$2:B$3601, B3092), "OPTIMAL", "")</f>
        <v/>
      </c>
    </row>
    <row r="3093" ht="20" customHeight="1">
      <c r="A3093" s="29" t="n">
        <v>-18</v>
      </c>
      <c r="B3093" s="29" t="n">
        <v>40</v>
      </c>
      <c r="C3093" s="30" t="n">
        <v>105</v>
      </c>
      <c r="D3093" s="30" t="n">
        <v>2</v>
      </c>
      <c r="E3093" s="6" t="n">
        <v>4</v>
      </c>
      <c r="F3093" s="30" t="n">
        <v>2</v>
      </c>
      <c r="G3093" s="6" t="inlineStr">
        <is>
          <t>Non</t>
        </is>
      </c>
      <c r="H3093" s="6" t="inlineStr">
        <is>
          <t>OFF</t>
        </is>
      </c>
      <c r="I3093" s="31" t="n">
        <v>815.012573225423</v>
      </c>
      <c r="J3093" s="31" t="n">
        <v>8308.791548992402</v>
      </c>
      <c r="K3093" s="31" t="n">
        <v>4662.037037037037</v>
      </c>
      <c r="L3093" s="31" t="n">
        <v>150</v>
      </c>
      <c r="M3093" s="31">
        <f>I3093+J3093+K3093+L3093</f>
        <v/>
      </c>
      <c r="N3093" s="31">
        <f>M3093*'Dashboard &amp; Optimisation'!$B$18/('Dashboard &amp; Optimisation'!$B$16/3.6)</f>
        <v/>
      </c>
      <c r="O3093" s="31" t="n">
        <v>1004.433612176619</v>
      </c>
      <c r="P3093" s="32" t="n">
        <v>0.292549254048881</v>
      </c>
      <c r="Q3093" s="33" t="n">
        <v>8.461685822154816</v>
      </c>
      <c r="R3093" s="31" t="n">
        <v>1166.233054111992</v>
      </c>
      <c r="S3093" s="31">
        <f>R3093*IF(A3093=4, 2.0, 3.0)</f>
        <v/>
      </c>
      <c r="T3093" s="30">
        <f>'Dashboard &amp; Optimisation'!$B$18*U3093</f>
        <v/>
      </c>
      <c r="U3093" s="34">
        <f>MIN(1, S3093/M3093)</f>
        <v/>
      </c>
      <c r="V3093" s="34">
        <f>N3093/(N3093+O3093)</f>
        <v/>
      </c>
      <c r="W3093" s="34">
        <f>U3093*V3093</f>
        <v/>
      </c>
      <c r="X3093" s="32">
        <f>T3093/N3093</f>
        <v/>
      </c>
      <c r="Y3093" s="35">
        <f>IF(W3093=MAXIFS(W$2:W$3601, A$2:A$3601, A3093, B$2:B$3601, B3093), "OPTIMAL", "")</f>
        <v/>
      </c>
    </row>
    <row r="3094" ht="20" customHeight="1">
      <c r="A3094" s="21" t="n">
        <v>-18</v>
      </c>
      <c r="B3094" s="21" t="n">
        <v>40</v>
      </c>
      <c r="C3094" s="22" t="n">
        <v>105</v>
      </c>
      <c r="D3094" s="22" t="n">
        <v>2</v>
      </c>
      <c r="E3094" s="23" t="n">
        <v>8</v>
      </c>
      <c r="F3094" s="22" t="n">
        <v>1.5</v>
      </c>
      <c r="G3094" s="23" t="inlineStr">
        <is>
          <t>Oui</t>
        </is>
      </c>
      <c r="H3094" s="23" t="inlineStr">
        <is>
          <t>ON</t>
        </is>
      </c>
      <c r="I3094" s="24" t="n">
        <v>815.012573225423</v>
      </c>
      <c r="J3094" s="24" t="n">
        <v>8308.791548992402</v>
      </c>
      <c r="K3094" s="24" t="n">
        <v>4662.037037037037</v>
      </c>
      <c r="L3094" s="24" t="n">
        <v>150</v>
      </c>
      <c r="M3094" s="24">
        <f>I3094+J3094+K3094+L3094</f>
        <v/>
      </c>
      <c r="N3094" s="24">
        <f>M3094*'Dashboard &amp; Optimisation'!$B$18/('Dashboard &amp; Optimisation'!$B$16/3.6)</f>
        <v/>
      </c>
      <c r="O3094" s="24" t="n">
        <v>1234.515852881775</v>
      </c>
      <c r="P3094" s="25" t="n">
        <v>0.0545652421498049</v>
      </c>
      <c r="Q3094" s="26" t="n">
        <v>12.59252873323222</v>
      </c>
      <c r="R3094" s="24" t="n">
        <v>6386.950483423265</v>
      </c>
      <c r="S3094" s="24">
        <f>R3094*IF(A3094=4, 2.0, 3.0)</f>
        <v/>
      </c>
      <c r="T3094" s="22">
        <f>'Dashboard &amp; Optimisation'!$B$18*U3094</f>
        <v/>
      </c>
      <c r="U3094" s="27">
        <f>MIN(1, S3094/M3094)</f>
        <v/>
      </c>
      <c r="V3094" s="27">
        <f>N3094/(N3094+O3094)</f>
        <v/>
      </c>
      <c r="W3094" s="27">
        <f>U3094*V3094</f>
        <v/>
      </c>
      <c r="X3094" s="25">
        <f>T3094/N3094</f>
        <v/>
      </c>
      <c r="Y3094" s="28">
        <f>IF(W3094=MAXIFS(W$2:W$3601, A$2:A$3601, A3094, B$2:B$3601, B3094), "OPTIMAL", "")</f>
        <v/>
      </c>
    </row>
    <row r="3095" ht="20" customHeight="1">
      <c r="A3095" s="29" t="n">
        <v>-18</v>
      </c>
      <c r="B3095" s="29" t="n">
        <v>40</v>
      </c>
      <c r="C3095" s="30" t="n">
        <v>105</v>
      </c>
      <c r="D3095" s="30" t="n">
        <v>2</v>
      </c>
      <c r="E3095" s="6" t="n">
        <v>8</v>
      </c>
      <c r="F3095" s="30" t="n">
        <v>1.5</v>
      </c>
      <c r="G3095" s="6" t="inlineStr">
        <is>
          <t>Oui</t>
        </is>
      </c>
      <c r="H3095" s="6" t="inlineStr">
        <is>
          <t>OFF</t>
        </is>
      </c>
      <c r="I3095" s="31" t="n">
        <v>815.012573225423</v>
      </c>
      <c r="J3095" s="31" t="n">
        <v>8308.791548992402</v>
      </c>
      <c r="K3095" s="31" t="n">
        <v>4662.037037037037</v>
      </c>
      <c r="L3095" s="31" t="n">
        <v>150</v>
      </c>
      <c r="M3095" s="31">
        <f>I3095+J3095+K3095+L3095</f>
        <v/>
      </c>
      <c r="N3095" s="31">
        <f>M3095*'Dashboard &amp; Optimisation'!$B$18/('Dashboard &amp; Optimisation'!$B$16/3.6)</f>
        <v/>
      </c>
      <c r="O3095" s="31" t="n">
        <v>1234.515852881775</v>
      </c>
      <c r="P3095" s="32" t="n">
        <v>0.233823801442431</v>
      </c>
      <c r="Q3095" s="33" t="n">
        <v>12.59252873323222</v>
      </c>
      <c r="R3095" s="31" t="n">
        <v>1490.462038410612</v>
      </c>
      <c r="S3095" s="31">
        <f>R3095*IF(A3095=4, 2.0, 3.0)</f>
        <v/>
      </c>
      <c r="T3095" s="30">
        <f>'Dashboard &amp; Optimisation'!$B$18*U3095</f>
        <v/>
      </c>
      <c r="U3095" s="34">
        <f>MIN(1, S3095/M3095)</f>
        <v/>
      </c>
      <c r="V3095" s="34">
        <f>N3095/(N3095+O3095)</f>
        <v/>
      </c>
      <c r="W3095" s="34">
        <f>U3095*V3095</f>
        <v/>
      </c>
      <c r="X3095" s="32">
        <f>T3095/N3095</f>
        <v/>
      </c>
      <c r="Y3095" s="35">
        <f>IF(W3095=MAXIFS(W$2:W$3601, A$2:A$3601, A3095, B$2:B$3601, B3095), "OPTIMAL", "")</f>
        <v/>
      </c>
    </row>
    <row r="3096" ht="20" customHeight="1">
      <c r="A3096" s="21" t="n">
        <v>-18</v>
      </c>
      <c r="B3096" s="21" t="n">
        <v>40</v>
      </c>
      <c r="C3096" s="22" t="n">
        <v>105</v>
      </c>
      <c r="D3096" s="22" t="n">
        <v>2</v>
      </c>
      <c r="E3096" s="23" t="n">
        <v>8</v>
      </c>
      <c r="F3096" s="22" t="n">
        <v>1.5</v>
      </c>
      <c r="G3096" s="23" t="inlineStr">
        <is>
          <t>Non</t>
        </is>
      </c>
      <c r="H3096" s="23" t="inlineStr">
        <is>
          <t>ON</t>
        </is>
      </c>
      <c r="I3096" s="24" t="n">
        <v>815.012573225423</v>
      </c>
      <c r="J3096" s="24" t="n">
        <v>8308.791548992402</v>
      </c>
      <c r="K3096" s="24" t="n">
        <v>4662.037037037037</v>
      </c>
      <c r="L3096" s="24" t="n">
        <v>150</v>
      </c>
      <c r="M3096" s="24">
        <f>I3096+J3096+K3096+L3096</f>
        <v/>
      </c>
      <c r="N3096" s="24">
        <f>M3096*'Dashboard &amp; Optimisation'!$B$18/('Dashboard &amp; Optimisation'!$B$16/3.6)</f>
        <v/>
      </c>
      <c r="O3096" s="24" t="n">
        <v>1234.515852881775</v>
      </c>
      <c r="P3096" s="25" t="n">
        <v>0.05153371942424499</v>
      </c>
      <c r="Q3096" s="26" t="n">
        <v>12.59252873323222</v>
      </c>
      <c r="R3096" s="24" t="n">
        <v>6762.669250743874</v>
      </c>
      <c r="S3096" s="24">
        <f>R3096*IF(A3096=4, 2.0, 3.0)</f>
        <v/>
      </c>
      <c r="T3096" s="22">
        <f>'Dashboard &amp; Optimisation'!$B$18*U3096</f>
        <v/>
      </c>
      <c r="U3096" s="27">
        <f>MIN(1, S3096/M3096)</f>
        <v/>
      </c>
      <c r="V3096" s="27">
        <f>N3096/(N3096+O3096)</f>
        <v/>
      </c>
      <c r="W3096" s="27">
        <f>U3096*V3096</f>
        <v/>
      </c>
      <c r="X3096" s="25">
        <f>T3096/N3096</f>
        <v/>
      </c>
      <c r="Y3096" s="28">
        <f>IF(W3096=MAXIFS(W$2:W$3601, A$2:A$3601, A3096, B$2:B$3601, B3096), "OPTIMAL", "")</f>
        <v/>
      </c>
    </row>
    <row r="3097" ht="20" customHeight="1">
      <c r="A3097" s="29" t="n">
        <v>-18</v>
      </c>
      <c r="B3097" s="29" t="n">
        <v>40</v>
      </c>
      <c r="C3097" s="30" t="n">
        <v>105</v>
      </c>
      <c r="D3097" s="30" t="n">
        <v>2</v>
      </c>
      <c r="E3097" s="6" t="n">
        <v>8</v>
      </c>
      <c r="F3097" s="30" t="n">
        <v>1.5</v>
      </c>
      <c r="G3097" s="6" t="inlineStr">
        <is>
          <t>Non</t>
        </is>
      </c>
      <c r="H3097" s="6" t="inlineStr">
        <is>
          <t>OFF</t>
        </is>
      </c>
      <c r="I3097" s="31" t="n">
        <v>815.012573225423</v>
      </c>
      <c r="J3097" s="31" t="n">
        <v>8308.791548992402</v>
      </c>
      <c r="K3097" s="31" t="n">
        <v>4662.037037037037</v>
      </c>
      <c r="L3097" s="31" t="n">
        <v>150</v>
      </c>
      <c r="M3097" s="31">
        <f>I3097+J3097+K3097+L3097</f>
        <v/>
      </c>
      <c r="N3097" s="31">
        <f>M3097*'Dashboard &amp; Optimisation'!$B$18/('Dashboard &amp; Optimisation'!$B$16/3.6)</f>
        <v/>
      </c>
      <c r="O3097" s="31" t="n">
        <v>1234.515852881775</v>
      </c>
      <c r="P3097" s="32" t="n">
        <v>0.2307922787168711</v>
      </c>
      <c r="Q3097" s="33" t="n">
        <v>12.59252873323222</v>
      </c>
      <c r="R3097" s="31" t="n">
        <v>1510.039684448629</v>
      </c>
      <c r="S3097" s="31">
        <f>R3097*IF(A3097=4, 2.0, 3.0)</f>
        <v/>
      </c>
      <c r="T3097" s="30">
        <f>'Dashboard &amp; Optimisation'!$B$18*U3097</f>
        <v/>
      </c>
      <c r="U3097" s="34">
        <f>MIN(1, S3097/M3097)</f>
        <v/>
      </c>
      <c r="V3097" s="34">
        <f>N3097/(N3097+O3097)</f>
        <v/>
      </c>
      <c r="W3097" s="34">
        <f>U3097*V3097</f>
        <v/>
      </c>
      <c r="X3097" s="32">
        <f>T3097/N3097</f>
        <v/>
      </c>
      <c r="Y3097" s="35">
        <f>IF(W3097=MAXIFS(W$2:W$3601, A$2:A$3601, A3097, B$2:B$3601, B3097), "OPTIMAL", "")</f>
        <v/>
      </c>
    </row>
    <row r="3098" ht="20" customHeight="1">
      <c r="A3098" s="21" t="n">
        <v>-18</v>
      </c>
      <c r="B3098" s="21" t="n">
        <v>40</v>
      </c>
      <c r="C3098" s="22" t="n">
        <v>105</v>
      </c>
      <c r="D3098" s="22" t="n">
        <v>2</v>
      </c>
      <c r="E3098" s="23" t="n">
        <v>8</v>
      </c>
      <c r="F3098" s="22" t="n">
        <v>2</v>
      </c>
      <c r="G3098" s="23" t="inlineStr">
        <is>
          <t>Oui</t>
        </is>
      </c>
      <c r="H3098" s="23" t="inlineStr">
        <is>
          <t>ON</t>
        </is>
      </c>
      <c r="I3098" s="24" t="n">
        <v>815.012573225423</v>
      </c>
      <c r="J3098" s="24" t="n">
        <v>8308.791548992402</v>
      </c>
      <c r="K3098" s="24" t="n">
        <v>4662.037037037037</v>
      </c>
      <c r="L3098" s="24" t="n">
        <v>150</v>
      </c>
      <c r="M3098" s="24">
        <f>I3098+J3098+K3098+L3098</f>
        <v/>
      </c>
      <c r="N3098" s="24">
        <f>M3098*'Dashboard &amp; Optimisation'!$B$18/('Dashboard &amp; Optimisation'!$B$16/3.6)</f>
        <v/>
      </c>
      <c r="O3098" s="24" t="n">
        <v>1474.694233519778</v>
      </c>
      <c r="P3098" s="25" t="n">
        <v>0.05324035668794291</v>
      </c>
      <c r="Q3098" s="26" t="n">
        <v>16.72337164430963</v>
      </c>
      <c r="R3098" s="24" t="n">
        <v>6689.508333888982</v>
      </c>
      <c r="S3098" s="24">
        <f>R3098*IF(A3098=4, 2.0, 3.0)</f>
        <v/>
      </c>
      <c r="T3098" s="22">
        <f>'Dashboard &amp; Optimisation'!$B$18*U3098</f>
        <v/>
      </c>
      <c r="U3098" s="27">
        <f>MIN(1, S3098/M3098)</f>
        <v/>
      </c>
      <c r="V3098" s="27">
        <f>N3098/(N3098+O3098)</f>
        <v/>
      </c>
      <c r="W3098" s="27">
        <f>U3098*V3098</f>
        <v/>
      </c>
      <c r="X3098" s="25">
        <f>T3098/N3098</f>
        <v/>
      </c>
      <c r="Y3098" s="28">
        <f>IF(W3098=MAXIFS(W$2:W$3601, A$2:A$3601, A3098, B$2:B$3601, B3098), "OPTIMAL", "")</f>
        <v/>
      </c>
    </row>
    <row r="3099" ht="20" customHeight="1">
      <c r="A3099" s="29" t="n">
        <v>-18</v>
      </c>
      <c r="B3099" s="29" t="n">
        <v>40</v>
      </c>
      <c r="C3099" s="30" t="n">
        <v>105</v>
      </c>
      <c r="D3099" s="30" t="n">
        <v>2</v>
      </c>
      <c r="E3099" s="6" t="n">
        <v>8</v>
      </c>
      <c r="F3099" s="30" t="n">
        <v>2</v>
      </c>
      <c r="G3099" s="6" t="inlineStr">
        <is>
          <t>Oui</t>
        </is>
      </c>
      <c r="H3099" s="6" t="inlineStr">
        <is>
          <t>OFF</t>
        </is>
      </c>
      <c r="I3099" s="31" t="n">
        <v>815.012573225423</v>
      </c>
      <c r="J3099" s="31" t="n">
        <v>8308.791548992402</v>
      </c>
      <c r="K3099" s="31" t="n">
        <v>4662.037037037037</v>
      </c>
      <c r="L3099" s="31" t="n">
        <v>150</v>
      </c>
      <c r="M3099" s="31">
        <f>I3099+J3099+K3099+L3099</f>
        <v/>
      </c>
      <c r="N3099" s="31">
        <f>M3099*'Dashboard &amp; Optimisation'!$B$18/('Dashboard &amp; Optimisation'!$B$16/3.6)</f>
        <v/>
      </c>
      <c r="O3099" s="31" t="n">
        <v>1474.694233519778</v>
      </c>
      <c r="P3099" s="32" t="n">
        <v>0.2337915759821405</v>
      </c>
      <c r="Q3099" s="33" t="n">
        <v>16.72337164430963</v>
      </c>
      <c r="R3099" s="31" t="n">
        <v>1523.373150923209</v>
      </c>
      <c r="S3099" s="31">
        <f>R3099*IF(A3099=4, 2.0, 3.0)</f>
        <v/>
      </c>
      <c r="T3099" s="30">
        <f>'Dashboard &amp; Optimisation'!$B$18*U3099</f>
        <v/>
      </c>
      <c r="U3099" s="34">
        <f>MIN(1, S3099/M3099)</f>
        <v/>
      </c>
      <c r="V3099" s="34">
        <f>N3099/(N3099+O3099)</f>
        <v/>
      </c>
      <c r="W3099" s="34">
        <f>U3099*V3099</f>
        <v/>
      </c>
      <c r="X3099" s="32">
        <f>T3099/N3099</f>
        <v/>
      </c>
      <c r="Y3099" s="35">
        <f>IF(W3099=MAXIFS(W$2:W$3601, A$2:A$3601, A3099, B$2:B$3601, B3099), "OPTIMAL", "")</f>
        <v/>
      </c>
    </row>
    <row r="3100" ht="20" customHeight="1">
      <c r="A3100" s="21" t="n">
        <v>-18</v>
      </c>
      <c r="B3100" s="21" t="n">
        <v>40</v>
      </c>
      <c r="C3100" s="22" t="n">
        <v>105</v>
      </c>
      <c r="D3100" s="22" t="n">
        <v>2</v>
      </c>
      <c r="E3100" s="23" t="n">
        <v>8</v>
      </c>
      <c r="F3100" s="22" t="n">
        <v>2</v>
      </c>
      <c r="G3100" s="23" t="inlineStr">
        <is>
          <t>Non</t>
        </is>
      </c>
      <c r="H3100" s="23" t="inlineStr">
        <is>
          <t>ON</t>
        </is>
      </c>
      <c r="I3100" s="24" t="n">
        <v>815.012573225423</v>
      </c>
      <c r="J3100" s="24" t="n">
        <v>8308.791548992402</v>
      </c>
      <c r="K3100" s="24" t="n">
        <v>4662.037037037037</v>
      </c>
      <c r="L3100" s="24" t="n">
        <v>150</v>
      </c>
      <c r="M3100" s="24">
        <f>I3100+J3100+K3100+L3100</f>
        <v/>
      </c>
      <c r="N3100" s="24">
        <f>M3100*'Dashboard &amp; Optimisation'!$B$18/('Dashboard &amp; Optimisation'!$B$16/3.6)</f>
        <v/>
      </c>
      <c r="O3100" s="24" t="n">
        <v>1474.694233519778</v>
      </c>
      <c r="P3100" s="25" t="n">
        <v>0.05020883396238299</v>
      </c>
      <c r="Q3100" s="26" t="n">
        <v>16.72337164430963</v>
      </c>
      <c r="R3100" s="24" t="n">
        <v>7093.409299846495</v>
      </c>
      <c r="S3100" s="24">
        <f>R3100*IF(A3100=4, 2.0, 3.0)</f>
        <v/>
      </c>
      <c r="T3100" s="22">
        <f>'Dashboard &amp; Optimisation'!$B$18*U3100</f>
        <v/>
      </c>
      <c r="U3100" s="27">
        <f>MIN(1, S3100/M3100)</f>
        <v/>
      </c>
      <c r="V3100" s="27">
        <f>N3100/(N3100+O3100)</f>
        <v/>
      </c>
      <c r="W3100" s="27">
        <f>U3100*V3100</f>
        <v/>
      </c>
      <c r="X3100" s="25">
        <f>T3100/N3100</f>
        <v/>
      </c>
      <c r="Y3100" s="28">
        <f>IF(W3100=MAXIFS(W$2:W$3601, A$2:A$3601, A3100, B$2:B$3601, B3100), "OPTIMAL", "")</f>
        <v/>
      </c>
    </row>
    <row r="3101" ht="20" customHeight="1">
      <c r="A3101" s="29" t="n">
        <v>-18</v>
      </c>
      <c r="B3101" s="29" t="n">
        <v>40</v>
      </c>
      <c r="C3101" s="30" t="n">
        <v>105</v>
      </c>
      <c r="D3101" s="30" t="n">
        <v>2</v>
      </c>
      <c r="E3101" s="6" t="n">
        <v>8</v>
      </c>
      <c r="F3101" s="30" t="n">
        <v>2</v>
      </c>
      <c r="G3101" s="6" t="inlineStr">
        <is>
          <t>Non</t>
        </is>
      </c>
      <c r="H3101" s="6" t="inlineStr">
        <is>
          <t>OFF</t>
        </is>
      </c>
      <c r="I3101" s="31" t="n">
        <v>815.012573225423</v>
      </c>
      <c r="J3101" s="31" t="n">
        <v>8308.791548992402</v>
      </c>
      <c r="K3101" s="31" t="n">
        <v>4662.037037037037</v>
      </c>
      <c r="L3101" s="31" t="n">
        <v>150</v>
      </c>
      <c r="M3101" s="31">
        <f>I3101+J3101+K3101+L3101</f>
        <v/>
      </c>
      <c r="N3101" s="31">
        <f>M3101*'Dashboard &amp; Optimisation'!$B$18/('Dashboard &amp; Optimisation'!$B$16/3.6)</f>
        <v/>
      </c>
      <c r="O3101" s="31" t="n">
        <v>1474.694233519778</v>
      </c>
      <c r="P3101" s="32" t="n">
        <v>0.2307600532565806</v>
      </c>
      <c r="Q3101" s="33" t="n">
        <v>16.72337164430963</v>
      </c>
      <c r="R3101" s="31" t="n">
        <v>1543.385888229161</v>
      </c>
      <c r="S3101" s="31">
        <f>R3101*IF(A3101=4, 2.0, 3.0)</f>
        <v/>
      </c>
      <c r="T3101" s="30">
        <f>'Dashboard &amp; Optimisation'!$B$18*U3101</f>
        <v/>
      </c>
      <c r="U3101" s="34">
        <f>MIN(1, S3101/M3101)</f>
        <v/>
      </c>
      <c r="V3101" s="34">
        <f>N3101/(N3101+O3101)</f>
        <v/>
      </c>
      <c r="W3101" s="34">
        <f>U3101*V3101</f>
        <v/>
      </c>
      <c r="X3101" s="32">
        <f>T3101/N3101</f>
        <v/>
      </c>
      <c r="Y3101" s="35">
        <f>IF(W3101=MAXIFS(W$2:W$3601, A$2:A$3601, A3101, B$2:B$3601, B3101), "OPTIMAL", "")</f>
        <v/>
      </c>
    </row>
    <row r="3102" ht="20" customHeight="1">
      <c r="A3102" s="21" t="n">
        <v>-18</v>
      </c>
      <c r="B3102" s="21" t="n">
        <v>40</v>
      </c>
      <c r="C3102" s="22" t="n">
        <v>105</v>
      </c>
      <c r="D3102" s="22" t="n">
        <v>3</v>
      </c>
      <c r="E3102" s="23" t="n">
        <v>0</v>
      </c>
      <c r="F3102" s="22" t="n">
        <v>0</v>
      </c>
      <c r="G3102" s="23" t="inlineStr">
        <is>
          <t>Oui</t>
        </is>
      </c>
      <c r="H3102" s="23" t="inlineStr">
        <is>
          <t>ON</t>
        </is>
      </c>
      <c r="I3102" s="24" t="n">
        <v>815.012573225423</v>
      </c>
      <c r="J3102" s="24" t="n">
        <v>8308.791548992402</v>
      </c>
      <c r="K3102" s="24" t="n">
        <v>4662.037037037037</v>
      </c>
      <c r="L3102" s="24" t="n">
        <v>150</v>
      </c>
      <c r="M3102" s="24">
        <f>I3102+J3102+K3102+L3102</f>
        <v/>
      </c>
      <c r="N3102" s="24">
        <f>M3102*'Dashboard &amp; Optimisation'!$B$18/('Dashboard &amp; Optimisation'!$B$16/3.6)</f>
        <v/>
      </c>
      <c r="O3102" s="24" t="n">
        <v>884.5228107692337</v>
      </c>
      <c r="P3102" s="25" t="n">
        <v>0.4767526303329919</v>
      </c>
      <c r="Q3102" s="26" t="n">
        <v>0.2</v>
      </c>
      <c r="R3102" s="24" t="n">
        <v>714.7939634702785</v>
      </c>
      <c r="S3102" s="24">
        <f>R3102*IF(A3102=4, 2.0, 3.0)</f>
        <v/>
      </c>
      <c r="T3102" s="22">
        <f>'Dashboard &amp; Optimisation'!$B$18*U3102</f>
        <v/>
      </c>
      <c r="U3102" s="27">
        <f>MIN(1, S3102/M3102)</f>
        <v/>
      </c>
      <c r="V3102" s="27">
        <f>N3102/(N3102+O3102)</f>
        <v/>
      </c>
      <c r="W3102" s="27">
        <f>U3102*V3102</f>
        <v/>
      </c>
      <c r="X3102" s="25">
        <f>T3102/N3102</f>
        <v/>
      </c>
      <c r="Y3102" s="28">
        <f>IF(W3102=MAXIFS(W$2:W$3601, A$2:A$3601, A3102, B$2:B$3601, B3102), "OPTIMAL", "")</f>
        <v/>
      </c>
    </row>
    <row r="3103" ht="20" customHeight="1">
      <c r="A3103" s="29" t="n">
        <v>-18</v>
      </c>
      <c r="B3103" s="29" t="n">
        <v>40</v>
      </c>
      <c r="C3103" s="30" t="n">
        <v>105</v>
      </c>
      <c r="D3103" s="30" t="n">
        <v>3</v>
      </c>
      <c r="E3103" s="6" t="n">
        <v>0</v>
      </c>
      <c r="F3103" s="30" t="n">
        <v>0</v>
      </c>
      <c r="G3103" s="6" t="inlineStr">
        <is>
          <t>Oui</t>
        </is>
      </c>
      <c r="H3103" s="6" t="inlineStr">
        <is>
          <t>OFF</t>
        </is>
      </c>
      <c r="I3103" s="31" t="n">
        <v>815.012573225423</v>
      </c>
      <c r="J3103" s="31" t="n">
        <v>8308.791548992402</v>
      </c>
      <c r="K3103" s="31" t="n">
        <v>4662.037037037037</v>
      </c>
      <c r="L3103" s="31" t="n">
        <v>150</v>
      </c>
      <c r="M3103" s="31">
        <f>I3103+J3103+K3103+L3103</f>
        <v/>
      </c>
      <c r="N3103" s="31">
        <f>M3103*'Dashboard &amp; Optimisation'!$B$18/('Dashboard &amp; Optimisation'!$B$16/3.6)</f>
        <v/>
      </c>
      <c r="O3103" s="31" t="n">
        <v>884.5228107692337</v>
      </c>
      <c r="P3103" s="32" t="n">
        <v>0.7799049028889831</v>
      </c>
      <c r="Q3103" s="33" t="n">
        <v>0.2</v>
      </c>
      <c r="R3103" s="31" t="n">
        <v>436.9505832932413</v>
      </c>
      <c r="S3103" s="31">
        <f>R3103*IF(A3103=4, 2.0, 3.0)</f>
        <v/>
      </c>
      <c r="T3103" s="30">
        <f>'Dashboard &amp; Optimisation'!$B$18*U3103</f>
        <v/>
      </c>
      <c r="U3103" s="34">
        <f>MIN(1, S3103/M3103)</f>
        <v/>
      </c>
      <c r="V3103" s="34">
        <f>N3103/(N3103+O3103)</f>
        <v/>
      </c>
      <c r="W3103" s="34">
        <f>U3103*V3103</f>
        <v/>
      </c>
      <c r="X3103" s="32">
        <f>T3103/N3103</f>
        <v/>
      </c>
      <c r="Y3103" s="35">
        <f>IF(W3103=MAXIFS(W$2:W$3601, A$2:A$3601, A3103, B$2:B$3601, B3103), "OPTIMAL", "")</f>
        <v/>
      </c>
    </row>
    <row r="3104" ht="20" customHeight="1">
      <c r="A3104" s="21" t="n">
        <v>-18</v>
      </c>
      <c r="B3104" s="21" t="n">
        <v>40</v>
      </c>
      <c r="C3104" s="22" t="n">
        <v>105</v>
      </c>
      <c r="D3104" s="22" t="n">
        <v>3</v>
      </c>
      <c r="E3104" s="23" t="n">
        <v>0</v>
      </c>
      <c r="F3104" s="22" t="n">
        <v>0</v>
      </c>
      <c r="G3104" s="23" t="inlineStr">
        <is>
          <t>Non</t>
        </is>
      </c>
      <c r="H3104" s="23" t="inlineStr">
        <is>
          <t>ON</t>
        </is>
      </c>
      <c r="I3104" s="24" t="n">
        <v>815.012573225423</v>
      </c>
      <c r="J3104" s="24" t="n">
        <v>8308.791548992402</v>
      </c>
      <c r="K3104" s="24" t="n">
        <v>4662.037037037037</v>
      </c>
      <c r="L3104" s="24" t="n">
        <v>150</v>
      </c>
      <c r="M3104" s="24">
        <f>I3104+J3104+K3104+L3104</f>
        <v/>
      </c>
      <c r="N3104" s="24">
        <f>M3104*'Dashboard &amp; Optimisation'!$B$18/('Dashboard &amp; Optimisation'!$B$16/3.6)</f>
        <v/>
      </c>
      <c r="O3104" s="24" t="n">
        <v>884.5228107692337</v>
      </c>
      <c r="P3104" s="25" t="n">
        <v>0.473721107607432</v>
      </c>
      <c r="Q3104" s="26" t="n">
        <v>0.2</v>
      </c>
      <c r="R3104" s="24" t="n">
        <v>719.3682036921199</v>
      </c>
      <c r="S3104" s="24">
        <f>R3104*IF(A3104=4, 2.0, 3.0)</f>
        <v/>
      </c>
      <c r="T3104" s="22">
        <f>'Dashboard &amp; Optimisation'!$B$18*U3104</f>
        <v/>
      </c>
      <c r="U3104" s="27">
        <f>MIN(1, S3104/M3104)</f>
        <v/>
      </c>
      <c r="V3104" s="27">
        <f>N3104/(N3104+O3104)</f>
        <v/>
      </c>
      <c r="W3104" s="27">
        <f>U3104*V3104</f>
        <v/>
      </c>
      <c r="X3104" s="25">
        <f>T3104/N3104</f>
        <v/>
      </c>
      <c r="Y3104" s="28">
        <f>IF(W3104=MAXIFS(W$2:W$3601, A$2:A$3601, A3104, B$2:B$3601, B3104), "OPTIMAL", "")</f>
        <v/>
      </c>
    </row>
    <row r="3105" ht="20" customHeight="1">
      <c r="A3105" s="29" t="n">
        <v>-18</v>
      </c>
      <c r="B3105" s="29" t="n">
        <v>40</v>
      </c>
      <c r="C3105" s="30" t="n">
        <v>105</v>
      </c>
      <c r="D3105" s="30" t="n">
        <v>3</v>
      </c>
      <c r="E3105" s="6" t="n">
        <v>0</v>
      </c>
      <c r="F3105" s="30" t="n">
        <v>0</v>
      </c>
      <c r="G3105" s="6" t="inlineStr">
        <is>
          <t>Non</t>
        </is>
      </c>
      <c r="H3105" s="6" t="inlineStr">
        <is>
          <t>OFF</t>
        </is>
      </c>
      <c r="I3105" s="31" t="n">
        <v>815.012573225423</v>
      </c>
      <c r="J3105" s="31" t="n">
        <v>8308.791548992402</v>
      </c>
      <c r="K3105" s="31" t="n">
        <v>4662.037037037037</v>
      </c>
      <c r="L3105" s="31" t="n">
        <v>150</v>
      </c>
      <c r="M3105" s="31">
        <f>I3105+J3105+K3105+L3105</f>
        <v/>
      </c>
      <c r="N3105" s="31">
        <f>M3105*'Dashboard &amp; Optimisation'!$B$18/('Dashboard &amp; Optimisation'!$B$16/3.6)</f>
        <v/>
      </c>
      <c r="O3105" s="31" t="n">
        <v>884.5228107692337</v>
      </c>
      <c r="P3105" s="32" t="n">
        <v>0.7768733801634231</v>
      </c>
      <c r="Q3105" s="33" t="n">
        <v>0.2</v>
      </c>
      <c r="R3105" s="31" t="n">
        <v>438.6556560335654</v>
      </c>
      <c r="S3105" s="31">
        <f>R3105*IF(A3105=4, 2.0, 3.0)</f>
        <v/>
      </c>
      <c r="T3105" s="30">
        <f>'Dashboard &amp; Optimisation'!$B$18*U3105</f>
        <v/>
      </c>
      <c r="U3105" s="34">
        <f>MIN(1, S3105/M3105)</f>
        <v/>
      </c>
      <c r="V3105" s="34">
        <f>N3105/(N3105+O3105)</f>
        <v/>
      </c>
      <c r="W3105" s="34">
        <f>U3105*V3105</f>
        <v/>
      </c>
      <c r="X3105" s="32">
        <f>T3105/N3105</f>
        <v/>
      </c>
      <c r="Y3105" s="35">
        <f>IF(W3105=MAXIFS(W$2:W$3601, A$2:A$3601, A3105, B$2:B$3601, B3105), "OPTIMAL", "")</f>
        <v/>
      </c>
    </row>
    <row r="3106" ht="20" customHeight="1">
      <c r="A3106" s="21" t="n">
        <v>-18</v>
      </c>
      <c r="B3106" s="21" t="n">
        <v>40</v>
      </c>
      <c r="C3106" s="22" t="n">
        <v>105</v>
      </c>
      <c r="D3106" s="22" t="n">
        <v>3</v>
      </c>
      <c r="E3106" s="23" t="n">
        <v>4</v>
      </c>
      <c r="F3106" s="22" t="n">
        <v>1.5</v>
      </c>
      <c r="G3106" s="23" t="inlineStr">
        <is>
          <t>Oui</t>
        </is>
      </c>
      <c r="H3106" s="23" t="inlineStr">
        <is>
          <t>ON</t>
        </is>
      </c>
      <c r="I3106" s="24" t="n">
        <v>815.012573225423</v>
      </c>
      <c r="J3106" s="24" t="n">
        <v>8308.791548992402</v>
      </c>
      <c r="K3106" s="24" t="n">
        <v>4662.037037037037</v>
      </c>
      <c r="L3106" s="24" t="n">
        <v>150</v>
      </c>
      <c r="M3106" s="24">
        <f>I3106+J3106+K3106+L3106</f>
        <v/>
      </c>
      <c r="N3106" s="24">
        <f>M3106*'Dashboard &amp; Optimisation'!$B$18/('Dashboard &amp; Optimisation'!$B$16/3.6)</f>
        <v/>
      </c>
      <c r="O3106" s="24" t="n">
        <v>1223.721338368974</v>
      </c>
      <c r="P3106" s="25" t="n">
        <v>0.07189461044958809</v>
      </c>
      <c r="Q3106" s="26" t="n">
        <v>6.521441424527548</v>
      </c>
      <c r="R3106" s="24" t="n">
        <v>4890.958683522717</v>
      </c>
      <c r="S3106" s="24">
        <f>R3106*IF(A3106=4, 2.0, 3.0)</f>
        <v/>
      </c>
      <c r="T3106" s="22">
        <f>'Dashboard &amp; Optimisation'!$B$18*U3106</f>
        <v/>
      </c>
      <c r="U3106" s="27">
        <f>MIN(1, S3106/M3106)</f>
        <v/>
      </c>
      <c r="V3106" s="27">
        <f>N3106/(N3106+O3106)</f>
        <v/>
      </c>
      <c r="W3106" s="27">
        <f>U3106*V3106</f>
        <v/>
      </c>
      <c r="X3106" s="25">
        <f>T3106/N3106</f>
        <v/>
      </c>
      <c r="Y3106" s="28">
        <f>IF(W3106=MAXIFS(W$2:W$3601, A$2:A$3601, A3106, B$2:B$3601, B3106), "OPTIMAL", "")</f>
        <v/>
      </c>
    </row>
    <row r="3107" ht="20" customHeight="1">
      <c r="A3107" s="29" t="n">
        <v>-18</v>
      </c>
      <c r="B3107" s="29" t="n">
        <v>40</v>
      </c>
      <c r="C3107" s="30" t="n">
        <v>105</v>
      </c>
      <c r="D3107" s="30" t="n">
        <v>3</v>
      </c>
      <c r="E3107" s="6" t="n">
        <v>4</v>
      </c>
      <c r="F3107" s="30" t="n">
        <v>1.5</v>
      </c>
      <c r="G3107" s="6" t="inlineStr">
        <is>
          <t>Oui</t>
        </is>
      </c>
      <c r="H3107" s="6" t="inlineStr">
        <is>
          <t>OFF</t>
        </is>
      </c>
      <c r="I3107" s="31" t="n">
        <v>815.012573225423</v>
      </c>
      <c r="J3107" s="31" t="n">
        <v>8308.791548992402</v>
      </c>
      <c r="K3107" s="31" t="n">
        <v>4662.037037037037</v>
      </c>
      <c r="L3107" s="31" t="n">
        <v>150</v>
      </c>
      <c r="M3107" s="31">
        <f>I3107+J3107+K3107+L3107</f>
        <v/>
      </c>
      <c r="N3107" s="31">
        <f>M3107*'Dashboard &amp; Optimisation'!$B$18/('Dashboard &amp; Optimisation'!$B$16/3.6)</f>
        <v/>
      </c>
      <c r="O3107" s="31" t="n">
        <v>1223.721338368974</v>
      </c>
      <c r="P3107" s="32" t="n">
        <v>0.297191423626796</v>
      </c>
      <c r="Q3107" s="33" t="n">
        <v>6.521441424527548</v>
      </c>
      <c r="R3107" s="31" t="n">
        <v>1183.188818121706</v>
      </c>
      <c r="S3107" s="31">
        <f>R3107*IF(A3107=4, 2.0, 3.0)</f>
        <v/>
      </c>
      <c r="T3107" s="30">
        <f>'Dashboard &amp; Optimisation'!$B$18*U3107</f>
        <v/>
      </c>
      <c r="U3107" s="34">
        <f>MIN(1, S3107/M3107)</f>
        <v/>
      </c>
      <c r="V3107" s="34">
        <f>N3107/(N3107+O3107)</f>
        <v/>
      </c>
      <c r="W3107" s="34">
        <f>U3107*V3107</f>
        <v/>
      </c>
      <c r="X3107" s="32">
        <f>T3107/N3107</f>
        <v/>
      </c>
      <c r="Y3107" s="35">
        <f>IF(W3107=MAXIFS(W$2:W$3601, A$2:A$3601, A3107, B$2:B$3601, B3107), "OPTIMAL", "")</f>
        <v/>
      </c>
    </row>
    <row r="3108" ht="20" customHeight="1">
      <c r="A3108" s="21" t="n">
        <v>-18</v>
      </c>
      <c r="B3108" s="21" t="n">
        <v>40</v>
      </c>
      <c r="C3108" s="22" t="n">
        <v>105</v>
      </c>
      <c r="D3108" s="22" t="n">
        <v>3</v>
      </c>
      <c r="E3108" s="23" t="n">
        <v>4</v>
      </c>
      <c r="F3108" s="22" t="n">
        <v>1.5</v>
      </c>
      <c r="G3108" s="23" t="inlineStr">
        <is>
          <t>Non</t>
        </is>
      </c>
      <c r="H3108" s="23" t="inlineStr">
        <is>
          <t>ON</t>
        </is>
      </c>
      <c r="I3108" s="24" t="n">
        <v>815.012573225423</v>
      </c>
      <c r="J3108" s="24" t="n">
        <v>8308.791548992402</v>
      </c>
      <c r="K3108" s="24" t="n">
        <v>4662.037037037037</v>
      </c>
      <c r="L3108" s="24" t="n">
        <v>150</v>
      </c>
      <c r="M3108" s="24">
        <f>I3108+J3108+K3108+L3108</f>
        <v/>
      </c>
      <c r="N3108" s="24">
        <f>M3108*'Dashboard &amp; Optimisation'!$B$18/('Dashboard &amp; Optimisation'!$B$16/3.6)</f>
        <v/>
      </c>
      <c r="O3108" s="24" t="n">
        <v>1223.721338368974</v>
      </c>
      <c r="P3108" s="25" t="n">
        <v>0.06886308772402817</v>
      </c>
      <c r="Q3108" s="26" t="n">
        <v>6.521441424527548</v>
      </c>
      <c r="R3108" s="24" t="n">
        <v>5106.270730788065</v>
      </c>
      <c r="S3108" s="24">
        <f>R3108*IF(A3108=4, 2.0, 3.0)</f>
        <v/>
      </c>
      <c r="T3108" s="22">
        <f>'Dashboard &amp; Optimisation'!$B$18*U3108</f>
        <v/>
      </c>
      <c r="U3108" s="27">
        <f>MIN(1, S3108/M3108)</f>
        <v/>
      </c>
      <c r="V3108" s="27">
        <f>N3108/(N3108+O3108)</f>
        <v/>
      </c>
      <c r="W3108" s="27">
        <f>U3108*V3108</f>
        <v/>
      </c>
      <c r="X3108" s="25">
        <f>T3108/N3108</f>
        <v/>
      </c>
      <c r="Y3108" s="28">
        <f>IF(W3108=MAXIFS(W$2:W$3601, A$2:A$3601, A3108, B$2:B$3601, B3108), "OPTIMAL", "")</f>
        <v/>
      </c>
    </row>
    <row r="3109" ht="20" customHeight="1">
      <c r="A3109" s="29" t="n">
        <v>-18</v>
      </c>
      <c r="B3109" s="29" t="n">
        <v>40</v>
      </c>
      <c r="C3109" s="30" t="n">
        <v>105</v>
      </c>
      <c r="D3109" s="30" t="n">
        <v>3</v>
      </c>
      <c r="E3109" s="6" t="n">
        <v>4</v>
      </c>
      <c r="F3109" s="30" t="n">
        <v>1.5</v>
      </c>
      <c r="G3109" s="6" t="inlineStr">
        <is>
          <t>Non</t>
        </is>
      </c>
      <c r="H3109" s="6" t="inlineStr">
        <is>
          <t>OFF</t>
        </is>
      </c>
      <c r="I3109" s="31" t="n">
        <v>815.012573225423</v>
      </c>
      <c r="J3109" s="31" t="n">
        <v>8308.791548992402</v>
      </c>
      <c r="K3109" s="31" t="n">
        <v>4662.037037037037</v>
      </c>
      <c r="L3109" s="31" t="n">
        <v>150</v>
      </c>
      <c r="M3109" s="31">
        <f>I3109+J3109+K3109+L3109</f>
        <v/>
      </c>
      <c r="N3109" s="31">
        <f>M3109*'Dashboard &amp; Optimisation'!$B$18/('Dashboard &amp; Optimisation'!$B$16/3.6)</f>
        <v/>
      </c>
      <c r="O3109" s="31" t="n">
        <v>1223.721338368974</v>
      </c>
      <c r="P3109" s="32" t="n">
        <v>0.2941599009012361</v>
      </c>
      <c r="Q3109" s="33" t="n">
        <v>6.521441424527548</v>
      </c>
      <c r="R3109" s="31" t="n">
        <v>1195.382403242502</v>
      </c>
      <c r="S3109" s="31">
        <f>R3109*IF(A3109=4, 2.0, 3.0)</f>
        <v/>
      </c>
      <c r="T3109" s="30">
        <f>'Dashboard &amp; Optimisation'!$B$18*U3109</f>
        <v/>
      </c>
      <c r="U3109" s="34">
        <f>MIN(1, S3109/M3109)</f>
        <v/>
      </c>
      <c r="V3109" s="34">
        <f>N3109/(N3109+O3109)</f>
        <v/>
      </c>
      <c r="W3109" s="34">
        <f>U3109*V3109</f>
        <v/>
      </c>
      <c r="X3109" s="32">
        <f>T3109/N3109</f>
        <v/>
      </c>
      <c r="Y3109" s="35">
        <f>IF(W3109=MAXIFS(W$2:W$3601, A$2:A$3601, A3109, B$2:B$3601, B3109), "OPTIMAL", "")</f>
        <v/>
      </c>
    </row>
    <row r="3110" ht="20" customHeight="1">
      <c r="A3110" s="21" t="n">
        <v>-18</v>
      </c>
      <c r="B3110" s="21" t="n">
        <v>40</v>
      </c>
      <c r="C3110" s="22" t="n">
        <v>105</v>
      </c>
      <c r="D3110" s="22" t="n">
        <v>3</v>
      </c>
      <c r="E3110" s="23" t="n">
        <v>4</v>
      </c>
      <c r="F3110" s="22" t="n">
        <v>2</v>
      </c>
      <c r="G3110" s="23" t="inlineStr">
        <is>
          <t>Oui</t>
        </is>
      </c>
      <c r="H3110" s="23" t="inlineStr">
        <is>
          <t>ON</t>
        </is>
      </c>
      <c r="I3110" s="24" t="n">
        <v>815.012573225423</v>
      </c>
      <c r="J3110" s="24" t="n">
        <v>8308.791548992402</v>
      </c>
      <c r="K3110" s="24" t="n">
        <v>4662.037037037037</v>
      </c>
      <c r="L3110" s="24" t="n">
        <v>150</v>
      </c>
      <c r="M3110" s="24">
        <f>I3110+J3110+K3110+L3110</f>
        <v/>
      </c>
      <c r="N3110" s="24">
        <f>M3110*'Dashboard &amp; Optimisation'!$B$18/('Dashboard &amp; Optimisation'!$B$16/3.6)</f>
        <v/>
      </c>
      <c r="O3110" s="24" t="n">
        <v>1341.640503121032</v>
      </c>
      <c r="P3110" s="25" t="n">
        <v>0.06909966512774487</v>
      </c>
      <c r="Q3110" s="26" t="n">
        <v>8.628588566036731</v>
      </c>
      <c r="R3110" s="24" t="n">
        <v>5143.39314766866</v>
      </c>
      <c r="S3110" s="24">
        <f>R3110*IF(A3110=4, 2.0, 3.0)</f>
        <v/>
      </c>
      <c r="T3110" s="22">
        <f>'Dashboard &amp; Optimisation'!$B$18*U3110</f>
        <v/>
      </c>
      <c r="U3110" s="27">
        <f>MIN(1, S3110/M3110)</f>
        <v/>
      </c>
      <c r="V3110" s="27">
        <f>N3110/(N3110+O3110)</f>
        <v/>
      </c>
      <c r="W3110" s="27">
        <f>U3110*V3110</f>
        <v/>
      </c>
      <c r="X3110" s="25">
        <f>T3110/N3110</f>
        <v/>
      </c>
      <c r="Y3110" s="28">
        <f>IF(W3110=MAXIFS(W$2:W$3601, A$2:A$3601, A3110, B$2:B$3601, B3110), "OPTIMAL", "")</f>
        <v/>
      </c>
    </row>
    <row r="3111" ht="20" customHeight="1">
      <c r="A3111" s="29" t="n">
        <v>-18</v>
      </c>
      <c r="B3111" s="29" t="n">
        <v>40</v>
      </c>
      <c r="C3111" s="30" t="n">
        <v>105</v>
      </c>
      <c r="D3111" s="30" t="n">
        <v>3</v>
      </c>
      <c r="E3111" s="6" t="n">
        <v>4</v>
      </c>
      <c r="F3111" s="30" t="n">
        <v>2</v>
      </c>
      <c r="G3111" s="6" t="inlineStr">
        <is>
          <t>Oui</t>
        </is>
      </c>
      <c r="H3111" s="6" t="inlineStr">
        <is>
          <t>OFF</t>
        </is>
      </c>
      <c r="I3111" s="31" t="n">
        <v>815.012573225423</v>
      </c>
      <c r="J3111" s="31" t="n">
        <v>8308.791548992402</v>
      </c>
      <c r="K3111" s="31" t="n">
        <v>4662.037037037037</v>
      </c>
      <c r="L3111" s="31" t="n">
        <v>150</v>
      </c>
      <c r="M3111" s="31">
        <f>I3111+J3111+K3111+L3111</f>
        <v/>
      </c>
      <c r="N3111" s="31">
        <f>M3111*'Dashboard &amp; Optimisation'!$B$18/('Dashboard &amp; Optimisation'!$B$16/3.6)</f>
        <v/>
      </c>
      <c r="O3111" s="31" t="n">
        <v>1341.640503121032</v>
      </c>
      <c r="P3111" s="32" t="n">
        <v>0.2954143944438517</v>
      </c>
      <c r="Q3111" s="33" t="n">
        <v>8.628588566036731</v>
      </c>
      <c r="R3111" s="31" t="n">
        <v>1203.078627205462</v>
      </c>
      <c r="S3111" s="31">
        <f>R3111*IF(A3111=4, 2.0, 3.0)</f>
        <v/>
      </c>
      <c r="T3111" s="30">
        <f>'Dashboard &amp; Optimisation'!$B$18*U3111</f>
        <v/>
      </c>
      <c r="U3111" s="34">
        <f>MIN(1, S3111/M3111)</f>
        <v/>
      </c>
      <c r="V3111" s="34">
        <f>N3111/(N3111+O3111)</f>
        <v/>
      </c>
      <c r="W3111" s="34">
        <f>U3111*V3111</f>
        <v/>
      </c>
      <c r="X3111" s="32">
        <f>T3111/N3111</f>
        <v/>
      </c>
      <c r="Y3111" s="35">
        <f>IF(W3111=MAXIFS(W$2:W$3601, A$2:A$3601, A3111, B$2:B$3601, B3111), "OPTIMAL", "")</f>
        <v/>
      </c>
    </row>
    <row r="3112" ht="20" customHeight="1">
      <c r="A3112" s="21" t="n">
        <v>-18</v>
      </c>
      <c r="B3112" s="21" t="n">
        <v>40</v>
      </c>
      <c r="C3112" s="22" t="n">
        <v>105</v>
      </c>
      <c r="D3112" s="22" t="n">
        <v>3</v>
      </c>
      <c r="E3112" s="23" t="n">
        <v>4</v>
      </c>
      <c r="F3112" s="22" t="n">
        <v>2</v>
      </c>
      <c r="G3112" s="23" t="inlineStr">
        <is>
          <t>Non</t>
        </is>
      </c>
      <c r="H3112" s="23" t="inlineStr">
        <is>
          <t>ON</t>
        </is>
      </c>
      <c r="I3112" s="24" t="n">
        <v>815.012573225423</v>
      </c>
      <c r="J3112" s="24" t="n">
        <v>8308.791548992402</v>
      </c>
      <c r="K3112" s="24" t="n">
        <v>4662.037037037037</v>
      </c>
      <c r="L3112" s="24" t="n">
        <v>150</v>
      </c>
      <c r="M3112" s="24">
        <f>I3112+J3112+K3112+L3112</f>
        <v/>
      </c>
      <c r="N3112" s="24">
        <f>M3112*'Dashboard &amp; Optimisation'!$B$18/('Dashboard &amp; Optimisation'!$B$16/3.6)</f>
        <v/>
      </c>
      <c r="O3112" s="24" t="n">
        <v>1341.640503121032</v>
      </c>
      <c r="P3112" s="25" t="n">
        <v>0.06606814240218496</v>
      </c>
      <c r="Q3112" s="26" t="n">
        <v>8.628588566036731</v>
      </c>
      <c r="R3112" s="24" t="n">
        <v>5379.396653242187</v>
      </c>
      <c r="S3112" s="24">
        <f>R3112*IF(A3112=4, 2.0, 3.0)</f>
        <v/>
      </c>
      <c r="T3112" s="22">
        <f>'Dashboard &amp; Optimisation'!$B$18*U3112</f>
        <v/>
      </c>
      <c r="U3112" s="27">
        <f>MIN(1, S3112/M3112)</f>
        <v/>
      </c>
      <c r="V3112" s="27">
        <f>N3112/(N3112+O3112)</f>
        <v/>
      </c>
      <c r="W3112" s="27">
        <f>U3112*V3112</f>
        <v/>
      </c>
      <c r="X3112" s="25">
        <f>T3112/N3112</f>
        <v/>
      </c>
      <c r="Y3112" s="28">
        <f>IF(W3112=MAXIFS(W$2:W$3601, A$2:A$3601, A3112, B$2:B$3601, B3112), "OPTIMAL", "")</f>
        <v/>
      </c>
    </row>
    <row r="3113" ht="20" customHeight="1">
      <c r="A3113" s="29" t="n">
        <v>-18</v>
      </c>
      <c r="B3113" s="29" t="n">
        <v>40</v>
      </c>
      <c r="C3113" s="30" t="n">
        <v>105</v>
      </c>
      <c r="D3113" s="30" t="n">
        <v>3</v>
      </c>
      <c r="E3113" s="6" t="n">
        <v>4</v>
      </c>
      <c r="F3113" s="30" t="n">
        <v>2</v>
      </c>
      <c r="G3113" s="6" t="inlineStr">
        <is>
          <t>Non</t>
        </is>
      </c>
      <c r="H3113" s="6" t="inlineStr">
        <is>
          <t>OFF</t>
        </is>
      </c>
      <c r="I3113" s="31" t="n">
        <v>815.012573225423</v>
      </c>
      <c r="J3113" s="31" t="n">
        <v>8308.791548992402</v>
      </c>
      <c r="K3113" s="31" t="n">
        <v>4662.037037037037</v>
      </c>
      <c r="L3113" s="31" t="n">
        <v>150</v>
      </c>
      <c r="M3113" s="31">
        <f>I3113+J3113+K3113+L3113</f>
        <v/>
      </c>
      <c r="N3113" s="31">
        <f>M3113*'Dashboard &amp; Optimisation'!$B$18/('Dashboard &amp; Optimisation'!$B$16/3.6)</f>
        <v/>
      </c>
      <c r="O3113" s="31" t="n">
        <v>1341.640503121032</v>
      </c>
      <c r="P3113" s="32" t="n">
        <v>0.2923828717182918</v>
      </c>
      <c r="Q3113" s="33" t="n">
        <v>8.628588566036731</v>
      </c>
      <c r="R3113" s="31" t="n">
        <v>1215.552546000961</v>
      </c>
      <c r="S3113" s="31">
        <f>R3113*IF(A3113=4, 2.0, 3.0)</f>
        <v/>
      </c>
      <c r="T3113" s="30">
        <f>'Dashboard &amp; Optimisation'!$B$18*U3113</f>
        <v/>
      </c>
      <c r="U3113" s="34">
        <f>MIN(1, S3113/M3113)</f>
        <v/>
      </c>
      <c r="V3113" s="34">
        <f>N3113/(N3113+O3113)</f>
        <v/>
      </c>
      <c r="W3113" s="34">
        <f>U3113*V3113</f>
        <v/>
      </c>
      <c r="X3113" s="32">
        <f>T3113/N3113</f>
        <v/>
      </c>
      <c r="Y3113" s="35">
        <f>IF(W3113=MAXIFS(W$2:W$3601, A$2:A$3601, A3113, B$2:B$3601, B3113), "OPTIMAL", "")</f>
        <v/>
      </c>
    </row>
    <row r="3114" ht="20" customHeight="1">
      <c r="A3114" s="21" t="n">
        <v>-18</v>
      </c>
      <c r="B3114" s="21" t="n">
        <v>40</v>
      </c>
      <c r="C3114" s="22" t="n">
        <v>105</v>
      </c>
      <c r="D3114" s="22" t="n">
        <v>3</v>
      </c>
      <c r="E3114" s="23" t="n">
        <v>8</v>
      </c>
      <c r="F3114" s="22" t="n">
        <v>1.5</v>
      </c>
      <c r="G3114" s="23" t="inlineStr">
        <is>
          <t>Oui</t>
        </is>
      </c>
      <c r="H3114" s="23" t="inlineStr">
        <is>
          <t>ON</t>
        </is>
      </c>
      <c r="I3114" s="24" t="n">
        <v>815.012573225423</v>
      </c>
      <c r="J3114" s="24" t="n">
        <v>8308.791548992402</v>
      </c>
      <c r="K3114" s="24" t="n">
        <v>4662.037037037037</v>
      </c>
      <c r="L3114" s="24" t="n">
        <v>150</v>
      </c>
      <c r="M3114" s="24">
        <f>I3114+J3114+K3114+L3114</f>
        <v/>
      </c>
      <c r="N3114" s="24">
        <f>M3114*'Dashboard &amp; Optimisation'!$B$18/('Dashboard &amp; Optimisation'!$B$16/3.6)</f>
        <v/>
      </c>
      <c r="O3114" s="24" t="n">
        <v>1585.237265972414</v>
      </c>
      <c r="P3114" s="25" t="n">
        <v>0.05445758169649494</v>
      </c>
      <c r="Q3114" s="26" t="n">
        <v>12.84288284905509</v>
      </c>
      <c r="R3114" s="24" t="n">
        <v>6669.435856024922</v>
      </c>
      <c r="S3114" s="24">
        <f>R3114*IF(A3114=4, 2.0, 3.0)</f>
        <v/>
      </c>
      <c r="T3114" s="22">
        <f>'Dashboard &amp; Optimisation'!$B$18*U3114</f>
        <v/>
      </c>
      <c r="U3114" s="27">
        <f>MIN(1, S3114/M3114)</f>
        <v/>
      </c>
      <c r="V3114" s="27">
        <f>N3114/(N3114+O3114)</f>
        <v/>
      </c>
      <c r="W3114" s="27">
        <f>U3114*V3114</f>
        <v/>
      </c>
      <c r="X3114" s="25">
        <f>T3114/N3114</f>
        <v/>
      </c>
      <c r="Y3114" s="28">
        <f>IF(W3114=MAXIFS(W$2:W$3601, A$2:A$3601, A3114, B$2:B$3601, B3114), "OPTIMAL", "")</f>
        <v/>
      </c>
    </row>
    <row r="3115" ht="20" customHeight="1">
      <c r="A3115" s="29" t="n">
        <v>-18</v>
      </c>
      <c r="B3115" s="29" t="n">
        <v>40</v>
      </c>
      <c r="C3115" s="30" t="n">
        <v>105</v>
      </c>
      <c r="D3115" s="30" t="n">
        <v>3</v>
      </c>
      <c r="E3115" s="6" t="n">
        <v>8</v>
      </c>
      <c r="F3115" s="30" t="n">
        <v>1.5</v>
      </c>
      <c r="G3115" s="6" t="inlineStr">
        <is>
          <t>Oui</t>
        </is>
      </c>
      <c r="H3115" s="6" t="inlineStr">
        <is>
          <t>OFF</t>
        </is>
      </c>
      <c r="I3115" s="31" t="n">
        <v>815.012573225423</v>
      </c>
      <c r="J3115" s="31" t="n">
        <v>8308.791548992402</v>
      </c>
      <c r="K3115" s="31" t="n">
        <v>4662.037037037037</v>
      </c>
      <c r="L3115" s="31" t="n">
        <v>150</v>
      </c>
      <c r="M3115" s="31">
        <f>I3115+J3115+K3115+L3115</f>
        <v/>
      </c>
      <c r="N3115" s="31">
        <f>M3115*'Dashboard &amp; Optimisation'!$B$18/('Dashboard &amp; Optimisation'!$B$16/3.6)</f>
        <v/>
      </c>
      <c r="O3115" s="31" t="n">
        <v>1585.237265972414</v>
      </c>
      <c r="P3115" s="32" t="n">
        <v>0.233716140989121</v>
      </c>
      <c r="Q3115" s="33" t="n">
        <v>12.84288284905509</v>
      </c>
      <c r="R3115" s="31" t="n">
        <v>1554.027661341182</v>
      </c>
      <c r="S3115" s="31">
        <f>R3115*IF(A3115=4, 2.0, 3.0)</f>
        <v/>
      </c>
      <c r="T3115" s="30">
        <f>'Dashboard &amp; Optimisation'!$B$18*U3115</f>
        <v/>
      </c>
      <c r="U3115" s="34">
        <f>MIN(1, S3115/M3115)</f>
        <v/>
      </c>
      <c r="V3115" s="34">
        <f>N3115/(N3115+O3115)</f>
        <v/>
      </c>
      <c r="W3115" s="34">
        <f>U3115*V3115</f>
        <v/>
      </c>
      <c r="X3115" s="32">
        <f>T3115/N3115</f>
        <v/>
      </c>
      <c r="Y3115" s="35">
        <f>IF(W3115=MAXIFS(W$2:W$3601, A$2:A$3601, A3115, B$2:B$3601, B3115), "OPTIMAL", "")</f>
        <v/>
      </c>
    </row>
    <row r="3116" ht="20" customHeight="1">
      <c r="A3116" s="21" t="n">
        <v>-18</v>
      </c>
      <c r="B3116" s="21" t="n">
        <v>40</v>
      </c>
      <c r="C3116" s="22" t="n">
        <v>105</v>
      </c>
      <c r="D3116" s="22" t="n">
        <v>3</v>
      </c>
      <c r="E3116" s="23" t="n">
        <v>8</v>
      </c>
      <c r="F3116" s="22" t="n">
        <v>1.5</v>
      </c>
      <c r="G3116" s="23" t="inlineStr">
        <is>
          <t>Non</t>
        </is>
      </c>
      <c r="H3116" s="23" t="inlineStr">
        <is>
          <t>ON</t>
        </is>
      </c>
      <c r="I3116" s="24" t="n">
        <v>815.012573225423</v>
      </c>
      <c r="J3116" s="24" t="n">
        <v>8308.791548992402</v>
      </c>
      <c r="K3116" s="24" t="n">
        <v>4662.037037037037</v>
      </c>
      <c r="L3116" s="24" t="n">
        <v>150</v>
      </c>
      <c r="M3116" s="24">
        <f>I3116+J3116+K3116+L3116</f>
        <v/>
      </c>
      <c r="N3116" s="24">
        <f>M3116*'Dashboard &amp; Optimisation'!$B$18/('Dashboard &amp; Optimisation'!$B$16/3.6)</f>
        <v/>
      </c>
      <c r="O3116" s="24" t="n">
        <v>1585.237265972414</v>
      </c>
      <c r="P3116" s="25" t="n">
        <v>0.05142605897093502</v>
      </c>
      <c r="Q3116" s="26" t="n">
        <v>12.84288284905509</v>
      </c>
      <c r="R3116" s="24" t="n">
        <v>7062.593464614583</v>
      </c>
      <c r="S3116" s="24">
        <f>R3116*IF(A3116=4, 2.0, 3.0)</f>
        <v/>
      </c>
      <c r="T3116" s="22">
        <f>'Dashboard &amp; Optimisation'!$B$18*U3116</f>
        <v/>
      </c>
      <c r="U3116" s="27">
        <f>MIN(1, S3116/M3116)</f>
        <v/>
      </c>
      <c r="V3116" s="27">
        <f>N3116/(N3116+O3116)</f>
        <v/>
      </c>
      <c r="W3116" s="27">
        <f>U3116*V3116</f>
        <v/>
      </c>
      <c r="X3116" s="25">
        <f>T3116/N3116</f>
        <v/>
      </c>
      <c r="Y3116" s="28">
        <f>IF(W3116=MAXIFS(W$2:W$3601, A$2:A$3601, A3116, B$2:B$3601, B3116), "OPTIMAL", "")</f>
        <v/>
      </c>
    </row>
    <row r="3117" ht="20" customHeight="1">
      <c r="A3117" s="29" t="n">
        <v>-18</v>
      </c>
      <c r="B3117" s="29" t="n">
        <v>40</v>
      </c>
      <c r="C3117" s="30" t="n">
        <v>105</v>
      </c>
      <c r="D3117" s="30" t="n">
        <v>3</v>
      </c>
      <c r="E3117" s="6" t="n">
        <v>8</v>
      </c>
      <c r="F3117" s="30" t="n">
        <v>1.5</v>
      </c>
      <c r="G3117" s="6" t="inlineStr">
        <is>
          <t>Non</t>
        </is>
      </c>
      <c r="H3117" s="6" t="inlineStr">
        <is>
          <t>OFF</t>
        </is>
      </c>
      <c r="I3117" s="31" t="n">
        <v>815.012573225423</v>
      </c>
      <c r="J3117" s="31" t="n">
        <v>8308.791548992402</v>
      </c>
      <c r="K3117" s="31" t="n">
        <v>4662.037037037037</v>
      </c>
      <c r="L3117" s="31" t="n">
        <v>150</v>
      </c>
      <c r="M3117" s="31">
        <f>I3117+J3117+K3117+L3117</f>
        <v/>
      </c>
      <c r="N3117" s="31">
        <f>M3117*'Dashboard &amp; Optimisation'!$B$18/('Dashboard &amp; Optimisation'!$B$16/3.6)</f>
        <v/>
      </c>
      <c r="O3117" s="31" t="n">
        <v>1585.237265972414</v>
      </c>
      <c r="P3117" s="32" t="n">
        <v>0.2306846182635611</v>
      </c>
      <c r="Q3117" s="33" t="n">
        <v>12.84288284905509</v>
      </c>
      <c r="R3117" s="31" t="n">
        <v>1574.449786608859</v>
      </c>
      <c r="S3117" s="31">
        <f>R3117*IF(A3117=4, 2.0, 3.0)</f>
        <v/>
      </c>
      <c r="T3117" s="30">
        <f>'Dashboard &amp; Optimisation'!$B$18*U3117</f>
        <v/>
      </c>
      <c r="U3117" s="34">
        <f>MIN(1, S3117/M3117)</f>
        <v/>
      </c>
      <c r="V3117" s="34">
        <f>N3117/(N3117+O3117)</f>
        <v/>
      </c>
      <c r="W3117" s="34">
        <f>U3117*V3117</f>
        <v/>
      </c>
      <c r="X3117" s="32">
        <f>T3117/N3117</f>
        <v/>
      </c>
      <c r="Y3117" s="35">
        <f>IF(W3117=MAXIFS(W$2:W$3601, A$2:A$3601, A3117, B$2:B$3601, B3117), "OPTIMAL", "")</f>
        <v/>
      </c>
    </row>
    <row r="3118" ht="20" customHeight="1">
      <c r="A3118" s="21" t="n">
        <v>-18</v>
      </c>
      <c r="B3118" s="21" t="n">
        <v>40</v>
      </c>
      <c r="C3118" s="22" t="n">
        <v>105</v>
      </c>
      <c r="D3118" s="22" t="n">
        <v>3</v>
      </c>
      <c r="E3118" s="23" t="n">
        <v>8</v>
      </c>
      <c r="F3118" s="22" t="n">
        <v>2</v>
      </c>
      <c r="G3118" s="23" t="inlineStr">
        <is>
          <t>Oui</t>
        </is>
      </c>
      <c r="H3118" s="23" t="inlineStr">
        <is>
          <t>ON</t>
        </is>
      </c>
      <c r="I3118" s="24" t="n">
        <v>815.012573225423</v>
      </c>
      <c r="J3118" s="24" t="n">
        <v>8308.791548992402</v>
      </c>
      <c r="K3118" s="24" t="n">
        <v>4662.037037037037</v>
      </c>
      <c r="L3118" s="24" t="n">
        <v>150</v>
      </c>
      <c r="M3118" s="24">
        <f>I3118+J3118+K3118+L3118</f>
        <v/>
      </c>
      <c r="N3118" s="24">
        <f>M3118*'Dashboard &amp; Optimisation'!$B$18/('Dashboard &amp; Optimisation'!$B$16/3.6)</f>
        <v/>
      </c>
      <c r="O3118" s="24" t="n">
        <v>1839.758504995657</v>
      </c>
      <c r="P3118" s="25" t="n">
        <v>0.05316276245002891</v>
      </c>
      <c r="Q3118" s="26" t="n">
        <v>17.05717713207346</v>
      </c>
      <c r="R3118" s="24" t="n">
        <v>6985.06804216134</v>
      </c>
      <c r="S3118" s="24">
        <f>R3118*IF(A3118=4, 2.0, 3.0)</f>
        <v/>
      </c>
      <c r="T3118" s="22">
        <f>'Dashboard &amp; Optimisation'!$B$18*U3118</f>
        <v/>
      </c>
      <c r="U3118" s="27">
        <f>MIN(1, S3118/M3118)</f>
        <v/>
      </c>
      <c r="V3118" s="27">
        <f>N3118/(N3118+O3118)</f>
        <v/>
      </c>
      <c r="W3118" s="27">
        <f>U3118*V3118</f>
        <v/>
      </c>
      <c r="X3118" s="25">
        <f>T3118/N3118</f>
        <v/>
      </c>
      <c r="Y3118" s="28">
        <f>IF(W3118=MAXIFS(W$2:W$3601, A$2:A$3601, A3118, B$2:B$3601, B3118), "OPTIMAL", "")</f>
        <v/>
      </c>
    </row>
    <row r="3119" ht="20" customHeight="1">
      <c r="A3119" s="29" t="n">
        <v>-18</v>
      </c>
      <c r="B3119" s="29" t="n">
        <v>40</v>
      </c>
      <c r="C3119" s="30" t="n">
        <v>105</v>
      </c>
      <c r="D3119" s="30" t="n">
        <v>3</v>
      </c>
      <c r="E3119" s="6" t="n">
        <v>8</v>
      </c>
      <c r="F3119" s="30" t="n">
        <v>2</v>
      </c>
      <c r="G3119" s="6" t="inlineStr">
        <is>
          <t>Oui</t>
        </is>
      </c>
      <c r="H3119" s="6" t="inlineStr">
        <is>
          <t>OFF</t>
        </is>
      </c>
      <c r="I3119" s="31" t="n">
        <v>815.012573225423</v>
      </c>
      <c r="J3119" s="31" t="n">
        <v>8308.791548992402</v>
      </c>
      <c r="K3119" s="31" t="n">
        <v>4662.037037037037</v>
      </c>
      <c r="L3119" s="31" t="n">
        <v>150</v>
      </c>
      <c r="M3119" s="31">
        <f>I3119+J3119+K3119+L3119</f>
        <v/>
      </c>
      <c r="N3119" s="31">
        <f>M3119*'Dashboard &amp; Optimisation'!$B$18/('Dashboard &amp; Optimisation'!$B$16/3.6)</f>
        <v/>
      </c>
      <c r="O3119" s="31" t="n">
        <v>1839.758504995657</v>
      </c>
      <c r="P3119" s="32" t="n">
        <v>0.2337139817442265</v>
      </c>
      <c r="Q3119" s="33" t="n">
        <v>17.05717713207346</v>
      </c>
      <c r="R3119" s="31" t="n">
        <v>1588.888735929832</v>
      </c>
      <c r="S3119" s="31">
        <f>R3119*IF(A3119=4, 2.0, 3.0)</f>
        <v/>
      </c>
      <c r="T3119" s="30">
        <f>'Dashboard &amp; Optimisation'!$B$18*U3119</f>
        <v/>
      </c>
      <c r="U3119" s="34">
        <f>MIN(1, S3119/M3119)</f>
        <v/>
      </c>
      <c r="V3119" s="34">
        <f>N3119/(N3119+O3119)</f>
        <v/>
      </c>
      <c r="W3119" s="34">
        <f>U3119*V3119</f>
        <v/>
      </c>
      <c r="X3119" s="32">
        <f>T3119/N3119</f>
        <v/>
      </c>
      <c r="Y3119" s="35">
        <f>IF(W3119=MAXIFS(W$2:W$3601, A$2:A$3601, A3119, B$2:B$3601, B3119), "OPTIMAL", "")</f>
        <v/>
      </c>
    </row>
    <row r="3120" ht="20" customHeight="1">
      <c r="A3120" s="21" t="n">
        <v>-18</v>
      </c>
      <c r="B3120" s="21" t="n">
        <v>40</v>
      </c>
      <c r="C3120" s="22" t="n">
        <v>105</v>
      </c>
      <c r="D3120" s="22" t="n">
        <v>3</v>
      </c>
      <c r="E3120" s="23" t="n">
        <v>8</v>
      </c>
      <c r="F3120" s="22" t="n">
        <v>2</v>
      </c>
      <c r="G3120" s="23" t="inlineStr">
        <is>
          <t>Non</t>
        </is>
      </c>
      <c r="H3120" s="23" t="inlineStr">
        <is>
          <t>ON</t>
        </is>
      </c>
      <c r="I3120" s="24" t="n">
        <v>815.012573225423</v>
      </c>
      <c r="J3120" s="24" t="n">
        <v>8308.791548992402</v>
      </c>
      <c r="K3120" s="24" t="n">
        <v>4662.037037037037</v>
      </c>
      <c r="L3120" s="24" t="n">
        <v>150</v>
      </c>
      <c r="M3120" s="24">
        <f>I3120+J3120+K3120+L3120</f>
        <v/>
      </c>
      <c r="N3120" s="24">
        <f>M3120*'Dashboard &amp; Optimisation'!$B$18/('Dashboard &amp; Optimisation'!$B$16/3.6)</f>
        <v/>
      </c>
      <c r="O3120" s="24" t="n">
        <v>1839.758504995657</v>
      </c>
      <c r="P3120" s="25" t="n">
        <v>0.050131239724469</v>
      </c>
      <c r="Q3120" s="26" t="n">
        <v>17.05717713207346</v>
      </c>
      <c r="R3120" s="24" t="n">
        <v>7407.467181416192</v>
      </c>
      <c r="S3120" s="24">
        <f>R3120*IF(A3120=4, 2.0, 3.0)</f>
        <v/>
      </c>
      <c r="T3120" s="22">
        <f>'Dashboard &amp; Optimisation'!$B$18*U3120</f>
        <v/>
      </c>
      <c r="U3120" s="27">
        <f>MIN(1, S3120/M3120)</f>
        <v/>
      </c>
      <c r="V3120" s="27">
        <f>N3120/(N3120+O3120)</f>
        <v/>
      </c>
      <c r="W3120" s="27">
        <f>U3120*V3120</f>
        <v/>
      </c>
      <c r="X3120" s="25">
        <f>T3120/N3120</f>
        <v/>
      </c>
      <c r="Y3120" s="28">
        <f>IF(W3120=MAXIFS(W$2:W$3601, A$2:A$3601, A3120, B$2:B$3601, B3120), "OPTIMAL", "")</f>
        <v/>
      </c>
    </row>
    <row r="3121" ht="20" customHeight="1">
      <c r="A3121" s="29" t="n">
        <v>-18</v>
      </c>
      <c r="B3121" s="29" t="n">
        <v>40</v>
      </c>
      <c r="C3121" s="30" t="n">
        <v>105</v>
      </c>
      <c r="D3121" s="30" t="n">
        <v>3</v>
      </c>
      <c r="E3121" s="6" t="n">
        <v>8</v>
      </c>
      <c r="F3121" s="30" t="n">
        <v>2</v>
      </c>
      <c r="G3121" s="6" t="inlineStr">
        <is>
          <t>Non</t>
        </is>
      </c>
      <c r="H3121" s="6" t="inlineStr">
        <is>
          <t>OFF</t>
        </is>
      </c>
      <c r="I3121" s="31" t="n">
        <v>815.012573225423</v>
      </c>
      <c r="J3121" s="31" t="n">
        <v>8308.791548992402</v>
      </c>
      <c r="K3121" s="31" t="n">
        <v>4662.037037037037</v>
      </c>
      <c r="L3121" s="31" t="n">
        <v>150</v>
      </c>
      <c r="M3121" s="31">
        <f>I3121+J3121+K3121+L3121</f>
        <v/>
      </c>
      <c r="N3121" s="31">
        <f>M3121*'Dashboard &amp; Optimisation'!$B$18/('Dashboard &amp; Optimisation'!$B$16/3.6)</f>
        <v/>
      </c>
      <c r="O3121" s="31" t="n">
        <v>1839.758504995657</v>
      </c>
      <c r="P3121" s="32" t="n">
        <v>0.2306824590186666</v>
      </c>
      <c r="Q3121" s="33" t="n">
        <v>17.05717713207346</v>
      </c>
      <c r="R3121" s="31" t="n">
        <v>1609.769180554222</v>
      </c>
      <c r="S3121" s="31">
        <f>R3121*IF(A3121=4, 2.0, 3.0)</f>
        <v/>
      </c>
      <c r="T3121" s="30">
        <f>'Dashboard &amp; Optimisation'!$B$18*U3121</f>
        <v/>
      </c>
      <c r="U3121" s="34">
        <f>MIN(1, S3121/M3121)</f>
        <v/>
      </c>
      <c r="V3121" s="34">
        <f>N3121/(N3121+O3121)</f>
        <v/>
      </c>
      <c r="W3121" s="34">
        <f>U3121*V3121</f>
        <v/>
      </c>
      <c r="X3121" s="32">
        <f>T3121/N3121</f>
        <v/>
      </c>
      <c r="Y3121" s="35">
        <f>IF(W3121=MAXIFS(W$2:W$3601, A$2:A$3601, A3121, B$2:B$3601, B3121), "OPTIMAL", "")</f>
        <v/>
      </c>
    </row>
    <row r="3122" ht="20" customHeight="1">
      <c r="A3122" s="21" t="n">
        <v>-18</v>
      </c>
      <c r="B3122" s="21" t="n">
        <v>40</v>
      </c>
      <c r="C3122" s="22" t="n">
        <v>110</v>
      </c>
      <c r="D3122" s="22" t="n">
        <v>2</v>
      </c>
      <c r="E3122" s="23" t="n">
        <v>0</v>
      </c>
      <c r="F3122" s="22" t="n">
        <v>0</v>
      </c>
      <c r="G3122" s="23" t="inlineStr">
        <is>
          <t>Oui</t>
        </is>
      </c>
      <c r="H3122" s="23" t="inlineStr">
        <is>
          <t>ON</t>
        </is>
      </c>
      <c r="I3122" s="24" t="n">
        <v>815.012573225423</v>
      </c>
      <c r="J3122" s="24" t="n">
        <v>8308.791548992402</v>
      </c>
      <c r="K3122" s="24" t="n">
        <v>4662.037037037037</v>
      </c>
      <c r="L3122" s="24" t="n">
        <v>150</v>
      </c>
      <c r="M3122" s="24">
        <f>I3122+J3122+K3122+L3122</f>
        <v/>
      </c>
      <c r="N3122" s="24">
        <f>M3122*'Dashboard &amp; Optimisation'!$B$18/('Dashboard &amp; Optimisation'!$B$16/3.6)</f>
        <v/>
      </c>
      <c r="O3122" s="24" t="n">
        <v>544.6280695463698</v>
      </c>
      <c r="P3122" s="25" t="n">
        <v>0.4731529974868604</v>
      </c>
      <c r="Q3122" s="26" t="n">
        <v>0.2</v>
      </c>
      <c r="R3122" s="24" t="n">
        <v>628.2478874406754</v>
      </c>
      <c r="S3122" s="24">
        <f>R3122*IF(A3122=4, 2.0, 3.0)</f>
        <v/>
      </c>
      <c r="T3122" s="22">
        <f>'Dashboard &amp; Optimisation'!$B$18*U3122</f>
        <v/>
      </c>
      <c r="U3122" s="27">
        <f>MIN(1, S3122/M3122)</f>
        <v/>
      </c>
      <c r="V3122" s="27">
        <f>N3122/(N3122+O3122)</f>
        <v/>
      </c>
      <c r="W3122" s="27">
        <f>U3122*V3122</f>
        <v/>
      </c>
      <c r="X3122" s="25">
        <f>T3122/N3122</f>
        <v/>
      </c>
      <c r="Y3122" s="28">
        <f>IF(W3122=MAXIFS(W$2:W$3601, A$2:A$3601, A3122, B$2:B$3601, B3122), "OPTIMAL", "")</f>
        <v/>
      </c>
    </row>
    <row r="3123" ht="20" customHeight="1">
      <c r="A3123" s="29" t="n">
        <v>-18</v>
      </c>
      <c r="B3123" s="29" t="n">
        <v>40</v>
      </c>
      <c r="C3123" s="30" t="n">
        <v>110</v>
      </c>
      <c r="D3123" s="30" t="n">
        <v>2</v>
      </c>
      <c r="E3123" s="6" t="n">
        <v>0</v>
      </c>
      <c r="F3123" s="30" t="n">
        <v>0</v>
      </c>
      <c r="G3123" s="6" t="inlineStr">
        <is>
          <t>Oui</t>
        </is>
      </c>
      <c r="H3123" s="6" t="inlineStr">
        <is>
          <t>OFF</t>
        </is>
      </c>
      <c r="I3123" s="31" t="n">
        <v>815.012573225423</v>
      </c>
      <c r="J3123" s="31" t="n">
        <v>8308.791548992402</v>
      </c>
      <c r="K3123" s="31" t="n">
        <v>4662.037037037037</v>
      </c>
      <c r="L3123" s="31" t="n">
        <v>150</v>
      </c>
      <c r="M3123" s="31">
        <f>I3123+J3123+K3123+L3123</f>
        <v/>
      </c>
      <c r="N3123" s="31">
        <f>M3123*'Dashboard &amp; Optimisation'!$B$18/('Dashboard &amp; Optimisation'!$B$16/3.6)</f>
        <v/>
      </c>
      <c r="O3123" s="31" t="n">
        <v>544.6280695463698</v>
      </c>
      <c r="P3123" s="32" t="n">
        <v>0.7625256212903064</v>
      </c>
      <c r="Q3123" s="33" t="n">
        <v>0.2</v>
      </c>
      <c r="R3123" s="31" t="n">
        <v>389.8326335636299</v>
      </c>
      <c r="S3123" s="31">
        <f>R3123*IF(A3123=4, 2.0, 3.0)</f>
        <v/>
      </c>
      <c r="T3123" s="30">
        <f>'Dashboard &amp; Optimisation'!$B$18*U3123</f>
        <v/>
      </c>
      <c r="U3123" s="34">
        <f>MIN(1, S3123/M3123)</f>
        <v/>
      </c>
      <c r="V3123" s="34">
        <f>N3123/(N3123+O3123)</f>
        <v/>
      </c>
      <c r="W3123" s="34">
        <f>U3123*V3123</f>
        <v/>
      </c>
      <c r="X3123" s="32">
        <f>T3123/N3123</f>
        <v/>
      </c>
      <c r="Y3123" s="35">
        <f>IF(W3123=MAXIFS(W$2:W$3601, A$2:A$3601, A3123, B$2:B$3601, B3123), "OPTIMAL", "")</f>
        <v/>
      </c>
    </row>
    <row r="3124" ht="20" customHeight="1">
      <c r="A3124" s="21" t="n">
        <v>-18</v>
      </c>
      <c r="B3124" s="21" t="n">
        <v>40</v>
      </c>
      <c r="C3124" s="22" t="n">
        <v>110</v>
      </c>
      <c r="D3124" s="22" t="n">
        <v>2</v>
      </c>
      <c r="E3124" s="23" t="n">
        <v>0</v>
      </c>
      <c r="F3124" s="22" t="n">
        <v>0</v>
      </c>
      <c r="G3124" s="23" t="inlineStr">
        <is>
          <t>Non</t>
        </is>
      </c>
      <c r="H3124" s="23" t="inlineStr">
        <is>
          <t>ON</t>
        </is>
      </c>
      <c r="I3124" s="24" t="n">
        <v>815.012573225423</v>
      </c>
      <c r="J3124" s="24" t="n">
        <v>8308.791548992402</v>
      </c>
      <c r="K3124" s="24" t="n">
        <v>4662.037037037037</v>
      </c>
      <c r="L3124" s="24" t="n">
        <v>150</v>
      </c>
      <c r="M3124" s="24">
        <f>I3124+J3124+K3124+L3124</f>
        <v/>
      </c>
      <c r="N3124" s="24">
        <f>M3124*'Dashboard &amp; Optimisation'!$B$18/('Dashboard &amp; Optimisation'!$B$16/3.6)</f>
        <v/>
      </c>
      <c r="O3124" s="24" t="n">
        <v>544.6280695463698</v>
      </c>
      <c r="P3124" s="25" t="n">
        <v>0.4702592712488259</v>
      </c>
      <c r="Q3124" s="26" t="n">
        <v>0.2</v>
      </c>
      <c r="R3124" s="24" t="n">
        <v>632.1137918619726</v>
      </c>
      <c r="S3124" s="24">
        <f>R3124*IF(A3124=4, 2.0, 3.0)</f>
        <v/>
      </c>
      <c r="T3124" s="22">
        <f>'Dashboard &amp; Optimisation'!$B$18*U3124</f>
        <v/>
      </c>
      <c r="U3124" s="27">
        <f>MIN(1, S3124/M3124)</f>
        <v/>
      </c>
      <c r="V3124" s="27">
        <f>N3124/(N3124+O3124)</f>
        <v/>
      </c>
      <c r="W3124" s="27">
        <f>U3124*V3124</f>
        <v/>
      </c>
      <c r="X3124" s="25">
        <f>T3124/N3124</f>
        <v/>
      </c>
      <c r="Y3124" s="28">
        <f>IF(W3124=MAXIFS(W$2:W$3601, A$2:A$3601, A3124, B$2:B$3601, B3124), "OPTIMAL", "")</f>
        <v/>
      </c>
    </row>
    <row r="3125" ht="20" customHeight="1">
      <c r="A3125" s="29" t="n">
        <v>-18</v>
      </c>
      <c r="B3125" s="29" t="n">
        <v>40</v>
      </c>
      <c r="C3125" s="30" t="n">
        <v>110</v>
      </c>
      <c r="D3125" s="30" t="n">
        <v>2</v>
      </c>
      <c r="E3125" s="6" t="n">
        <v>0</v>
      </c>
      <c r="F3125" s="30" t="n">
        <v>0</v>
      </c>
      <c r="G3125" s="6" t="inlineStr">
        <is>
          <t>Non</t>
        </is>
      </c>
      <c r="H3125" s="6" t="inlineStr">
        <is>
          <t>OFF</t>
        </is>
      </c>
      <c r="I3125" s="31" t="n">
        <v>815.012573225423</v>
      </c>
      <c r="J3125" s="31" t="n">
        <v>8308.791548992402</v>
      </c>
      <c r="K3125" s="31" t="n">
        <v>4662.037037037037</v>
      </c>
      <c r="L3125" s="31" t="n">
        <v>150</v>
      </c>
      <c r="M3125" s="31">
        <f>I3125+J3125+K3125+L3125</f>
        <v/>
      </c>
      <c r="N3125" s="31">
        <f>M3125*'Dashboard &amp; Optimisation'!$B$18/('Dashboard &amp; Optimisation'!$B$16/3.6)</f>
        <v/>
      </c>
      <c r="O3125" s="31" t="n">
        <v>544.6280695463698</v>
      </c>
      <c r="P3125" s="32" t="n">
        <v>0.759631895052272</v>
      </c>
      <c r="Q3125" s="33" t="n">
        <v>0.2</v>
      </c>
      <c r="R3125" s="31" t="n">
        <v>391.3176540420124</v>
      </c>
      <c r="S3125" s="31">
        <f>R3125*IF(A3125=4, 2.0, 3.0)</f>
        <v/>
      </c>
      <c r="T3125" s="30">
        <f>'Dashboard &amp; Optimisation'!$B$18*U3125</f>
        <v/>
      </c>
      <c r="U3125" s="34">
        <f>MIN(1, S3125/M3125)</f>
        <v/>
      </c>
      <c r="V3125" s="34">
        <f>N3125/(N3125+O3125)</f>
        <v/>
      </c>
      <c r="W3125" s="34">
        <f>U3125*V3125</f>
        <v/>
      </c>
      <c r="X3125" s="32">
        <f>T3125/N3125</f>
        <v/>
      </c>
      <c r="Y3125" s="35">
        <f>IF(W3125=MAXIFS(W$2:W$3601, A$2:A$3601, A3125, B$2:B$3601, B3125), "OPTIMAL", "")</f>
        <v/>
      </c>
    </row>
    <row r="3126" ht="20" customHeight="1">
      <c r="A3126" s="21" t="n">
        <v>-18</v>
      </c>
      <c r="B3126" s="21" t="n">
        <v>40</v>
      </c>
      <c r="C3126" s="22" t="n">
        <v>110</v>
      </c>
      <c r="D3126" s="22" t="n">
        <v>2</v>
      </c>
      <c r="E3126" s="23" t="n">
        <v>4</v>
      </c>
      <c r="F3126" s="22" t="n">
        <v>1.5</v>
      </c>
      <c r="G3126" s="23" t="inlineStr">
        <is>
          <t>Oui</t>
        </is>
      </c>
      <c r="H3126" s="23" t="inlineStr">
        <is>
          <t>ON</t>
        </is>
      </c>
      <c r="I3126" s="24" t="n">
        <v>815.012573225423</v>
      </c>
      <c r="J3126" s="24" t="n">
        <v>8308.791548992402</v>
      </c>
      <c r="K3126" s="24" t="n">
        <v>4662.037037037037</v>
      </c>
      <c r="L3126" s="24" t="n">
        <v>150</v>
      </c>
      <c r="M3126" s="24">
        <f>I3126+J3126+K3126+L3126</f>
        <v/>
      </c>
      <c r="N3126" s="24">
        <f>M3126*'Dashboard &amp; Optimisation'!$B$18/('Dashboard &amp; Optimisation'!$B$16/3.6)</f>
        <v/>
      </c>
      <c r="O3126" s="24" t="n">
        <v>845.413385972853</v>
      </c>
      <c r="P3126" s="25" t="n">
        <v>0.07062967612279852</v>
      </c>
      <c r="Q3126" s="26" t="n">
        <v>6.103987745549313</v>
      </c>
      <c r="R3126" s="24" t="n">
        <v>4333.604707211871</v>
      </c>
      <c r="S3126" s="24">
        <f>R3126*IF(A3126=4, 2.0, 3.0)</f>
        <v/>
      </c>
      <c r="T3126" s="22">
        <f>'Dashboard &amp; Optimisation'!$B$18*U3126</f>
        <v/>
      </c>
      <c r="U3126" s="27">
        <f>MIN(1, S3126/M3126)</f>
        <v/>
      </c>
      <c r="V3126" s="27">
        <f>N3126/(N3126+O3126)</f>
        <v/>
      </c>
      <c r="W3126" s="27">
        <f>U3126*V3126</f>
        <v/>
      </c>
      <c r="X3126" s="25">
        <f>T3126/N3126</f>
        <v/>
      </c>
      <c r="Y3126" s="28">
        <f>IF(W3126=MAXIFS(W$2:W$3601, A$2:A$3601, A3126, B$2:B$3601, B3126), "OPTIMAL", "")</f>
        <v/>
      </c>
    </row>
    <row r="3127" ht="20" customHeight="1">
      <c r="A3127" s="29" t="n">
        <v>-18</v>
      </c>
      <c r="B3127" s="29" t="n">
        <v>40</v>
      </c>
      <c r="C3127" s="30" t="n">
        <v>110</v>
      </c>
      <c r="D3127" s="30" t="n">
        <v>2</v>
      </c>
      <c r="E3127" s="6" t="n">
        <v>4</v>
      </c>
      <c r="F3127" s="30" t="n">
        <v>1.5</v>
      </c>
      <c r="G3127" s="6" t="inlineStr">
        <is>
          <t>Oui</t>
        </is>
      </c>
      <c r="H3127" s="6" t="inlineStr">
        <is>
          <t>OFF</t>
        </is>
      </c>
      <c r="I3127" s="31" t="n">
        <v>815.012573225423</v>
      </c>
      <c r="J3127" s="31" t="n">
        <v>8308.791548992402</v>
      </c>
      <c r="K3127" s="31" t="n">
        <v>4662.037037037037</v>
      </c>
      <c r="L3127" s="31" t="n">
        <v>150</v>
      </c>
      <c r="M3127" s="31">
        <f>I3127+J3127+K3127+L3127</f>
        <v/>
      </c>
      <c r="N3127" s="31">
        <f>M3127*'Dashboard &amp; Optimisation'!$B$18/('Dashboard &amp; Optimisation'!$B$16/3.6)</f>
        <v/>
      </c>
      <c r="O3127" s="31" t="n">
        <v>845.413385972853</v>
      </c>
      <c r="P3127" s="32" t="n">
        <v>0.2882258985719243</v>
      </c>
      <c r="Q3127" s="33" t="n">
        <v>6.103987745549313</v>
      </c>
      <c r="R3127" s="31" t="n">
        <v>1061.948625821457</v>
      </c>
      <c r="S3127" s="31">
        <f>R3127*IF(A3127=4, 2.0, 3.0)</f>
        <v/>
      </c>
      <c r="T3127" s="30">
        <f>'Dashboard &amp; Optimisation'!$B$18*U3127</f>
        <v/>
      </c>
      <c r="U3127" s="34">
        <f>MIN(1, S3127/M3127)</f>
        <v/>
      </c>
      <c r="V3127" s="34">
        <f>N3127/(N3127+O3127)</f>
        <v/>
      </c>
      <c r="W3127" s="34">
        <f>U3127*V3127</f>
        <v/>
      </c>
      <c r="X3127" s="32">
        <f>T3127/N3127</f>
        <v/>
      </c>
      <c r="Y3127" s="35">
        <f>IF(W3127=MAXIFS(W$2:W$3601, A$2:A$3601, A3127, B$2:B$3601, B3127), "OPTIMAL", "")</f>
        <v/>
      </c>
    </row>
    <row r="3128" ht="20" customHeight="1">
      <c r="A3128" s="21" t="n">
        <v>-18</v>
      </c>
      <c r="B3128" s="21" t="n">
        <v>40</v>
      </c>
      <c r="C3128" s="22" t="n">
        <v>110</v>
      </c>
      <c r="D3128" s="22" t="n">
        <v>2</v>
      </c>
      <c r="E3128" s="23" t="n">
        <v>4</v>
      </c>
      <c r="F3128" s="22" t="n">
        <v>1.5</v>
      </c>
      <c r="G3128" s="23" t="inlineStr">
        <is>
          <t>Non</t>
        </is>
      </c>
      <c r="H3128" s="23" t="inlineStr">
        <is>
          <t>ON</t>
        </is>
      </c>
      <c r="I3128" s="24" t="n">
        <v>815.012573225423</v>
      </c>
      <c r="J3128" s="24" t="n">
        <v>8308.791548992402</v>
      </c>
      <c r="K3128" s="24" t="n">
        <v>4662.037037037037</v>
      </c>
      <c r="L3128" s="24" t="n">
        <v>150</v>
      </c>
      <c r="M3128" s="24">
        <f>I3128+J3128+K3128+L3128</f>
        <v/>
      </c>
      <c r="N3128" s="24">
        <f>M3128*'Dashboard &amp; Optimisation'!$B$18/('Dashboard &amp; Optimisation'!$B$16/3.6)</f>
        <v/>
      </c>
      <c r="O3128" s="24" t="n">
        <v>845.413385972853</v>
      </c>
      <c r="P3128" s="25" t="n">
        <v>0.06773594988476406</v>
      </c>
      <c r="Q3128" s="26" t="n">
        <v>6.103987745549313</v>
      </c>
      <c r="R3128" s="24" t="n">
        <v>4518.739272651093</v>
      </c>
      <c r="S3128" s="24">
        <f>R3128*IF(A3128=4, 2.0, 3.0)</f>
        <v/>
      </c>
      <c r="T3128" s="22">
        <f>'Dashboard &amp; Optimisation'!$B$18*U3128</f>
        <v/>
      </c>
      <c r="U3128" s="27">
        <f>MIN(1, S3128/M3128)</f>
        <v/>
      </c>
      <c r="V3128" s="27">
        <f>N3128/(N3128+O3128)</f>
        <v/>
      </c>
      <c r="W3128" s="27">
        <f>U3128*V3128</f>
        <v/>
      </c>
      <c r="X3128" s="25">
        <f>T3128/N3128</f>
        <v/>
      </c>
      <c r="Y3128" s="28">
        <f>IF(W3128=MAXIFS(W$2:W$3601, A$2:A$3601, A3128, B$2:B$3601, B3128), "OPTIMAL", "")</f>
        <v/>
      </c>
    </row>
    <row r="3129" ht="20" customHeight="1">
      <c r="A3129" s="29" t="n">
        <v>-18</v>
      </c>
      <c r="B3129" s="29" t="n">
        <v>40</v>
      </c>
      <c r="C3129" s="30" t="n">
        <v>110</v>
      </c>
      <c r="D3129" s="30" t="n">
        <v>2</v>
      </c>
      <c r="E3129" s="6" t="n">
        <v>4</v>
      </c>
      <c r="F3129" s="30" t="n">
        <v>1.5</v>
      </c>
      <c r="G3129" s="6" t="inlineStr">
        <is>
          <t>Non</t>
        </is>
      </c>
      <c r="H3129" s="6" t="inlineStr">
        <is>
          <t>OFF</t>
        </is>
      </c>
      <c r="I3129" s="31" t="n">
        <v>815.012573225423</v>
      </c>
      <c r="J3129" s="31" t="n">
        <v>8308.791548992402</v>
      </c>
      <c r="K3129" s="31" t="n">
        <v>4662.037037037037</v>
      </c>
      <c r="L3129" s="31" t="n">
        <v>150</v>
      </c>
      <c r="M3129" s="31">
        <f>I3129+J3129+K3129+L3129</f>
        <v/>
      </c>
      <c r="N3129" s="31">
        <f>M3129*'Dashboard &amp; Optimisation'!$B$18/('Dashboard &amp; Optimisation'!$B$16/3.6)</f>
        <v/>
      </c>
      <c r="O3129" s="31" t="n">
        <v>845.413385972853</v>
      </c>
      <c r="P3129" s="32" t="n">
        <v>0.2853321723338898</v>
      </c>
      <c r="Q3129" s="33" t="n">
        <v>6.103987745549313</v>
      </c>
      <c r="R3129" s="31" t="n">
        <v>1072.718489509973</v>
      </c>
      <c r="S3129" s="31">
        <f>R3129*IF(A3129=4, 2.0, 3.0)</f>
        <v/>
      </c>
      <c r="T3129" s="30">
        <f>'Dashboard &amp; Optimisation'!$B$18*U3129</f>
        <v/>
      </c>
      <c r="U3129" s="34">
        <f>MIN(1, S3129/M3129)</f>
        <v/>
      </c>
      <c r="V3129" s="34">
        <f>N3129/(N3129+O3129)</f>
        <v/>
      </c>
      <c r="W3129" s="34">
        <f>U3129*V3129</f>
        <v/>
      </c>
      <c r="X3129" s="32">
        <f>T3129/N3129</f>
        <v/>
      </c>
      <c r="Y3129" s="35">
        <f>IF(W3129=MAXIFS(W$2:W$3601, A$2:A$3601, A3129, B$2:B$3601, B3129), "OPTIMAL", "")</f>
        <v/>
      </c>
    </row>
    <row r="3130" ht="20" customHeight="1">
      <c r="A3130" s="21" t="n">
        <v>-18</v>
      </c>
      <c r="B3130" s="21" t="n">
        <v>40</v>
      </c>
      <c r="C3130" s="22" t="n">
        <v>110</v>
      </c>
      <c r="D3130" s="22" t="n">
        <v>2</v>
      </c>
      <c r="E3130" s="23" t="n">
        <v>4</v>
      </c>
      <c r="F3130" s="22" t="n">
        <v>2</v>
      </c>
      <c r="G3130" s="23" t="inlineStr">
        <is>
          <t>Oui</t>
        </is>
      </c>
      <c r="H3130" s="23" t="inlineStr">
        <is>
          <t>ON</t>
        </is>
      </c>
      <c r="I3130" s="24" t="n">
        <v>815.012573225423</v>
      </c>
      <c r="J3130" s="24" t="n">
        <v>8308.791548992402</v>
      </c>
      <c r="K3130" s="24" t="n">
        <v>4662.037037037037</v>
      </c>
      <c r="L3130" s="24" t="n">
        <v>150</v>
      </c>
      <c r="M3130" s="24">
        <f>I3130+J3130+K3130+L3130</f>
        <v/>
      </c>
      <c r="N3130" s="24">
        <f>M3130*'Dashboard &amp; Optimisation'!$B$18/('Dashboard &amp; Optimisation'!$B$16/3.6)</f>
        <v/>
      </c>
      <c r="O3130" s="24" t="n">
        <v>949.6830136084621</v>
      </c>
      <c r="P3130" s="25" t="n">
        <v>0.06762363614121064</v>
      </c>
      <c r="Q3130" s="26" t="n">
        <v>8.071983660732418</v>
      </c>
      <c r="R3130" s="24" t="n">
        <v>4571.477214831856</v>
      </c>
      <c r="S3130" s="24">
        <f>R3130*IF(A3130=4, 2.0, 3.0)</f>
        <v/>
      </c>
      <c r="T3130" s="22">
        <f>'Dashboard &amp; Optimisation'!$B$18*U3130</f>
        <v/>
      </c>
      <c r="U3130" s="27">
        <f>MIN(1, S3130/M3130)</f>
        <v/>
      </c>
      <c r="V3130" s="27">
        <f>N3130/(N3130+O3130)</f>
        <v/>
      </c>
      <c r="W3130" s="27">
        <f>U3130*V3130</f>
        <v/>
      </c>
      <c r="X3130" s="25">
        <f>T3130/N3130</f>
        <v/>
      </c>
      <c r="Y3130" s="28">
        <f>IF(W3130=MAXIFS(W$2:W$3601, A$2:A$3601, A3130, B$2:B$3601, B3130), "OPTIMAL", "")</f>
        <v/>
      </c>
    </row>
    <row r="3131" ht="20" customHeight="1">
      <c r="A3131" s="29" t="n">
        <v>-18</v>
      </c>
      <c r="B3131" s="29" t="n">
        <v>40</v>
      </c>
      <c r="C3131" s="30" t="n">
        <v>110</v>
      </c>
      <c r="D3131" s="30" t="n">
        <v>2</v>
      </c>
      <c r="E3131" s="6" t="n">
        <v>4</v>
      </c>
      <c r="F3131" s="30" t="n">
        <v>2</v>
      </c>
      <c r="G3131" s="6" t="inlineStr">
        <is>
          <t>Oui</t>
        </is>
      </c>
      <c r="H3131" s="6" t="inlineStr">
        <is>
          <t>OFF</t>
        </is>
      </c>
      <c r="I3131" s="31" t="n">
        <v>815.012573225423</v>
      </c>
      <c r="J3131" s="31" t="n">
        <v>8308.791548992402</v>
      </c>
      <c r="K3131" s="31" t="n">
        <v>4662.037037037037</v>
      </c>
      <c r="L3131" s="31" t="n">
        <v>150</v>
      </c>
      <c r="M3131" s="31">
        <f>I3131+J3131+K3131+L3131</f>
        <v/>
      </c>
      <c r="N3131" s="31">
        <f>M3131*'Dashboard &amp; Optimisation'!$B$18/('Dashboard &amp; Optimisation'!$B$16/3.6)</f>
        <v/>
      </c>
      <c r="O3131" s="31" t="n">
        <v>949.6830136084621</v>
      </c>
      <c r="P3131" s="32" t="n">
        <v>0.2861692165887991</v>
      </c>
      <c r="Q3131" s="33" t="n">
        <v>8.071983660732418</v>
      </c>
      <c r="R3131" s="31" t="n">
        <v>1080.269623297157</v>
      </c>
      <c r="S3131" s="31">
        <f>R3131*IF(A3131=4, 2.0, 3.0)</f>
        <v/>
      </c>
      <c r="T3131" s="30">
        <f>'Dashboard &amp; Optimisation'!$B$18*U3131</f>
        <v/>
      </c>
      <c r="U3131" s="34">
        <f>MIN(1, S3131/M3131)</f>
        <v/>
      </c>
      <c r="V3131" s="34">
        <f>N3131/(N3131+O3131)</f>
        <v/>
      </c>
      <c r="W3131" s="34">
        <f>U3131*V3131</f>
        <v/>
      </c>
      <c r="X3131" s="32">
        <f>T3131/N3131</f>
        <v/>
      </c>
      <c r="Y3131" s="35">
        <f>IF(W3131=MAXIFS(W$2:W$3601, A$2:A$3601, A3131, B$2:B$3601, B3131), "OPTIMAL", "")</f>
        <v/>
      </c>
    </row>
    <row r="3132" ht="20" customHeight="1">
      <c r="A3132" s="21" t="n">
        <v>-18</v>
      </c>
      <c r="B3132" s="21" t="n">
        <v>40</v>
      </c>
      <c r="C3132" s="22" t="n">
        <v>110</v>
      </c>
      <c r="D3132" s="22" t="n">
        <v>2</v>
      </c>
      <c r="E3132" s="23" t="n">
        <v>4</v>
      </c>
      <c r="F3132" s="22" t="n">
        <v>2</v>
      </c>
      <c r="G3132" s="23" t="inlineStr">
        <is>
          <t>Non</t>
        </is>
      </c>
      <c r="H3132" s="23" t="inlineStr">
        <is>
          <t>ON</t>
        </is>
      </c>
      <c r="I3132" s="24" t="n">
        <v>815.012573225423</v>
      </c>
      <c r="J3132" s="24" t="n">
        <v>8308.791548992402</v>
      </c>
      <c r="K3132" s="24" t="n">
        <v>4662.037037037037</v>
      </c>
      <c r="L3132" s="24" t="n">
        <v>150</v>
      </c>
      <c r="M3132" s="24">
        <f>I3132+J3132+K3132+L3132</f>
        <v/>
      </c>
      <c r="N3132" s="24">
        <f>M3132*'Dashboard &amp; Optimisation'!$B$18/('Dashboard &amp; Optimisation'!$B$16/3.6)</f>
        <v/>
      </c>
      <c r="O3132" s="24" t="n">
        <v>949.6830136084621</v>
      </c>
      <c r="P3132" s="25" t="n">
        <v>0.06472990990317617</v>
      </c>
      <c r="Q3132" s="26" t="n">
        <v>8.071983660732418</v>
      </c>
      <c r="R3132" s="24" t="n">
        <v>4775.843381615081</v>
      </c>
      <c r="S3132" s="24">
        <f>R3132*IF(A3132=4, 2.0, 3.0)</f>
        <v/>
      </c>
      <c r="T3132" s="22">
        <f>'Dashboard &amp; Optimisation'!$B$18*U3132</f>
        <v/>
      </c>
      <c r="U3132" s="27">
        <f>MIN(1, S3132/M3132)</f>
        <v/>
      </c>
      <c r="V3132" s="27">
        <f>N3132/(N3132+O3132)</f>
        <v/>
      </c>
      <c r="W3132" s="27">
        <f>U3132*V3132</f>
        <v/>
      </c>
      <c r="X3132" s="25">
        <f>T3132/N3132</f>
        <v/>
      </c>
      <c r="Y3132" s="28">
        <f>IF(W3132=MAXIFS(W$2:W$3601, A$2:A$3601, A3132, B$2:B$3601, B3132), "OPTIMAL", "")</f>
        <v/>
      </c>
    </row>
    <row r="3133" ht="20" customHeight="1">
      <c r="A3133" s="29" t="n">
        <v>-18</v>
      </c>
      <c r="B3133" s="29" t="n">
        <v>40</v>
      </c>
      <c r="C3133" s="30" t="n">
        <v>110</v>
      </c>
      <c r="D3133" s="30" t="n">
        <v>2</v>
      </c>
      <c r="E3133" s="6" t="n">
        <v>4</v>
      </c>
      <c r="F3133" s="30" t="n">
        <v>2</v>
      </c>
      <c r="G3133" s="6" t="inlineStr">
        <is>
          <t>Non</t>
        </is>
      </c>
      <c r="H3133" s="6" t="inlineStr">
        <is>
          <t>OFF</t>
        </is>
      </c>
      <c r="I3133" s="31" t="n">
        <v>815.012573225423</v>
      </c>
      <c r="J3133" s="31" t="n">
        <v>8308.791548992402</v>
      </c>
      <c r="K3133" s="31" t="n">
        <v>4662.037037037037</v>
      </c>
      <c r="L3133" s="31" t="n">
        <v>150</v>
      </c>
      <c r="M3133" s="31">
        <f>I3133+J3133+K3133+L3133</f>
        <v/>
      </c>
      <c r="N3133" s="31">
        <f>M3133*'Dashboard &amp; Optimisation'!$B$18/('Dashboard &amp; Optimisation'!$B$16/3.6)</f>
        <v/>
      </c>
      <c r="O3133" s="31" t="n">
        <v>949.6830136084621</v>
      </c>
      <c r="P3133" s="32" t="n">
        <v>0.2832754903507647</v>
      </c>
      <c r="Q3133" s="33" t="n">
        <v>8.071983660732418</v>
      </c>
      <c r="R3133" s="31" t="n">
        <v>1091.304833400282</v>
      </c>
      <c r="S3133" s="31">
        <f>R3133*IF(A3133=4, 2.0, 3.0)</f>
        <v/>
      </c>
      <c r="T3133" s="30">
        <f>'Dashboard &amp; Optimisation'!$B$18*U3133</f>
        <v/>
      </c>
      <c r="U3133" s="34">
        <f>MIN(1, S3133/M3133)</f>
        <v/>
      </c>
      <c r="V3133" s="34">
        <f>N3133/(N3133+O3133)</f>
        <v/>
      </c>
      <c r="W3133" s="34">
        <f>U3133*V3133</f>
        <v/>
      </c>
      <c r="X3133" s="32">
        <f>T3133/N3133</f>
        <v/>
      </c>
      <c r="Y3133" s="35">
        <f>IF(W3133=MAXIFS(W$2:W$3601, A$2:A$3601, A3133, B$2:B$3601, B3133), "OPTIMAL", "")</f>
        <v/>
      </c>
    </row>
    <row r="3134" ht="20" customHeight="1">
      <c r="A3134" s="21" t="n">
        <v>-18</v>
      </c>
      <c r="B3134" s="21" t="n">
        <v>40</v>
      </c>
      <c r="C3134" s="22" t="n">
        <v>110</v>
      </c>
      <c r="D3134" s="22" t="n">
        <v>2</v>
      </c>
      <c r="E3134" s="23" t="n">
        <v>8</v>
      </c>
      <c r="F3134" s="22" t="n">
        <v>1.5</v>
      </c>
      <c r="G3134" s="23" t="inlineStr">
        <is>
          <t>Oui</t>
        </is>
      </c>
      <c r="H3134" s="23" t="inlineStr">
        <is>
          <t>ON</t>
        </is>
      </c>
      <c r="I3134" s="24" t="n">
        <v>815.012573225423</v>
      </c>
      <c r="J3134" s="24" t="n">
        <v>8308.791548992402</v>
      </c>
      <c r="K3134" s="24" t="n">
        <v>4662.037037037037</v>
      </c>
      <c r="L3134" s="24" t="n">
        <v>150</v>
      </c>
      <c r="M3134" s="24">
        <f>I3134+J3134+K3134+L3134</f>
        <v/>
      </c>
      <c r="N3134" s="24">
        <f>M3134*'Dashboard &amp; Optimisation'!$B$18/('Dashboard &amp; Optimisation'!$B$16/3.6)</f>
        <v/>
      </c>
      <c r="O3134" s="24" t="n">
        <v>1164.601875553688</v>
      </c>
      <c r="P3134" s="25" t="n">
        <v>0.05348631453507773</v>
      </c>
      <c r="Q3134" s="26" t="n">
        <v>12.00797549109863</v>
      </c>
      <c r="R3134" s="24" t="n">
        <v>5897.671097448139</v>
      </c>
      <c r="S3134" s="24">
        <f>R3134*IF(A3134=4, 2.0, 3.0)</f>
        <v/>
      </c>
      <c r="T3134" s="22">
        <f>'Dashboard &amp; Optimisation'!$B$18*U3134</f>
        <v/>
      </c>
      <c r="U3134" s="27">
        <f>MIN(1, S3134/M3134)</f>
        <v/>
      </c>
      <c r="V3134" s="27">
        <f>N3134/(N3134+O3134)</f>
        <v/>
      </c>
      <c r="W3134" s="27">
        <f>U3134*V3134</f>
        <v/>
      </c>
      <c r="X3134" s="25">
        <f>T3134/N3134</f>
        <v/>
      </c>
      <c r="Y3134" s="28">
        <f>IF(W3134=MAXIFS(W$2:W$3601, A$2:A$3601, A3134, B$2:B$3601, B3134), "OPTIMAL", "")</f>
        <v/>
      </c>
    </row>
    <row r="3135" ht="20" customHeight="1">
      <c r="A3135" s="29" t="n">
        <v>-18</v>
      </c>
      <c r="B3135" s="29" t="n">
        <v>40</v>
      </c>
      <c r="C3135" s="30" t="n">
        <v>110</v>
      </c>
      <c r="D3135" s="30" t="n">
        <v>2</v>
      </c>
      <c r="E3135" s="6" t="n">
        <v>8</v>
      </c>
      <c r="F3135" s="30" t="n">
        <v>1.5</v>
      </c>
      <c r="G3135" s="6" t="inlineStr">
        <is>
          <t>Oui</t>
        </is>
      </c>
      <c r="H3135" s="6" t="inlineStr">
        <is>
          <t>OFF</t>
        </is>
      </c>
      <c r="I3135" s="31" t="n">
        <v>815.012573225423</v>
      </c>
      <c r="J3135" s="31" t="n">
        <v>8308.791548992402</v>
      </c>
      <c r="K3135" s="31" t="n">
        <v>4662.037037037037</v>
      </c>
      <c r="L3135" s="31" t="n">
        <v>150</v>
      </c>
      <c r="M3135" s="31">
        <f>I3135+J3135+K3135+L3135</f>
        <v/>
      </c>
      <c r="N3135" s="31">
        <f>M3135*'Dashboard &amp; Optimisation'!$B$18/('Dashboard &amp; Optimisation'!$B$16/3.6)</f>
        <v/>
      </c>
      <c r="O3135" s="31" t="n">
        <v>1164.601875553688</v>
      </c>
      <c r="P3135" s="32" t="n">
        <v>0.2278356335097701</v>
      </c>
      <c r="Q3135" s="33" t="n">
        <v>12.00797549109863</v>
      </c>
      <c r="R3135" s="31" t="n">
        <v>1384.527461675661</v>
      </c>
      <c r="S3135" s="31">
        <f>R3135*IF(A3135=4, 2.0, 3.0)</f>
        <v/>
      </c>
      <c r="T3135" s="30">
        <f>'Dashboard &amp; Optimisation'!$B$18*U3135</f>
        <v/>
      </c>
      <c r="U3135" s="34">
        <f>MIN(1, S3135/M3135)</f>
        <v/>
      </c>
      <c r="V3135" s="34">
        <f>N3135/(N3135+O3135)</f>
        <v/>
      </c>
      <c r="W3135" s="34">
        <f>U3135*V3135</f>
        <v/>
      </c>
      <c r="X3135" s="32">
        <f>T3135/N3135</f>
        <v/>
      </c>
      <c r="Y3135" s="35">
        <f>IF(W3135=MAXIFS(W$2:W$3601, A$2:A$3601, A3135, B$2:B$3601, B3135), "OPTIMAL", "")</f>
        <v/>
      </c>
    </row>
    <row r="3136" ht="20" customHeight="1">
      <c r="A3136" s="21" t="n">
        <v>-18</v>
      </c>
      <c r="B3136" s="21" t="n">
        <v>40</v>
      </c>
      <c r="C3136" s="22" t="n">
        <v>110</v>
      </c>
      <c r="D3136" s="22" t="n">
        <v>2</v>
      </c>
      <c r="E3136" s="23" t="n">
        <v>8</v>
      </c>
      <c r="F3136" s="22" t="n">
        <v>1.5</v>
      </c>
      <c r="G3136" s="23" t="inlineStr">
        <is>
          <t>Non</t>
        </is>
      </c>
      <c r="H3136" s="23" t="inlineStr">
        <is>
          <t>ON</t>
        </is>
      </c>
      <c r="I3136" s="24" t="n">
        <v>815.012573225423</v>
      </c>
      <c r="J3136" s="24" t="n">
        <v>8308.791548992402</v>
      </c>
      <c r="K3136" s="24" t="n">
        <v>4662.037037037037</v>
      </c>
      <c r="L3136" s="24" t="n">
        <v>150</v>
      </c>
      <c r="M3136" s="24">
        <f>I3136+J3136+K3136+L3136</f>
        <v/>
      </c>
      <c r="N3136" s="24">
        <f>M3136*'Dashboard &amp; Optimisation'!$B$18/('Dashboard &amp; Optimisation'!$B$16/3.6)</f>
        <v/>
      </c>
      <c r="O3136" s="24" t="n">
        <v>1164.601875553688</v>
      </c>
      <c r="P3136" s="25" t="n">
        <v>0.05059258829704327</v>
      </c>
      <c r="Q3136" s="26" t="n">
        <v>12.00797549109863</v>
      </c>
      <c r="R3136" s="24" t="n">
        <v>6234.998088860052</v>
      </c>
      <c r="S3136" s="24">
        <f>R3136*IF(A3136=4, 2.0, 3.0)</f>
        <v/>
      </c>
      <c r="T3136" s="22">
        <f>'Dashboard &amp; Optimisation'!$B$18*U3136</f>
        <v/>
      </c>
      <c r="U3136" s="27">
        <f>MIN(1, S3136/M3136)</f>
        <v/>
      </c>
      <c r="V3136" s="27">
        <f>N3136/(N3136+O3136)</f>
        <v/>
      </c>
      <c r="W3136" s="27">
        <f>U3136*V3136</f>
        <v/>
      </c>
      <c r="X3136" s="25">
        <f>T3136/N3136</f>
        <v/>
      </c>
      <c r="Y3136" s="28">
        <f>IF(W3136=MAXIFS(W$2:W$3601, A$2:A$3601, A3136, B$2:B$3601, B3136), "OPTIMAL", "")</f>
        <v/>
      </c>
    </row>
    <row r="3137" ht="20" customHeight="1">
      <c r="A3137" s="29" t="n">
        <v>-18</v>
      </c>
      <c r="B3137" s="29" t="n">
        <v>40</v>
      </c>
      <c r="C3137" s="30" t="n">
        <v>110</v>
      </c>
      <c r="D3137" s="30" t="n">
        <v>2</v>
      </c>
      <c r="E3137" s="6" t="n">
        <v>8</v>
      </c>
      <c r="F3137" s="30" t="n">
        <v>1.5</v>
      </c>
      <c r="G3137" s="6" t="inlineStr">
        <is>
          <t>Non</t>
        </is>
      </c>
      <c r="H3137" s="6" t="inlineStr">
        <is>
          <t>OFF</t>
        </is>
      </c>
      <c r="I3137" s="31" t="n">
        <v>815.012573225423</v>
      </c>
      <c r="J3137" s="31" t="n">
        <v>8308.791548992402</v>
      </c>
      <c r="K3137" s="31" t="n">
        <v>4662.037037037037</v>
      </c>
      <c r="L3137" s="31" t="n">
        <v>150</v>
      </c>
      <c r="M3137" s="31">
        <f>I3137+J3137+K3137+L3137</f>
        <v/>
      </c>
      <c r="N3137" s="31">
        <f>M3137*'Dashboard &amp; Optimisation'!$B$18/('Dashboard &amp; Optimisation'!$B$16/3.6)</f>
        <v/>
      </c>
      <c r="O3137" s="31" t="n">
        <v>1164.601875553688</v>
      </c>
      <c r="P3137" s="32" t="n">
        <v>0.2249419072717356</v>
      </c>
      <c r="Q3137" s="33" t="n">
        <v>12.00797549109863</v>
      </c>
      <c r="R3137" s="31" t="n">
        <v>1402.338475602427</v>
      </c>
      <c r="S3137" s="31">
        <f>R3137*IF(A3137=4, 2.0, 3.0)</f>
        <v/>
      </c>
      <c r="T3137" s="30">
        <f>'Dashboard &amp; Optimisation'!$B$18*U3137</f>
        <v/>
      </c>
      <c r="U3137" s="34">
        <f>MIN(1, S3137/M3137)</f>
        <v/>
      </c>
      <c r="V3137" s="34">
        <f>N3137/(N3137+O3137)</f>
        <v/>
      </c>
      <c r="W3137" s="34">
        <f>U3137*V3137</f>
        <v/>
      </c>
      <c r="X3137" s="32">
        <f>T3137/N3137</f>
        <v/>
      </c>
      <c r="Y3137" s="35">
        <f>IF(W3137=MAXIFS(W$2:W$3601, A$2:A$3601, A3137, B$2:B$3601, B3137), "OPTIMAL", "")</f>
        <v/>
      </c>
    </row>
    <row r="3138" ht="20" customHeight="1">
      <c r="A3138" s="21" t="n">
        <v>-18</v>
      </c>
      <c r="B3138" s="21" t="n">
        <v>40</v>
      </c>
      <c r="C3138" s="22" t="n">
        <v>110</v>
      </c>
      <c r="D3138" s="22" t="n">
        <v>2</v>
      </c>
      <c r="E3138" s="23" t="n">
        <v>8</v>
      </c>
      <c r="F3138" s="22" t="n">
        <v>2</v>
      </c>
      <c r="G3138" s="23" t="inlineStr">
        <is>
          <t>Oui</t>
        </is>
      </c>
      <c r="H3138" s="23" t="inlineStr">
        <is>
          <t>ON</t>
        </is>
      </c>
      <c r="I3138" s="24" t="n">
        <v>815.012573225423</v>
      </c>
      <c r="J3138" s="24" t="n">
        <v>8308.791548992402</v>
      </c>
      <c r="K3138" s="24" t="n">
        <v>4662.037037037037</v>
      </c>
      <c r="L3138" s="24" t="n">
        <v>150</v>
      </c>
      <c r="M3138" s="24">
        <f>I3138+J3138+K3138+L3138</f>
        <v/>
      </c>
      <c r="N3138" s="24">
        <f>M3138*'Dashboard &amp; Optimisation'!$B$18/('Dashboard &amp; Optimisation'!$B$16/3.6)</f>
        <v/>
      </c>
      <c r="O3138" s="24" t="n">
        <v>1388.469607025299</v>
      </c>
      <c r="P3138" s="25" t="n">
        <v>0.05207352280953786</v>
      </c>
      <c r="Q3138" s="26" t="n">
        <v>15.94396732146484</v>
      </c>
      <c r="R3138" s="24" t="n">
        <v>6183.7950306624</v>
      </c>
      <c r="S3138" s="24">
        <f>R3138*IF(A3138=4, 2.0, 3.0)</f>
        <v/>
      </c>
      <c r="T3138" s="22">
        <f>'Dashboard &amp; Optimisation'!$B$18*U3138</f>
        <v/>
      </c>
      <c r="U3138" s="27">
        <f>MIN(1, S3138/M3138)</f>
        <v/>
      </c>
      <c r="V3138" s="27">
        <f>N3138/(N3138+O3138)</f>
        <v/>
      </c>
      <c r="W3138" s="27">
        <f>U3138*V3138</f>
        <v/>
      </c>
      <c r="X3138" s="25">
        <f>T3138/N3138</f>
        <v/>
      </c>
      <c r="Y3138" s="28">
        <f>IF(W3138=MAXIFS(W$2:W$3601, A$2:A$3601, A3138, B$2:B$3601, B3138), "OPTIMAL", "")</f>
        <v/>
      </c>
    </row>
    <row r="3139" ht="20" customHeight="1">
      <c r="A3139" s="29" t="n">
        <v>-18</v>
      </c>
      <c r="B3139" s="29" t="n">
        <v>40</v>
      </c>
      <c r="C3139" s="30" t="n">
        <v>110</v>
      </c>
      <c r="D3139" s="30" t="n">
        <v>2</v>
      </c>
      <c r="E3139" s="6" t="n">
        <v>8</v>
      </c>
      <c r="F3139" s="30" t="n">
        <v>2</v>
      </c>
      <c r="G3139" s="6" t="inlineStr">
        <is>
          <t>Oui</t>
        </is>
      </c>
      <c r="H3139" s="6" t="inlineStr">
        <is>
          <t>OFF</t>
        </is>
      </c>
      <c r="I3139" s="31" t="n">
        <v>815.012573225423</v>
      </c>
      <c r="J3139" s="31" t="n">
        <v>8308.791548992402</v>
      </c>
      <c r="K3139" s="31" t="n">
        <v>4662.037037037037</v>
      </c>
      <c r="L3139" s="31" t="n">
        <v>150</v>
      </c>
      <c r="M3139" s="31">
        <f>I3139+J3139+K3139+L3139</f>
        <v/>
      </c>
      <c r="N3139" s="31">
        <f>M3139*'Dashboard &amp; Optimisation'!$B$18/('Dashboard &amp; Optimisation'!$B$16/3.6)</f>
        <v/>
      </c>
      <c r="O3139" s="31" t="n">
        <v>1388.469607025299</v>
      </c>
      <c r="P3139" s="32" t="n">
        <v>0.2276454001773911</v>
      </c>
      <c r="Q3139" s="33" t="n">
        <v>15.94396732146484</v>
      </c>
      <c r="R3139" s="31" t="n">
        <v>1414.533266772708</v>
      </c>
      <c r="S3139" s="31">
        <f>R3139*IF(A3139=4, 2.0, 3.0)</f>
        <v/>
      </c>
      <c r="T3139" s="30">
        <f>'Dashboard &amp; Optimisation'!$B$18*U3139</f>
        <v/>
      </c>
      <c r="U3139" s="34">
        <f>MIN(1, S3139/M3139)</f>
        <v/>
      </c>
      <c r="V3139" s="34">
        <f>N3139/(N3139+O3139)</f>
        <v/>
      </c>
      <c r="W3139" s="34">
        <f>U3139*V3139</f>
        <v/>
      </c>
      <c r="X3139" s="32">
        <f>T3139/N3139</f>
        <v/>
      </c>
      <c r="Y3139" s="35">
        <f>IF(W3139=MAXIFS(W$2:W$3601, A$2:A$3601, A3139, B$2:B$3601, B3139), "OPTIMAL", "")</f>
        <v/>
      </c>
    </row>
    <row r="3140" ht="20" customHeight="1">
      <c r="A3140" s="21" t="n">
        <v>-18</v>
      </c>
      <c r="B3140" s="21" t="n">
        <v>40</v>
      </c>
      <c r="C3140" s="22" t="n">
        <v>110</v>
      </c>
      <c r="D3140" s="22" t="n">
        <v>2</v>
      </c>
      <c r="E3140" s="23" t="n">
        <v>8</v>
      </c>
      <c r="F3140" s="22" t="n">
        <v>2</v>
      </c>
      <c r="G3140" s="23" t="inlineStr">
        <is>
          <t>Non</t>
        </is>
      </c>
      <c r="H3140" s="23" t="inlineStr">
        <is>
          <t>ON</t>
        </is>
      </c>
      <c r="I3140" s="24" t="n">
        <v>815.012573225423</v>
      </c>
      <c r="J3140" s="24" t="n">
        <v>8308.791548992402</v>
      </c>
      <c r="K3140" s="24" t="n">
        <v>4662.037037037037</v>
      </c>
      <c r="L3140" s="24" t="n">
        <v>150</v>
      </c>
      <c r="M3140" s="24">
        <f>I3140+J3140+K3140+L3140</f>
        <v/>
      </c>
      <c r="N3140" s="24">
        <f>M3140*'Dashboard &amp; Optimisation'!$B$18/('Dashboard &amp; Optimisation'!$B$16/3.6)</f>
        <v/>
      </c>
      <c r="O3140" s="24" t="n">
        <v>1388.469607025299</v>
      </c>
      <c r="P3140" s="25" t="n">
        <v>0.0491797965715034</v>
      </c>
      <c r="Q3140" s="26" t="n">
        <v>15.94396732146484</v>
      </c>
      <c r="R3140" s="24" t="n">
        <v>6547.647896642399</v>
      </c>
      <c r="S3140" s="24">
        <f>R3140*IF(A3140=4, 2.0, 3.0)</f>
        <v/>
      </c>
      <c r="T3140" s="22">
        <f>'Dashboard &amp; Optimisation'!$B$18*U3140</f>
        <v/>
      </c>
      <c r="U3140" s="27">
        <f>MIN(1, S3140/M3140)</f>
        <v/>
      </c>
      <c r="V3140" s="27">
        <f>N3140/(N3140+O3140)</f>
        <v/>
      </c>
      <c r="W3140" s="27">
        <f>U3140*V3140</f>
        <v/>
      </c>
      <c r="X3140" s="25">
        <f>T3140/N3140</f>
        <v/>
      </c>
      <c r="Y3140" s="28">
        <f>IF(W3140=MAXIFS(W$2:W$3601, A$2:A$3601, A3140, B$2:B$3601, B3140), "OPTIMAL", "")</f>
        <v/>
      </c>
    </row>
    <row r="3141" ht="20" customHeight="1">
      <c r="A3141" s="29" t="n">
        <v>-18</v>
      </c>
      <c r="B3141" s="29" t="n">
        <v>40</v>
      </c>
      <c r="C3141" s="30" t="n">
        <v>110</v>
      </c>
      <c r="D3141" s="30" t="n">
        <v>2</v>
      </c>
      <c r="E3141" s="6" t="n">
        <v>8</v>
      </c>
      <c r="F3141" s="30" t="n">
        <v>2</v>
      </c>
      <c r="G3141" s="6" t="inlineStr">
        <is>
          <t>Non</t>
        </is>
      </c>
      <c r="H3141" s="6" t="inlineStr">
        <is>
          <t>OFF</t>
        </is>
      </c>
      <c r="I3141" s="31" t="n">
        <v>815.012573225423</v>
      </c>
      <c r="J3141" s="31" t="n">
        <v>8308.791548992402</v>
      </c>
      <c r="K3141" s="31" t="n">
        <v>4662.037037037037</v>
      </c>
      <c r="L3141" s="31" t="n">
        <v>150</v>
      </c>
      <c r="M3141" s="31">
        <f>I3141+J3141+K3141+L3141</f>
        <v/>
      </c>
      <c r="N3141" s="31">
        <f>M3141*'Dashboard &amp; Optimisation'!$B$18/('Dashboard &amp; Optimisation'!$B$16/3.6)</f>
        <v/>
      </c>
      <c r="O3141" s="31" t="n">
        <v>1388.469607025299</v>
      </c>
      <c r="P3141" s="32" t="n">
        <v>0.2247516739393566</v>
      </c>
      <c r="Q3141" s="33" t="n">
        <v>15.94396732146484</v>
      </c>
      <c r="R3141" s="31" t="n">
        <v>1432.745687427413</v>
      </c>
      <c r="S3141" s="31">
        <f>R3141*IF(A3141=4, 2.0, 3.0)</f>
        <v/>
      </c>
      <c r="T3141" s="30">
        <f>'Dashboard &amp; Optimisation'!$B$18*U3141</f>
        <v/>
      </c>
      <c r="U3141" s="34">
        <f>MIN(1, S3141/M3141)</f>
        <v/>
      </c>
      <c r="V3141" s="34">
        <f>N3141/(N3141+O3141)</f>
        <v/>
      </c>
      <c r="W3141" s="34">
        <f>U3141*V3141</f>
        <v/>
      </c>
      <c r="X3141" s="32">
        <f>T3141/N3141</f>
        <v/>
      </c>
      <c r="Y3141" s="35">
        <f>IF(W3141=MAXIFS(W$2:W$3601, A$2:A$3601, A3141, B$2:B$3601, B3141), "OPTIMAL", "")</f>
        <v/>
      </c>
    </row>
    <row r="3142" ht="20" customHeight="1">
      <c r="A3142" s="21" t="n">
        <v>-18</v>
      </c>
      <c r="B3142" s="21" t="n">
        <v>40</v>
      </c>
      <c r="C3142" s="22" t="n">
        <v>110</v>
      </c>
      <c r="D3142" s="22" t="n">
        <v>3</v>
      </c>
      <c r="E3142" s="23" t="n">
        <v>0</v>
      </c>
      <c r="F3142" s="22" t="n">
        <v>0</v>
      </c>
      <c r="G3142" s="23" t="inlineStr">
        <is>
          <t>Oui</t>
        </is>
      </c>
      <c r="H3142" s="23" t="inlineStr">
        <is>
          <t>ON</t>
        </is>
      </c>
      <c r="I3142" s="24" t="n">
        <v>815.012573225423</v>
      </c>
      <c r="J3142" s="24" t="n">
        <v>8308.791548992402</v>
      </c>
      <c r="K3142" s="24" t="n">
        <v>4662.037037037037</v>
      </c>
      <c r="L3142" s="24" t="n">
        <v>150</v>
      </c>
      <c r="M3142" s="24">
        <f>I3142+J3142+K3142+L3142</f>
        <v/>
      </c>
      <c r="N3142" s="24">
        <f>M3142*'Dashboard &amp; Optimisation'!$B$18/('Dashboard &amp; Optimisation'!$B$16/3.6)</f>
        <v/>
      </c>
      <c r="O3142" s="24" t="n">
        <v>840.8070680630833</v>
      </c>
      <c r="P3142" s="25" t="n">
        <v>0.4731677858497217</v>
      </c>
      <c r="Q3142" s="26" t="n">
        <v>0.2</v>
      </c>
      <c r="R3142" s="24" t="n">
        <v>652.6232102304789</v>
      </c>
      <c r="S3142" s="24">
        <f>R3142*IF(A3142=4, 2.0, 3.0)</f>
        <v/>
      </c>
      <c r="T3142" s="22">
        <f>'Dashboard &amp; Optimisation'!$B$18*U3142</f>
        <v/>
      </c>
      <c r="U3142" s="27">
        <f>MIN(1, S3142/M3142)</f>
        <v/>
      </c>
      <c r="V3142" s="27">
        <f>N3142/(N3142+O3142)</f>
        <v/>
      </c>
      <c r="W3142" s="27">
        <f>U3142*V3142</f>
        <v/>
      </c>
      <c r="X3142" s="25">
        <f>T3142/N3142</f>
        <v/>
      </c>
      <c r="Y3142" s="28">
        <f>IF(W3142=MAXIFS(W$2:W$3601, A$2:A$3601, A3142, B$2:B$3601, B3142), "OPTIMAL", "")</f>
        <v/>
      </c>
    </row>
    <row r="3143" ht="20" customHeight="1">
      <c r="A3143" s="29" t="n">
        <v>-18</v>
      </c>
      <c r="B3143" s="29" t="n">
        <v>40</v>
      </c>
      <c r="C3143" s="30" t="n">
        <v>110</v>
      </c>
      <c r="D3143" s="30" t="n">
        <v>3</v>
      </c>
      <c r="E3143" s="6" t="n">
        <v>0</v>
      </c>
      <c r="F3143" s="30" t="n">
        <v>0</v>
      </c>
      <c r="G3143" s="6" t="inlineStr">
        <is>
          <t>Oui</t>
        </is>
      </c>
      <c r="H3143" s="6" t="inlineStr">
        <is>
          <t>OFF</t>
        </is>
      </c>
      <c r="I3143" s="31" t="n">
        <v>815.012573225423</v>
      </c>
      <c r="J3143" s="31" t="n">
        <v>8308.791548992402</v>
      </c>
      <c r="K3143" s="31" t="n">
        <v>4662.037037037037</v>
      </c>
      <c r="L3143" s="31" t="n">
        <v>150</v>
      </c>
      <c r="M3143" s="31">
        <f>I3143+J3143+K3143+L3143</f>
        <v/>
      </c>
      <c r="N3143" s="31">
        <f>M3143*'Dashboard &amp; Optimisation'!$B$18/('Dashboard &amp; Optimisation'!$B$16/3.6)</f>
        <v/>
      </c>
      <c r="O3143" s="31" t="n">
        <v>840.8070680630833</v>
      </c>
      <c r="P3143" s="32" t="n">
        <v>0.7625404096531678</v>
      </c>
      <c r="Q3143" s="33" t="n">
        <v>0.2</v>
      </c>
      <c r="R3143" s="31" t="n">
        <v>404.9625114547663</v>
      </c>
      <c r="S3143" s="31">
        <f>R3143*IF(A3143=4, 2.0, 3.0)</f>
        <v/>
      </c>
      <c r="T3143" s="30">
        <f>'Dashboard &amp; Optimisation'!$B$18*U3143</f>
        <v/>
      </c>
      <c r="U3143" s="34">
        <f>MIN(1, S3143/M3143)</f>
        <v/>
      </c>
      <c r="V3143" s="34">
        <f>N3143/(N3143+O3143)</f>
        <v/>
      </c>
      <c r="W3143" s="34">
        <f>U3143*V3143</f>
        <v/>
      </c>
      <c r="X3143" s="32">
        <f>T3143/N3143</f>
        <v/>
      </c>
      <c r="Y3143" s="35">
        <f>IF(W3143=MAXIFS(W$2:W$3601, A$2:A$3601, A3143, B$2:B$3601, B3143), "OPTIMAL", "")</f>
        <v/>
      </c>
    </row>
    <row r="3144" ht="20" customHeight="1">
      <c r="A3144" s="21" t="n">
        <v>-18</v>
      </c>
      <c r="B3144" s="21" t="n">
        <v>40</v>
      </c>
      <c r="C3144" s="22" t="n">
        <v>110</v>
      </c>
      <c r="D3144" s="22" t="n">
        <v>3</v>
      </c>
      <c r="E3144" s="23" t="n">
        <v>0</v>
      </c>
      <c r="F3144" s="22" t="n">
        <v>0</v>
      </c>
      <c r="G3144" s="23" t="inlineStr">
        <is>
          <t>Non</t>
        </is>
      </c>
      <c r="H3144" s="23" t="inlineStr">
        <is>
          <t>ON</t>
        </is>
      </c>
      <c r="I3144" s="24" t="n">
        <v>815.012573225423</v>
      </c>
      <c r="J3144" s="24" t="n">
        <v>8308.791548992402</v>
      </c>
      <c r="K3144" s="24" t="n">
        <v>4662.037037037037</v>
      </c>
      <c r="L3144" s="24" t="n">
        <v>150</v>
      </c>
      <c r="M3144" s="24">
        <f>I3144+J3144+K3144+L3144</f>
        <v/>
      </c>
      <c r="N3144" s="24">
        <f>M3144*'Dashboard &amp; Optimisation'!$B$18/('Dashboard &amp; Optimisation'!$B$16/3.6)</f>
        <v/>
      </c>
      <c r="O3144" s="24" t="n">
        <v>840.8070680630833</v>
      </c>
      <c r="P3144" s="25" t="n">
        <v>0.4702740596116872</v>
      </c>
      <c r="Q3144" s="26" t="n">
        <v>0.2</v>
      </c>
      <c r="R3144" s="24" t="n">
        <v>656.6389811801962</v>
      </c>
      <c r="S3144" s="24">
        <f>R3144*IF(A3144=4, 2.0, 3.0)</f>
        <v/>
      </c>
      <c r="T3144" s="22">
        <f>'Dashboard &amp; Optimisation'!$B$18*U3144</f>
        <v/>
      </c>
      <c r="U3144" s="27">
        <f>MIN(1, S3144/M3144)</f>
        <v/>
      </c>
      <c r="V3144" s="27">
        <f>N3144/(N3144+O3144)</f>
        <v/>
      </c>
      <c r="W3144" s="27">
        <f>U3144*V3144</f>
        <v/>
      </c>
      <c r="X3144" s="25">
        <f>T3144/N3144</f>
        <v/>
      </c>
      <c r="Y3144" s="28">
        <f>IF(W3144=MAXIFS(W$2:W$3601, A$2:A$3601, A3144, B$2:B$3601, B3144), "OPTIMAL", "")</f>
        <v/>
      </c>
    </row>
    <row r="3145" ht="20" customHeight="1">
      <c r="A3145" s="29" t="n">
        <v>-18</v>
      </c>
      <c r="B3145" s="29" t="n">
        <v>40</v>
      </c>
      <c r="C3145" s="30" t="n">
        <v>110</v>
      </c>
      <c r="D3145" s="30" t="n">
        <v>3</v>
      </c>
      <c r="E3145" s="6" t="n">
        <v>0</v>
      </c>
      <c r="F3145" s="30" t="n">
        <v>0</v>
      </c>
      <c r="G3145" s="6" t="inlineStr">
        <is>
          <t>Non</t>
        </is>
      </c>
      <c r="H3145" s="6" t="inlineStr">
        <is>
          <t>OFF</t>
        </is>
      </c>
      <c r="I3145" s="31" t="n">
        <v>815.012573225423</v>
      </c>
      <c r="J3145" s="31" t="n">
        <v>8308.791548992402</v>
      </c>
      <c r="K3145" s="31" t="n">
        <v>4662.037037037037</v>
      </c>
      <c r="L3145" s="31" t="n">
        <v>150</v>
      </c>
      <c r="M3145" s="31">
        <f>I3145+J3145+K3145+L3145</f>
        <v/>
      </c>
      <c r="N3145" s="31">
        <f>M3145*'Dashboard &amp; Optimisation'!$B$18/('Dashboard &amp; Optimisation'!$B$16/3.6)</f>
        <v/>
      </c>
      <c r="O3145" s="31" t="n">
        <v>840.8070680630833</v>
      </c>
      <c r="P3145" s="32" t="n">
        <v>0.7596466834151334</v>
      </c>
      <c r="Q3145" s="33" t="n">
        <v>0.2</v>
      </c>
      <c r="R3145" s="31" t="n">
        <v>406.505137349674</v>
      </c>
      <c r="S3145" s="31">
        <f>R3145*IF(A3145=4, 2.0, 3.0)</f>
        <v/>
      </c>
      <c r="T3145" s="30">
        <f>'Dashboard &amp; Optimisation'!$B$18*U3145</f>
        <v/>
      </c>
      <c r="U3145" s="34">
        <f>MIN(1, S3145/M3145)</f>
        <v/>
      </c>
      <c r="V3145" s="34">
        <f>N3145/(N3145+O3145)</f>
        <v/>
      </c>
      <c r="W3145" s="34">
        <f>U3145*V3145</f>
        <v/>
      </c>
      <c r="X3145" s="32">
        <f>T3145/N3145</f>
        <v/>
      </c>
      <c r="Y3145" s="35">
        <f>IF(W3145=MAXIFS(W$2:W$3601, A$2:A$3601, A3145, B$2:B$3601, B3145), "OPTIMAL", "")</f>
        <v/>
      </c>
    </row>
    <row r="3146" ht="20" customHeight="1">
      <c r="A3146" s="21" t="n">
        <v>-18</v>
      </c>
      <c r="B3146" s="21" t="n">
        <v>40</v>
      </c>
      <c r="C3146" s="22" t="n">
        <v>110</v>
      </c>
      <c r="D3146" s="22" t="n">
        <v>3</v>
      </c>
      <c r="E3146" s="23" t="n">
        <v>4</v>
      </c>
      <c r="F3146" s="22" t="n">
        <v>1.5</v>
      </c>
      <c r="G3146" s="23" t="inlineStr">
        <is>
          <t>Oui</t>
        </is>
      </c>
      <c r="H3146" s="23" t="inlineStr">
        <is>
          <t>ON</t>
        </is>
      </c>
      <c r="I3146" s="24" t="n">
        <v>815.012573225423</v>
      </c>
      <c r="J3146" s="24" t="n">
        <v>8308.791548992402</v>
      </c>
      <c r="K3146" s="24" t="n">
        <v>4662.037037037037</v>
      </c>
      <c r="L3146" s="24" t="n">
        <v>150</v>
      </c>
      <c r="M3146" s="24">
        <f>I3146+J3146+K3146+L3146</f>
        <v/>
      </c>
      <c r="N3146" s="24">
        <f>M3146*'Dashboard &amp; Optimisation'!$B$18/('Dashboard &amp; Optimisation'!$B$16/3.6)</f>
        <v/>
      </c>
      <c r="O3146" s="24" t="n">
        <v>1157.976405255205</v>
      </c>
      <c r="P3146" s="25" t="n">
        <v>0.07040639651024357</v>
      </c>
      <c r="Q3146" s="26" t="n">
        <v>6.217525971425261</v>
      </c>
      <c r="R3146" s="24" t="n">
        <v>4518.740777384019</v>
      </c>
      <c r="S3146" s="24">
        <f>R3146*IF(A3146=4, 2.0, 3.0)</f>
        <v/>
      </c>
      <c r="T3146" s="22">
        <f>'Dashboard &amp; Optimisation'!$B$18*U3146</f>
        <v/>
      </c>
      <c r="U3146" s="27">
        <f>MIN(1, S3146/M3146)</f>
        <v/>
      </c>
      <c r="V3146" s="27">
        <f>N3146/(N3146+O3146)</f>
        <v/>
      </c>
      <c r="W3146" s="27">
        <f>U3146*V3146</f>
        <v/>
      </c>
      <c r="X3146" s="25">
        <f>T3146/N3146</f>
        <v/>
      </c>
      <c r="Y3146" s="28">
        <f>IF(W3146=MAXIFS(W$2:W$3601, A$2:A$3601, A3146, B$2:B$3601, B3146), "OPTIMAL", "")</f>
        <v/>
      </c>
    </row>
    <row r="3147" ht="20" customHeight="1">
      <c r="A3147" s="29" t="n">
        <v>-18</v>
      </c>
      <c r="B3147" s="29" t="n">
        <v>40</v>
      </c>
      <c r="C3147" s="30" t="n">
        <v>110</v>
      </c>
      <c r="D3147" s="30" t="n">
        <v>3</v>
      </c>
      <c r="E3147" s="6" t="n">
        <v>4</v>
      </c>
      <c r="F3147" s="30" t="n">
        <v>1.5</v>
      </c>
      <c r="G3147" s="6" t="inlineStr">
        <is>
          <t>Oui</t>
        </is>
      </c>
      <c r="H3147" s="6" t="inlineStr">
        <is>
          <t>OFF</t>
        </is>
      </c>
      <c r="I3147" s="31" t="n">
        <v>815.012573225423</v>
      </c>
      <c r="J3147" s="31" t="n">
        <v>8308.791548992402</v>
      </c>
      <c r="K3147" s="31" t="n">
        <v>4662.037037037037</v>
      </c>
      <c r="L3147" s="31" t="n">
        <v>150</v>
      </c>
      <c r="M3147" s="31">
        <f>I3147+J3147+K3147+L3147</f>
        <v/>
      </c>
      <c r="N3147" s="31">
        <f>M3147*'Dashboard &amp; Optimisation'!$B$18/('Dashboard &amp; Optimisation'!$B$16/3.6)</f>
        <v/>
      </c>
      <c r="O3147" s="31" t="n">
        <v>1157.976405255205</v>
      </c>
      <c r="P3147" s="32" t="n">
        <v>0.2880026189593694</v>
      </c>
      <c r="Q3147" s="33" t="n">
        <v>6.217525971425261</v>
      </c>
      <c r="R3147" s="31" t="n">
        <v>1104.671395173628</v>
      </c>
      <c r="S3147" s="31">
        <f>R3147*IF(A3147=4, 2.0, 3.0)</f>
        <v/>
      </c>
      <c r="T3147" s="30">
        <f>'Dashboard &amp; Optimisation'!$B$18*U3147</f>
        <v/>
      </c>
      <c r="U3147" s="34">
        <f>MIN(1, S3147/M3147)</f>
        <v/>
      </c>
      <c r="V3147" s="34">
        <f>N3147/(N3147+O3147)</f>
        <v/>
      </c>
      <c r="W3147" s="34">
        <f>U3147*V3147</f>
        <v/>
      </c>
      <c r="X3147" s="32">
        <f>T3147/N3147</f>
        <v/>
      </c>
      <c r="Y3147" s="35">
        <f>IF(W3147=MAXIFS(W$2:W$3601, A$2:A$3601, A3147, B$2:B$3601, B3147), "OPTIMAL", "")</f>
        <v/>
      </c>
    </row>
    <row r="3148" ht="20" customHeight="1">
      <c r="A3148" s="21" t="n">
        <v>-18</v>
      </c>
      <c r="B3148" s="21" t="n">
        <v>40</v>
      </c>
      <c r="C3148" s="22" t="n">
        <v>110</v>
      </c>
      <c r="D3148" s="22" t="n">
        <v>3</v>
      </c>
      <c r="E3148" s="23" t="n">
        <v>4</v>
      </c>
      <c r="F3148" s="22" t="n">
        <v>1.5</v>
      </c>
      <c r="G3148" s="23" t="inlineStr">
        <is>
          <t>Non</t>
        </is>
      </c>
      <c r="H3148" s="23" t="inlineStr">
        <is>
          <t>ON</t>
        </is>
      </c>
      <c r="I3148" s="24" t="n">
        <v>815.012573225423</v>
      </c>
      <c r="J3148" s="24" t="n">
        <v>8308.791548992402</v>
      </c>
      <c r="K3148" s="24" t="n">
        <v>4662.037037037037</v>
      </c>
      <c r="L3148" s="24" t="n">
        <v>150</v>
      </c>
      <c r="M3148" s="24">
        <f>I3148+J3148+K3148+L3148</f>
        <v/>
      </c>
      <c r="N3148" s="24">
        <f>M3148*'Dashboard &amp; Optimisation'!$B$18/('Dashboard &amp; Optimisation'!$B$16/3.6)</f>
        <v/>
      </c>
      <c r="O3148" s="24" t="n">
        <v>1157.976405255205</v>
      </c>
      <c r="P3148" s="25" t="n">
        <v>0.06751267027220911</v>
      </c>
      <c r="Q3148" s="26" t="n">
        <v>6.217525971425261</v>
      </c>
      <c r="R3148" s="24" t="n">
        <v>4712.422921752924</v>
      </c>
      <c r="S3148" s="24">
        <f>R3148*IF(A3148=4, 2.0, 3.0)</f>
        <v/>
      </c>
      <c r="T3148" s="22">
        <f>'Dashboard &amp; Optimisation'!$B$18*U3148</f>
        <v/>
      </c>
      <c r="U3148" s="27">
        <f>MIN(1, S3148/M3148)</f>
        <v/>
      </c>
      <c r="V3148" s="27">
        <f>N3148/(N3148+O3148)</f>
        <v/>
      </c>
      <c r="W3148" s="27">
        <f>U3148*V3148</f>
        <v/>
      </c>
      <c r="X3148" s="25">
        <f>T3148/N3148</f>
        <v/>
      </c>
      <c r="Y3148" s="28">
        <f>IF(W3148=MAXIFS(W$2:W$3601, A$2:A$3601, A3148, B$2:B$3601, B3148), "OPTIMAL", "")</f>
        <v/>
      </c>
    </row>
    <row r="3149" ht="20" customHeight="1">
      <c r="A3149" s="29" t="n">
        <v>-18</v>
      </c>
      <c r="B3149" s="29" t="n">
        <v>40</v>
      </c>
      <c r="C3149" s="30" t="n">
        <v>110</v>
      </c>
      <c r="D3149" s="30" t="n">
        <v>3</v>
      </c>
      <c r="E3149" s="6" t="n">
        <v>4</v>
      </c>
      <c r="F3149" s="30" t="n">
        <v>1.5</v>
      </c>
      <c r="G3149" s="6" t="inlineStr">
        <is>
          <t>Non</t>
        </is>
      </c>
      <c r="H3149" s="6" t="inlineStr">
        <is>
          <t>OFF</t>
        </is>
      </c>
      <c r="I3149" s="31" t="n">
        <v>815.012573225423</v>
      </c>
      <c r="J3149" s="31" t="n">
        <v>8308.791548992402</v>
      </c>
      <c r="K3149" s="31" t="n">
        <v>4662.037037037037</v>
      </c>
      <c r="L3149" s="31" t="n">
        <v>150</v>
      </c>
      <c r="M3149" s="31">
        <f>I3149+J3149+K3149+L3149</f>
        <v/>
      </c>
      <c r="N3149" s="31">
        <f>M3149*'Dashboard &amp; Optimisation'!$B$18/('Dashboard &amp; Optimisation'!$B$16/3.6)</f>
        <v/>
      </c>
      <c r="O3149" s="31" t="n">
        <v>1157.976405255205</v>
      </c>
      <c r="P3149" s="32" t="n">
        <v>0.2851088927213349</v>
      </c>
      <c r="Q3149" s="33" t="n">
        <v>6.217525971425261</v>
      </c>
      <c r="R3149" s="31" t="n">
        <v>1115.883309927001</v>
      </c>
      <c r="S3149" s="31">
        <f>R3149*IF(A3149=4, 2.0, 3.0)</f>
        <v/>
      </c>
      <c r="T3149" s="30">
        <f>'Dashboard &amp; Optimisation'!$B$18*U3149</f>
        <v/>
      </c>
      <c r="U3149" s="34">
        <f>MIN(1, S3149/M3149)</f>
        <v/>
      </c>
      <c r="V3149" s="34">
        <f>N3149/(N3149+O3149)</f>
        <v/>
      </c>
      <c r="W3149" s="34">
        <f>U3149*V3149</f>
        <v/>
      </c>
      <c r="X3149" s="32">
        <f>T3149/N3149</f>
        <v/>
      </c>
      <c r="Y3149" s="35">
        <f>IF(W3149=MAXIFS(W$2:W$3601, A$2:A$3601, A3149, B$2:B$3601, B3149), "OPTIMAL", "")</f>
        <v/>
      </c>
    </row>
    <row r="3150" ht="20" customHeight="1">
      <c r="A3150" s="21" t="n">
        <v>-18</v>
      </c>
      <c r="B3150" s="21" t="n">
        <v>40</v>
      </c>
      <c r="C3150" s="22" t="n">
        <v>110</v>
      </c>
      <c r="D3150" s="22" t="n">
        <v>3</v>
      </c>
      <c r="E3150" s="23" t="n">
        <v>4</v>
      </c>
      <c r="F3150" s="22" t="n">
        <v>2</v>
      </c>
      <c r="G3150" s="23" t="inlineStr">
        <is>
          <t>Oui</t>
        </is>
      </c>
      <c r="H3150" s="23" t="inlineStr">
        <is>
          <t>ON</t>
        </is>
      </c>
      <c r="I3150" s="24" t="n">
        <v>815.012573225423</v>
      </c>
      <c r="J3150" s="24" t="n">
        <v>8308.791548992402</v>
      </c>
      <c r="K3150" s="24" t="n">
        <v>4662.037037037037</v>
      </c>
      <c r="L3150" s="24" t="n">
        <v>150</v>
      </c>
      <c r="M3150" s="24">
        <f>I3150+J3150+K3150+L3150</f>
        <v/>
      </c>
      <c r="N3150" s="24">
        <f>M3150*'Dashboard &amp; Optimisation'!$B$18/('Dashboard &amp; Optimisation'!$B$16/3.6)</f>
        <v/>
      </c>
      <c r="O3150" s="24" t="n">
        <v>1268.010270530377</v>
      </c>
      <c r="P3150" s="25" t="n">
        <v>0.06745693940259542</v>
      </c>
      <c r="Q3150" s="26" t="n">
        <v>8.223367961900347</v>
      </c>
      <c r="R3150" s="24" t="n">
        <v>4764.391936526434</v>
      </c>
      <c r="S3150" s="24">
        <f>R3150*IF(A3150=4, 2.0, 3.0)</f>
        <v/>
      </c>
      <c r="T3150" s="22">
        <f>'Dashboard &amp; Optimisation'!$B$18*U3150</f>
        <v/>
      </c>
      <c r="U3150" s="27">
        <f>MIN(1, S3150/M3150)</f>
        <v/>
      </c>
      <c r="V3150" s="27">
        <f>N3150/(N3150+O3150)</f>
        <v/>
      </c>
      <c r="W3150" s="27">
        <f>U3150*V3150</f>
        <v/>
      </c>
      <c r="X3150" s="25">
        <f>T3150/N3150</f>
        <v/>
      </c>
      <c r="Y3150" s="28">
        <f>IF(W3150=MAXIFS(W$2:W$3601, A$2:A$3601, A3150, B$2:B$3601, B3150), "OPTIMAL", "")</f>
        <v/>
      </c>
    </row>
    <row r="3151" ht="20" customHeight="1">
      <c r="A3151" s="29" t="n">
        <v>-18</v>
      </c>
      <c r="B3151" s="29" t="n">
        <v>40</v>
      </c>
      <c r="C3151" s="30" t="n">
        <v>110</v>
      </c>
      <c r="D3151" s="30" t="n">
        <v>3</v>
      </c>
      <c r="E3151" s="6" t="n">
        <v>4</v>
      </c>
      <c r="F3151" s="30" t="n">
        <v>2</v>
      </c>
      <c r="G3151" s="6" t="inlineStr">
        <is>
          <t>Oui</t>
        </is>
      </c>
      <c r="H3151" s="6" t="inlineStr">
        <is>
          <t>OFF</t>
        </is>
      </c>
      <c r="I3151" s="31" t="n">
        <v>815.012573225423</v>
      </c>
      <c r="J3151" s="31" t="n">
        <v>8308.791548992402</v>
      </c>
      <c r="K3151" s="31" t="n">
        <v>4662.037037037037</v>
      </c>
      <c r="L3151" s="31" t="n">
        <v>150</v>
      </c>
      <c r="M3151" s="31">
        <f>I3151+J3151+K3151+L3151</f>
        <v/>
      </c>
      <c r="N3151" s="31">
        <f>M3151*'Dashboard &amp; Optimisation'!$B$18/('Dashboard &amp; Optimisation'!$B$16/3.6)</f>
        <v/>
      </c>
      <c r="O3151" s="31" t="n">
        <v>1268.010270530377</v>
      </c>
      <c r="P3151" s="32" t="n">
        <v>0.286002519850184</v>
      </c>
      <c r="Q3151" s="33" t="n">
        <v>8.223367961900347</v>
      </c>
      <c r="R3151" s="31" t="n">
        <v>1123.735896875424</v>
      </c>
      <c r="S3151" s="31">
        <f>R3151*IF(A3151=4, 2.0, 3.0)</f>
        <v/>
      </c>
      <c r="T3151" s="30">
        <f>'Dashboard &amp; Optimisation'!$B$18*U3151</f>
        <v/>
      </c>
      <c r="U3151" s="34">
        <f>MIN(1, S3151/M3151)</f>
        <v/>
      </c>
      <c r="V3151" s="34">
        <f>N3151/(N3151+O3151)</f>
        <v/>
      </c>
      <c r="W3151" s="34">
        <f>U3151*V3151</f>
        <v/>
      </c>
      <c r="X3151" s="32">
        <f>T3151/N3151</f>
        <v/>
      </c>
      <c r="Y3151" s="35">
        <f>IF(W3151=MAXIFS(W$2:W$3601, A$2:A$3601, A3151, B$2:B$3601, B3151), "OPTIMAL", "")</f>
        <v/>
      </c>
    </row>
    <row r="3152" ht="20" customHeight="1">
      <c r="A3152" s="21" t="n">
        <v>-18</v>
      </c>
      <c r="B3152" s="21" t="n">
        <v>40</v>
      </c>
      <c r="C3152" s="22" t="n">
        <v>110</v>
      </c>
      <c r="D3152" s="22" t="n">
        <v>3</v>
      </c>
      <c r="E3152" s="23" t="n">
        <v>4</v>
      </c>
      <c r="F3152" s="22" t="n">
        <v>2</v>
      </c>
      <c r="G3152" s="23" t="inlineStr">
        <is>
          <t>Non</t>
        </is>
      </c>
      <c r="H3152" s="23" t="inlineStr">
        <is>
          <t>ON</t>
        </is>
      </c>
      <c r="I3152" s="24" t="n">
        <v>815.012573225423</v>
      </c>
      <c r="J3152" s="24" t="n">
        <v>8308.791548992402</v>
      </c>
      <c r="K3152" s="24" t="n">
        <v>4662.037037037037</v>
      </c>
      <c r="L3152" s="24" t="n">
        <v>150</v>
      </c>
      <c r="M3152" s="24">
        <f>I3152+J3152+K3152+L3152</f>
        <v/>
      </c>
      <c r="N3152" s="24">
        <f>M3152*'Dashboard &amp; Optimisation'!$B$18/('Dashboard &amp; Optimisation'!$B$16/3.6)</f>
        <v/>
      </c>
      <c r="O3152" s="24" t="n">
        <v>1268.010270530377</v>
      </c>
      <c r="P3152" s="25" t="n">
        <v>0.06456321316456097</v>
      </c>
      <c r="Q3152" s="26" t="n">
        <v>8.223367961900347</v>
      </c>
      <c r="R3152" s="24" t="n">
        <v>4977.932206275182</v>
      </c>
      <c r="S3152" s="24">
        <f>R3152*IF(A3152=4, 2.0, 3.0)</f>
        <v/>
      </c>
      <c r="T3152" s="22">
        <f>'Dashboard &amp; Optimisation'!$B$18*U3152</f>
        <v/>
      </c>
      <c r="U3152" s="27">
        <f>MIN(1, S3152/M3152)</f>
        <v/>
      </c>
      <c r="V3152" s="27">
        <f>N3152/(N3152+O3152)</f>
        <v/>
      </c>
      <c r="W3152" s="27">
        <f>U3152*V3152</f>
        <v/>
      </c>
      <c r="X3152" s="25">
        <f>T3152/N3152</f>
        <v/>
      </c>
      <c r="Y3152" s="28">
        <f>IF(W3152=MAXIFS(W$2:W$3601, A$2:A$3601, A3152, B$2:B$3601, B3152), "OPTIMAL", "")</f>
        <v/>
      </c>
    </row>
    <row r="3153" ht="20" customHeight="1">
      <c r="A3153" s="29" t="n">
        <v>-18</v>
      </c>
      <c r="B3153" s="29" t="n">
        <v>40</v>
      </c>
      <c r="C3153" s="30" t="n">
        <v>110</v>
      </c>
      <c r="D3153" s="30" t="n">
        <v>3</v>
      </c>
      <c r="E3153" s="6" t="n">
        <v>4</v>
      </c>
      <c r="F3153" s="30" t="n">
        <v>2</v>
      </c>
      <c r="G3153" s="6" t="inlineStr">
        <is>
          <t>Non</t>
        </is>
      </c>
      <c r="H3153" s="6" t="inlineStr">
        <is>
          <t>OFF</t>
        </is>
      </c>
      <c r="I3153" s="31" t="n">
        <v>815.012573225423</v>
      </c>
      <c r="J3153" s="31" t="n">
        <v>8308.791548992402</v>
      </c>
      <c r="K3153" s="31" t="n">
        <v>4662.037037037037</v>
      </c>
      <c r="L3153" s="31" t="n">
        <v>150</v>
      </c>
      <c r="M3153" s="31">
        <f>I3153+J3153+K3153+L3153</f>
        <v/>
      </c>
      <c r="N3153" s="31">
        <f>M3153*'Dashboard &amp; Optimisation'!$B$18/('Dashboard &amp; Optimisation'!$B$16/3.6)</f>
        <v/>
      </c>
      <c r="O3153" s="31" t="n">
        <v>1268.010270530377</v>
      </c>
      <c r="P3153" s="32" t="n">
        <v>0.2831087936121495</v>
      </c>
      <c r="Q3153" s="33" t="n">
        <v>8.223367961900347</v>
      </c>
      <c r="R3153" s="31" t="n">
        <v>1135.221884321877</v>
      </c>
      <c r="S3153" s="31">
        <f>R3153*IF(A3153=4, 2.0, 3.0)</f>
        <v/>
      </c>
      <c r="T3153" s="30">
        <f>'Dashboard &amp; Optimisation'!$B$18*U3153</f>
        <v/>
      </c>
      <c r="U3153" s="34">
        <f>MIN(1, S3153/M3153)</f>
        <v/>
      </c>
      <c r="V3153" s="34">
        <f>N3153/(N3153+O3153)</f>
        <v/>
      </c>
      <c r="W3153" s="34">
        <f>U3153*V3153</f>
        <v/>
      </c>
      <c r="X3153" s="32">
        <f>T3153/N3153</f>
        <v/>
      </c>
      <c r="Y3153" s="35">
        <f>IF(W3153=MAXIFS(W$2:W$3601, A$2:A$3601, A3153, B$2:B$3601, B3153), "OPTIMAL", "")</f>
        <v/>
      </c>
    </row>
    <row r="3154" ht="20" customHeight="1">
      <c r="A3154" s="21" t="n">
        <v>-18</v>
      </c>
      <c r="B3154" s="21" t="n">
        <v>40</v>
      </c>
      <c r="C3154" s="22" t="n">
        <v>110</v>
      </c>
      <c r="D3154" s="22" t="n">
        <v>3</v>
      </c>
      <c r="E3154" s="23" t="n">
        <v>8</v>
      </c>
      <c r="F3154" s="22" t="n">
        <v>1.5</v>
      </c>
      <c r="G3154" s="23" t="inlineStr">
        <is>
          <t>Oui</t>
        </is>
      </c>
      <c r="H3154" s="23" t="inlineStr">
        <is>
          <t>ON</t>
        </is>
      </c>
      <c r="I3154" s="24" t="n">
        <v>815.012573225423</v>
      </c>
      <c r="J3154" s="24" t="n">
        <v>8308.791548992402</v>
      </c>
      <c r="K3154" s="24" t="n">
        <v>4662.037037037037</v>
      </c>
      <c r="L3154" s="24" t="n">
        <v>150</v>
      </c>
      <c r="M3154" s="24">
        <f>I3154+J3154+K3154+L3154</f>
        <v/>
      </c>
      <c r="N3154" s="24">
        <f>M3154*'Dashboard &amp; Optimisation'!$B$18/('Dashboard &amp; Optimisation'!$B$16/3.6)</f>
        <v/>
      </c>
      <c r="O3154" s="24" t="n">
        <v>1494.947835547029</v>
      </c>
      <c r="P3154" s="25" t="n">
        <v>0.05337810813348487</v>
      </c>
      <c r="Q3154" s="26" t="n">
        <v>12.23505194285052</v>
      </c>
      <c r="R3154" s="24" t="n">
        <v>6146.337360150729</v>
      </c>
      <c r="S3154" s="24">
        <f>R3154*IF(A3154=4, 2.0, 3.0)</f>
        <v/>
      </c>
      <c r="T3154" s="22">
        <f>'Dashboard &amp; Optimisation'!$B$18*U3154</f>
        <v/>
      </c>
      <c r="U3154" s="27">
        <f>MIN(1, S3154/M3154)</f>
        <v/>
      </c>
      <c r="V3154" s="27">
        <f>N3154/(N3154+O3154)</f>
        <v/>
      </c>
      <c r="W3154" s="27">
        <f>U3154*V3154</f>
        <v/>
      </c>
      <c r="X3154" s="25">
        <f>T3154/N3154</f>
        <v/>
      </c>
      <c r="Y3154" s="28">
        <f>IF(W3154=MAXIFS(W$2:W$3601, A$2:A$3601, A3154, B$2:B$3601, B3154), "OPTIMAL", "")</f>
        <v/>
      </c>
    </row>
    <row r="3155" ht="20" customHeight="1">
      <c r="A3155" s="29" t="n">
        <v>-18</v>
      </c>
      <c r="B3155" s="29" t="n">
        <v>40</v>
      </c>
      <c r="C3155" s="30" t="n">
        <v>110</v>
      </c>
      <c r="D3155" s="30" t="n">
        <v>3</v>
      </c>
      <c r="E3155" s="6" t="n">
        <v>8</v>
      </c>
      <c r="F3155" s="30" t="n">
        <v>1.5</v>
      </c>
      <c r="G3155" s="6" t="inlineStr">
        <is>
          <t>Oui</t>
        </is>
      </c>
      <c r="H3155" s="6" t="inlineStr">
        <is>
          <t>OFF</t>
        </is>
      </c>
      <c r="I3155" s="31" t="n">
        <v>815.012573225423</v>
      </c>
      <c r="J3155" s="31" t="n">
        <v>8308.791548992402</v>
      </c>
      <c r="K3155" s="31" t="n">
        <v>4662.037037037037</v>
      </c>
      <c r="L3155" s="31" t="n">
        <v>150</v>
      </c>
      <c r="M3155" s="31">
        <f>I3155+J3155+K3155+L3155</f>
        <v/>
      </c>
      <c r="N3155" s="31">
        <f>M3155*'Dashboard &amp; Optimisation'!$B$18/('Dashboard &amp; Optimisation'!$B$16/3.6)</f>
        <v/>
      </c>
      <c r="O3155" s="31" t="n">
        <v>1494.947835547029</v>
      </c>
      <c r="P3155" s="32" t="n">
        <v>0.2277274271081772</v>
      </c>
      <c r="Q3155" s="33" t="n">
        <v>12.23505194285052</v>
      </c>
      <c r="R3155" s="31" t="n">
        <v>1440.669068285551</v>
      </c>
      <c r="S3155" s="31">
        <f>R3155*IF(A3155=4, 2.0, 3.0)</f>
        <v/>
      </c>
      <c r="T3155" s="30">
        <f>'Dashboard &amp; Optimisation'!$B$18*U3155</f>
        <v/>
      </c>
      <c r="U3155" s="34">
        <f>MIN(1, S3155/M3155)</f>
        <v/>
      </c>
      <c r="V3155" s="34">
        <f>N3155/(N3155+O3155)</f>
        <v/>
      </c>
      <c r="W3155" s="34">
        <f>U3155*V3155</f>
        <v/>
      </c>
      <c r="X3155" s="32">
        <f>T3155/N3155</f>
        <v/>
      </c>
      <c r="Y3155" s="35">
        <f>IF(W3155=MAXIFS(W$2:W$3601, A$2:A$3601, A3155, B$2:B$3601, B3155), "OPTIMAL", "")</f>
        <v/>
      </c>
    </row>
    <row r="3156" ht="20" customHeight="1">
      <c r="A3156" s="21" t="n">
        <v>-18</v>
      </c>
      <c r="B3156" s="21" t="n">
        <v>40</v>
      </c>
      <c r="C3156" s="22" t="n">
        <v>110</v>
      </c>
      <c r="D3156" s="22" t="n">
        <v>3</v>
      </c>
      <c r="E3156" s="23" t="n">
        <v>8</v>
      </c>
      <c r="F3156" s="22" t="n">
        <v>1.5</v>
      </c>
      <c r="G3156" s="23" t="inlineStr">
        <is>
          <t>Non</t>
        </is>
      </c>
      <c r="H3156" s="23" t="inlineStr">
        <is>
          <t>ON</t>
        </is>
      </c>
      <c r="I3156" s="24" t="n">
        <v>815.012573225423</v>
      </c>
      <c r="J3156" s="24" t="n">
        <v>8308.791548992402</v>
      </c>
      <c r="K3156" s="24" t="n">
        <v>4662.037037037037</v>
      </c>
      <c r="L3156" s="24" t="n">
        <v>150</v>
      </c>
      <c r="M3156" s="24">
        <f>I3156+J3156+K3156+L3156</f>
        <v/>
      </c>
      <c r="N3156" s="24">
        <f>M3156*'Dashboard &amp; Optimisation'!$B$18/('Dashboard &amp; Optimisation'!$B$16/3.6)</f>
        <v/>
      </c>
      <c r="O3156" s="24" t="n">
        <v>1494.947835547029</v>
      </c>
      <c r="P3156" s="25" t="n">
        <v>0.05048438189545042</v>
      </c>
      <c r="Q3156" s="26" t="n">
        <v>12.23505194285052</v>
      </c>
      <c r="R3156" s="24" t="n">
        <v>6498.64072644157</v>
      </c>
      <c r="S3156" s="24">
        <f>R3156*IF(A3156=4, 2.0, 3.0)</f>
        <v/>
      </c>
      <c r="T3156" s="22">
        <f>'Dashboard &amp; Optimisation'!$B$18*U3156</f>
        <v/>
      </c>
      <c r="U3156" s="27">
        <f>MIN(1, S3156/M3156)</f>
        <v/>
      </c>
      <c r="V3156" s="27">
        <f>N3156/(N3156+O3156)</f>
        <v/>
      </c>
      <c r="W3156" s="27">
        <f>U3156*V3156</f>
        <v/>
      </c>
      <c r="X3156" s="25">
        <f>T3156/N3156</f>
        <v/>
      </c>
      <c r="Y3156" s="28">
        <f>IF(W3156=MAXIFS(W$2:W$3601, A$2:A$3601, A3156, B$2:B$3601, B3156), "OPTIMAL", "")</f>
        <v/>
      </c>
    </row>
    <row r="3157" ht="20" customHeight="1">
      <c r="A3157" s="29" t="n">
        <v>-18</v>
      </c>
      <c r="B3157" s="29" t="n">
        <v>40</v>
      </c>
      <c r="C3157" s="30" t="n">
        <v>110</v>
      </c>
      <c r="D3157" s="30" t="n">
        <v>3</v>
      </c>
      <c r="E3157" s="6" t="n">
        <v>8</v>
      </c>
      <c r="F3157" s="30" t="n">
        <v>1.5</v>
      </c>
      <c r="G3157" s="6" t="inlineStr">
        <is>
          <t>Non</t>
        </is>
      </c>
      <c r="H3157" s="6" t="inlineStr">
        <is>
          <t>OFF</t>
        </is>
      </c>
      <c r="I3157" s="31" t="n">
        <v>815.012573225423</v>
      </c>
      <c r="J3157" s="31" t="n">
        <v>8308.791548992402</v>
      </c>
      <c r="K3157" s="31" t="n">
        <v>4662.037037037037</v>
      </c>
      <c r="L3157" s="31" t="n">
        <v>150</v>
      </c>
      <c r="M3157" s="31">
        <f>I3157+J3157+K3157+L3157</f>
        <v/>
      </c>
      <c r="N3157" s="31">
        <f>M3157*'Dashboard &amp; Optimisation'!$B$18/('Dashboard &amp; Optimisation'!$B$16/3.6)</f>
        <v/>
      </c>
      <c r="O3157" s="31" t="n">
        <v>1494.947835547029</v>
      </c>
      <c r="P3157" s="32" t="n">
        <v>0.2248337008701428</v>
      </c>
      <c r="Q3157" s="33" t="n">
        <v>12.23505194285052</v>
      </c>
      <c r="R3157" s="31" t="n">
        <v>1459.211225742767</v>
      </c>
      <c r="S3157" s="31">
        <f>R3157*IF(A3157=4, 2.0, 3.0)</f>
        <v/>
      </c>
      <c r="T3157" s="30">
        <f>'Dashboard &amp; Optimisation'!$B$18*U3157</f>
        <v/>
      </c>
      <c r="U3157" s="34">
        <f>MIN(1, S3157/M3157)</f>
        <v/>
      </c>
      <c r="V3157" s="34">
        <f>N3157/(N3157+O3157)</f>
        <v/>
      </c>
      <c r="W3157" s="34">
        <f>U3157*V3157</f>
        <v/>
      </c>
      <c r="X3157" s="32">
        <f>T3157/N3157</f>
        <v/>
      </c>
      <c r="Y3157" s="35">
        <f>IF(W3157=MAXIFS(W$2:W$3601, A$2:A$3601, A3157, B$2:B$3601, B3157), "OPTIMAL", "")</f>
        <v/>
      </c>
    </row>
    <row r="3158" ht="20" customHeight="1">
      <c r="A3158" s="21" t="n">
        <v>-18</v>
      </c>
      <c r="B3158" s="21" t="n">
        <v>40</v>
      </c>
      <c r="C3158" s="22" t="n">
        <v>110</v>
      </c>
      <c r="D3158" s="22" t="n">
        <v>3</v>
      </c>
      <c r="E3158" s="23" t="n">
        <v>8</v>
      </c>
      <c r="F3158" s="22" t="n">
        <v>2</v>
      </c>
      <c r="G3158" s="23" t="inlineStr">
        <is>
          <t>Oui</t>
        </is>
      </c>
      <c r="H3158" s="23" t="inlineStr">
        <is>
          <t>ON</t>
        </is>
      </c>
      <c r="I3158" s="24" t="n">
        <v>815.012573225423</v>
      </c>
      <c r="J3158" s="24" t="n">
        <v>8308.791548992402</v>
      </c>
      <c r="K3158" s="24" t="n">
        <v>4662.037037037037</v>
      </c>
      <c r="L3158" s="24" t="n">
        <v>150</v>
      </c>
      <c r="M3158" s="24">
        <f>I3158+J3158+K3158+L3158</f>
        <v/>
      </c>
      <c r="N3158" s="24">
        <f>M3158*'Dashboard &amp; Optimisation'!$B$18/('Dashboard &amp; Optimisation'!$B$16/3.6)</f>
        <v/>
      </c>
      <c r="O3158" s="24" t="n">
        <v>1731.531875274556</v>
      </c>
      <c r="P3158" s="25" t="n">
        <v>0.05199529928547215</v>
      </c>
      <c r="Q3158" s="26" t="n">
        <v>16.2467359238007</v>
      </c>
      <c r="R3158" s="24" t="n">
        <v>6443.904329785185</v>
      </c>
      <c r="S3158" s="24">
        <f>R3158*IF(A3158=4, 2.0, 3.0)</f>
        <v/>
      </c>
      <c r="T3158" s="22">
        <f>'Dashboard &amp; Optimisation'!$B$18*U3158</f>
        <v/>
      </c>
      <c r="U3158" s="27">
        <f>MIN(1, S3158/M3158)</f>
        <v/>
      </c>
      <c r="V3158" s="27">
        <f>N3158/(N3158+O3158)</f>
        <v/>
      </c>
      <c r="W3158" s="27">
        <f>U3158*V3158</f>
        <v/>
      </c>
      <c r="X3158" s="25">
        <f>T3158/N3158</f>
        <v/>
      </c>
      <c r="Y3158" s="28">
        <f>IF(W3158=MAXIFS(W$2:W$3601, A$2:A$3601, A3158, B$2:B$3601, B3158), "OPTIMAL", "")</f>
        <v/>
      </c>
    </row>
    <row r="3159" ht="20" customHeight="1">
      <c r="A3159" s="29" t="n">
        <v>-18</v>
      </c>
      <c r="B3159" s="29" t="n">
        <v>40</v>
      </c>
      <c r="C3159" s="30" t="n">
        <v>110</v>
      </c>
      <c r="D3159" s="30" t="n">
        <v>3</v>
      </c>
      <c r="E3159" s="6" t="n">
        <v>8</v>
      </c>
      <c r="F3159" s="30" t="n">
        <v>2</v>
      </c>
      <c r="G3159" s="6" t="inlineStr">
        <is>
          <t>Oui</t>
        </is>
      </c>
      <c r="H3159" s="6" t="inlineStr">
        <is>
          <t>OFF</t>
        </is>
      </c>
      <c r="I3159" s="31" t="n">
        <v>815.012573225423</v>
      </c>
      <c r="J3159" s="31" t="n">
        <v>8308.791548992402</v>
      </c>
      <c r="K3159" s="31" t="n">
        <v>4662.037037037037</v>
      </c>
      <c r="L3159" s="31" t="n">
        <v>150</v>
      </c>
      <c r="M3159" s="31">
        <f>I3159+J3159+K3159+L3159</f>
        <v/>
      </c>
      <c r="N3159" s="31">
        <f>M3159*'Dashboard &amp; Optimisation'!$B$18/('Dashboard &amp; Optimisation'!$B$16/3.6)</f>
        <v/>
      </c>
      <c r="O3159" s="31" t="n">
        <v>1731.531875274556</v>
      </c>
      <c r="P3159" s="32" t="n">
        <v>0.2275671766533254</v>
      </c>
      <c r="Q3159" s="33" t="n">
        <v>16.2467359238007</v>
      </c>
      <c r="R3159" s="31" t="n">
        <v>1472.324520264836</v>
      </c>
      <c r="S3159" s="31">
        <f>R3159*IF(A3159=4, 2.0, 3.0)</f>
        <v/>
      </c>
      <c r="T3159" s="30">
        <f>'Dashboard &amp; Optimisation'!$B$18*U3159</f>
        <v/>
      </c>
      <c r="U3159" s="34">
        <f>MIN(1, S3159/M3159)</f>
        <v/>
      </c>
      <c r="V3159" s="34">
        <f>N3159/(N3159+O3159)</f>
        <v/>
      </c>
      <c r="W3159" s="34">
        <f>U3159*V3159</f>
        <v/>
      </c>
      <c r="X3159" s="32">
        <f>T3159/N3159</f>
        <v/>
      </c>
      <c r="Y3159" s="35">
        <f>IF(W3159=MAXIFS(W$2:W$3601, A$2:A$3601, A3159, B$2:B$3601, B3159), "OPTIMAL", "")</f>
        <v/>
      </c>
    </row>
    <row r="3160" ht="20" customHeight="1">
      <c r="A3160" s="21" t="n">
        <v>-18</v>
      </c>
      <c r="B3160" s="21" t="n">
        <v>40</v>
      </c>
      <c r="C3160" s="22" t="n">
        <v>110</v>
      </c>
      <c r="D3160" s="22" t="n">
        <v>3</v>
      </c>
      <c r="E3160" s="23" t="n">
        <v>8</v>
      </c>
      <c r="F3160" s="22" t="n">
        <v>2</v>
      </c>
      <c r="G3160" s="23" t="inlineStr">
        <is>
          <t>Non</t>
        </is>
      </c>
      <c r="H3160" s="23" t="inlineStr">
        <is>
          <t>ON</t>
        </is>
      </c>
      <c r="I3160" s="24" t="n">
        <v>815.012573225423</v>
      </c>
      <c r="J3160" s="24" t="n">
        <v>8308.791548992402</v>
      </c>
      <c r="K3160" s="24" t="n">
        <v>4662.037037037037</v>
      </c>
      <c r="L3160" s="24" t="n">
        <v>150</v>
      </c>
      <c r="M3160" s="24">
        <f>I3160+J3160+K3160+L3160</f>
        <v/>
      </c>
      <c r="N3160" s="24">
        <f>M3160*'Dashboard &amp; Optimisation'!$B$18/('Dashboard &amp; Optimisation'!$B$16/3.6)</f>
        <v/>
      </c>
      <c r="O3160" s="24" t="n">
        <v>1731.531875274556</v>
      </c>
      <c r="P3160" s="25" t="n">
        <v>0.04910157304743769</v>
      </c>
      <c r="Q3160" s="26" t="n">
        <v>16.2467359238007</v>
      </c>
      <c r="R3160" s="24" t="n">
        <v>6823.665992745926</v>
      </c>
      <c r="S3160" s="24">
        <f>R3160*IF(A3160=4, 2.0, 3.0)</f>
        <v/>
      </c>
      <c r="T3160" s="22">
        <f>'Dashboard &amp; Optimisation'!$B$18*U3160</f>
        <v/>
      </c>
      <c r="U3160" s="27">
        <f>MIN(1, S3160/M3160)</f>
        <v/>
      </c>
      <c r="V3160" s="27">
        <f>N3160/(N3160+O3160)</f>
        <v/>
      </c>
      <c r="W3160" s="27">
        <f>U3160*V3160</f>
        <v/>
      </c>
      <c r="X3160" s="25">
        <f>T3160/N3160</f>
        <v/>
      </c>
      <c r="Y3160" s="28">
        <f>IF(W3160=MAXIFS(W$2:W$3601, A$2:A$3601, A3160, B$2:B$3601, B3160), "OPTIMAL", "")</f>
        <v/>
      </c>
    </row>
    <row r="3161" ht="20" customHeight="1">
      <c r="A3161" s="29" t="n">
        <v>-18</v>
      </c>
      <c r="B3161" s="29" t="n">
        <v>40</v>
      </c>
      <c r="C3161" s="30" t="n">
        <v>110</v>
      </c>
      <c r="D3161" s="30" t="n">
        <v>3</v>
      </c>
      <c r="E3161" s="6" t="n">
        <v>8</v>
      </c>
      <c r="F3161" s="30" t="n">
        <v>2</v>
      </c>
      <c r="G3161" s="6" t="inlineStr">
        <is>
          <t>Non</t>
        </is>
      </c>
      <c r="H3161" s="6" t="inlineStr">
        <is>
          <t>OFF</t>
        </is>
      </c>
      <c r="I3161" s="31" t="n">
        <v>815.012573225423</v>
      </c>
      <c r="J3161" s="31" t="n">
        <v>8308.791548992402</v>
      </c>
      <c r="K3161" s="31" t="n">
        <v>4662.037037037037</v>
      </c>
      <c r="L3161" s="31" t="n">
        <v>150</v>
      </c>
      <c r="M3161" s="31">
        <f>I3161+J3161+K3161+L3161</f>
        <v/>
      </c>
      <c r="N3161" s="31">
        <f>M3161*'Dashboard &amp; Optimisation'!$B$18/('Dashboard &amp; Optimisation'!$B$16/3.6)</f>
        <v/>
      </c>
      <c r="O3161" s="31" t="n">
        <v>1731.531875274556</v>
      </c>
      <c r="P3161" s="32" t="n">
        <v>0.2246734504152909</v>
      </c>
      <c r="Q3161" s="33" t="n">
        <v>16.2467359238007</v>
      </c>
      <c r="R3161" s="31" t="n">
        <v>1491.287615758837</v>
      </c>
      <c r="S3161" s="31">
        <f>R3161*IF(A3161=4, 2.0, 3.0)</f>
        <v/>
      </c>
      <c r="T3161" s="30">
        <f>'Dashboard &amp; Optimisation'!$B$18*U3161</f>
        <v/>
      </c>
      <c r="U3161" s="34">
        <f>MIN(1, S3161/M3161)</f>
        <v/>
      </c>
      <c r="V3161" s="34">
        <f>N3161/(N3161+O3161)</f>
        <v/>
      </c>
      <c r="W3161" s="34">
        <f>U3161*V3161</f>
        <v/>
      </c>
      <c r="X3161" s="32">
        <f>T3161/N3161</f>
        <v/>
      </c>
      <c r="Y3161" s="35">
        <f>IF(W3161=MAXIFS(W$2:W$3601, A$2:A$3601, A3161, B$2:B$3601, B3161), "OPTIMAL", "")</f>
        <v/>
      </c>
    </row>
    <row r="3162" ht="20" customHeight="1">
      <c r="A3162" s="21" t="n">
        <v>-18</v>
      </c>
      <c r="B3162" s="21" t="n">
        <v>40</v>
      </c>
      <c r="C3162" s="22" t="n">
        <v>115</v>
      </c>
      <c r="D3162" s="22" t="n">
        <v>2</v>
      </c>
      <c r="E3162" s="23" t="n">
        <v>0</v>
      </c>
      <c r="F3162" s="22" t="n">
        <v>0</v>
      </c>
      <c r="G3162" s="23" t="inlineStr">
        <is>
          <t>Oui</t>
        </is>
      </c>
      <c r="H3162" s="23" t="inlineStr">
        <is>
          <t>ON</t>
        </is>
      </c>
      <c r="I3162" s="24" t="n">
        <v>815.012573225423</v>
      </c>
      <c r="J3162" s="24" t="n">
        <v>8308.791548992402</v>
      </c>
      <c r="K3162" s="24" t="n">
        <v>4662.037037037037</v>
      </c>
      <c r="L3162" s="24" t="n">
        <v>150</v>
      </c>
      <c r="M3162" s="24">
        <f>I3162+J3162+K3162+L3162</f>
        <v/>
      </c>
      <c r="N3162" s="24">
        <f>M3162*'Dashboard &amp; Optimisation'!$B$18/('Dashboard &amp; Optimisation'!$B$16/3.6)</f>
        <v/>
      </c>
      <c r="O3162" s="24" t="n">
        <v>519.6614270462658</v>
      </c>
      <c r="P3162" s="25" t="n">
        <v>0.4698805559653013</v>
      </c>
      <c r="Q3162" s="26" t="n">
        <v>0.2</v>
      </c>
      <c r="R3162" s="24" t="n">
        <v>576.9138054341032</v>
      </c>
      <c r="S3162" s="24">
        <f>R3162*IF(A3162=4, 2.0, 3.0)</f>
        <v/>
      </c>
      <c r="T3162" s="22">
        <f>'Dashboard &amp; Optimisation'!$B$18*U3162</f>
        <v/>
      </c>
      <c r="U3162" s="27">
        <f>MIN(1, S3162/M3162)</f>
        <v/>
      </c>
      <c r="V3162" s="27">
        <f>N3162/(N3162+O3162)</f>
        <v/>
      </c>
      <c r="W3162" s="27">
        <f>U3162*V3162</f>
        <v/>
      </c>
      <c r="X3162" s="25">
        <f>T3162/N3162</f>
        <v/>
      </c>
      <c r="Y3162" s="28">
        <f>IF(W3162=MAXIFS(W$2:W$3601, A$2:A$3601, A3162, B$2:B$3601, B3162), "OPTIMAL", "")</f>
        <v/>
      </c>
    </row>
    <row r="3163" ht="20" customHeight="1">
      <c r="A3163" s="29" t="n">
        <v>-18</v>
      </c>
      <c r="B3163" s="29" t="n">
        <v>40</v>
      </c>
      <c r="C3163" s="30" t="n">
        <v>115</v>
      </c>
      <c r="D3163" s="30" t="n">
        <v>2</v>
      </c>
      <c r="E3163" s="6" t="n">
        <v>0</v>
      </c>
      <c r="F3163" s="30" t="n">
        <v>0</v>
      </c>
      <c r="G3163" s="6" t="inlineStr">
        <is>
          <t>Oui</t>
        </is>
      </c>
      <c r="H3163" s="6" t="inlineStr">
        <is>
          <t>OFF</t>
        </is>
      </c>
      <c r="I3163" s="31" t="n">
        <v>815.012573225423</v>
      </c>
      <c r="J3163" s="31" t="n">
        <v>8308.791548992402</v>
      </c>
      <c r="K3163" s="31" t="n">
        <v>4662.037037037037</v>
      </c>
      <c r="L3163" s="31" t="n">
        <v>150</v>
      </c>
      <c r="M3163" s="31">
        <f>I3163+J3163+K3163+L3163</f>
        <v/>
      </c>
      <c r="N3163" s="31">
        <f>M3163*'Dashboard &amp; Optimisation'!$B$18/('Dashboard &amp; Optimisation'!$B$16/3.6)</f>
        <v/>
      </c>
      <c r="O3163" s="31" t="n">
        <v>519.6614270462658</v>
      </c>
      <c r="P3163" s="32" t="n">
        <v>0.7466717613425105</v>
      </c>
      <c r="Q3163" s="33" t="n">
        <v>0.2</v>
      </c>
      <c r="R3163" s="31" t="n">
        <v>363.0518705488917</v>
      </c>
      <c r="S3163" s="31">
        <f>R3163*IF(A3163=4, 2.0, 3.0)</f>
        <v/>
      </c>
      <c r="T3163" s="30">
        <f>'Dashboard &amp; Optimisation'!$B$18*U3163</f>
        <v/>
      </c>
      <c r="U3163" s="34">
        <f>MIN(1, S3163/M3163)</f>
        <v/>
      </c>
      <c r="V3163" s="34">
        <f>N3163/(N3163+O3163)</f>
        <v/>
      </c>
      <c r="W3163" s="34">
        <f>U3163*V3163</f>
        <v/>
      </c>
      <c r="X3163" s="32">
        <f>T3163/N3163</f>
        <v/>
      </c>
      <c r="Y3163" s="35">
        <f>IF(W3163=MAXIFS(W$2:W$3601, A$2:A$3601, A3163, B$2:B$3601, B3163), "OPTIMAL", "")</f>
        <v/>
      </c>
    </row>
    <row r="3164" ht="20" customHeight="1">
      <c r="A3164" s="21" t="n">
        <v>-18</v>
      </c>
      <c r="B3164" s="21" t="n">
        <v>40</v>
      </c>
      <c r="C3164" s="22" t="n">
        <v>115</v>
      </c>
      <c r="D3164" s="22" t="n">
        <v>2</v>
      </c>
      <c r="E3164" s="23" t="n">
        <v>0</v>
      </c>
      <c r="F3164" s="22" t="n">
        <v>0</v>
      </c>
      <c r="G3164" s="23" t="inlineStr">
        <is>
          <t>Non</t>
        </is>
      </c>
      <c r="H3164" s="23" t="inlineStr">
        <is>
          <t>ON</t>
        </is>
      </c>
      <c r="I3164" s="24" t="n">
        <v>815.012573225423</v>
      </c>
      <c r="J3164" s="24" t="n">
        <v>8308.791548992402</v>
      </c>
      <c r="K3164" s="24" t="n">
        <v>4662.037037037037</v>
      </c>
      <c r="L3164" s="24" t="n">
        <v>150</v>
      </c>
      <c r="M3164" s="24">
        <f>I3164+J3164+K3164+L3164</f>
        <v/>
      </c>
      <c r="N3164" s="24">
        <f>M3164*'Dashboard &amp; Optimisation'!$B$18/('Dashboard &amp; Optimisation'!$B$16/3.6)</f>
        <v/>
      </c>
      <c r="O3164" s="24" t="n">
        <v>519.6614270462658</v>
      </c>
      <c r="P3164" s="25" t="n">
        <v>0.4671126439115292</v>
      </c>
      <c r="Q3164" s="26" t="n">
        <v>0.2</v>
      </c>
      <c r="R3164" s="24" t="n">
        <v>580.3323527521052</v>
      </c>
      <c r="S3164" s="24">
        <f>R3164*IF(A3164=4, 2.0, 3.0)</f>
        <v/>
      </c>
      <c r="T3164" s="22">
        <f>'Dashboard &amp; Optimisation'!$B$18*U3164</f>
        <v/>
      </c>
      <c r="U3164" s="27">
        <f>MIN(1, S3164/M3164)</f>
        <v/>
      </c>
      <c r="V3164" s="27">
        <f>N3164/(N3164+O3164)</f>
        <v/>
      </c>
      <c r="W3164" s="27">
        <f>U3164*V3164</f>
        <v/>
      </c>
      <c r="X3164" s="25">
        <f>T3164/N3164</f>
        <v/>
      </c>
      <c r="Y3164" s="28">
        <f>IF(W3164=MAXIFS(W$2:W$3601, A$2:A$3601, A3164, B$2:B$3601, B3164), "OPTIMAL", "")</f>
        <v/>
      </c>
    </row>
    <row r="3165" ht="20" customHeight="1">
      <c r="A3165" s="29" t="n">
        <v>-18</v>
      </c>
      <c r="B3165" s="29" t="n">
        <v>40</v>
      </c>
      <c r="C3165" s="30" t="n">
        <v>115</v>
      </c>
      <c r="D3165" s="30" t="n">
        <v>2</v>
      </c>
      <c r="E3165" s="6" t="n">
        <v>0</v>
      </c>
      <c r="F3165" s="30" t="n">
        <v>0</v>
      </c>
      <c r="G3165" s="6" t="inlineStr">
        <is>
          <t>Non</t>
        </is>
      </c>
      <c r="H3165" s="6" t="inlineStr">
        <is>
          <t>OFF</t>
        </is>
      </c>
      <c r="I3165" s="31" t="n">
        <v>815.012573225423</v>
      </c>
      <c r="J3165" s="31" t="n">
        <v>8308.791548992402</v>
      </c>
      <c r="K3165" s="31" t="n">
        <v>4662.037037037037</v>
      </c>
      <c r="L3165" s="31" t="n">
        <v>150</v>
      </c>
      <c r="M3165" s="31">
        <f>I3165+J3165+K3165+L3165</f>
        <v/>
      </c>
      <c r="N3165" s="31">
        <f>M3165*'Dashboard &amp; Optimisation'!$B$18/('Dashboard &amp; Optimisation'!$B$16/3.6)</f>
        <v/>
      </c>
      <c r="O3165" s="31" t="n">
        <v>519.6614270462658</v>
      </c>
      <c r="P3165" s="32" t="n">
        <v>0.7439038492887384</v>
      </c>
      <c r="Q3165" s="33" t="n">
        <v>0.2</v>
      </c>
      <c r="R3165" s="31" t="n">
        <v>364.4027113189691</v>
      </c>
      <c r="S3165" s="31">
        <f>R3165*IF(A3165=4, 2.0, 3.0)</f>
        <v/>
      </c>
      <c r="T3165" s="30">
        <f>'Dashboard &amp; Optimisation'!$B$18*U3165</f>
        <v/>
      </c>
      <c r="U3165" s="34">
        <f>MIN(1, S3165/M3165)</f>
        <v/>
      </c>
      <c r="V3165" s="34">
        <f>N3165/(N3165+O3165)</f>
        <v/>
      </c>
      <c r="W3165" s="34">
        <f>U3165*V3165</f>
        <v/>
      </c>
      <c r="X3165" s="32">
        <f>T3165/N3165</f>
        <v/>
      </c>
      <c r="Y3165" s="35">
        <f>IF(W3165=MAXIFS(W$2:W$3601, A$2:A$3601, A3165, B$2:B$3601, B3165), "OPTIMAL", "")</f>
        <v/>
      </c>
    </row>
    <row r="3166" ht="20" customHeight="1">
      <c r="A3166" s="21" t="n">
        <v>-18</v>
      </c>
      <c r="B3166" s="21" t="n">
        <v>40</v>
      </c>
      <c r="C3166" s="22" t="n">
        <v>115</v>
      </c>
      <c r="D3166" s="22" t="n">
        <v>2</v>
      </c>
      <c r="E3166" s="23" t="n">
        <v>4</v>
      </c>
      <c r="F3166" s="22" t="n">
        <v>1.5</v>
      </c>
      <c r="G3166" s="23" t="inlineStr">
        <is>
          <t>Oui</t>
        </is>
      </c>
      <c r="H3166" s="23" t="inlineStr">
        <is>
          <t>ON</t>
        </is>
      </c>
      <c r="I3166" s="24" t="n">
        <v>815.012573225423</v>
      </c>
      <c r="J3166" s="24" t="n">
        <v>8308.791548992402</v>
      </c>
      <c r="K3166" s="24" t="n">
        <v>4662.037037037037</v>
      </c>
      <c r="L3166" s="24" t="n">
        <v>150</v>
      </c>
      <c r="M3166" s="24">
        <f>I3166+J3166+K3166+L3166</f>
        <v/>
      </c>
      <c r="N3166" s="24">
        <f>M3166*'Dashboard &amp; Optimisation'!$B$18/('Dashboard &amp; Optimisation'!$B$16/3.6)</f>
        <v/>
      </c>
      <c r="O3166" s="24" t="n">
        <v>802.6123673357411</v>
      </c>
      <c r="P3166" s="25" t="n">
        <v>0.06928089920961758</v>
      </c>
      <c r="Q3166" s="26" t="n">
        <v>5.838042351605651</v>
      </c>
      <c r="R3166" s="24" t="n">
        <v>4023.541226274826</v>
      </c>
      <c r="S3166" s="24">
        <f>R3166*IF(A3166=4, 2.0, 3.0)</f>
        <v/>
      </c>
      <c r="T3166" s="22">
        <f>'Dashboard &amp; Optimisation'!$B$18*U3166</f>
        <v/>
      </c>
      <c r="U3166" s="27">
        <f>MIN(1, S3166/M3166)</f>
        <v/>
      </c>
      <c r="V3166" s="27">
        <f>N3166/(N3166+O3166)</f>
        <v/>
      </c>
      <c r="W3166" s="27">
        <f>U3166*V3166</f>
        <v/>
      </c>
      <c r="X3166" s="25">
        <f>T3166/N3166</f>
        <v/>
      </c>
      <c r="Y3166" s="28">
        <f>IF(W3166=MAXIFS(W$2:W$3601, A$2:A$3601, A3166, B$2:B$3601, B3166), "OPTIMAL", "")</f>
        <v/>
      </c>
    </row>
    <row r="3167" ht="20" customHeight="1">
      <c r="A3167" s="29" t="n">
        <v>-18</v>
      </c>
      <c r="B3167" s="29" t="n">
        <v>40</v>
      </c>
      <c r="C3167" s="30" t="n">
        <v>115</v>
      </c>
      <c r="D3167" s="30" t="n">
        <v>2</v>
      </c>
      <c r="E3167" s="6" t="n">
        <v>4</v>
      </c>
      <c r="F3167" s="30" t="n">
        <v>1.5</v>
      </c>
      <c r="G3167" s="6" t="inlineStr">
        <is>
          <t>Oui</t>
        </is>
      </c>
      <c r="H3167" s="6" t="inlineStr">
        <is>
          <t>OFF</t>
        </is>
      </c>
      <c r="I3167" s="31" t="n">
        <v>815.012573225423</v>
      </c>
      <c r="J3167" s="31" t="n">
        <v>8308.791548992402</v>
      </c>
      <c r="K3167" s="31" t="n">
        <v>4662.037037037037</v>
      </c>
      <c r="L3167" s="31" t="n">
        <v>150</v>
      </c>
      <c r="M3167" s="31">
        <f>I3167+J3167+K3167+L3167</f>
        <v/>
      </c>
      <c r="N3167" s="31">
        <f>M3167*'Dashboard &amp; Optimisation'!$B$18/('Dashboard &amp; Optimisation'!$B$16/3.6)</f>
        <v/>
      </c>
      <c r="O3167" s="31" t="n">
        <v>802.6123673357411</v>
      </c>
      <c r="P3167" s="32" t="n">
        <v>0.2796855393519176</v>
      </c>
      <c r="Q3167" s="33" t="n">
        <v>5.838042351605651</v>
      </c>
      <c r="R3167" s="31" t="n">
        <v>996.6713145385082</v>
      </c>
      <c r="S3167" s="31">
        <f>R3167*IF(A3167=4, 2.0, 3.0)</f>
        <v/>
      </c>
      <c r="T3167" s="30">
        <f>'Dashboard &amp; Optimisation'!$B$18*U3167</f>
        <v/>
      </c>
      <c r="U3167" s="34">
        <f>MIN(1, S3167/M3167)</f>
        <v/>
      </c>
      <c r="V3167" s="34">
        <f>N3167/(N3167+O3167)</f>
        <v/>
      </c>
      <c r="W3167" s="34">
        <f>U3167*V3167</f>
        <v/>
      </c>
      <c r="X3167" s="32">
        <f>T3167/N3167</f>
        <v/>
      </c>
      <c r="Y3167" s="35">
        <f>IF(W3167=MAXIFS(W$2:W$3601, A$2:A$3601, A3167, B$2:B$3601, B3167), "OPTIMAL", "")</f>
        <v/>
      </c>
    </row>
    <row r="3168" ht="20" customHeight="1">
      <c r="A3168" s="21" t="n">
        <v>-18</v>
      </c>
      <c r="B3168" s="21" t="n">
        <v>40</v>
      </c>
      <c r="C3168" s="22" t="n">
        <v>115</v>
      </c>
      <c r="D3168" s="22" t="n">
        <v>2</v>
      </c>
      <c r="E3168" s="23" t="n">
        <v>4</v>
      </c>
      <c r="F3168" s="22" t="n">
        <v>1.5</v>
      </c>
      <c r="G3168" s="23" t="inlineStr">
        <is>
          <t>Non</t>
        </is>
      </c>
      <c r="H3168" s="23" t="inlineStr">
        <is>
          <t>ON</t>
        </is>
      </c>
      <c r="I3168" s="24" t="n">
        <v>815.012573225423</v>
      </c>
      <c r="J3168" s="24" t="n">
        <v>8308.791548992402</v>
      </c>
      <c r="K3168" s="24" t="n">
        <v>4662.037037037037</v>
      </c>
      <c r="L3168" s="24" t="n">
        <v>150</v>
      </c>
      <c r="M3168" s="24">
        <f>I3168+J3168+K3168+L3168</f>
        <v/>
      </c>
      <c r="N3168" s="24">
        <f>M3168*'Dashboard &amp; Optimisation'!$B$18/('Dashboard &amp; Optimisation'!$B$16/3.6)</f>
        <v/>
      </c>
      <c r="O3168" s="24" t="n">
        <v>802.6123673357411</v>
      </c>
      <c r="P3168" s="25" t="n">
        <v>0.06651298715584548</v>
      </c>
      <c r="Q3168" s="26" t="n">
        <v>5.838042351605651</v>
      </c>
      <c r="R3168" s="24" t="n">
        <v>4190.979327242395</v>
      </c>
      <c r="S3168" s="24">
        <f>R3168*IF(A3168=4, 2.0, 3.0)</f>
        <v/>
      </c>
      <c r="T3168" s="22">
        <f>'Dashboard &amp; Optimisation'!$B$18*U3168</f>
        <v/>
      </c>
      <c r="U3168" s="27">
        <f>MIN(1, S3168/M3168)</f>
        <v/>
      </c>
      <c r="V3168" s="27">
        <f>N3168/(N3168+O3168)</f>
        <v/>
      </c>
      <c r="W3168" s="27">
        <f>U3168*V3168</f>
        <v/>
      </c>
      <c r="X3168" s="25">
        <f>T3168/N3168</f>
        <v/>
      </c>
      <c r="Y3168" s="28">
        <f>IF(W3168=MAXIFS(W$2:W$3601, A$2:A$3601, A3168, B$2:B$3601, B3168), "OPTIMAL", "")</f>
        <v/>
      </c>
    </row>
    <row r="3169" ht="20" customHeight="1">
      <c r="A3169" s="29" t="n">
        <v>-18</v>
      </c>
      <c r="B3169" s="29" t="n">
        <v>40</v>
      </c>
      <c r="C3169" s="30" t="n">
        <v>115</v>
      </c>
      <c r="D3169" s="30" t="n">
        <v>2</v>
      </c>
      <c r="E3169" s="6" t="n">
        <v>4</v>
      </c>
      <c r="F3169" s="30" t="n">
        <v>1.5</v>
      </c>
      <c r="G3169" s="6" t="inlineStr">
        <is>
          <t>Non</t>
        </is>
      </c>
      <c r="H3169" s="6" t="inlineStr">
        <is>
          <t>OFF</t>
        </is>
      </c>
      <c r="I3169" s="31" t="n">
        <v>815.012573225423</v>
      </c>
      <c r="J3169" s="31" t="n">
        <v>8308.791548992402</v>
      </c>
      <c r="K3169" s="31" t="n">
        <v>4662.037037037037</v>
      </c>
      <c r="L3169" s="31" t="n">
        <v>150</v>
      </c>
      <c r="M3169" s="31">
        <f>I3169+J3169+K3169+L3169</f>
        <v/>
      </c>
      <c r="N3169" s="31">
        <f>M3169*'Dashboard &amp; Optimisation'!$B$18/('Dashboard &amp; Optimisation'!$B$16/3.6)</f>
        <v/>
      </c>
      <c r="O3169" s="31" t="n">
        <v>802.6123673357411</v>
      </c>
      <c r="P3169" s="32" t="n">
        <v>0.2769176272981455</v>
      </c>
      <c r="Q3169" s="33" t="n">
        <v>5.838042351605651</v>
      </c>
      <c r="R3169" s="31" t="n">
        <v>1006.633477554551</v>
      </c>
      <c r="S3169" s="31">
        <f>R3169*IF(A3169=4, 2.0, 3.0)</f>
        <v/>
      </c>
      <c r="T3169" s="30">
        <f>'Dashboard &amp; Optimisation'!$B$18*U3169</f>
        <v/>
      </c>
      <c r="U3169" s="34">
        <f>MIN(1, S3169/M3169)</f>
        <v/>
      </c>
      <c r="V3169" s="34">
        <f>N3169/(N3169+O3169)</f>
        <v/>
      </c>
      <c r="W3169" s="34">
        <f>U3169*V3169</f>
        <v/>
      </c>
      <c r="X3169" s="32">
        <f>T3169/N3169</f>
        <v/>
      </c>
      <c r="Y3169" s="35">
        <f>IF(W3169=MAXIFS(W$2:W$3601, A$2:A$3601, A3169, B$2:B$3601, B3169), "OPTIMAL", "")</f>
        <v/>
      </c>
    </row>
    <row r="3170" ht="20" customHeight="1">
      <c r="A3170" s="21" t="n">
        <v>-18</v>
      </c>
      <c r="B3170" s="21" t="n">
        <v>40</v>
      </c>
      <c r="C3170" s="22" t="n">
        <v>115</v>
      </c>
      <c r="D3170" s="22" t="n">
        <v>2</v>
      </c>
      <c r="E3170" s="23" t="n">
        <v>4</v>
      </c>
      <c r="F3170" s="22" t="n">
        <v>2</v>
      </c>
      <c r="G3170" s="23" t="inlineStr">
        <is>
          <t>Oui</t>
        </is>
      </c>
      <c r="H3170" s="23" t="inlineStr">
        <is>
          <t>ON</t>
        </is>
      </c>
      <c r="I3170" s="24" t="n">
        <v>815.012573225423</v>
      </c>
      <c r="J3170" s="24" t="n">
        <v>8308.791548992402</v>
      </c>
      <c r="K3170" s="24" t="n">
        <v>4662.037037037037</v>
      </c>
      <c r="L3170" s="24" t="n">
        <v>150</v>
      </c>
      <c r="M3170" s="24">
        <f>I3170+J3170+K3170+L3170</f>
        <v/>
      </c>
      <c r="N3170" s="24">
        <f>M3170*'Dashboard &amp; Optimisation'!$B$18/('Dashboard &amp; Optimisation'!$B$16/3.6)</f>
        <v/>
      </c>
      <c r="O3170" s="24" t="n">
        <v>900.5232653332328</v>
      </c>
      <c r="P3170" s="25" t="n">
        <v>0.06612266589584477</v>
      </c>
      <c r="Q3170" s="26" t="n">
        <v>7.717389802140867</v>
      </c>
      <c r="R3170" s="24" t="n">
        <v>4255.878272506827</v>
      </c>
      <c r="S3170" s="24">
        <f>R3170*IF(A3170=4, 2.0, 3.0)</f>
        <v/>
      </c>
      <c r="T3170" s="22">
        <f>'Dashboard &amp; Optimisation'!$B$18*U3170</f>
        <v/>
      </c>
      <c r="U3170" s="27">
        <f>MIN(1, S3170/M3170)</f>
        <v/>
      </c>
      <c r="V3170" s="27">
        <f>N3170/(N3170+O3170)</f>
        <v/>
      </c>
      <c r="W3170" s="27">
        <f>U3170*V3170</f>
        <v/>
      </c>
      <c r="X3170" s="25">
        <f>T3170/N3170</f>
        <v/>
      </c>
      <c r="Y3170" s="28">
        <f>IF(W3170=MAXIFS(W$2:W$3601, A$2:A$3601, A3170, B$2:B$3601, B3170), "OPTIMAL", "")</f>
        <v/>
      </c>
    </row>
    <row r="3171" ht="20" customHeight="1">
      <c r="A3171" s="29" t="n">
        <v>-18</v>
      </c>
      <c r="B3171" s="29" t="n">
        <v>40</v>
      </c>
      <c r="C3171" s="30" t="n">
        <v>115</v>
      </c>
      <c r="D3171" s="30" t="n">
        <v>2</v>
      </c>
      <c r="E3171" s="6" t="n">
        <v>4</v>
      </c>
      <c r="F3171" s="30" t="n">
        <v>2</v>
      </c>
      <c r="G3171" s="6" t="inlineStr">
        <is>
          <t>Oui</t>
        </is>
      </c>
      <c r="H3171" s="6" t="inlineStr">
        <is>
          <t>OFF</t>
        </is>
      </c>
      <c r="I3171" s="31" t="n">
        <v>815.012573225423</v>
      </c>
      <c r="J3171" s="31" t="n">
        <v>8308.791548992402</v>
      </c>
      <c r="K3171" s="31" t="n">
        <v>4662.037037037037</v>
      </c>
      <c r="L3171" s="31" t="n">
        <v>150</v>
      </c>
      <c r="M3171" s="31">
        <f>I3171+J3171+K3171+L3171</f>
        <v/>
      </c>
      <c r="N3171" s="31">
        <f>M3171*'Dashboard &amp; Optimisation'!$B$18/('Dashboard &amp; Optimisation'!$B$16/3.6)</f>
        <v/>
      </c>
      <c r="O3171" s="31" t="n">
        <v>900.5232653332328</v>
      </c>
      <c r="P3171" s="32" t="n">
        <v>0.2774148058870663</v>
      </c>
      <c r="Q3171" s="33" t="n">
        <v>7.717389802140867</v>
      </c>
      <c r="R3171" s="31" t="n">
        <v>1014.401578915417</v>
      </c>
      <c r="S3171" s="31">
        <f>R3171*IF(A3171=4, 2.0, 3.0)</f>
        <v/>
      </c>
      <c r="T3171" s="30">
        <f>'Dashboard &amp; Optimisation'!$B$18*U3171</f>
        <v/>
      </c>
      <c r="U3171" s="34">
        <f>MIN(1, S3171/M3171)</f>
        <v/>
      </c>
      <c r="V3171" s="34">
        <f>N3171/(N3171+O3171)</f>
        <v/>
      </c>
      <c r="W3171" s="34">
        <f>U3171*V3171</f>
        <v/>
      </c>
      <c r="X3171" s="32">
        <f>T3171/N3171</f>
        <v/>
      </c>
      <c r="Y3171" s="35">
        <f>IF(W3171=MAXIFS(W$2:W$3601, A$2:A$3601, A3171, B$2:B$3601, B3171), "OPTIMAL", "")</f>
        <v/>
      </c>
    </row>
    <row r="3172" ht="20" customHeight="1">
      <c r="A3172" s="21" t="n">
        <v>-18</v>
      </c>
      <c r="B3172" s="21" t="n">
        <v>40</v>
      </c>
      <c r="C3172" s="22" t="n">
        <v>115</v>
      </c>
      <c r="D3172" s="22" t="n">
        <v>2</v>
      </c>
      <c r="E3172" s="23" t="n">
        <v>4</v>
      </c>
      <c r="F3172" s="22" t="n">
        <v>2</v>
      </c>
      <c r="G3172" s="23" t="inlineStr">
        <is>
          <t>Non</t>
        </is>
      </c>
      <c r="H3172" s="23" t="inlineStr">
        <is>
          <t>ON</t>
        </is>
      </c>
      <c r="I3172" s="24" t="n">
        <v>815.012573225423</v>
      </c>
      <c r="J3172" s="24" t="n">
        <v>8308.791548992402</v>
      </c>
      <c r="K3172" s="24" t="n">
        <v>4662.037037037037</v>
      </c>
      <c r="L3172" s="24" t="n">
        <v>150</v>
      </c>
      <c r="M3172" s="24">
        <f>I3172+J3172+K3172+L3172</f>
        <v/>
      </c>
      <c r="N3172" s="24">
        <f>M3172*'Dashboard &amp; Optimisation'!$B$18/('Dashboard &amp; Optimisation'!$B$16/3.6)</f>
        <v/>
      </c>
      <c r="O3172" s="24" t="n">
        <v>900.5232653332328</v>
      </c>
      <c r="P3172" s="25" t="n">
        <v>0.06335475384207268</v>
      </c>
      <c r="Q3172" s="26" t="n">
        <v>7.717389802140867</v>
      </c>
      <c r="R3172" s="24" t="n">
        <v>4441.813755726013</v>
      </c>
      <c r="S3172" s="24">
        <f>R3172*IF(A3172=4, 2.0, 3.0)</f>
        <v/>
      </c>
      <c r="T3172" s="22">
        <f>'Dashboard &amp; Optimisation'!$B$18*U3172</f>
        <v/>
      </c>
      <c r="U3172" s="27">
        <f>MIN(1, S3172/M3172)</f>
        <v/>
      </c>
      <c r="V3172" s="27">
        <f>N3172/(N3172+O3172)</f>
        <v/>
      </c>
      <c r="W3172" s="27">
        <f>U3172*V3172</f>
        <v/>
      </c>
      <c r="X3172" s="25">
        <f>T3172/N3172</f>
        <v/>
      </c>
      <c r="Y3172" s="28">
        <f>IF(W3172=MAXIFS(W$2:W$3601, A$2:A$3601, A3172, B$2:B$3601, B3172), "OPTIMAL", "")</f>
        <v/>
      </c>
    </row>
    <row r="3173" ht="20" customHeight="1">
      <c r="A3173" s="29" t="n">
        <v>-18</v>
      </c>
      <c r="B3173" s="29" t="n">
        <v>40</v>
      </c>
      <c r="C3173" s="30" t="n">
        <v>115</v>
      </c>
      <c r="D3173" s="30" t="n">
        <v>2</v>
      </c>
      <c r="E3173" s="6" t="n">
        <v>4</v>
      </c>
      <c r="F3173" s="30" t="n">
        <v>2</v>
      </c>
      <c r="G3173" s="6" t="inlineStr">
        <is>
          <t>Non</t>
        </is>
      </c>
      <c r="H3173" s="6" t="inlineStr">
        <is>
          <t>OFF</t>
        </is>
      </c>
      <c r="I3173" s="31" t="n">
        <v>815.012573225423</v>
      </c>
      <c r="J3173" s="31" t="n">
        <v>8308.791548992402</v>
      </c>
      <c r="K3173" s="31" t="n">
        <v>4662.037037037037</v>
      </c>
      <c r="L3173" s="31" t="n">
        <v>150</v>
      </c>
      <c r="M3173" s="31">
        <f>I3173+J3173+K3173+L3173</f>
        <v/>
      </c>
      <c r="N3173" s="31">
        <f>M3173*'Dashboard &amp; Optimisation'!$B$18/('Dashboard &amp; Optimisation'!$B$16/3.6)</f>
        <v/>
      </c>
      <c r="O3173" s="31" t="n">
        <v>900.5232653332328</v>
      </c>
      <c r="P3173" s="32" t="n">
        <v>0.2746468938332942</v>
      </c>
      <c r="Q3173" s="33" t="n">
        <v>7.717389802140867</v>
      </c>
      <c r="R3173" s="31" t="n">
        <v>1024.62479432651</v>
      </c>
      <c r="S3173" s="31">
        <f>R3173*IF(A3173=4, 2.0, 3.0)</f>
        <v/>
      </c>
      <c r="T3173" s="30">
        <f>'Dashboard &amp; Optimisation'!$B$18*U3173</f>
        <v/>
      </c>
      <c r="U3173" s="34">
        <f>MIN(1, S3173/M3173)</f>
        <v/>
      </c>
      <c r="V3173" s="34">
        <f>N3173/(N3173+O3173)</f>
        <v/>
      </c>
      <c r="W3173" s="34">
        <f>U3173*V3173</f>
        <v/>
      </c>
      <c r="X3173" s="32">
        <f>T3173/N3173</f>
        <v/>
      </c>
      <c r="Y3173" s="35">
        <f>IF(W3173=MAXIFS(W$2:W$3601, A$2:A$3601, A3173, B$2:B$3601, B3173), "OPTIMAL", "")</f>
        <v/>
      </c>
    </row>
    <row r="3174" ht="20" customHeight="1">
      <c r="A3174" s="21" t="n">
        <v>-18</v>
      </c>
      <c r="B3174" s="21" t="n">
        <v>40</v>
      </c>
      <c r="C3174" s="22" t="n">
        <v>115</v>
      </c>
      <c r="D3174" s="22" t="n">
        <v>2</v>
      </c>
      <c r="E3174" s="23" t="n">
        <v>8</v>
      </c>
      <c r="F3174" s="22" t="n">
        <v>1.5</v>
      </c>
      <c r="G3174" s="23" t="inlineStr">
        <is>
          <t>Oui</t>
        </is>
      </c>
      <c r="H3174" s="23" t="inlineStr">
        <is>
          <t>ON</t>
        </is>
      </c>
      <c r="I3174" s="24" t="n">
        <v>815.012573225423</v>
      </c>
      <c r="J3174" s="24" t="n">
        <v>8308.791548992402</v>
      </c>
      <c r="K3174" s="24" t="n">
        <v>4662.037037037037</v>
      </c>
      <c r="L3174" s="24" t="n">
        <v>150</v>
      </c>
      <c r="M3174" s="24">
        <f>I3174+J3174+K3174+L3174</f>
        <v/>
      </c>
      <c r="N3174" s="24">
        <f>M3174*'Dashboard &amp; Optimisation'!$B$18/('Dashboard &amp; Optimisation'!$B$16/3.6)</f>
        <v/>
      </c>
      <c r="O3174" s="24" t="n">
        <v>1102.050049145841</v>
      </c>
      <c r="P3174" s="25" t="n">
        <v>0.05248603000184628</v>
      </c>
      <c r="Q3174" s="26" t="n">
        <v>11.4760847032113</v>
      </c>
      <c r="R3174" s="24" t="n">
        <v>5465.75287192586</v>
      </c>
      <c r="S3174" s="24">
        <f>R3174*IF(A3174=4, 2.0, 3.0)</f>
        <v/>
      </c>
      <c r="T3174" s="22">
        <f>'Dashboard &amp; Optimisation'!$B$18*U3174</f>
        <v/>
      </c>
      <c r="U3174" s="27">
        <f>MIN(1, S3174/M3174)</f>
        <v/>
      </c>
      <c r="V3174" s="27">
        <f>N3174/(N3174+O3174)</f>
        <v/>
      </c>
      <c r="W3174" s="27">
        <f>U3174*V3174</f>
        <v/>
      </c>
      <c r="X3174" s="25">
        <f>T3174/N3174</f>
        <v/>
      </c>
      <c r="Y3174" s="28">
        <f>IF(W3174=MAXIFS(W$2:W$3601, A$2:A$3601, A3174, B$2:B$3601, B3174), "OPTIMAL", "")</f>
        <v/>
      </c>
    </row>
    <row r="3175" ht="20" customHeight="1">
      <c r="A3175" s="29" t="n">
        <v>-18</v>
      </c>
      <c r="B3175" s="29" t="n">
        <v>40</v>
      </c>
      <c r="C3175" s="30" t="n">
        <v>115</v>
      </c>
      <c r="D3175" s="30" t="n">
        <v>2</v>
      </c>
      <c r="E3175" s="6" t="n">
        <v>8</v>
      </c>
      <c r="F3175" s="30" t="n">
        <v>1.5</v>
      </c>
      <c r="G3175" s="6" t="inlineStr">
        <is>
          <t>Oui</t>
        </is>
      </c>
      <c r="H3175" s="6" t="inlineStr">
        <is>
          <t>OFF</t>
        </is>
      </c>
      <c r="I3175" s="31" t="n">
        <v>815.012573225423</v>
      </c>
      <c r="J3175" s="31" t="n">
        <v>8308.791548992402</v>
      </c>
      <c r="K3175" s="31" t="n">
        <v>4662.037037037037</v>
      </c>
      <c r="L3175" s="31" t="n">
        <v>150</v>
      </c>
      <c r="M3175" s="31">
        <f>I3175+J3175+K3175+L3175</f>
        <v/>
      </c>
      <c r="N3175" s="31">
        <f>M3175*'Dashboard &amp; Optimisation'!$B$18/('Dashboard &amp; Optimisation'!$B$16/3.6)</f>
        <v/>
      </c>
      <c r="O3175" s="31" t="n">
        <v>1102.050049145841</v>
      </c>
      <c r="P3175" s="32" t="n">
        <v>0.2221878302428261</v>
      </c>
      <c r="Q3175" s="33" t="n">
        <v>11.4760847032113</v>
      </c>
      <c r="R3175" s="31" t="n">
        <v>1291.14033340645</v>
      </c>
      <c r="S3175" s="31">
        <f>R3175*IF(A3175=4, 2.0, 3.0)</f>
        <v/>
      </c>
      <c r="T3175" s="30">
        <f>'Dashboard &amp; Optimisation'!$B$18*U3175</f>
        <v/>
      </c>
      <c r="U3175" s="34">
        <f>MIN(1, S3175/M3175)</f>
        <v/>
      </c>
      <c r="V3175" s="34">
        <f>N3175/(N3175+O3175)</f>
        <v/>
      </c>
      <c r="W3175" s="34">
        <f>U3175*V3175</f>
        <v/>
      </c>
      <c r="X3175" s="32">
        <f>T3175/N3175</f>
        <v/>
      </c>
      <c r="Y3175" s="35">
        <f>IF(W3175=MAXIFS(W$2:W$3601, A$2:A$3601, A3175, B$2:B$3601, B3175), "OPTIMAL", "")</f>
        <v/>
      </c>
    </row>
    <row r="3176" ht="20" customHeight="1">
      <c r="A3176" s="21" t="n">
        <v>-18</v>
      </c>
      <c r="B3176" s="21" t="n">
        <v>40</v>
      </c>
      <c r="C3176" s="22" t="n">
        <v>115</v>
      </c>
      <c r="D3176" s="22" t="n">
        <v>2</v>
      </c>
      <c r="E3176" s="23" t="n">
        <v>8</v>
      </c>
      <c r="F3176" s="22" t="n">
        <v>1.5</v>
      </c>
      <c r="G3176" s="23" t="inlineStr">
        <is>
          <t>Non</t>
        </is>
      </c>
      <c r="H3176" s="23" t="inlineStr">
        <is>
          <t>ON</t>
        </is>
      </c>
      <c r="I3176" s="24" t="n">
        <v>815.012573225423</v>
      </c>
      <c r="J3176" s="24" t="n">
        <v>8308.791548992402</v>
      </c>
      <c r="K3176" s="24" t="n">
        <v>4662.037037037037</v>
      </c>
      <c r="L3176" s="24" t="n">
        <v>150</v>
      </c>
      <c r="M3176" s="24">
        <f>I3176+J3176+K3176+L3176</f>
        <v/>
      </c>
      <c r="N3176" s="24">
        <f>M3176*'Dashboard &amp; Optimisation'!$B$18/('Dashboard &amp; Optimisation'!$B$16/3.6)</f>
        <v/>
      </c>
      <c r="O3176" s="24" t="n">
        <v>1102.050049145841</v>
      </c>
      <c r="P3176" s="25" t="n">
        <v>0.04971811794807418</v>
      </c>
      <c r="Q3176" s="26" t="n">
        <v>11.4760847032113</v>
      </c>
      <c r="R3176" s="24" t="n">
        <v>5770.042814536792</v>
      </c>
      <c r="S3176" s="24">
        <f>R3176*IF(A3176=4, 2.0, 3.0)</f>
        <v/>
      </c>
      <c r="T3176" s="22">
        <f>'Dashboard &amp; Optimisation'!$B$18*U3176</f>
        <v/>
      </c>
      <c r="U3176" s="27">
        <f>MIN(1, S3176/M3176)</f>
        <v/>
      </c>
      <c r="V3176" s="27">
        <f>N3176/(N3176+O3176)</f>
        <v/>
      </c>
      <c r="W3176" s="27">
        <f>U3176*V3176</f>
        <v/>
      </c>
      <c r="X3176" s="25">
        <f>T3176/N3176</f>
        <v/>
      </c>
      <c r="Y3176" s="28">
        <f>IF(W3176=MAXIFS(W$2:W$3601, A$2:A$3601, A3176, B$2:B$3601, B3176), "OPTIMAL", "")</f>
        <v/>
      </c>
    </row>
    <row r="3177" ht="20" customHeight="1">
      <c r="A3177" s="29" t="n">
        <v>-18</v>
      </c>
      <c r="B3177" s="29" t="n">
        <v>40</v>
      </c>
      <c r="C3177" s="30" t="n">
        <v>115</v>
      </c>
      <c r="D3177" s="30" t="n">
        <v>2</v>
      </c>
      <c r="E3177" s="6" t="n">
        <v>8</v>
      </c>
      <c r="F3177" s="30" t="n">
        <v>1.5</v>
      </c>
      <c r="G3177" s="6" t="inlineStr">
        <is>
          <t>Non</t>
        </is>
      </c>
      <c r="H3177" s="6" t="inlineStr">
        <is>
          <t>OFF</t>
        </is>
      </c>
      <c r="I3177" s="31" t="n">
        <v>815.012573225423</v>
      </c>
      <c r="J3177" s="31" t="n">
        <v>8308.791548992402</v>
      </c>
      <c r="K3177" s="31" t="n">
        <v>4662.037037037037</v>
      </c>
      <c r="L3177" s="31" t="n">
        <v>150</v>
      </c>
      <c r="M3177" s="31">
        <f>I3177+J3177+K3177+L3177</f>
        <v/>
      </c>
      <c r="N3177" s="31">
        <f>M3177*'Dashboard &amp; Optimisation'!$B$18/('Dashboard &amp; Optimisation'!$B$16/3.6)</f>
        <v/>
      </c>
      <c r="O3177" s="31" t="n">
        <v>1102.050049145841</v>
      </c>
      <c r="P3177" s="32" t="n">
        <v>0.219419918189054</v>
      </c>
      <c r="Q3177" s="33" t="n">
        <v>11.4760847032113</v>
      </c>
      <c r="R3177" s="31" t="n">
        <v>1307.427655548589</v>
      </c>
      <c r="S3177" s="31">
        <f>R3177*IF(A3177=4, 2.0, 3.0)</f>
        <v/>
      </c>
      <c r="T3177" s="30">
        <f>'Dashboard &amp; Optimisation'!$B$18*U3177</f>
        <v/>
      </c>
      <c r="U3177" s="34">
        <f>MIN(1, S3177/M3177)</f>
        <v/>
      </c>
      <c r="V3177" s="34">
        <f>N3177/(N3177+O3177)</f>
        <v/>
      </c>
      <c r="W3177" s="34">
        <f>U3177*V3177</f>
        <v/>
      </c>
      <c r="X3177" s="32">
        <f>T3177/N3177</f>
        <v/>
      </c>
      <c r="Y3177" s="35">
        <f>IF(W3177=MAXIFS(W$2:W$3601, A$2:A$3601, A3177, B$2:B$3601, B3177), "OPTIMAL", "")</f>
        <v/>
      </c>
    </row>
    <row r="3178" ht="20" customHeight="1">
      <c r="A3178" s="21" t="n">
        <v>-18</v>
      </c>
      <c r="B3178" s="21" t="n">
        <v>40</v>
      </c>
      <c r="C3178" s="22" t="n">
        <v>115</v>
      </c>
      <c r="D3178" s="22" t="n">
        <v>2</v>
      </c>
      <c r="E3178" s="23" t="n">
        <v>8</v>
      </c>
      <c r="F3178" s="22" t="n">
        <v>2</v>
      </c>
      <c r="G3178" s="23" t="inlineStr">
        <is>
          <t>Oui</t>
        </is>
      </c>
      <c r="H3178" s="23" t="inlineStr">
        <is>
          <t>ON</t>
        </is>
      </c>
      <c r="I3178" s="24" t="n">
        <v>815.012573225423</v>
      </c>
      <c r="J3178" s="24" t="n">
        <v>8308.791548992402</v>
      </c>
      <c r="K3178" s="24" t="n">
        <v>4662.037037037037</v>
      </c>
      <c r="L3178" s="24" t="n">
        <v>150</v>
      </c>
      <c r="M3178" s="24">
        <f>I3178+J3178+K3178+L3178</f>
        <v/>
      </c>
      <c r="N3178" s="24">
        <f>M3178*'Dashboard &amp; Optimisation'!$B$18/('Dashboard &amp; Optimisation'!$B$16/3.6)</f>
        <v/>
      </c>
      <c r="O3178" s="24" t="n">
        <v>1311.560147215571</v>
      </c>
      <c r="P3178" s="25" t="n">
        <v>0.05098656696881766</v>
      </c>
      <c r="Q3178" s="26" t="n">
        <v>15.23477960428174</v>
      </c>
      <c r="R3178" s="24" t="n">
        <v>5737.939538603814</v>
      </c>
      <c r="S3178" s="24">
        <f>R3178*IF(A3178=4, 2.0, 3.0)</f>
        <v/>
      </c>
      <c r="T3178" s="22">
        <f>'Dashboard &amp; Optimisation'!$B$18*U3178</f>
        <v/>
      </c>
      <c r="U3178" s="27">
        <f>MIN(1, S3178/M3178)</f>
        <v/>
      </c>
      <c r="V3178" s="27">
        <f>N3178/(N3178+O3178)</f>
        <v/>
      </c>
      <c r="W3178" s="27">
        <f>U3178*V3178</f>
        <v/>
      </c>
      <c r="X3178" s="25">
        <f>T3178/N3178</f>
        <v/>
      </c>
      <c r="Y3178" s="28">
        <f>IF(W3178=MAXIFS(W$2:W$3601, A$2:A$3601, A3178, B$2:B$3601, B3178), "OPTIMAL", "")</f>
        <v/>
      </c>
    </row>
    <row r="3179" ht="20" customHeight="1">
      <c r="A3179" s="29" t="n">
        <v>-18</v>
      </c>
      <c r="B3179" s="29" t="n">
        <v>40</v>
      </c>
      <c r="C3179" s="30" t="n">
        <v>115</v>
      </c>
      <c r="D3179" s="30" t="n">
        <v>2</v>
      </c>
      <c r="E3179" s="6" t="n">
        <v>8</v>
      </c>
      <c r="F3179" s="30" t="n">
        <v>2</v>
      </c>
      <c r="G3179" s="6" t="inlineStr">
        <is>
          <t>Oui</t>
        </is>
      </c>
      <c r="H3179" s="6" t="inlineStr">
        <is>
          <t>OFF</t>
        </is>
      </c>
      <c r="I3179" s="31" t="n">
        <v>815.012573225423</v>
      </c>
      <c r="J3179" s="31" t="n">
        <v>8308.791548992402</v>
      </c>
      <c r="K3179" s="31" t="n">
        <v>4662.037037037037</v>
      </c>
      <c r="L3179" s="31" t="n">
        <v>150</v>
      </c>
      <c r="M3179" s="31">
        <f>I3179+J3179+K3179+L3179</f>
        <v/>
      </c>
      <c r="N3179" s="31">
        <f>M3179*'Dashboard &amp; Optimisation'!$B$18/('Dashboard &amp; Optimisation'!$B$16/3.6)</f>
        <v/>
      </c>
      <c r="O3179" s="31" t="n">
        <v>1311.560147215571</v>
      </c>
      <c r="P3179" s="32" t="n">
        <v>0.2218463755842228</v>
      </c>
      <c r="Q3179" s="33" t="n">
        <v>15.23477960428174</v>
      </c>
      <c r="R3179" s="31" t="n">
        <v>1318.740672583051</v>
      </c>
      <c r="S3179" s="31">
        <f>R3179*IF(A3179=4, 2.0, 3.0)</f>
        <v/>
      </c>
      <c r="T3179" s="30">
        <f>'Dashboard &amp; Optimisation'!$B$18*U3179</f>
        <v/>
      </c>
      <c r="U3179" s="34">
        <f>MIN(1, S3179/M3179)</f>
        <v/>
      </c>
      <c r="V3179" s="34">
        <f>N3179/(N3179+O3179)</f>
        <v/>
      </c>
      <c r="W3179" s="34">
        <f>U3179*V3179</f>
        <v/>
      </c>
      <c r="X3179" s="32">
        <f>T3179/N3179</f>
        <v/>
      </c>
      <c r="Y3179" s="35">
        <f>IF(W3179=MAXIFS(W$2:W$3601, A$2:A$3601, A3179, B$2:B$3601, B3179), "OPTIMAL", "")</f>
        <v/>
      </c>
    </row>
    <row r="3180" ht="20" customHeight="1">
      <c r="A3180" s="21" t="n">
        <v>-18</v>
      </c>
      <c r="B3180" s="21" t="n">
        <v>40</v>
      </c>
      <c r="C3180" s="22" t="n">
        <v>115</v>
      </c>
      <c r="D3180" s="22" t="n">
        <v>2</v>
      </c>
      <c r="E3180" s="23" t="n">
        <v>8</v>
      </c>
      <c r="F3180" s="22" t="n">
        <v>2</v>
      </c>
      <c r="G3180" s="23" t="inlineStr">
        <is>
          <t>Non</t>
        </is>
      </c>
      <c r="H3180" s="23" t="inlineStr">
        <is>
          <t>ON</t>
        </is>
      </c>
      <c r="I3180" s="24" t="n">
        <v>815.012573225423</v>
      </c>
      <c r="J3180" s="24" t="n">
        <v>8308.791548992402</v>
      </c>
      <c r="K3180" s="24" t="n">
        <v>4662.037037037037</v>
      </c>
      <c r="L3180" s="24" t="n">
        <v>150</v>
      </c>
      <c r="M3180" s="24">
        <f>I3180+J3180+K3180+L3180</f>
        <v/>
      </c>
      <c r="N3180" s="24">
        <f>M3180*'Dashboard &amp; Optimisation'!$B$18/('Dashboard &amp; Optimisation'!$B$16/3.6)</f>
        <v/>
      </c>
      <c r="O3180" s="24" t="n">
        <v>1311.560147215571</v>
      </c>
      <c r="P3180" s="25" t="n">
        <v>0.04821865491504557</v>
      </c>
      <c r="Q3180" s="26" t="n">
        <v>15.23477960428174</v>
      </c>
      <c r="R3180" s="24" t="n">
        <v>6067.316457986966</v>
      </c>
      <c r="S3180" s="24">
        <f>R3180*IF(A3180=4, 2.0, 3.0)</f>
        <v/>
      </c>
      <c r="T3180" s="22">
        <f>'Dashboard &amp; Optimisation'!$B$18*U3180</f>
        <v/>
      </c>
      <c r="U3180" s="27">
        <f>MIN(1, S3180/M3180)</f>
        <v/>
      </c>
      <c r="V3180" s="27">
        <f>N3180/(N3180+O3180)</f>
        <v/>
      </c>
      <c r="W3180" s="27">
        <f>U3180*V3180</f>
        <v/>
      </c>
      <c r="X3180" s="25">
        <f>T3180/N3180</f>
        <v/>
      </c>
      <c r="Y3180" s="28">
        <f>IF(W3180=MAXIFS(W$2:W$3601, A$2:A$3601, A3180, B$2:B$3601, B3180), "OPTIMAL", "")</f>
        <v/>
      </c>
    </row>
    <row r="3181" ht="20" customHeight="1">
      <c r="A3181" s="29" t="n">
        <v>-18</v>
      </c>
      <c r="B3181" s="29" t="n">
        <v>40</v>
      </c>
      <c r="C3181" s="30" t="n">
        <v>115</v>
      </c>
      <c r="D3181" s="30" t="n">
        <v>2</v>
      </c>
      <c r="E3181" s="6" t="n">
        <v>8</v>
      </c>
      <c r="F3181" s="30" t="n">
        <v>2</v>
      </c>
      <c r="G3181" s="6" t="inlineStr">
        <is>
          <t>Non</t>
        </is>
      </c>
      <c r="H3181" s="6" t="inlineStr">
        <is>
          <t>OFF</t>
        </is>
      </c>
      <c r="I3181" s="31" t="n">
        <v>815.012573225423</v>
      </c>
      <c r="J3181" s="31" t="n">
        <v>8308.791548992402</v>
      </c>
      <c r="K3181" s="31" t="n">
        <v>4662.037037037037</v>
      </c>
      <c r="L3181" s="31" t="n">
        <v>150</v>
      </c>
      <c r="M3181" s="31">
        <f>I3181+J3181+K3181+L3181</f>
        <v/>
      </c>
      <c r="N3181" s="31">
        <f>M3181*'Dashboard &amp; Optimisation'!$B$18/('Dashboard &amp; Optimisation'!$B$16/3.6)</f>
        <v/>
      </c>
      <c r="O3181" s="31" t="n">
        <v>1311.560147215571</v>
      </c>
      <c r="P3181" s="32" t="n">
        <v>0.2190784635304507</v>
      </c>
      <c r="Q3181" s="33" t="n">
        <v>15.23477960428174</v>
      </c>
      <c r="R3181" s="31" t="n">
        <v>1335.402092170443</v>
      </c>
      <c r="S3181" s="31">
        <f>R3181*IF(A3181=4, 2.0, 3.0)</f>
        <v/>
      </c>
      <c r="T3181" s="30">
        <f>'Dashboard &amp; Optimisation'!$B$18*U3181</f>
        <v/>
      </c>
      <c r="U3181" s="34">
        <f>MIN(1, S3181/M3181)</f>
        <v/>
      </c>
      <c r="V3181" s="34">
        <f>N3181/(N3181+O3181)</f>
        <v/>
      </c>
      <c r="W3181" s="34">
        <f>U3181*V3181</f>
        <v/>
      </c>
      <c r="X3181" s="32">
        <f>T3181/N3181</f>
        <v/>
      </c>
      <c r="Y3181" s="35">
        <f>IF(W3181=MAXIFS(W$2:W$3601, A$2:A$3601, A3181, B$2:B$3601, B3181), "OPTIMAL", "")</f>
        <v/>
      </c>
    </row>
    <row r="3182" ht="20" customHeight="1">
      <c r="A3182" s="21" t="n">
        <v>-18</v>
      </c>
      <c r="B3182" s="21" t="n">
        <v>40</v>
      </c>
      <c r="C3182" s="22" t="n">
        <v>115</v>
      </c>
      <c r="D3182" s="22" t="n">
        <v>3</v>
      </c>
      <c r="E3182" s="23" t="n">
        <v>0</v>
      </c>
      <c r="F3182" s="22" t="n">
        <v>0</v>
      </c>
      <c r="G3182" s="23" t="inlineStr">
        <is>
          <t>Oui</t>
        </is>
      </c>
      <c r="H3182" s="23" t="inlineStr">
        <is>
          <t>ON</t>
        </is>
      </c>
      <c r="I3182" s="24" t="n">
        <v>815.012573225423</v>
      </c>
      <c r="J3182" s="24" t="n">
        <v>8308.791548992402</v>
      </c>
      <c r="K3182" s="24" t="n">
        <v>4662.037037037037</v>
      </c>
      <c r="L3182" s="24" t="n">
        <v>150</v>
      </c>
      <c r="M3182" s="24">
        <f>I3182+J3182+K3182+L3182</f>
        <v/>
      </c>
      <c r="N3182" s="24">
        <f>M3182*'Dashboard &amp; Optimisation'!$B$18/('Dashboard &amp; Optimisation'!$B$16/3.6)</f>
        <v/>
      </c>
      <c r="O3182" s="24" t="n">
        <v>801.2061634535273</v>
      </c>
      <c r="P3182" s="25" t="n">
        <v>0.4698946720919304</v>
      </c>
      <c r="Q3182" s="26" t="n">
        <v>0.2</v>
      </c>
      <c r="R3182" s="24" t="n">
        <v>598.2612120490626</v>
      </c>
      <c r="S3182" s="24">
        <f>R3182*IF(A3182=4, 2.0, 3.0)</f>
        <v/>
      </c>
      <c r="T3182" s="22">
        <f>'Dashboard &amp; Optimisation'!$B$18*U3182</f>
        <v/>
      </c>
      <c r="U3182" s="27">
        <f>MIN(1, S3182/M3182)</f>
        <v/>
      </c>
      <c r="V3182" s="27">
        <f>N3182/(N3182+O3182)</f>
        <v/>
      </c>
      <c r="W3182" s="27">
        <f>U3182*V3182</f>
        <v/>
      </c>
      <c r="X3182" s="25">
        <f>T3182/N3182</f>
        <v/>
      </c>
      <c r="Y3182" s="28">
        <f>IF(W3182=MAXIFS(W$2:W$3601, A$2:A$3601, A3182, B$2:B$3601, B3182), "OPTIMAL", "")</f>
        <v/>
      </c>
    </row>
    <row r="3183" ht="20" customHeight="1">
      <c r="A3183" s="29" t="n">
        <v>-18</v>
      </c>
      <c r="B3183" s="29" t="n">
        <v>40</v>
      </c>
      <c r="C3183" s="30" t="n">
        <v>115</v>
      </c>
      <c r="D3183" s="30" t="n">
        <v>3</v>
      </c>
      <c r="E3183" s="6" t="n">
        <v>0</v>
      </c>
      <c r="F3183" s="30" t="n">
        <v>0</v>
      </c>
      <c r="G3183" s="6" t="inlineStr">
        <is>
          <t>Oui</t>
        </is>
      </c>
      <c r="H3183" s="6" t="inlineStr">
        <is>
          <t>OFF</t>
        </is>
      </c>
      <c r="I3183" s="31" t="n">
        <v>815.012573225423</v>
      </c>
      <c r="J3183" s="31" t="n">
        <v>8308.791548992402</v>
      </c>
      <c r="K3183" s="31" t="n">
        <v>4662.037037037037</v>
      </c>
      <c r="L3183" s="31" t="n">
        <v>150</v>
      </c>
      <c r="M3183" s="31">
        <f>I3183+J3183+K3183+L3183</f>
        <v/>
      </c>
      <c r="N3183" s="31">
        <f>M3183*'Dashboard &amp; Optimisation'!$B$18/('Dashboard &amp; Optimisation'!$B$16/3.6)</f>
        <v/>
      </c>
      <c r="O3183" s="31" t="n">
        <v>801.2061634535273</v>
      </c>
      <c r="P3183" s="32" t="n">
        <v>0.7466858774691396</v>
      </c>
      <c r="Q3183" s="33" t="n">
        <v>0.2</v>
      </c>
      <c r="R3183" s="31" t="n">
        <v>376.4899866781446</v>
      </c>
      <c r="S3183" s="31">
        <f>R3183*IF(A3183=4, 2.0, 3.0)</f>
        <v/>
      </c>
      <c r="T3183" s="30">
        <f>'Dashboard &amp; Optimisation'!$B$18*U3183</f>
        <v/>
      </c>
      <c r="U3183" s="34">
        <f>MIN(1, S3183/M3183)</f>
        <v/>
      </c>
      <c r="V3183" s="34">
        <f>N3183/(N3183+O3183)</f>
        <v/>
      </c>
      <c r="W3183" s="34">
        <f>U3183*V3183</f>
        <v/>
      </c>
      <c r="X3183" s="32">
        <f>T3183/N3183</f>
        <v/>
      </c>
      <c r="Y3183" s="35">
        <f>IF(W3183=MAXIFS(W$2:W$3601, A$2:A$3601, A3183, B$2:B$3601, B3183), "OPTIMAL", "")</f>
        <v/>
      </c>
    </row>
    <row r="3184" ht="20" customHeight="1">
      <c r="A3184" s="21" t="n">
        <v>-18</v>
      </c>
      <c r="B3184" s="21" t="n">
        <v>40</v>
      </c>
      <c r="C3184" s="22" t="n">
        <v>115</v>
      </c>
      <c r="D3184" s="22" t="n">
        <v>3</v>
      </c>
      <c r="E3184" s="23" t="n">
        <v>0</v>
      </c>
      <c r="F3184" s="22" t="n">
        <v>0</v>
      </c>
      <c r="G3184" s="23" t="inlineStr">
        <is>
          <t>Non</t>
        </is>
      </c>
      <c r="H3184" s="23" t="inlineStr">
        <is>
          <t>ON</t>
        </is>
      </c>
      <c r="I3184" s="24" t="n">
        <v>815.012573225423</v>
      </c>
      <c r="J3184" s="24" t="n">
        <v>8308.791548992402</v>
      </c>
      <c r="K3184" s="24" t="n">
        <v>4662.037037037037</v>
      </c>
      <c r="L3184" s="24" t="n">
        <v>150</v>
      </c>
      <c r="M3184" s="24">
        <f>I3184+J3184+K3184+L3184</f>
        <v/>
      </c>
      <c r="N3184" s="24">
        <f>M3184*'Dashboard &amp; Optimisation'!$B$18/('Dashboard &amp; Optimisation'!$B$16/3.6)</f>
        <v/>
      </c>
      <c r="O3184" s="24" t="n">
        <v>801.2061634535273</v>
      </c>
      <c r="P3184" s="25" t="n">
        <v>0.4671267600381582</v>
      </c>
      <c r="Q3184" s="26" t="n">
        <v>0.2</v>
      </c>
      <c r="R3184" s="24" t="n">
        <v>601.806147946119</v>
      </c>
      <c r="S3184" s="24">
        <f>R3184*IF(A3184=4, 2.0, 3.0)</f>
        <v/>
      </c>
      <c r="T3184" s="22">
        <f>'Dashboard &amp; Optimisation'!$B$18*U3184</f>
        <v/>
      </c>
      <c r="U3184" s="27">
        <f>MIN(1, S3184/M3184)</f>
        <v/>
      </c>
      <c r="V3184" s="27">
        <f>N3184/(N3184+O3184)</f>
        <v/>
      </c>
      <c r="W3184" s="27">
        <f>U3184*V3184</f>
        <v/>
      </c>
      <c r="X3184" s="25">
        <f>T3184/N3184</f>
        <v/>
      </c>
      <c r="Y3184" s="28">
        <f>IF(W3184=MAXIFS(W$2:W$3601, A$2:A$3601, A3184, B$2:B$3601, B3184), "OPTIMAL", "")</f>
        <v/>
      </c>
    </row>
    <row r="3185" ht="20" customHeight="1">
      <c r="A3185" s="29" t="n">
        <v>-18</v>
      </c>
      <c r="B3185" s="29" t="n">
        <v>40</v>
      </c>
      <c r="C3185" s="30" t="n">
        <v>115</v>
      </c>
      <c r="D3185" s="30" t="n">
        <v>3</v>
      </c>
      <c r="E3185" s="6" t="n">
        <v>0</v>
      </c>
      <c r="F3185" s="30" t="n">
        <v>0</v>
      </c>
      <c r="G3185" s="6" t="inlineStr">
        <is>
          <t>Non</t>
        </is>
      </c>
      <c r="H3185" s="6" t="inlineStr">
        <is>
          <t>OFF</t>
        </is>
      </c>
      <c r="I3185" s="31" t="n">
        <v>815.012573225423</v>
      </c>
      <c r="J3185" s="31" t="n">
        <v>8308.791548992402</v>
      </c>
      <c r="K3185" s="31" t="n">
        <v>4662.037037037037</v>
      </c>
      <c r="L3185" s="31" t="n">
        <v>150</v>
      </c>
      <c r="M3185" s="31">
        <f>I3185+J3185+K3185+L3185</f>
        <v/>
      </c>
      <c r="N3185" s="31">
        <f>M3185*'Dashboard &amp; Optimisation'!$B$18/('Dashboard &amp; Optimisation'!$B$16/3.6)</f>
        <v/>
      </c>
      <c r="O3185" s="31" t="n">
        <v>801.2061634535273</v>
      </c>
      <c r="P3185" s="32" t="n">
        <v>0.7439179654153676</v>
      </c>
      <c r="Q3185" s="33" t="n">
        <v>0.2</v>
      </c>
      <c r="R3185" s="31" t="n">
        <v>377.8908013118779</v>
      </c>
      <c r="S3185" s="31">
        <f>R3185*IF(A3185=4, 2.0, 3.0)</f>
        <v/>
      </c>
      <c r="T3185" s="30">
        <f>'Dashboard &amp; Optimisation'!$B$18*U3185</f>
        <v/>
      </c>
      <c r="U3185" s="34">
        <f>MIN(1, S3185/M3185)</f>
        <v/>
      </c>
      <c r="V3185" s="34">
        <f>N3185/(N3185+O3185)</f>
        <v/>
      </c>
      <c r="W3185" s="34">
        <f>U3185*V3185</f>
        <v/>
      </c>
      <c r="X3185" s="32">
        <f>T3185/N3185</f>
        <v/>
      </c>
      <c r="Y3185" s="35">
        <f>IF(W3185=MAXIFS(W$2:W$3601, A$2:A$3601, A3185, B$2:B$3601, B3185), "OPTIMAL", "")</f>
        <v/>
      </c>
    </row>
    <row r="3186" ht="20" customHeight="1">
      <c r="A3186" s="21" t="n">
        <v>-18</v>
      </c>
      <c r="B3186" s="21" t="n">
        <v>40</v>
      </c>
      <c r="C3186" s="22" t="n">
        <v>115</v>
      </c>
      <c r="D3186" s="22" t="n">
        <v>3</v>
      </c>
      <c r="E3186" s="23" t="n">
        <v>4</v>
      </c>
      <c r="F3186" s="22" t="n">
        <v>1.5</v>
      </c>
      <c r="G3186" s="23" t="inlineStr">
        <is>
          <t>Oui</t>
        </is>
      </c>
      <c r="H3186" s="23" t="inlineStr">
        <is>
          <t>ON</t>
        </is>
      </c>
      <c r="I3186" s="24" t="n">
        <v>815.012573225423</v>
      </c>
      <c r="J3186" s="24" t="n">
        <v>8308.791548992402</v>
      </c>
      <c r="K3186" s="24" t="n">
        <v>4662.037037037037</v>
      </c>
      <c r="L3186" s="24" t="n">
        <v>150</v>
      </c>
      <c r="M3186" s="24">
        <f>I3186+J3186+K3186+L3186</f>
        <v/>
      </c>
      <c r="N3186" s="24">
        <f>M3186*'Dashboard &amp; Optimisation'!$B$18/('Dashboard &amp; Optimisation'!$B$16/3.6)</f>
        <v/>
      </c>
      <c r="O3186" s="24" t="n">
        <v>1098.885624567529</v>
      </c>
      <c r="P3186" s="25" t="n">
        <v>0.06905768177243103</v>
      </c>
      <c r="Q3186" s="26" t="n">
        <v>5.941492669983736</v>
      </c>
      <c r="R3186" s="24" t="n">
        <v>4188.211271385924</v>
      </c>
      <c r="S3186" s="24">
        <f>R3186*IF(A3186=4, 2.0, 3.0)</f>
        <v/>
      </c>
      <c r="T3186" s="22">
        <f>'Dashboard &amp; Optimisation'!$B$18*U3186</f>
        <v/>
      </c>
      <c r="U3186" s="27">
        <f>MIN(1, S3186/M3186)</f>
        <v/>
      </c>
      <c r="V3186" s="27">
        <f>N3186/(N3186+O3186)</f>
        <v/>
      </c>
      <c r="W3186" s="27">
        <f>U3186*V3186</f>
        <v/>
      </c>
      <c r="X3186" s="25">
        <f>T3186/N3186</f>
        <v/>
      </c>
      <c r="Y3186" s="28">
        <f>IF(W3186=MAXIFS(W$2:W$3601, A$2:A$3601, A3186, B$2:B$3601, B3186), "OPTIMAL", "")</f>
        <v/>
      </c>
    </row>
    <row r="3187" ht="20" customHeight="1">
      <c r="A3187" s="29" t="n">
        <v>-18</v>
      </c>
      <c r="B3187" s="29" t="n">
        <v>40</v>
      </c>
      <c r="C3187" s="30" t="n">
        <v>115</v>
      </c>
      <c r="D3187" s="30" t="n">
        <v>3</v>
      </c>
      <c r="E3187" s="6" t="n">
        <v>4</v>
      </c>
      <c r="F3187" s="30" t="n">
        <v>1.5</v>
      </c>
      <c r="G3187" s="6" t="inlineStr">
        <is>
          <t>Oui</t>
        </is>
      </c>
      <c r="H3187" s="6" t="inlineStr">
        <is>
          <t>OFF</t>
        </is>
      </c>
      <c r="I3187" s="31" t="n">
        <v>815.012573225423</v>
      </c>
      <c r="J3187" s="31" t="n">
        <v>8308.791548992402</v>
      </c>
      <c r="K3187" s="31" t="n">
        <v>4662.037037037037</v>
      </c>
      <c r="L3187" s="31" t="n">
        <v>150</v>
      </c>
      <c r="M3187" s="31">
        <f>I3187+J3187+K3187+L3187</f>
        <v/>
      </c>
      <c r="N3187" s="31">
        <f>M3187*'Dashboard &amp; Optimisation'!$B$18/('Dashboard &amp; Optimisation'!$B$16/3.6)</f>
        <v/>
      </c>
      <c r="O3187" s="31" t="n">
        <v>1098.885624567529</v>
      </c>
      <c r="P3187" s="32" t="n">
        <v>0.2794623219147311</v>
      </c>
      <c r="Q3187" s="33" t="n">
        <v>5.941492669983736</v>
      </c>
      <c r="R3187" s="31" t="n">
        <v>1034.945101698993</v>
      </c>
      <c r="S3187" s="31">
        <f>R3187*IF(A3187=4, 2.0, 3.0)</f>
        <v/>
      </c>
      <c r="T3187" s="30">
        <f>'Dashboard &amp; Optimisation'!$B$18*U3187</f>
        <v/>
      </c>
      <c r="U3187" s="34">
        <f>MIN(1, S3187/M3187)</f>
        <v/>
      </c>
      <c r="V3187" s="34">
        <f>N3187/(N3187+O3187)</f>
        <v/>
      </c>
      <c r="W3187" s="34">
        <f>U3187*V3187</f>
        <v/>
      </c>
      <c r="X3187" s="32">
        <f>T3187/N3187</f>
        <v/>
      </c>
      <c r="Y3187" s="35">
        <f>IF(W3187=MAXIFS(W$2:W$3601, A$2:A$3601, A3187, B$2:B$3601, B3187), "OPTIMAL", "")</f>
        <v/>
      </c>
    </row>
    <row r="3188" ht="20" customHeight="1">
      <c r="A3188" s="21" t="n">
        <v>-18</v>
      </c>
      <c r="B3188" s="21" t="n">
        <v>40</v>
      </c>
      <c r="C3188" s="22" t="n">
        <v>115</v>
      </c>
      <c r="D3188" s="22" t="n">
        <v>3</v>
      </c>
      <c r="E3188" s="23" t="n">
        <v>4</v>
      </c>
      <c r="F3188" s="22" t="n">
        <v>1.5</v>
      </c>
      <c r="G3188" s="23" t="inlineStr">
        <is>
          <t>Non</t>
        </is>
      </c>
      <c r="H3188" s="23" t="inlineStr">
        <is>
          <t>ON</t>
        </is>
      </c>
      <c r="I3188" s="24" t="n">
        <v>815.012573225423</v>
      </c>
      <c r="J3188" s="24" t="n">
        <v>8308.791548992402</v>
      </c>
      <c r="K3188" s="24" t="n">
        <v>4662.037037037037</v>
      </c>
      <c r="L3188" s="24" t="n">
        <v>150</v>
      </c>
      <c r="M3188" s="24">
        <f>I3188+J3188+K3188+L3188</f>
        <v/>
      </c>
      <c r="N3188" s="24">
        <f>M3188*'Dashboard &amp; Optimisation'!$B$18/('Dashboard &amp; Optimisation'!$B$16/3.6)</f>
        <v/>
      </c>
      <c r="O3188" s="24" t="n">
        <v>1098.885624567529</v>
      </c>
      <c r="P3188" s="25" t="n">
        <v>0.06628976971865894</v>
      </c>
      <c r="Q3188" s="26" t="n">
        <v>5.941492669983736</v>
      </c>
      <c r="R3188" s="24" t="n">
        <v>4363.088941213615</v>
      </c>
      <c r="S3188" s="24">
        <f>R3188*IF(A3188=4, 2.0, 3.0)</f>
        <v/>
      </c>
      <c r="T3188" s="22">
        <f>'Dashboard &amp; Optimisation'!$B$18*U3188</f>
        <v/>
      </c>
      <c r="U3188" s="27">
        <f>MIN(1, S3188/M3188)</f>
        <v/>
      </c>
      <c r="V3188" s="27">
        <f>N3188/(N3188+O3188)</f>
        <v/>
      </c>
      <c r="W3188" s="27">
        <f>U3188*V3188</f>
        <v/>
      </c>
      <c r="X3188" s="25">
        <f>T3188/N3188</f>
        <v/>
      </c>
      <c r="Y3188" s="28">
        <f>IF(W3188=MAXIFS(W$2:W$3601, A$2:A$3601, A3188, B$2:B$3601, B3188), "OPTIMAL", "")</f>
        <v/>
      </c>
    </row>
    <row r="3189" ht="20" customHeight="1">
      <c r="A3189" s="29" t="n">
        <v>-18</v>
      </c>
      <c r="B3189" s="29" t="n">
        <v>40</v>
      </c>
      <c r="C3189" s="30" t="n">
        <v>115</v>
      </c>
      <c r="D3189" s="30" t="n">
        <v>3</v>
      </c>
      <c r="E3189" s="6" t="n">
        <v>4</v>
      </c>
      <c r="F3189" s="30" t="n">
        <v>1.5</v>
      </c>
      <c r="G3189" s="6" t="inlineStr">
        <is>
          <t>Non</t>
        </is>
      </c>
      <c r="H3189" s="6" t="inlineStr">
        <is>
          <t>OFF</t>
        </is>
      </c>
      <c r="I3189" s="31" t="n">
        <v>815.012573225423</v>
      </c>
      <c r="J3189" s="31" t="n">
        <v>8308.791548992402</v>
      </c>
      <c r="K3189" s="31" t="n">
        <v>4662.037037037037</v>
      </c>
      <c r="L3189" s="31" t="n">
        <v>150</v>
      </c>
      <c r="M3189" s="31">
        <f>I3189+J3189+K3189+L3189</f>
        <v/>
      </c>
      <c r="N3189" s="31">
        <f>M3189*'Dashboard &amp; Optimisation'!$B$18/('Dashboard &amp; Optimisation'!$B$16/3.6)</f>
        <v/>
      </c>
      <c r="O3189" s="31" t="n">
        <v>1098.885624567529</v>
      </c>
      <c r="P3189" s="32" t="n">
        <v>0.276694409860959</v>
      </c>
      <c r="Q3189" s="33" t="n">
        <v>5.941492669983736</v>
      </c>
      <c r="R3189" s="31" t="n">
        <v>1045.298173246136</v>
      </c>
      <c r="S3189" s="31">
        <f>R3189*IF(A3189=4, 2.0, 3.0)</f>
        <v/>
      </c>
      <c r="T3189" s="30">
        <f>'Dashboard &amp; Optimisation'!$B$18*U3189</f>
        <v/>
      </c>
      <c r="U3189" s="34">
        <f>MIN(1, S3189/M3189)</f>
        <v/>
      </c>
      <c r="V3189" s="34">
        <f>N3189/(N3189+O3189)</f>
        <v/>
      </c>
      <c r="W3189" s="34">
        <f>U3189*V3189</f>
        <v/>
      </c>
      <c r="X3189" s="32">
        <f>T3189/N3189</f>
        <v/>
      </c>
      <c r="Y3189" s="35">
        <f>IF(W3189=MAXIFS(W$2:W$3601, A$2:A$3601, A3189, B$2:B$3601, B3189), "OPTIMAL", "")</f>
        <v/>
      </c>
    </row>
    <row r="3190" ht="20" customHeight="1">
      <c r="A3190" s="21" t="n">
        <v>-18</v>
      </c>
      <c r="B3190" s="21" t="n">
        <v>40</v>
      </c>
      <c r="C3190" s="22" t="n">
        <v>115</v>
      </c>
      <c r="D3190" s="22" t="n">
        <v>3</v>
      </c>
      <c r="E3190" s="23" t="n">
        <v>4</v>
      </c>
      <c r="F3190" s="22" t="n">
        <v>2</v>
      </c>
      <c r="G3190" s="23" t="inlineStr">
        <is>
          <t>Oui</t>
        </is>
      </c>
      <c r="H3190" s="23" t="inlineStr">
        <is>
          <t>ON</t>
        </is>
      </c>
      <c r="I3190" s="24" t="n">
        <v>815.012573225423</v>
      </c>
      <c r="J3190" s="24" t="n">
        <v>8308.791548992402</v>
      </c>
      <c r="K3190" s="24" t="n">
        <v>4662.037037037037</v>
      </c>
      <c r="L3190" s="24" t="n">
        <v>150</v>
      </c>
      <c r="M3190" s="24">
        <f>I3190+J3190+K3190+L3190</f>
        <v/>
      </c>
      <c r="N3190" s="24">
        <f>M3190*'Dashboard &amp; Optimisation'!$B$18/('Dashboard &amp; Optimisation'!$B$16/3.6)</f>
        <v/>
      </c>
      <c r="O3190" s="24" t="n">
        <v>1201.965174633721</v>
      </c>
      <c r="P3190" s="25" t="n">
        <v>0.06595572049116703</v>
      </c>
      <c r="Q3190" s="26" t="n">
        <v>7.855323559978315</v>
      </c>
      <c r="R3190" s="24" t="n">
        <v>4427.757185868991</v>
      </c>
      <c r="S3190" s="24">
        <f>R3190*IF(A3190=4, 2.0, 3.0)</f>
        <v/>
      </c>
      <c r="T3190" s="22">
        <f>'Dashboard &amp; Optimisation'!$B$18*U3190</f>
        <v/>
      </c>
      <c r="U3190" s="27">
        <f>MIN(1, S3190/M3190)</f>
        <v/>
      </c>
      <c r="V3190" s="27">
        <f>N3190/(N3190+O3190)</f>
        <v/>
      </c>
      <c r="W3190" s="27">
        <f>U3190*V3190</f>
        <v/>
      </c>
      <c r="X3190" s="25">
        <f>T3190/N3190</f>
        <v/>
      </c>
      <c r="Y3190" s="28">
        <f>IF(W3190=MAXIFS(W$2:W$3601, A$2:A$3601, A3190, B$2:B$3601, B3190), "OPTIMAL", "")</f>
        <v/>
      </c>
    </row>
    <row r="3191" ht="20" customHeight="1">
      <c r="A3191" s="29" t="n">
        <v>-18</v>
      </c>
      <c r="B3191" s="29" t="n">
        <v>40</v>
      </c>
      <c r="C3191" s="30" t="n">
        <v>115</v>
      </c>
      <c r="D3191" s="30" t="n">
        <v>3</v>
      </c>
      <c r="E3191" s="6" t="n">
        <v>4</v>
      </c>
      <c r="F3191" s="30" t="n">
        <v>2</v>
      </c>
      <c r="G3191" s="6" t="inlineStr">
        <is>
          <t>Oui</t>
        </is>
      </c>
      <c r="H3191" s="6" t="inlineStr">
        <is>
          <t>OFF</t>
        </is>
      </c>
      <c r="I3191" s="31" t="n">
        <v>815.012573225423</v>
      </c>
      <c r="J3191" s="31" t="n">
        <v>8308.791548992402</v>
      </c>
      <c r="K3191" s="31" t="n">
        <v>4662.037037037037</v>
      </c>
      <c r="L3191" s="31" t="n">
        <v>150</v>
      </c>
      <c r="M3191" s="31">
        <f>I3191+J3191+K3191+L3191</f>
        <v/>
      </c>
      <c r="N3191" s="31">
        <f>M3191*'Dashboard &amp; Optimisation'!$B$18/('Dashboard &amp; Optimisation'!$B$16/3.6)</f>
        <v/>
      </c>
      <c r="O3191" s="31" t="n">
        <v>1201.965174633721</v>
      </c>
      <c r="P3191" s="32" t="n">
        <v>0.2772478604823886</v>
      </c>
      <c r="Q3191" s="33" t="n">
        <v>7.855323559978315</v>
      </c>
      <c r="R3191" s="31" t="n">
        <v>1053.338751995463</v>
      </c>
      <c r="S3191" s="31">
        <f>R3191*IF(A3191=4, 2.0, 3.0)</f>
        <v/>
      </c>
      <c r="T3191" s="30">
        <f>'Dashboard &amp; Optimisation'!$B$18*U3191</f>
        <v/>
      </c>
      <c r="U3191" s="34">
        <f>MIN(1, S3191/M3191)</f>
        <v/>
      </c>
      <c r="V3191" s="34">
        <f>N3191/(N3191+O3191)</f>
        <v/>
      </c>
      <c r="W3191" s="34">
        <f>U3191*V3191</f>
        <v/>
      </c>
      <c r="X3191" s="32">
        <f>T3191/N3191</f>
        <v/>
      </c>
      <c r="Y3191" s="35">
        <f>IF(W3191=MAXIFS(W$2:W$3601, A$2:A$3601, A3191, B$2:B$3601, B3191), "OPTIMAL", "")</f>
        <v/>
      </c>
    </row>
    <row r="3192" ht="20" customHeight="1">
      <c r="A3192" s="21" t="n">
        <v>-18</v>
      </c>
      <c r="B3192" s="21" t="n">
        <v>40</v>
      </c>
      <c r="C3192" s="22" t="n">
        <v>115</v>
      </c>
      <c r="D3192" s="22" t="n">
        <v>3</v>
      </c>
      <c r="E3192" s="23" t="n">
        <v>4</v>
      </c>
      <c r="F3192" s="22" t="n">
        <v>2</v>
      </c>
      <c r="G3192" s="23" t="inlineStr">
        <is>
          <t>Non</t>
        </is>
      </c>
      <c r="H3192" s="23" t="inlineStr">
        <is>
          <t>ON</t>
        </is>
      </c>
      <c r="I3192" s="24" t="n">
        <v>815.012573225423</v>
      </c>
      <c r="J3192" s="24" t="n">
        <v>8308.791548992402</v>
      </c>
      <c r="K3192" s="24" t="n">
        <v>4662.037037037037</v>
      </c>
      <c r="L3192" s="24" t="n">
        <v>150</v>
      </c>
      <c r="M3192" s="24">
        <f>I3192+J3192+K3192+L3192</f>
        <v/>
      </c>
      <c r="N3192" s="24">
        <f>M3192*'Dashboard &amp; Optimisation'!$B$18/('Dashboard &amp; Optimisation'!$B$16/3.6)</f>
        <v/>
      </c>
      <c r="O3192" s="24" t="n">
        <v>1201.965174633721</v>
      </c>
      <c r="P3192" s="25" t="n">
        <v>0.06318780843739494</v>
      </c>
      <c r="Q3192" s="26" t="n">
        <v>7.855323559978315</v>
      </c>
      <c r="R3192" s="24" t="n">
        <v>4621.7129945767</v>
      </c>
      <c r="S3192" s="24">
        <f>R3192*IF(A3192=4, 2.0, 3.0)</f>
        <v/>
      </c>
      <c r="T3192" s="22">
        <f>'Dashboard &amp; Optimisation'!$B$18*U3192</f>
        <v/>
      </c>
      <c r="U3192" s="27">
        <f>MIN(1, S3192/M3192)</f>
        <v/>
      </c>
      <c r="V3192" s="27">
        <f>N3192/(N3192+O3192)</f>
        <v/>
      </c>
      <c r="W3192" s="27">
        <f>U3192*V3192</f>
        <v/>
      </c>
      <c r="X3192" s="25">
        <f>T3192/N3192</f>
        <v/>
      </c>
      <c r="Y3192" s="28">
        <f>IF(W3192=MAXIFS(W$2:W$3601, A$2:A$3601, A3192, B$2:B$3601, B3192), "OPTIMAL", "")</f>
        <v/>
      </c>
    </row>
    <row r="3193" ht="20" customHeight="1">
      <c r="A3193" s="29" t="n">
        <v>-18</v>
      </c>
      <c r="B3193" s="29" t="n">
        <v>40</v>
      </c>
      <c r="C3193" s="30" t="n">
        <v>115</v>
      </c>
      <c r="D3193" s="30" t="n">
        <v>3</v>
      </c>
      <c r="E3193" s="6" t="n">
        <v>4</v>
      </c>
      <c r="F3193" s="30" t="n">
        <v>2</v>
      </c>
      <c r="G3193" s="6" t="inlineStr">
        <is>
          <t>Non</t>
        </is>
      </c>
      <c r="H3193" s="6" t="inlineStr">
        <is>
          <t>OFF</t>
        </is>
      </c>
      <c r="I3193" s="31" t="n">
        <v>815.012573225423</v>
      </c>
      <c r="J3193" s="31" t="n">
        <v>8308.791548992402</v>
      </c>
      <c r="K3193" s="31" t="n">
        <v>4662.037037037037</v>
      </c>
      <c r="L3193" s="31" t="n">
        <v>150</v>
      </c>
      <c r="M3193" s="31">
        <f>I3193+J3193+K3193+L3193</f>
        <v/>
      </c>
      <c r="N3193" s="31">
        <f>M3193*'Dashboard &amp; Optimisation'!$B$18/('Dashboard &amp; Optimisation'!$B$16/3.6)</f>
        <v/>
      </c>
      <c r="O3193" s="31" t="n">
        <v>1201.965174633721</v>
      </c>
      <c r="P3193" s="32" t="n">
        <v>0.2744799484286165</v>
      </c>
      <c r="Q3193" s="33" t="n">
        <v>7.855323559978315</v>
      </c>
      <c r="R3193" s="31" t="n">
        <v>1063.96083584911</v>
      </c>
      <c r="S3193" s="31">
        <f>R3193*IF(A3193=4, 2.0, 3.0)</f>
        <v/>
      </c>
      <c r="T3193" s="30">
        <f>'Dashboard &amp; Optimisation'!$B$18*U3193</f>
        <v/>
      </c>
      <c r="U3193" s="34">
        <f>MIN(1, S3193/M3193)</f>
        <v/>
      </c>
      <c r="V3193" s="34">
        <f>N3193/(N3193+O3193)</f>
        <v/>
      </c>
      <c r="W3193" s="34">
        <f>U3193*V3193</f>
        <v/>
      </c>
      <c r="X3193" s="32">
        <f>T3193/N3193</f>
        <v/>
      </c>
      <c r="Y3193" s="35">
        <f>IF(W3193=MAXIFS(W$2:W$3601, A$2:A$3601, A3193, B$2:B$3601, B3193), "OPTIMAL", "")</f>
        <v/>
      </c>
    </row>
    <row r="3194" ht="20" customHeight="1">
      <c r="A3194" s="21" t="n">
        <v>-18</v>
      </c>
      <c r="B3194" s="21" t="n">
        <v>40</v>
      </c>
      <c r="C3194" s="22" t="n">
        <v>115</v>
      </c>
      <c r="D3194" s="22" t="n">
        <v>3</v>
      </c>
      <c r="E3194" s="23" t="n">
        <v>8</v>
      </c>
      <c r="F3194" s="22" t="n">
        <v>1.5</v>
      </c>
      <c r="G3194" s="23" t="inlineStr">
        <is>
          <t>Oui</t>
        </is>
      </c>
      <c r="H3194" s="23" t="inlineStr">
        <is>
          <t>ON</t>
        </is>
      </c>
      <c r="I3194" s="24" t="n">
        <v>815.012573225423</v>
      </c>
      <c r="J3194" s="24" t="n">
        <v>8308.791548992402</v>
      </c>
      <c r="K3194" s="24" t="n">
        <v>4662.037037037037</v>
      </c>
      <c r="L3194" s="24" t="n">
        <v>150</v>
      </c>
      <c r="M3194" s="24">
        <f>I3194+J3194+K3194+L3194</f>
        <v/>
      </c>
      <c r="N3194" s="24">
        <f>M3194*'Dashboard &amp; Optimisation'!$B$18/('Dashboard &amp; Optimisation'!$B$16/3.6)</f>
        <v/>
      </c>
      <c r="O3194" s="24" t="n">
        <v>1414.24717586895</v>
      </c>
      <c r="P3194" s="25" t="n">
        <v>0.05237734442636455</v>
      </c>
      <c r="Q3194" s="26" t="n">
        <v>11.68298533996747</v>
      </c>
      <c r="R3194" s="24" t="n">
        <v>5686.011899098189</v>
      </c>
      <c r="S3194" s="24">
        <f>R3194*IF(A3194=4, 2.0, 3.0)</f>
        <v/>
      </c>
      <c r="T3194" s="22">
        <f>'Dashboard &amp; Optimisation'!$B$18*U3194</f>
        <v/>
      </c>
      <c r="U3194" s="27">
        <f>MIN(1, S3194/M3194)</f>
        <v/>
      </c>
      <c r="V3194" s="27">
        <f>N3194/(N3194+O3194)</f>
        <v/>
      </c>
      <c r="W3194" s="27">
        <f>U3194*V3194</f>
        <v/>
      </c>
      <c r="X3194" s="25">
        <f>T3194/N3194</f>
        <v/>
      </c>
      <c r="Y3194" s="28">
        <f>IF(W3194=MAXIFS(W$2:W$3601, A$2:A$3601, A3194, B$2:B$3601, B3194), "OPTIMAL", "")</f>
        <v/>
      </c>
    </row>
    <row r="3195" ht="20" customHeight="1">
      <c r="A3195" s="29" t="n">
        <v>-18</v>
      </c>
      <c r="B3195" s="29" t="n">
        <v>40</v>
      </c>
      <c r="C3195" s="30" t="n">
        <v>115</v>
      </c>
      <c r="D3195" s="30" t="n">
        <v>3</v>
      </c>
      <c r="E3195" s="6" t="n">
        <v>8</v>
      </c>
      <c r="F3195" s="30" t="n">
        <v>1.5</v>
      </c>
      <c r="G3195" s="6" t="inlineStr">
        <is>
          <t>Oui</t>
        </is>
      </c>
      <c r="H3195" s="6" t="inlineStr">
        <is>
          <t>OFF</t>
        </is>
      </c>
      <c r="I3195" s="31" t="n">
        <v>815.012573225423</v>
      </c>
      <c r="J3195" s="31" t="n">
        <v>8308.791548992402</v>
      </c>
      <c r="K3195" s="31" t="n">
        <v>4662.037037037037</v>
      </c>
      <c r="L3195" s="31" t="n">
        <v>150</v>
      </c>
      <c r="M3195" s="31">
        <f>I3195+J3195+K3195+L3195</f>
        <v/>
      </c>
      <c r="N3195" s="31">
        <f>M3195*'Dashboard &amp; Optimisation'!$B$18/('Dashboard &amp; Optimisation'!$B$16/3.6)</f>
        <v/>
      </c>
      <c r="O3195" s="31" t="n">
        <v>1414.24717586895</v>
      </c>
      <c r="P3195" s="32" t="n">
        <v>0.2220791446673444</v>
      </c>
      <c r="Q3195" s="33" t="n">
        <v>11.68298533996747</v>
      </c>
      <c r="R3195" s="31" t="n">
        <v>1341.045347133246</v>
      </c>
      <c r="S3195" s="31">
        <f>R3195*IF(A3195=4, 2.0, 3.0)</f>
        <v/>
      </c>
      <c r="T3195" s="30">
        <f>'Dashboard &amp; Optimisation'!$B$18*U3195</f>
        <v/>
      </c>
      <c r="U3195" s="34">
        <f>MIN(1, S3195/M3195)</f>
        <v/>
      </c>
      <c r="V3195" s="34">
        <f>N3195/(N3195+O3195)</f>
        <v/>
      </c>
      <c r="W3195" s="34">
        <f>U3195*V3195</f>
        <v/>
      </c>
      <c r="X3195" s="32">
        <f>T3195/N3195</f>
        <v/>
      </c>
      <c r="Y3195" s="35">
        <f>IF(W3195=MAXIFS(W$2:W$3601, A$2:A$3601, A3195, B$2:B$3601, B3195), "OPTIMAL", "")</f>
        <v/>
      </c>
    </row>
    <row r="3196" ht="20" customHeight="1">
      <c r="A3196" s="21" t="n">
        <v>-18</v>
      </c>
      <c r="B3196" s="21" t="n">
        <v>40</v>
      </c>
      <c r="C3196" s="22" t="n">
        <v>115</v>
      </c>
      <c r="D3196" s="22" t="n">
        <v>3</v>
      </c>
      <c r="E3196" s="23" t="n">
        <v>8</v>
      </c>
      <c r="F3196" s="22" t="n">
        <v>1.5</v>
      </c>
      <c r="G3196" s="23" t="inlineStr">
        <is>
          <t>Non</t>
        </is>
      </c>
      <c r="H3196" s="23" t="inlineStr">
        <is>
          <t>ON</t>
        </is>
      </c>
      <c r="I3196" s="24" t="n">
        <v>815.012573225423</v>
      </c>
      <c r="J3196" s="24" t="n">
        <v>8308.791548992402</v>
      </c>
      <c r="K3196" s="24" t="n">
        <v>4662.037037037037</v>
      </c>
      <c r="L3196" s="24" t="n">
        <v>150</v>
      </c>
      <c r="M3196" s="24">
        <f>I3196+J3196+K3196+L3196</f>
        <v/>
      </c>
      <c r="N3196" s="24">
        <f>M3196*'Dashboard &amp; Optimisation'!$B$18/('Dashboard &amp; Optimisation'!$B$16/3.6)</f>
        <v/>
      </c>
      <c r="O3196" s="24" t="n">
        <v>1414.24717586895</v>
      </c>
      <c r="P3196" s="25" t="n">
        <v>0.04960943237259246</v>
      </c>
      <c r="Q3196" s="26" t="n">
        <v>11.68298533996747</v>
      </c>
      <c r="R3196" s="24" t="n">
        <v>6003.257634852674</v>
      </c>
      <c r="S3196" s="24">
        <f>R3196*IF(A3196=4, 2.0, 3.0)</f>
        <v/>
      </c>
      <c r="T3196" s="22">
        <f>'Dashboard &amp; Optimisation'!$B$18*U3196</f>
        <v/>
      </c>
      <c r="U3196" s="27">
        <f>MIN(1, S3196/M3196)</f>
        <v/>
      </c>
      <c r="V3196" s="27">
        <f>N3196/(N3196+O3196)</f>
        <v/>
      </c>
      <c r="W3196" s="27">
        <f>U3196*V3196</f>
        <v/>
      </c>
      <c r="X3196" s="25">
        <f>T3196/N3196</f>
        <v/>
      </c>
      <c r="Y3196" s="28">
        <f>IF(W3196=MAXIFS(W$2:W$3601, A$2:A$3601, A3196, B$2:B$3601, B3196), "OPTIMAL", "")</f>
        <v/>
      </c>
    </row>
    <row r="3197" ht="20" customHeight="1">
      <c r="A3197" s="29" t="n">
        <v>-18</v>
      </c>
      <c r="B3197" s="29" t="n">
        <v>40</v>
      </c>
      <c r="C3197" s="30" t="n">
        <v>115</v>
      </c>
      <c r="D3197" s="30" t="n">
        <v>3</v>
      </c>
      <c r="E3197" s="6" t="n">
        <v>8</v>
      </c>
      <c r="F3197" s="30" t="n">
        <v>1.5</v>
      </c>
      <c r="G3197" s="6" t="inlineStr">
        <is>
          <t>Non</t>
        </is>
      </c>
      <c r="H3197" s="6" t="inlineStr">
        <is>
          <t>OFF</t>
        </is>
      </c>
      <c r="I3197" s="31" t="n">
        <v>815.012573225423</v>
      </c>
      <c r="J3197" s="31" t="n">
        <v>8308.791548992402</v>
      </c>
      <c r="K3197" s="31" t="n">
        <v>4662.037037037037</v>
      </c>
      <c r="L3197" s="31" t="n">
        <v>150</v>
      </c>
      <c r="M3197" s="31">
        <f>I3197+J3197+K3197+L3197</f>
        <v/>
      </c>
      <c r="N3197" s="31">
        <f>M3197*'Dashboard &amp; Optimisation'!$B$18/('Dashboard &amp; Optimisation'!$B$16/3.6)</f>
        <v/>
      </c>
      <c r="O3197" s="31" t="n">
        <v>1414.24717586895</v>
      </c>
      <c r="P3197" s="32" t="n">
        <v>0.2193112326135723</v>
      </c>
      <c r="Q3197" s="33" t="n">
        <v>11.68298533996747</v>
      </c>
      <c r="R3197" s="31" t="n">
        <v>1357.970588657584</v>
      </c>
      <c r="S3197" s="31">
        <f>R3197*IF(A3197=4, 2.0, 3.0)</f>
        <v/>
      </c>
      <c r="T3197" s="30">
        <f>'Dashboard &amp; Optimisation'!$B$18*U3197</f>
        <v/>
      </c>
      <c r="U3197" s="34">
        <f>MIN(1, S3197/M3197)</f>
        <v/>
      </c>
      <c r="V3197" s="34">
        <f>N3197/(N3197+O3197)</f>
        <v/>
      </c>
      <c r="W3197" s="34">
        <f>U3197*V3197</f>
        <v/>
      </c>
      <c r="X3197" s="32">
        <f>T3197/N3197</f>
        <v/>
      </c>
      <c r="Y3197" s="35">
        <f>IF(W3197=MAXIFS(W$2:W$3601, A$2:A$3601, A3197, B$2:B$3601, B3197), "OPTIMAL", "")</f>
        <v/>
      </c>
    </row>
    <row r="3198" ht="20" customHeight="1">
      <c r="A3198" s="21" t="n">
        <v>-18</v>
      </c>
      <c r="B3198" s="21" t="n">
        <v>40</v>
      </c>
      <c r="C3198" s="22" t="n">
        <v>115</v>
      </c>
      <c r="D3198" s="22" t="n">
        <v>3</v>
      </c>
      <c r="E3198" s="23" t="n">
        <v>8</v>
      </c>
      <c r="F3198" s="22" t="n">
        <v>2</v>
      </c>
      <c r="G3198" s="23" t="inlineStr">
        <is>
          <t>Oui</t>
        </is>
      </c>
      <c r="H3198" s="23" t="inlineStr">
        <is>
          <t>ON</t>
        </is>
      </c>
      <c r="I3198" s="24" t="n">
        <v>815.012573225423</v>
      </c>
      <c r="J3198" s="24" t="n">
        <v>8308.791548992402</v>
      </c>
      <c r="K3198" s="24" t="n">
        <v>4662.037037037037</v>
      </c>
      <c r="L3198" s="24" t="n">
        <v>150</v>
      </c>
      <c r="M3198" s="24">
        <f>I3198+J3198+K3198+L3198</f>
        <v/>
      </c>
      <c r="N3198" s="24">
        <f>M3198*'Dashboard &amp; Optimisation'!$B$18/('Dashboard &amp; Optimisation'!$B$16/3.6)</f>
        <v/>
      </c>
      <c r="O3198" s="24" t="n">
        <v>1635.105318088966</v>
      </c>
      <c r="P3198" s="25" t="n">
        <v>0.05090778119320737</v>
      </c>
      <c r="Q3198" s="26" t="n">
        <v>15.51064711995663</v>
      </c>
      <c r="R3198" s="24" t="n">
        <v>5968.32326732867</v>
      </c>
      <c r="S3198" s="24">
        <f>R3198*IF(A3198=4, 2.0, 3.0)</f>
        <v/>
      </c>
      <c r="T3198" s="22">
        <f>'Dashboard &amp; Optimisation'!$B$18*U3198</f>
        <v/>
      </c>
      <c r="U3198" s="27">
        <f>MIN(1, S3198/M3198)</f>
        <v/>
      </c>
      <c r="V3198" s="27">
        <f>N3198/(N3198+O3198)</f>
        <v/>
      </c>
      <c r="W3198" s="27">
        <f>U3198*V3198</f>
        <v/>
      </c>
      <c r="X3198" s="25">
        <f>T3198/N3198</f>
        <v/>
      </c>
      <c r="Y3198" s="28">
        <f>IF(W3198=MAXIFS(W$2:W$3601, A$2:A$3601, A3198, B$2:B$3601, B3198), "OPTIMAL", "")</f>
        <v/>
      </c>
    </row>
    <row r="3199" ht="20" customHeight="1">
      <c r="A3199" s="29" t="n">
        <v>-18</v>
      </c>
      <c r="B3199" s="29" t="n">
        <v>40</v>
      </c>
      <c r="C3199" s="30" t="n">
        <v>115</v>
      </c>
      <c r="D3199" s="30" t="n">
        <v>3</v>
      </c>
      <c r="E3199" s="6" t="n">
        <v>8</v>
      </c>
      <c r="F3199" s="30" t="n">
        <v>2</v>
      </c>
      <c r="G3199" s="6" t="inlineStr">
        <is>
          <t>Oui</t>
        </is>
      </c>
      <c r="H3199" s="6" t="inlineStr">
        <is>
          <t>OFF</t>
        </is>
      </c>
      <c r="I3199" s="31" t="n">
        <v>815.012573225423</v>
      </c>
      <c r="J3199" s="31" t="n">
        <v>8308.791548992402</v>
      </c>
      <c r="K3199" s="31" t="n">
        <v>4662.037037037037</v>
      </c>
      <c r="L3199" s="31" t="n">
        <v>150</v>
      </c>
      <c r="M3199" s="31">
        <f>I3199+J3199+K3199+L3199</f>
        <v/>
      </c>
      <c r="N3199" s="31">
        <f>M3199*'Dashboard &amp; Optimisation'!$B$18/('Dashboard &amp; Optimisation'!$B$16/3.6)</f>
        <v/>
      </c>
      <c r="O3199" s="31" t="n">
        <v>1635.105318088966</v>
      </c>
      <c r="P3199" s="32" t="n">
        <v>0.2217675898086125</v>
      </c>
      <c r="Q3199" s="33" t="n">
        <v>15.51064711995663</v>
      </c>
      <c r="R3199" s="31" t="n">
        <v>1370.056351542207</v>
      </c>
      <c r="S3199" s="31">
        <f>R3199*IF(A3199=4, 2.0, 3.0)</f>
        <v/>
      </c>
      <c r="T3199" s="30">
        <f>'Dashboard &amp; Optimisation'!$B$18*U3199</f>
        <v/>
      </c>
      <c r="U3199" s="34">
        <f>MIN(1, S3199/M3199)</f>
        <v/>
      </c>
      <c r="V3199" s="34">
        <f>N3199/(N3199+O3199)</f>
        <v/>
      </c>
      <c r="W3199" s="34">
        <f>U3199*V3199</f>
        <v/>
      </c>
      <c r="X3199" s="32">
        <f>T3199/N3199</f>
        <v/>
      </c>
      <c r="Y3199" s="35">
        <f>IF(W3199=MAXIFS(W$2:W$3601, A$2:A$3601, A3199, B$2:B$3601, B3199), "OPTIMAL", "")</f>
        <v/>
      </c>
    </row>
    <row r="3200" ht="20" customHeight="1">
      <c r="A3200" s="21" t="n">
        <v>-18</v>
      </c>
      <c r="B3200" s="21" t="n">
        <v>40</v>
      </c>
      <c r="C3200" s="22" t="n">
        <v>115</v>
      </c>
      <c r="D3200" s="22" t="n">
        <v>3</v>
      </c>
      <c r="E3200" s="23" t="n">
        <v>8</v>
      </c>
      <c r="F3200" s="22" t="n">
        <v>2</v>
      </c>
      <c r="G3200" s="23" t="inlineStr">
        <is>
          <t>Non</t>
        </is>
      </c>
      <c r="H3200" s="23" t="inlineStr">
        <is>
          <t>ON</t>
        </is>
      </c>
      <c r="I3200" s="24" t="n">
        <v>815.012573225423</v>
      </c>
      <c r="J3200" s="24" t="n">
        <v>8308.791548992402</v>
      </c>
      <c r="K3200" s="24" t="n">
        <v>4662.037037037037</v>
      </c>
      <c r="L3200" s="24" t="n">
        <v>150</v>
      </c>
      <c r="M3200" s="24">
        <f>I3200+J3200+K3200+L3200</f>
        <v/>
      </c>
      <c r="N3200" s="24">
        <f>M3200*'Dashboard &amp; Optimisation'!$B$18/('Dashboard &amp; Optimisation'!$B$16/3.6)</f>
        <v/>
      </c>
      <c r="O3200" s="24" t="n">
        <v>1635.105318088966</v>
      </c>
      <c r="P3200" s="25" t="n">
        <v>0.04813986913943527</v>
      </c>
      <c r="Q3200" s="26" t="n">
        <v>15.51064711995663</v>
      </c>
      <c r="R3200" s="24" t="n">
        <v>6311.485685668415</v>
      </c>
      <c r="S3200" s="24">
        <f>R3200*IF(A3200=4, 2.0, 3.0)</f>
        <v/>
      </c>
      <c r="T3200" s="22">
        <f>'Dashboard &amp; Optimisation'!$B$18*U3200</f>
        <v/>
      </c>
      <c r="U3200" s="27">
        <f>MIN(1, S3200/M3200)</f>
        <v/>
      </c>
      <c r="V3200" s="27">
        <f>N3200/(N3200+O3200)</f>
        <v/>
      </c>
      <c r="W3200" s="27">
        <f>U3200*V3200</f>
        <v/>
      </c>
      <c r="X3200" s="25">
        <f>T3200/N3200</f>
        <v/>
      </c>
      <c r="Y3200" s="28">
        <f>IF(W3200=MAXIFS(W$2:W$3601, A$2:A$3601, A3200, B$2:B$3601, B3200), "OPTIMAL", "")</f>
        <v/>
      </c>
    </row>
    <row r="3201" ht="20" customHeight="1">
      <c r="A3201" s="29" t="n">
        <v>-18</v>
      </c>
      <c r="B3201" s="29" t="n">
        <v>40</v>
      </c>
      <c r="C3201" s="30" t="n">
        <v>115</v>
      </c>
      <c r="D3201" s="30" t="n">
        <v>3</v>
      </c>
      <c r="E3201" s="6" t="n">
        <v>8</v>
      </c>
      <c r="F3201" s="30" t="n">
        <v>2</v>
      </c>
      <c r="G3201" s="6" t="inlineStr">
        <is>
          <t>Non</t>
        </is>
      </c>
      <c r="H3201" s="6" t="inlineStr">
        <is>
          <t>OFF</t>
        </is>
      </c>
      <c r="I3201" s="31" t="n">
        <v>815.012573225423</v>
      </c>
      <c r="J3201" s="31" t="n">
        <v>8308.791548992402</v>
      </c>
      <c r="K3201" s="31" t="n">
        <v>4662.037037037037</v>
      </c>
      <c r="L3201" s="31" t="n">
        <v>150</v>
      </c>
      <c r="M3201" s="31">
        <f>I3201+J3201+K3201+L3201</f>
        <v/>
      </c>
      <c r="N3201" s="31">
        <f>M3201*'Dashboard &amp; Optimisation'!$B$18/('Dashboard &amp; Optimisation'!$B$16/3.6)</f>
        <v/>
      </c>
      <c r="O3201" s="31" t="n">
        <v>1635.105318088966</v>
      </c>
      <c r="P3201" s="32" t="n">
        <v>0.2189996777548404</v>
      </c>
      <c r="Q3201" s="33" t="n">
        <v>15.51064711995663</v>
      </c>
      <c r="R3201" s="31" t="n">
        <v>1387.372338162178</v>
      </c>
      <c r="S3201" s="31">
        <f>R3201*IF(A3201=4, 2.0, 3.0)</f>
        <v/>
      </c>
      <c r="T3201" s="30">
        <f>'Dashboard &amp; Optimisation'!$B$18*U3201</f>
        <v/>
      </c>
      <c r="U3201" s="34">
        <f>MIN(1, S3201/M3201)</f>
        <v/>
      </c>
      <c r="V3201" s="34">
        <f>N3201/(N3201+O3201)</f>
        <v/>
      </c>
      <c r="W3201" s="34">
        <f>U3201*V3201</f>
        <v/>
      </c>
      <c r="X3201" s="32">
        <f>T3201/N3201</f>
        <v/>
      </c>
      <c r="Y3201" s="35">
        <f>IF(W3201=MAXIFS(W$2:W$3601, A$2:A$3601, A3201, B$2:B$3601, B3201), "OPTIMAL", "")</f>
        <v/>
      </c>
    </row>
    <row r="3202" ht="20" customHeight="1">
      <c r="A3202" s="21" t="n">
        <v>-18</v>
      </c>
      <c r="B3202" s="21" t="n">
        <v>40</v>
      </c>
      <c r="C3202" s="22" t="n">
        <v>120</v>
      </c>
      <c r="D3202" s="22" t="n">
        <v>2</v>
      </c>
      <c r="E3202" s="23" t="n">
        <v>0</v>
      </c>
      <c r="F3202" s="22" t="n">
        <v>0</v>
      </c>
      <c r="G3202" s="23" t="inlineStr">
        <is>
          <t>Oui</t>
        </is>
      </c>
      <c r="H3202" s="23" t="inlineStr">
        <is>
          <t>ON</t>
        </is>
      </c>
      <c r="I3202" s="24" t="n">
        <v>815.012573225423</v>
      </c>
      <c r="J3202" s="24" t="n">
        <v>8308.791548992402</v>
      </c>
      <c r="K3202" s="24" t="n">
        <v>4662.037037037037</v>
      </c>
      <c r="L3202" s="24" t="n">
        <v>150</v>
      </c>
      <c r="M3202" s="24">
        <f>I3202+J3202+K3202+L3202</f>
        <v/>
      </c>
      <c r="N3202" s="24">
        <f>M3202*'Dashboard &amp; Optimisation'!$B$18/('Dashboard &amp; Optimisation'!$B$16/3.6)</f>
        <v/>
      </c>
      <c r="O3202" s="24" t="n">
        <v>496.8828697867928</v>
      </c>
      <c r="P3202" s="25" t="n">
        <v>0.4668808197339223</v>
      </c>
      <c r="Q3202" s="26" t="n">
        <v>0.2</v>
      </c>
      <c r="R3202" s="24" t="n">
        <v>531.6457567730006</v>
      </c>
      <c r="S3202" s="24">
        <f>R3202*IF(A3202=4, 2.0, 3.0)</f>
        <v/>
      </c>
      <c r="T3202" s="22">
        <f>'Dashboard &amp; Optimisation'!$B$18*U3202</f>
        <v/>
      </c>
      <c r="U3202" s="27">
        <f>MIN(1, S3202/M3202)</f>
        <v/>
      </c>
      <c r="V3202" s="27">
        <f>N3202/(N3202+O3202)</f>
        <v/>
      </c>
      <c r="W3202" s="27">
        <f>U3202*V3202</f>
        <v/>
      </c>
      <c r="X3202" s="25">
        <f>T3202/N3202</f>
        <v/>
      </c>
      <c r="Y3202" s="28">
        <f>IF(W3202=MAXIFS(W$2:W$3601, A$2:A$3601, A3202, B$2:B$3601, B3202), "OPTIMAL", "")</f>
        <v/>
      </c>
    </row>
    <row r="3203" ht="20" customHeight="1">
      <c r="A3203" s="29" t="n">
        <v>-18</v>
      </c>
      <c r="B3203" s="29" t="n">
        <v>40</v>
      </c>
      <c r="C3203" s="30" t="n">
        <v>120</v>
      </c>
      <c r="D3203" s="30" t="n">
        <v>2</v>
      </c>
      <c r="E3203" s="6" t="n">
        <v>0</v>
      </c>
      <c r="F3203" s="30" t="n">
        <v>0</v>
      </c>
      <c r="G3203" s="6" t="inlineStr">
        <is>
          <t>Oui</t>
        </is>
      </c>
      <c r="H3203" s="6" t="inlineStr">
        <is>
          <t>OFF</t>
        </is>
      </c>
      <c r="I3203" s="31" t="n">
        <v>815.012573225423</v>
      </c>
      <c r="J3203" s="31" t="n">
        <v>8308.791548992402</v>
      </c>
      <c r="K3203" s="31" t="n">
        <v>4662.037037037037</v>
      </c>
      <c r="L3203" s="31" t="n">
        <v>150</v>
      </c>
      <c r="M3203" s="31">
        <f>I3203+J3203+K3203+L3203</f>
        <v/>
      </c>
      <c r="N3203" s="31">
        <f>M3203*'Dashboard &amp; Optimisation'!$B$18/('Dashboard &amp; Optimisation'!$B$16/3.6)</f>
        <v/>
      </c>
      <c r="O3203" s="31" t="n">
        <v>496.8828697867928</v>
      </c>
      <c r="P3203" s="32" t="n">
        <v>0.7321390582204146</v>
      </c>
      <c r="Q3203" s="33" t="n">
        <v>0.2</v>
      </c>
      <c r="R3203" s="31" t="n">
        <v>339.0274073528713</v>
      </c>
      <c r="S3203" s="31">
        <f>R3203*IF(A3203=4, 2.0, 3.0)</f>
        <v/>
      </c>
      <c r="T3203" s="30">
        <f>'Dashboard &amp; Optimisation'!$B$18*U3203</f>
        <v/>
      </c>
      <c r="U3203" s="34">
        <f>MIN(1, S3203/M3203)</f>
        <v/>
      </c>
      <c r="V3203" s="34">
        <f>N3203/(N3203+O3203)</f>
        <v/>
      </c>
      <c r="W3203" s="34">
        <f>U3203*V3203</f>
        <v/>
      </c>
      <c r="X3203" s="32">
        <f>T3203/N3203</f>
        <v/>
      </c>
      <c r="Y3203" s="35">
        <f>IF(W3203=MAXIFS(W$2:W$3601, A$2:A$3601, A3203, B$2:B$3601, B3203), "OPTIMAL", "")</f>
        <v/>
      </c>
    </row>
    <row r="3204" ht="20" customHeight="1">
      <c r="A3204" s="21" t="n">
        <v>-18</v>
      </c>
      <c r="B3204" s="21" t="n">
        <v>40</v>
      </c>
      <c r="C3204" s="22" t="n">
        <v>120</v>
      </c>
      <c r="D3204" s="22" t="n">
        <v>2</v>
      </c>
      <c r="E3204" s="23" t="n">
        <v>0</v>
      </c>
      <c r="F3204" s="22" t="n">
        <v>0</v>
      </c>
      <c r="G3204" s="23" t="inlineStr">
        <is>
          <t>Non</t>
        </is>
      </c>
      <c r="H3204" s="23" t="inlineStr">
        <is>
          <t>ON</t>
        </is>
      </c>
      <c r="I3204" s="24" t="n">
        <v>815.012573225423</v>
      </c>
      <c r="J3204" s="24" t="n">
        <v>8308.791548992402</v>
      </c>
      <c r="K3204" s="24" t="n">
        <v>4662.037037037037</v>
      </c>
      <c r="L3204" s="24" t="n">
        <v>150</v>
      </c>
      <c r="M3204" s="24">
        <f>I3204+J3204+K3204+L3204</f>
        <v/>
      </c>
      <c r="N3204" s="24">
        <f>M3204*'Dashboard &amp; Optimisation'!$B$18/('Dashboard &amp; Optimisation'!$B$16/3.6)</f>
        <v/>
      </c>
      <c r="O3204" s="24" t="n">
        <v>496.8828697867928</v>
      </c>
      <c r="P3204" s="25" t="n">
        <v>0.4642282373490574</v>
      </c>
      <c r="Q3204" s="26" t="n">
        <v>0.2</v>
      </c>
      <c r="R3204" s="24" t="n">
        <v>534.6835602841728</v>
      </c>
      <c r="S3204" s="24">
        <f>R3204*IF(A3204=4, 2.0, 3.0)</f>
        <v/>
      </c>
      <c r="T3204" s="22">
        <f>'Dashboard &amp; Optimisation'!$B$18*U3204</f>
        <v/>
      </c>
      <c r="U3204" s="27">
        <f>MIN(1, S3204/M3204)</f>
        <v/>
      </c>
      <c r="V3204" s="27">
        <f>N3204/(N3204+O3204)</f>
        <v/>
      </c>
      <c r="W3204" s="27">
        <f>U3204*V3204</f>
        <v/>
      </c>
      <c r="X3204" s="25">
        <f>T3204/N3204</f>
        <v/>
      </c>
      <c r="Y3204" s="28">
        <f>IF(W3204=MAXIFS(W$2:W$3601, A$2:A$3601, A3204, B$2:B$3601, B3204), "OPTIMAL", "")</f>
        <v/>
      </c>
    </row>
    <row r="3205" ht="20" customHeight="1">
      <c r="A3205" s="29" t="n">
        <v>-18</v>
      </c>
      <c r="B3205" s="29" t="n">
        <v>40</v>
      </c>
      <c r="C3205" s="30" t="n">
        <v>120</v>
      </c>
      <c r="D3205" s="30" t="n">
        <v>2</v>
      </c>
      <c r="E3205" s="6" t="n">
        <v>0</v>
      </c>
      <c r="F3205" s="30" t="n">
        <v>0</v>
      </c>
      <c r="G3205" s="6" t="inlineStr">
        <is>
          <t>Non</t>
        </is>
      </c>
      <c r="H3205" s="6" t="inlineStr">
        <is>
          <t>OFF</t>
        </is>
      </c>
      <c r="I3205" s="31" t="n">
        <v>815.012573225423</v>
      </c>
      <c r="J3205" s="31" t="n">
        <v>8308.791548992402</v>
      </c>
      <c r="K3205" s="31" t="n">
        <v>4662.037037037037</v>
      </c>
      <c r="L3205" s="31" t="n">
        <v>150</v>
      </c>
      <c r="M3205" s="31">
        <f>I3205+J3205+K3205+L3205</f>
        <v/>
      </c>
      <c r="N3205" s="31">
        <f>M3205*'Dashboard &amp; Optimisation'!$B$18/('Dashboard &amp; Optimisation'!$B$16/3.6)</f>
        <v/>
      </c>
      <c r="O3205" s="31" t="n">
        <v>496.8828697867928</v>
      </c>
      <c r="P3205" s="32" t="n">
        <v>0.7294864758355497</v>
      </c>
      <c r="Q3205" s="33" t="n">
        <v>0.2</v>
      </c>
      <c r="R3205" s="31" t="n">
        <v>340.2601898080916</v>
      </c>
      <c r="S3205" s="31">
        <f>R3205*IF(A3205=4, 2.0, 3.0)</f>
        <v/>
      </c>
      <c r="T3205" s="30">
        <f>'Dashboard &amp; Optimisation'!$B$18*U3205</f>
        <v/>
      </c>
      <c r="U3205" s="34">
        <f>MIN(1, S3205/M3205)</f>
        <v/>
      </c>
      <c r="V3205" s="34">
        <f>N3205/(N3205+O3205)</f>
        <v/>
      </c>
      <c r="W3205" s="34">
        <f>U3205*V3205</f>
        <v/>
      </c>
      <c r="X3205" s="32">
        <f>T3205/N3205</f>
        <v/>
      </c>
      <c r="Y3205" s="35">
        <f>IF(W3205=MAXIFS(W$2:W$3601, A$2:A$3601, A3205, B$2:B$3601, B3205), "OPTIMAL", "")</f>
        <v/>
      </c>
    </row>
    <row r="3206" ht="20" customHeight="1">
      <c r="A3206" s="21" t="n">
        <v>-18</v>
      </c>
      <c r="B3206" s="21" t="n">
        <v>40</v>
      </c>
      <c r="C3206" s="22" t="n">
        <v>120</v>
      </c>
      <c r="D3206" s="22" t="n">
        <v>2</v>
      </c>
      <c r="E3206" s="23" t="n">
        <v>4</v>
      </c>
      <c r="F3206" s="22" t="n">
        <v>1.5</v>
      </c>
      <c r="G3206" s="23" t="inlineStr">
        <is>
          <t>Oui</t>
        </is>
      </c>
      <c r="H3206" s="23" t="inlineStr">
        <is>
          <t>ON</t>
        </is>
      </c>
      <c r="I3206" s="24" t="n">
        <v>815.012573225423</v>
      </c>
      <c r="J3206" s="24" t="n">
        <v>8308.791548992402</v>
      </c>
      <c r="K3206" s="24" t="n">
        <v>4662.037037037037</v>
      </c>
      <c r="L3206" s="24" t="n">
        <v>150</v>
      </c>
      <c r="M3206" s="24">
        <f>I3206+J3206+K3206+L3206</f>
        <v/>
      </c>
      <c r="N3206" s="24">
        <f>M3206*'Dashboard &amp; Optimisation'!$B$18/('Dashboard &amp; Optimisation'!$B$16/3.6)</f>
        <v/>
      </c>
      <c r="O3206" s="24" t="n">
        <v>763.9009275315669</v>
      </c>
      <c r="P3206" s="25" t="n">
        <v>0.06805759746267123</v>
      </c>
      <c r="Q3206" s="26" t="n">
        <v>5.595023284726097</v>
      </c>
      <c r="R3206" s="24" t="n">
        <v>3745.809873801944</v>
      </c>
      <c r="S3206" s="24">
        <f>R3206*IF(A3206=4, 2.0, 3.0)</f>
        <v/>
      </c>
      <c r="T3206" s="22">
        <f>'Dashboard &amp; Optimisation'!$B$18*U3206</f>
        <v/>
      </c>
      <c r="U3206" s="27">
        <f>MIN(1, S3206/M3206)</f>
        <v/>
      </c>
      <c r="V3206" s="27">
        <f>N3206/(N3206+O3206)</f>
        <v/>
      </c>
      <c r="W3206" s="27">
        <f>U3206*V3206</f>
        <v/>
      </c>
      <c r="X3206" s="25">
        <f>T3206/N3206</f>
        <v/>
      </c>
      <c r="Y3206" s="28">
        <f>IF(W3206=MAXIFS(W$2:W$3601, A$2:A$3601, A3206, B$2:B$3601, B3206), "OPTIMAL", "")</f>
        <v/>
      </c>
    </row>
    <row r="3207" ht="20" customHeight="1">
      <c r="A3207" s="29" t="n">
        <v>-18</v>
      </c>
      <c r="B3207" s="29" t="n">
        <v>40</v>
      </c>
      <c r="C3207" s="30" t="n">
        <v>120</v>
      </c>
      <c r="D3207" s="30" t="n">
        <v>2</v>
      </c>
      <c r="E3207" s="6" t="n">
        <v>4</v>
      </c>
      <c r="F3207" s="30" t="n">
        <v>1.5</v>
      </c>
      <c r="G3207" s="6" t="inlineStr">
        <is>
          <t>Oui</t>
        </is>
      </c>
      <c r="H3207" s="6" t="inlineStr">
        <is>
          <t>OFF</t>
        </is>
      </c>
      <c r="I3207" s="31" t="n">
        <v>815.012573225423</v>
      </c>
      <c r="J3207" s="31" t="n">
        <v>8308.791548992402</v>
      </c>
      <c r="K3207" s="31" t="n">
        <v>4662.037037037037</v>
      </c>
      <c r="L3207" s="31" t="n">
        <v>150</v>
      </c>
      <c r="M3207" s="31">
        <f>I3207+J3207+K3207+L3207</f>
        <v/>
      </c>
      <c r="N3207" s="31">
        <f>M3207*'Dashboard &amp; Optimisation'!$B$18/('Dashboard &amp; Optimisation'!$B$16/3.6)</f>
        <v/>
      </c>
      <c r="O3207" s="31" t="n">
        <v>763.9009275315669</v>
      </c>
      <c r="P3207" s="32" t="n">
        <v>0.2717308104184109</v>
      </c>
      <c r="Q3207" s="33" t="n">
        <v>5.595023284726097</v>
      </c>
      <c r="R3207" s="31" t="n">
        <v>938.1741443687222</v>
      </c>
      <c r="S3207" s="31">
        <f>R3207*IF(A3207=4, 2.0, 3.0)</f>
        <v/>
      </c>
      <c r="T3207" s="30">
        <f>'Dashboard &amp; Optimisation'!$B$18*U3207</f>
        <v/>
      </c>
      <c r="U3207" s="34">
        <f>MIN(1, S3207/M3207)</f>
        <v/>
      </c>
      <c r="V3207" s="34">
        <f>N3207/(N3207+O3207)</f>
        <v/>
      </c>
      <c r="W3207" s="34">
        <f>U3207*V3207</f>
        <v/>
      </c>
      <c r="X3207" s="32">
        <f>T3207/N3207</f>
        <v/>
      </c>
      <c r="Y3207" s="35">
        <f>IF(W3207=MAXIFS(W$2:W$3601, A$2:A$3601, A3207, B$2:B$3601, B3207), "OPTIMAL", "")</f>
        <v/>
      </c>
    </row>
    <row r="3208" ht="20" customHeight="1">
      <c r="A3208" s="21" t="n">
        <v>-18</v>
      </c>
      <c r="B3208" s="21" t="n">
        <v>40</v>
      </c>
      <c r="C3208" s="22" t="n">
        <v>120</v>
      </c>
      <c r="D3208" s="22" t="n">
        <v>2</v>
      </c>
      <c r="E3208" s="23" t="n">
        <v>4</v>
      </c>
      <c r="F3208" s="22" t="n">
        <v>1.5</v>
      </c>
      <c r="G3208" s="23" t="inlineStr">
        <is>
          <t>Non</t>
        </is>
      </c>
      <c r="H3208" s="23" t="inlineStr">
        <is>
          <t>ON</t>
        </is>
      </c>
      <c r="I3208" s="24" t="n">
        <v>815.012573225423</v>
      </c>
      <c r="J3208" s="24" t="n">
        <v>8308.791548992402</v>
      </c>
      <c r="K3208" s="24" t="n">
        <v>4662.037037037037</v>
      </c>
      <c r="L3208" s="24" t="n">
        <v>150</v>
      </c>
      <c r="M3208" s="24">
        <f>I3208+J3208+K3208+L3208</f>
        <v/>
      </c>
      <c r="N3208" s="24">
        <f>M3208*'Dashboard &amp; Optimisation'!$B$18/('Dashboard &amp; Optimisation'!$B$16/3.6)</f>
        <v/>
      </c>
      <c r="O3208" s="24" t="n">
        <v>763.9009275315669</v>
      </c>
      <c r="P3208" s="25" t="n">
        <v>0.0654050150778063</v>
      </c>
      <c r="Q3208" s="26" t="n">
        <v>5.595023284726097</v>
      </c>
      <c r="R3208" s="24" t="n">
        <v>3897.725889362527</v>
      </c>
      <c r="S3208" s="24">
        <f>R3208*IF(A3208=4, 2.0, 3.0)</f>
        <v/>
      </c>
      <c r="T3208" s="22">
        <f>'Dashboard &amp; Optimisation'!$B$18*U3208</f>
        <v/>
      </c>
      <c r="U3208" s="27">
        <f>MIN(1, S3208/M3208)</f>
        <v/>
      </c>
      <c r="V3208" s="27">
        <f>N3208/(N3208+O3208)</f>
        <v/>
      </c>
      <c r="W3208" s="27">
        <f>U3208*V3208</f>
        <v/>
      </c>
      <c r="X3208" s="25">
        <f>T3208/N3208</f>
        <v/>
      </c>
      <c r="Y3208" s="28">
        <f>IF(W3208=MAXIFS(W$2:W$3601, A$2:A$3601, A3208, B$2:B$3601, B3208), "OPTIMAL", "")</f>
        <v/>
      </c>
    </row>
    <row r="3209" ht="20" customHeight="1">
      <c r="A3209" s="29" t="n">
        <v>-18</v>
      </c>
      <c r="B3209" s="29" t="n">
        <v>40</v>
      </c>
      <c r="C3209" s="30" t="n">
        <v>120</v>
      </c>
      <c r="D3209" s="30" t="n">
        <v>2</v>
      </c>
      <c r="E3209" s="6" t="n">
        <v>4</v>
      </c>
      <c r="F3209" s="30" t="n">
        <v>1.5</v>
      </c>
      <c r="G3209" s="6" t="inlineStr">
        <is>
          <t>Non</t>
        </is>
      </c>
      <c r="H3209" s="6" t="inlineStr">
        <is>
          <t>OFF</t>
        </is>
      </c>
      <c r="I3209" s="31" t="n">
        <v>815.012573225423</v>
      </c>
      <c r="J3209" s="31" t="n">
        <v>8308.791548992402</v>
      </c>
      <c r="K3209" s="31" t="n">
        <v>4662.037037037037</v>
      </c>
      <c r="L3209" s="31" t="n">
        <v>150</v>
      </c>
      <c r="M3209" s="31">
        <f>I3209+J3209+K3209+L3209</f>
        <v/>
      </c>
      <c r="N3209" s="31">
        <f>M3209*'Dashboard &amp; Optimisation'!$B$18/('Dashboard &amp; Optimisation'!$B$16/3.6)</f>
        <v/>
      </c>
      <c r="O3209" s="31" t="n">
        <v>763.9009275315669</v>
      </c>
      <c r="P3209" s="32" t="n">
        <v>0.2690782280335459</v>
      </c>
      <c r="Q3209" s="33" t="n">
        <v>5.595023284726097</v>
      </c>
      <c r="R3209" s="31" t="n">
        <v>947.4226972058472</v>
      </c>
      <c r="S3209" s="31">
        <f>R3209*IF(A3209=4, 2.0, 3.0)</f>
        <v/>
      </c>
      <c r="T3209" s="30">
        <f>'Dashboard &amp; Optimisation'!$B$18*U3209</f>
        <v/>
      </c>
      <c r="U3209" s="34">
        <f>MIN(1, S3209/M3209)</f>
        <v/>
      </c>
      <c r="V3209" s="34">
        <f>N3209/(N3209+O3209)</f>
        <v/>
      </c>
      <c r="W3209" s="34">
        <f>U3209*V3209</f>
        <v/>
      </c>
      <c r="X3209" s="32">
        <f>T3209/N3209</f>
        <v/>
      </c>
      <c r="Y3209" s="35">
        <f>IF(W3209=MAXIFS(W$2:W$3601, A$2:A$3601, A3209, B$2:B$3601, B3209), "OPTIMAL", "")</f>
        <v/>
      </c>
    </row>
    <row r="3210" ht="20" customHeight="1">
      <c r="A3210" s="21" t="n">
        <v>-18</v>
      </c>
      <c r="B3210" s="21" t="n">
        <v>40</v>
      </c>
      <c r="C3210" s="22" t="n">
        <v>120</v>
      </c>
      <c r="D3210" s="22" t="n">
        <v>2</v>
      </c>
      <c r="E3210" s="23" t="n">
        <v>4</v>
      </c>
      <c r="F3210" s="22" t="n">
        <v>2</v>
      </c>
      <c r="G3210" s="23" t="inlineStr">
        <is>
          <t>Oui</t>
        </is>
      </c>
      <c r="H3210" s="23" t="inlineStr">
        <is>
          <t>ON</t>
        </is>
      </c>
      <c r="I3210" s="24" t="n">
        <v>815.012573225423</v>
      </c>
      <c r="J3210" s="24" t="n">
        <v>8308.791548992402</v>
      </c>
      <c r="K3210" s="24" t="n">
        <v>4662.037037037037</v>
      </c>
      <c r="L3210" s="24" t="n">
        <v>150</v>
      </c>
      <c r="M3210" s="24">
        <f>I3210+J3210+K3210+L3210</f>
        <v/>
      </c>
      <c r="N3210" s="24">
        <f>M3210*'Dashboard &amp; Optimisation'!$B$18/('Dashboard &amp; Optimisation'!$B$16/3.6)</f>
        <v/>
      </c>
      <c r="O3210" s="24" t="n">
        <v>856.1469833627236</v>
      </c>
      <c r="P3210" s="25" t="n">
        <v>0.06474901627983365</v>
      </c>
      <c r="Q3210" s="26" t="n">
        <v>7.393364379634797</v>
      </c>
      <c r="R3210" s="24" t="n">
        <v>3973.046411180704</v>
      </c>
      <c r="S3210" s="24">
        <f>R3210*IF(A3210=4, 2.0, 3.0)</f>
        <v/>
      </c>
      <c r="T3210" s="22">
        <f>'Dashboard &amp; Optimisation'!$B$18*U3210</f>
        <v/>
      </c>
      <c r="U3210" s="27">
        <f>MIN(1, S3210/M3210)</f>
        <v/>
      </c>
      <c r="V3210" s="27">
        <f>N3210/(N3210+O3210)</f>
        <v/>
      </c>
      <c r="W3210" s="27">
        <f>U3210*V3210</f>
        <v/>
      </c>
      <c r="X3210" s="25">
        <f>T3210/N3210</f>
        <v/>
      </c>
      <c r="Y3210" s="28">
        <f>IF(W3210=MAXIFS(W$2:W$3601, A$2:A$3601, A3210, B$2:B$3601, B3210), "OPTIMAL", "")</f>
        <v/>
      </c>
    </row>
    <row r="3211" ht="20" customHeight="1">
      <c r="A3211" s="29" t="n">
        <v>-18</v>
      </c>
      <c r="B3211" s="29" t="n">
        <v>40</v>
      </c>
      <c r="C3211" s="30" t="n">
        <v>120</v>
      </c>
      <c r="D3211" s="30" t="n">
        <v>2</v>
      </c>
      <c r="E3211" s="6" t="n">
        <v>4</v>
      </c>
      <c r="F3211" s="30" t="n">
        <v>2</v>
      </c>
      <c r="G3211" s="6" t="inlineStr">
        <is>
          <t>Oui</t>
        </is>
      </c>
      <c r="H3211" s="6" t="inlineStr">
        <is>
          <t>OFF</t>
        </is>
      </c>
      <c r="I3211" s="31" t="n">
        <v>815.012573225423</v>
      </c>
      <c r="J3211" s="31" t="n">
        <v>8308.791548992402</v>
      </c>
      <c r="K3211" s="31" t="n">
        <v>4662.037037037037</v>
      </c>
      <c r="L3211" s="31" t="n">
        <v>150</v>
      </c>
      <c r="M3211" s="31">
        <f>I3211+J3211+K3211+L3211</f>
        <v/>
      </c>
      <c r="N3211" s="31">
        <f>M3211*'Dashboard &amp; Optimisation'!$B$18/('Dashboard &amp; Optimisation'!$B$16/3.6)</f>
        <v/>
      </c>
      <c r="O3211" s="31" t="n">
        <v>856.1469833627236</v>
      </c>
      <c r="P3211" s="32" t="n">
        <v>0.269253725510994</v>
      </c>
      <c r="Q3211" s="33" t="n">
        <v>7.393364379634797</v>
      </c>
      <c r="R3211" s="31" t="n">
        <v>955.4216799409526</v>
      </c>
      <c r="S3211" s="31">
        <f>R3211*IF(A3211=4, 2.0, 3.0)</f>
        <v/>
      </c>
      <c r="T3211" s="30">
        <f>'Dashboard &amp; Optimisation'!$B$18*U3211</f>
        <v/>
      </c>
      <c r="U3211" s="34">
        <f>MIN(1, S3211/M3211)</f>
        <v/>
      </c>
      <c r="V3211" s="34">
        <f>N3211/(N3211+O3211)</f>
        <v/>
      </c>
      <c r="W3211" s="34">
        <f>U3211*V3211</f>
        <v/>
      </c>
      <c r="X3211" s="32">
        <f>T3211/N3211</f>
        <v/>
      </c>
      <c r="Y3211" s="35">
        <f>IF(W3211=MAXIFS(W$2:W$3601, A$2:A$3601, A3211, B$2:B$3601, B3211), "OPTIMAL", "")</f>
        <v/>
      </c>
    </row>
    <row r="3212" ht="20" customHeight="1">
      <c r="A3212" s="21" t="n">
        <v>-18</v>
      </c>
      <c r="B3212" s="21" t="n">
        <v>40</v>
      </c>
      <c r="C3212" s="22" t="n">
        <v>120</v>
      </c>
      <c r="D3212" s="22" t="n">
        <v>2</v>
      </c>
      <c r="E3212" s="23" t="n">
        <v>4</v>
      </c>
      <c r="F3212" s="22" t="n">
        <v>2</v>
      </c>
      <c r="G3212" s="23" t="inlineStr">
        <is>
          <t>Non</t>
        </is>
      </c>
      <c r="H3212" s="23" t="inlineStr">
        <is>
          <t>ON</t>
        </is>
      </c>
      <c r="I3212" s="24" t="n">
        <v>815.012573225423</v>
      </c>
      <c r="J3212" s="24" t="n">
        <v>8308.791548992402</v>
      </c>
      <c r="K3212" s="24" t="n">
        <v>4662.037037037037</v>
      </c>
      <c r="L3212" s="24" t="n">
        <v>150</v>
      </c>
      <c r="M3212" s="24">
        <f>I3212+J3212+K3212+L3212</f>
        <v/>
      </c>
      <c r="N3212" s="24">
        <f>M3212*'Dashboard &amp; Optimisation'!$B$18/('Dashboard &amp; Optimisation'!$B$16/3.6)</f>
        <v/>
      </c>
      <c r="O3212" s="24" t="n">
        <v>856.1469833627236</v>
      </c>
      <c r="P3212" s="25" t="n">
        <v>0.06209643389496873</v>
      </c>
      <c r="Q3212" s="26" t="n">
        <v>7.393364379634797</v>
      </c>
      <c r="R3212" s="24" t="n">
        <v>4142.763611726782</v>
      </c>
      <c r="S3212" s="24">
        <f>R3212*IF(A3212=4, 2.0, 3.0)</f>
        <v/>
      </c>
      <c r="T3212" s="22">
        <f>'Dashboard &amp; Optimisation'!$B$18*U3212</f>
        <v/>
      </c>
      <c r="U3212" s="27">
        <f>MIN(1, S3212/M3212)</f>
        <v/>
      </c>
      <c r="V3212" s="27">
        <f>N3212/(N3212+O3212)</f>
        <v/>
      </c>
      <c r="W3212" s="27">
        <f>U3212*V3212</f>
        <v/>
      </c>
      <c r="X3212" s="25">
        <f>T3212/N3212</f>
        <v/>
      </c>
      <c r="Y3212" s="28">
        <f>IF(W3212=MAXIFS(W$2:W$3601, A$2:A$3601, A3212, B$2:B$3601, B3212), "OPTIMAL", "")</f>
        <v/>
      </c>
    </row>
    <row r="3213" ht="20" customHeight="1">
      <c r="A3213" s="29" t="n">
        <v>-18</v>
      </c>
      <c r="B3213" s="29" t="n">
        <v>40</v>
      </c>
      <c r="C3213" s="30" t="n">
        <v>120</v>
      </c>
      <c r="D3213" s="30" t="n">
        <v>2</v>
      </c>
      <c r="E3213" s="6" t="n">
        <v>4</v>
      </c>
      <c r="F3213" s="30" t="n">
        <v>2</v>
      </c>
      <c r="G3213" s="6" t="inlineStr">
        <is>
          <t>Non</t>
        </is>
      </c>
      <c r="H3213" s="6" t="inlineStr">
        <is>
          <t>OFF</t>
        </is>
      </c>
      <c r="I3213" s="31" t="n">
        <v>815.012573225423</v>
      </c>
      <c r="J3213" s="31" t="n">
        <v>8308.791548992402</v>
      </c>
      <c r="K3213" s="31" t="n">
        <v>4662.037037037037</v>
      </c>
      <c r="L3213" s="31" t="n">
        <v>150</v>
      </c>
      <c r="M3213" s="31">
        <f>I3213+J3213+K3213+L3213</f>
        <v/>
      </c>
      <c r="N3213" s="31">
        <f>M3213*'Dashboard &amp; Optimisation'!$B$18/('Dashboard &amp; Optimisation'!$B$16/3.6)</f>
        <v/>
      </c>
      <c r="O3213" s="31" t="n">
        <v>856.1469833627236</v>
      </c>
      <c r="P3213" s="32" t="n">
        <v>0.2666011431261291</v>
      </c>
      <c r="Q3213" s="33" t="n">
        <v>7.393364379634797</v>
      </c>
      <c r="R3213" s="31" t="n">
        <v>964.927770907451</v>
      </c>
      <c r="S3213" s="31">
        <f>R3213*IF(A3213=4, 2.0, 3.0)</f>
        <v/>
      </c>
      <c r="T3213" s="30">
        <f>'Dashboard &amp; Optimisation'!$B$18*U3213</f>
        <v/>
      </c>
      <c r="U3213" s="34">
        <f>MIN(1, S3213/M3213)</f>
        <v/>
      </c>
      <c r="V3213" s="34">
        <f>N3213/(N3213+O3213)</f>
        <v/>
      </c>
      <c r="W3213" s="34">
        <f>U3213*V3213</f>
        <v/>
      </c>
      <c r="X3213" s="32">
        <f>T3213/N3213</f>
        <v/>
      </c>
      <c r="Y3213" s="35">
        <f>IF(W3213=MAXIFS(W$2:W$3601, A$2:A$3601, A3213, B$2:B$3601, B3213), "OPTIMAL", "")</f>
        <v/>
      </c>
    </row>
    <row r="3214" ht="20" customHeight="1">
      <c r="A3214" s="21" t="n">
        <v>-18</v>
      </c>
      <c r="B3214" s="21" t="n">
        <v>40</v>
      </c>
      <c r="C3214" s="22" t="n">
        <v>120</v>
      </c>
      <c r="D3214" s="22" t="n">
        <v>2</v>
      </c>
      <c r="E3214" s="23" t="n">
        <v>8</v>
      </c>
      <c r="F3214" s="22" t="n">
        <v>1.5</v>
      </c>
      <c r="G3214" s="23" t="inlineStr">
        <is>
          <t>Oui</t>
        </is>
      </c>
      <c r="H3214" s="23" t="inlineStr">
        <is>
          <t>ON</t>
        </is>
      </c>
      <c r="I3214" s="24" t="n">
        <v>815.012573225423</v>
      </c>
      <c r="J3214" s="24" t="n">
        <v>8308.791548992402</v>
      </c>
      <c r="K3214" s="24" t="n">
        <v>4662.037037037037</v>
      </c>
      <c r="L3214" s="24" t="n">
        <v>150</v>
      </c>
      <c r="M3214" s="24">
        <f>I3214+J3214+K3214+L3214</f>
        <v/>
      </c>
      <c r="N3214" s="24">
        <f>M3214*'Dashboard &amp; Optimisation'!$B$18/('Dashboard &amp; Optimisation'!$B$16/3.6)</f>
        <v/>
      </c>
      <c r="O3214" s="24" t="n">
        <v>1045.769446435707</v>
      </c>
      <c r="P3214" s="25" t="n">
        <v>0.05155761606859751</v>
      </c>
      <c r="Q3214" s="26" t="n">
        <v>10.9900465694522</v>
      </c>
      <c r="R3214" s="24" t="n">
        <v>5082.080002401634</v>
      </c>
      <c r="S3214" s="24">
        <f>R3214*IF(A3214=4, 2.0, 3.0)</f>
        <v/>
      </c>
      <c r="T3214" s="22">
        <f>'Dashboard &amp; Optimisation'!$B$18*U3214</f>
        <v/>
      </c>
      <c r="U3214" s="27">
        <f>MIN(1, S3214/M3214)</f>
        <v/>
      </c>
      <c r="V3214" s="27">
        <f>N3214/(N3214+O3214)</f>
        <v/>
      </c>
      <c r="W3214" s="27">
        <f>U3214*V3214</f>
        <v/>
      </c>
      <c r="X3214" s="25">
        <f>T3214/N3214</f>
        <v/>
      </c>
      <c r="Y3214" s="28">
        <f>IF(W3214=MAXIFS(W$2:W$3601, A$2:A$3601, A3214, B$2:B$3601, B3214), "OPTIMAL", "")</f>
        <v/>
      </c>
    </row>
    <row r="3215" ht="20" customHeight="1">
      <c r="A3215" s="29" t="n">
        <v>-18</v>
      </c>
      <c r="B3215" s="29" t="n">
        <v>40</v>
      </c>
      <c r="C3215" s="30" t="n">
        <v>120</v>
      </c>
      <c r="D3215" s="30" t="n">
        <v>2</v>
      </c>
      <c r="E3215" s="6" t="n">
        <v>8</v>
      </c>
      <c r="F3215" s="30" t="n">
        <v>1.5</v>
      </c>
      <c r="G3215" s="6" t="inlineStr">
        <is>
          <t>Oui</t>
        </is>
      </c>
      <c r="H3215" s="6" t="inlineStr">
        <is>
          <t>OFF</t>
        </is>
      </c>
      <c r="I3215" s="31" t="n">
        <v>815.012573225423</v>
      </c>
      <c r="J3215" s="31" t="n">
        <v>8308.791548992402</v>
      </c>
      <c r="K3215" s="31" t="n">
        <v>4662.037037037037</v>
      </c>
      <c r="L3215" s="31" t="n">
        <v>150</v>
      </c>
      <c r="M3215" s="31">
        <f>I3215+J3215+K3215+L3215</f>
        <v/>
      </c>
      <c r="N3215" s="31">
        <f>M3215*'Dashboard &amp; Optimisation'!$B$18/('Dashboard &amp; Optimisation'!$B$16/3.6)</f>
        <v/>
      </c>
      <c r="O3215" s="31" t="n">
        <v>1045.769446435707</v>
      </c>
      <c r="P3215" s="32" t="n">
        <v>0.216853233443705</v>
      </c>
      <c r="Q3215" s="33" t="n">
        <v>10.9900465694522</v>
      </c>
      <c r="R3215" s="31" t="n">
        <v>1208.282327326887</v>
      </c>
      <c r="S3215" s="31">
        <f>R3215*IF(A3215=4, 2.0, 3.0)</f>
        <v/>
      </c>
      <c r="T3215" s="30">
        <f>'Dashboard &amp; Optimisation'!$B$18*U3215</f>
        <v/>
      </c>
      <c r="U3215" s="34">
        <f>MIN(1, S3215/M3215)</f>
        <v/>
      </c>
      <c r="V3215" s="34">
        <f>N3215/(N3215+O3215)</f>
        <v/>
      </c>
      <c r="W3215" s="34">
        <f>U3215*V3215</f>
        <v/>
      </c>
      <c r="X3215" s="32">
        <f>T3215/N3215</f>
        <v/>
      </c>
      <c r="Y3215" s="35">
        <f>IF(W3215=MAXIFS(W$2:W$3601, A$2:A$3601, A3215, B$2:B$3601, B3215), "OPTIMAL", "")</f>
        <v/>
      </c>
    </row>
    <row r="3216" ht="20" customHeight="1">
      <c r="A3216" s="21" t="n">
        <v>-18</v>
      </c>
      <c r="B3216" s="21" t="n">
        <v>40</v>
      </c>
      <c r="C3216" s="22" t="n">
        <v>120</v>
      </c>
      <c r="D3216" s="22" t="n">
        <v>2</v>
      </c>
      <c r="E3216" s="23" t="n">
        <v>8</v>
      </c>
      <c r="F3216" s="22" t="n">
        <v>1.5</v>
      </c>
      <c r="G3216" s="23" t="inlineStr">
        <is>
          <t>Non</t>
        </is>
      </c>
      <c r="H3216" s="23" t="inlineStr">
        <is>
          <t>ON</t>
        </is>
      </c>
      <c r="I3216" s="24" t="n">
        <v>815.012573225423</v>
      </c>
      <c r="J3216" s="24" t="n">
        <v>8308.791548992402</v>
      </c>
      <c r="K3216" s="24" t="n">
        <v>4662.037037037037</v>
      </c>
      <c r="L3216" s="24" t="n">
        <v>150</v>
      </c>
      <c r="M3216" s="24">
        <f>I3216+J3216+K3216+L3216</f>
        <v/>
      </c>
      <c r="N3216" s="24">
        <f>M3216*'Dashboard &amp; Optimisation'!$B$18/('Dashboard &amp; Optimisation'!$B$16/3.6)</f>
        <v/>
      </c>
      <c r="O3216" s="24" t="n">
        <v>1045.769446435707</v>
      </c>
      <c r="P3216" s="25" t="n">
        <v>0.04890503368373258</v>
      </c>
      <c r="Q3216" s="26" t="n">
        <v>10.9900465694522</v>
      </c>
      <c r="R3216" s="24" t="n">
        <v>5357.729253152053</v>
      </c>
      <c r="S3216" s="24">
        <f>R3216*IF(A3216=4, 2.0, 3.0)</f>
        <v/>
      </c>
      <c r="T3216" s="22">
        <f>'Dashboard &amp; Optimisation'!$B$18*U3216</f>
        <v/>
      </c>
      <c r="U3216" s="27">
        <f>MIN(1, S3216/M3216)</f>
        <v/>
      </c>
      <c r="V3216" s="27">
        <f>N3216/(N3216+O3216)</f>
        <v/>
      </c>
      <c r="W3216" s="27">
        <f>U3216*V3216</f>
        <v/>
      </c>
      <c r="X3216" s="25">
        <f>T3216/N3216</f>
        <v/>
      </c>
      <c r="Y3216" s="28">
        <f>IF(W3216=MAXIFS(W$2:W$3601, A$2:A$3601, A3216, B$2:B$3601, B3216), "OPTIMAL", "")</f>
        <v/>
      </c>
    </row>
    <row r="3217" ht="20" customHeight="1">
      <c r="A3217" s="29" t="n">
        <v>-18</v>
      </c>
      <c r="B3217" s="29" t="n">
        <v>40</v>
      </c>
      <c r="C3217" s="30" t="n">
        <v>120</v>
      </c>
      <c r="D3217" s="30" t="n">
        <v>2</v>
      </c>
      <c r="E3217" s="6" t="n">
        <v>8</v>
      </c>
      <c r="F3217" s="30" t="n">
        <v>1.5</v>
      </c>
      <c r="G3217" s="6" t="inlineStr">
        <is>
          <t>Non</t>
        </is>
      </c>
      <c r="H3217" s="6" t="inlineStr">
        <is>
          <t>OFF</t>
        </is>
      </c>
      <c r="I3217" s="31" t="n">
        <v>815.012573225423</v>
      </c>
      <c r="J3217" s="31" t="n">
        <v>8308.791548992402</v>
      </c>
      <c r="K3217" s="31" t="n">
        <v>4662.037037037037</v>
      </c>
      <c r="L3217" s="31" t="n">
        <v>150</v>
      </c>
      <c r="M3217" s="31">
        <f>I3217+J3217+K3217+L3217</f>
        <v/>
      </c>
      <c r="N3217" s="31">
        <f>M3217*'Dashboard &amp; Optimisation'!$B$18/('Dashboard &amp; Optimisation'!$B$16/3.6)</f>
        <v/>
      </c>
      <c r="O3217" s="31" t="n">
        <v>1045.769446435707</v>
      </c>
      <c r="P3217" s="32" t="n">
        <v>0.2142006510588401</v>
      </c>
      <c r="Q3217" s="33" t="n">
        <v>10.9900465694522</v>
      </c>
      <c r="R3217" s="31" t="n">
        <v>1223.24525298359</v>
      </c>
      <c r="S3217" s="31">
        <f>R3217*IF(A3217=4, 2.0, 3.0)</f>
        <v/>
      </c>
      <c r="T3217" s="30">
        <f>'Dashboard &amp; Optimisation'!$B$18*U3217</f>
        <v/>
      </c>
      <c r="U3217" s="34">
        <f>MIN(1, S3217/M3217)</f>
        <v/>
      </c>
      <c r="V3217" s="34">
        <f>N3217/(N3217+O3217)</f>
        <v/>
      </c>
      <c r="W3217" s="34">
        <f>U3217*V3217</f>
        <v/>
      </c>
      <c r="X3217" s="32">
        <f>T3217/N3217</f>
        <v/>
      </c>
      <c r="Y3217" s="35">
        <f>IF(W3217=MAXIFS(W$2:W$3601, A$2:A$3601, A3217, B$2:B$3601, B3217), "OPTIMAL", "")</f>
        <v/>
      </c>
    </row>
    <row r="3218" ht="20" customHeight="1">
      <c r="A3218" s="21" t="n">
        <v>-18</v>
      </c>
      <c r="B3218" s="21" t="n">
        <v>40</v>
      </c>
      <c r="C3218" s="22" t="n">
        <v>120</v>
      </c>
      <c r="D3218" s="22" t="n">
        <v>2</v>
      </c>
      <c r="E3218" s="23" t="n">
        <v>8</v>
      </c>
      <c r="F3218" s="22" t="n">
        <v>2</v>
      </c>
      <c r="G3218" s="23" t="inlineStr">
        <is>
          <t>Oui</t>
        </is>
      </c>
      <c r="H3218" s="23" t="inlineStr">
        <is>
          <t>ON</t>
        </is>
      </c>
      <c r="I3218" s="24" t="n">
        <v>815.012573225423</v>
      </c>
      <c r="J3218" s="24" t="n">
        <v>8308.791548992402</v>
      </c>
      <c r="K3218" s="24" t="n">
        <v>4662.037037037037</v>
      </c>
      <c r="L3218" s="24" t="n">
        <v>150</v>
      </c>
      <c r="M3218" s="24">
        <f>I3218+J3218+K3218+L3218</f>
        <v/>
      </c>
      <c r="N3218" s="24">
        <f>M3218*'Dashboard &amp; Optimisation'!$B$18/('Dashboard &amp; Optimisation'!$B$16/3.6)</f>
        <v/>
      </c>
      <c r="O3218" s="24" t="n">
        <v>1242.55539902053</v>
      </c>
      <c r="P3218" s="25" t="n">
        <v>0.04997260972227939</v>
      </c>
      <c r="Q3218" s="26" t="n">
        <v>14.58672875926959</v>
      </c>
      <c r="R3218" s="24" t="n">
        <v>5342.310089801912</v>
      </c>
      <c r="S3218" s="24">
        <f>R3218*IF(A3218=4, 2.0, 3.0)</f>
        <v/>
      </c>
      <c r="T3218" s="22">
        <f>'Dashboard &amp; Optimisation'!$B$18*U3218</f>
        <v/>
      </c>
      <c r="U3218" s="27">
        <f>MIN(1, S3218/M3218)</f>
        <v/>
      </c>
      <c r="V3218" s="27">
        <f>N3218/(N3218+O3218)</f>
        <v/>
      </c>
      <c r="W3218" s="27">
        <f>U3218*V3218</f>
        <v/>
      </c>
      <c r="X3218" s="25">
        <f>T3218/N3218</f>
        <v/>
      </c>
      <c r="Y3218" s="28">
        <f>IF(W3218=MAXIFS(W$2:W$3601, A$2:A$3601, A3218, B$2:B$3601, B3218), "OPTIMAL", "")</f>
        <v/>
      </c>
    </row>
    <row r="3219" ht="20" customHeight="1">
      <c r="A3219" s="29" t="n">
        <v>-18</v>
      </c>
      <c r="B3219" s="29" t="n">
        <v>40</v>
      </c>
      <c r="C3219" s="30" t="n">
        <v>120</v>
      </c>
      <c r="D3219" s="30" t="n">
        <v>2</v>
      </c>
      <c r="E3219" s="6" t="n">
        <v>8</v>
      </c>
      <c r="F3219" s="30" t="n">
        <v>2</v>
      </c>
      <c r="G3219" s="6" t="inlineStr">
        <is>
          <t>Oui</t>
        </is>
      </c>
      <c r="H3219" s="6" t="inlineStr">
        <is>
          <t>OFF</t>
        </is>
      </c>
      <c r="I3219" s="31" t="n">
        <v>815.012573225423</v>
      </c>
      <c r="J3219" s="31" t="n">
        <v>8308.791548992402</v>
      </c>
      <c r="K3219" s="31" t="n">
        <v>4662.037037037037</v>
      </c>
      <c r="L3219" s="31" t="n">
        <v>150</v>
      </c>
      <c r="M3219" s="31">
        <f>I3219+J3219+K3219+L3219</f>
        <v/>
      </c>
      <c r="N3219" s="31">
        <f>M3219*'Dashboard &amp; Optimisation'!$B$18/('Dashboard &amp; Optimisation'!$B$16/3.6)</f>
        <v/>
      </c>
      <c r="O3219" s="31" t="n">
        <v>1242.55539902053</v>
      </c>
      <c r="P3219" s="32" t="n">
        <v>0.2163666659525478</v>
      </c>
      <c r="Q3219" s="33" t="n">
        <v>14.58672875926959</v>
      </c>
      <c r="R3219" s="31" t="n">
        <v>1233.873877742407</v>
      </c>
      <c r="S3219" s="31">
        <f>R3219*IF(A3219=4, 2.0, 3.0)</f>
        <v/>
      </c>
      <c r="T3219" s="30">
        <f>'Dashboard &amp; Optimisation'!$B$18*U3219</f>
        <v/>
      </c>
      <c r="U3219" s="34">
        <f>MIN(1, S3219/M3219)</f>
        <v/>
      </c>
      <c r="V3219" s="34">
        <f>N3219/(N3219+O3219)</f>
        <v/>
      </c>
      <c r="W3219" s="34">
        <f>U3219*V3219</f>
        <v/>
      </c>
      <c r="X3219" s="32">
        <f>T3219/N3219</f>
        <v/>
      </c>
      <c r="Y3219" s="35">
        <f>IF(W3219=MAXIFS(W$2:W$3601, A$2:A$3601, A3219, B$2:B$3601, B3219), "OPTIMAL", "")</f>
        <v/>
      </c>
    </row>
    <row r="3220" ht="20" customHeight="1">
      <c r="A3220" s="21" t="n">
        <v>-18</v>
      </c>
      <c r="B3220" s="21" t="n">
        <v>40</v>
      </c>
      <c r="C3220" s="22" t="n">
        <v>120</v>
      </c>
      <c r="D3220" s="22" t="n">
        <v>2</v>
      </c>
      <c r="E3220" s="23" t="n">
        <v>8</v>
      </c>
      <c r="F3220" s="22" t="n">
        <v>2</v>
      </c>
      <c r="G3220" s="23" t="inlineStr">
        <is>
          <t>Non</t>
        </is>
      </c>
      <c r="H3220" s="23" t="inlineStr">
        <is>
          <t>ON</t>
        </is>
      </c>
      <c r="I3220" s="24" t="n">
        <v>815.012573225423</v>
      </c>
      <c r="J3220" s="24" t="n">
        <v>8308.791548992402</v>
      </c>
      <c r="K3220" s="24" t="n">
        <v>4662.037037037037</v>
      </c>
      <c r="L3220" s="24" t="n">
        <v>150</v>
      </c>
      <c r="M3220" s="24">
        <f>I3220+J3220+K3220+L3220</f>
        <v/>
      </c>
      <c r="N3220" s="24">
        <f>M3220*'Dashboard &amp; Optimisation'!$B$18/('Dashboard &amp; Optimisation'!$B$16/3.6)</f>
        <v/>
      </c>
      <c r="O3220" s="24" t="n">
        <v>1242.55539902053</v>
      </c>
      <c r="P3220" s="25" t="n">
        <v>0.04732002733741447</v>
      </c>
      <c r="Q3220" s="26" t="n">
        <v>14.58672875926959</v>
      </c>
      <c r="R3220" s="24" t="n">
        <v>5641.779858440236</v>
      </c>
      <c r="S3220" s="24">
        <f>R3220*IF(A3220=4, 2.0, 3.0)</f>
        <v/>
      </c>
      <c r="T3220" s="22">
        <f>'Dashboard &amp; Optimisation'!$B$18*U3220</f>
        <v/>
      </c>
      <c r="U3220" s="27">
        <f>MIN(1, S3220/M3220)</f>
        <v/>
      </c>
      <c r="V3220" s="27">
        <f>N3220/(N3220+O3220)</f>
        <v/>
      </c>
      <c r="W3220" s="27">
        <f>U3220*V3220</f>
        <v/>
      </c>
      <c r="X3220" s="25">
        <f>T3220/N3220</f>
        <v/>
      </c>
      <c r="Y3220" s="28">
        <f>IF(W3220=MAXIFS(W$2:W$3601, A$2:A$3601, A3220, B$2:B$3601, B3220), "OPTIMAL", "")</f>
        <v/>
      </c>
    </row>
    <row r="3221" ht="20" customHeight="1">
      <c r="A3221" s="29" t="n">
        <v>-18</v>
      </c>
      <c r="B3221" s="29" t="n">
        <v>40</v>
      </c>
      <c r="C3221" s="30" t="n">
        <v>120</v>
      </c>
      <c r="D3221" s="30" t="n">
        <v>2</v>
      </c>
      <c r="E3221" s="6" t="n">
        <v>8</v>
      </c>
      <c r="F3221" s="30" t="n">
        <v>2</v>
      </c>
      <c r="G3221" s="6" t="inlineStr">
        <is>
          <t>Non</t>
        </is>
      </c>
      <c r="H3221" s="6" t="inlineStr">
        <is>
          <t>OFF</t>
        </is>
      </c>
      <c r="I3221" s="31" t="n">
        <v>815.012573225423</v>
      </c>
      <c r="J3221" s="31" t="n">
        <v>8308.791548992402</v>
      </c>
      <c r="K3221" s="31" t="n">
        <v>4662.037037037037</v>
      </c>
      <c r="L3221" s="31" t="n">
        <v>150</v>
      </c>
      <c r="M3221" s="31">
        <f>I3221+J3221+K3221+L3221</f>
        <v/>
      </c>
      <c r="N3221" s="31">
        <f>M3221*'Dashboard &amp; Optimisation'!$B$18/('Dashboard &amp; Optimisation'!$B$16/3.6)</f>
        <v/>
      </c>
      <c r="O3221" s="31" t="n">
        <v>1242.55539902053</v>
      </c>
      <c r="P3221" s="32" t="n">
        <v>0.2137140835676829</v>
      </c>
      <c r="Q3221" s="33" t="n">
        <v>14.58672875926959</v>
      </c>
      <c r="R3221" s="31" t="n">
        <v>1249.188507731254</v>
      </c>
      <c r="S3221" s="31">
        <f>R3221*IF(A3221=4, 2.0, 3.0)</f>
        <v/>
      </c>
      <c r="T3221" s="30">
        <f>'Dashboard &amp; Optimisation'!$B$18*U3221</f>
        <v/>
      </c>
      <c r="U3221" s="34">
        <f>MIN(1, S3221/M3221)</f>
        <v/>
      </c>
      <c r="V3221" s="34">
        <f>N3221/(N3221+O3221)</f>
        <v/>
      </c>
      <c r="W3221" s="34">
        <f>U3221*V3221</f>
        <v/>
      </c>
      <c r="X3221" s="32">
        <f>T3221/N3221</f>
        <v/>
      </c>
      <c r="Y3221" s="35">
        <f>IF(W3221=MAXIFS(W$2:W$3601, A$2:A$3601, A3221, B$2:B$3601, B3221), "OPTIMAL", "")</f>
        <v/>
      </c>
    </row>
    <row r="3222" ht="20" customHeight="1">
      <c r="A3222" s="21" t="n">
        <v>-18</v>
      </c>
      <c r="B3222" s="21" t="n">
        <v>40</v>
      </c>
      <c r="C3222" s="22" t="n">
        <v>120</v>
      </c>
      <c r="D3222" s="22" t="n">
        <v>3</v>
      </c>
      <c r="E3222" s="23" t="n">
        <v>0</v>
      </c>
      <c r="F3222" s="22" t="n">
        <v>0</v>
      </c>
      <c r="G3222" s="23" t="inlineStr">
        <is>
          <t>Oui</t>
        </is>
      </c>
      <c r="H3222" s="23" t="inlineStr">
        <is>
          <t>ON</t>
        </is>
      </c>
      <c r="I3222" s="24" t="n">
        <v>815.012573225423</v>
      </c>
      <c r="J3222" s="24" t="n">
        <v>8308.791548992402</v>
      </c>
      <c r="K3222" s="24" t="n">
        <v>4662.037037037037</v>
      </c>
      <c r="L3222" s="24" t="n">
        <v>150</v>
      </c>
      <c r="M3222" s="24">
        <f>I3222+J3222+K3222+L3222</f>
        <v/>
      </c>
      <c r="N3222" s="24">
        <f>M3222*'Dashboard &amp; Optimisation'!$B$18/('Dashboard &amp; Optimisation'!$B$16/3.6)</f>
        <v/>
      </c>
      <c r="O3222" s="24" t="n">
        <v>765.1655592345652</v>
      </c>
      <c r="P3222" s="25" t="n">
        <v>0.4668943220842715</v>
      </c>
      <c r="Q3222" s="26" t="n">
        <v>0.2</v>
      </c>
      <c r="R3222" s="24" t="n">
        <v>550.4477083784716</v>
      </c>
      <c r="S3222" s="24">
        <f>R3222*IF(A3222=4, 2.0, 3.0)</f>
        <v/>
      </c>
      <c r="T3222" s="22">
        <f>'Dashboard &amp; Optimisation'!$B$18*U3222</f>
        <v/>
      </c>
      <c r="U3222" s="27">
        <f>MIN(1, S3222/M3222)</f>
        <v/>
      </c>
      <c r="V3222" s="27">
        <f>N3222/(N3222+O3222)</f>
        <v/>
      </c>
      <c r="W3222" s="27">
        <f>U3222*V3222</f>
        <v/>
      </c>
      <c r="X3222" s="25">
        <f>T3222/N3222</f>
        <v/>
      </c>
      <c r="Y3222" s="28">
        <f>IF(W3222=MAXIFS(W$2:W$3601, A$2:A$3601, A3222, B$2:B$3601, B3222), "OPTIMAL", "")</f>
        <v/>
      </c>
    </row>
    <row r="3223" ht="20" customHeight="1">
      <c r="A3223" s="29" t="n">
        <v>-18</v>
      </c>
      <c r="B3223" s="29" t="n">
        <v>40</v>
      </c>
      <c r="C3223" s="30" t="n">
        <v>120</v>
      </c>
      <c r="D3223" s="30" t="n">
        <v>3</v>
      </c>
      <c r="E3223" s="6" t="n">
        <v>0</v>
      </c>
      <c r="F3223" s="30" t="n">
        <v>0</v>
      </c>
      <c r="G3223" s="6" t="inlineStr">
        <is>
          <t>Oui</t>
        </is>
      </c>
      <c r="H3223" s="6" t="inlineStr">
        <is>
          <t>OFF</t>
        </is>
      </c>
      <c r="I3223" s="31" t="n">
        <v>815.012573225423</v>
      </c>
      <c r="J3223" s="31" t="n">
        <v>8308.791548992402</v>
      </c>
      <c r="K3223" s="31" t="n">
        <v>4662.037037037037</v>
      </c>
      <c r="L3223" s="31" t="n">
        <v>150</v>
      </c>
      <c r="M3223" s="31">
        <f>I3223+J3223+K3223+L3223</f>
        <v/>
      </c>
      <c r="N3223" s="31">
        <f>M3223*'Dashboard &amp; Optimisation'!$B$18/('Dashboard &amp; Optimisation'!$B$16/3.6)</f>
        <v/>
      </c>
      <c r="O3223" s="31" t="n">
        <v>765.1655592345652</v>
      </c>
      <c r="P3223" s="32" t="n">
        <v>0.7321525605707637</v>
      </c>
      <c r="Q3223" s="33" t="n">
        <v>0.2</v>
      </c>
      <c r="R3223" s="31" t="n">
        <v>351.0209804440992</v>
      </c>
      <c r="S3223" s="31">
        <f>R3223*IF(A3223=4, 2.0, 3.0)</f>
        <v/>
      </c>
      <c r="T3223" s="30">
        <f>'Dashboard &amp; Optimisation'!$B$18*U3223</f>
        <v/>
      </c>
      <c r="U3223" s="34">
        <f>MIN(1, S3223/M3223)</f>
        <v/>
      </c>
      <c r="V3223" s="34">
        <f>N3223/(N3223+O3223)</f>
        <v/>
      </c>
      <c r="W3223" s="34">
        <f>U3223*V3223</f>
        <v/>
      </c>
      <c r="X3223" s="32">
        <f>T3223/N3223</f>
        <v/>
      </c>
      <c r="Y3223" s="35">
        <f>IF(W3223=MAXIFS(W$2:W$3601, A$2:A$3601, A3223, B$2:B$3601, B3223), "OPTIMAL", "")</f>
        <v/>
      </c>
    </row>
    <row r="3224" ht="20" customHeight="1">
      <c r="A3224" s="21" t="n">
        <v>-18</v>
      </c>
      <c r="B3224" s="21" t="n">
        <v>40</v>
      </c>
      <c r="C3224" s="22" t="n">
        <v>120</v>
      </c>
      <c r="D3224" s="22" t="n">
        <v>3</v>
      </c>
      <c r="E3224" s="23" t="n">
        <v>0</v>
      </c>
      <c r="F3224" s="22" t="n">
        <v>0</v>
      </c>
      <c r="G3224" s="23" t="inlineStr">
        <is>
          <t>Non</t>
        </is>
      </c>
      <c r="H3224" s="23" t="inlineStr">
        <is>
          <t>ON</t>
        </is>
      </c>
      <c r="I3224" s="24" t="n">
        <v>815.012573225423</v>
      </c>
      <c r="J3224" s="24" t="n">
        <v>8308.791548992402</v>
      </c>
      <c r="K3224" s="24" t="n">
        <v>4662.037037037037</v>
      </c>
      <c r="L3224" s="24" t="n">
        <v>150</v>
      </c>
      <c r="M3224" s="24">
        <f>I3224+J3224+K3224+L3224</f>
        <v/>
      </c>
      <c r="N3224" s="24">
        <f>M3224*'Dashboard &amp; Optimisation'!$B$18/('Dashboard &amp; Optimisation'!$B$16/3.6)</f>
        <v/>
      </c>
      <c r="O3224" s="24" t="n">
        <v>765.1655592345652</v>
      </c>
      <c r="P3224" s="25" t="n">
        <v>0.4642417396994065</v>
      </c>
      <c r="Q3224" s="26" t="n">
        <v>0.2</v>
      </c>
      <c r="R3224" s="24" t="n">
        <v>553.5928540432699</v>
      </c>
      <c r="S3224" s="24">
        <f>R3224*IF(A3224=4, 2.0, 3.0)</f>
        <v/>
      </c>
      <c r="T3224" s="22">
        <f>'Dashboard &amp; Optimisation'!$B$18*U3224</f>
        <v/>
      </c>
      <c r="U3224" s="27">
        <f>MIN(1, S3224/M3224)</f>
        <v/>
      </c>
      <c r="V3224" s="27">
        <f>N3224/(N3224+O3224)</f>
        <v/>
      </c>
      <c r="W3224" s="27">
        <f>U3224*V3224</f>
        <v/>
      </c>
      <c r="X3224" s="25">
        <f>T3224/N3224</f>
        <v/>
      </c>
      <c r="Y3224" s="28">
        <f>IF(W3224=MAXIFS(W$2:W$3601, A$2:A$3601, A3224, B$2:B$3601, B3224), "OPTIMAL", "")</f>
        <v/>
      </c>
    </row>
    <row r="3225" ht="20" customHeight="1">
      <c r="A3225" s="29" t="n">
        <v>-18</v>
      </c>
      <c r="B3225" s="29" t="n">
        <v>40</v>
      </c>
      <c r="C3225" s="30" t="n">
        <v>120</v>
      </c>
      <c r="D3225" s="30" t="n">
        <v>3</v>
      </c>
      <c r="E3225" s="6" t="n">
        <v>0</v>
      </c>
      <c r="F3225" s="30" t="n">
        <v>0</v>
      </c>
      <c r="G3225" s="6" t="inlineStr">
        <is>
          <t>Non</t>
        </is>
      </c>
      <c r="H3225" s="6" t="inlineStr">
        <is>
          <t>OFF</t>
        </is>
      </c>
      <c r="I3225" s="31" t="n">
        <v>815.012573225423</v>
      </c>
      <c r="J3225" s="31" t="n">
        <v>8308.791548992402</v>
      </c>
      <c r="K3225" s="31" t="n">
        <v>4662.037037037037</v>
      </c>
      <c r="L3225" s="31" t="n">
        <v>150</v>
      </c>
      <c r="M3225" s="31">
        <f>I3225+J3225+K3225+L3225</f>
        <v/>
      </c>
      <c r="N3225" s="31">
        <f>M3225*'Dashboard &amp; Optimisation'!$B$18/('Dashboard &amp; Optimisation'!$B$16/3.6)</f>
        <v/>
      </c>
      <c r="O3225" s="31" t="n">
        <v>765.1655592345652</v>
      </c>
      <c r="P3225" s="32" t="n">
        <v>0.7294999781858988</v>
      </c>
      <c r="Q3225" s="33" t="n">
        <v>0.2</v>
      </c>
      <c r="R3225" s="31" t="n">
        <v>352.2973506939784</v>
      </c>
      <c r="S3225" s="31">
        <f>R3225*IF(A3225=4, 2.0, 3.0)</f>
        <v/>
      </c>
      <c r="T3225" s="30">
        <f>'Dashboard &amp; Optimisation'!$B$18*U3225</f>
        <v/>
      </c>
      <c r="U3225" s="34">
        <f>MIN(1, S3225/M3225)</f>
        <v/>
      </c>
      <c r="V3225" s="34">
        <f>N3225/(N3225+O3225)</f>
        <v/>
      </c>
      <c r="W3225" s="34">
        <f>U3225*V3225</f>
        <v/>
      </c>
      <c r="X3225" s="32">
        <f>T3225/N3225</f>
        <v/>
      </c>
      <c r="Y3225" s="35">
        <f>IF(W3225=MAXIFS(W$2:W$3601, A$2:A$3601, A3225, B$2:B$3601, B3225), "OPTIMAL", "")</f>
        <v/>
      </c>
    </row>
    <row r="3226" ht="20" customHeight="1">
      <c r="A3226" s="21" t="n">
        <v>-18</v>
      </c>
      <c r="B3226" s="21" t="n">
        <v>40</v>
      </c>
      <c r="C3226" s="22" t="n">
        <v>120</v>
      </c>
      <c r="D3226" s="22" t="n">
        <v>3</v>
      </c>
      <c r="E3226" s="23" t="n">
        <v>4</v>
      </c>
      <c r="F3226" s="22" t="n">
        <v>1.5</v>
      </c>
      <c r="G3226" s="23" t="inlineStr">
        <is>
          <t>Oui</t>
        </is>
      </c>
      <c r="H3226" s="23" t="inlineStr">
        <is>
          <t>ON</t>
        </is>
      </c>
      <c r="I3226" s="24" t="n">
        <v>815.012573225423</v>
      </c>
      <c r="J3226" s="24" t="n">
        <v>8308.791548992402</v>
      </c>
      <c r="K3226" s="24" t="n">
        <v>4662.037037037037</v>
      </c>
      <c r="L3226" s="24" t="n">
        <v>150</v>
      </c>
      <c r="M3226" s="24">
        <f>I3226+J3226+K3226+L3226</f>
        <v/>
      </c>
      <c r="N3226" s="24">
        <f>M3226*'Dashboard &amp; Optimisation'!$B$18/('Dashboard &amp; Optimisation'!$B$16/3.6)</f>
        <v/>
      </c>
      <c r="O3226" s="24" t="n">
        <v>1045.492976492722</v>
      </c>
      <c r="P3226" s="25" t="n">
        <v>0.06783449726767998</v>
      </c>
      <c r="Q3226" s="26" t="n">
        <v>5.689672816037082</v>
      </c>
      <c r="R3226" s="24" t="n">
        <v>3892.998173966168</v>
      </c>
      <c r="S3226" s="24">
        <f>R3226*IF(A3226=4, 2.0, 3.0)</f>
        <v/>
      </c>
      <c r="T3226" s="22">
        <f>'Dashboard &amp; Optimisation'!$B$18*U3226</f>
        <v/>
      </c>
      <c r="U3226" s="27">
        <f>MIN(1, S3226/M3226)</f>
        <v/>
      </c>
      <c r="V3226" s="27">
        <f>N3226/(N3226+O3226)</f>
        <v/>
      </c>
      <c r="W3226" s="27">
        <f>U3226*V3226</f>
        <v/>
      </c>
      <c r="X3226" s="25">
        <f>T3226/N3226</f>
        <v/>
      </c>
      <c r="Y3226" s="28">
        <f>IF(W3226=MAXIFS(W$2:W$3601, A$2:A$3601, A3226, B$2:B$3601, B3226), "OPTIMAL", "")</f>
        <v/>
      </c>
    </row>
    <row r="3227" ht="20" customHeight="1">
      <c r="A3227" s="29" t="n">
        <v>-18</v>
      </c>
      <c r="B3227" s="29" t="n">
        <v>40</v>
      </c>
      <c r="C3227" s="30" t="n">
        <v>120</v>
      </c>
      <c r="D3227" s="30" t="n">
        <v>3</v>
      </c>
      <c r="E3227" s="6" t="n">
        <v>4</v>
      </c>
      <c r="F3227" s="30" t="n">
        <v>1.5</v>
      </c>
      <c r="G3227" s="6" t="inlineStr">
        <is>
          <t>Oui</t>
        </is>
      </c>
      <c r="H3227" s="6" t="inlineStr">
        <is>
          <t>OFF</t>
        </is>
      </c>
      <c r="I3227" s="31" t="n">
        <v>815.012573225423</v>
      </c>
      <c r="J3227" s="31" t="n">
        <v>8308.791548992402</v>
      </c>
      <c r="K3227" s="31" t="n">
        <v>4662.037037037037</v>
      </c>
      <c r="L3227" s="31" t="n">
        <v>150</v>
      </c>
      <c r="M3227" s="31">
        <f>I3227+J3227+K3227+L3227</f>
        <v/>
      </c>
      <c r="N3227" s="31">
        <f>M3227*'Dashboard &amp; Optimisation'!$B$18/('Dashboard &amp; Optimisation'!$B$16/3.6)</f>
        <v/>
      </c>
      <c r="O3227" s="31" t="n">
        <v>1045.492976492722</v>
      </c>
      <c r="P3227" s="32" t="n">
        <v>0.2715077102234196</v>
      </c>
      <c r="Q3227" s="33" t="n">
        <v>5.689672816037082</v>
      </c>
      <c r="R3227" s="31" t="n">
        <v>972.6411591688654</v>
      </c>
      <c r="S3227" s="31">
        <f>R3227*IF(A3227=4, 2.0, 3.0)</f>
        <v/>
      </c>
      <c r="T3227" s="30">
        <f>'Dashboard &amp; Optimisation'!$B$18*U3227</f>
        <v/>
      </c>
      <c r="U3227" s="34">
        <f>MIN(1, S3227/M3227)</f>
        <v/>
      </c>
      <c r="V3227" s="34">
        <f>N3227/(N3227+O3227)</f>
        <v/>
      </c>
      <c r="W3227" s="34">
        <f>U3227*V3227</f>
        <v/>
      </c>
      <c r="X3227" s="32">
        <f>T3227/N3227</f>
        <v/>
      </c>
      <c r="Y3227" s="35">
        <f>IF(W3227=MAXIFS(W$2:W$3601, A$2:A$3601, A3227, B$2:B$3601, B3227), "OPTIMAL", "")</f>
        <v/>
      </c>
    </row>
    <row r="3228" ht="20" customHeight="1">
      <c r="A3228" s="21" t="n">
        <v>-18</v>
      </c>
      <c r="B3228" s="21" t="n">
        <v>40</v>
      </c>
      <c r="C3228" s="22" t="n">
        <v>120</v>
      </c>
      <c r="D3228" s="22" t="n">
        <v>3</v>
      </c>
      <c r="E3228" s="23" t="n">
        <v>4</v>
      </c>
      <c r="F3228" s="22" t="n">
        <v>1.5</v>
      </c>
      <c r="G3228" s="23" t="inlineStr">
        <is>
          <t>Non</t>
        </is>
      </c>
      <c r="H3228" s="23" t="inlineStr">
        <is>
          <t>ON</t>
        </is>
      </c>
      <c r="I3228" s="24" t="n">
        <v>815.012573225423</v>
      </c>
      <c r="J3228" s="24" t="n">
        <v>8308.791548992402</v>
      </c>
      <c r="K3228" s="24" t="n">
        <v>4662.037037037037</v>
      </c>
      <c r="L3228" s="24" t="n">
        <v>150</v>
      </c>
      <c r="M3228" s="24">
        <f>I3228+J3228+K3228+L3228</f>
        <v/>
      </c>
      <c r="N3228" s="24">
        <f>M3228*'Dashboard &amp; Optimisation'!$B$18/('Dashboard &amp; Optimisation'!$B$16/3.6)</f>
        <v/>
      </c>
      <c r="O3228" s="24" t="n">
        <v>1045.492976492722</v>
      </c>
      <c r="P3228" s="25" t="n">
        <v>0.06518191488281506</v>
      </c>
      <c r="Q3228" s="26" t="n">
        <v>5.689672816037082</v>
      </c>
      <c r="R3228" s="24" t="n">
        <v>4051.423994980158</v>
      </c>
      <c r="S3228" s="24">
        <f>R3228*IF(A3228=4, 2.0, 3.0)</f>
        <v/>
      </c>
      <c r="T3228" s="22">
        <f>'Dashboard &amp; Optimisation'!$B$18*U3228</f>
        <v/>
      </c>
      <c r="U3228" s="27">
        <f>MIN(1, S3228/M3228)</f>
        <v/>
      </c>
      <c r="V3228" s="27">
        <f>N3228/(N3228+O3228)</f>
        <v/>
      </c>
      <c r="W3228" s="27">
        <f>U3228*V3228</f>
        <v/>
      </c>
      <c r="X3228" s="25">
        <f>T3228/N3228</f>
        <v/>
      </c>
      <c r="Y3228" s="28">
        <f>IF(W3228=MAXIFS(W$2:W$3601, A$2:A$3601, A3228, B$2:B$3601, B3228), "OPTIMAL", "")</f>
        <v/>
      </c>
    </row>
    <row r="3229" ht="20" customHeight="1">
      <c r="A3229" s="29" t="n">
        <v>-18</v>
      </c>
      <c r="B3229" s="29" t="n">
        <v>40</v>
      </c>
      <c r="C3229" s="30" t="n">
        <v>120</v>
      </c>
      <c r="D3229" s="30" t="n">
        <v>3</v>
      </c>
      <c r="E3229" s="6" t="n">
        <v>4</v>
      </c>
      <c r="F3229" s="30" t="n">
        <v>1.5</v>
      </c>
      <c r="G3229" s="6" t="inlineStr">
        <is>
          <t>Non</t>
        </is>
      </c>
      <c r="H3229" s="6" t="inlineStr">
        <is>
          <t>OFF</t>
        </is>
      </c>
      <c r="I3229" s="31" t="n">
        <v>815.012573225423</v>
      </c>
      <c r="J3229" s="31" t="n">
        <v>8308.791548992402</v>
      </c>
      <c r="K3229" s="31" t="n">
        <v>4662.037037037037</v>
      </c>
      <c r="L3229" s="31" t="n">
        <v>150</v>
      </c>
      <c r="M3229" s="31">
        <f>I3229+J3229+K3229+L3229</f>
        <v/>
      </c>
      <c r="N3229" s="31">
        <f>M3229*'Dashboard &amp; Optimisation'!$B$18/('Dashboard &amp; Optimisation'!$B$16/3.6)</f>
        <v/>
      </c>
      <c r="O3229" s="31" t="n">
        <v>1045.492976492722</v>
      </c>
      <c r="P3229" s="32" t="n">
        <v>0.2688551278385546</v>
      </c>
      <c r="Q3229" s="33" t="n">
        <v>5.689672816037082</v>
      </c>
      <c r="R3229" s="31" t="n">
        <v>982.2374455642479</v>
      </c>
      <c r="S3229" s="31">
        <f>R3229*IF(A3229=4, 2.0, 3.0)</f>
        <v/>
      </c>
      <c r="T3229" s="30">
        <f>'Dashboard &amp; Optimisation'!$B$18*U3229</f>
        <v/>
      </c>
      <c r="U3229" s="34">
        <f>MIN(1, S3229/M3229)</f>
        <v/>
      </c>
      <c r="V3229" s="34">
        <f>N3229/(N3229+O3229)</f>
        <v/>
      </c>
      <c r="W3229" s="34">
        <f>U3229*V3229</f>
        <v/>
      </c>
      <c r="X3229" s="32">
        <f>T3229/N3229</f>
        <v/>
      </c>
      <c r="Y3229" s="35">
        <f>IF(W3229=MAXIFS(W$2:W$3601, A$2:A$3601, A3229, B$2:B$3601, B3229), "OPTIMAL", "")</f>
        <v/>
      </c>
    </row>
    <row r="3230" ht="20" customHeight="1">
      <c r="A3230" s="21" t="n">
        <v>-18</v>
      </c>
      <c r="B3230" s="21" t="n">
        <v>40</v>
      </c>
      <c r="C3230" s="22" t="n">
        <v>120</v>
      </c>
      <c r="D3230" s="22" t="n">
        <v>3</v>
      </c>
      <c r="E3230" s="23" t="n">
        <v>4</v>
      </c>
      <c r="F3230" s="22" t="n">
        <v>2</v>
      </c>
      <c r="G3230" s="23" t="inlineStr">
        <is>
          <t>Oui</t>
        </is>
      </c>
      <c r="H3230" s="23" t="inlineStr">
        <is>
          <t>ON</t>
        </is>
      </c>
      <c r="I3230" s="24" t="n">
        <v>815.012573225423</v>
      </c>
      <c r="J3230" s="24" t="n">
        <v>8308.791548992402</v>
      </c>
      <c r="K3230" s="24" t="n">
        <v>4662.037037037037</v>
      </c>
      <c r="L3230" s="24" t="n">
        <v>150</v>
      </c>
      <c r="M3230" s="24">
        <f>I3230+J3230+K3230+L3230</f>
        <v/>
      </c>
      <c r="N3230" s="24">
        <f>M3230*'Dashboard &amp; Optimisation'!$B$18/('Dashboard &amp; Optimisation'!$B$16/3.6)</f>
        <v/>
      </c>
      <c r="O3230" s="24" t="n">
        <v>1142.398871149146</v>
      </c>
      <c r="P3230" s="25" t="n">
        <v>0.06458187918791126</v>
      </c>
      <c r="Q3230" s="26" t="n">
        <v>7.519563754716109</v>
      </c>
      <c r="R3230" s="24" t="n">
        <v>4126.956174805378</v>
      </c>
      <c r="S3230" s="24">
        <f>R3230*IF(A3230=4, 2.0, 3.0)</f>
        <v/>
      </c>
      <c r="T3230" s="22">
        <f>'Dashboard &amp; Optimisation'!$B$18*U3230</f>
        <v/>
      </c>
      <c r="U3230" s="27">
        <f>MIN(1, S3230/M3230)</f>
        <v/>
      </c>
      <c r="V3230" s="27">
        <f>N3230/(N3230+O3230)</f>
        <v/>
      </c>
      <c r="W3230" s="27">
        <f>U3230*V3230</f>
        <v/>
      </c>
      <c r="X3230" s="25">
        <f>T3230/N3230</f>
        <v/>
      </c>
      <c r="Y3230" s="28">
        <f>IF(W3230=MAXIFS(W$2:W$3601, A$2:A$3601, A3230, B$2:B$3601, B3230), "OPTIMAL", "")</f>
        <v/>
      </c>
    </row>
    <row r="3231" ht="20" customHeight="1">
      <c r="A3231" s="29" t="n">
        <v>-18</v>
      </c>
      <c r="B3231" s="29" t="n">
        <v>40</v>
      </c>
      <c r="C3231" s="30" t="n">
        <v>120</v>
      </c>
      <c r="D3231" s="30" t="n">
        <v>3</v>
      </c>
      <c r="E3231" s="6" t="n">
        <v>4</v>
      </c>
      <c r="F3231" s="30" t="n">
        <v>2</v>
      </c>
      <c r="G3231" s="6" t="inlineStr">
        <is>
          <t>Oui</t>
        </is>
      </c>
      <c r="H3231" s="6" t="inlineStr">
        <is>
          <t>OFF</t>
        </is>
      </c>
      <c r="I3231" s="31" t="n">
        <v>815.012573225423</v>
      </c>
      <c r="J3231" s="31" t="n">
        <v>8308.791548992402</v>
      </c>
      <c r="K3231" s="31" t="n">
        <v>4662.037037037037</v>
      </c>
      <c r="L3231" s="31" t="n">
        <v>150</v>
      </c>
      <c r="M3231" s="31">
        <f>I3231+J3231+K3231+L3231</f>
        <v/>
      </c>
      <c r="N3231" s="31">
        <f>M3231*'Dashboard &amp; Optimisation'!$B$18/('Dashboard &amp; Optimisation'!$B$16/3.6)</f>
        <v/>
      </c>
      <c r="O3231" s="31" t="n">
        <v>1142.398871149146</v>
      </c>
      <c r="P3231" s="32" t="n">
        <v>0.2690865884190716</v>
      </c>
      <c r="Q3231" s="33" t="n">
        <v>7.519563754716109</v>
      </c>
      <c r="R3231" s="31" t="n">
        <v>990.4863213769712</v>
      </c>
      <c r="S3231" s="31">
        <f>R3231*IF(A3231=4, 2.0, 3.0)</f>
        <v/>
      </c>
      <c r="T3231" s="30">
        <f>'Dashboard &amp; Optimisation'!$B$18*U3231</f>
        <v/>
      </c>
      <c r="U3231" s="34">
        <f>MIN(1, S3231/M3231)</f>
        <v/>
      </c>
      <c r="V3231" s="34">
        <f>N3231/(N3231+O3231)</f>
        <v/>
      </c>
      <c r="W3231" s="34">
        <f>U3231*V3231</f>
        <v/>
      </c>
      <c r="X3231" s="32">
        <f>T3231/N3231</f>
        <v/>
      </c>
      <c r="Y3231" s="35">
        <f>IF(W3231=MAXIFS(W$2:W$3601, A$2:A$3601, A3231, B$2:B$3601, B3231), "OPTIMAL", "")</f>
        <v/>
      </c>
    </row>
    <row r="3232" ht="20" customHeight="1">
      <c r="A3232" s="21" t="n">
        <v>-18</v>
      </c>
      <c r="B3232" s="21" t="n">
        <v>40</v>
      </c>
      <c r="C3232" s="22" t="n">
        <v>120</v>
      </c>
      <c r="D3232" s="22" t="n">
        <v>3</v>
      </c>
      <c r="E3232" s="23" t="n">
        <v>4</v>
      </c>
      <c r="F3232" s="22" t="n">
        <v>2</v>
      </c>
      <c r="G3232" s="23" t="inlineStr">
        <is>
          <t>Non</t>
        </is>
      </c>
      <c r="H3232" s="23" t="inlineStr">
        <is>
          <t>ON</t>
        </is>
      </c>
      <c r="I3232" s="24" t="n">
        <v>815.012573225423</v>
      </c>
      <c r="J3232" s="24" t="n">
        <v>8308.791548992402</v>
      </c>
      <c r="K3232" s="24" t="n">
        <v>4662.037037037037</v>
      </c>
      <c r="L3232" s="24" t="n">
        <v>150</v>
      </c>
      <c r="M3232" s="24">
        <f>I3232+J3232+K3232+L3232</f>
        <v/>
      </c>
      <c r="N3232" s="24">
        <f>M3232*'Dashboard &amp; Optimisation'!$B$18/('Dashboard &amp; Optimisation'!$B$16/3.6)</f>
        <v/>
      </c>
      <c r="O3232" s="24" t="n">
        <v>1142.398871149146</v>
      </c>
      <c r="P3232" s="25" t="n">
        <v>0.06192929680304634</v>
      </c>
      <c r="Q3232" s="26" t="n">
        <v>7.519563754716109</v>
      </c>
      <c r="R3232" s="24" t="n">
        <v>4303.723743912667</v>
      </c>
      <c r="S3232" s="24">
        <f>R3232*IF(A3232=4, 2.0, 3.0)</f>
        <v/>
      </c>
      <c r="T3232" s="22">
        <f>'Dashboard &amp; Optimisation'!$B$18*U3232</f>
        <v/>
      </c>
      <c r="U3232" s="27">
        <f>MIN(1, S3232/M3232)</f>
        <v/>
      </c>
      <c r="V3232" s="27">
        <f>N3232/(N3232+O3232)</f>
        <v/>
      </c>
      <c r="W3232" s="27">
        <f>U3232*V3232</f>
        <v/>
      </c>
      <c r="X3232" s="25">
        <f>T3232/N3232</f>
        <v/>
      </c>
      <c r="Y3232" s="28">
        <f>IF(W3232=MAXIFS(W$2:W$3601, A$2:A$3601, A3232, B$2:B$3601, B3232), "OPTIMAL", "")</f>
        <v/>
      </c>
    </row>
    <row r="3233" ht="20" customHeight="1">
      <c r="A3233" s="29" t="n">
        <v>-18</v>
      </c>
      <c r="B3233" s="29" t="n">
        <v>40</v>
      </c>
      <c r="C3233" s="30" t="n">
        <v>120</v>
      </c>
      <c r="D3233" s="30" t="n">
        <v>3</v>
      </c>
      <c r="E3233" s="6" t="n">
        <v>4</v>
      </c>
      <c r="F3233" s="30" t="n">
        <v>2</v>
      </c>
      <c r="G3233" s="6" t="inlineStr">
        <is>
          <t>Non</t>
        </is>
      </c>
      <c r="H3233" s="6" t="inlineStr">
        <is>
          <t>OFF</t>
        </is>
      </c>
      <c r="I3233" s="31" t="n">
        <v>815.012573225423</v>
      </c>
      <c r="J3233" s="31" t="n">
        <v>8308.791548992402</v>
      </c>
      <c r="K3233" s="31" t="n">
        <v>4662.037037037037</v>
      </c>
      <c r="L3233" s="31" t="n">
        <v>150</v>
      </c>
      <c r="M3233" s="31">
        <f>I3233+J3233+K3233+L3233</f>
        <v/>
      </c>
      <c r="N3233" s="31">
        <f>M3233*'Dashboard &amp; Optimisation'!$B$18/('Dashboard &amp; Optimisation'!$B$16/3.6)</f>
        <v/>
      </c>
      <c r="O3233" s="31" t="n">
        <v>1142.398871149146</v>
      </c>
      <c r="P3233" s="32" t="n">
        <v>0.2664340060342067</v>
      </c>
      <c r="Q3233" s="33" t="n">
        <v>7.519563754716109</v>
      </c>
      <c r="R3233" s="31" t="n">
        <v>1000.347474642057</v>
      </c>
      <c r="S3233" s="31">
        <f>R3233*IF(A3233=4, 2.0, 3.0)</f>
        <v/>
      </c>
      <c r="T3233" s="30">
        <f>'Dashboard &amp; Optimisation'!$B$18*U3233</f>
        <v/>
      </c>
      <c r="U3233" s="34">
        <f>MIN(1, S3233/M3233)</f>
        <v/>
      </c>
      <c r="V3233" s="34">
        <f>N3233/(N3233+O3233)</f>
        <v/>
      </c>
      <c r="W3233" s="34">
        <f>U3233*V3233</f>
        <v/>
      </c>
      <c r="X3233" s="32">
        <f>T3233/N3233</f>
        <v/>
      </c>
      <c r="Y3233" s="35">
        <f>IF(W3233=MAXIFS(W$2:W$3601, A$2:A$3601, A3233, B$2:B$3601, B3233), "OPTIMAL", "")</f>
        <v/>
      </c>
    </row>
    <row r="3234" ht="20" customHeight="1">
      <c r="A3234" s="21" t="n">
        <v>-18</v>
      </c>
      <c r="B3234" s="21" t="n">
        <v>40</v>
      </c>
      <c r="C3234" s="22" t="n">
        <v>120</v>
      </c>
      <c r="D3234" s="22" t="n">
        <v>3</v>
      </c>
      <c r="E3234" s="23" t="n">
        <v>8</v>
      </c>
      <c r="F3234" s="22" t="n">
        <v>1.5</v>
      </c>
      <c r="G3234" s="23" t="inlineStr">
        <is>
          <t>Oui</t>
        </is>
      </c>
      <c r="H3234" s="23" t="inlineStr">
        <is>
          <t>ON</t>
        </is>
      </c>
      <c r="I3234" s="24" t="n">
        <v>815.012573225423</v>
      </c>
      <c r="J3234" s="24" t="n">
        <v>8308.791548992402</v>
      </c>
      <c r="K3234" s="24" t="n">
        <v>4662.037037037037</v>
      </c>
      <c r="L3234" s="24" t="n">
        <v>150</v>
      </c>
      <c r="M3234" s="24">
        <f>I3234+J3234+K3234+L3234</f>
        <v/>
      </c>
      <c r="N3234" s="24">
        <f>M3234*'Dashboard &amp; Optimisation'!$B$18/('Dashboard &amp; Optimisation'!$B$16/3.6)</f>
        <v/>
      </c>
      <c r="O3234" s="24" t="n">
        <v>1341.700082188941</v>
      </c>
      <c r="P3234" s="25" t="n">
        <v>0.05144850932496671</v>
      </c>
      <c r="Q3234" s="26" t="n">
        <v>11.17934563207417</v>
      </c>
      <c r="R3234" s="24" t="n">
        <v>5278.271936976358</v>
      </c>
      <c r="S3234" s="24">
        <f>R3234*IF(A3234=4, 2.0, 3.0)</f>
        <v/>
      </c>
      <c r="T3234" s="22">
        <f>'Dashboard &amp; Optimisation'!$B$18*U3234</f>
        <v/>
      </c>
      <c r="U3234" s="27">
        <f>MIN(1, S3234/M3234)</f>
        <v/>
      </c>
      <c r="V3234" s="27">
        <f>N3234/(N3234+O3234)</f>
        <v/>
      </c>
      <c r="W3234" s="27">
        <f>U3234*V3234</f>
        <v/>
      </c>
      <c r="X3234" s="25">
        <f>T3234/N3234</f>
        <v/>
      </c>
      <c r="Y3234" s="28">
        <f>IF(W3234=MAXIFS(W$2:W$3601, A$2:A$3601, A3234, B$2:B$3601, B3234), "OPTIMAL", "")</f>
        <v/>
      </c>
    </row>
    <row r="3235" ht="20" customHeight="1">
      <c r="A3235" s="29" t="n">
        <v>-18</v>
      </c>
      <c r="B3235" s="29" t="n">
        <v>40</v>
      </c>
      <c r="C3235" s="30" t="n">
        <v>120</v>
      </c>
      <c r="D3235" s="30" t="n">
        <v>3</v>
      </c>
      <c r="E3235" s="6" t="n">
        <v>8</v>
      </c>
      <c r="F3235" s="30" t="n">
        <v>1.5</v>
      </c>
      <c r="G3235" s="6" t="inlineStr">
        <is>
          <t>Oui</t>
        </is>
      </c>
      <c r="H3235" s="6" t="inlineStr">
        <is>
          <t>OFF</t>
        </is>
      </c>
      <c r="I3235" s="31" t="n">
        <v>815.012573225423</v>
      </c>
      <c r="J3235" s="31" t="n">
        <v>8308.791548992402</v>
      </c>
      <c r="K3235" s="31" t="n">
        <v>4662.037037037037</v>
      </c>
      <c r="L3235" s="31" t="n">
        <v>150</v>
      </c>
      <c r="M3235" s="31">
        <f>I3235+J3235+K3235+L3235</f>
        <v/>
      </c>
      <c r="N3235" s="31">
        <f>M3235*'Dashboard &amp; Optimisation'!$B$18/('Dashboard &amp; Optimisation'!$B$16/3.6)</f>
        <v/>
      </c>
      <c r="O3235" s="31" t="n">
        <v>1341.700082188941</v>
      </c>
      <c r="P3235" s="32" t="n">
        <v>0.2167441267000743</v>
      </c>
      <c r="Q3235" s="33" t="n">
        <v>11.17934563207417</v>
      </c>
      <c r="R3235" s="31" t="n">
        <v>1252.902337441494</v>
      </c>
      <c r="S3235" s="31">
        <f>R3235*IF(A3235=4, 2.0, 3.0)</f>
        <v/>
      </c>
      <c r="T3235" s="30">
        <f>'Dashboard &amp; Optimisation'!$B$18*U3235</f>
        <v/>
      </c>
      <c r="U3235" s="34">
        <f>MIN(1, S3235/M3235)</f>
        <v/>
      </c>
      <c r="V3235" s="34">
        <f>N3235/(N3235+O3235)</f>
        <v/>
      </c>
      <c r="W3235" s="34">
        <f>U3235*V3235</f>
        <v/>
      </c>
      <c r="X3235" s="32">
        <f>T3235/N3235</f>
        <v/>
      </c>
      <c r="Y3235" s="35">
        <f>IF(W3235=MAXIFS(W$2:W$3601, A$2:A$3601, A3235, B$2:B$3601, B3235), "OPTIMAL", "")</f>
        <v/>
      </c>
    </row>
    <row r="3236" ht="20" customHeight="1">
      <c r="A3236" s="21" t="n">
        <v>-18</v>
      </c>
      <c r="B3236" s="21" t="n">
        <v>40</v>
      </c>
      <c r="C3236" s="22" t="n">
        <v>120</v>
      </c>
      <c r="D3236" s="22" t="n">
        <v>3</v>
      </c>
      <c r="E3236" s="23" t="n">
        <v>8</v>
      </c>
      <c r="F3236" s="22" t="n">
        <v>1.5</v>
      </c>
      <c r="G3236" s="23" t="inlineStr">
        <is>
          <t>Non</t>
        </is>
      </c>
      <c r="H3236" s="23" t="inlineStr">
        <is>
          <t>ON</t>
        </is>
      </c>
      <c r="I3236" s="24" t="n">
        <v>815.012573225423</v>
      </c>
      <c r="J3236" s="24" t="n">
        <v>8308.791548992402</v>
      </c>
      <c r="K3236" s="24" t="n">
        <v>4662.037037037037</v>
      </c>
      <c r="L3236" s="24" t="n">
        <v>150</v>
      </c>
      <c r="M3236" s="24">
        <f>I3236+J3236+K3236+L3236</f>
        <v/>
      </c>
      <c r="N3236" s="24">
        <f>M3236*'Dashboard &amp; Optimisation'!$B$18/('Dashboard &amp; Optimisation'!$B$16/3.6)</f>
        <v/>
      </c>
      <c r="O3236" s="24" t="n">
        <v>1341.700082188941</v>
      </c>
      <c r="P3236" s="25" t="n">
        <v>0.04879592694010178</v>
      </c>
      <c r="Q3236" s="26" t="n">
        <v>11.17934563207417</v>
      </c>
      <c r="R3236" s="24" t="n">
        <v>5565.202671579207</v>
      </c>
      <c r="S3236" s="24">
        <f>R3236*IF(A3236=4, 2.0, 3.0)</f>
        <v/>
      </c>
      <c r="T3236" s="22">
        <f>'Dashboard &amp; Optimisation'!$B$18*U3236</f>
        <v/>
      </c>
      <c r="U3236" s="27">
        <f>MIN(1, S3236/M3236)</f>
        <v/>
      </c>
      <c r="V3236" s="27">
        <f>N3236/(N3236+O3236)</f>
        <v/>
      </c>
      <c r="W3236" s="27">
        <f>U3236*V3236</f>
        <v/>
      </c>
      <c r="X3236" s="25">
        <f>T3236/N3236</f>
        <v/>
      </c>
      <c r="Y3236" s="28">
        <f>IF(W3236=MAXIFS(W$2:W$3601, A$2:A$3601, A3236, B$2:B$3601, B3236), "OPTIMAL", "")</f>
        <v/>
      </c>
    </row>
    <row r="3237" ht="20" customHeight="1">
      <c r="A3237" s="29" t="n">
        <v>-18</v>
      </c>
      <c r="B3237" s="29" t="n">
        <v>40</v>
      </c>
      <c r="C3237" s="30" t="n">
        <v>120</v>
      </c>
      <c r="D3237" s="30" t="n">
        <v>3</v>
      </c>
      <c r="E3237" s="6" t="n">
        <v>8</v>
      </c>
      <c r="F3237" s="30" t="n">
        <v>1.5</v>
      </c>
      <c r="G3237" s="6" t="inlineStr">
        <is>
          <t>Non</t>
        </is>
      </c>
      <c r="H3237" s="6" t="inlineStr">
        <is>
          <t>OFF</t>
        </is>
      </c>
      <c r="I3237" s="31" t="n">
        <v>815.012573225423</v>
      </c>
      <c r="J3237" s="31" t="n">
        <v>8308.791548992402</v>
      </c>
      <c r="K3237" s="31" t="n">
        <v>4662.037037037037</v>
      </c>
      <c r="L3237" s="31" t="n">
        <v>150</v>
      </c>
      <c r="M3237" s="31">
        <f>I3237+J3237+K3237+L3237</f>
        <v/>
      </c>
      <c r="N3237" s="31">
        <f>M3237*'Dashboard &amp; Optimisation'!$B$18/('Dashboard &amp; Optimisation'!$B$16/3.6)</f>
        <v/>
      </c>
      <c r="O3237" s="31" t="n">
        <v>1341.700082188941</v>
      </c>
      <c r="P3237" s="32" t="n">
        <v>0.2140915443152093</v>
      </c>
      <c r="Q3237" s="33" t="n">
        <v>11.17934563207417</v>
      </c>
      <c r="R3237" s="31" t="n">
        <v>1268.425728058735</v>
      </c>
      <c r="S3237" s="31">
        <f>R3237*IF(A3237=4, 2.0, 3.0)</f>
        <v/>
      </c>
      <c r="T3237" s="30">
        <f>'Dashboard &amp; Optimisation'!$B$18*U3237</f>
        <v/>
      </c>
      <c r="U3237" s="34">
        <f>MIN(1, S3237/M3237)</f>
        <v/>
      </c>
      <c r="V3237" s="34">
        <f>N3237/(N3237+O3237)</f>
        <v/>
      </c>
      <c r="W3237" s="34">
        <f>U3237*V3237</f>
        <v/>
      </c>
      <c r="X3237" s="32">
        <f>T3237/N3237</f>
        <v/>
      </c>
      <c r="Y3237" s="35">
        <f>IF(W3237=MAXIFS(W$2:W$3601, A$2:A$3601, A3237, B$2:B$3601, B3237), "OPTIMAL", "")</f>
        <v/>
      </c>
    </row>
    <row r="3238" ht="20" customHeight="1">
      <c r="A3238" s="21" t="n">
        <v>-18</v>
      </c>
      <c r="B3238" s="21" t="n">
        <v>40</v>
      </c>
      <c r="C3238" s="22" t="n">
        <v>120</v>
      </c>
      <c r="D3238" s="22" t="n">
        <v>3</v>
      </c>
      <c r="E3238" s="23" t="n">
        <v>8</v>
      </c>
      <c r="F3238" s="22" t="n">
        <v>2</v>
      </c>
      <c r="G3238" s="23" t="inlineStr">
        <is>
          <t>Oui</t>
        </is>
      </c>
      <c r="H3238" s="23" t="inlineStr">
        <is>
          <t>ON</t>
        </is>
      </c>
      <c r="I3238" s="24" t="n">
        <v>815.012573225423</v>
      </c>
      <c r="J3238" s="24" t="n">
        <v>8308.791548992402</v>
      </c>
      <c r="K3238" s="24" t="n">
        <v>4662.037037037037</v>
      </c>
      <c r="L3238" s="24" t="n">
        <v>150</v>
      </c>
      <c r="M3238" s="24">
        <f>I3238+J3238+K3238+L3238</f>
        <v/>
      </c>
      <c r="N3238" s="24">
        <f>M3238*'Dashboard &amp; Optimisation'!$B$18/('Dashboard &amp; Optimisation'!$B$16/3.6)</f>
        <v/>
      </c>
      <c r="O3238" s="24" t="n">
        <v>1548.672681677325</v>
      </c>
      <c r="P3238" s="25" t="n">
        <v>0.04989331996011</v>
      </c>
      <c r="Q3238" s="26" t="n">
        <v>14.83912750943222</v>
      </c>
      <c r="R3238" s="24" t="n">
        <v>5547.547737632273</v>
      </c>
      <c r="S3238" s="24">
        <f>R3238*IF(A3238=4, 2.0, 3.0)</f>
        <v/>
      </c>
      <c r="T3238" s="22">
        <f>'Dashboard &amp; Optimisation'!$B$18*U3238</f>
        <v/>
      </c>
      <c r="U3238" s="27">
        <f>MIN(1, S3238/M3238)</f>
        <v/>
      </c>
      <c r="V3238" s="27">
        <f>N3238/(N3238+O3238)</f>
        <v/>
      </c>
      <c r="W3238" s="27">
        <f>U3238*V3238</f>
        <v/>
      </c>
      <c r="X3238" s="25">
        <f>T3238/N3238</f>
        <v/>
      </c>
      <c r="Y3238" s="28">
        <f>IF(W3238=MAXIFS(W$2:W$3601, A$2:A$3601, A3238, B$2:B$3601, B3238), "OPTIMAL", "")</f>
        <v/>
      </c>
    </row>
    <row r="3239" ht="20" customHeight="1">
      <c r="A3239" s="29" t="n">
        <v>-18</v>
      </c>
      <c r="B3239" s="29" t="n">
        <v>40</v>
      </c>
      <c r="C3239" s="30" t="n">
        <v>120</v>
      </c>
      <c r="D3239" s="30" t="n">
        <v>3</v>
      </c>
      <c r="E3239" s="6" t="n">
        <v>8</v>
      </c>
      <c r="F3239" s="30" t="n">
        <v>2</v>
      </c>
      <c r="G3239" s="6" t="inlineStr">
        <is>
          <t>Oui</t>
        </is>
      </c>
      <c r="H3239" s="6" t="inlineStr">
        <is>
          <t>OFF</t>
        </is>
      </c>
      <c r="I3239" s="31" t="n">
        <v>815.012573225423</v>
      </c>
      <c r="J3239" s="31" t="n">
        <v>8308.791548992402</v>
      </c>
      <c r="K3239" s="31" t="n">
        <v>4662.037037037037</v>
      </c>
      <c r="L3239" s="31" t="n">
        <v>150</v>
      </c>
      <c r="M3239" s="31">
        <f>I3239+J3239+K3239+L3239</f>
        <v/>
      </c>
      <c r="N3239" s="31">
        <f>M3239*'Dashboard &amp; Optimisation'!$B$18/('Dashboard &amp; Optimisation'!$B$16/3.6)</f>
        <v/>
      </c>
      <c r="O3239" s="31" t="n">
        <v>1548.672681677325</v>
      </c>
      <c r="P3239" s="32" t="n">
        <v>0.2162873761903785</v>
      </c>
      <c r="Q3239" s="33" t="n">
        <v>14.83912750943222</v>
      </c>
      <c r="R3239" s="31" t="n">
        <v>1279.712108690254</v>
      </c>
      <c r="S3239" s="31">
        <f>R3239*IF(A3239=4, 2.0, 3.0)</f>
        <v/>
      </c>
      <c r="T3239" s="30">
        <f>'Dashboard &amp; Optimisation'!$B$18*U3239</f>
        <v/>
      </c>
      <c r="U3239" s="34">
        <f>MIN(1, S3239/M3239)</f>
        <v/>
      </c>
      <c r="V3239" s="34">
        <f>N3239/(N3239+O3239)</f>
        <v/>
      </c>
      <c r="W3239" s="34">
        <f>U3239*V3239</f>
        <v/>
      </c>
      <c r="X3239" s="32">
        <f>T3239/N3239</f>
        <v/>
      </c>
      <c r="Y3239" s="35">
        <f>IF(W3239=MAXIFS(W$2:W$3601, A$2:A$3601, A3239, B$2:B$3601, B3239), "OPTIMAL", "")</f>
        <v/>
      </c>
    </row>
    <row r="3240" ht="20" customHeight="1">
      <c r="A3240" s="21" t="n">
        <v>-18</v>
      </c>
      <c r="B3240" s="21" t="n">
        <v>40</v>
      </c>
      <c r="C3240" s="22" t="n">
        <v>120</v>
      </c>
      <c r="D3240" s="22" t="n">
        <v>3</v>
      </c>
      <c r="E3240" s="23" t="n">
        <v>8</v>
      </c>
      <c r="F3240" s="22" t="n">
        <v>2</v>
      </c>
      <c r="G3240" s="23" t="inlineStr">
        <is>
          <t>Non</t>
        </is>
      </c>
      <c r="H3240" s="23" t="inlineStr">
        <is>
          <t>ON</t>
        </is>
      </c>
      <c r="I3240" s="24" t="n">
        <v>815.012573225423</v>
      </c>
      <c r="J3240" s="24" t="n">
        <v>8308.791548992402</v>
      </c>
      <c r="K3240" s="24" t="n">
        <v>4662.037037037037</v>
      </c>
      <c r="L3240" s="24" t="n">
        <v>150</v>
      </c>
      <c r="M3240" s="24">
        <f>I3240+J3240+K3240+L3240</f>
        <v/>
      </c>
      <c r="N3240" s="24">
        <f>M3240*'Dashboard &amp; Optimisation'!$B$18/('Dashboard &amp; Optimisation'!$B$16/3.6)</f>
        <v/>
      </c>
      <c r="O3240" s="24" t="n">
        <v>1548.672681677325</v>
      </c>
      <c r="P3240" s="25" t="n">
        <v>0.04724073757524508</v>
      </c>
      <c r="Q3240" s="26" t="n">
        <v>14.83912750943222</v>
      </c>
      <c r="R3240" s="24" t="n">
        <v>5859.044301050702</v>
      </c>
      <c r="S3240" s="24">
        <f>R3240*IF(A3240=4, 2.0, 3.0)</f>
        <v/>
      </c>
      <c r="T3240" s="22">
        <f>'Dashboard &amp; Optimisation'!$B$18*U3240</f>
        <v/>
      </c>
      <c r="U3240" s="27">
        <f>MIN(1, S3240/M3240)</f>
        <v/>
      </c>
      <c r="V3240" s="27">
        <f>N3240/(N3240+O3240)</f>
        <v/>
      </c>
      <c r="W3240" s="27">
        <f>U3240*V3240</f>
        <v/>
      </c>
      <c r="X3240" s="25">
        <f>T3240/N3240</f>
        <v/>
      </c>
      <c r="Y3240" s="28">
        <f>IF(W3240=MAXIFS(W$2:W$3601, A$2:A$3601, A3240, B$2:B$3601, B3240), "OPTIMAL", "")</f>
        <v/>
      </c>
    </row>
    <row r="3241" ht="20" customHeight="1">
      <c r="A3241" s="29" t="n">
        <v>-18</v>
      </c>
      <c r="B3241" s="29" t="n">
        <v>40</v>
      </c>
      <c r="C3241" s="30" t="n">
        <v>120</v>
      </c>
      <c r="D3241" s="30" t="n">
        <v>3</v>
      </c>
      <c r="E3241" s="6" t="n">
        <v>8</v>
      </c>
      <c r="F3241" s="30" t="n">
        <v>2</v>
      </c>
      <c r="G3241" s="6" t="inlineStr">
        <is>
          <t>Non</t>
        </is>
      </c>
      <c r="H3241" s="6" t="inlineStr">
        <is>
          <t>OFF</t>
        </is>
      </c>
      <c r="I3241" s="31" t="n">
        <v>815.012573225423</v>
      </c>
      <c r="J3241" s="31" t="n">
        <v>8308.791548992402</v>
      </c>
      <c r="K3241" s="31" t="n">
        <v>4662.037037037037</v>
      </c>
      <c r="L3241" s="31" t="n">
        <v>150</v>
      </c>
      <c r="M3241" s="31">
        <f>I3241+J3241+K3241+L3241</f>
        <v/>
      </c>
      <c r="N3241" s="31">
        <f>M3241*'Dashboard &amp; Optimisation'!$B$18/('Dashboard &amp; Optimisation'!$B$16/3.6)</f>
        <v/>
      </c>
      <c r="O3241" s="31" t="n">
        <v>1548.672681677325</v>
      </c>
      <c r="P3241" s="32" t="n">
        <v>0.2136347938055135</v>
      </c>
      <c r="Q3241" s="33" t="n">
        <v>14.83912750943222</v>
      </c>
      <c r="R3241" s="31" t="n">
        <v>1295.601570030996</v>
      </c>
      <c r="S3241" s="31">
        <f>R3241*IF(A3241=4, 2.0, 3.0)</f>
        <v/>
      </c>
      <c r="T3241" s="30">
        <f>'Dashboard &amp; Optimisation'!$B$18*U3241</f>
        <v/>
      </c>
      <c r="U3241" s="34">
        <f>MIN(1, S3241/M3241)</f>
        <v/>
      </c>
      <c r="V3241" s="34">
        <f>N3241/(N3241+O3241)</f>
        <v/>
      </c>
      <c r="W3241" s="34">
        <f>U3241*V3241</f>
        <v/>
      </c>
      <c r="X3241" s="32">
        <f>T3241/N3241</f>
        <v/>
      </c>
      <c r="Y3241" s="35">
        <f>IF(W3241=MAXIFS(W$2:W$3601, A$2:A$3601, A3241, B$2:B$3601, B3241), "OPTIMAL", "")</f>
        <v/>
      </c>
    </row>
    <row r="3242" ht="20" customHeight="1">
      <c r="A3242" s="21" t="n">
        <v>-18</v>
      </c>
      <c r="B3242" s="21" t="n">
        <v>45</v>
      </c>
      <c r="C3242" s="22" t="n">
        <v>80</v>
      </c>
      <c r="D3242" s="22" t="n">
        <v>2</v>
      </c>
      <c r="E3242" s="23" t="n">
        <v>0</v>
      </c>
      <c r="F3242" s="22" t="n">
        <v>0</v>
      </c>
      <c r="G3242" s="23" t="inlineStr">
        <is>
          <t>Oui</t>
        </is>
      </c>
      <c r="H3242" s="23" t="inlineStr">
        <is>
          <t>ON</t>
        </is>
      </c>
      <c r="I3242" s="24" t="n">
        <v>885.2722778138215</v>
      </c>
      <c r="J3242" s="24" t="n">
        <v>10520.73059103506</v>
      </c>
      <c r="K3242" s="24" t="n">
        <v>5101.851851851852</v>
      </c>
      <c r="L3242" s="24" t="n">
        <v>150</v>
      </c>
      <c r="M3242" s="24">
        <f>I3242+J3242+K3242+L3242</f>
        <v/>
      </c>
      <c r="N3242" s="24">
        <f>M3242*'Dashboard &amp; Optimisation'!$B$18/('Dashboard &amp; Optimisation'!$B$16/3.6)</f>
        <v/>
      </c>
      <c r="O3242" s="24" t="n">
        <v>914.6212688100578</v>
      </c>
      <c r="P3242" s="25" t="n">
        <v>0.5013778930875155</v>
      </c>
      <c r="Q3242" s="26" t="n">
        <v>0.2</v>
      </c>
      <c r="R3242" s="24" t="n">
        <v>1378.598749257427</v>
      </c>
      <c r="S3242" s="24">
        <f>R3242*IF(A3242=4, 2.0, 3.0)</f>
        <v/>
      </c>
      <c r="T3242" s="22">
        <f>'Dashboard &amp; Optimisation'!$B$18*U3242</f>
        <v/>
      </c>
      <c r="U3242" s="27">
        <f>MIN(1, S3242/M3242)</f>
        <v/>
      </c>
      <c r="V3242" s="27">
        <f>N3242/(N3242+O3242)</f>
        <v/>
      </c>
      <c r="W3242" s="27">
        <f>U3242*V3242</f>
        <v/>
      </c>
      <c r="X3242" s="25">
        <f>T3242/N3242</f>
        <v/>
      </c>
      <c r="Y3242" s="28">
        <f>IF(W3242=MAXIFS(W$2:W$3601, A$2:A$3601, A3242, B$2:B$3601, B3242), "OPTIMAL", "")</f>
        <v/>
      </c>
    </row>
    <row r="3243" ht="20" customHeight="1">
      <c r="A3243" s="29" t="n">
        <v>-18</v>
      </c>
      <c r="B3243" s="29" t="n">
        <v>45</v>
      </c>
      <c r="C3243" s="30" t="n">
        <v>80</v>
      </c>
      <c r="D3243" s="30" t="n">
        <v>2</v>
      </c>
      <c r="E3243" s="6" t="n">
        <v>0</v>
      </c>
      <c r="F3243" s="30" t="n">
        <v>0</v>
      </c>
      <c r="G3243" s="6" t="inlineStr">
        <is>
          <t>Oui</t>
        </is>
      </c>
      <c r="H3243" s="6" t="inlineStr">
        <is>
          <t>OFF</t>
        </is>
      </c>
      <c r="I3243" s="31" t="n">
        <v>885.2722778138215</v>
      </c>
      <c r="J3243" s="31" t="n">
        <v>10520.73059103506</v>
      </c>
      <c r="K3243" s="31" t="n">
        <v>5101.851851851852</v>
      </c>
      <c r="L3243" s="31" t="n">
        <v>150</v>
      </c>
      <c r="M3243" s="31">
        <f>I3243+J3243+K3243+L3243</f>
        <v/>
      </c>
      <c r="N3243" s="31">
        <f>M3243*'Dashboard &amp; Optimisation'!$B$18/('Dashboard &amp; Optimisation'!$B$16/3.6)</f>
        <v/>
      </c>
      <c r="O3243" s="31" t="n">
        <v>914.6212688100578</v>
      </c>
      <c r="P3243" s="32" t="n">
        <v>0.8992652508172538</v>
      </c>
      <c r="Q3243" s="33" t="n">
        <v>0.2</v>
      </c>
      <c r="R3243" s="31" t="n">
        <v>768.6263154142896</v>
      </c>
      <c r="S3243" s="31">
        <f>R3243*IF(A3243=4, 2.0, 3.0)</f>
        <v/>
      </c>
      <c r="T3243" s="30">
        <f>'Dashboard &amp; Optimisation'!$B$18*U3243</f>
        <v/>
      </c>
      <c r="U3243" s="34">
        <f>MIN(1, S3243/M3243)</f>
        <v/>
      </c>
      <c r="V3243" s="34">
        <f>N3243/(N3243+O3243)</f>
        <v/>
      </c>
      <c r="W3243" s="34">
        <f>U3243*V3243</f>
        <v/>
      </c>
      <c r="X3243" s="32">
        <f>T3243/N3243</f>
        <v/>
      </c>
      <c r="Y3243" s="35">
        <f>IF(W3243=MAXIFS(W$2:W$3601, A$2:A$3601, A3243, B$2:B$3601, B3243), "OPTIMAL", "")</f>
        <v/>
      </c>
    </row>
    <row r="3244" ht="20" customHeight="1">
      <c r="A3244" s="21" t="n">
        <v>-18</v>
      </c>
      <c r="B3244" s="21" t="n">
        <v>45</v>
      </c>
      <c r="C3244" s="22" t="n">
        <v>80</v>
      </c>
      <c r="D3244" s="22" t="n">
        <v>2</v>
      </c>
      <c r="E3244" s="23" t="n">
        <v>0</v>
      </c>
      <c r="F3244" s="22" t="n">
        <v>0</v>
      </c>
      <c r="G3244" s="23" t="inlineStr">
        <is>
          <t>Non</t>
        </is>
      </c>
      <c r="H3244" s="23" t="inlineStr">
        <is>
          <t>ON</t>
        </is>
      </c>
      <c r="I3244" s="24" t="n">
        <v>885.2722778138215</v>
      </c>
      <c r="J3244" s="24" t="n">
        <v>10520.73059103506</v>
      </c>
      <c r="K3244" s="24" t="n">
        <v>5101.851851851852</v>
      </c>
      <c r="L3244" s="24" t="n">
        <v>150</v>
      </c>
      <c r="M3244" s="24">
        <f>I3244+J3244+K3244+L3244</f>
        <v/>
      </c>
      <c r="N3244" s="24">
        <f>M3244*'Dashboard &amp; Optimisation'!$B$18/('Dashboard &amp; Optimisation'!$B$16/3.6)</f>
        <v/>
      </c>
      <c r="O3244" s="24" t="n">
        <v>914.6212688100578</v>
      </c>
      <c r="P3244" s="25" t="n">
        <v>0.4973990195102181</v>
      </c>
      <c r="Q3244" s="26" t="n">
        <v>0.2</v>
      </c>
      <c r="R3244" s="24" t="n">
        <v>1389.626656273643</v>
      </c>
      <c r="S3244" s="24">
        <f>R3244*IF(A3244=4, 2.0, 3.0)</f>
        <v/>
      </c>
      <c r="T3244" s="22">
        <f>'Dashboard &amp; Optimisation'!$B$18*U3244</f>
        <v/>
      </c>
      <c r="U3244" s="27">
        <f>MIN(1, S3244/M3244)</f>
        <v/>
      </c>
      <c r="V3244" s="27">
        <f>N3244/(N3244+O3244)</f>
        <v/>
      </c>
      <c r="W3244" s="27">
        <f>U3244*V3244</f>
        <v/>
      </c>
      <c r="X3244" s="25">
        <f>T3244/N3244</f>
        <v/>
      </c>
      <c r="Y3244" s="28">
        <f>IF(W3244=MAXIFS(W$2:W$3601, A$2:A$3601, A3244, B$2:B$3601, B3244), "OPTIMAL", "")</f>
        <v/>
      </c>
    </row>
    <row r="3245" ht="20" customHeight="1">
      <c r="A3245" s="29" t="n">
        <v>-18</v>
      </c>
      <c r="B3245" s="29" t="n">
        <v>45</v>
      </c>
      <c r="C3245" s="30" t="n">
        <v>80</v>
      </c>
      <c r="D3245" s="30" t="n">
        <v>2</v>
      </c>
      <c r="E3245" s="6" t="n">
        <v>0</v>
      </c>
      <c r="F3245" s="30" t="n">
        <v>0</v>
      </c>
      <c r="G3245" s="6" t="inlineStr">
        <is>
          <t>Non</t>
        </is>
      </c>
      <c r="H3245" s="6" t="inlineStr">
        <is>
          <t>OFF</t>
        </is>
      </c>
      <c r="I3245" s="31" t="n">
        <v>885.2722778138215</v>
      </c>
      <c r="J3245" s="31" t="n">
        <v>10520.73059103506</v>
      </c>
      <c r="K3245" s="31" t="n">
        <v>5101.851851851852</v>
      </c>
      <c r="L3245" s="31" t="n">
        <v>150</v>
      </c>
      <c r="M3245" s="31">
        <f>I3245+J3245+K3245+L3245</f>
        <v/>
      </c>
      <c r="N3245" s="31">
        <f>M3245*'Dashboard &amp; Optimisation'!$B$18/('Dashboard &amp; Optimisation'!$B$16/3.6)</f>
        <v/>
      </c>
      <c r="O3245" s="31" t="n">
        <v>914.6212688100578</v>
      </c>
      <c r="P3245" s="32" t="n">
        <v>0.8952863772399564</v>
      </c>
      <c r="Q3245" s="33" t="n">
        <v>0.2</v>
      </c>
      <c r="R3245" s="31" t="n">
        <v>772.0422804227661</v>
      </c>
      <c r="S3245" s="31">
        <f>R3245*IF(A3245=4, 2.0, 3.0)</f>
        <v/>
      </c>
      <c r="T3245" s="30">
        <f>'Dashboard &amp; Optimisation'!$B$18*U3245</f>
        <v/>
      </c>
      <c r="U3245" s="34">
        <f>MIN(1, S3245/M3245)</f>
        <v/>
      </c>
      <c r="V3245" s="34">
        <f>N3245/(N3245+O3245)</f>
        <v/>
      </c>
      <c r="W3245" s="34">
        <f>U3245*V3245</f>
        <v/>
      </c>
      <c r="X3245" s="32">
        <f>T3245/N3245</f>
        <v/>
      </c>
      <c r="Y3245" s="35">
        <f>IF(W3245=MAXIFS(W$2:W$3601, A$2:A$3601, A3245, B$2:B$3601, B3245), "OPTIMAL", "")</f>
        <v/>
      </c>
    </row>
    <row r="3246" ht="20" customHeight="1">
      <c r="A3246" s="21" t="n">
        <v>-18</v>
      </c>
      <c r="B3246" s="21" t="n">
        <v>45</v>
      </c>
      <c r="C3246" s="22" t="n">
        <v>80</v>
      </c>
      <c r="D3246" s="22" t="n">
        <v>2</v>
      </c>
      <c r="E3246" s="23" t="n">
        <v>4</v>
      </c>
      <c r="F3246" s="22" t="n">
        <v>1.5</v>
      </c>
      <c r="G3246" s="23" t="inlineStr">
        <is>
          <t>Oui</t>
        </is>
      </c>
      <c r="H3246" s="23" t="inlineStr">
        <is>
          <t>ON</t>
        </is>
      </c>
      <c r="I3246" s="24" t="n">
        <v>885.2722778138215</v>
      </c>
      <c r="J3246" s="24" t="n">
        <v>10520.73059103506</v>
      </c>
      <c r="K3246" s="24" t="n">
        <v>5101.851851851852</v>
      </c>
      <c r="L3246" s="24" t="n">
        <v>150</v>
      </c>
      <c r="M3246" s="24">
        <f>I3246+J3246+K3246+L3246</f>
        <v/>
      </c>
      <c r="N3246" s="24">
        <f>M3246*'Dashboard &amp; Optimisation'!$B$18/('Dashboard &amp; Optimisation'!$B$16/3.6)</f>
        <v/>
      </c>
      <c r="O3246" s="24" t="n">
        <v>1482.595830060832</v>
      </c>
      <c r="P3246" s="25" t="n">
        <v>0.08231647342522849</v>
      </c>
      <c r="Q3246" s="26" t="n">
        <v>8.434509224055622</v>
      </c>
      <c r="R3246" s="24" t="n">
        <v>8748.608496985444</v>
      </c>
      <c r="S3246" s="24">
        <f>R3246*IF(A3246=4, 2.0, 3.0)</f>
        <v/>
      </c>
      <c r="T3246" s="22">
        <f>'Dashboard &amp; Optimisation'!$B$18*U3246</f>
        <v/>
      </c>
      <c r="U3246" s="27">
        <f>MIN(1, S3246/M3246)</f>
        <v/>
      </c>
      <c r="V3246" s="27">
        <f>N3246/(N3246+O3246)</f>
        <v/>
      </c>
      <c r="W3246" s="27">
        <f>U3246*V3246</f>
        <v/>
      </c>
      <c r="X3246" s="25">
        <f>T3246/N3246</f>
        <v/>
      </c>
      <c r="Y3246" s="28">
        <f>IF(W3246=MAXIFS(W$2:W$3601, A$2:A$3601, A3246, B$2:B$3601, B3246), "OPTIMAL", "")</f>
        <v/>
      </c>
    </row>
    <row r="3247" ht="20" customHeight="1">
      <c r="A3247" s="29" t="n">
        <v>-18</v>
      </c>
      <c r="B3247" s="29" t="n">
        <v>45</v>
      </c>
      <c r="C3247" s="30" t="n">
        <v>80</v>
      </c>
      <c r="D3247" s="30" t="n">
        <v>2</v>
      </c>
      <c r="E3247" s="6" t="n">
        <v>4</v>
      </c>
      <c r="F3247" s="30" t="n">
        <v>1.5</v>
      </c>
      <c r="G3247" s="6" t="inlineStr">
        <is>
          <t>Oui</t>
        </is>
      </c>
      <c r="H3247" s="6" t="inlineStr">
        <is>
          <t>OFF</t>
        </is>
      </c>
      <c r="I3247" s="31" t="n">
        <v>885.2722778138215</v>
      </c>
      <c r="J3247" s="31" t="n">
        <v>10520.73059103506</v>
      </c>
      <c r="K3247" s="31" t="n">
        <v>5101.851851851852</v>
      </c>
      <c r="L3247" s="31" t="n">
        <v>150</v>
      </c>
      <c r="M3247" s="31">
        <f>I3247+J3247+K3247+L3247</f>
        <v/>
      </c>
      <c r="N3247" s="31">
        <f>M3247*'Dashboard &amp; Optimisation'!$B$18/('Dashboard &amp; Optimisation'!$B$16/3.6)</f>
        <v/>
      </c>
      <c r="O3247" s="31" t="n">
        <v>1482.595830060832</v>
      </c>
      <c r="P3247" s="32" t="n">
        <v>0.3560493820000729</v>
      </c>
      <c r="Q3247" s="33" t="n">
        <v>8.434509224055622</v>
      </c>
      <c r="R3247" s="31" t="n">
        <v>2022.625611100437</v>
      </c>
      <c r="S3247" s="31">
        <f>R3247*IF(A3247=4, 2.0, 3.0)</f>
        <v/>
      </c>
      <c r="T3247" s="30">
        <f>'Dashboard &amp; Optimisation'!$B$18*U3247</f>
        <v/>
      </c>
      <c r="U3247" s="34">
        <f>MIN(1, S3247/M3247)</f>
        <v/>
      </c>
      <c r="V3247" s="34">
        <f>N3247/(N3247+O3247)</f>
        <v/>
      </c>
      <c r="W3247" s="34">
        <f>U3247*V3247</f>
        <v/>
      </c>
      <c r="X3247" s="32">
        <f>T3247/N3247</f>
        <v/>
      </c>
      <c r="Y3247" s="35">
        <f>IF(W3247=MAXIFS(W$2:W$3601, A$2:A$3601, A3247, B$2:B$3601, B3247), "OPTIMAL", "")</f>
        <v/>
      </c>
    </row>
    <row r="3248" ht="20" customHeight="1">
      <c r="A3248" s="21" t="n">
        <v>-18</v>
      </c>
      <c r="B3248" s="21" t="n">
        <v>45</v>
      </c>
      <c r="C3248" s="22" t="n">
        <v>80</v>
      </c>
      <c r="D3248" s="22" t="n">
        <v>2</v>
      </c>
      <c r="E3248" s="23" t="n">
        <v>4</v>
      </c>
      <c r="F3248" s="22" t="n">
        <v>1.5</v>
      </c>
      <c r="G3248" s="23" t="inlineStr">
        <is>
          <t>Non</t>
        </is>
      </c>
      <c r="H3248" s="23" t="inlineStr">
        <is>
          <t>ON</t>
        </is>
      </c>
      <c r="I3248" s="24" t="n">
        <v>885.2722778138215</v>
      </c>
      <c r="J3248" s="24" t="n">
        <v>10520.73059103506</v>
      </c>
      <c r="K3248" s="24" t="n">
        <v>5101.851851851852</v>
      </c>
      <c r="L3248" s="24" t="n">
        <v>150</v>
      </c>
      <c r="M3248" s="24">
        <f>I3248+J3248+K3248+L3248</f>
        <v/>
      </c>
      <c r="N3248" s="24">
        <f>M3248*'Dashboard &amp; Optimisation'!$B$18/('Dashboard &amp; Optimisation'!$B$16/3.6)</f>
        <v/>
      </c>
      <c r="O3248" s="24" t="n">
        <v>1482.595830060832</v>
      </c>
      <c r="P3248" s="25" t="n">
        <v>0.07833759984793112</v>
      </c>
      <c r="Q3248" s="26" t="n">
        <v>8.434509224055622</v>
      </c>
      <c r="R3248" s="24" t="n">
        <v>9192.962258836036</v>
      </c>
      <c r="S3248" s="24">
        <f>R3248*IF(A3248=4, 2.0, 3.0)</f>
        <v/>
      </c>
      <c r="T3248" s="22">
        <f>'Dashboard &amp; Optimisation'!$B$18*U3248</f>
        <v/>
      </c>
      <c r="U3248" s="27">
        <f>MIN(1, S3248/M3248)</f>
        <v/>
      </c>
      <c r="V3248" s="27">
        <f>N3248/(N3248+O3248)</f>
        <v/>
      </c>
      <c r="W3248" s="27">
        <f>U3248*V3248</f>
        <v/>
      </c>
      <c r="X3248" s="25">
        <f>T3248/N3248</f>
        <v/>
      </c>
      <c r="Y3248" s="28">
        <f>IF(W3248=MAXIFS(W$2:W$3601, A$2:A$3601, A3248, B$2:B$3601, B3248), "OPTIMAL", "")</f>
        <v/>
      </c>
    </row>
    <row r="3249" ht="20" customHeight="1">
      <c r="A3249" s="29" t="n">
        <v>-18</v>
      </c>
      <c r="B3249" s="29" t="n">
        <v>45</v>
      </c>
      <c r="C3249" s="30" t="n">
        <v>80</v>
      </c>
      <c r="D3249" s="30" t="n">
        <v>2</v>
      </c>
      <c r="E3249" s="6" t="n">
        <v>4</v>
      </c>
      <c r="F3249" s="30" t="n">
        <v>1.5</v>
      </c>
      <c r="G3249" s="6" t="inlineStr">
        <is>
          <t>Non</t>
        </is>
      </c>
      <c r="H3249" s="6" t="inlineStr">
        <is>
          <t>OFF</t>
        </is>
      </c>
      <c r="I3249" s="31" t="n">
        <v>885.2722778138215</v>
      </c>
      <c r="J3249" s="31" t="n">
        <v>10520.73059103506</v>
      </c>
      <c r="K3249" s="31" t="n">
        <v>5101.851851851852</v>
      </c>
      <c r="L3249" s="31" t="n">
        <v>150</v>
      </c>
      <c r="M3249" s="31">
        <f>I3249+J3249+K3249+L3249</f>
        <v/>
      </c>
      <c r="N3249" s="31">
        <f>M3249*'Dashboard &amp; Optimisation'!$B$18/('Dashboard &amp; Optimisation'!$B$16/3.6)</f>
        <v/>
      </c>
      <c r="O3249" s="31" t="n">
        <v>1482.595830060832</v>
      </c>
      <c r="P3249" s="32" t="n">
        <v>0.3520705084227755</v>
      </c>
      <c r="Q3249" s="33" t="n">
        <v>8.434509224055622</v>
      </c>
      <c r="R3249" s="31" t="n">
        <v>2045.484019880046</v>
      </c>
      <c r="S3249" s="31">
        <f>R3249*IF(A3249=4, 2.0, 3.0)</f>
        <v/>
      </c>
      <c r="T3249" s="30">
        <f>'Dashboard &amp; Optimisation'!$B$18*U3249</f>
        <v/>
      </c>
      <c r="U3249" s="34">
        <f>MIN(1, S3249/M3249)</f>
        <v/>
      </c>
      <c r="V3249" s="34">
        <f>N3249/(N3249+O3249)</f>
        <v/>
      </c>
      <c r="W3249" s="34">
        <f>U3249*V3249</f>
        <v/>
      </c>
      <c r="X3249" s="32">
        <f>T3249/N3249</f>
        <v/>
      </c>
      <c r="Y3249" s="35">
        <f>IF(W3249=MAXIFS(W$2:W$3601, A$2:A$3601, A3249, B$2:B$3601, B3249), "OPTIMAL", "")</f>
        <v/>
      </c>
    </row>
    <row r="3250" ht="20" customHeight="1">
      <c r="A3250" s="21" t="n">
        <v>-18</v>
      </c>
      <c r="B3250" s="21" t="n">
        <v>45</v>
      </c>
      <c r="C3250" s="22" t="n">
        <v>80</v>
      </c>
      <c r="D3250" s="22" t="n">
        <v>2</v>
      </c>
      <c r="E3250" s="23" t="n">
        <v>4</v>
      </c>
      <c r="F3250" s="22" t="n">
        <v>2</v>
      </c>
      <c r="G3250" s="23" t="inlineStr">
        <is>
          <t>Oui</t>
        </is>
      </c>
      <c r="H3250" s="23" t="inlineStr">
        <is>
          <t>ON</t>
        </is>
      </c>
      <c r="I3250" s="24" t="n">
        <v>885.2722778138215</v>
      </c>
      <c r="J3250" s="24" t="n">
        <v>10520.73059103506</v>
      </c>
      <c r="K3250" s="24" t="n">
        <v>5101.851851851852</v>
      </c>
      <c r="L3250" s="24" t="n">
        <v>150</v>
      </c>
      <c r="M3250" s="24">
        <f>I3250+J3250+K3250+L3250</f>
        <v/>
      </c>
      <c r="N3250" s="24">
        <f>M3250*'Dashboard &amp; Optimisation'!$B$18/('Dashboard &amp; Optimisation'!$B$16/3.6)</f>
        <v/>
      </c>
      <c r="O3250" s="24" t="n">
        <v>1682.64535612656</v>
      </c>
      <c r="P3250" s="25" t="n">
        <v>0.08027381372050572</v>
      </c>
      <c r="Q3250" s="26" t="n">
        <v>11.17934563207416</v>
      </c>
      <c r="R3250" s="24" t="n">
        <v>9098.275045580614</v>
      </c>
      <c r="S3250" s="24">
        <f>R3250*IF(A3250=4, 2.0, 3.0)</f>
        <v/>
      </c>
      <c r="T3250" s="22">
        <f>'Dashboard &amp; Optimisation'!$B$18*U3250</f>
        <v/>
      </c>
      <c r="U3250" s="27">
        <f>MIN(1, S3250/M3250)</f>
        <v/>
      </c>
      <c r="V3250" s="27">
        <f>N3250/(N3250+O3250)</f>
        <v/>
      </c>
      <c r="W3250" s="27">
        <f>U3250*V3250</f>
        <v/>
      </c>
      <c r="X3250" s="25">
        <f>T3250/N3250</f>
        <v/>
      </c>
      <c r="Y3250" s="28">
        <f>IF(W3250=MAXIFS(W$2:W$3601, A$2:A$3601, A3250, B$2:B$3601, B3250), "OPTIMAL", "")</f>
        <v/>
      </c>
    </row>
    <row r="3251" ht="20" customHeight="1">
      <c r="A3251" s="29" t="n">
        <v>-18</v>
      </c>
      <c r="B3251" s="29" t="n">
        <v>45</v>
      </c>
      <c r="C3251" s="30" t="n">
        <v>80</v>
      </c>
      <c r="D3251" s="30" t="n">
        <v>2</v>
      </c>
      <c r="E3251" s="6" t="n">
        <v>4</v>
      </c>
      <c r="F3251" s="30" t="n">
        <v>2</v>
      </c>
      <c r="G3251" s="6" t="inlineStr">
        <is>
          <t>Oui</t>
        </is>
      </c>
      <c r="H3251" s="6" t="inlineStr">
        <is>
          <t>OFF</t>
        </is>
      </c>
      <c r="I3251" s="31" t="n">
        <v>885.2722778138215</v>
      </c>
      <c r="J3251" s="31" t="n">
        <v>10520.73059103506</v>
      </c>
      <c r="K3251" s="31" t="n">
        <v>5101.851851851852</v>
      </c>
      <c r="L3251" s="31" t="n">
        <v>150</v>
      </c>
      <c r="M3251" s="31">
        <f>I3251+J3251+K3251+L3251</f>
        <v/>
      </c>
      <c r="N3251" s="31">
        <f>M3251*'Dashboard &amp; Optimisation'!$B$18/('Dashboard &amp; Optimisation'!$B$16/3.6)</f>
        <v/>
      </c>
      <c r="O3251" s="31" t="n">
        <v>1682.64535612656</v>
      </c>
      <c r="P3251" s="32" t="n">
        <v>0.355510990994127</v>
      </c>
      <c r="Q3251" s="33" t="n">
        <v>11.17934563207416</v>
      </c>
      <c r="R3251" s="31" t="n">
        <v>2054.375967799345</v>
      </c>
      <c r="S3251" s="31">
        <f>R3251*IF(A3251=4, 2.0, 3.0)</f>
        <v/>
      </c>
      <c r="T3251" s="30">
        <f>'Dashboard &amp; Optimisation'!$B$18*U3251</f>
        <v/>
      </c>
      <c r="U3251" s="34">
        <f>MIN(1, S3251/M3251)</f>
        <v/>
      </c>
      <c r="V3251" s="34">
        <f>N3251/(N3251+O3251)</f>
        <v/>
      </c>
      <c r="W3251" s="34">
        <f>U3251*V3251</f>
        <v/>
      </c>
      <c r="X3251" s="32">
        <f>T3251/N3251</f>
        <v/>
      </c>
      <c r="Y3251" s="35">
        <f>IF(W3251=MAXIFS(W$2:W$3601, A$2:A$3601, A3251, B$2:B$3601, B3251), "OPTIMAL", "")</f>
        <v/>
      </c>
    </row>
    <row r="3252" ht="20" customHeight="1">
      <c r="A3252" s="21" t="n">
        <v>-18</v>
      </c>
      <c r="B3252" s="21" t="n">
        <v>45</v>
      </c>
      <c r="C3252" s="22" t="n">
        <v>80</v>
      </c>
      <c r="D3252" s="22" t="n">
        <v>2</v>
      </c>
      <c r="E3252" s="23" t="n">
        <v>4</v>
      </c>
      <c r="F3252" s="22" t="n">
        <v>2</v>
      </c>
      <c r="G3252" s="23" t="inlineStr">
        <is>
          <t>Non</t>
        </is>
      </c>
      <c r="H3252" s="23" t="inlineStr">
        <is>
          <t>ON</t>
        </is>
      </c>
      <c r="I3252" s="24" t="n">
        <v>885.2722778138215</v>
      </c>
      <c r="J3252" s="24" t="n">
        <v>10520.73059103506</v>
      </c>
      <c r="K3252" s="24" t="n">
        <v>5101.851851851852</v>
      </c>
      <c r="L3252" s="24" t="n">
        <v>150</v>
      </c>
      <c r="M3252" s="24">
        <f>I3252+J3252+K3252+L3252</f>
        <v/>
      </c>
      <c r="N3252" s="24">
        <f>M3252*'Dashboard &amp; Optimisation'!$B$18/('Dashboard &amp; Optimisation'!$B$16/3.6)</f>
        <v/>
      </c>
      <c r="O3252" s="24" t="n">
        <v>1682.64535612656</v>
      </c>
      <c r="P3252" s="25" t="n">
        <v>0.07629494014320834</v>
      </c>
      <c r="Q3252" s="26" t="n">
        <v>11.17934563207416</v>
      </c>
      <c r="R3252" s="24" t="n">
        <v>9572.761113855842</v>
      </c>
      <c r="S3252" s="24">
        <f>R3252*IF(A3252=4, 2.0, 3.0)</f>
        <v/>
      </c>
      <c r="T3252" s="22">
        <f>'Dashboard &amp; Optimisation'!$B$18*U3252</f>
        <v/>
      </c>
      <c r="U3252" s="27">
        <f>MIN(1, S3252/M3252)</f>
        <v/>
      </c>
      <c r="V3252" s="27">
        <f>N3252/(N3252+O3252)</f>
        <v/>
      </c>
      <c r="W3252" s="27">
        <f>U3252*V3252</f>
        <v/>
      </c>
      <c r="X3252" s="25">
        <f>T3252/N3252</f>
        <v/>
      </c>
      <c r="Y3252" s="28">
        <f>IF(W3252=MAXIFS(W$2:W$3601, A$2:A$3601, A3252, B$2:B$3601, B3252), "OPTIMAL", "")</f>
        <v/>
      </c>
    </row>
    <row r="3253" ht="20" customHeight="1">
      <c r="A3253" s="29" t="n">
        <v>-18</v>
      </c>
      <c r="B3253" s="29" t="n">
        <v>45</v>
      </c>
      <c r="C3253" s="30" t="n">
        <v>80</v>
      </c>
      <c r="D3253" s="30" t="n">
        <v>2</v>
      </c>
      <c r="E3253" s="6" t="n">
        <v>4</v>
      </c>
      <c r="F3253" s="30" t="n">
        <v>2</v>
      </c>
      <c r="G3253" s="6" t="inlineStr">
        <is>
          <t>Non</t>
        </is>
      </c>
      <c r="H3253" s="6" t="inlineStr">
        <is>
          <t>OFF</t>
        </is>
      </c>
      <c r="I3253" s="31" t="n">
        <v>885.2722778138215</v>
      </c>
      <c r="J3253" s="31" t="n">
        <v>10520.73059103506</v>
      </c>
      <c r="K3253" s="31" t="n">
        <v>5101.851851851852</v>
      </c>
      <c r="L3253" s="31" t="n">
        <v>150</v>
      </c>
      <c r="M3253" s="31">
        <f>I3253+J3253+K3253+L3253</f>
        <v/>
      </c>
      <c r="N3253" s="31">
        <f>M3253*'Dashboard &amp; Optimisation'!$B$18/('Dashboard &amp; Optimisation'!$B$16/3.6)</f>
        <v/>
      </c>
      <c r="O3253" s="31" t="n">
        <v>1682.64535612656</v>
      </c>
      <c r="P3253" s="32" t="n">
        <v>0.3515321174168297</v>
      </c>
      <c r="Q3253" s="33" t="n">
        <v>11.17934563207416</v>
      </c>
      <c r="R3253" s="31" t="n">
        <v>2077.628757092617</v>
      </c>
      <c r="S3253" s="31">
        <f>R3253*IF(A3253=4, 2.0, 3.0)</f>
        <v/>
      </c>
      <c r="T3253" s="30">
        <f>'Dashboard &amp; Optimisation'!$B$18*U3253</f>
        <v/>
      </c>
      <c r="U3253" s="34">
        <f>MIN(1, S3253/M3253)</f>
        <v/>
      </c>
      <c r="V3253" s="34">
        <f>N3253/(N3253+O3253)</f>
        <v/>
      </c>
      <c r="W3253" s="34">
        <f>U3253*V3253</f>
        <v/>
      </c>
      <c r="X3253" s="32">
        <f>T3253/N3253</f>
        <v/>
      </c>
      <c r="Y3253" s="35">
        <f>IF(W3253=MAXIFS(W$2:W$3601, A$2:A$3601, A3253, B$2:B$3601, B3253), "OPTIMAL", "")</f>
        <v/>
      </c>
    </row>
    <row r="3254" ht="20" customHeight="1">
      <c r="A3254" s="21" t="n">
        <v>-18</v>
      </c>
      <c r="B3254" s="21" t="n">
        <v>45</v>
      </c>
      <c r="C3254" s="22" t="n">
        <v>80</v>
      </c>
      <c r="D3254" s="22" t="n">
        <v>2</v>
      </c>
      <c r="E3254" s="23" t="n">
        <v>8</v>
      </c>
      <c r="F3254" s="22" t="n">
        <v>1.5</v>
      </c>
      <c r="G3254" s="23" t="inlineStr">
        <is>
          <t>Oui</t>
        </is>
      </c>
      <c r="H3254" s="23" t="inlineStr">
        <is>
          <t>ON</t>
        </is>
      </c>
      <c r="I3254" s="24" t="n">
        <v>885.2722778138215</v>
      </c>
      <c r="J3254" s="24" t="n">
        <v>10520.73059103506</v>
      </c>
      <c r="K3254" s="24" t="n">
        <v>5101.851851851852</v>
      </c>
      <c r="L3254" s="24" t="n">
        <v>150</v>
      </c>
      <c r="M3254" s="24">
        <f>I3254+J3254+K3254+L3254</f>
        <v/>
      </c>
      <c r="N3254" s="24">
        <f>M3254*'Dashboard &amp; Optimisation'!$B$18/('Dashboard &amp; Optimisation'!$B$16/3.6)</f>
        <v/>
      </c>
      <c r="O3254" s="24" t="n">
        <v>2100.238180701424</v>
      </c>
      <c r="P3254" s="25" t="n">
        <v>0.06145178783543291</v>
      </c>
      <c r="Q3254" s="26" t="n">
        <v>16.66901844811125</v>
      </c>
      <c r="R3254" s="24" t="n">
        <v>12231.41554857018</v>
      </c>
      <c r="S3254" s="24">
        <f>R3254*IF(A3254=4, 2.0, 3.0)</f>
        <v/>
      </c>
      <c r="T3254" s="22">
        <f>'Dashboard &amp; Optimisation'!$B$18*U3254</f>
        <v/>
      </c>
      <c r="U3254" s="27">
        <f>MIN(1, S3254/M3254)</f>
        <v/>
      </c>
      <c r="V3254" s="27">
        <f>N3254/(N3254+O3254)</f>
        <v/>
      </c>
      <c r="W3254" s="27">
        <f>U3254*V3254</f>
        <v/>
      </c>
      <c r="X3254" s="25">
        <f>T3254/N3254</f>
        <v/>
      </c>
      <c r="Y3254" s="28">
        <f>IF(W3254=MAXIFS(W$2:W$3601, A$2:A$3601, A3254, B$2:B$3601, B3254), "OPTIMAL", "")</f>
        <v/>
      </c>
    </row>
    <row r="3255" ht="20" customHeight="1">
      <c r="A3255" s="29" t="n">
        <v>-18</v>
      </c>
      <c r="B3255" s="29" t="n">
        <v>45</v>
      </c>
      <c r="C3255" s="30" t="n">
        <v>80</v>
      </c>
      <c r="D3255" s="30" t="n">
        <v>2</v>
      </c>
      <c r="E3255" s="6" t="n">
        <v>8</v>
      </c>
      <c r="F3255" s="30" t="n">
        <v>1.5</v>
      </c>
      <c r="G3255" s="6" t="inlineStr">
        <is>
          <t>Oui</t>
        </is>
      </c>
      <c r="H3255" s="6" t="inlineStr">
        <is>
          <t>OFF</t>
        </is>
      </c>
      <c r="I3255" s="31" t="n">
        <v>885.2722778138215</v>
      </c>
      <c r="J3255" s="31" t="n">
        <v>10520.73059103506</v>
      </c>
      <c r="K3255" s="31" t="n">
        <v>5101.851851851852</v>
      </c>
      <c r="L3255" s="31" t="n">
        <v>150</v>
      </c>
      <c r="M3255" s="31">
        <f>I3255+J3255+K3255+L3255</f>
        <v/>
      </c>
      <c r="N3255" s="31">
        <f>M3255*'Dashboard &amp; Optimisation'!$B$18/('Dashboard &amp; Optimisation'!$B$16/3.6)</f>
        <v/>
      </c>
      <c r="O3255" s="31" t="n">
        <v>2100.238180701424</v>
      </c>
      <c r="P3255" s="32" t="n">
        <v>0.2700829218988253</v>
      </c>
      <c r="Q3255" s="33" t="n">
        <v>16.66901844811125</v>
      </c>
      <c r="R3255" s="31" t="n">
        <v>2783.005855880512</v>
      </c>
      <c r="S3255" s="31">
        <f>R3255*IF(A3255=4, 2.0, 3.0)</f>
        <v/>
      </c>
      <c r="T3255" s="30">
        <f>'Dashboard &amp; Optimisation'!$B$18*U3255</f>
        <v/>
      </c>
      <c r="U3255" s="34">
        <f>MIN(1, S3255/M3255)</f>
        <v/>
      </c>
      <c r="V3255" s="34">
        <f>N3255/(N3255+O3255)</f>
        <v/>
      </c>
      <c r="W3255" s="34">
        <f>U3255*V3255</f>
        <v/>
      </c>
      <c r="X3255" s="32">
        <f>T3255/N3255</f>
        <v/>
      </c>
      <c r="Y3255" s="35">
        <f>IF(W3255=MAXIFS(W$2:W$3601, A$2:A$3601, A3255, B$2:B$3601, B3255), "OPTIMAL", "")</f>
        <v/>
      </c>
    </row>
    <row r="3256" ht="20" customHeight="1">
      <c r="A3256" s="21" t="n">
        <v>-18</v>
      </c>
      <c r="B3256" s="21" t="n">
        <v>45</v>
      </c>
      <c r="C3256" s="22" t="n">
        <v>80</v>
      </c>
      <c r="D3256" s="22" t="n">
        <v>2</v>
      </c>
      <c r="E3256" s="23" t="n">
        <v>8</v>
      </c>
      <c r="F3256" s="22" t="n">
        <v>1.5</v>
      </c>
      <c r="G3256" s="23" t="inlineStr">
        <is>
          <t>Non</t>
        </is>
      </c>
      <c r="H3256" s="23" t="inlineStr">
        <is>
          <t>ON</t>
        </is>
      </c>
      <c r="I3256" s="24" t="n">
        <v>885.2722778138215</v>
      </c>
      <c r="J3256" s="24" t="n">
        <v>10520.73059103506</v>
      </c>
      <c r="K3256" s="24" t="n">
        <v>5101.851851851852</v>
      </c>
      <c r="L3256" s="24" t="n">
        <v>150</v>
      </c>
      <c r="M3256" s="24">
        <f>I3256+J3256+K3256+L3256</f>
        <v/>
      </c>
      <c r="N3256" s="24">
        <f>M3256*'Dashboard &amp; Optimisation'!$B$18/('Dashboard &amp; Optimisation'!$B$16/3.6)</f>
        <v/>
      </c>
      <c r="O3256" s="24" t="n">
        <v>2100.238180701424</v>
      </c>
      <c r="P3256" s="25" t="n">
        <v>0.05747291425813553</v>
      </c>
      <c r="Q3256" s="26" t="n">
        <v>16.66901844811125</v>
      </c>
      <c r="R3256" s="24" t="n">
        <v>13078.20149578289</v>
      </c>
      <c r="S3256" s="24">
        <f>R3256*IF(A3256=4, 2.0, 3.0)</f>
        <v/>
      </c>
      <c r="T3256" s="22">
        <f>'Dashboard &amp; Optimisation'!$B$18*U3256</f>
        <v/>
      </c>
      <c r="U3256" s="27">
        <f>MIN(1, S3256/M3256)</f>
        <v/>
      </c>
      <c r="V3256" s="27">
        <f>N3256/(N3256+O3256)</f>
        <v/>
      </c>
      <c r="W3256" s="27">
        <f>U3256*V3256</f>
        <v/>
      </c>
      <c r="X3256" s="25">
        <f>T3256/N3256</f>
        <v/>
      </c>
      <c r="Y3256" s="28">
        <f>IF(W3256=MAXIFS(W$2:W$3601, A$2:A$3601, A3256, B$2:B$3601, B3256), "OPTIMAL", "")</f>
        <v/>
      </c>
    </row>
    <row r="3257" ht="20" customHeight="1">
      <c r="A3257" s="29" t="n">
        <v>-18</v>
      </c>
      <c r="B3257" s="29" t="n">
        <v>45</v>
      </c>
      <c r="C3257" s="30" t="n">
        <v>80</v>
      </c>
      <c r="D3257" s="30" t="n">
        <v>2</v>
      </c>
      <c r="E3257" s="6" t="n">
        <v>8</v>
      </c>
      <c r="F3257" s="30" t="n">
        <v>1.5</v>
      </c>
      <c r="G3257" s="6" t="inlineStr">
        <is>
          <t>Non</t>
        </is>
      </c>
      <c r="H3257" s="6" t="inlineStr">
        <is>
          <t>OFF</t>
        </is>
      </c>
      <c r="I3257" s="31" t="n">
        <v>885.2722778138215</v>
      </c>
      <c r="J3257" s="31" t="n">
        <v>10520.73059103506</v>
      </c>
      <c r="K3257" s="31" t="n">
        <v>5101.851851851852</v>
      </c>
      <c r="L3257" s="31" t="n">
        <v>150</v>
      </c>
      <c r="M3257" s="31">
        <f>I3257+J3257+K3257+L3257</f>
        <v/>
      </c>
      <c r="N3257" s="31">
        <f>M3257*'Dashboard &amp; Optimisation'!$B$18/('Dashboard &amp; Optimisation'!$B$16/3.6)</f>
        <v/>
      </c>
      <c r="O3257" s="31" t="n">
        <v>2100.238180701424</v>
      </c>
      <c r="P3257" s="32" t="n">
        <v>0.2661040483215279</v>
      </c>
      <c r="Q3257" s="33" t="n">
        <v>16.66901844811125</v>
      </c>
      <c r="R3257" s="31" t="n">
        <v>2824.618257252352</v>
      </c>
      <c r="S3257" s="31">
        <f>R3257*IF(A3257=4, 2.0, 3.0)</f>
        <v/>
      </c>
      <c r="T3257" s="30">
        <f>'Dashboard &amp; Optimisation'!$B$18*U3257</f>
        <v/>
      </c>
      <c r="U3257" s="34">
        <f>MIN(1, S3257/M3257)</f>
        <v/>
      </c>
      <c r="V3257" s="34">
        <f>N3257/(N3257+O3257)</f>
        <v/>
      </c>
      <c r="W3257" s="34">
        <f>U3257*V3257</f>
        <v/>
      </c>
      <c r="X3257" s="32">
        <f>T3257/N3257</f>
        <v/>
      </c>
      <c r="Y3257" s="35">
        <f>IF(W3257=MAXIFS(W$2:W$3601, A$2:A$3601, A3257, B$2:B$3601, B3257), "OPTIMAL", "")</f>
        <v/>
      </c>
    </row>
    <row r="3258" ht="20" customHeight="1">
      <c r="A3258" s="21" t="n">
        <v>-18</v>
      </c>
      <c r="B3258" s="21" t="n">
        <v>45</v>
      </c>
      <c r="C3258" s="22" t="n">
        <v>80</v>
      </c>
      <c r="D3258" s="22" t="n">
        <v>2</v>
      </c>
      <c r="E3258" s="23" t="n">
        <v>8</v>
      </c>
      <c r="F3258" s="22" t="n">
        <v>2</v>
      </c>
      <c r="G3258" s="23" t="inlineStr">
        <is>
          <t>Oui</t>
        </is>
      </c>
      <c r="H3258" s="23" t="inlineStr">
        <is>
          <t>ON</t>
        </is>
      </c>
      <c r="I3258" s="24" t="n">
        <v>885.2722778138215</v>
      </c>
      <c r="J3258" s="24" t="n">
        <v>10520.73059103506</v>
      </c>
      <c r="K3258" s="24" t="n">
        <v>5101.851851851852</v>
      </c>
      <c r="L3258" s="24" t="n">
        <v>150</v>
      </c>
      <c r="M3258" s="24">
        <f>I3258+J3258+K3258+L3258</f>
        <v/>
      </c>
      <c r="N3258" s="24">
        <f>M3258*'Dashboard &amp; Optimisation'!$B$18/('Dashboard &amp; Optimisation'!$B$16/3.6)</f>
        <v/>
      </c>
      <c r="O3258" s="24" t="n">
        <v>2542.906826414197</v>
      </c>
      <c r="P3258" s="25" t="n">
        <v>0.06058998977604487</v>
      </c>
      <c r="Q3258" s="26" t="n">
        <v>22.15869126414833</v>
      </c>
      <c r="R3258" s="24" t="n">
        <v>12777.85080626921</v>
      </c>
      <c r="S3258" s="24">
        <f>R3258*IF(A3258=4, 2.0, 3.0)</f>
        <v/>
      </c>
      <c r="T3258" s="22">
        <f>'Dashboard &amp; Optimisation'!$B$18*U3258</f>
        <v/>
      </c>
      <c r="U3258" s="27">
        <f>MIN(1, S3258/M3258)</f>
        <v/>
      </c>
      <c r="V3258" s="27">
        <f>N3258/(N3258+O3258)</f>
        <v/>
      </c>
      <c r="W3258" s="27">
        <f>U3258*V3258</f>
        <v/>
      </c>
      <c r="X3258" s="25">
        <f>T3258/N3258</f>
        <v/>
      </c>
      <c r="Y3258" s="28">
        <f>IF(W3258=MAXIFS(W$2:W$3601, A$2:A$3601, A3258, B$2:B$3601, B3258), "OPTIMAL", "")</f>
        <v/>
      </c>
    </row>
    <row r="3259" ht="20" customHeight="1">
      <c r="A3259" s="29" t="n">
        <v>-18</v>
      </c>
      <c r="B3259" s="29" t="n">
        <v>45</v>
      </c>
      <c r="C3259" s="30" t="n">
        <v>80</v>
      </c>
      <c r="D3259" s="30" t="n">
        <v>2</v>
      </c>
      <c r="E3259" s="6" t="n">
        <v>8</v>
      </c>
      <c r="F3259" s="30" t="n">
        <v>2</v>
      </c>
      <c r="G3259" s="6" t="inlineStr">
        <is>
          <t>Oui</t>
        </is>
      </c>
      <c r="H3259" s="6" t="inlineStr">
        <is>
          <t>OFF</t>
        </is>
      </c>
      <c r="I3259" s="31" t="n">
        <v>885.2722778138215</v>
      </c>
      <c r="J3259" s="31" t="n">
        <v>10520.73059103506</v>
      </c>
      <c r="K3259" s="31" t="n">
        <v>5101.851851851852</v>
      </c>
      <c r="L3259" s="31" t="n">
        <v>150</v>
      </c>
      <c r="M3259" s="31">
        <f>I3259+J3259+K3259+L3259</f>
        <v/>
      </c>
      <c r="N3259" s="31">
        <f>M3259*'Dashboard &amp; Optimisation'!$B$18/('Dashboard &amp; Optimisation'!$B$16/3.6)</f>
        <v/>
      </c>
      <c r="O3259" s="31" t="n">
        <v>2542.906826414197</v>
      </c>
      <c r="P3259" s="32" t="n">
        <v>0.2709744149858122</v>
      </c>
      <c r="Q3259" s="33" t="n">
        <v>22.15869126414833</v>
      </c>
      <c r="R3259" s="31" t="n">
        <v>2857.132654949045</v>
      </c>
      <c r="S3259" s="31">
        <f>R3259*IF(A3259=4, 2.0, 3.0)</f>
        <v/>
      </c>
      <c r="T3259" s="30">
        <f>'Dashboard &amp; Optimisation'!$B$18*U3259</f>
        <v/>
      </c>
      <c r="U3259" s="34">
        <f>MIN(1, S3259/M3259)</f>
        <v/>
      </c>
      <c r="V3259" s="34">
        <f>N3259/(N3259+O3259)</f>
        <v/>
      </c>
      <c r="W3259" s="34">
        <f>U3259*V3259</f>
        <v/>
      </c>
      <c r="X3259" s="32">
        <f>T3259/N3259</f>
        <v/>
      </c>
      <c r="Y3259" s="35">
        <f>IF(W3259=MAXIFS(W$2:W$3601, A$2:A$3601, A3259, B$2:B$3601, B3259), "OPTIMAL", "")</f>
        <v/>
      </c>
    </row>
    <row r="3260" ht="20" customHeight="1">
      <c r="A3260" s="21" t="n">
        <v>-18</v>
      </c>
      <c r="B3260" s="21" t="n">
        <v>45</v>
      </c>
      <c r="C3260" s="22" t="n">
        <v>80</v>
      </c>
      <c r="D3260" s="22" t="n">
        <v>2</v>
      </c>
      <c r="E3260" s="23" t="n">
        <v>8</v>
      </c>
      <c r="F3260" s="22" t="n">
        <v>2</v>
      </c>
      <c r="G3260" s="23" t="inlineStr">
        <is>
          <t>Non</t>
        </is>
      </c>
      <c r="H3260" s="23" t="inlineStr">
        <is>
          <t>ON</t>
        </is>
      </c>
      <c r="I3260" s="24" t="n">
        <v>885.2722778138215</v>
      </c>
      <c r="J3260" s="24" t="n">
        <v>10520.73059103506</v>
      </c>
      <c r="K3260" s="24" t="n">
        <v>5101.851851851852</v>
      </c>
      <c r="L3260" s="24" t="n">
        <v>150</v>
      </c>
      <c r="M3260" s="24">
        <f>I3260+J3260+K3260+L3260</f>
        <v/>
      </c>
      <c r="N3260" s="24">
        <f>M3260*'Dashboard &amp; Optimisation'!$B$18/('Dashboard &amp; Optimisation'!$B$16/3.6)</f>
        <v/>
      </c>
      <c r="O3260" s="24" t="n">
        <v>2542.906826414197</v>
      </c>
      <c r="P3260" s="25" t="n">
        <v>0.05661111619874749</v>
      </c>
      <c r="Q3260" s="26" t="n">
        <v>22.15869126414833</v>
      </c>
      <c r="R3260" s="24" t="n">
        <v>13675.93330952212</v>
      </c>
      <c r="S3260" s="24">
        <f>R3260*IF(A3260=4, 2.0, 3.0)</f>
        <v/>
      </c>
      <c r="T3260" s="22">
        <f>'Dashboard &amp; Optimisation'!$B$18*U3260</f>
        <v/>
      </c>
      <c r="U3260" s="27">
        <f>MIN(1, S3260/M3260)</f>
        <v/>
      </c>
      <c r="V3260" s="27">
        <f>N3260/(N3260+O3260)</f>
        <v/>
      </c>
      <c r="W3260" s="27">
        <f>U3260*V3260</f>
        <v/>
      </c>
      <c r="X3260" s="25">
        <f>T3260/N3260</f>
        <v/>
      </c>
      <c r="Y3260" s="28">
        <f>IF(W3260=MAXIFS(W$2:W$3601, A$2:A$3601, A3260, B$2:B$3601, B3260), "OPTIMAL", "")</f>
        <v/>
      </c>
    </row>
    <row r="3261" ht="20" customHeight="1">
      <c r="A3261" s="29" t="n">
        <v>-18</v>
      </c>
      <c r="B3261" s="29" t="n">
        <v>45</v>
      </c>
      <c r="C3261" s="30" t="n">
        <v>80</v>
      </c>
      <c r="D3261" s="30" t="n">
        <v>2</v>
      </c>
      <c r="E3261" s="6" t="n">
        <v>8</v>
      </c>
      <c r="F3261" s="30" t="n">
        <v>2</v>
      </c>
      <c r="G3261" s="6" t="inlineStr">
        <is>
          <t>Non</t>
        </is>
      </c>
      <c r="H3261" s="6" t="inlineStr">
        <is>
          <t>OFF</t>
        </is>
      </c>
      <c r="I3261" s="31" t="n">
        <v>885.2722778138215</v>
      </c>
      <c r="J3261" s="31" t="n">
        <v>10520.73059103506</v>
      </c>
      <c r="K3261" s="31" t="n">
        <v>5101.851851851852</v>
      </c>
      <c r="L3261" s="31" t="n">
        <v>150</v>
      </c>
      <c r="M3261" s="31">
        <f>I3261+J3261+K3261+L3261</f>
        <v/>
      </c>
      <c r="N3261" s="31">
        <f>M3261*'Dashboard &amp; Optimisation'!$B$18/('Dashboard &amp; Optimisation'!$B$16/3.6)</f>
        <v/>
      </c>
      <c r="O3261" s="31" t="n">
        <v>2542.906826414197</v>
      </c>
      <c r="P3261" s="32" t="n">
        <v>0.2669955414085148</v>
      </c>
      <c r="Q3261" s="33" t="n">
        <v>22.15869126414833</v>
      </c>
      <c r="R3261" s="31" t="n">
        <v>2899.710780290159</v>
      </c>
      <c r="S3261" s="31">
        <f>R3261*IF(A3261=4, 2.0, 3.0)</f>
        <v/>
      </c>
      <c r="T3261" s="30">
        <f>'Dashboard &amp; Optimisation'!$B$18*U3261</f>
        <v/>
      </c>
      <c r="U3261" s="34">
        <f>MIN(1, S3261/M3261)</f>
        <v/>
      </c>
      <c r="V3261" s="34">
        <f>N3261/(N3261+O3261)</f>
        <v/>
      </c>
      <c r="W3261" s="34">
        <f>U3261*V3261</f>
        <v/>
      </c>
      <c r="X3261" s="32">
        <f>T3261/N3261</f>
        <v/>
      </c>
      <c r="Y3261" s="35">
        <f>IF(W3261=MAXIFS(W$2:W$3601, A$2:A$3601, A3261, B$2:B$3601, B3261), "OPTIMAL", "")</f>
        <v/>
      </c>
    </row>
    <row r="3262" ht="20" customHeight="1">
      <c r="A3262" s="21" t="n">
        <v>-18</v>
      </c>
      <c r="B3262" s="21" t="n">
        <v>45</v>
      </c>
      <c r="C3262" s="22" t="n">
        <v>80</v>
      </c>
      <c r="D3262" s="22" t="n">
        <v>3</v>
      </c>
      <c r="E3262" s="23" t="n">
        <v>0</v>
      </c>
      <c r="F3262" s="22" t="n">
        <v>0</v>
      </c>
      <c r="G3262" s="23" t="inlineStr">
        <is>
          <t>Oui</t>
        </is>
      </c>
      <c r="H3262" s="23" t="inlineStr">
        <is>
          <t>ON</t>
        </is>
      </c>
      <c r="I3262" s="24" t="n">
        <v>885.2722778138215</v>
      </c>
      <c r="J3262" s="24" t="n">
        <v>10520.73059103506</v>
      </c>
      <c r="K3262" s="24" t="n">
        <v>5101.851851851852</v>
      </c>
      <c r="L3262" s="24" t="n">
        <v>150</v>
      </c>
      <c r="M3262" s="24">
        <f>I3262+J3262+K3262+L3262</f>
        <v/>
      </c>
      <c r="N3262" s="24">
        <f>M3262*'Dashboard &amp; Optimisation'!$B$18/('Dashboard &amp; Optimisation'!$B$16/3.6)</f>
        <v/>
      </c>
      <c r="O3262" s="24" t="n">
        <v>1428.540057825094</v>
      </c>
      <c r="P3262" s="25" t="n">
        <v>0.5013985973965238</v>
      </c>
      <c r="Q3262" s="26" t="n">
        <v>0.2</v>
      </c>
      <c r="R3262" s="24" t="n">
        <v>1454.064566740725</v>
      </c>
      <c r="S3262" s="24">
        <f>R3262*IF(A3262=4, 2.0, 3.0)</f>
        <v/>
      </c>
      <c r="T3262" s="22">
        <f>'Dashboard &amp; Optimisation'!$B$18*U3262</f>
        <v/>
      </c>
      <c r="U3262" s="27">
        <f>MIN(1, S3262/M3262)</f>
        <v/>
      </c>
      <c r="V3262" s="27">
        <f>N3262/(N3262+O3262)</f>
        <v/>
      </c>
      <c r="W3262" s="27">
        <f>U3262*V3262</f>
        <v/>
      </c>
      <c r="X3262" s="25">
        <f>T3262/N3262</f>
        <v/>
      </c>
      <c r="Y3262" s="28">
        <f>IF(W3262=MAXIFS(W$2:W$3601, A$2:A$3601, A3262, B$2:B$3601, B3262), "OPTIMAL", "")</f>
        <v/>
      </c>
    </row>
    <row r="3263" ht="20" customHeight="1">
      <c r="A3263" s="29" t="n">
        <v>-18</v>
      </c>
      <c r="B3263" s="29" t="n">
        <v>45</v>
      </c>
      <c r="C3263" s="30" t="n">
        <v>80</v>
      </c>
      <c r="D3263" s="30" t="n">
        <v>3</v>
      </c>
      <c r="E3263" s="6" t="n">
        <v>0</v>
      </c>
      <c r="F3263" s="30" t="n">
        <v>0</v>
      </c>
      <c r="G3263" s="6" t="inlineStr">
        <is>
          <t>Oui</t>
        </is>
      </c>
      <c r="H3263" s="6" t="inlineStr">
        <is>
          <t>OFF</t>
        </is>
      </c>
      <c r="I3263" s="31" t="n">
        <v>885.2722778138215</v>
      </c>
      <c r="J3263" s="31" t="n">
        <v>10520.73059103506</v>
      </c>
      <c r="K3263" s="31" t="n">
        <v>5101.851851851852</v>
      </c>
      <c r="L3263" s="31" t="n">
        <v>150</v>
      </c>
      <c r="M3263" s="31">
        <f>I3263+J3263+K3263+L3263</f>
        <v/>
      </c>
      <c r="N3263" s="31">
        <f>M3263*'Dashboard &amp; Optimisation'!$B$18/('Dashboard &amp; Optimisation'!$B$16/3.6)</f>
        <v/>
      </c>
      <c r="O3263" s="31" t="n">
        <v>1428.540057825094</v>
      </c>
      <c r="P3263" s="32" t="n">
        <v>0.8992859551262622</v>
      </c>
      <c r="Q3263" s="33" t="n">
        <v>0.2</v>
      </c>
      <c r="R3263" s="31" t="n">
        <v>810.7164691406982</v>
      </c>
      <c r="S3263" s="31">
        <f>R3263*IF(A3263=4, 2.0, 3.0)</f>
        <v/>
      </c>
      <c r="T3263" s="30">
        <f>'Dashboard &amp; Optimisation'!$B$18*U3263</f>
        <v/>
      </c>
      <c r="U3263" s="34">
        <f>MIN(1, S3263/M3263)</f>
        <v/>
      </c>
      <c r="V3263" s="34">
        <f>N3263/(N3263+O3263)</f>
        <v/>
      </c>
      <c r="W3263" s="34">
        <f>U3263*V3263</f>
        <v/>
      </c>
      <c r="X3263" s="32">
        <f>T3263/N3263</f>
        <v/>
      </c>
      <c r="Y3263" s="35">
        <f>IF(W3263=MAXIFS(W$2:W$3601, A$2:A$3601, A3263, B$2:B$3601, B3263), "OPTIMAL", "")</f>
        <v/>
      </c>
    </row>
    <row r="3264" ht="20" customHeight="1">
      <c r="A3264" s="21" t="n">
        <v>-18</v>
      </c>
      <c r="B3264" s="21" t="n">
        <v>45</v>
      </c>
      <c r="C3264" s="22" t="n">
        <v>80</v>
      </c>
      <c r="D3264" s="22" t="n">
        <v>3</v>
      </c>
      <c r="E3264" s="23" t="n">
        <v>0</v>
      </c>
      <c r="F3264" s="22" t="n">
        <v>0</v>
      </c>
      <c r="G3264" s="23" t="inlineStr">
        <is>
          <t>Non</t>
        </is>
      </c>
      <c r="H3264" s="23" t="inlineStr">
        <is>
          <t>ON</t>
        </is>
      </c>
      <c r="I3264" s="24" t="n">
        <v>885.2722778138215</v>
      </c>
      <c r="J3264" s="24" t="n">
        <v>10520.73059103506</v>
      </c>
      <c r="K3264" s="24" t="n">
        <v>5101.851851851852</v>
      </c>
      <c r="L3264" s="24" t="n">
        <v>150</v>
      </c>
      <c r="M3264" s="24">
        <f>I3264+J3264+K3264+L3264</f>
        <v/>
      </c>
      <c r="N3264" s="24">
        <f>M3264*'Dashboard &amp; Optimisation'!$B$18/('Dashboard &amp; Optimisation'!$B$16/3.6)</f>
        <v/>
      </c>
      <c r="O3264" s="24" t="n">
        <v>1428.540057825094</v>
      </c>
      <c r="P3264" s="25" t="n">
        <v>0.4974197238192265</v>
      </c>
      <c r="Q3264" s="26" t="n">
        <v>0.2</v>
      </c>
      <c r="R3264" s="24" t="n">
        <v>1465.695667815421</v>
      </c>
      <c r="S3264" s="24">
        <f>R3264*IF(A3264=4, 2.0, 3.0)</f>
        <v/>
      </c>
      <c r="T3264" s="22">
        <f>'Dashboard &amp; Optimisation'!$B$18*U3264</f>
        <v/>
      </c>
      <c r="U3264" s="27">
        <f>MIN(1, S3264/M3264)</f>
        <v/>
      </c>
      <c r="V3264" s="27">
        <f>N3264/(N3264+O3264)</f>
        <v/>
      </c>
      <c r="W3264" s="27">
        <f>U3264*V3264</f>
        <v/>
      </c>
      <c r="X3264" s="25">
        <f>T3264/N3264</f>
        <v/>
      </c>
      <c r="Y3264" s="28">
        <f>IF(W3264=MAXIFS(W$2:W$3601, A$2:A$3601, A3264, B$2:B$3601, B3264), "OPTIMAL", "")</f>
        <v/>
      </c>
    </row>
    <row r="3265" ht="20" customHeight="1">
      <c r="A3265" s="29" t="n">
        <v>-18</v>
      </c>
      <c r="B3265" s="29" t="n">
        <v>45</v>
      </c>
      <c r="C3265" s="30" t="n">
        <v>80</v>
      </c>
      <c r="D3265" s="30" t="n">
        <v>3</v>
      </c>
      <c r="E3265" s="6" t="n">
        <v>0</v>
      </c>
      <c r="F3265" s="30" t="n">
        <v>0</v>
      </c>
      <c r="G3265" s="6" t="inlineStr">
        <is>
          <t>Non</t>
        </is>
      </c>
      <c r="H3265" s="6" t="inlineStr">
        <is>
          <t>OFF</t>
        </is>
      </c>
      <c r="I3265" s="31" t="n">
        <v>885.2722778138215</v>
      </c>
      <c r="J3265" s="31" t="n">
        <v>10520.73059103506</v>
      </c>
      <c r="K3265" s="31" t="n">
        <v>5101.851851851852</v>
      </c>
      <c r="L3265" s="31" t="n">
        <v>150</v>
      </c>
      <c r="M3265" s="31">
        <f>I3265+J3265+K3265+L3265</f>
        <v/>
      </c>
      <c r="N3265" s="31">
        <f>M3265*'Dashboard &amp; Optimisation'!$B$18/('Dashboard &amp; Optimisation'!$B$16/3.6)</f>
        <v/>
      </c>
      <c r="O3265" s="31" t="n">
        <v>1428.540057825094</v>
      </c>
      <c r="P3265" s="32" t="n">
        <v>0.8953070815489648</v>
      </c>
      <c r="Q3265" s="33" t="n">
        <v>0.2</v>
      </c>
      <c r="R3265" s="31" t="n">
        <v>814.319409857042</v>
      </c>
      <c r="S3265" s="31">
        <f>R3265*IF(A3265=4, 2.0, 3.0)</f>
        <v/>
      </c>
      <c r="T3265" s="30">
        <f>'Dashboard &amp; Optimisation'!$B$18*U3265</f>
        <v/>
      </c>
      <c r="U3265" s="34">
        <f>MIN(1, S3265/M3265)</f>
        <v/>
      </c>
      <c r="V3265" s="34">
        <f>N3265/(N3265+O3265)</f>
        <v/>
      </c>
      <c r="W3265" s="34">
        <f>U3265*V3265</f>
        <v/>
      </c>
      <c r="X3265" s="32">
        <f>T3265/N3265</f>
        <v/>
      </c>
      <c r="Y3265" s="35">
        <f>IF(W3265=MAXIFS(W$2:W$3601, A$2:A$3601, A3265, B$2:B$3601, B3265), "OPTIMAL", "")</f>
        <v/>
      </c>
    </row>
    <row r="3266" ht="20" customHeight="1">
      <c r="A3266" s="21" t="n">
        <v>-18</v>
      </c>
      <c r="B3266" s="21" t="n">
        <v>45</v>
      </c>
      <c r="C3266" s="22" t="n">
        <v>80</v>
      </c>
      <c r="D3266" s="22" t="n">
        <v>3</v>
      </c>
      <c r="E3266" s="23" t="n">
        <v>4</v>
      </c>
      <c r="F3266" s="22" t="n">
        <v>1.5</v>
      </c>
      <c r="G3266" s="23" t="inlineStr">
        <is>
          <t>Oui</t>
        </is>
      </c>
      <c r="H3266" s="23" t="inlineStr">
        <is>
          <t>ON</t>
        </is>
      </c>
      <c r="I3266" s="24" t="n">
        <v>885.2722778138215</v>
      </c>
      <c r="J3266" s="24" t="n">
        <v>10520.73059103506</v>
      </c>
      <c r="K3266" s="24" t="n">
        <v>5101.851851851852</v>
      </c>
      <c r="L3266" s="24" t="n">
        <v>150</v>
      </c>
      <c r="M3266" s="24">
        <f>I3266+J3266+K3266+L3266</f>
        <v/>
      </c>
      <c r="N3266" s="24">
        <f>M3266*'Dashboard &amp; Optimisation'!$B$18/('Dashboard &amp; Optimisation'!$B$16/3.6)</f>
        <v/>
      </c>
      <c r="O3266" s="24" t="n">
        <v>2039.525462212087</v>
      </c>
      <c r="P3266" s="25" t="n">
        <v>0.08209463084427607</v>
      </c>
      <c r="Q3266" s="26" t="n">
        <v>8.657063527408475</v>
      </c>
      <c r="R3266" s="24" t="n">
        <v>9263.321180415564</v>
      </c>
      <c r="S3266" s="24">
        <f>R3266*IF(A3266=4, 2.0, 3.0)</f>
        <v/>
      </c>
      <c r="T3266" s="22">
        <f>'Dashboard &amp; Optimisation'!$B$18*U3266</f>
        <v/>
      </c>
      <c r="U3266" s="27">
        <f>MIN(1, S3266/M3266)</f>
        <v/>
      </c>
      <c r="V3266" s="27">
        <f>N3266/(N3266+O3266)</f>
        <v/>
      </c>
      <c r="W3266" s="27">
        <f>U3266*V3266</f>
        <v/>
      </c>
      <c r="X3266" s="25">
        <f>T3266/N3266</f>
        <v/>
      </c>
      <c r="Y3266" s="28">
        <f>IF(W3266=MAXIFS(W$2:W$3601, A$2:A$3601, A3266, B$2:B$3601, B3266), "OPTIMAL", "")</f>
        <v/>
      </c>
    </row>
    <row r="3267" ht="20" customHeight="1">
      <c r="A3267" s="29" t="n">
        <v>-18</v>
      </c>
      <c r="B3267" s="29" t="n">
        <v>45</v>
      </c>
      <c r="C3267" s="30" t="n">
        <v>80</v>
      </c>
      <c r="D3267" s="30" t="n">
        <v>3</v>
      </c>
      <c r="E3267" s="6" t="n">
        <v>4</v>
      </c>
      <c r="F3267" s="30" t="n">
        <v>1.5</v>
      </c>
      <c r="G3267" s="6" t="inlineStr">
        <is>
          <t>Oui</t>
        </is>
      </c>
      <c r="H3267" s="6" t="inlineStr">
        <is>
          <t>OFF</t>
        </is>
      </c>
      <c r="I3267" s="31" t="n">
        <v>885.2722778138215</v>
      </c>
      <c r="J3267" s="31" t="n">
        <v>10520.73059103506</v>
      </c>
      <c r="K3267" s="31" t="n">
        <v>5101.851851851852</v>
      </c>
      <c r="L3267" s="31" t="n">
        <v>150</v>
      </c>
      <c r="M3267" s="31">
        <f>I3267+J3267+K3267+L3267</f>
        <v/>
      </c>
      <c r="N3267" s="31">
        <f>M3267*'Dashboard &amp; Optimisation'!$B$18/('Dashboard &amp; Optimisation'!$B$16/3.6)</f>
        <v/>
      </c>
      <c r="O3267" s="31" t="n">
        <v>2039.525462212087</v>
      </c>
      <c r="P3267" s="32" t="n">
        <v>0.3558275394191204</v>
      </c>
      <c r="Q3267" s="33" t="n">
        <v>8.657063527408475</v>
      </c>
      <c r="R3267" s="31" t="n">
        <v>2137.184024428311</v>
      </c>
      <c r="S3267" s="31">
        <f>R3267*IF(A3267=4, 2.0, 3.0)</f>
        <v/>
      </c>
      <c r="T3267" s="30">
        <f>'Dashboard &amp; Optimisation'!$B$18*U3267</f>
        <v/>
      </c>
      <c r="U3267" s="34">
        <f>MIN(1, S3267/M3267)</f>
        <v/>
      </c>
      <c r="V3267" s="34">
        <f>N3267/(N3267+O3267)</f>
        <v/>
      </c>
      <c r="W3267" s="34">
        <f>U3267*V3267</f>
        <v/>
      </c>
      <c r="X3267" s="32">
        <f>T3267/N3267</f>
        <v/>
      </c>
      <c r="Y3267" s="35">
        <f>IF(W3267=MAXIFS(W$2:W$3601, A$2:A$3601, A3267, B$2:B$3601, B3267), "OPTIMAL", "")</f>
        <v/>
      </c>
    </row>
    <row r="3268" ht="20" customHeight="1">
      <c r="A3268" s="21" t="n">
        <v>-18</v>
      </c>
      <c r="B3268" s="21" t="n">
        <v>45</v>
      </c>
      <c r="C3268" s="22" t="n">
        <v>80</v>
      </c>
      <c r="D3268" s="22" t="n">
        <v>3</v>
      </c>
      <c r="E3268" s="23" t="n">
        <v>4</v>
      </c>
      <c r="F3268" s="22" t="n">
        <v>1.5</v>
      </c>
      <c r="G3268" s="23" t="inlineStr">
        <is>
          <t>Non</t>
        </is>
      </c>
      <c r="H3268" s="23" t="inlineStr">
        <is>
          <t>ON</t>
        </is>
      </c>
      <c r="I3268" s="24" t="n">
        <v>885.2722778138215</v>
      </c>
      <c r="J3268" s="24" t="n">
        <v>10520.73059103506</v>
      </c>
      <c r="K3268" s="24" t="n">
        <v>5101.851851851852</v>
      </c>
      <c r="L3268" s="24" t="n">
        <v>150</v>
      </c>
      <c r="M3268" s="24">
        <f>I3268+J3268+K3268+L3268</f>
        <v/>
      </c>
      <c r="N3268" s="24">
        <f>M3268*'Dashboard &amp; Optimisation'!$B$18/('Dashboard &amp; Optimisation'!$B$16/3.6)</f>
        <v/>
      </c>
      <c r="O3268" s="24" t="n">
        <v>2039.525462212087</v>
      </c>
      <c r="P3268" s="25" t="n">
        <v>0.07811575726697868</v>
      </c>
      <c r="Q3268" s="26" t="n">
        <v>8.657063527408475</v>
      </c>
      <c r="R3268" s="24" t="n">
        <v>9735.154075241193</v>
      </c>
      <c r="S3268" s="24">
        <f>R3268*IF(A3268=4, 2.0, 3.0)</f>
        <v/>
      </c>
      <c r="T3268" s="22">
        <f>'Dashboard &amp; Optimisation'!$B$18*U3268</f>
        <v/>
      </c>
      <c r="U3268" s="27">
        <f>MIN(1, S3268/M3268)</f>
        <v/>
      </c>
      <c r="V3268" s="27">
        <f>N3268/(N3268+O3268)</f>
        <v/>
      </c>
      <c r="W3268" s="27">
        <f>U3268*V3268</f>
        <v/>
      </c>
      <c r="X3268" s="25">
        <f>T3268/N3268</f>
        <v/>
      </c>
      <c r="Y3268" s="28">
        <f>IF(W3268=MAXIFS(W$2:W$3601, A$2:A$3601, A3268, B$2:B$3601, B3268), "OPTIMAL", "")</f>
        <v/>
      </c>
    </row>
    <row r="3269" ht="20" customHeight="1">
      <c r="A3269" s="29" t="n">
        <v>-18</v>
      </c>
      <c r="B3269" s="29" t="n">
        <v>45</v>
      </c>
      <c r="C3269" s="30" t="n">
        <v>80</v>
      </c>
      <c r="D3269" s="30" t="n">
        <v>3</v>
      </c>
      <c r="E3269" s="6" t="n">
        <v>4</v>
      </c>
      <c r="F3269" s="30" t="n">
        <v>1.5</v>
      </c>
      <c r="G3269" s="6" t="inlineStr">
        <is>
          <t>Non</t>
        </is>
      </c>
      <c r="H3269" s="6" t="inlineStr">
        <is>
          <t>OFF</t>
        </is>
      </c>
      <c r="I3269" s="31" t="n">
        <v>885.2722778138215</v>
      </c>
      <c r="J3269" s="31" t="n">
        <v>10520.73059103506</v>
      </c>
      <c r="K3269" s="31" t="n">
        <v>5101.851851851852</v>
      </c>
      <c r="L3269" s="31" t="n">
        <v>150</v>
      </c>
      <c r="M3269" s="31">
        <f>I3269+J3269+K3269+L3269</f>
        <v/>
      </c>
      <c r="N3269" s="31">
        <f>M3269*'Dashboard &amp; Optimisation'!$B$18/('Dashboard &amp; Optimisation'!$B$16/3.6)</f>
        <v/>
      </c>
      <c r="O3269" s="31" t="n">
        <v>2039.525462212087</v>
      </c>
      <c r="P3269" s="32" t="n">
        <v>0.3518486658418231</v>
      </c>
      <c r="Q3269" s="33" t="n">
        <v>8.657063527408475</v>
      </c>
      <c r="R3269" s="31" t="n">
        <v>2161.352327082733</v>
      </c>
      <c r="S3269" s="31">
        <f>R3269*IF(A3269=4, 2.0, 3.0)</f>
        <v/>
      </c>
      <c r="T3269" s="30">
        <f>'Dashboard &amp; Optimisation'!$B$18*U3269</f>
        <v/>
      </c>
      <c r="U3269" s="34">
        <f>MIN(1, S3269/M3269)</f>
        <v/>
      </c>
      <c r="V3269" s="34">
        <f>N3269/(N3269+O3269)</f>
        <v/>
      </c>
      <c r="W3269" s="34">
        <f>U3269*V3269</f>
        <v/>
      </c>
      <c r="X3269" s="32">
        <f>T3269/N3269</f>
        <v/>
      </c>
      <c r="Y3269" s="35">
        <f>IF(W3269=MAXIFS(W$2:W$3601, A$2:A$3601, A3269, B$2:B$3601, B3269), "OPTIMAL", "")</f>
        <v/>
      </c>
    </row>
    <row r="3270" ht="20" customHeight="1">
      <c r="A3270" s="21" t="n">
        <v>-18</v>
      </c>
      <c r="B3270" s="21" t="n">
        <v>45</v>
      </c>
      <c r="C3270" s="22" t="n">
        <v>80</v>
      </c>
      <c r="D3270" s="22" t="n">
        <v>3</v>
      </c>
      <c r="E3270" s="23" t="n">
        <v>4</v>
      </c>
      <c r="F3270" s="22" t="n">
        <v>2</v>
      </c>
      <c r="G3270" s="23" t="inlineStr">
        <is>
          <t>Oui</t>
        </is>
      </c>
      <c r="H3270" s="23" t="inlineStr">
        <is>
          <t>ON</t>
        </is>
      </c>
      <c r="I3270" s="24" t="n">
        <v>885.2722778138215</v>
      </c>
      <c r="J3270" s="24" t="n">
        <v>10520.73059103506</v>
      </c>
      <c r="K3270" s="24" t="n">
        <v>5101.851851851852</v>
      </c>
      <c r="L3270" s="24" t="n">
        <v>150</v>
      </c>
      <c r="M3270" s="24">
        <f>I3270+J3270+K3270+L3270</f>
        <v/>
      </c>
      <c r="N3270" s="24">
        <f>M3270*'Dashboard &amp; Optimisation'!$B$18/('Dashboard &amp; Optimisation'!$B$16/3.6)</f>
        <v/>
      </c>
      <c r="O3270" s="24" t="n">
        <v>2255.05405399114</v>
      </c>
      <c r="P3270" s="25" t="n">
        <v>0.08011046001180847</v>
      </c>
      <c r="Q3270" s="26" t="n">
        <v>11.4760847032113</v>
      </c>
      <c r="R3270" s="24" t="n">
        <v>9631.033446442523</v>
      </c>
      <c r="S3270" s="24">
        <f>R3270*IF(A3270=4, 2.0, 3.0)</f>
        <v/>
      </c>
      <c r="T3270" s="22">
        <f>'Dashboard &amp; Optimisation'!$B$18*U3270</f>
        <v/>
      </c>
      <c r="U3270" s="27">
        <f>MIN(1, S3270/M3270)</f>
        <v/>
      </c>
      <c r="V3270" s="27">
        <f>N3270/(N3270+O3270)</f>
        <v/>
      </c>
      <c r="W3270" s="27">
        <f>U3270*V3270</f>
        <v/>
      </c>
      <c r="X3270" s="25">
        <f>T3270/N3270</f>
        <v/>
      </c>
      <c r="Y3270" s="28">
        <f>IF(W3270=MAXIFS(W$2:W$3601, A$2:A$3601, A3270, B$2:B$3601, B3270), "OPTIMAL", "")</f>
        <v/>
      </c>
    </row>
    <row r="3271" ht="20" customHeight="1">
      <c r="A3271" s="29" t="n">
        <v>-18</v>
      </c>
      <c r="B3271" s="29" t="n">
        <v>45</v>
      </c>
      <c r="C3271" s="30" t="n">
        <v>80</v>
      </c>
      <c r="D3271" s="30" t="n">
        <v>3</v>
      </c>
      <c r="E3271" s="6" t="n">
        <v>4</v>
      </c>
      <c r="F3271" s="30" t="n">
        <v>2</v>
      </c>
      <c r="G3271" s="6" t="inlineStr">
        <is>
          <t>Oui</t>
        </is>
      </c>
      <c r="H3271" s="6" t="inlineStr">
        <is>
          <t>OFF</t>
        </is>
      </c>
      <c r="I3271" s="31" t="n">
        <v>885.2722778138215</v>
      </c>
      <c r="J3271" s="31" t="n">
        <v>10520.73059103506</v>
      </c>
      <c r="K3271" s="31" t="n">
        <v>5101.851851851852</v>
      </c>
      <c r="L3271" s="31" t="n">
        <v>150</v>
      </c>
      <c r="M3271" s="31">
        <f>I3271+J3271+K3271+L3271</f>
        <v/>
      </c>
      <c r="N3271" s="31">
        <f>M3271*'Dashboard &amp; Optimisation'!$B$18/('Dashboard &amp; Optimisation'!$B$16/3.6)</f>
        <v/>
      </c>
      <c r="O3271" s="31" t="n">
        <v>2255.05405399114</v>
      </c>
      <c r="P3271" s="32" t="n">
        <v>0.3553476372854298</v>
      </c>
      <c r="Q3271" s="33" t="n">
        <v>11.4760847032113</v>
      </c>
      <c r="R3271" s="31" t="n">
        <v>2171.24426569322</v>
      </c>
      <c r="S3271" s="31">
        <f>R3271*IF(A3271=4, 2.0, 3.0)</f>
        <v/>
      </c>
      <c r="T3271" s="30">
        <f>'Dashboard &amp; Optimisation'!$B$18*U3271</f>
        <v/>
      </c>
      <c r="U3271" s="34">
        <f>MIN(1, S3271/M3271)</f>
        <v/>
      </c>
      <c r="V3271" s="34">
        <f>N3271/(N3271+O3271)</f>
        <v/>
      </c>
      <c r="W3271" s="34">
        <f>U3271*V3271</f>
        <v/>
      </c>
      <c r="X3271" s="32">
        <f>T3271/N3271</f>
        <v/>
      </c>
      <c r="Y3271" s="35">
        <f>IF(W3271=MAXIFS(W$2:W$3601, A$2:A$3601, A3271, B$2:B$3601, B3271), "OPTIMAL", "")</f>
        <v/>
      </c>
    </row>
    <row r="3272" ht="20" customHeight="1">
      <c r="A3272" s="21" t="n">
        <v>-18</v>
      </c>
      <c r="B3272" s="21" t="n">
        <v>45</v>
      </c>
      <c r="C3272" s="22" t="n">
        <v>80</v>
      </c>
      <c r="D3272" s="22" t="n">
        <v>3</v>
      </c>
      <c r="E3272" s="23" t="n">
        <v>4</v>
      </c>
      <c r="F3272" s="22" t="n">
        <v>2</v>
      </c>
      <c r="G3272" s="23" t="inlineStr">
        <is>
          <t>Non</t>
        </is>
      </c>
      <c r="H3272" s="23" t="inlineStr">
        <is>
          <t>ON</t>
        </is>
      </c>
      <c r="I3272" s="24" t="n">
        <v>885.2722778138215</v>
      </c>
      <c r="J3272" s="24" t="n">
        <v>10520.73059103506</v>
      </c>
      <c r="K3272" s="24" t="n">
        <v>5101.851851851852</v>
      </c>
      <c r="L3272" s="24" t="n">
        <v>150</v>
      </c>
      <c r="M3272" s="24">
        <f>I3272+J3272+K3272+L3272</f>
        <v/>
      </c>
      <c r="N3272" s="24">
        <f>M3272*'Dashboard &amp; Optimisation'!$B$18/('Dashboard &amp; Optimisation'!$B$16/3.6)</f>
        <v/>
      </c>
      <c r="O3272" s="24" t="n">
        <v>2255.05405399114</v>
      </c>
      <c r="P3272" s="25" t="n">
        <v>0.07613158643451108</v>
      </c>
      <c r="Q3272" s="26" t="n">
        <v>11.4760847032113</v>
      </c>
      <c r="R3272" s="24" t="n">
        <v>10134.38121964414</v>
      </c>
      <c r="S3272" s="24">
        <f>R3272*IF(A3272=4, 2.0, 3.0)</f>
        <v/>
      </c>
      <c r="T3272" s="22">
        <f>'Dashboard &amp; Optimisation'!$B$18*U3272</f>
        <v/>
      </c>
      <c r="U3272" s="27">
        <f>MIN(1, S3272/M3272)</f>
        <v/>
      </c>
      <c r="V3272" s="27">
        <f>N3272/(N3272+O3272)</f>
        <v/>
      </c>
      <c r="W3272" s="27">
        <f>U3272*V3272</f>
        <v/>
      </c>
      <c r="X3272" s="25">
        <f>T3272/N3272</f>
        <v/>
      </c>
      <c r="Y3272" s="28">
        <f>IF(W3272=MAXIFS(W$2:W$3601, A$2:A$3601, A3272, B$2:B$3601, B3272), "OPTIMAL", "")</f>
        <v/>
      </c>
    </row>
    <row r="3273" ht="20" customHeight="1">
      <c r="A3273" s="29" t="n">
        <v>-18</v>
      </c>
      <c r="B3273" s="29" t="n">
        <v>45</v>
      </c>
      <c r="C3273" s="30" t="n">
        <v>80</v>
      </c>
      <c r="D3273" s="30" t="n">
        <v>3</v>
      </c>
      <c r="E3273" s="6" t="n">
        <v>4</v>
      </c>
      <c r="F3273" s="30" t="n">
        <v>2</v>
      </c>
      <c r="G3273" s="6" t="inlineStr">
        <is>
          <t>Non</t>
        </is>
      </c>
      <c r="H3273" s="6" t="inlineStr">
        <is>
          <t>OFF</t>
        </is>
      </c>
      <c r="I3273" s="31" t="n">
        <v>885.2722778138215</v>
      </c>
      <c r="J3273" s="31" t="n">
        <v>10520.73059103506</v>
      </c>
      <c r="K3273" s="31" t="n">
        <v>5101.851851851852</v>
      </c>
      <c r="L3273" s="31" t="n">
        <v>150</v>
      </c>
      <c r="M3273" s="31">
        <f>I3273+J3273+K3273+L3273</f>
        <v/>
      </c>
      <c r="N3273" s="31">
        <f>M3273*'Dashboard &amp; Optimisation'!$B$18/('Dashboard &amp; Optimisation'!$B$16/3.6)</f>
        <v/>
      </c>
      <c r="O3273" s="31" t="n">
        <v>2255.05405399114</v>
      </c>
      <c r="P3273" s="32" t="n">
        <v>0.3513687637081325</v>
      </c>
      <c r="Q3273" s="33" t="n">
        <v>11.4760847032113</v>
      </c>
      <c r="R3273" s="31" t="n">
        <v>2195.831273221872</v>
      </c>
      <c r="S3273" s="31">
        <f>R3273*IF(A3273=4, 2.0, 3.0)</f>
        <v/>
      </c>
      <c r="T3273" s="30">
        <f>'Dashboard &amp; Optimisation'!$B$18*U3273</f>
        <v/>
      </c>
      <c r="U3273" s="34">
        <f>MIN(1, S3273/M3273)</f>
        <v/>
      </c>
      <c r="V3273" s="34">
        <f>N3273/(N3273+O3273)</f>
        <v/>
      </c>
      <c r="W3273" s="34">
        <f>U3273*V3273</f>
        <v/>
      </c>
      <c r="X3273" s="32">
        <f>T3273/N3273</f>
        <v/>
      </c>
      <c r="Y3273" s="35">
        <f>IF(W3273=MAXIFS(W$2:W$3601, A$2:A$3601, A3273, B$2:B$3601, B3273), "OPTIMAL", "")</f>
        <v/>
      </c>
    </row>
    <row r="3274" ht="20" customHeight="1">
      <c r="A3274" s="21" t="n">
        <v>-18</v>
      </c>
      <c r="B3274" s="21" t="n">
        <v>45</v>
      </c>
      <c r="C3274" s="22" t="n">
        <v>80</v>
      </c>
      <c r="D3274" s="22" t="n">
        <v>3</v>
      </c>
      <c r="E3274" s="23" t="n">
        <v>8</v>
      </c>
      <c r="F3274" s="22" t="n">
        <v>1.5</v>
      </c>
      <c r="G3274" s="23" t="inlineStr">
        <is>
          <t>Oui</t>
        </is>
      </c>
      <c r="H3274" s="23" t="inlineStr">
        <is>
          <t>ON</t>
        </is>
      </c>
      <c r="I3274" s="24" t="n">
        <v>885.2722778138215</v>
      </c>
      <c r="J3274" s="24" t="n">
        <v>10520.73059103506</v>
      </c>
      <c r="K3274" s="24" t="n">
        <v>5101.851851851852</v>
      </c>
      <c r="L3274" s="24" t="n">
        <v>150</v>
      </c>
      <c r="M3274" s="24">
        <f>I3274+J3274+K3274+L3274</f>
        <v/>
      </c>
      <c r="N3274" s="24">
        <f>M3274*'Dashboard &amp; Optimisation'!$B$18/('Dashboard &amp; Optimisation'!$B$16/3.6)</f>
        <v/>
      </c>
      <c r="O3274" s="24" t="n">
        <v>2705.513856427143</v>
      </c>
      <c r="P3274" s="25" t="n">
        <v>0.06134832938702932</v>
      </c>
      <c r="Q3274" s="26" t="n">
        <v>17.11412705481695</v>
      </c>
      <c r="R3274" s="24" t="n">
        <v>12953.88063641941</v>
      </c>
      <c r="S3274" s="24">
        <f>R3274*IF(A3274=4, 2.0, 3.0)</f>
        <v/>
      </c>
      <c r="T3274" s="22">
        <f>'Dashboard &amp; Optimisation'!$B$18*U3274</f>
        <v/>
      </c>
      <c r="U3274" s="27">
        <f>MIN(1, S3274/M3274)</f>
        <v/>
      </c>
      <c r="V3274" s="27">
        <f>N3274/(N3274+O3274)</f>
        <v/>
      </c>
      <c r="W3274" s="27">
        <f>U3274*V3274</f>
        <v/>
      </c>
      <c r="X3274" s="25">
        <f>T3274/N3274</f>
        <v/>
      </c>
      <c r="Y3274" s="28">
        <f>IF(W3274=MAXIFS(W$2:W$3601, A$2:A$3601, A3274, B$2:B$3601, B3274), "OPTIMAL", "")</f>
        <v/>
      </c>
    </row>
    <row r="3275" ht="20" customHeight="1">
      <c r="A3275" s="29" t="n">
        <v>-18</v>
      </c>
      <c r="B3275" s="29" t="n">
        <v>45</v>
      </c>
      <c r="C3275" s="30" t="n">
        <v>80</v>
      </c>
      <c r="D3275" s="30" t="n">
        <v>3</v>
      </c>
      <c r="E3275" s="6" t="n">
        <v>8</v>
      </c>
      <c r="F3275" s="30" t="n">
        <v>1.5</v>
      </c>
      <c r="G3275" s="6" t="inlineStr">
        <is>
          <t>Oui</t>
        </is>
      </c>
      <c r="H3275" s="6" t="inlineStr">
        <is>
          <t>OFF</t>
        </is>
      </c>
      <c r="I3275" s="31" t="n">
        <v>885.2722778138215</v>
      </c>
      <c r="J3275" s="31" t="n">
        <v>10520.73059103506</v>
      </c>
      <c r="K3275" s="31" t="n">
        <v>5101.851851851852</v>
      </c>
      <c r="L3275" s="31" t="n">
        <v>150</v>
      </c>
      <c r="M3275" s="31">
        <f>I3275+J3275+K3275+L3275</f>
        <v/>
      </c>
      <c r="N3275" s="31">
        <f>M3275*'Dashboard &amp; Optimisation'!$B$18/('Dashboard &amp; Optimisation'!$B$16/3.6)</f>
        <v/>
      </c>
      <c r="O3275" s="31" t="n">
        <v>2705.513856427143</v>
      </c>
      <c r="P3275" s="32" t="n">
        <v>0.2699794634504217</v>
      </c>
      <c r="Q3275" s="33" t="n">
        <v>17.11412705481695</v>
      </c>
      <c r="R3275" s="31" t="n">
        <v>2943.553283523195</v>
      </c>
      <c r="S3275" s="31">
        <f>R3275*IF(A3275=4, 2.0, 3.0)</f>
        <v/>
      </c>
      <c r="T3275" s="30">
        <f>'Dashboard &amp; Optimisation'!$B$18*U3275</f>
        <v/>
      </c>
      <c r="U3275" s="34">
        <f>MIN(1, S3275/M3275)</f>
        <v/>
      </c>
      <c r="V3275" s="34">
        <f>N3275/(N3275+O3275)</f>
        <v/>
      </c>
      <c r="W3275" s="34">
        <f>U3275*V3275</f>
        <v/>
      </c>
      <c r="X3275" s="32">
        <f>T3275/N3275</f>
        <v/>
      </c>
      <c r="Y3275" s="35">
        <f>IF(W3275=MAXIFS(W$2:W$3601, A$2:A$3601, A3275, B$2:B$3601, B3275), "OPTIMAL", "")</f>
        <v/>
      </c>
    </row>
    <row r="3276" ht="20" customHeight="1">
      <c r="A3276" s="21" t="n">
        <v>-18</v>
      </c>
      <c r="B3276" s="21" t="n">
        <v>45</v>
      </c>
      <c r="C3276" s="22" t="n">
        <v>80</v>
      </c>
      <c r="D3276" s="22" t="n">
        <v>3</v>
      </c>
      <c r="E3276" s="23" t="n">
        <v>8</v>
      </c>
      <c r="F3276" s="22" t="n">
        <v>1.5</v>
      </c>
      <c r="G3276" s="23" t="inlineStr">
        <is>
          <t>Non</t>
        </is>
      </c>
      <c r="H3276" s="23" t="inlineStr">
        <is>
          <t>ON</t>
        </is>
      </c>
      <c r="I3276" s="24" t="n">
        <v>885.2722778138215</v>
      </c>
      <c r="J3276" s="24" t="n">
        <v>10520.73059103506</v>
      </c>
      <c r="K3276" s="24" t="n">
        <v>5101.851851851852</v>
      </c>
      <c r="L3276" s="24" t="n">
        <v>150</v>
      </c>
      <c r="M3276" s="24">
        <f>I3276+J3276+K3276+L3276</f>
        <v/>
      </c>
      <c r="N3276" s="24">
        <f>M3276*'Dashboard &amp; Optimisation'!$B$18/('Dashboard &amp; Optimisation'!$B$16/3.6)</f>
        <v/>
      </c>
      <c r="O3276" s="24" t="n">
        <v>2705.513856427143</v>
      </c>
      <c r="P3276" s="25" t="n">
        <v>0.05736945580973193</v>
      </c>
      <c r="Q3276" s="26" t="n">
        <v>17.11412705481695</v>
      </c>
      <c r="R3276" s="24" t="n">
        <v>13852.30040805981</v>
      </c>
      <c r="S3276" s="24">
        <f>R3276*IF(A3276=4, 2.0, 3.0)</f>
        <v/>
      </c>
      <c r="T3276" s="22">
        <f>'Dashboard &amp; Optimisation'!$B$18*U3276</f>
        <v/>
      </c>
      <c r="U3276" s="27">
        <f>MIN(1, S3276/M3276)</f>
        <v/>
      </c>
      <c r="V3276" s="27">
        <f>N3276/(N3276+O3276)</f>
        <v/>
      </c>
      <c r="W3276" s="27">
        <f>U3276*V3276</f>
        <v/>
      </c>
      <c r="X3276" s="25">
        <f>T3276/N3276</f>
        <v/>
      </c>
      <c r="Y3276" s="28">
        <f>IF(W3276=MAXIFS(W$2:W$3601, A$2:A$3601, A3276, B$2:B$3601, B3276), "OPTIMAL", "")</f>
        <v/>
      </c>
    </row>
    <row r="3277" ht="20" customHeight="1">
      <c r="A3277" s="29" t="n">
        <v>-18</v>
      </c>
      <c r="B3277" s="29" t="n">
        <v>45</v>
      </c>
      <c r="C3277" s="30" t="n">
        <v>80</v>
      </c>
      <c r="D3277" s="30" t="n">
        <v>3</v>
      </c>
      <c r="E3277" s="6" t="n">
        <v>8</v>
      </c>
      <c r="F3277" s="30" t="n">
        <v>1.5</v>
      </c>
      <c r="G3277" s="6" t="inlineStr">
        <is>
          <t>Non</t>
        </is>
      </c>
      <c r="H3277" s="6" t="inlineStr">
        <is>
          <t>OFF</t>
        </is>
      </c>
      <c r="I3277" s="31" t="n">
        <v>885.2722778138215</v>
      </c>
      <c r="J3277" s="31" t="n">
        <v>10520.73059103506</v>
      </c>
      <c r="K3277" s="31" t="n">
        <v>5101.851851851852</v>
      </c>
      <c r="L3277" s="31" t="n">
        <v>150</v>
      </c>
      <c r="M3277" s="31">
        <f>I3277+J3277+K3277+L3277</f>
        <v/>
      </c>
      <c r="N3277" s="31">
        <f>M3277*'Dashboard &amp; Optimisation'!$B$18/('Dashboard &amp; Optimisation'!$B$16/3.6)</f>
        <v/>
      </c>
      <c r="O3277" s="31" t="n">
        <v>2705.513856427143</v>
      </c>
      <c r="P3277" s="32" t="n">
        <v>0.2660005898731243</v>
      </c>
      <c r="Q3277" s="33" t="n">
        <v>17.11412705481695</v>
      </c>
      <c r="R3277" s="31" t="n">
        <v>2987.583360256347</v>
      </c>
      <c r="S3277" s="31">
        <f>R3277*IF(A3277=4, 2.0, 3.0)</f>
        <v/>
      </c>
      <c r="T3277" s="30">
        <f>'Dashboard &amp; Optimisation'!$B$18*U3277</f>
        <v/>
      </c>
      <c r="U3277" s="34">
        <f>MIN(1, S3277/M3277)</f>
        <v/>
      </c>
      <c r="V3277" s="34">
        <f>N3277/(N3277+O3277)</f>
        <v/>
      </c>
      <c r="W3277" s="34">
        <f>U3277*V3277</f>
        <v/>
      </c>
      <c r="X3277" s="32">
        <f>T3277/N3277</f>
        <v/>
      </c>
      <c r="Y3277" s="35">
        <f>IF(W3277=MAXIFS(W$2:W$3601, A$2:A$3601, A3277, B$2:B$3601, B3277), "OPTIMAL", "")</f>
        <v/>
      </c>
    </row>
    <row r="3278" ht="20" customHeight="1">
      <c r="A3278" s="21" t="n">
        <v>-18</v>
      </c>
      <c r="B3278" s="21" t="n">
        <v>45</v>
      </c>
      <c r="C3278" s="22" t="n">
        <v>80</v>
      </c>
      <c r="D3278" s="22" t="n">
        <v>3</v>
      </c>
      <c r="E3278" s="23" t="n">
        <v>8</v>
      </c>
      <c r="F3278" s="22" t="n">
        <v>2</v>
      </c>
      <c r="G3278" s="23" t="inlineStr">
        <is>
          <t>Oui</t>
        </is>
      </c>
      <c r="H3278" s="23" t="inlineStr">
        <is>
          <t>ON</t>
        </is>
      </c>
      <c r="I3278" s="24" t="n">
        <v>885.2722778138215</v>
      </c>
      <c r="J3278" s="24" t="n">
        <v>10520.73059103506</v>
      </c>
      <c r="K3278" s="24" t="n">
        <v>5101.851851851852</v>
      </c>
      <c r="L3278" s="24" t="n">
        <v>150</v>
      </c>
      <c r="M3278" s="24">
        <f>I3278+J3278+K3278+L3278</f>
        <v/>
      </c>
      <c r="N3278" s="24">
        <f>M3278*'Dashboard &amp; Optimisation'!$B$18/('Dashboard &amp; Optimisation'!$B$16/3.6)</f>
        <v/>
      </c>
      <c r="O3278" s="24" t="n">
        <v>3183.844623752641</v>
      </c>
      <c r="P3278" s="25" t="n">
        <v>0.060517018169736</v>
      </c>
      <c r="Q3278" s="26" t="n">
        <v>22.7521694064226</v>
      </c>
      <c r="R3278" s="24" t="n">
        <v>13538.07357842089</v>
      </c>
      <c r="S3278" s="24">
        <f>R3278*IF(A3278=4, 2.0, 3.0)</f>
        <v/>
      </c>
      <c r="T3278" s="22">
        <f>'Dashboard &amp; Optimisation'!$B$18*U3278</f>
        <v/>
      </c>
      <c r="U3278" s="27">
        <f>MIN(1, S3278/M3278)</f>
        <v/>
      </c>
      <c r="V3278" s="27">
        <f>N3278/(N3278+O3278)</f>
        <v/>
      </c>
      <c r="W3278" s="27">
        <f>U3278*V3278</f>
        <v/>
      </c>
      <c r="X3278" s="25">
        <f>T3278/N3278</f>
        <v/>
      </c>
      <c r="Y3278" s="28">
        <f>IF(W3278=MAXIFS(W$2:W$3601, A$2:A$3601, A3278, B$2:B$3601, B3278), "OPTIMAL", "")</f>
        <v/>
      </c>
    </row>
    <row r="3279" ht="20" customHeight="1">
      <c r="A3279" s="29" t="n">
        <v>-18</v>
      </c>
      <c r="B3279" s="29" t="n">
        <v>45</v>
      </c>
      <c r="C3279" s="30" t="n">
        <v>80</v>
      </c>
      <c r="D3279" s="30" t="n">
        <v>3</v>
      </c>
      <c r="E3279" s="6" t="n">
        <v>8</v>
      </c>
      <c r="F3279" s="30" t="n">
        <v>2</v>
      </c>
      <c r="G3279" s="6" t="inlineStr">
        <is>
          <t>Oui</t>
        </is>
      </c>
      <c r="H3279" s="6" t="inlineStr">
        <is>
          <t>OFF</t>
        </is>
      </c>
      <c r="I3279" s="31" t="n">
        <v>885.2722778138215</v>
      </c>
      <c r="J3279" s="31" t="n">
        <v>10520.73059103506</v>
      </c>
      <c r="K3279" s="31" t="n">
        <v>5101.851851851852</v>
      </c>
      <c r="L3279" s="31" t="n">
        <v>150</v>
      </c>
      <c r="M3279" s="31">
        <f>I3279+J3279+K3279+L3279</f>
        <v/>
      </c>
      <c r="N3279" s="31">
        <f>M3279*'Dashboard &amp; Optimisation'!$B$18/('Dashboard &amp; Optimisation'!$B$16/3.6)</f>
        <v/>
      </c>
      <c r="O3279" s="31" t="n">
        <v>3183.844623752641</v>
      </c>
      <c r="P3279" s="32" t="n">
        <v>0.2709014433795033</v>
      </c>
      <c r="Q3279" s="33" t="n">
        <v>22.7521694064226</v>
      </c>
      <c r="R3279" s="31" t="n">
        <v>3024.287484436888</v>
      </c>
      <c r="S3279" s="31">
        <f>R3279*IF(A3279=4, 2.0, 3.0)</f>
        <v/>
      </c>
      <c r="T3279" s="30">
        <f>'Dashboard &amp; Optimisation'!$B$18*U3279</f>
        <v/>
      </c>
      <c r="U3279" s="34">
        <f>MIN(1, S3279/M3279)</f>
        <v/>
      </c>
      <c r="V3279" s="34">
        <f>N3279/(N3279+O3279)</f>
        <v/>
      </c>
      <c r="W3279" s="34">
        <f>U3279*V3279</f>
        <v/>
      </c>
      <c r="X3279" s="32">
        <f>T3279/N3279</f>
        <v/>
      </c>
      <c r="Y3279" s="35">
        <f>IF(W3279=MAXIFS(W$2:W$3601, A$2:A$3601, A3279, B$2:B$3601, B3279), "OPTIMAL", "")</f>
        <v/>
      </c>
    </row>
    <row r="3280" ht="20" customHeight="1">
      <c r="A3280" s="21" t="n">
        <v>-18</v>
      </c>
      <c r="B3280" s="21" t="n">
        <v>45</v>
      </c>
      <c r="C3280" s="22" t="n">
        <v>80</v>
      </c>
      <c r="D3280" s="22" t="n">
        <v>3</v>
      </c>
      <c r="E3280" s="23" t="n">
        <v>8</v>
      </c>
      <c r="F3280" s="22" t="n">
        <v>2</v>
      </c>
      <c r="G3280" s="23" t="inlineStr">
        <is>
          <t>Non</t>
        </is>
      </c>
      <c r="H3280" s="23" t="inlineStr">
        <is>
          <t>ON</t>
        </is>
      </c>
      <c r="I3280" s="24" t="n">
        <v>885.2722778138215</v>
      </c>
      <c r="J3280" s="24" t="n">
        <v>10520.73059103506</v>
      </c>
      <c r="K3280" s="24" t="n">
        <v>5101.851851851852</v>
      </c>
      <c r="L3280" s="24" t="n">
        <v>150</v>
      </c>
      <c r="M3280" s="24">
        <f>I3280+J3280+K3280+L3280</f>
        <v/>
      </c>
      <c r="N3280" s="24">
        <f>M3280*'Dashboard &amp; Optimisation'!$B$18/('Dashboard &amp; Optimisation'!$B$16/3.6)</f>
        <v/>
      </c>
      <c r="O3280" s="24" t="n">
        <v>3183.844623752641</v>
      </c>
      <c r="P3280" s="25" t="n">
        <v>0.05653814459243862</v>
      </c>
      <c r="Q3280" s="26" t="n">
        <v>22.7521694064226</v>
      </c>
      <c r="R3280" s="24" t="n">
        <v>14490.8159019794</v>
      </c>
      <c r="S3280" s="24">
        <f>R3280*IF(A3280=4, 2.0, 3.0)</f>
        <v/>
      </c>
      <c r="T3280" s="22">
        <f>'Dashboard &amp; Optimisation'!$B$18*U3280</f>
        <v/>
      </c>
      <c r="U3280" s="27">
        <f>MIN(1, S3280/M3280)</f>
        <v/>
      </c>
      <c r="V3280" s="27">
        <f>N3280/(N3280+O3280)</f>
        <v/>
      </c>
      <c r="W3280" s="27">
        <f>U3280*V3280</f>
        <v/>
      </c>
      <c r="X3280" s="25">
        <f>T3280/N3280</f>
        <v/>
      </c>
      <c r="Y3280" s="28">
        <f>IF(W3280=MAXIFS(W$2:W$3601, A$2:A$3601, A3280, B$2:B$3601, B3280), "OPTIMAL", "")</f>
        <v/>
      </c>
    </row>
    <row r="3281" ht="20" customHeight="1">
      <c r="A3281" s="29" t="n">
        <v>-18</v>
      </c>
      <c r="B3281" s="29" t="n">
        <v>45</v>
      </c>
      <c r="C3281" s="30" t="n">
        <v>80</v>
      </c>
      <c r="D3281" s="30" t="n">
        <v>3</v>
      </c>
      <c r="E3281" s="6" t="n">
        <v>8</v>
      </c>
      <c r="F3281" s="30" t="n">
        <v>2</v>
      </c>
      <c r="G3281" s="6" t="inlineStr">
        <is>
          <t>Non</t>
        </is>
      </c>
      <c r="H3281" s="6" t="inlineStr">
        <is>
          <t>OFF</t>
        </is>
      </c>
      <c r="I3281" s="31" t="n">
        <v>885.2722778138215</v>
      </c>
      <c r="J3281" s="31" t="n">
        <v>10520.73059103506</v>
      </c>
      <c r="K3281" s="31" t="n">
        <v>5101.851851851852</v>
      </c>
      <c r="L3281" s="31" t="n">
        <v>150</v>
      </c>
      <c r="M3281" s="31">
        <f>I3281+J3281+K3281+L3281</f>
        <v/>
      </c>
      <c r="N3281" s="31">
        <f>M3281*'Dashboard &amp; Optimisation'!$B$18/('Dashboard &amp; Optimisation'!$B$16/3.6)</f>
        <v/>
      </c>
      <c r="O3281" s="31" t="n">
        <v>3183.844623752641</v>
      </c>
      <c r="P3281" s="32" t="n">
        <v>0.266922569802206</v>
      </c>
      <c r="Q3281" s="33" t="n">
        <v>22.7521694064226</v>
      </c>
      <c r="R3281" s="31" t="n">
        <v>3069.368938473891</v>
      </c>
      <c r="S3281" s="31">
        <f>R3281*IF(A3281=4, 2.0, 3.0)</f>
        <v/>
      </c>
      <c r="T3281" s="30">
        <f>'Dashboard &amp; Optimisation'!$B$18*U3281</f>
        <v/>
      </c>
      <c r="U3281" s="34">
        <f>MIN(1, S3281/M3281)</f>
        <v/>
      </c>
      <c r="V3281" s="34">
        <f>N3281/(N3281+O3281)</f>
        <v/>
      </c>
      <c r="W3281" s="34">
        <f>U3281*V3281</f>
        <v/>
      </c>
      <c r="X3281" s="32">
        <f>T3281/N3281</f>
        <v/>
      </c>
      <c r="Y3281" s="35">
        <f>IF(W3281=MAXIFS(W$2:W$3601, A$2:A$3601, A3281, B$2:B$3601, B3281), "OPTIMAL", "")</f>
        <v/>
      </c>
    </row>
    <row r="3282" ht="20" customHeight="1">
      <c r="A3282" s="21" t="n">
        <v>-18</v>
      </c>
      <c r="B3282" s="21" t="n">
        <v>45</v>
      </c>
      <c r="C3282" s="22" t="n">
        <v>85</v>
      </c>
      <c r="D3282" s="22" t="n">
        <v>2</v>
      </c>
      <c r="E3282" s="23" t="n">
        <v>0</v>
      </c>
      <c r="F3282" s="22" t="n">
        <v>0</v>
      </c>
      <c r="G3282" s="23" t="inlineStr">
        <is>
          <t>Oui</t>
        </is>
      </c>
      <c r="H3282" s="23" t="inlineStr">
        <is>
          <t>ON</t>
        </is>
      </c>
      <c r="I3282" s="24" t="n">
        <v>885.2722778138215</v>
      </c>
      <c r="J3282" s="24" t="n">
        <v>10520.73059103506</v>
      </c>
      <c r="K3282" s="24" t="n">
        <v>5101.851851851852</v>
      </c>
      <c r="L3282" s="24" t="n">
        <v>150</v>
      </c>
      <c r="M3282" s="24">
        <f>I3282+J3282+K3282+L3282</f>
        <v/>
      </c>
      <c r="N3282" s="24">
        <f>M3282*'Dashboard &amp; Optimisation'!$B$18/('Dashboard &amp; Optimisation'!$B$16/3.6)</f>
        <v/>
      </c>
      <c r="O3282" s="24" t="n">
        <v>856.804882850278</v>
      </c>
      <c r="P3282" s="25" t="n">
        <v>0.4952901571326194</v>
      </c>
      <c r="Q3282" s="26" t="n">
        <v>0.2</v>
      </c>
      <c r="R3282" s="24" t="n">
        <v>1228.571709615981</v>
      </c>
      <c r="S3282" s="24">
        <f>R3282*IF(A3282=4, 2.0, 3.0)</f>
        <v/>
      </c>
      <c r="T3282" s="22">
        <f>'Dashboard &amp; Optimisation'!$B$18*U3282</f>
        <v/>
      </c>
      <c r="U3282" s="27">
        <f>MIN(1, S3282/M3282)</f>
        <v/>
      </c>
      <c r="V3282" s="27">
        <f>N3282/(N3282+O3282)</f>
        <v/>
      </c>
      <c r="W3282" s="27">
        <f>U3282*V3282</f>
        <v/>
      </c>
      <c r="X3282" s="25">
        <f>T3282/N3282</f>
        <v/>
      </c>
      <c r="Y3282" s="28">
        <f>IF(W3282=MAXIFS(W$2:W$3601, A$2:A$3601, A3282, B$2:B$3601, B3282), "OPTIMAL", "")</f>
        <v/>
      </c>
    </row>
    <row r="3283" ht="20" customHeight="1">
      <c r="A3283" s="29" t="n">
        <v>-18</v>
      </c>
      <c r="B3283" s="29" t="n">
        <v>45</v>
      </c>
      <c r="C3283" s="30" t="n">
        <v>85</v>
      </c>
      <c r="D3283" s="30" t="n">
        <v>2</v>
      </c>
      <c r="E3283" s="6" t="n">
        <v>0</v>
      </c>
      <c r="F3283" s="30" t="n">
        <v>0</v>
      </c>
      <c r="G3283" s="6" t="inlineStr">
        <is>
          <t>Oui</t>
        </is>
      </c>
      <c r="H3283" s="6" t="inlineStr">
        <is>
          <t>OFF</t>
        </is>
      </c>
      <c r="I3283" s="31" t="n">
        <v>885.2722778138215</v>
      </c>
      <c r="J3283" s="31" t="n">
        <v>10520.73059103506</v>
      </c>
      <c r="K3283" s="31" t="n">
        <v>5101.851851851852</v>
      </c>
      <c r="L3283" s="31" t="n">
        <v>150</v>
      </c>
      <c r="M3283" s="31">
        <f>I3283+J3283+K3283+L3283</f>
        <v/>
      </c>
      <c r="N3283" s="31">
        <f>M3283*'Dashboard &amp; Optimisation'!$B$18/('Dashboard &amp; Optimisation'!$B$16/3.6)</f>
        <v/>
      </c>
      <c r="O3283" s="31" t="n">
        <v>856.804882850278</v>
      </c>
      <c r="P3283" s="32" t="n">
        <v>0.869772376172373</v>
      </c>
      <c r="Q3283" s="33" t="n">
        <v>0.2</v>
      </c>
      <c r="R3283" s="31" t="n">
        <v>699.6077270035033</v>
      </c>
      <c r="S3283" s="31">
        <f>R3283*IF(A3283=4, 2.0, 3.0)</f>
        <v/>
      </c>
      <c r="T3283" s="30">
        <f>'Dashboard &amp; Optimisation'!$B$18*U3283</f>
        <v/>
      </c>
      <c r="U3283" s="34">
        <f>MIN(1, S3283/M3283)</f>
        <v/>
      </c>
      <c r="V3283" s="34">
        <f>N3283/(N3283+O3283)</f>
        <v/>
      </c>
      <c r="W3283" s="34">
        <f>U3283*V3283</f>
        <v/>
      </c>
      <c r="X3283" s="32">
        <f>T3283/N3283</f>
        <v/>
      </c>
      <c r="Y3283" s="35">
        <f>IF(W3283=MAXIFS(W$2:W$3601, A$2:A$3601, A3283, B$2:B$3601, B3283), "OPTIMAL", "")</f>
        <v/>
      </c>
    </row>
    <row r="3284" ht="20" customHeight="1">
      <c r="A3284" s="21" t="n">
        <v>-18</v>
      </c>
      <c r="B3284" s="21" t="n">
        <v>45</v>
      </c>
      <c r="C3284" s="22" t="n">
        <v>85</v>
      </c>
      <c r="D3284" s="22" t="n">
        <v>2</v>
      </c>
      <c r="E3284" s="23" t="n">
        <v>0</v>
      </c>
      <c r="F3284" s="22" t="n">
        <v>0</v>
      </c>
      <c r="G3284" s="23" t="inlineStr">
        <is>
          <t>Non</t>
        </is>
      </c>
      <c r="H3284" s="23" t="inlineStr">
        <is>
          <t>ON</t>
        </is>
      </c>
      <c r="I3284" s="24" t="n">
        <v>885.2722778138215</v>
      </c>
      <c r="J3284" s="24" t="n">
        <v>10520.73059103506</v>
      </c>
      <c r="K3284" s="24" t="n">
        <v>5101.851851851852</v>
      </c>
      <c r="L3284" s="24" t="n">
        <v>150</v>
      </c>
      <c r="M3284" s="24">
        <f>I3284+J3284+K3284+L3284</f>
        <v/>
      </c>
      <c r="N3284" s="24">
        <f>M3284*'Dashboard &amp; Optimisation'!$B$18/('Dashboard &amp; Optimisation'!$B$16/3.6)</f>
        <v/>
      </c>
      <c r="O3284" s="24" t="n">
        <v>856.804882850278</v>
      </c>
      <c r="P3284" s="25" t="n">
        <v>0.4915453349422219</v>
      </c>
      <c r="Q3284" s="26" t="n">
        <v>0.2</v>
      </c>
      <c r="R3284" s="24" t="n">
        <v>1237.9315433355</v>
      </c>
      <c r="S3284" s="24">
        <f>R3284*IF(A3284=4, 2.0, 3.0)</f>
        <v/>
      </c>
      <c r="T3284" s="22">
        <f>'Dashboard &amp; Optimisation'!$B$18*U3284</f>
        <v/>
      </c>
      <c r="U3284" s="27">
        <f>MIN(1, S3284/M3284)</f>
        <v/>
      </c>
      <c r="V3284" s="27">
        <f>N3284/(N3284+O3284)</f>
        <v/>
      </c>
      <c r="W3284" s="27">
        <f>U3284*V3284</f>
        <v/>
      </c>
      <c r="X3284" s="25">
        <f>T3284/N3284</f>
        <v/>
      </c>
      <c r="Y3284" s="28">
        <f>IF(W3284=MAXIFS(W$2:W$3601, A$2:A$3601, A3284, B$2:B$3601, B3284), "OPTIMAL", "")</f>
        <v/>
      </c>
    </row>
    <row r="3285" ht="20" customHeight="1">
      <c r="A3285" s="29" t="n">
        <v>-18</v>
      </c>
      <c r="B3285" s="29" t="n">
        <v>45</v>
      </c>
      <c r="C3285" s="30" t="n">
        <v>85</v>
      </c>
      <c r="D3285" s="30" t="n">
        <v>2</v>
      </c>
      <c r="E3285" s="6" t="n">
        <v>0</v>
      </c>
      <c r="F3285" s="30" t="n">
        <v>0</v>
      </c>
      <c r="G3285" s="6" t="inlineStr">
        <is>
          <t>Non</t>
        </is>
      </c>
      <c r="H3285" s="6" t="inlineStr">
        <is>
          <t>OFF</t>
        </is>
      </c>
      <c r="I3285" s="31" t="n">
        <v>885.2722778138215</v>
      </c>
      <c r="J3285" s="31" t="n">
        <v>10520.73059103506</v>
      </c>
      <c r="K3285" s="31" t="n">
        <v>5101.851851851852</v>
      </c>
      <c r="L3285" s="31" t="n">
        <v>150</v>
      </c>
      <c r="M3285" s="31">
        <f>I3285+J3285+K3285+L3285</f>
        <v/>
      </c>
      <c r="N3285" s="31">
        <f>M3285*'Dashboard &amp; Optimisation'!$B$18/('Dashboard &amp; Optimisation'!$B$16/3.6)</f>
        <v/>
      </c>
      <c r="O3285" s="31" t="n">
        <v>856.804882850278</v>
      </c>
      <c r="P3285" s="32" t="n">
        <v>0.8660275539819755</v>
      </c>
      <c r="Q3285" s="33" t="n">
        <v>0.2</v>
      </c>
      <c r="R3285" s="31" t="n">
        <v>702.6329269854323</v>
      </c>
      <c r="S3285" s="31">
        <f>R3285*IF(A3285=4, 2.0, 3.0)</f>
        <v/>
      </c>
      <c r="T3285" s="30">
        <f>'Dashboard &amp; Optimisation'!$B$18*U3285</f>
        <v/>
      </c>
      <c r="U3285" s="34">
        <f>MIN(1, S3285/M3285)</f>
        <v/>
      </c>
      <c r="V3285" s="34">
        <f>N3285/(N3285+O3285)</f>
        <v/>
      </c>
      <c r="W3285" s="34">
        <f>U3285*V3285</f>
        <v/>
      </c>
      <c r="X3285" s="32">
        <f>T3285/N3285</f>
        <v/>
      </c>
      <c r="Y3285" s="35">
        <f>IF(W3285=MAXIFS(W$2:W$3601, A$2:A$3601, A3285, B$2:B$3601, B3285), "OPTIMAL", "")</f>
        <v/>
      </c>
    </row>
    <row r="3286" ht="20" customHeight="1">
      <c r="A3286" s="21" t="n">
        <v>-18</v>
      </c>
      <c r="B3286" s="21" t="n">
        <v>45</v>
      </c>
      <c r="C3286" s="22" t="n">
        <v>85</v>
      </c>
      <c r="D3286" s="22" t="n">
        <v>2</v>
      </c>
      <c r="E3286" s="23" t="n">
        <v>4</v>
      </c>
      <c r="F3286" s="22" t="n">
        <v>1.5</v>
      </c>
      <c r="G3286" s="23" t="inlineStr">
        <is>
          <t>Oui</t>
        </is>
      </c>
      <c r="H3286" s="23" t="inlineStr">
        <is>
          <t>ON</t>
        </is>
      </c>
      <c r="I3286" s="24" t="n">
        <v>885.2722778138215</v>
      </c>
      <c r="J3286" s="24" t="n">
        <v>10520.73059103506</v>
      </c>
      <c r="K3286" s="24" t="n">
        <v>5101.851851851852</v>
      </c>
      <c r="L3286" s="24" t="n">
        <v>150</v>
      </c>
      <c r="M3286" s="24">
        <f>I3286+J3286+K3286+L3286</f>
        <v/>
      </c>
      <c r="N3286" s="24">
        <f>M3286*'Dashboard &amp; Optimisation'!$B$18/('Dashboard &amp; Optimisation'!$B$16/3.6)</f>
        <v/>
      </c>
      <c r="O3286" s="24" t="n">
        <v>1375.968727841027</v>
      </c>
      <c r="P3286" s="25" t="n">
        <v>0.07982907988340278</v>
      </c>
      <c r="Q3286" s="26" t="n">
        <v>7.926206185533672</v>
      </c>
      <c r="R3286" s="24" t="n">
        <v>7921.367450843614</v>
      </c>
      <c r="S3286" s="24">
        <f>R3286*IF(A3286=4, 2.0, 3.0)</f>
        <v/>
      </c>
      <c r="T3286" s="22">
        <f>'Dashboard &amp; Optimisation'!$B$18*U3286</f>
        <v/>
      </c>
      <c r="U3286" s="27">
        <f>MIN(1, S3286/M3286)</f>
        <v/>
      </c>
      <c r="V3286" s="27">
        <f>N3286/(N3286+O3286)</f>
        <v/>
      </c>
      <c r="W3286" s="27">
        <f>U3286*V3286</f>
        <v/>
      </c>
      <c r="X3286" s="25">
        <f>T3286/N3286</f>
        <v/>
      </c>
      <c r="Y3286" s="28">
        <f>IF(W3286=MAXIFS(W$2:W$3601, A$2:A$3601, A3286, B$2:B$3601, B3286), "OPTIMAL", "")</f>
        <v/>
      </c>
    </row>
    <row r="3287" ht="20" customHeight="1">
      <c r="A3287" s="29" t="n">
        <v>-18</v>
      </c>
      <c r="B3287" s="29" t="n">
        <v>45</v>
      </c>
      <c r="C3287" s="30" t="n">
        <v>85</v>
      </c>
      <c r="D3287" s="30" t="n">
        <v>2</v>
      </c>
      <c r="E3287" s="6" t="n">
        <v>4</v>
      </c>
      <c r="F3287" s="30" t="n">
        <v>1.5</v>
      </c>
      <c r="G3287" s="6" t="inlineStr">
        <is>
          <t>Oui</t>
        </is>
      </c>
      <c r="H3287" s="6" t="inlineStr">
        <is>
          <t>OFF</t>
        </is>
      </c>
      <c r="I3287" s="31" t="n">
        <v>885.2722778138215</v>
      </c>
      <c r="J3287" s="31" t="n">
        <v>10520.73059103506</v>
      </c>
      <c r="K3287" s="31" t="n">
        <v>5101.851851851852</v>
      </c>
      <c r="L3287" s="31" t="n">
        <v>150</v>
      </c>
      <c r="M3287" s="31">
        <f>I3287+J3287+K3287+L3287</f>
        <v/>
      </c>
      <c r="N3287" s="31">
        <f>M3287*'Dashboard &amp; Optimisation'!$B$18/('Dashboard &amp; Optimisation'!$B$16/3.6)</f>
        <v/>
      </c>
      <c r="O3287" s="31" t="n">
        <v>1375.968727841027</v>
      </c>
      <c r="P3287" s="32" t="n">
        <v>0.3422773582181225</v>
      </c>
      <c r="Q3287" s="33" t="n">
        <v>7.926206185533672</v>
      </c>
      <c r="R3287" s="31" t="n">
        <v>1847.494319551811</v>
      </c>
      <c r="S3287" s="31">
        <f>R3287*IF(A3287=4, 2.0, 3.0)</f>
        <v/>
      </c>
      <c r="T3287" s="30">
        <f>'Dashboard &amp; Optimisation'!$B$18*U3287</f>
        <v/>
      </c>
      <c r="U3287" s="34">
        <f>MIN(1, S3287/M3287)</f>
        <v/>
      </c>
      <c r="V3287" s="34">
        <f>N3287/(N3287+O3287)</f>
        <v/>
      </c>
      <c r="W3287" s="34">
        <f>U3287*V3287</f>
        <v/>
      </c>
      <c r="X3287" s="32">
        <f>T3287/N3287</f>
        <v/>
      </c>
      <c r="Y3287" s="35">
        <f>IF(W3287=MAXIFS(W$2:W$3601, A$2:A$3601, A3287, B$2:B$3601, B3287), "OPTIMAL", "")</f>
        <v/>
      </c>
    </row>
    <row r="3288" ht="20" customHeight="1">
      <c r="A3288" s="21" t="n">
        <v>-18</v>
      </c>
      <c r="B3288" s="21" t="n">
        <v>45</v>
      </c>
      <c r="C3288" s="22" t="n">
        <v>85</v>
      </c>
      <c r="D3288" s="22" t="n">
        <v>2</v>
      </c>
      <c r="E3288" s="23" t="n">
        <v>4</v>
      </c>
      <c r="F3288" s="22" t="n">
        <v>1.5</v>
      </c>
      <c r="G3288" s="23" t="inlineStr">
        <is>
          <t>Non</t>
        </is>
      </c>
      <c r="H3288" s="23" t="inlineStr">
        <is>
          <t>ON</t>
        </is>
      </c>
      <c r="I3288" s="24" t="n">
        <v>885.2722778138215</v>
      </c>
      <c r="J3288" s="24" t="n">
        <v>10520.73059103506</v>
      </c>
      <c r="K3288" s="24" t="n">
        <v>5101.851851851852</v>
      </c>
      <c r="L3288" s="24" t="n">
        <v>150</v>
      </c>
      <c r="M3288" s="24">
        <f>I3288+J3288+K3288+L3288</f>
        <v/>
      </c>
      <c r="N3288" s="24">
        <f>M3288*'Dashboard &amp; Optimisation'!$B$18/('Dashboard &amp; Optimisation'!$B$16/3.6)</f>
        <v/>
      </c>
      <c r="O3288" s="24" t="n">
        <v>1375.968727841027</v>
      </c>
      <c r="P3288" s="25" t="n">
        <v>0.07608425769300524</v>
      </c>
      <c r="Q3288" s="26" t="n">
        <v>7.926206185533672</v>
      </c>
      <c r="R3288" s="24" t="n">
        <v>8311.252474469718</v>
      </c>
      <c r="S3288" s="24">
        <f>R3288*IF(A3288=4, 2.0, 3.0)</f>
        <v/>
      </c>
      <c r="T3288" s="22">
        <f>'Dashboard &amp; Optimisation'!$B$18*U3288</f>
        <v/>
      </c>
      <c r="U3288" s="27">
        <f>MIN(1, S3288/M3288)</f>
        <v/>
      </c>
      <c r="V3288" s="27">
        <f>N3288/(N3288+O3288)</f>
        <v/>
      </c>
      <c r="W3288" s="27">
        <f>U3288*V3288</f>
        <v/>
      </c>
      <c r="X3288" s="25">
        <f>T3288/N3288</f>
        <v/>
      </c>
      <c r="Y3288" s="28">
        <f>IF(W3288=MAXIFS(W$2:W$3601, A$2:A$3601, A3288, B$2:B$3601, B3288), "OPTIMAL", "")</f>
        <v/>
      </c>
    </row>
    <row r="3289" ht="20" customHeight="1">
      <c r="A3289" s="29" t="n">
        <v>-18</v>
      </c>
      <c r="B3289" s="29" t="n">
        <v>45</v>
      </c>
      <c r="C3289" s="30" t="n">
        <v>85</v>
      </c>
      <c r="D3289" s="30" t="n">
        <v>2</v>
      </c>
      <c r="E3289" s="6" t="n">
        <v>4</v>
      </c>
      <c r="F3289" s="30" t="n">
        <v>1.5</v>
      </c>
      <c r="G3289" s="6" t="inlineStr">
        <is>
          <t>Non</t>
        </is>
      </c>
      <c r="H3289" s="6" t="inlineStr">
        <is>
          <t>OFF</t>
        </is>
      </c>
      <c r="I3289" s="31" t="n">
        <v>885.2722778138215</v>
      </c>
      <c r="J3289" s="31" t="n">
        <v>10520.73059103506</v>
      </c>
      <c r="K3289" s="31" t="n">
        <v>5101.851851851852</v>
      </c>
      <c r="L3289" s="31" t="n">
        <v>150</v>
      </c>
      <c r="M3289" s="31">
        <f>I3289+J3289+K3289+L3289</f>
        <v/>
      </c>
      <c r="N3289" s="31">
        <f>M3289*'Dashboard &amp; Optimisation'!$B$18/('Dashboard &amp; Optimisation'!$B$16/3.6)</f>
        <v/>
      </c>
      <c r="O3289" s="31" t="n">
        <v>1375.968727841027</v>
      </c>
      <c r="P3289" s="32" t="n">
        <v>0.338532536027725</v>
      </c>
      <c r="Q3289" s="33" t="n">
        <v>7.926206185533672</v>
      </c>
      <c r="R3289" s="31" t="n">
        <v>1867.931166791582</v>
      </c>
      <c r="S3289" s="31">
        <f>R3289*IF(A3289=4, 2.0, 3.0)</f>
        <v/>
      </c>
      <c r="T3289" s="30">
        <f>'Dashboard &amp; Optimisation'!$B$18*U3289</f>
        <v/>
      </c>
      <c r="U3289" s="34">
        <f>MIN(1, S3289/M3289)</f>
        <v/>
      </c>
      <c r="V3289" s="34">
        <f>N3289/(N3289+O3289)</f>
        <v/>
      </c>
      <c r="W3289" s="34">
        <f>U3289*V3289</f>
        <v/>
      </c>
      <c r="X3289" s="32">
        <f>T3289/N3289</f>
        <v/>
      </c>
      <c r="Y3289" s="35">
        <f>IF(W3289=MAXIFS(W$2:W$3601, A$2:A$3601, A3289, B$2:B$3601, B3289), "OPTIMAL", "")</f>
        <v/>
      </c>
    </row>
    <row r="3290" ht="20" customHeight="1">
      <c r="A3290" s="21" t="n">
        <v>-18</v>
      </c>
      <c r="B3290" s="21" t="n">
        <v>45</v>
      </c>
      <c r="C3290" s="22" t="n">
        <v>85</v>
      </c>
      <c r="D3290" s="22" t="n">
        <v>2</v>
      </c>
      <c r="E3290" s="23" t="n">
        <v>4</v>
      </c>
      <c r="F3290" s="22" t="n">
        <v>2</v>
      </c>
      <c r="G3290" s="23" t="inlineStr">
        <is>
          <t>Oui</t>
        </is>
      </c>
      <c r="H3290" s="23" t="inlineStr">
        <is>
          <t>ON</t>
        </is>
      </c>
      <c r="I3290" s="24" t="n">
        <v>885.2722778138215</v>
      </c>
      <c r="J3290" s="24" t="n">
        <v>10520.73059103506</v>
      </c>
      <c r="K3290" s="24" t="n">
        <v>5101.851851851852</v>
      </c>
      <c r="L3290" s="24" t="n">
        <v>150</v>
      </c>
      <c r="M3290" s="24">
        <f>I3290+J3290+K3290+L3290</f>
        <v/>
      </c>
      <c r="N3290" s="24">
        <f>M3290*'Dashboard &amp; Optimisation'!$B$18/('Dashboard &amp; Optimisation'!$B$16/3.6)</f>
        <v/>
      </c>
      <c r="O3290" s="24" t="n">
        <v>1558.189181347119</v>
      </c>
      <c r="P3290" s="25" t="n">
        <v>0.07761847907948814</v>
      </c>
      <c r="Q3290" s="26" t="n">
        <v>10.50160824737823</v>
      </c>
      <c r="R3290" s="24" t="n">
        <v>8254.846787851397</v>
      </c>
      <c r="S3290" s="24">
        <f>R3290*IF(A3290=4, 2.0, 3.0)</f>
        <v/>
      </c>
      <c r="T3290" s="22">
        <f>'Dashboard &amp; Optimisation'!$B$18*U3290</f>
        <v/>
      </c>
      <c r="U3290" s="27">
        <f>MIN(1, S3290/M3290)</f>
        <v/>
      </c>
      <c r="V3290" s="27">
        <f>N3290/(N3290+O3290)</f>
        <v/>
      </c>
      <c r="W3290" s="27">
        <f>U3290*V3290</f>
        <v/>
      </c>
      <c r="X3290" s="25">
        <f>T3290/N3290</f>
        <v/>
      </c>
      <c r="Y3290" s="28">
        <f>IF(W3290=MAXIFS(W$2:W$3601, A$2:A$3601, A3290, B$2:B$3601, B3290), "OPTIMAL", "")</f>
        <v/>
      </c>
    </row>
    <row r="3291" ht="20" customHeight="1">
      <c r="A3291" s="29" t="n">
        <v>-18</v>
      </c>
      <c r="B3291" s="29" t="n">
        <v>45</v>
      </c>
      <c r="C3291" s="30" t="n">
        <v>85</v>
      </c>
      <c r="D3291" s="30" t="n">
        <v>2</v>
      </c>
      <c r="E3291" s="6" t="n">
        <v>4</v>
      </c>
      <c r="F3291" s="30" t="n">
        <v>2</v>
      </c>
      <c r="G3291" s="6" t="inlineStr">
        <is>
          <t>Oui</t>
        </is>
      </c>
      <c r="H3291" s="6" t="inlineStr">
        <is>
          <t>OFF</t>
        </is>
      </c>
      <c r="I3291" s="31" t="n">
        <v>885.2722778138215</v>
      </c>
      <c r="J3291" s="31" t="n">
        <v>10520.73059103506</v>
      </c>
      <c r="K3291" s="31" t="n">
        <v>5101.851851851852</v>
      </c>
      <c r="L3291" s="31" t="n">
        <v>150</v>
      </c>
      <c r="M3291" s="31">
        <f>I3291+J3291+K3291+L3291</f>
        <v/>
      </c>
      <c r="N3291" s="31">
        <f>M3291*'Dashboard &amp; Optimisation'!$B$18/('Dashboard &amp; Optimisation'!$B$16/3.6)</f>
        <v/>
      </c>
      <c r="O3291" s="31" t="n">
        <v>1558.189181347119</v>
      </c>
      <c r="P3291" s="32" t="n">
        <v>0.3414492073746781</v>
      </c>
      <c r="Q3291" s="33" t="n">
        <v>10.50160824737823</v>
      </c>
      <c r="R3291" s="31" t="n">
        <v>1876.497701176799</v>
      </c>
      <c r="S3291" s="31">
        <f>R3291*IF(A3291=4, 2.0, 3.0)</f>
        <v/>
      </c>
      <c r="T3291" s="30">
        <f>'Dashboard &amp; Optimisation'!$B$18*U3291</f>
        <v/>
      </c>
      <c r="U3291" s="34">
        <f>MIN(1, S3291/M3291)</f>
        <v/>
      </c>
      <c r="V3291" s="34">
        <f>N3291/(N3291+O3291)</f>
        <v/>
      </c>
      <c r="W3291" s="34">
        <f>U3291*V3291</f>
        <v/>
      </c>
      <c r="X3291" s="32">
        <f>T3291/N3291</f>
        <v/>
      </c>
      <c r="Y3291" s="35">
        <f>IF(W3291=MAXIFS(W$2:W$3601, A$2:A$3601, A3291, B$2:B$3601, B3291), "OPTIMAL", "")</f>
        <v/>
      </c>
    </row>
    <row r="3292" ht="20" customHeight="1">
      <c r="A3292" s="21" t="n">
        <v>-18</v>
      </c>
      <c r="B3292" s="21" t="n">
        <v>45</v>
      </c>
      <c r="C3292" s="22" t="n">
        <v>85</v>
      </c>
      <c r="D3292" s="22" t="n">
        <v>2</v>
      </c>
      <c r="E3292" s="23" t="n">
        <v>4</v>
      </c>
      <c r="F3292" s="22" t="n">
        <v>2</v>
      </c>
      <c r="G3292" s="23" t="inlineStr">
        <is>
          <t>Non</t>
        </is>
      </c>
      <c r="H3292" s="23" t="inlineStr">
        <is>
          <t>ON</t>
        </is>
      </c>
      <c r="I3292" s="24" t="n">
        <v>885.2722778138215</v>
      </c>
      <c r="J3292" s="24" t="n">
        <v>10520.73059103506</v>
      </c>
      <c r="K3292" s="24" t="n">
        <v>5101.851851851852</v>
      </c>
      <c r="L3292" s="24" t="n">
        <v>150</v>
      </c>
      <c r="M3292" s="24">
        <f>I3292+J3292+K3292+L3292</f>
        <v/>
      </c>
      <c r="N3292" s="24">
        <f>M3292*'Dashboard &amp; Optimisation'!$B$18/('Dashboard &amp; Optimisation'!$B$16/3.6)</f>
        <v/>
      </c>
      <c r="O3292" s="24" t="n">
        <v>1558.189181347119</v>
      </c>
      <c r="P3292" s="25" t="n">
        <v>0.0738736568890906</v>
      </c>
      <c r="Q3292" s="26" t="n">
        <v>10.50160824737823</v>
      </c>
      <c r="R3292" s="24" t="n">
        <v>8673.303579233589</v>
      </c>
      <c r="S3292" s="24">
        <f>R3292*IF(A3292=4, 2.0, 3.0)</f>
        <v/>
      </c>
      <c r="T3292" s="22">
        <f>'Dashboard &amp; Optimisation'!$B$18*U3292</f>
        <v/>
      </c>
      <c r="U3292" s="27">
        <f>MIN(1, S3292/M3292)</f>
        <v/>
      </c>
      <c r="V3292" s="27">
        <f>N3292/(N3292+O3292)</f>
        <v/>
      </c>
      <c r="W3292" s="27">
        <f>U3292*V3292</f>
        <v/>
      </c>
      <c r="X3292" s="25">
        <f>T3292/N3292</f>
        <v/>
      </c>
      <c r="Y3292" s="28">
        <f>IF(W3292=MAXIFS(W$2:W$3601, A$2:A$3601, A3292, B$2:B$3601, B3292), "OPTIMAL", "")</f>
        <v/>
      </c>
    </row>
    <row r="3293" ht="20" customHeight="1">
      <c r="A3293" s="29" t="n">
        <v>-18</v>
      </c>
      <c r="B3293" s="29" t="n">
        <v>45</v>
      </c>
      <c r="C3293" s="30" t="n">
        <v>85</v>
      </c>
      <c r="D3293" s="30" t="n">
        <v>2</v>
      </c>
      <c r="E3293" s="6" t="n">
        <v>4</v>
      </c>
      <c r="F3293" s="30" t="n">
        <v>2</v>
      </c>
      <c r="G3293" s="6" t="inlineStr">
        <is>
          <t>Non</t>
        </is>
      </c>
      <c r="H3293" s="6" t="inlineStr">
        <is>
          <t>OFF</t>
        </is>
      </c>
      <c r="I3293" s="31" t="n">
        <v>885.2722778138215</v>
      </c>
      <c r="J3293" s="31" t="n">
        <v>10520.73059103506</v>
      </c>
      <c r="K3293" s="31" t="n">
        <v>5101.851851851852</v>
      </c>
      <c r="L3293" s="31" t="n">
        <v>150</v>
      </c>
      <c r="M3293" s="31">
        <f>I3293+J3293+K3293+L3293</f>
        <v/>
      </c>
      <c r="N3293" s="31">
        <f>M3293*'Dashboard &amp; Optimisation'!$B$18/('Dashboard &amp; Optimisation'!$B$16/3.6)</f>
        <v/>
      </c>
      <c r="O3293" s="31" t="n">
        <v>1558.189181347119</v>
      </c>
      <c r="P3293" s="32" t="n">
        <v>0.3377043851842806</v>
      </c>
      <c r="Q3293" s="33" t="n">
        <v>10.50160824737823</v>
      </c>
      <c r="R3293" s="31" t="n">
        <v>1897.306285666343</v>
      </c>
      <c r="S3293" s="31">
        <f>R3293*IF(A3293=4, 2.0, 3.0)</f>
        <v/>
      </c>
      <c r="T3293" s="30">
        <f>'Dashboard &amp; Optimisation'!$B$18*U3293</f>
        <v/>
      </c>
      <c r="U3293" s="34">
        <f>MIN(1, S3293/M3293)</f>
        <v/>
      </c>
      <c r="V3293" s="34">
        <f>N3293/(N3293+O3293)</f>
        <v/>
      </c>
      <c r="W3293" s="34">
        <f>U3293*V3293</f>
        <v/>
      </c>
      <c r="X3293" s="32">
        <f>T3293/N3293</f>
        <v/>
      </c>
      <c r="Y3293" s="35">
        <f>IF(W3293=MAXIFS(W$2:W$3601, A$2:A$3601, A3293, B$2:B$3601, B3293), "OPTIMAL", "")</f>
        <v/>
      </c>
    </row>
    <row r="3294" ht="20" customHeight="1">
      <c r="A3294" s="21" t="n">
        <v>-18</v>
      </c>
      <c r="B3294" s="21" t="n">
        <v>45</v>
      </c>
      <c r="C3294" s="22" t="n">
        <v>85</v>
      </c>
      <c r="D3294" s="22" t="n">
        <v>2</v>
      </c>
      <c r="E3294" s="23" t="n">
        <v>8</v>
      </c>
      <c r="F3294" s="22" t="n">
        <v>1.5</v>
      </c>
      <c r="G3294" s="23" t="inlineStr">
        <is>
          <t>Oui</t>
        </is>
      </c>
      <c r="H3294" s="23" t="inlineStr">
        <is>
          <t>ON</t>
        </is>
      </c>
      <c r="I3294" s="24" t="n">
        <v>885.2722778138215</v>
      </c>
      <c r="J3294" s="24" t="n">
        <v>10520.73059103506</v>
      </c>
      <c r="K3294" s="24" t="n">
        <v>5101.851851851852</v>
      </c>
      <c r="L3294" s="24" t="n">
        <v>150</v>
      </c>
      <c r="M3294" s="24">
        <f>I3294+J3294+K3294+L3294</f>
        <v/>
      </c>
      <c r="N3294" s="24">
        <f>M3294*'Dashboard &amp; Optimisation'!$B$18/('Dashboard &amp; Optimisation'!$B$16/3.6)</f>
        <v/>
      </c>
      <c r="O3294" s="24" t="n">
        <v>1937.500864508494</v>
      </c>
      <c r="P3294" s="25" t="n">
        <v>0.05983888553171247</v>
      </c>
      <c r="Q3294" s="26" t="n">
        <v>15.65241237106734</v>
      </c>
      <c r="R3294" s="24" t="n">
        <v>10998.84007639755</v>
      </c>
      <c r="S3294" s="24">
        <f>R3294*IF(A3294=4, 2.0, 3.0)</f>
        <v/>
      </c>
      <c r="T3294" s="22">
        <f>'Dashboard &amp; Optimisation'!$B$18*U3294</f>
        <v/>
      </c>
      <c r="U3294" s="27">
        <f>MIN(1, S3294/M3294)</f>
        <v/>
      </c>
      <c r="V3294" s="27">
        <f>N3294/(N3294+O3294)</f>
        <v/>
      </c>
      <c r="W3294" s="27">
        <f>U3294*V3294</f>
        <v/>
      </c>
      <c r="X3294" s="25">
        <f>T3294/N3294</f>
        <v/>
      </c>
      <c r="Y3294" s="28">
        <f>IF(W3294=MAXIFS(W$2:W$3601, A$2:A$3601, A3294, B$2:B$3601, B3294), "OPTIMAL", "")</f>
        <v/>
      </c>
    </row>
    <row r="3295" ht="20" customHeight="1">
      <c r="A3295" s="29" t="n">
        <v>-18</v>
      </c>
      <c r="B3295" s="29" t="n">
        <v>45</v>
      </c>
      <c r="C3295" s="30" t="n">
        <v>85</v>
      </c>
      <c r="D3295" s="30" t="n">
        <v>2</v>
      </c>
      <c r="E3295" s="6" t="n">
        <v>8</v>
      </c>
      <c r="F3295" s="30" t="n">
        <v>1.5</v>
      </c>
      <c r="G3295" s="6" t="inlineStr">
        <is>
          <t>Oui</t>
        </is>
      </c>
      <c r="H3295" s="6" t="inlineStr">
        <is>
          <t>OFF</t>
        </is>
      </c>
      <c r="I3295" s="31" t="n">
        <v>885.2722778138215</v>
      </c>
      <c r="J3295" s="31" t="n">
        <v>10520.73059103506</v>
      </c>
      <c r="K3295" s="31" t="n">
        <v>5101.851851851852</v>
      </c>
      <c r="L3295" s="31" t="n">
        <v>150</v>
      </c>
      <c r="M3295" s="31">
        <f>I3295+J3295+K3295+L3295</f>
        <v/>
      </c>
      <c r="N3295" s="31">
        <f>M3295*'Dashboard &amp; Optimisation'!$B$18/('Dashboard &amp; Optimisation'!$B$16/3.6)</f>
        <v/>
      </c>
      <c r="O3295" s="31" t="n">
        <v>1937.500864508494</v>
      </c>
      <c r="P3295" s="32" t="n">
        <v>0.261849893463025</v>
      </c>
      <c r="Q3295" s="33" t="n">
        <v>15.65241237106734</v>
      </c>
      <c r="R3295" s="31" t="n">
        <v>2513.494749258323</v>
      </c>
      <c r="S3295" s="31">
        <f>R3295*IF(A3295=4, 2.0, 3.0)</f>
        <v/>
      </c>
      <c r="T3295" s="30">
        <f>'Dashboard &amp; Optimisation'!$B$18*U3295</f>
        <v/>
      </c>
      <c r="U3295" s="34">
        <f>MIN(1, S3295/M3295)</f>
        <v/>
      </c>
      <c r="V3295" s="34">
        <f>N3295/(N3295+O3295)</f>
        <v/>
      </c>
      <c r="W3295" s="34">
        <f>U3295*V3295</f>
        <v/>
      </c>
      <c r="X3295" s="32">
        <f>T3295/N3295</f>
        <v/>
      </c>
      <c r="Y3295" s="35">
        <f>IF(W3295=MAXIFS(W$2:W$3601, A$2:A$3601, A3295, B$2:B$3601, B3295), "OPTIMAL", "")</f>
        <v/>
      </c>
    </row>
    <row r="3296" ht="20" customHeight="1">
      <c r="A3296" s="21" t="n">
        <v>-18</v>
      </c>
      <c r="B3296" s="21" t="n">
        <v>45</v>
      </c>
      <c r="C3296" s="22" t="n">
        <v>85</v>
      </c>
      <c r="D3296" s="22" t="n">
        <v>2</v>
      </c>
      <c r="E3296" s="23" t="n">
        <v>8</v>
      </c>
      <c r="F3296" s="22" t="n">
        <v>1.5</v>
      </c>
      <c r="G3296" s="23" t="inlineStr">
        <is>
          <t>Non</t>
        </is>
      </c>
      <c r="H3296" s="23" t="inlineStr">
        <is>
          <t>ON</t>
        </is>
      </c>
      <c r="I3296" s="24" t="n">
        <v>885.2722778138215</v>
      </c>
      <c r="J3296" s="24" t="n">
        <v>10520.73059103506</v>
      </c>
      <c r="K3296" s="24" t="n">
        <v>5101.851851851852</v>
      </c>
      <c r="L3296" s="24" t="n">
        <v>150</v>
      </c>
      <c r="M3296" s="24">
        <f>I3296+J3296+K3296+L3296</f>
        <v/>
      </c>
      <c r="N3296" s="24">
        <f>M3296*'Dashboard &amp; Optimisation'!$B$18/('Dashboard &amp; Optimisation'!$B$16/3.6)</f>
        <v/>
      </c>
      <c r="O3296" s="24" t="n">
        <v>1937.500864508494</v>
      </c>
      <c r="P3296" s="25" t="n">
        <v>0.05609406334131493</v>
      </c>
      <c r="Q3296" s="26" t="n">
        <v>15.65241237106734</v>
      </c>
      <c r="R3296" s="24" t="n">
        <v>11733.11921278506</v>
      </c>
      <c r="S3296" s="24">
        <f>R3296*IF(A3296=4, 2.0, 3.0)</f>
        <v/>
      </c>
      <c r="T3296" s="22">
        <f>'Dashboard &amp; Optimisation'!$B$18*U3296</f>
        <v/>
      </c>
      <c r="U3296" s="27">
        <f>MIN(1, S3296/M3296)</f>
        <v/>
      </c>
      <c r="V3296" s="27">
        <f>N3296/(N3296+O3296)</f>
        <v/>
      </c>
      <c r="W3296" s="27">
        <f>U3296*V3296</f>
        <v/>
      </c>
      <c r="X3296" s="25">
        <f>T3296/N3296</f>
        <v/>
      </c>
      <c r="Y3296" s="28">
        <f>IF(W3296=MAXIFS(W$2:W$3601, A$2:A$3601, A3296, B$2:B$3601, B3296), "OPTIMAL", "")</f>
        <v/>
      </c>
    </row>
    <row r="3297" ht="20" customHeight="1">
      <c r="A3297" s="29" t="n">
        <v>-18</v>
      </c>
      <c r="B3297" s="29" t="n">
        <v>45</v>
      </c>
      <c r="C3297" s="30" t="n">
        <v>85</v>
      </c>
      <c r="D3297" s="30" t="n">
        <v>2</v>
      </c>
      <c r="E3297" s="6" t="n">
        <v>8</v>
      </c>
      <c r="F3297" s="30" t="n">
        <v>1.5</v>
      </c>
      <c r="G3297" s="6" t="inlineStr">
        <is>
          <t>Non</t>
        </is>
      </c>
      <c r="H3297" s="6" t="inlineStr">
        <is>
          <t>OFF</t>
        </is>
      </c>
      <c r="I3297" s="31" t="n">
        <v>885.2722778138215</v>
      </c>
      <c r="J3297" s="31" t="n">
        <v>10520.73059103506</v>
      </c>
      <c r="K3297" s="31" t="n">
        <v>5101.851851851852</v>
      </c>
      <c r="L3297" s="31" t="n">
        <v>150</v>
      </c>
      <c r="M3297" s="31">
        <f>I3297+J3297+K3297+L3297</f>
        <v/>
      </c>
      <c r="N3297" s="31">
        <f>M3297*'Dashboard &amp; Optimisation'!$B$18/('Dashboard &amp; Optimisation'!$B$16/3.6)</f>
        <v/>
      </c>
      <c r="O3297" s="31" t="n">
        <v>1937.500864508494</v>
      </c>
      <c r="P3297" s="32" t="n">
        <v>0.2581050712726274</v>
      </c>
      <c r="Q3297" s="33" t="n">
        <v>15.65241237106734</v>
      </c>
      <c r="R3297" s="31" t="n">
        <v>2549.962808045622</v>
      </c>
      <c r="S3297" s="31">
        <f>R3297*IF(A3297=4, 2.0, 3.0)</f>
        <v/>
      </c>
      <c r="T3297" s="30">
        <f>'Dashboard &amp; Optimisation'!$B$18*U3297</f>
        <v/>
      </c>
      <c r="U3297" s="34">
        <f>MIN(1, S3297/M3297)</f>
        <v/>
      </c>
      <c r="V3297" s="34">
        <f>N3297/(N3297+O3297)</f>
        <v/>
      </c>
      <c r="W3297" s="34">
        <f>U3297*V3297</f>
        <v/>
      </c>
      <c r="X3297" s="32">
        <f>T3297/N3297</f>
        <v/>
      </c>
      <c r="Y3297" s="35">
        <f>IF(W3297=MAXIFS(W$2:W$3601, A$2:A$3601, A3297, B$2:B$3601, B3297), "OPTIMAL", "")</f>
        <v/>
      </c>
    </row>
    <row r="3298" ht="20" customHeight="1">
      <c r="A3298" s="21" t="n">
        <v>-18</v>
      </c>
      <c r="B3298" s="21" t="n">
        <v>45</v>
      </c>
      <c r="C3298" s="22" t="n">
        <v>85</v>
      </c>
      <c r="D3298" s="22" t="n">
        <v>2</v>
      </c>
      <c r="E3298" s="23" t="n">
        <v>8</v>
      </c>
      <c r="F3298" s="22" t="n">
        <v>2</v>
      </c>
      <c r="G3298" s="23" t="inlineStr">
        <is>
          <t>Oui</t>
        </is>
      </c>
      <c r="H3298" s="23" t="inlineStr">
        <is>
          <t>ON</t>
        </is>
      </c>
      <c r="I3298" s="24" t="n">
        <v>885.2722778138215</v>
      </c>
      <c r="J3298" s="24" t="n">
        <v>10520.73059103506</v>
      </c>
      <c r="K3298" s="24" t="n">
        <v>5101.851851851852</v>
      </c>
      <c r="L3298" s="24" t="n">
        <v>150</v>
      </c>
      <c r="M3298" s="24">
        <f>I3298+J3298+K3298+L3298</f>
        <v/>
      </c>
      <c r="N3298" s="24">
        <f>M3298*'Dashboard &amp; Optimisation'!$B$18/('Dashboard &amp; Optimisation'!$B$16/3.6)</f>
        <v/>
      </c>
      <c r="O3298" s="24" t="n">
        <v>2338.026383705562</v>
      </c>
      <c r="P3298" s="25" t="n">
        <v>0.0588807326139491</v>
      </c>
      <c r="Q3298" s="26" t="n">
        <v>20.80321649475646</v>
      </c>
      <c r="R3298" s="24" t="n">
        <v>11490.39379882101</v>
      </c>
      <c r="S3298" s="24">
        <f>R3298*IF(A3298=4, 2.0, 3.0)</f>
        <v/>
      </c>
      <c r="T3298" s="22">
        <f>'Dashboard &amp; Optimisation'!$B$18*U3298</f>
        <v/>
      </c>
      <c r="U3298" s="27">
        <f>MIN(1, S3298/M3298)</f>
        <v/>
      </c>
      <c r="V3298" s="27">
        <f>N3298/(N3298+O3298)</f>
        <v/>
      </c>
      <c r="W3298" s="27">
        <f>U3298*V3298</f>
        <v/>
      </c>
      <c r="X3298" s="25">
        <f>T3298/N3298</f>
        <v/>
      </c>
      <c r="Y3298" s="28">
        <f>IF(W3298=MAXIFS(W$2:W$3601, A$2:A$3601, A3298, B$2:B$3601, B3298), "OPTIMAL", "")</f>
        <v/>
      </c>
    </row>
    <row r="3299" ht="20" customHeight="1">
      <c r="A3299" s="29" t="n">
        <v>-18</v>
      </c>
      <c r="B3299" s="29" t="n">
        <v>45</v>
      </c>
      <c r="C3299" s="30" t="n">
        <v>85</v>
      </c>
      <c r="D3299" s="30" t="n">
        <v>2</v>
      </c>
      <c r="E3299" s="6" t="n">
        <v>8</v>
      </c>
      <c r="F3299" s="30" t="n">
        <v>2</v>
      </c>
      <c r="G3299" s="6" t="inlineStr">
        <is>
          <t>Oui</t>
        </is>
      </c>
      <c r="H3299" s="6" t="inlineStr">
        <is>
          <t>OFF</t>
        </is>
      </c>
      <c r="I3299" s="31" t="n">
        <v>885.2722778138215</v>
      </c>
      <c r="J3299" s="31" t="n">
        <v>10520.73059103506</v>
      </c>
      <c r="K3299" s="31" t="n">
        <v>5101.851851851852</v>
      </c>
      <c r="L3299" s="31" t="n">
        <v>150</v>
      </c>
      <c r="M3299" s="31">
        <f>I3299+J3299+K3299+L3299</f>
        <v/>
      </c>
      <c r="N3299" s="31">
        <f>M3299*'Dashboard &amp; Optimisation'!$B$18/('Dashboard &amp; Optimisation'!$B$16/3.6)</f>
        <v/>
      </c>
      <c r="O3299" s="31" t="n">
        <v>2338.026383705562</v>
      </c>
      <c r="P3299" s="32" t="n">
        <v>0.2625350412538471</v>
      </c>
      <c r="Q3299" s="33" t="n">
        <v>20.80321649475646</v>
      </c>
      <c r="R3299" s="31" t="n">
        <v>2577.038103813292</v>
      </c>
      <c r="S3299" s="31">
        <f>R3299*IF(A3299=4, 2.0, 3.0)</f>
        <v/>
      </c>
      <c r="T3299" s="30">
        <f>'Dashboard &amp; Optimisation'!$B$18*U3299</f>
        <v/>
      </c>
      <c r="U3299" s="34">
        <f>MIN(1, S3299/M3299)</f>
        <v/>
      </c>
      <c r="V3299" s="34">
        <f>N3299/(N3299+O3299)</f>
        <v/>
      </c>
      <c r="W3299" s="34">
        <f>U3299*V3299</f>
        <v/>
      </c>
      <c r="X3299" s="32">
        <f>T3299/N3299</f>
        <v/>
      </c>
      <c r="Y3299" s="35">
        <f>IF(W3299=MAXIFS(W$2:W$3601, A$2:A$3601, A3299, B$2:B$3601, B3299), "OPTIMAL", "")</f>
        <v/>
      </c>
    </row>
    <row r="3300" ht="20" customHeight="1">
      <c r="A3300" s="21" t="n">
        <v>-18</v>
      </c>
      <c r="B3300" s="21" t="n">
        <v>45</v>
      </c>
      <c r="C3300" s="22" t="n">
        <v>85</v>
      </c>
      <c r="D3300" s="22" t="n">
        <v>2</v>
      </c>
      <c r="E3300" s="23" t="n">
        <v>8</v>
      </c>
      <c r="F3300" s="22" t="n">
        <v>2</v>
      </c>
      <c r="G3300" s="23" t="inlineStr">
        <is>
          <t>Non</t>
        </is>
      </c>
      <c r="H3300" s="23" t="inlineStr">
        <is>
          <t>ON</t>
        </is>
      </c>
      <c r="I3300" s="24" t="n">
        <v>885.2722778138215</v>
      </c>
      <c r="J3300" s="24" t="n">
        <v>10520.73059103506</v>
      </c>
      <c r="K3300" s="24" t="n">
        <v>5101.851851851852</v>
      </c>
      <c r="L3300" s="24" t="n">
        <v>150</v>
      </c>
      <c r="M3300" s="24">
        <f>I3300+J3300+K3300+L3300</f>
        <v/>
      </c>
      <c r="N3300" s="24">
        <f>M3300*'Dashboard &amp; Optimisation'!$B$18/('Dashboard &amp; Optimisation'!$B$16/3.6)</f>
        <v/>
      </c>
      <c r="O3300" s="24" t="n">
        <v>2338.026383705562</v>
      </c>
      <c r="P3300" s="25" t="n">
        <v>0.05513591042355157</v>
      </c>
      <c r="Q3300" s="26" t="n">
        <v>20.80321649475646</v>
      </c>
      <c r="R3300" s="24" t="n">
        <v>12270.81950220888</v>
      </c>
      <c r="S3300" s="24">
        <f>R3300*IF(A3300=4, 2.0, 3.0)</f>
        <v/>
      </c>
      <c r="T3300" s="22">
        <f>'Dashboard &amp; Optimisation'!$B$18*U3300</f>
        <v/>
      </c>
      <c r="U3300" s="27">
        <f>MIN(1, S3300/M3300)</f>
        <v/>
      </c>
      <c r="V3300" s="27">
        <f>N3300/(N3300+O3300)</f>
        <v/>
      </c>
      <c r="W3300" s="27">
        <f>U3300*V3300</f>
        <v/>
      </c>
      <c r="X3300" s="25">
        <f>T3300/N3300</f>
        <v/>
      </c>
      <c r="Y3300" s="28">
        <f>IF(W3300=MAXIFS(W$2:W$3601, A$2:A$3601, A3300, B$2:B$3601, B3300), "OPTIMAL", "")</f>
        <v/>
      </c>
    </row>
    <row r="3301" ht="20" customHeight="1">
      <c r="A3301" s="29" t="n">
        <v>-18</v>
      </c>
      <c r="B3301" s="29" t="n">
        <v>45</v>
      </c>
      <c r="C3301" s="30" t="n">
        <v>85</v>
      </c>
      <c r="D3301" s="30" t="n">
        <v>2</v>
      </c>
      <c r="E3301" s="6" t="n">
        <v>8</v>
      </c>
      <c r="F3301" s="30" t="n">
        <v>2</v>
      </c>
      <c r="G3301" s="6" t="inlineStr">
        <is>
          <t>Non</t>
        </is>
      </c>
      <c r="H3301" s="6" t="inlineStr">
        <is>
          <t>OFF</t>
        </is>
      </c>
      <c r="I3301" s="31" t="n">
        <v>885.2722778138215</v>
      </c>
      <c r="J3301" s="31" t="n">
        <v>10520.73059103506</v>
      </c>
      <c r="K3301" s="31" t="n">
        <v>5101.851851851852</v>
      </c>
      <c r="L3301" s="31" t="n">
        <v>150</v>
      </c>
      <c r="M3301" s="31">
        <f>I3301+J3301+K3301+L3301</f>
        <v/>
      </c>
      <c r="N3301" s="31">
        <f>M3301*'Dashboard &amp; Optimisation'!$B$18/('Dashboard &amp; Optimisation'!$B$16/3.6)</f>
        <v/>
      </c>
      <c r="O3301" s="31" t="n">
        <v>2338.026383705562</v>
      </c>
      <c r="P3301" s="32" t="n">
        <v>0.2587902190634496</v>
      </c>
      <c r="Q3301" s="33" t="n">
        <v>20.80321649475646</v>
      </c>
      <c r="R3301" s="31" t="n">
        <v>2614.32911701922</v>
      </c>
      <c r="S3301" s="31">
        <f>R3301*IF(A3301=4, 2.0, 3.0)</f>
        <v/>
      </c>
      <c r="T3301" s="30">
        <f>'Dashboard &amp; Optimisation'!$B$18*U3301</f>
        <v/>
      </c>
      <c r="U3301" s="34">
        <f>MIN(1, S3301/M3301)</f>
        <v/>
      </c>
      <c r="V3301" s="34">
        <f>N3301/(N3301+O3301)</f>
        <v/>
      </c>
      <c r="W3301" s="34">
        <f>U3301*V3301</f>
        <v/>
      </c>
      <c r="X3301" s="32">
        <f>T3301/N3301</f>
        <v/>
      </c>
      <c r="Y3301" s="35">
        <f>IF(W3301=MAXIFS(W$2:W$3601, A$2:A$3601, A3301, B$2:B$3601, B3301), "OPTIMAL", "")</f>
        <v/>
      </c>
    </row>
    <row r="3302" ht="20" customHeight="1">
      <c r="A3302" s="21" t="n">
        <v>-18</v>
      </c>
      <c r="B3302" s="21" t="n">
        <v>45</v>
      </c>
      <c r="C3302" s="22" t="n">
        <v>85</v>
      </c>
      <c r="D3302" s="22" t="n">
        <v>3</v>
      </c>
      <c r="E3302" s="23" t="n">
        <v>0</v>
      </c>
      <c r="F3302" s="22" t="n">
        <v>0</v>
      </c>
      <c r="G3302" s="23" t="inlineStr">
        <is>
          <t>Oui</t>
        </is>
      </c>
      <c r="H3302" s="23" t="inlineStr">
        <is>
          <t>ON</t>
        </is>
      </c>
      <c r="I3302" s="24" t="n">
        <v>885.2722778138215</v>
      </c>
      <c r="J3302" s="24" t="n">
        <v>10520.73059103506</v>
      </c>
      <c r="K3302" s="24" t="n">
        <v>5101.851851851852</v>
      </c>
      <c r="L3302" s="24" t="n">
        <v>150</v>
      </c>
      <c r="M3302" s="24">
        <f>I3302+J3302+K3302+L3302</f>
        <v/>
      </c>
      <c r="N3302" s="24">
        <f>M3302*'Dashboard &amp; Optimisation'!$B$18/('Dashboard &amp; Optimisation'!$B$16/3.6)</f>
        <v/>
      </c>
      <c r="O3302" s="24" t="n">
        <v>1334.826460222861</v>
      </c>
      <c r="P3302" s="25" t="n">
        <v>0.4953095672830083</v>
      </c>
      <c r="Q3302" s="26" t="n">
        <v>0.2</v>
      </c>
      <c r="R3302" s="24" t="n">
        <v>1291.514678152897</v>
      </c>
      <c r="S3302" s="24">
        <f>R3302*IF(A3302=4, 2.0, 3.0)</f>
        <v/>
      </c>
      <c r="T3302" s="22">
        <f>'Dashboard &amp; Optimisation'!$B$18*U3302</f>
        <v/>
      </c>
      <c r="U3302" s="27">
        <f>MIN(1, S3302/M3302)</f>
        <v/>
      </c>
      <c r="V3302" s="27">
        <f>N3302/(N3302+O3302)</f>
        <v/>
      </c>
      <c r="W3302" s="27">
        <f>U3302*V3302</f>
        <v/>
      </c>
      <c r="X3302" s="25">
        <f>T3302/N3302</f>
        <v/>
      </c>
      <c r="Y3302" s="28">
        <f>IF(W3302=MAXIFS(W$2:W$3601, A$2:A$3601, A3302, B$2:B$3601, B3302), "OPTIMAL", "")</f>
        <v/>
      </c>
    </row>
    <row r="3303" ht="20" customHeight="1">
      <c r="A3303" s="29" t="n">
        <v>-18</v>
      </c>
      <c r="B3303" s="29" t="n">
        <v>45</v>
      </c>
      <c r="C3303" s="30" t="n">
        <v>85</v>
      </c>
      <c r="D3303" s="30" t="n">
        <v>3</v>
      </c>
      <c r="E3303" s="6" t="n">
        <v>0</v>
      </c>
      <c r="F3303" s="30" t="n">
        <v>0</v>
      </c>
      <c r="G3303" s="6" t="inlineStr">
        <is>
          <t>Oui</t>
        </is>
      </c>
      <c r="H3303" s="6" t="inlineStr">
        <is>
          <t>OFF</t>
        </is>
      </c>
      <c r="I3303" s="31" t="n">
        <v>885.2722778138215</v>
      </c>
      <c r="J3303" s="31" t="n">
        <v>10520.73059103506</v>
      </c>
      <c r="K3303" s="31" t="n">
        <v>5101.851851851852</v>
      </c>
      <c r="L3303" s="31" t="n">
        <v>150</v>
      </c>
      <c r="M3303" s="31">
        <f>I3303+J3303+K3303+L3303</f>
        <v/>
      </c>
      <c r="N3303" s="31">
        <f>M3303*'Dashboard &amp; Optimisation'!$B$18/('Dashboard &amp; Optimisation'!$B$16/3.6)</f>
        <v/>
      </c>
      <c r="O3303" s="31" t="n">
        <v>1334.826460222861</v>
      </c>
      <c r="P3303" s="32" t="n">
        <v>0.869791786322762</v>
      </c>
      <c r="Q3303" s="33" t="n">
        <v>0.2</v>
      </c>
      <c r="R3303" s="31" t="n">
        <v>735.4628848359644</v>
      </c>
      <c r="S3303" s="31">
        <f>R3303*IF(A3303=4, 2.0, 3.0)</f>
        <v/>
      </c>
      <c r="T3303" s="30">
        <f>'Dashboard &amp; Optimisation'!$B$18*U3303</f>
        <v/>
      </c>
      <c r="U3303" s="34">
        <f>MIN(1, S3303/M3303)</f>
        <v/>
      </c>
      <c r="V3303" s="34">
        <f>N3303/(N3303+O3303)</f>
        <v/>
      </c>
      <c r="W3303" s="34">
        <f>U3303*V3303</f>
        <v/>
      </c>
      <c r="X3303" s="32">
        <f>T3303/N3303</f>
        <v/>
      </c>
      <c r="Y3303" s="35">
        <f>IF(W3303=MAXIFS(W$2:W$3601, A$2:A$3601, A3303, B$2:B$3601, B3303), "OPTIMAL", "")</f>
        <v/>
      </c>
    </row>
    <row r="3304" ht="20" customHeight="1">
      <c r="A3304" s="21" t="n">
        <v>-18</v>
      </c>
      <c r="B3304" s="21" t="n">
        <v>45</v>
      </c>
      <c r="C3304" s="22" t="n">
        <v>85</v>
      </c>
      <c r="D3304" s="22" t="n">
        <v>3</v>
      </c>
      <c r="E3304" s="23" t="n">
        <v>0</v>
      </c>
      <c r="F3304" s="22" t="n">
        <v>0</v>
      </c>
      <c r="G3304" s="23" t="inlineStr">
        <is>
          <t>Non</t>
        </is>
      </c>
      <c r="H3304" s="23" t="inlineStr">
        <is>
          <t>ON</t>
        </is>
      </c>
      <c r="I3304" s="24" t="n">
        <v>885.2722778138215</v>
      </c>
      <c r="J3304" s="24" t="n">
        <v>10520.73059103506</v>
      </c>
      <c r="K3304" s="24" t="n">
        <v>5101.851851851852</v>
      </c>
      <c r="L3304" s="24" t="n">
        <v>150</v>
      </c>
      <c r="M3304" s="24">
        <f>I3304+J3304+K3304+L3304</f>
        <v/>
      </c>
      <c r="N3304" s="24">
        <f>M3304*'Dashboard &amp; Optimisation'!$B$18/('Dashboard &amp; Optimisation'!$B$16/3.6)</f>
        <v/>
      </c>
      <c r="O3304" s="24" t="n">
        <v>1334.826460222861</v>
      </c>
      <c r="P3304" s="25" t="n">
        <v>0.4915647450926108</v>
      </c>
      <c r="Q3304" s="26" t="n">
        <v>0.2</v>
      </c>
      <c r="R3304" s="24" t="n">
        <v>1301.353652315009</v>
      </c>
      <c r="S3304" s="24">
        <f>R3304*IF(A3304=4, 2.0, 3.0)</f>
        <v/>
      </c>
      <c r="T3304" s="22">
        <f>'Dashboard &amp; Optimisation'!$B$18*U3304</f>
        <v/>
      </c>
      <c r="U3304" s="27">
        <f>MIN(1, S3304/M3304)</f>
        <v/>
      </c>
      <c r="V3304" s="27">
        <f>N3304/(N3304+O3304)</f>
        <v/>
      </c>
      <c r="W3304" s="27">
        <f>U3304*V3304</f>
        <v/>
      </c>
      <c r="X3304" s="25">
        <f>T3304/N3304</f>
        <v/>
      </c>
      <c r="Y3304" s="28">
        <f>IF(W3304=MAXIFS(W$2:W$3601, A$2:A$3601, A3304, B$2:B$3601, B3304), "OPTIMAL", "")</f>
        <v/>
      </c>
    </row>
    <row r="3305" ht="20" customHeight="1">
      <c r="A3305" s="29" t="n">
        <v>-18</v>
      </c>
      <c r="B3305" s="29" t="n">
        <v>45</v>
      </c>
      <c r="C3305" s="30" t="n">
        <v>85</v>
      </c>
      <c r="D3305" s="30" t="n">
        <v>3</v>
      </c>
      <c r="E3305" s="6" t="n">
        <v>0</v>
      </c>
      <c r="F3305" s="30" t="n">
        <v>0</v>
      </c>
      <c r="G3305" s="6" t="inlineStr">
        <is>
          <t>Non</t>
        </is>
      </c>
      <c r="H3305" s="6" t="inlineStr">
        <is>
          <t>OFF</t>
        </is>
      </c>
      <c r="I3305" s="31" t="n">
        <v>885.2722778138215</v>
      </c>
      <c r="J3305" s="31" t="n">
        <v>10520.73059103506</v>
      </c>
      <c r="K3305" s="31" t="n">
        <v>5101.851851851852</v>
      </c>
      <c r="L3305" s="31" t="n">
        <v>150</v>
      </c>
      <c r="M3305" s="31">
        <f>I3305+J3305+K3305+L3305</f>
        <v/>
      </c>
      <c r="N3305" s="31">
        <f>M3305*'Dashboard &amp; Optimisation'!$B$18/('Dashboard &amp; Optimisation'!$B$16/3.6)</f>
        <v/>
      </c>
      <c r="O3305" s="31" t="n">
        <v>1334.826460222861</v>
      </c>
      <c r="P3305" s="32" t="n">
        <v>0.8660469641323645</v>
      </c>
      <c r="Q3305" s="33" t="n">
        <v>0.2</v>
      </c>
      <c r="R3305" s="31" t="n">
        <v>738.6430561724077</v>
      </c>
      <c r="S3305" s="31">
        <f>R3305*IF(A3305=4, 2.0, 3.0)</f>
        <v/>
      </c>
      <c r="T3305" s="30">
        <f>'Dashboard &amp; Optimisation'!$B$18*U3305</f>
        <v/>
      </c>
      <c r="U3305" s="34">
        <f>MIN(1, S3305/M3305)</f>
        <v/>
      </c>
      <c r="V3305" s="34">
        <f>N3305/(N3305+O3305)</f>
        <v/>
      </c>
      <c r="W3305" s="34">
        <f>U3305*V3305</f>
        <v/>
      </c>
      <c r="X3305" s="32">
        <f>T3305/N3305</f>
        <v/>
      </c>
      <c r="Y3305" s="35">
        <f>IF(W3305=MAXIFS(W$2:W$3601, A$2:A$3601, A3305, B$2:B$3601, B3305), "OPTIMAL", "")</f>
        <v/>
      </c>
    </row>
    <row r="3306" ht="20" customHeight="1">
      <c r="A3306" s="21" t="n">
        <v>-18</v>
      </c>
      <c r="B3306" s="21" t="n">
        <v>45</v>
      </c>
      <c r="C3306" s="22" t="n">
        <v>85</v>
      </c>
      <c r="D3306" s="22" t="n">
        <v>3</v>
      </c>
      <c r="E3306" s="23" t="n">
        <v>4</v>
      </c>
      <c r="F3306" s="22" t="n">
        <v>1.5</v>
      </c>
      <c r="G3306" s="23" t="inlineStr">
        <is>
          <t>Oui</t>
        </is>
      </c>
      <c r="H3306" s="23" t="inlineStr">
        <is>
          <t>ON</t>
        </is>
      </c>
      <c r="I3306" s="24" t="n">
        <v>885.2722778138215</v>
      </c>
      <c r="J3306" s="24" t="n">
        <v>10520.73059103506</v>
      </c>
      <c r="K3306" s="24" t="n">
        <v>5101.851851851852</v>
      </c>
      <c r="L3306" s="24" t="n">
        <v>150</v>
      </c>
      <c r="M3306" s="24">
        <f>I3306+J3306+K3306+L3306</f>
        <v/>
      </c>
      <c r="N3306" s="24">
        <f>M3306*'Dashboard &amp; Optimisation'!$B$18/('Dashboard &amp; Optimisation'!$B$16/3.6)</f>
        <v/>
      </c>
      <c r="O3306" s="24" t="n">
        <v>1890.889379857919</v>
      </c>
      <c r="P3306" s="25" t="n">
        <v>0.07960669836162382</v>
      </c>
      <c r="Q3306" s="26" t="n">
        <v>8.12180634212946</v>
      </c>
      <c r="R3306" s="24" t="n">
        <v>8359.085879941693</v>
      </c>
      <c r="S3306" s="24">
        <f>R3306*IF(A3306=4, 2.0, 3.0)</f>
        <v/>
      </c>
      <c r="T3306" s="22">
        <f>'Dashboard &amp; Optimisation'!$B$18*U3306</f>
        <v/>
      </c>
      <c r="U3306" s="27">
        <f>MIN(1, S3306/M3306)</f>
        <v/>
      </c>
      <c r="V3306" s="27">
        <f>N3306/(N3306+O3306)</f>
        <v/>
      </c>
      <c r="W3306" s="27">
        <f>U3306*V3306</f>
        <v/>
      </c>
      <c r="X3306" s="25">
        <f>T3306/N3306</f>
        <v/>
      </c>
      <c r="Y3306" s="28">
        <f>IF(W3306=MAXIFS(W$2:W$3601, A$2:A$3601, A3306, B$2:B$3601, B3306), "OPTIMAL", "")</f>
        <v/>
      </c>
    </row>
    <row r="3307" ht="20" customHeight="1">
      <c r="A3307" s="29" t="n">
        <v>-18</v>
      </c>
      <c r="B3307" s="29" t="n">
        <v>45</v>
      </c>
      <c r="C3307" s="30" t="n">
        <v>85</v>
      </c>
      <c r="D3307" s="30" t="n">
        <v>3</v>
      </c>
      <c r="E3307" s="6" t="n">
        <v>4</v>
      </c>
      <c r="F3307" s="30" t="n">
        <v>1.5</v>
      </c>
      <c r="G3307" s="6" t="inlineStr">
        <is>
          <t>Oui</t>
        </is>
      </c>
      <c r="H3307" s="6" t="inlineStr">
        <is>
          <t>OFF</t>
        </is>
      </c>
      <c r="I3307" s="31" t="n">
        <v>885.2722778138215</v>
      </c>
      <c r="J3307" s="31" t="n">
        <v>10520.73059103506</v>
      </c>
      <c r="K3307" s="31" t="n">
        <v>5101.851851851852</v>
      </c>
      <c r="L3307" s="31" t="n">
        <v>150</v>
      </c>
      <c r="M3307" s="31">
        <f>I3307+J3307+K3307+L3307</f>
        <v/>
      </c>
      <c r="N3307" s="31">
        <f>M3307*'Dashboard &amp; Optimisation'!$B$18/('Dashboard &amp; Optimisation'!$B$16/3.6)</f>
        <v/>
      </c>
      <c r="O3307" s="31" t="n">
        <v>1890.889379857919</v>
      </c>
      <c r="P3307" s="32" t="n">
        <v>0.3420549766963435</v>
      </c>
      <c r="Q3307" s="33" t="n">
        <v>8.12180634212946</v>
      </c>
      <c r="R3307" s="31" t="n">
        <v>1945.416010754801</v>
      </c>
      <c r="S3307" s="31">
        <f>R3307*IF(A3307=4, 2.0, 3.0)</f>
        <v/>
      </c>
      <c r="T3307" s="30">
        <f>'Dashboard &amp; Optimisation'!$B$18*U3307</f>
        <v/>
      </c>
      <c r="U3307" s="34">
        <f>MIN(1, S3307/M3307)</f>
        <v/>
      </c>
      <c r="V3307" s="34">
        <f>N3307/(N3307+O3307)</f>
        <v/>
      </c>
      <c r="W3307" s="34">
        <f>U3307*V3307</f>
        <v/>
      </c>
      <c r="X3307" s="32">
        <f>T3307/N3307</f>
        <v/>
      </c>
      <c r="Y3307" s="35">
        <f>IF(W3307=MAXIFS(W$2:W$3601, A$2:A$3601, A3307, B$2:B$3601, B3307), "OPTIMAL", "")</f>
        <v/>
      </c>
    </row>
    <row r="3308" ht="20" customHeight="1">
      <c r="A3308" s="21" t="n">
        <v>-18</v>
      </c>
      <c r="B3308" s="21" t="n">
        <v>45</v>
      </c>
      <c r="C3308" s="22" t="n">
        <v>85</v>
      </c>
      <c r="D3308" s="22" t="n">
        <v>3</v>
      </c>
      <c r="E3308" s="23" t="n">
        <v>4</v>
      </c>
      <c r="F3308" s="22" t="n">
        <v>1.5</v>
      </c>
      <c r="G3308" s="23" t="inlineStr">
        <is>
          <t>Non</t>
        </is>
      </c>
      <c r="H3308" s="23" t="inlineStr">
        <is>
          <t>ON</t>
        </is>
      </c>
      <c r="I3308" s="24" t="n">
        <v>885.2722778138215</v>
      </c>
      <c r="J3308" s="24" t="n">
        <v>10520.73059103506</v>
      </c>
      <c r="K3308" s="24" t="n">
        <v>5101.851851851852</v>
      </c>
      <c r="L3308" s="24" t="n">
        <v>150</v>
      </c>
      <c r="M3308" s="24">
        <f>I3308+J3308+K3308+L3308</f>
        <v/>
      </c>
      <c r="N3308" s="24">
        <f>M3308*'Dashboard &amp; Optimisation'!$B$18/('Dashboard &amp; Optimisation'!$B$16/3.6)</f>
        <v/>
      </c>
      <c r="O3308" s="24" t="n">
        <v>1890.889379857919</v>
      </c>
      <c r="P3308" s="25" t="n">
        <v>0.07586187617122628</v>
      </c>
      <c r="Q3308" s="26" t="n">
        <v>8.12180634212946</v>
      </c>
      <c r="R3308" s="24" t="n">
        <v>8771.72120976125</v>
      </c>
      <c r="S3308" s="24">
        <f>R3308*IF(A3308=4, 2.0, 3.0)</f>
        <v/>
      </c>
      <c r="T3308" s="22">
        <f>'Dashboard &amp; Optimisation'!$B$18*U3308</f>
        <v/>
      </c>
      <c r="U3308" s="27">
        <f>MIN(1, S3308/M3308)</f>
        <v/>
      </c>
      <c r="V3308" s="27">
        <f>N3308/(N3308+O3308)</f>
        <v/>
      </c>
      <c r="W3308" s="27">
        <f>U3308*V3308</f>
        <v/>
      </c>
      <c r="X3308" s="25">
        <f>T3308/N3308</f>
        <v/>
      </c>
      <c r="Y3308" s="28">
        <f>IF(W3308=MAXIFS(W$2:W$3601, A$2:A$3601, A3308, B$2:B$3601, B3308), "OPTIMAL", "")</f>
        <v/>
      </c>
    </row>
    <row r="3309" ht="20" customHeight="1">
      <c r="A3309" s="29" t="n">
        <v>-18</v>
      </c>
      <c r="B3309" s="29" t="n">
        <v>45</v>
      </c>
      <c r="C3309" s="30" t="n">
        <v>85</v>
      </c>
      <c r="D3309" s="30" t="n">
        <v>3</v>
      </c>
      <c r="E3309" s="6" t="n">
        <v>4</v>
      </c>
      <c r="F3309" s="30" t="n">
        <v>1.5</v>
      </c>
      <c r="G3309" s="6" t="inlineStr">
        <is>
          <t>Non</t>
        </is>
      </c>
      <c r="H3309" s="6" t="inlineStr">
        <is>
          <t>OFF</t>
        </is>
      </c>
      <c r="I3309" s="31" t="n">
        <v>885.2722778138215</v>
      </c>
      <c r="J3309" s="31" t="n">
        <v>10520.73059103506</v>
      </c>
      <c r="K3309" s="31" t="n">
        <v>5101.851851851852</v>
      </c>
      <c r="L3309" s="31" t="n">
        <v>150</v>
      </c>
      <c r="M3309" s="31">
        <f>I3309+J3309+K3309+L3309</f>
        <v/>
      </c>
      <c r="N3309" s="31">
        <f>M3309*'Dashboard &amp; Optimisation'!$B$18/('Dashboard &amp; Optimisation'!$B$16/3.6)</f>
        <v/>
      </c>
      <c r="O3309" s="31" t="n">
        <v>1890.889379857919</v>
      </c>
      <c r="P3309" s="32" t="n">
        <v>0.338310154505946</v>
      </c>
      <c r="Q3309" s="33" t="n">
        <v>8.12180634212946</v>
      </c>
      <c r="R3309" s="31" t="n">
        <v>1966.950206372631</v>
      </c>
      <c r="S3309" s="31">
        <f>R3309*IF(A3309=4, 2.0, 3.0)</f>
        <v/>
      </c>
      <c r="T3309" s="30">
        <f>'Dashboard &amp; Optimisation'!$B$18*U3309</f>
        <v/>
      </c>
      <c r="U3309" s="34">
        <f>MIN(1, S3309/M3309)</f>
        <v/>
      </c>
      <c r="V3309" s="34">
        <f>N3309/(N3309+O3309)</f>
        <v/>
      </c>
      <c r="W3309" s="34">
        <f>U3309*V3309</f>
        <v/>
      </c>
      <c r="X3309" s="32">
        <f>T3309/N3309</f>
        <v/>
      </c>
      <c r="Y3309" s="35">
        <f>IF(W3309=MAXIFS(W$2:W$3601, A$2:A$3601, A3309, B$2:B$3601, B3309), "OPTIMAL", "")</f>
        <v/>
      </c>
    </row>
    <row r="3310" ht="20" customHeight="1">
      <c r="A3310" s="21" t="n">
        <v>-18</v>
      </c>
      <c r="B3310" s="21" t="n">
        <v>45</v>
      </c>
      <c r="C3310" s="22" t="n">
        <v>85</v>
      </c>
      <c r="D3310" s="22" t="n">
        <v>3</v>
      </c>
      <c r="E3310" s="23" t="n">
        <v>4</v>
      </c>
      <c r="F3310" s="22" t="n">
        <v>2</v>
      </c>
      <c r="G3310" s="23" t="inlineStr">
        <is>
          <t>Oui</t>
        </is>
      </c>
      <c r="H3310" s="23" t="inlineStr">
        <is>
          <t>ON</t>
        </is>
      </c>
      <c r="I3310" s="24" t="n">
        <v>885.2722778138215</v>
      </c>
      <c r="J3310" s="24" t="n">
        <v>10520.73059103506</v>
      </c>
      <c r="K3310" s="24" t="n">
        <v>5101.851851851852</v>
      </c>
      <c r="L3310" s="24" t="n">
        <v>150</v>
      </c>
      <c r="M3310" s="24">
        <f>I3310+J3310+K3310+L3310</f>
        <v/>
      </c>
      <c r="N3310" s="24">
        <f>M3310*'Dashboard &amp; Optimisation'!$B$18/('Dashboard &amp; Optimisation'!$B$16/3.6)</f>
        <v/>
      </c>
      <c r="O3310" s="24" t="n">
        <v>2086.323032420762</v>
      </c>
      <c r="P3310" s="25" t="n">
        <v>0.07745426381627818</v>
      </c>
      <c r="Q3310" s="26" t="n">
        <v>10.76240845617261</v>
      </c>
      <c r="R3310" s="24" t="n">
        <v>8708.180063836151</v>
      </c>
      <c r="S3310" s="24">
        <f>R3310*IF(A3310=4, 2.0, 3.0)</f>
        <v/>
      </c>
      <c r="T3310" s="22">
        <f>'Dashboard &amp; Optimisation'!$B$18*U3310</f>
        <v/>
      </c>
      <c r="U3310" s="27">
        <f>MIN(1, S3310/M3310)</f>
        <v/>
      </c>
      <c r="V3310" s="27">
        <f>N3310/(N3310+O3310)</f>
        <v/>
      </c>
      <c r="W3310" s="27">
        <f>U3310*V3310</f>
        <v/>
      </c>
      <c r="X3310" s="25">
        <f>T3310/N3310</f>
        <v/>
      </c>
      <c r="Y3310" s="28">
        <f>IF(W3310=MAXIFS(W$2:W$3601, A$2:A$3601, A3310, B$2:B$3601, B3310), "OPTIMAL", "")</f>
        <v/>
      </c>
    </row>
    <row r="3311" ht="20" customHeight="1">
      <c r="A3311" s="29" t="n">
        <v>-18</v>
      </c>
      <c r="B3311" s="29" t="n">
        <v>45</v>
      </c>
      <c r="C3311" s="30" t="n">
        <v>85</v>
      </c>
      <c r="D3311" s="30" t="n">
        <v>3</v>
      </c>
      <c r="E3311" s="6" t="n">
        <v>4</v>
      </c>
      <c r="F3311" s="30" t="n">
        <v>2</v>
      </c>
      <c r="G3311" s="6" t="inlineStr">
        <is>
          <t>Oui</t>
        </is>
      </c>
      <c r="H3311" s="6" t="inlineStr">
        <is>
          <t>OFF</t>
        </is>
      </c>
      <c r="I3311" s="31" t="n">
        <v>885.2722778138215</v>
      </c>
      <c r="J3311" s="31" t="n">
        <v>10520.73059103506</v>
      </c>
      <c r="K3311" s="31" t="n">
        <v>5101.851851851852</v>
      </c>
      <c r="L3311" s="31" t="n">
        <v>150</v>
      </c>
      <c r="M3311" s="31">
        <f>I3311+J3311+K3311+L3311</f>
        <v/>
      </c>
      <c r="N3311" s="31">
        <f>M3311*'Dashboard &amp; Optimisation'!$B$18/('Dashboard &amp; Optimisation'!$B$16/3.6)</f>
        <v/>
      </c>
      <c r="O3311" s="31" t="n">
        <v>2086.323032420762</v>
      </c>
      <c r="P3311" s="32" t="n">
        <v>0.3412849921114681</v>
      </c>
      <c r="Q3311" s="33" t="n">
        <v>10.76240845617261</v>
      </c>
      <c r="R3311" s="31" t="n">
        <v>1976.312148539258</v>
      </c>
      <c r="S3311" s="31">
        <f>R3311*IF(A3311=4, 2.0, 3.0)</f>
        <v/>
      </c>
      <c r="T3311" s="30">
        <f>'Dashboard &amp; Optimisation'!$B$18*U3311</f>
        <v/>
      </c>
      <c r="U3311" s="34">
        <f>MIN(1, S3311/M3311)</f>
        <v/>
      </c>
      <c r="V3311" s="34">
        <f>N3311/(N3311+O3311)</f>
        <v/>
      </c>
      <c r="W3311" s="34">
        <f>U3311*V3311</f>
        <v/>
      </c>
      <c r="X3311" s="32">
        <f>T3311/N3311</f>
        <v/>
      </c>
      <c r="Y3311" s="35">
        <f>IF(W3311=MAXIFS(W$2:W$3601, A$2:A$3601, A3311, B$2:B$3601, B3311), "OPTIMAL", "")</f>
        <v/>
      </c>
    </row>
    <row r="3312" ht="20" customHeight="1">
      <c r="A3312" s="21" t="n">
        <v>-18</v>
      </c>
      <c r="B3312" s="21" t="n">
        <v>45</v>
      </c>
      <c r="C3312" s="22" t="n">
        <v>85</v>
      </c>
      <c r="D3312" s="22" t="n">
        <v>3</v>
      </c>
      <c r="E3312" s="23" t="n">
        <v>4</v>
      </c>
      <c r="F3312" s="22" t="n">
        <v>2</v>
      </c>
      <c r="G3312" s="23" t="inlineStr">
        <is>
          <t>Non</t>
        </is>
      </c>
      <c r="H3312" s="23" t="inlineStr">
        <is>
          <t>ON</t>
        </is>
      </c>
      <c r="I3312" s="24" t="n">
        <v>885.2722778138215</v>
      </c>
      <c r="J3312" s="24" t="n">
        <v>10520.73059103506</v>
      </c>
      <c r="K3312" s="24" t="n">
        <v>5101.851851851852</v>
      </c>
      <c r="L3312" s="24" t="n">
        <v>150</v>
      </c>
      <c r="M3312" s="24">
        <f>I3312+J3312+K3312+L3312</f>
        <v/>
      </c>
      <c r="N3312" s="24">
        <f>M3312*'Dashboard &amp; Optimisation'!$B$18/('Dashboard &amp; Optimisation'!$B$16/3.6)</f>
        <v/>
      </c>
      <c r="O3312" s="24" t="n">
        <v>2086.323032420762</v>
      </c>
      <c r="P3312" s="25" t="n">
        <v>0.07370944162588064</v>
      </c>
      <c r="Q3312" s="26" t="n">
        <v>10.76240845617261</v>
      </c>
      <c r="R3312" s="24" t="n">
        <v>9150.600806982589</v>
      </c>
      <c r="S3312" s="24">
        <f>R3312*IF(A3312=4, 2.0, 3.0)</f>
        <v/>
      </c>
      <c r="T3312" s="22">
        <f>'Dashboard &amp; Optimisation'!$B$18*U3312</f>
        <v/>
      </c>
      <c r="U3312" s="27">
        <f>MIN(1, S3312/M3312)</f>
        <v/>
      </c>
      <c r="V3312" s="27">
        <f>N3312/(N3312+O3312)</f>
        <v/>
      </c>
      <c r="W3312" s="27">
        <f>U3312*V3312</f>
        <v/>
      </c>
      <c r="X3312" s="25">
        <f>T3312/N3312</f>
        <v/>
      </c>
      <c r="Y3312" s="28">
        <f>IF(W3312=MAXIFS(W$2:W$3601, A$2:A$3601, A3312, B$2:B$3601, B3312), "OPTIMAL", "")</f>
        <v/>
      </c>
    </row>
    <row r="3313" ht="20" customHeight="1">
      <c r="A3313" s="29" t="n">
        <v>-18</v>
      </c>
      <c r="B3313" s="29" t="n">
        <v>45</v>
      </c>
      <c r="C3313" s="30" t="n">
        <v>85</v>
      </c>
      <c r="D3313" s="30" t="n">
        <v>3</v>
      </c>
      <c r="E3313" s="6" t="n">
        <v>4</v>
      </c>
      <c r="F3313" s="30" t="n">
        <v>2</v>
      </c>
      <c r="G3313" s="6" t="inlineStr">
        <is>
          <t>Non</t>
        </is>
      </c>
      <c r="H3313" s="6" t="inlineStr">
        <is>
          <t>OFF</t>
        </is>
      </c>
      <c r="I3313" s="31" t="n">
        <v>885.2722778138215</v>
      </c>
      <c r="J3313" s="31" t="n">
        <v>10520.73059103506</v>
      </c>
      <c r="K3313" s="31" t="n">
        <v>5101.851851851852</v>
      </c>
      <c r="L3313" s="31" t="n">
        <v>150</v>
      </c>
      <c r="M3313" s="31">
        <f>I3313+J3313+K3313+L3313</f>
        <v/>
      </c>
      <c r="N3313" s="31">
        <f>M3313*'Dashboard &amp; Optimisation'!$B$18/('Dashboard &amp; Optimisation'!$B$16/3.6)</f>
        <v/>
      </c>
      <c r="O3313" s="31" t="n">
        <v>2086.323032420762</v>
      </c>
      <c r="P3313" s="32" t="n">
        <v>0.3375401699210706</v>
      </c>
      <c r="Q3313" s="33" t="n">
        <v>10.76240845617261</v>
      </c>
      <c r="R3313" s="31" t="n">
        <v>1998.238242819334</v>
      </c>
      <c r="S3313" s="31">
        <f>R3313*IF(A3313=4, 2.0, 3.0)</f>
        <v/>
      </c>
      <c r="T3313" s="30">
        <f>'Dashboard &amp; Optimisation'!$B$18*U3313</f>
        <v/>
      </c>
      <c r="U3313" s="34">
        <f>MIN(1, S3313/M3313)</f>
        <v/>
      </c>
      <c r="V3313" s="34">
        <f>N3313/(N3313+O3313)</f>
        <v/>
      </c>
      <c r="W3313" s="34">
        <f>U3313*V3313</f>
        <v/>
      </c>
      <c r="X3313" s="32">
        <f>T3313/N3313</f>
        <v/>
      </c>
      <c r="Y3313" s="35">
        <f>IF(W3313=MAXIFS(W$2:W$3601, A$2:A$3601, A3313, B$2:B$3601, B3313), "OPTIMAL", "")</f>
        <v/>
      </c>
    </row>
    <row r="3314" ht="20" customHeight="1">
      <c r="A3314" s="21" t="n">
        <v>-18</v>
      </c>
      <c r="B3314" s="21" t="n">
        <v>45</v>
      </c>
      <c r="C3314" s="22" t="n">
        <v>85</v>
      </c>
      <c r="D3314" s="22" t="n">
        <v>3</v>
      </c>
      <c r="E3314" s="23" t="n">
        <v>8</v>
      </c>
      <c r="F3314" s="22" t="n">
        <v>1.5</v>
      </c>
      <c r="G3314" s="23" t="inlineStr">
        <is>
          <t>Oui</t>
        </is>
      </c>
      <c r="H3314" s="23" t="inlineStr">
        <is>
          <t>ON</t>
        </is>
      </c>
      <c r="I3314" s="24" t="n">
        <v>885.2722778138215</v>
      </c>
      <c r="J3314" s="24" t="n">
        <v>10520.73059103506</v>
      </c>
      <c r="K3314" s="24" t="n">
        <v>5101.851851851852</v>
      </c>
      <c r="L3314" s="24" t="n">
        <v>150</v>
      </c>
      <c r="M3314" s="24">
        <f>I3314+J3314+K3314+L3314</f>
        <v/>
      </c>
      <c r="N3314" s="24">
        <f>M3314*'Dashboard &amp; Optimisation'!$B$18/('Dashboard &amp; Optimisation'!$B$16/3.6)</f>
        <v/>
      </c>
      <c r="O3314" s="24" t="n">
        <v>2493.577055882155</v>
      </c>
      <c r="P3314" s="25" t="n">
        <v>0.05973432874252066</v>
      </c>
      <c r="Q3314" s="26" t="n">
        <v>16.04361268425892</v>
      </c>
      <c r="R3314" s="24" t="n">
        <v>11607.01246096279</v>
      </c>
      <c r="S3314" s="24">
        <f>R3314*IF(A3314=4, 2.0, 3.0)</f>
        <v/>
      </c>
      <c r="T3314" s="22">
        <f>'Dashboard &amp; Optimisation'!$B$18*U3314</f>
        <v/>
      </c>
      <c r="U3314" s="27">
        <f>MIN(1, S3314/M3314)</f>
        <v/>
      </c>
      <c r="V3314" s="27">
        <f>N3314/(N3314+O3314)</f>
        <v/>
      </c>
      <c r="W3314" s="27">
        <f>U3314*V3314</f>
        <v/>
      </c>
      <c r="X3314" s="25">
        <f>T3314/N3314</f>
        <v/>
      </c>
      <c r="Y3314" s="28">
        <f>IF(W3314=MAXIFS(W$2:W$3601, A$2:A$3601, A3314, B$2:B$3601, B3314), "OPTIMAL", "")</f>
        <v/>
      </c>
    </row>
    <row r="3315" ht="20" customHeight="1">
      <c r="A3315" s="29" t="n">
        <v>-18</v>
      </c>
      <c r="B3315" s="29" t="n">
        <v>45</v>
      </c>
      <c r="C3315" s="30" t="n">
        <v>85</v>
      </c>
      <c r="D3315" s="30" t="n">
        <v>3</v>
      </c>
      <c r="E3315" s="6" t="n">
        <v>8</v>
      </c>
      <c r="F3315" s="30" t="n">
        <v>1.5</v>
      </c>
      <c r="G3315" s="6" t="inlineStr">
        <is>
          <t>Oui</t>
        </is>
      </c>
      <c r="H3315" s="6" t="inlineStr">
        <is>
          <t>OFF</t>
        </is>
      </c>
      <c r="I3315" s="31" t="n">
        <v>885.2722778138215</v>
      </c>
      <c r="J3315" s="31" t="n">
        <v>10520.73059103506</v>
      </c>
      <c r="K3315" s="31" t="n">
        <v>5101.851851851852</v>
      </c>
      <c r="L3315" s="31" t="n">
        <v>150</v>
      </c>
      <c r="M3315" s="31">
        <f>I3315+J3315+K3315+L3315</f>
        <v/>
      </c>
      <c r="N3315" s="31">
        <f>M3315*'Dashboard &amp; Optimisation'!$B$18/('Dashboard &amp; Optimisation'!$B$16/3.6)</f>
        <v/>
      </c>
      <c r="O3315" s="31" t="n">
        <v>2493.577055882155</v>
      </c>
      <c r="P3315" s="32" t="n">
        <v>0.2617453366738331</v>
      </c>
      <c r="Q3315" s="33" t="n">
        <v>16.04361268425892</v>
      </c>
      <c r="R3315" s="31" t="n">
        <v>2648.89952528808</v>
      </c>
      <c r="S3315" s="31">
        <f>R3315*IF(A3315=4, 2.0, 3.0)</f>
        <v/>
      </c>
      <c r="T3315" s="30">
        <f>'Dashboard &amp; Optimisation'!$B$18*U3315</f>
        <v/>
      </c>
      <c r="U3315" s="34">
        <f>MIN(1, S3315/M3315)</f>
        <v/>
      </c>
      <c r="V3315" s="34">
        <f>N3315/(N3315+O3315)</f>
        <v/>
      </c>
      <c r="W3315" s="34">
        <f>U3315*V3315</f>
        <v/>
      </c>
      <c r="X3315" s="32">
        <f>T3315/N3315</f>
        <v/>
      </c>
      <c r="Y3315" s="35">
        <f>IF(W3315=MAXIFS(W$2:W$3601, A$2:A$3601, A3315, B$2:B$3601, B3315), "OPTIMAL", "")</f>
        <v/>
      </c>
    </row>
    <row r="3316" ht="20" customHeight="1">
      <c r="A3316" s="21" t="n">
        <v>-18</v>
      </c>
      <c r="B3316" s="21" t="n">
        <v>45</v>
      </c>
      <c r="C3316" s="22" t="n">
        <v>85</v>
      </c>
      <c r="D3316" s="22" t="n">
        <v>3</v>
      </c>
      <c r="E3316" s="23" t="n">
        <v>8</v>
      </c>
      <c r="F3316" s="22" t="n">
        <v>1.5</v>
      </c>
      <c r="G3316" s="23" t="inlineStr">
        <is>
          <t>Non</t>
        </is>
      </c>
      <c r="H3316" s="23" t="inlineStr">
        <is>
          <t>ON</t>
        </is>
      </c>
      <c r="I3316" s="24" t="n">
        <v>885.2722778138215</v>
      </c>
      <c r="J3316" s="24" t="n">
        <v>10520.73059103506</v>
      </c>
      <c r="K3316" s="24" t="n">
        <v>5101.851851851852</v>
      </c>
      <c r="L3316" s="24" t="n">
        <v>150</v>
      </c>
      <c r="M3316" s="24">
        <f>I3316+J3316+K3316+L3316</f>
        <v/>
      </c>
      <c r="N3316" s="24">
        <f>M3316*'Dashboard &amp; Optimisation'!$B$18/('Dashboard &amp; Optimisation'!$B$16/3.6)</f>
        <v/>
      </c>
      <c r="O3316" s="24" t="n">
        <v>2493.577055882155</v>
      </c>
      <c r="P3316" s="25" t="n">
        <v>0.05598950655212312</v>
      </c>
      <c r="Q3316" s="26" t="n">
        <v>16.04361268425892</v>
      </c>
      <c r="R3316" s="24" t="n">
        <v>12383.34003562305</v>
      </c>
      <c r="S3316" s="24">
        <f>R3316*IF(A3316=4, 2.0, 3.0)</f>
        <v/>
      </c>
      <c r="T3316" s="22">
        <f>'Dashboard &amp; Optimisation'!$B$18*U3316</f>
        <v/>
      </c>
      <c r="U3316" s="27">
        <f>MIN(1, S3316/M3316)</f>
        <v/>
      </c>
      <c r="V3316" s="27">
        <f>N3316/(N3316+O3316)</f>
        <v/>
      </c>
      <c r="W3316" s="27">
        <f>U3316*V3316</f>
        <v/>
      </c>
      <c r="X3316" s="25">
        <f>T3316/N3316</f>
        <v/>
      </c>
      <c r="Y3316" s="28">
        <f>IF(W3316=MAXIFS(W$2:W$3601, A$2:A$3601, A3316, B$2:B$3601, B3316), "OPTIMAL", "")</f>
        <v/>
      </c>
    </row>
    <row r="3317" ht="20" customHeight="1">
      <c r="A3317" s="29" t="n">
        <v>-18</v>
      </c>
      <c r="B3317" s="29" t="n">
        <v>45</v>
      </c>
      <c r="C3317" s="30" t="n">
        <v>85</v>
      </c>
      <c r="D3317" s="30" t="n">
        <v>3</v>
      </c>
      <c r="E3317" s="6" t="n">
        <v>8</v>
      </c>
      <c r="F3317" s="30" t="n">
        <v>1.5</v>
      </c>
      <c r="G3317" s="6" t="inlineStr">
        <is>
          <t>Non</t>
        </is>
      </c>
      <c r="H3317" s="6" t="inlineStr">
        <is>
          <t>OFF</t>
        </is>
      </c>
      <c r="I3317" s="31" t="n">
        <v>885.2722778138215</v>
      </c>
      <c r="J3317" s="31" t="n">
        <v>10520.73059103506</v>
      </c>
      <c r="K3317" s="31" t="n">
        <v>5101.851851851852</v>
      </c>
      <c r="L3317" s="31" t="n">
        <v>150</v>
      </c>
      <c r="M3317" s="31">
        <f>I3317+J3317+K3317+L3317</f>
        <v/>
      </c>
      <c r="N3317" s="31">
        <f>M3317*'Dashboard &amp; Optimisation'!$B$18/('Dashboard &amp; Optimisation'!$B$16/3.6)</f>
        <v/>
      </c>
      <c r="O3317" s="31" t="n">
        <v>2493.577055882155</v>
      </c>
      <c r="P3317" s="32" t="n">
        <v>0.2580005144834356</v>
      </c>
      <c r="Q3317" s="33" t="n">
        <v>16.04361268425892</v>
      </c>
      <c r="R3317" s="31" t="n">
        <v>2687.347734363529</v>
      </c>
      <c r="S3317" s="31">
        <f>R3317*IF(A3317=4, 2.0, 3.0)</f>
        <v/>
      </c>
      <c r="T3317" s="30">
        <f>'Dashboard &amp; Optimisation'!$B$18*U3317</f>
        <v/>
      </c>
      <c r="U3317" s="34">
        <f>MIN(1, S3317/M3317)</f>
        <v/>
      </c>
      <c r="V3317" s="34">
        <f>N3317/(N3317+O3317)</f>
        <v/>
      </c>
      <c r="W3317" s="34">
        <f>U3317*V3317</f>
        <v/>
      </c>
      <c r="X3317" s="32">
        <f>T3317/N3317</f>
        <v/>
      </c>
      <c r="Y3317" s="35">
        <f>IF(W3317=MAXIFS(W$2:W$3601, A$2:A$3601, A3317, B$2:B$3601, B3317), "OPTIMAL", "")</f>
        <v/>
      </c>
    </row>
    <row r="3318" ht="20" customHeight="1">
      <c r="A3318" s="21" t="n">
        <v>-18</v>
      </c>
      <c r="B3318" s="21" t="n">
        <v>45</v>
      </c>
      <c r="C3318" s="22" t="n">
        <v>85</v>
      </c>
      <c r="D3318" s="22" t="n">
        <v>3</v>
      </c>
      <c r="E3318" s="23" t="n">
        <v>8</v>
      </c>
      <c r="F3318" s="22" t="n">
        <v>2</v>
      </c>
      <c r="G3318" s="23" t="inlineStr">
        <is>
          <t>Oui</t>
        </is>
      </c>
      <c r="H3318" s="23" t="inlineStr">
        <is>
          <t>ON</t>
        </is>
      </c>
      <c r="I3318" s="24" t="n">
        <v>885.2722778138215</v>
      </c>
      <c r="J3318" s="24" t="n">
        <v>10520.73059103506</v>
      </c>
      <c r="K3318" s="24" t="n">
        <v>5101.851851851852</v>
      </c>
      <c r="L3318" s="24" t="n">
        <v>150</v>
      </c>
      <c r="M3318" s="24">
        <f>I3318+J3318+K3318+L3318</f>
        <v/>
      </c>
      <c r="N3318" s="24">
        <f>M3318*'Dashboard &amp; Optimisation'!$B$18/('Dashboard &amp; Optimisation'!$B$16/3.6)</f>
        <v/>
      </c>
      <c r="O3318" s="24" t="n">
        <v>2924.250592360539</v>
      </c>
      <c r="P3318" s="25" t="n">
        <v>0.05880657801325698</v>
      </c>
      <c r="Q3318" s="26" t="n">
        <v>21.32481691234523</v>
      </c>
      <c r="R3318" s="24" t="n">
        <v>12129.12929754583</v>
      </c>
      <c r="S3318" s="24">
        <f>R3318*IF(A3318=4, 2.0, 3.0)</f>
        <v/>
      </c>
      <c r="T3318" s="22">
        <f>'Dashboard &amp; Optimisation'!$B$18*U3318</f>
        <v/>
      </c>
      <c r="U3318" s="27">
        <f>MIN(1, S3318/M3318)</f>
        <v/>
      </c>
      <c r="V3318" s="27">
        <f>N3318/(N3318+O3318)</f>
        <v/>
      </c>
      <c r="W3318" s="27">
        <f>U3318*V3318</f>
        <v/>
      </c>
      <c r="X3318" s="25">
        <f>T3318/N3318</f>
        <v/>
      </c>
      <c r="Y3318" s="28">
        <f>IF(W3318=MAXIFS(W$2:W$3601, A$2:A$3601, A3318, B$2:B$3601, B3318), "OPTIMAL", "")</f>
        <v/>
      </c>
    </row>
    <row r="3319" ht="20" customHeight="1">
      <c r="A3319" s="29" t="n">
        <v>-18</v>
      </c>
      <c r="B3319" s="29" t="n">
        <v>45</v>
      </c>
      <c r="C3319" s="30" t="n">
        <v>85</v>
      </c>
      <c r="D3319" s="30" t="n">
        <v>3</v>
      </c>
      <c r="E3319" s="6" t="n">
        <v>8</v>
      </c>
      <c r="F3319" s="30" t="n">
        <v>2</v>
      </c>
      <c r="G3319" s="6" t="inlineStr">
        <is>
          <t>Oui</t>
        </is>
      </c>
      <c r="H3319" s="6" t="inlineStr">
        <is>
          <t>OFF</t>
        </is>
      </c>
      <c r="I3319" s="31" t="n">
        <v>885.2722778138215</v>
      </c>
      <c r="J3319" s="31" t="n">
        <v>10520.73059103506</v>
      </c>
      <c r="K3319" s="31" t="n">
        <v>5101.851851851852</v>
      </c>
      <c r="L3319" s="31" t="n">
        <v>150</v>
      </c>
      <c r="M3319" s="31">
        <f>I3319+J3319+K3319+L3319</f>
        <v/>
      </c>
      <c r="N3319" s="31">
        <f>M3319*'Dashboard &amp; Optimisation'!$B$18/('Dashboard &amp; Optimisation'!$B$16/3.6)</f>
        <v/>
      </c>
      <c r="O3319" s="31" t="n">
        <v>2924.250592360539</v>
      </c>
      <c r="P3319" s="32" t="n">
        <v>0.2624608866531549</v>
      </c>
      <c r="Q3319" s="33" t="n">
        <v>21.32481691234523</v>
      </c>
      <c r="R3319" s="31" t="n">
        <v>2717.633843901502</v>
      </c>
      <c r="S3319" s="31">
        <f>R3319*IF(A3319=4, 2.0, 3.0)</f>
        <v/>
      </c>
      <c r="T3319" s="30">
        <f>'Dashboard &amp; Optimisation'!$B$18*U3319</f>
        <v/>
      </c>
      <c r="U3319" s="34">
        <f>MIN(1, S3319/M3319)</f>
        <v/>
      </c>
      <c r="V3319" s="34">
        <f>N3319/(N3319+O3319)</f>
        <v/>
      </c>
      <c r="W3319" s="34">
        <f>U3319*V3319</f>
        <v/>
      </c>
      <c r="X3319" s="32">
        <f>T3319/N3319</f>
        <v/>
      </c>
      <c r="Y3319" s="35">
        <f>IF(W3319=MAXIFS(W$2:W$3601, A$2:A$3601, A3319, B$2:B$3601, B3319), "OPTIMAL", "")</f>
        <v/>
      </c>
    </row>
    <row r="3320" ht="20" customHeight="1">
      <c r="A3320" s="21" t="n">
        <v>-18</v>
      </c>
      <c r="B3320" s="21" t="n">
        <v>45</v>
      </c>
      <c r="C3320" s="22" t="n">
        <v>85</v>
      </c>
      <c r="D3320" s="22" t="n">
        <v>3</v>
      </c>
      <c r="E3320" s="23" t="n">
        <v>8</v>
      </c>
      <c r="F3320" s="22" t="n">
        <v>2</v>
      </c>
      <c r="G3320" s="23" t="inlineStr">
        <is>
          <t>Non</t>
        </is>
      </c>
      <c r="H3320" s="23" t="inlineStr">
        <is>
          <t>ON</t>
        </is>
      </c>
      <c r="I3320" s="24" t="n">
        <v>885.2722778138215</v>
      </c>
      <c r="J3320" s="24" t="n">
        <v>10520.73059103506</v>
      </c>
      <c r="K3320" s="24" t="n">
        <v>5101.851851851852</v>
      </c>
      <c r="L3320" s="24" t="n">
        <v>150</v>
      </c>
      <c r="M3320" s="24">
        <f>I3320+J3320+K3320+L3320</f>
        <v/>
      </c>
      <c r="N3320" s="24">
        <f>M3320*'Dashboard &amp; Optimisation'!$B$18/('Dashboard &amp; Optimisation'!$B$16/3.6)</f>
        <v/>
      </c>
      <c r="O3320" s="24" t="n">
        <v>2924.250592360539</v>
      </c>
      <c r="P3320" s="25" t="n">
        <v>0.05506175582285944</v>
      </c>
      <c r="Q3320" s="26" t="n">
        <v>21.32481691234523</v>
      </c>
      <c r="R3320" s="24" t="n">
        <v>12954.04728036093</v>
      </c>
      <c r="S3320" s="24">
        <f>R3320*IF(A3320=4, 2.0, 3.0)</f>
        <v/>
      </c>
      <c r="T3320" s="22">
        <f>'Dashboard &amp; Optimisation'!$B$18*U3320</f>
        <v/>
      </c>
      <c r="U3320" s="27">
        <f>MIN(1, S3320/M3320)</f>
        <v/>
      </c>
      <c r="V3320" s="27">
        <f>N3320/(N3320+O3320)</f>
        <v/>
      </c>
      <c r="W3320" s="27">
        <f>U3320*V3320</f>
        <v/>
      </c>
      <c r="X3320" s="25">
        <f>T3320/N3320</f>
        <v/>
      </c>
      <c r="Y3320" s="28">
        <f>IF(W3320=MAXIFS(W$2:W$3601, A$2:A$3601, A3320, B$2:B$3601, B3320), "OPTIMAL", "")</f>
        <v/>
      </c>
    </row>
    <row r="3321" ht="20" customHeight="1">
      <c r="A3321" s="29" t="n">
        <v>-18</v>
      </c>
      <c r="B3321" s="29" t="n">
        <v>45</v>
      </c>
      <c r="C3321" s="30" t="n">
        <v>85</v>
      </c>
      <c r="D3321" s="30" t="n">
        <v>3</v>
      </c>
      <c r="E3321" s="6" t="n">
        <v>8</v>
      </c>
      <c r="F3321" s="30" t="n">
        <v>2</v>
      </c>
      <c r="G3321" s="6" t="inlineStr">
        <is>
          <t>Non</t>
        </is>
      </c>
      <c r="H3321" s="6" t="inlineStr">
        <is>
          <t>OFF</t>
        </is>
      </c>
      <c r="I3321" s="31" t="n">
        <v>885.2722778138215</v>
      </c>
      <c r="J3321" s="31" t="n">
        <v>10520.73059103506</v>
      </c>
      <c r="K3321" s="31" t="n">
        <v>5101.851851851852</v>
      </c>
      <c r="L3321" s="31" t="n">
        <v>150</v>
      </c>
      <c r="M3321" s="31">
        <f>I3321+J3321+K3321+L3321</f>
        <v/>
      </c>
      <c r="N3321" s="31">
        <f>M3321*'Dashboard &amp; Optimisation'!$B$18/('Dashboard &amp; Optimisation'!$B$16/3.6)</f>
        <v/>
      </c>
      <c r="O3321" s="31" t="n">
        <v>2924.250592360539</v>
      </c>
      <c r="P3321" s="32" t="n">
        <v>0.2587160644627574</v>
      </c>
      <c r="Q3321" s="33" t="n">
        <v>21.32481691234523</v>
      </c>
      <c r="R3321" s="31" t="n">
        <v>2756.970618543428</v>
      </c>
      <c r="S3321" s="31">
        <f>R3321*IF(A3321=4, 2.0, 3.0)</f>
        <v/>
      </c>
      <c r="T3321" s="30">
        <f>'Dashboard &amp; Optimisation'!$B$18*U3321</f>
        <v/>
      </c>
      <c r="U3321" s="34">
        <f>MIN(1, S3321/M3321)</f>
        <v/>
      </c>
      <c r="V3321" s="34">
        <f>N3321/(N3321+O3321)</f>
        <v/>
      </c>
      <c r="W3321" s="34">
        <f>U3321*V3321</f>
        <v/>
      </c>
      <c r="X3321" s="32">
        <f>T3321/N3321</f>
        <v/>
      </c>
      <c r="Y3321" s="35">
        <f>IF(W3321=MAXIFS(W$2:W$3601, A$2:A$3601, A3321, B$2:B$3601, B3321), "OPTIMAL", "")</f>
        <v/>
      </c>
    </row>
    <row r="3322" ht="20" customHeight="1">
      <c r="A3322" s="21" t="n">
        <v>-18</v>
      </c>
      <c r="B3322" s="21" t="n">
        <v>45</v>
      </c>
      <c r="C3322" s="22" t="n">
        <v>90</v>
      </c>
      <c r="D3322" s="22" t="n">
        <v>2</v>
      </c>
      <c r="E3322" s="23" t="n">
        <v>0</v>
      </c>
      <c r="F3322" s="22" t="n">
        <v>0</v>
      </c>
      <c r="G3322" s="23" t="inlineStr">
        <is>
          <t>Oui</t>
        </is>
      </c>
      <c r="H3322" s="23" t="inlineStr">
        <is>
          <t>ON</t>
        </is>
      </c>
      <c r="I3322" s="24" t="n">
        <v>885.2722778138215</v>
      </c>
      <c r="J3322" s="24" t="n">
        <v>10520.73059103506</v>
      </c>
      <c r="K3322" s="24" t="n">
        <v>5101.851851851852</v>
      </c>
      <c r="L3322" s="24" t="n">
        <v>150</v>
      </c>
      <c r="M3322" s="24">
        <f>I3322+J3322+K3322+L3322</f>
        <v/>
      </c>
      <c r="N3322" s="24">
        <f>M3322*'Dashboard &amp; Optimisation'!$B$18/('Dashboard &amp; Optimisation'!$B$16/3.6)</f>
        <v/>
      </c>
      <c r="O3322" s="24" t="n">
        <v>805.8600897937325</v>
      </c>
      <c r="P3322" s="25" t="n">
        <v>0.4898788424939614</v>
      </c>
      <c r="Q3322" s="26" t="n">
        <v>0.2</v>
      </c>
      <c r="R3322" s="24" t="n">
        <v>1101.906285071826</v>
      </c>
      <c r="S3322" s="24">
        <f>R3322*IF(A3322=4, 2.0, 3.0)</f>
        <v/>
      </c>
      <c r="T3322" s="22">
        <f>'Dashboard &amp; Optimisation'!$B$18*U3322</f>
        <v/>
      </c>
      <c r="U3322" s="27">
        <f>MIN(1, S3322/M3322)</f>
        <v/>
      </c>
      <c r="V3322" s="27">
        <f>N3322/(N3322+O3322)</f>
        <v/>
      </c>
      <c r="W3322" s="27">
        <f>U3322*V3322</f>
        <v/>
      </c>
      <c r="X3322" s="25">
        <f>T3322/N3322</f>
        <v/>
      </c>
      <c r="Y3322" s="28">
        <f>IF(W3322=MAXIFS(W$2:W$3601, A$2:A$3601, A3322, B$2:B$3601, B3322), "OPTIMAL", "")</f>
        <v/>
      </c>
    </row>
    <row r="3323" ht="20" customHeight="1">
      <c r="A3323" s="29" t="n">
        <v>-18</v>
      </c>
      <c r="B3323" s="29" t="n">
        <v>45</v>
      </c>
      <c r="C3323" s="30" t="n">
        <v>90</v>
      </c>
      <c r="D3323" s="30" t="n">
        <v>2</v>
      </c>
      <c r="E3323" s="6" t="n">
        <v>0</v>
      </c>
      <c r="F3323" s="30" t="n">
        <v>0</v>
      </c>
      <c r="G3323" s="6" t="inlineStr">
        <is>
          <t>Oui</t>
        </is>
      </c>
      <c r="H3323" s="6" t="inlineStr">
        <is>
          <t>OFF</t>
        </is>
      </c>
      <c r="I3323" s="31" t="n">
        <v>885.2722778138215</v>
      </c>
      <c r="J3323" s="31" t="n">
        <v>10520.73059103506</v>
      </c>
      <c r="K3323" s="31" t="n">
        <v>5101.851851851852</v>
      </c>
      <c r="L3323" s="31" t="n">
        <v>150</v>
      </c>
      <c r="M3323" s="31">
        <f>I3323+J3323+K3323+L3323</f>
        <v/>
      </c>
      <c r="N3323" s="31">
        <f>M3323*'Dashboard &amp; Optimisation'!$B$18/('Dashboard &amp; Optimisation'!$B$16/3.6)</f>
        <v/>
      </c>
      <c r="O3323" s="31" t="n">
        <v>805.8600897937325</v>
      </c>
      <c r="P3323" s="32" t="n">
        <v>0.8435564938092843</v>
      </c>
      <c r="Q3323" s="33" t="n">
        <v>0.2</v>
      </c>
      <c r="R3323" s="31" t="n">
        <v>639.9104024796334</v>
      </c>
      <c r="S3323" s="31">
        <f>R3323*IF(A3323=4, 2.0, 3.0)</f>
        <v/>
      </c>
      <c r="T3323" s="30">
        <f>'Dashboard &amp; Optimisation'!$B$18*U3323</f>
        <v/>
      </c>
      <c r="U3323" s="34">
        <f>MIN(1, S3323/M3323)</f>
        <v/>
      </c>
      <c r="V3323" s="34">
        <f>N3323/(N3323+O3323)</f>
        <v/>
      </c>
      <c r="W3323" s="34">
        <f>U3323*V3323</f>
        <v/>
      </c>
      <c r="X3323" s="32">
        <f>T3323/N3323</f>
        <v/>
      </c>
      <c r="Y3323" s="35">
        <f>IF(W3323=MAXIFS(W$2:W$3601, A$2:A$3601, A3323, B$2:B$3601, B3323), "OPTIMAL", "")</f>
        <v/>
      </c>
    </row>
    <row r="3324" ht="20" customHeight="1">
      <c r="A3324" s="21" t="n">
        <v>-18</v>
      </c>
      <c r="B3324" s="21" t="n">
        <v>45</v>
      </c>
      <c r="C3324" s="22" t="n">
        <v>90</v>
      </c>
      <c r="D3324" s="22" t="n">
        <v>2</v>
      </c>
      <c r="E3324" s="23" t="n">
        <v>0</v>
      </c>
      <c r="F3324" s="22" t="n">
        <v>0</v>
      </c>
      <c r="G3324" s="23" t="inlineStr">
        <is>
          <t>Non</t>
        </is>
      </c>
      <c r="H3324" s="23" t="inlineStr">
        <is>
          <t>ON</t>
        </is>
      </c>
      <c r="I3324" s="24" t="n">
        <v>885.2722778138215</v>
      </c>
      <c r="J3324" s="24" t="n">
        <v>10520.73059103506</v>
      </c>
      <c r="K3324" s="24" t="n">
        <v>5101.851851851852</v>
      </c>
      <c r="L3324" s="24" t="n">
        <v>150</v>
      </c>
      <c r="M3324" s="24">
        <f>I3324+J3324+K3324+L3324</f>
        <v/>
      </c>
      <c r="N3324" s="24">
        <f>M3324*'Dashboard &amp; Optimisation'!$B$18/('Dashboard &amp; Optimisation'!$B$16/3.6)</f>
        <v/>
      </c>
      <c r="O3324" s="24" t="n">
        <v>805.8600897937325</v>
      </c>
      <c r="P3324" s="25" t="n">
        <v>0.4863420659808082</v>
      </c>
      <c r="Q3324" s="26" t="n">
        <v>0.2</v>
      </c>
      <c r="R3324" s="24" t="n">
        <v>1109.919567371145</v>
      </c>
      <c r="S3324" s="24">
        <f>R3324*IF(A3324=4, 2.0, 3.0)</f>
        <v/>
      </c>
      <c r="T3324" s="22">
        <f>'Dashboard &amp; Optimisation'!$B$18*U3324</f>
        <v/>
      </c>
      <c r="U3324" s="27">
        <f>MIN(1, S3324/M3324)</f>
        <v/>
      </c>
      <c r="V3324" s="27">
        <f>N3324/(N3324+O3324)</f>
        <v/>
      </c>
      <c r="W3324" s="27">
        <f>U3324*V3324</f>
        <v/>
      </c>
      <c r="X3324" s="25">
        <f>T3324/N3324</f>
        <v/>
      </c>
      <c r="Y3324" s="28">
        <f>IF(W3324=MAXIFS(W$2:W$3601, A$2:A$3601, A3324, B$2:B$3601, B3324), "OPTIMAL", "")</f>
        <v/>
      </c>
    </row>
    <row r="3325" ht="20" customHeight="1">
      <c r="A3325" s="29" t="n">
        <v>-18</v>
      </c>
      <c r="B3325" s="29" t="n">
        <v>45</v>
      </c>
      <c r="C3325" s="30" t="n">
        <v>90</v>
      </c>
      <c r="D3325" s="30" t="n">
        <v>2</v>
      </c>
      <c r="E3325" s="6" t="n">
        <v>0</v>
      </c>
      <c r="F3325" s="30" t="n">
        <v>0</v>
      </c>
      <c r="G3325" s="6" t="inlineStr">
        <is>
          <t>Non</t>
        </is>
      </c>
      <c r="H3325" s="6" t="inlineStr">
        <is>
          <t>OFF</t>
        </is>
      </c>
      <c r="I3325" s="31" t="n">
        <v>885.2722778138215</v>
      </c>
      <c r="J3325" s="31" t="n">
        <v>10520.73059103506</v>
      </c>
      <c r="K3325" s="31" t="n">
        <v>5101.851851851852</v>
      </c>
      <c r="L3325" s="31" t="n">
        <v>150</v>
      </c>
      <c r="M3325" s="31">
        <f>I3325+J3325+K3325+L3325</f>
        <v/>
      </c>
      <c r="N3325" s="31">
        <f>M3325*'Dashboard &amp; Optimisation'!$B$18/('Dashboard &amp; Optimisation'!$B$16/3.6)</f>
        <v/>
      </c>
      <c r="O3325" s="31" t="n">
        <v>805.8600897937325</v>
      </c>
      <c r="P3325" s="32" t="n">
        <v>0.8400197172961312</v>
      </c>
      <c r="Q3325" s="33" t="n">
        <v>0.2</v>
      </c>
      <c r="R3325" s="31" t="n">
        <v>642.6046488591079</v>
      </c>
      <c r="S3325" s="31">
        <f>R3325*IF(A3325=4, 2.0, 3.0)</f>
        <v/>
      </c>
      <c r="T3325" s="30">
        <f>'Dashboard &amp; Optimisation'!$B$18*U3325</f>
        <v/>
      </c>
      <c r="U3325" s="34">
        <f>MIN(1, S3325/M3325)</f>
        <v/>
      </c>
      <c r="V3325" s="34">
        <f>N3325/(N3325+O3325)</f>
        <v/>
      </c>
      <c r="W3325" s="34">
        <f>U3325*V3325</f>
        <v/>
      </c>
      <c r="X3325" s="32">
        <f>T3325/N3325</f>
        <v/>
      </c>
      <c r="Y3325" s="35">
        <f>IF(W3325=MAXIFS(W$2:W$3601, A$2:A$3601, A3325, B$2:B$3601, B3325), "OPTIMAL", "")</f>
        <v/>
      </c>
    </row>
    <row r="3326" ht="20" customHeight="1">
      <c r="A3326" s="21" t="n">
        <v>-18</v>
      </c>
      <c r="B3326" s="21" t="n">
        <v>45</v>
      </c>
      <c r="C3326" s="22" t="n">
        <v>90</v>
      </c>
      <c r="D3326" s="22" t="n">
        <v>2</v>
      </c>
      <c r="E3326" s="23" t="n">
        <v>4</v>
      </c>
      <c r="F3326" s="22" t="n">
        <v>1.5</v>
      </c>
      <c r="G3326" s="23" t="inlineStr">
        <is>
          <t>Oui</t>
        </is>
      </c>
      <c r="H3326" s="23" t="inlineStr">
        <is>
          <t>ON</t>
        </is>
      </c>
      <c r="I3326" s="24" t="n">
        <v>885.2722778138215</v>
      </c>
      <c r="J3326" s="24" t="n">
        <v>10520.73059103506</v>
      </c>
      <c r="K3326" s="24" t="n">
        <v>5101.851851851852</v>
      </c>
      <c r="L3326" s="24" t="n">
        <v>150</v>
      </c>
      <c r="M3326" s="24">
        <f>I3326+J3326+K3326+L3326</f>
        <v/>
      </c>
      <c r="N3326" s="24">
        <f>M3326*'Dashboard &amp; Optimisation'!$B$18/('Dashboard &amp; Optimisation'!$B$16/3.6)</f>
        <v/>
      </c>
      <c r="O3326" s="24" t="n">
        <v>1283.455787228221</v>
      </c>
      <c r="P3326" s="25" t="n">
        <v>0.07759354469391215</v>
      </c>
      <c r="Q3326" s="26" t="n">
        <v>7.477008151491015</v>
      </c>
      <c r="R3326" s="24" t="n">
        <v>7213.068361675138</v>
      </c>
      <c r="S3326" s="24">
        <f>R3326*IF(A3326=4, 2.0, 3.0)</f>
        <v/>
      </c>
      <c r="T3326" s="22">
        <f>'Dashboard &amp; Optimisation'!$B$18*U3326</f>
        <v/>
      </c>
      <c r="U3326" s="27">
        <f>MIN(1, S3326/M3326)</f>
        <v/>
      </c>
      <c r="V3326" s="27">
        <f>N3326/(N3326+O3326)</f>
        <v/>
      </c>
      <c r="W3326" s="27">
        <f>U3326*V3326</f>
        <v/>
      </c>
      <c r="X3326" s="25">
        <f>T3326/N3326</f>
        <v/>
      </c>
      <c r="Y3326" s="28">
        <f>IF(W3326=MAXIFS(W$2:W$3601, A$2:A$3601, A3326, B$2:B$3601, B3326), "OPTIMAL", "")</f>
        <v/>
      </c>
    </row>
    <row r="3327" ht="20" customHeight="1">
      <c r="A3327" s="29" t="n">
        <v>-18</v>
      </c>
      <c r="B3327" s="29" t="n">
        <v>45</v>
      </c>
      <c r="C3327" s="30" t="n">
        <v>90</v>
      </c>
      <c r="D3327" s="30" t="n">
        <v>2</v>
      </c>
      <c r="E3327" s="6" t="n">
        <v>4</v>
      </c>
      <c r="F3327" s="30" t="n">
        <v>1.5</v>
      </c>
      <c r="G3327" s="6" t="inlineStr">
        <is>
          <t>Oui</t>
        </is>
      </c>
      <c r="H3327" s="6" t="inlineStr">
        <is>
          <t>OFF</t>
        </is>
      </c>
      <c r="I3327" s="31" t="n">
        <v>885.2722778138215</v>
      </c>
      <c r="J3327" s="31" t="n">
        <v>10520.73059103506</v>
      </c>
      <c r="K3327" s="31" t="n">
        <v>5101.851851851852</v>
      </c>
      <c r="L3327" s="31" t="n">
        <v>150</v>
      </c>
      <c r="M3327" s="31">
        <f>I3327+J3327+K3327+L3327</f>
        <v/>
      </c>
      <c r="N3327" s="31">
        <f>M3327*'Dashboard &amp; Optimisation'!$B$18/('Dashboard &amp; Optimisation'!$B$16/3.6)</f>
        <v/>
      </c>
      <c r="O3327" s="31" t="n">
        <v>1283.455787228221</v>
      </c>
      <c r="P3327" s="32" t="n">
        <v>0.3296507660240217</v>
      </c>
      <c r="Q3327" s="33" t="n">
        <v>7.477008151491015</v>
      </c>
      <c r="R3327" s="31" t="n">
        <v>1697.819632128806</v>
      </c>
      <c r="S3327" s="31">
        <f>R3327*IF(A3327=4, 2.0, 3.0)</f>
        <v/>
      </c>
      <c r="T3327" s="30">
        <f>'Dashboard &amp; Optimisation'!$B$18*U3327</f>
        <v/>
      </c>
      <c r="U3327" s="34">
        <f>MIN(1, S3327/M3327)</f>
        <v/>
      </c>
      <c r="V3327" s="34">
        <f>N3327/(N3327+O3327)</f>
        <v/>
      </c>
      <c r="W3327" s="34">
        <f>U3327*V3327</f>
        <v/>
      </c>
      <c r="X3327" s="32">
        <f>T3327/N3327</f>
        <v/>
      </c>
      <c r="Y3327" s="35">
        <f>IF(W3327=MAXIFS(W$2:W$3601, A$2:A$3601, A3327, B$2:B$3601, B3327), "OPTIMAL", "")</f>
        <v/>
      </c>
    </row>
    <row r="3328" ht="20" customHeight="1">
      <c r="A3328" s="21" t="n">
        <v>-18</v>
      </c>
      <c r="B3328" s="21" t="n">
        <v>45</v>
      </c>
      <c r="C3328" s="22" t="n">
        <v>90</v>
      </c>
      <c r="D3328" s="22" t="n">
        <v>2</v>
      </c>
      <c r="E3328" s="23" t="n">
        <v>4</v>
      </c>
      <c r="F3328" s="22" t="n">
        <v>1.5</v>
      </c>
      <c r="G3328" s="23" t="inlineStr">
        <is>
          <t>Non</t>
        </is>
      </c>
      <c r="H3328" s="23" t="inlineStr">
        <is>
          <t>ON</t>
        </is>
      </c>
      <c r="I3328" s="24" t="n">
        <v>885.2722778138215</v>
      </c>
      <c r="J3328" s="24" t="n">
        <v>10520.73059103506</v>
      </c>
      <c r="K3328" s="24" t="n">
        <v>5101.851851851852</v>
      </c>
      <c r="L3328" s="24" t="n">
        <v>150</v>
      </c>
      <c r="M3328" s="24">
        <f>I3328+J3328+K3328+L3328</f>
        <v/>
      </c>
      <c r="N3328" s="24">
        <f>M3328*'Dashboard &amp; Optimisation'!$B$18/('Dashboard &amp; Optimisation'!$B$16/3.6)</f>
        <v/>
      </c>
      <c r="O3328" s="24" t="n">
        <v>1283.455787228221</v>
      </c>
      <c r="P3328" s="25" t="n">
        <v>0.07405676818075892</v>
      </c>
      <c r="Q3328" s="26" t="n">
        <v>7.477008151491015</v>
      </c>
      <c r="R3328" s="24" t="n">
        <v>7557.547487567772</v>
      </c>
      <c r="S3328" s="24">
        <f>R3328*IF(A3328=4, 2.0, 3.0)</f>
        <v/>
      </c>
      <c r="T3328" s="22">
        <f>'Dashboard &amp; Optimisation'!$B$18*U3328</f>
        <v/>
      </c>
      <c r="U3328" s="27">
        <f>MIN(1, S3328/M3328)</f>
        <v/>
      </c>
      <c r="V3328" s="27">
        <f>N3328/(N3328+O3328)</f>
        <v/>
      </c>
      <c r="W3328" s="27">
        <f>U3328*V3328</f>
        <v/>
      </c>
      <c r="X3328" s="25">
        <f>T3328/N3328</f>
        <v/>
      </c>
      <c r="Y3328" s="28">
        <f>IF(W3328=MAXIFS(W$2:W$3601, A$2:A$3601, A3328, B$2:B$3601, B3328), "OPTIMAL", "")</f>
        <v/>
      </c>
    </row>
    <row r="3329" ht="20" customHeight="1">
      <c r="A3329" s="29" t="n">
        <v>-18</v>
      </c>
      <c r="B3329" s="29" t="n">
        <v>45</v>
      </c>
      <c r="C3329" s="30" t="n">
        <v>90</v>
      </c>
      <c r="D3329" s="30" t="n">
        <v>2</v>
      </c>
      <c r="E3329" s="6" t="n">
        <v>4</v>
      </c>
      <c r="F3329" s="30" t="n">
        <v>1.5</v>
      </c>
      <c r="G3329" s="6" t="inlineStr">
        <is>
          <t>Non</t>
        </is>
      </c>
      <c r="H3329" s="6" t="inlineStr">
        <is>
          <t>OFF</t>
        </is>
      </c>
      <c r="I3329" s="31" t="n">
        <v>885.2722778138215</v>
      </c>
      <c r="J3329" s="31" t="n">
        <v>10520.73059103506</v>
      </c>
      <c r="K3329" s="31" t="n">
        <v>5101.851851851852</v>
      </c>
      <c r="L3329" s="31" t="n">
        <v>150</v>
      </c>
      <c r="M3329" s="31">
        <f>I3329+J3329+K3329+L3329</f>
        <v/>
      </c>
      <c r="N3329" s="31">
        <f>M3329*'Dashboard &amp; Optimisation'!$B$18/('Dashboard &amp; Optimisation'!$B$16/3.6)</f>
        <v/>
      </c>
      <c r="O3329" s="31" t="n">
        <v>1283.455787228221</v>
      </c>
      <c r="P3329" s="32" t="n">
        <v>0.3261139895108685</v>
      </c>
      <c r="Q3329" s="33" t="n">
        <v>7.477008151491015</v>
      </c>
      <c r="R3329" s="31" t="n">
        <v>1716.232852020077</v>
      </c>
      <c r="S3329" s="31">
        <f>R3329*IF(A3329=4, 2.0, 3.0)</f>
        <v/>
      </c>
      <c r="T3329" s="30">
        <f>'Dashboard &amp; Optimisation'!$B$18*U3329</f>
        <v/>
      </c>
      <c r="U3329" s="34">
        <f>MIN(1, S3329/M3329)</f>
        <v/>
      </c>
      <c r="V3329" s="34">
        <f>N3329/(N3329+O3329)</f>
        <v/>
      </c>
      <c r="W3329" s="34">
        <f>U3329*V3329</f>
        <v/>
      </c>
      <c r="X3329" s="32">
        <f>T3329/N3329</f>
        <v/>
      </c>
      <c r="Y3329" s="35">
        <f>IF(W3329=MAXIFS(W$2:W$3601, A$2:A$3601, A3329, B$2:B$3601, B3329), "OPTIMAL", "")</f>
        <v/>
      </c>
    </row>
    <row r="3330" ht="20" customHeight="1">
      <c r="A3330" s="21" t="n">
        <v>-18</v>
      </c>
      <c r="B3330" s="21" t="n">
        <v>45</v>
      </c>
      <c r="C3330" s="22" t="n">
        <v>90</v>
      </c>
      <c r="D3330" s="22" t="n">
        <v>2</v>
      </c>
      <c r="E3330" s="23" t="n">
        <v>4</v>
      </c>
      <c r="F3330" s="22" t="n">
        <v>2</v>
      </c>
      <c r="G3330" s="23" t="inlineStr">
        <is>
          <t>Oui</t>
        </is>
      </c>
      <c r="H3330" s="23" t="inlineStr">
        <is>
          <t>ON</t>
        </is>
      </c>
      <c r="I3330" s="24" t="n">
        <v>885.2722778138215</v>
      </c>
      <c r="J3330" s="24" t="n">
        <v>10520.73059103506</v>
      </c>
      <c r="K3330" s="24" t="n">
        <v>5101.851851851852</v>
      </c>
      <c r="L3330" s="24" t="n">
        <v>150</v>
      </c>
      <c r="M3330" s="24">
        <f>I3330+J3330+K3330+L3330</f>
        <v/>
      </c>
      <c r="N3330" s="24">
        <f>M3330*'Dashboard &amp; Optimisation'!$B$18/('Dashboard &amp; Optimisation'!$B$16/3.6)</f>
        <v/>
      </c>
      <c r="O3330" s="24" t="n">
        <v>1450.571695669749</v>
      </c>
      <c r="P3330" s="25" t="n">
        <v>0.07521841927673642</v>
      </c>
      <c r="Q3330" s="26" t="n">
        <v>9.902677535321354</v>
      </c>
      <c r="R3330" s="24" t="n">
        <v>7533.343732639165</v>
      </c>
      <c r="S3330" s="24">
        <f>R3330*IF(A3330=4, 2.0, 3.0)</f>
        <v/>
      </c>
      <c r="T3330" s="22">
        <f>'Dashboard &amp; Optimisation'!$B$18*U3330</f>
        <v/>
      </c>
      <c r="U3330" s="27">
        <f>MIN(1, S3330/M3330)</f>
        <v/>
      </c>
      <c r="V3330" s="27">
        <f>N3330/(N3330+O3330)</f>
        <v/>
      </c>
      <c r="W3330" s="27">
        <f>U3330*V3330</f>
        <v/>
      </c>
      <c r="X3330" s="25">
        <f>T3330/N3330</f>
        <v/>
      </c>
      <c r="Y3330" s="28">
        <f>IF(W3330=MAXIFS(W$2:W$3601, A$2:A$3601, A3330, B$2:B$3601, B3330), "OPTIMAL", "")</f>
        <v/>
      </c>
    </row>
    <row r="3331" ht="20" customHeight="1">
      <c r="A3331" s="29" t="n">
        <v>-18</v>
      </c>
      <c r="B3331" s="29" t="n">
        <v>45</v>
      </c>
      <c r="C3331" s="30" t="n">
        <v>90</v>
      </c>
      <c r="D3331" s="30" t="n">
        <v>2</v>
      </c>
      <c r="E3331" s="6" t="n">
        <v>4</v>
      </c>
      <c r="F3331" s="30" t="n">
        <v>2</v>
      </c>
      <c r="G3331" s="6" t="inlineStr">
        <is>
          <t>Oui</t>
        </is>
      </c>
      <c r="H3331" s="6" t="inlineStr">
        <is>
          <t>OFF</t>
        </is>
      </c>
      <c r="I3331" s="31" t="n">
        <v>885.2722778138215</v>
      </c>
      <c r="J3331" s="31" t="n">
        <v>10520.73059103506</v>
      </c>
      <c r="K3331" s="31" t="n">
        <v>5101.851851851852</v>
      </c>
      <c r="L3331" s="31" t="n">
        <v>150</v>
      </c>
      <c r="M3331" s="31">
        <f>I3331+J3331+K3331+L3331</f>
        <v/>
      </c>
      <c r="N3331" s="31">
        <f>M3331*'Dashboard &amp; Optimisation'!$B$18/('Dashboard &amp; Optimisation'!$B$16/3.6)</f>
        <v/>
      </c>
      <c r="O3331" s="31" t="n">
        <v>1450.571695669749</v>
      </c>
      <c r="P3331" s="32" t="n">
        <v>0.328550491855213</v>
      </c>
      <c r="Q3331" s="33" t="n">
        <v>9.902677535321354</v>
      </c>
      <c r="R3331" s="31" t="n">
        <v>1724.685311648047</v>
      </c>
      <c r="S3331" s="31">
        <f>R3331*IF(A3331=4, 2.0, 3.0)</f>
        <v/>
      </c>
      <c r="T3331" s="30">
        <f>'Dashboard &amp; Optimisation'!$B$18*U3331</f>
        <v/>
      </c>
      <c r="U3331" s="34">
        <f>MIN(1, S3331/M3331)</f>
        <v/>
      </c>
      <c r="V3331" s="34">
        <f>N3331/(N3331+O3331)</f>
        <v/>
      </c>
      <c r="W3331" s="34">
        <f>U3331*V3331</f>
        <v/>
      </c>
      <c r="X3331" s="32">
        <f>T3331/N3331</f>
        <v/>
      </c>
      <c r="Y3331" s="35">
        <f>IF(W3331=MAXIFS(W$2:W$3601, A$2:A$3601, A3331, B$2:B$3601, B3331), "OPTIMAL", "")</f>
        <v/>
      </c>
    </row>
    <row r="3332" ht="20" customHeight="1">
      <c r="A3332" s="21" t="n">
        <v>-18</v>
      </c>
      <c r="B3332" s="21" t="n">
        <v>45</v>
      </c>
      <c r="C3332" s="22" t="n">
        <v>90</v>
      </c>
      <c r="D3332" s="22" t="n">
        <v>2</v>
      </c>
      <c r="E3332" s="23" t="n">
        <v>4</v>
      </c>
      <c r="F3332" s="22" t="n">
        <v>2</v>
      </c>
      <c r="G3332" s="23" t="inlineStr">
        <is>
          <t>Non</t>
        </is>
      </c>
      <c r="H3332" s="23" t="inlineStr">
        <is>
          <t>ON</t>
        </is>
      </c>
      <c r="I3332" s="24" t="n">
        <v>885.2722778138215</v>
      </c>
      <c r="J3332" s="24" t="n">
        <v>10520.73059103506</v>
      </c>
      <c r="K3332" s="24" t="n">
        <v>5101.851851851852</v>
      </c>
      <c r="L3332" s="24" t="n">
        <v>150</v>
      </c>
      <c r="M3332" s="24">
        <f>I3332+J3332+K3332+L3332</f>
        <v/>
      </c>
      <c r="N3332" s="24">
        <f>M3332*'Dashboard &amp; Optimisation'!$B$18/('Dashboard &amp; Optimisation'!$B$16/3.6)</f>
        <v/>
      </c>
      <c r="O3332" s="24" t="n">
        <v>1450.571695669749</v>
      </c>
      <c r="P3332" s="25" t="n">
        <v>0.07168164276358319</v>
      </c>
      <c r="Q3332" s="26" t="n">
        <v>9.902677535321354</v>
      </c>
      <c r="R3332" s="24" t="n">
        <v>7905.039360025711</v>
      </c>
      <c r="S3332" s="24">
        <f>R3332*IF(A3332=4, 2.0, 3.0)</f>
        <v/>
      </c>
      <c r="T3332" s="22">
        <f>'Dashboard &amp; Optimisation'!$B$18*U3332</f>
        <v/>
      </c>
      <c r="U3332" s="27">
        <f>MIN(1, S3332/M3332)</f>
        <v/>
      </c>
      <c r="V3332" s="27">
        <f>N3332/(N3332+O3332)</f>
        <v/>
      </c>
      <c r="W3332" s="27">
        <f>U3332*V3332</f>
        <v/>
      </c>
      <c r="X3332" s="25">
        <f>T3332/N3332</f>
        <v/>
      </c>
      <c r="Y3332" s="28">
        <f>IF(W3332=MAXIFS(W$2:W$3601, A$2:A$3601, A3332, B$2:B$3601, B3332), "OPTIMAL", "")</f>
        <v/>
      </c>
    </row>
    <row r="3333" ht="20" customHeight="1">
      <c r="A3333" s="29" t="n">
        <v>-18</v>
      </c>
      <c r="B3333" s="29" t="n">
        <v>45</v>
      </c>
      <c r="C3333" s="30" t="n">
        <v>90</v>
      </c>
      <c r="D3333" s="30" t="n">
        <v>2</v>
      </c>
      <c r="E3333" s="6" t="n">
        <v>4</v>
      </c>
      <c r="F3333" s="30" t="n">
        <v>2</v>
      </c>
      <c r="G3333" s="6" t="inlineStr">
        <is>
          <t>Non</t>
        </is>
      </c>
      <c r="H3333" s="6" t="inlineStr">
        <is>
          <t>OFF</t>
        </is>
      </c>
      <c r="I3333" s="31" t="n">
        <v>885.2722778138215</v>
      </c>
      <c r="J3333" s="31" t="n">
        <v>10520.73059103506</v>
      </c>
      <c r="K3333" s="31" t="n">
        <v>5101.851851851852</v>
      </c>
      <c r="L3333" s="31" t="n">
        <v>150</v>
      </c>
      <c r="M3333" s="31">
        <f>I3333+J3333+K3333+L3333</f>
        <v/>
      </c>
      <c r="N3333" s="31">
        <f>M3333*'Dashboard &amp; Optimisation'!$B$18/('Dashboard &amp; Optimisation'!$B$16/3.6)</f>
        <v/>
      </c>
      <c r="O3333" s="31" t="n">
        <v>1450.571695669749</v>
      </c>
      <c r="P3333" s="32" t="n">
        <v>0.3250137153420598</v>
      </c>
      <c r="Q3333" s="33" t="n">
        <v>9.902677535321354</v>
      </c>
      <c r="R3333" s="31" t="n">
        <v>1743.453216554452</v>
      </c>
      <c r="S3333" s="31">
        <f>R3333*IF(A3333=4, 2.0, 3.0)</f>
        <v/>
      </c>
      <c r="T3333" s="30">
        <f>'Dashboard &amp; Optimisation'!$B$18*U3333</f>
        <v/>
      </c>
      <c r="U3333" s="34">
        <f>MIN(1, S3333/M3333)</f>
        <v/>
      </c>
      <c r="V3333" s="34">
        <f>N3333/(N3333+O3333)</f>
        <v/>
      </c>
      <c r="W3333" s="34">
        <f>U3333*V3333</f>
        <v/>
      </c>
      <c r="X3333" s="32">
        <f>T3333/N3333</f>
        <v/>
      </c>
      <c r="Y3333" s="35">
        <f>IF(W3333=MAXIFS(W$2:W$3601, A$2:A$3601, A3333, B$2:B$3601, B3333), "OPTIMAL", "")</f>
        <v/>
      </c>
    </row>
    <row r="3334" ht="20" customHeight="1">
      <c r="A3334" s="21" t="n">
        <v>-18</v>
      </c>
      <c r="B3334" s="21" t="n">
        <v>45</v>
      </c>
      <c r="C3334" s="22" t="n">
        <v>90</v>
      </c>
      <c r="D3334" s="22" t="n">
        <v>2</v>
      </c>
      <c r="E3334" s="23" t="n">
        <v>8</v>
      </c>
      <c r="F3334" s="22" t="n">
        <v>1.5</v>
      </c>
      <c r="G3334" s="23" t="inlineStr">
        <is>
          <t>Oui</t>
        </is>
      </c>
      <c r="H3334" s="23" t="inlineStr">
        <is>
          <t>ON</t>
        </is>
      </c>
      <c r="I3334" s="24" t="n">
        <v>885.2722778138215</v>
      </c>
      <c r="J3334" s="24" t="n">
        <v>10520.73059103506</v>
      </c>
      <c r="K3334" s="24" t="n">
        <v>5101.851851851852</v>
      </c>
      <c r="L3334" s="24" t="n">
        <v>150</v>
      </c>
      <c r="M3334" s="24">
        <f>I3334+J3334+K3334+L3334</f>
        <v/>
      </c>
      <c r="N3334" s="24">
        <f>M3334*'Dashboard &amp; Optimisation'!$B$18/('Dashboard &amp; Optimisation'!$B$16/3.6)</f>
        <v/>
      </c>
      <c r="O3334" s="24" t="n">
        <v>1797.588053959045</v>
      </c>
      <c r="P3334" s="25" t="n">
        <v>0.05835644876127537</v>
      </c>
      <c r="Q3334" s="26" t="n">
        <v>14.75401630298203</v>
      </c>
      <c r="R3334" s="24" t="n">
        <v>9957.697824124642</v>
      </c>
      <c r="S3334" s="24">
        <f>R3334*IF(A3334=4, 2.0, 3.0)</f>
        <v/>
      </c>
      <c r="T3334" s="22">
        <f>'Dashboard &amp; Optimisation'!$B$18*U3334</f>
        <v/>
      </c>
      <c r="U3334" s="27">
        <f>MIN(1, S3334/M3334)</f>
        <v/>
      </c>
      <c r="V3334" s="27">
        <f>N3334/(N3334+O3334)</f>
        <v/>
      </c>
      <c r="W3334" s="27">
        <f>U3334*V3334</f>
        <v/>
      </c>
      <c r="X3334" s="25">
        <f>T3334/N3334</f>
        <v/>
      </c>
      <c r="Y3334" s="28">
        <f>IF(W3334=MAXIFS(W$2:W$3601, A$2:A$3601, A3334, B$2:B$3601, B3334), "OPTIMAL", "")</f>
        <v/>
      </c>
    </row>
    <row r="3335" ht="20" customHeight="1">
      <c r="A3335" s="29" t="n">
        <v>-18</v>
      </c>
      <c r="B3335" s="29" t="n">
        <v>45</v>
      </c>
      <c r="C3335" s="30" t="n">
        <v>90</v>
      </c>
      <c r="D3335" s="30" t="n">
        <v>2</v>
      </c>
      <c r="E3335" s="6" t="n">
        <v>8</v>
      </c>
      <c r="F3335" s="30" t="n">
        <v>1.5</v>
      </c>
      <c r="G3335" s="6" t="inlineStr">
        <is>
          <t>Oui</t>
        </is>
      </c>
      <c r="H3335" s="6" t="inlineStr">
        <is>
          <t>OFF</t>
        </is>
      </c>
      <c r="I3335" s="31" t="n">
        <v>885.2722778138215</v>
      </c>
      <c r="J3335" s="31" t="n">
        <v>10520.73059103506</v>
      </c>
      <c r="K3335" s="31" t="n">
        <v>5101.851851851852</v>
      </c>
      <c r="L3335" s="31" t="n">
        <v>150</v>
      </c>
      <c r="M3335" s="31">
        <f>I3335+J3335+K3335+L3335</f>
        <v/>
      </c>
      <c r="N3335" s="31">
        <f>M3335*'Dashboard &amp; Optimisation'!$B$18/('Dashboard &amp; Optimisation'!$B$16/3.6)</f>
        <v/>
      </c>
      <c r="O3335" s="31" t="n">
        <v>1797.588053959045</v>
      </c>
      <c r="P3335" s="32" t="n">
        <v>0.2541545323509655</v>
      </c>
      <c r="Q3335" s="33" t="n">
        <v>14.75401630298203</v>
      </c>
      <c r="R3335" s="31" t="n">
        <v>2286.388039113737</v>
      </c>
      <c r="S3335" s="31">
        <f>R3335*IF(A3335=4, 2.0, 3.0)</f>
        <v/>
      </c>
      <c r="T3335" s="30">
        <f>'Dashboard &amp; Optimisation'!$B$18*U3335</f>
        <v/>
      </c>
      <c r="U3335" s="34">
        <f>MIN(1, S3335/M3335)</f>
        <v/>
      </c>
      <c r="V3335" s="34">
        <f>N3335/(N3335+O3335)</f>
        <v/>
      </c>
      <c r="W3335" s="34">
        <f>U3335*V3335</f>
        <v/>
      </c>
      <c r="X3335" s="32">
        <f>T3335/N3335</f>
        <v/>
      </c>
      <c r="Y3335" s="35">
        <f>IF(W3335=MAXIFS(W$2:W$3601, A$2:A$3601, A3335, B$2:B$3601, B3335), "OPTIMAL", "")</f>
        <v/>
      </c>
    </row>
    <row r="3336" ht="20" customHeight="1">
      <c r="A3336" s="21" t="n">
        <v>-18</v>
      </c>
      <c r="B3336" s="21" t="n">
        <v>45</v>
      </c>
      <c r="C3336" s="22" t="n">
        <v>90</v>
      </c>
      <c r="D3336" s="22" t="n">
        <v>2</v>
      </c>
      <c r="E3336" s="23" t="n">
        <v>8</v>
      </c>
      <c r="F3336" s="22" t="n">
        <v>1.5</v>
      </c>
      <c r="G3336" s="23" t="inlineStr">
        <is>
          <t>Non</t>
        </is>
      </c>
      <c r="H3336" s="23" t="inlineStr">
        <is>
          <t>ON</t>
        </is>
      </c>
      <c r="I3336" s="24" t="n">
        <v>885.2722778138215</v>
      </c>
      <c r="J3336" s="24" t="n">
        <v>10520.73059103506</v>
      </c>
      <c r="K3336" s="24" t="n">
        <v>5101.851851851852</v>
      </c>
      <c r="L3336" s="24" t="n">
        <v>150</v>
      </c>
      <c r="M3336" s="24">
        <f>I3336+J3336+K3336+L3336</f>
        <v/>
      </c>
      <c r="N3336" s="24">
        <f>M3336*'Dashboard &amp; Optimisation'!$B$18/('Dashboard &amp; Optimisation'!$B$16/3.6)</f>
        <v/>
      </c>
      <c r="O3336" s="24" t="n">
        <v>1797.588053959045</v>
      </c>
      <c r="P3336" s="25" t="n">
        <v>0.05481967224812215</v>
      </c>
      <c r="Q3336" s="26" t="n">
        <v>14.75401630298203</v>
      </c>
      <c r="R3336" s="24" t="n">
        <v>10600.13420408033</v>
      </c>
      <c r="S3336" s="24">
        <f>R3336*IF(A3336=4, 2.0, 3.0)</f>
        <v/>
      </c>
      <c r="T3336" s="22">
        <f>'Dashboard &amp; Optimisation'!$B$18*U3336</f>
        <v/>
      </c>
      <c r="U3336" s="27">
        <f>MIN(1, S3336/M3336)</f>
        <v/>
      </c>
      <c r="V3336" s="27">
        <f>N3336/(N3336+O3336)</f>
        <v/>
      </c>
      <c r="W3336" s="27">
        <f>U3336*V3336</f>
        <v/>
      </c>
      <c r="X3336" s="25">
        <f>T3336/N3336</f>
        <v/>
      </c>
      <c r="Y3336" s="28">
        <f>IF(W3336=MAXIFS(W$2:W$3601, A$2:A$3601, A3336, B$2:B$3601, B3336), "OPTIMAL", "")</f>
        <v/>
      </c>
    </row>
    <row r="3337" ht="20" customHeight="1">
      <c r="A3337" s="29" t="n">
        <v>-18</v>
      </c>
      <c r="B3337" s="29" t="n">
        <v>45</v>
      </c>
      <c r="C3337" s="30" t="n">
        <v>90</v>
      </c>
      <c r="D3337" s="30" t="n">
        <v>2</v>
      </c>
      <c r="E3337" s="6" t="n">
        <v>8</v>
      </c>
      <c r="F3337" s="30" t="n">
        <v>1.5</v>
      </c>
      <c r="G3337" s="6" t="inlineStr">
        <is>
          <t>Non</t>
        </is>
      </c>
      <c r="H3337" s="6" t="inlineStr">
        <is>
          <t>OFF</t>
        </is>
      </c>
      <c r="I3337" s="31" t="n">
        <v>885.2722778138215</v>
      </c>
      <c r="J3337" s="31" t="n">
        <v>10520.73059103506</v>
      </c>
      <c r="K3337" s="31" t="n">
        <v>5101.851851851852</v>
      </c>
      <c r="L3337" s="31" t="n">
        <v>150</v>
      </c>
      <c r="M3337" s="31">
        <f>I3337+J3337+K3337+L3337</f>
        <v/>
      </c>
      <c r="N3337" s="31">
        <f>M3337*'Dashboard &amp; Optimisation'!$B$18/('Dashboard &amp; Optimisation'!$B$16/3.6)</f>
        <v/>
      </c>
      <c r="O3337" s="31" t="n">
        <v>1797.588053959045</v>
      </c>
      <c r="P3337" s="32" t="n">
        <v>0.2506177558378123</v>
      </c>
      <c r="Q3337" s="33" t="n">
        <v>14.75401630298203</v>
      </c>
      <c r="R3337" s="31" t="n">
        <v>2318.654083032529</v>
      </c>
      <c r="S3337" s="31">
        <f>R3337*IF(A3337=4, 2.0, 3.0)</f>
        <v/>
      </c>
      <c r="T3337" s="30">
        <f>'Dashboard &amp; Optimisation'!$B$18*U3337</f>
        <v/>
      </c>
      <c r="U3337" s="34">
        <f>MIN(1, S3337/M3337)</f>
        <v/>
      </c>
      <c r="V3337" s="34">
        <f>N3337/(N3337+O3337)</f>
        <v/>
      </c>
      <c r="W3337" s="34">
        <f>U3337*V3337</f>
        <v/>
      </c>
      <c r="X3337" s="32">
        <f>T3337/N3337</f>
        <v/>
      </c>
      <c r="Y3337" s="35">
        <f>IF(W3337=MAXIFS(W$2:W$3601, A$2:A$3601, A3337, B$2:B$3601, B3337), "OPTIMAL", "")</f>
        <v/>
      </c>
    </row>
    <row r="3338" ht="20" customHeight="1">
      <c r="A3338" s="21" t="n">
        <v>-18</v>
      </c>
      <c r="B3338" s="21" t="n">
        <v>45</v>
      </c>
      <c r="C3338" s="22" t="n">
        <v>90</v>
      </c>
      <c r="D3338" s="22" t="n">
        <v>2</v>
      </c>
      <c r="E3338" s="23" t="n">
        <v>8</v>
      </c>
      <c r="F3338" s="22" t="n">
        <v>2</v>
      </c>
      <c r="G3338" s="23" t="inlineStr">
        <is>
          <t>Oui</t>
        </is>
      </c>
      <c r="H3338" s="23" t="inlineStr">
        <is>
          <t>ON</t>
        </is>
      </c>
      <c r="I3338" s="24" t="n">
        <v>885.2722778138215</v>
      </c>
      <c r="J3338" s="24" t="n">
        <v>10520.73059103506</v>
      </c>
      <c r="K3338" s="24" t="n">
        <v>5101.851851851852</v>
      </c>
      <c r="L3338" s="24" t="n">
        <v>150</v>
      </c>
      <c r="M3338" s="24">
        <f>I3338+J3338+K3338+L3338</f>
        <v/>
      </c>
      <c r="N3338" s="24">
        <f>M3338*'Dashboard &amp; Optimisation'!$B$18/('Dashboard &amp; Optimisation'!$B$16/3.6)</f>
        <v/>
      </c>
      <c r="O3338" s="24" t="n">
        <v>2162.765604688639</v>
      </c>
      <c r="P3338" s="25" t="n">
        <v>0.05730401653259074</v>
      </c>
      <c r="Q3338" s="26" t="n">
        <v>19.60535507064271</v>
      </c>
      <c r="R3338" s="24" t="n">
        <v>10405.93350898647</v>
      </c>
      <c r="S3338" s="24">
        <f>R3338*IF(A3338=4, 2.0, 3.0)</f>
        <v/>
      </c>
      <c r="T3338" s="22">
        <f>'Dashboard &amp; Optimisation'!$B$18*U3338</f>
        <v/>
      </c>
      <c r="U3338" s="27">
        <f>MIN(1, S3338/M3338)</f>
        <v/>
      </c>
      <c r="V3338" s="27">
        <f>N3338/(N3338+O3338)</f>
        <v/>
      </c>
      <c r="W3338" s="27">
        <f>U3338*V3338</f>
        <v/>
      </c>
      <c r="X3338" s="25">
        <f>T3338/N3338</f>
        <v/>
      </c>
      <c r="Y3338" s="28">
        <f>IF(W3338=MAXIFS(W$2:W$3601, A$2:A$3601, A3338, B$2:B$3601, B3338), "OPTIMAL", "")</f>
        <v/>
      </c>
    </row>
    <row r="3339" ht="20" customHeight="1">
      <c r="A3339" s="29" t="n">
        <v>-18</v>
      </c>
      <c r="B3339" s="29" t="n">
        <v>45</v>
      </c>
      <c r="C3339" s="30" t="n">
        <v>90</v>
      </c>
      <c r="D3339" s="30" t="n">
        <v>2</v>
      </c>
      <c r="E3339" s="6" t="n">
        <v>8</v>
      </c>
      <c r="F3339" s="30" t="n">
        <v>2</v>
      </c>
      <c r="G3339" s="6" t="inlineStr">
        <is>
          <t>Oui</t>
        </is>
      </c>
      <c r="H3339" s="6" t="inlineStr">
        <is>
          <t>OFF</t>
        </is>
      </c>
      <c r="I3339" s="31" t="n">
        <v>885.2722778138215</v>
      </c>
      <c r="J3339" s="31" t="n">
        <v>10520.73059103506</v>
      </c>
      <c r="K3339" s="31" t="n">
        <v>5101.851851851852</v>
      </c>
      <c r="L3339" s="31" t="n">
        <v>150</v>
      </c>
      <c r="M3339" s="31">
        <f>I3339+J3339+K3339+L3339</f>
        <v/>
      </c>
      <c r="N3339" s="31">
        <f>M3339*'Dashboard &amp; Optimisation'!$B$18/('Dashboard &amp; Optimisation'!$B$16/3.6)</f>
        <v/>
      </c>
      <c r="O3339" s="31" t="n">
        <v>2162.765604688639</v>
      </c>
      <c r="P3339" s="32" t="n">
        <v>0.2546454449662799</v>
      </c>
      <c r="Q3339" s="33" t="n">
        <v>19.60535507064271</v>
      </c>
      <c r="R3339" s="31" t="n">
        <v>2341.694295434826</v>
      </c>
      <c r="S3339" s="31">
        <f>R3339*IF(A3339=4, 2.0, 3.0)</f>
        <v/>
      </c>
      <c r="T3339" s="30">
        <f>'Dashboard &amp; Optimisation'!$B$18*U3339</f>
        <v/>
      </c>
      <c r="U3339" s="34">
        <f>MIN(1, S3339/M3339)</f>
        <v/>
      </c>
      <c r="V3339" s="34">
        <f>N3339/(N3339+O3339)</f>
        <v/>
      </c>
      <c r="W3339" s="34">
        <f>U3339*V3339</f>
        <v/>
      </c>
      <c r="X3339" s="32">
        <f>T3339/N3339</f>
        <v/>
      </c>
      <c r="Y3339" s="35">
        <f>IF(W3339=MAXIFS(W$2:W$3601, A$2:A$3601, A3339, B$2:B$3601, B3339), "OPTIMAL", "")</f>
        <v/>
      </c>
    </row>
    <row r="3340" ht="20" customHeight="1">
      <c r="A3340" s="21" t="n">
        <v>-18</v>
      </c>
      <c r="B3340" s="21" t="n">
        <v>45</v>
      </c>
      <c r="C3340" s="22" t="n">
        <v>90</v>
      </c>
      <c r="D3340" s="22" t="n">
        <v>2</v>
      </c>
      <c r="E3340" s="23" t="n">
        <v>8</v>
      </c>
      <c r="F3340" s="22" t="n">
        <v>2</v>
      </c>
      <c r="G3340" s="23" t="inlineStr">
        <is>
          <t>Non</t>
        </is>
      </c>
      <c r="H3340" s="23" t="inlineStr">
        <is>
          <t>ON</t>
        </is>
      </c>
      <c r="I3340" s="24" t="n">
        <v>885.2722778138215</v>
      </c>
      <c r="J3340" s="24" t="n">
        <v>10520.73059103506</v>
      </c>
      <c r="K3340" s="24" t="n">
        <v>5101.851851851852</v>
      </c>
      <c r="L3340" s="24" t="n">
        <v>150</v>
      </c>
      <c r="M3340" s="24">
        <f>I3340+J3340+K3340+L3340</f>
        <v/>
      </c>
      <c r="N3340" s="24">
        <f>M3340*'Dashboard &amp; Optimisation'!$B$18/('Dashboard &amp; Optimisation'!$B$16/3.6)</f>
        <v/>
      </c>
      <c r="O3340" s="24" t="n">
        <v>2162.765604688639</v>
      </c>
      <c r="P3340" s="25" t="n">
        <v>0.05376724001943751</v>
      </c>
      <c r="Q3340" s="26" t="n">
        <v>19.60535507064271</v>
      </c>
      <c r="R3340" s="24" t="n">
        <v>11090.42951842851</v>
      </c>
      <c r="S3340" s="24">
        <f>R3340*IF(A3340=4, 2.0, 3.0)</f>
        <v/>
      </c>
      <c r="T3340" s="22">
        <f>'Dashboard &amp; Optimisation'!$B$18*U3340</f>
        <v/>
      </c>
      <c r="U3340" s="27">
        <f>MIN(1, S3340/M3340)</f>
        <v/>
      </c>
      <c r="V3340" s="27">
        <f>N3340/(N3340+O3340)</f>
        <v/>
      </c>
      <c r="W3340" s="27">
        <f>U3340*V3340</f>
        <v/>
      </c>
      <c r="X3340" s="25">
        <f>T3340/N3340</f>
        <v/>
      </c>
      <c r="Y3340" s="28">
        <f>IF(W3340=MAXIFS(W$2:W$3601, A$2:A$3601, A3340, B$2:B$3601, B3340), "OPTIMAL", "")</f>
        <v/>
      </c>
    </row>
    <row r="3341" ht="20" customHeight="1">
      <c r="A3341" s="29" t="n">
        <v>-18</v>
      </c>
      <c r="B3341" s="29" t="n">
        <v>45</v>
      </c>
      <c r="C3341" s="30" t="n">
        <v>90</v>
      </c>
      <c r="D3341" s="30" t="n">
        <v>2</v>
      </c>
      <c r="E3341" s="6" t="n">
        <v>8</v>
      </c>
      <c r="F3341" s="30" t="n">
        <v>2</v>
      </c>
      <c r="G3341" s="6" t="inlineStr">
        <is>
          <t>Non</t>
        </is>
      </c>
      <c r="H3341" s="6" t="inlineStr">
        <is>
          <t>OFF</t>
        </is>
      </c>
      <c r="I3341" s="31" t="n">
        <v>885.2722778138215</v>
      </c>
      <c r="J3341" s="31" t="n">
        <v>10520.73059103506</v>
      </c>
      <c r="K3341" s="31" t="n">
        <v>5101.851851851852</v>
      </c>
      <c r="L3341" s="31" t="n">
        <v>150</v>
      </c>
      <c r="M3341" s="31">
        <f>I3341+J3341+K3341+L3341</f>
        <v/>
      </c>
      <c r="N3341" s="31">
        <f>M3341*'Dashboard &amp; Optimisation'!$B$18/('Dashboard &amp; Optimisation'!$B$16/3.6)</f>
        <v/>
      </c>
      <c r="O3341" s="31" t="n">
        <v>2162.765604688639</v>
      </c>
      <c r="P3341" s="32" t="n">
        <v>0.2511086684531266</v>
      </c>
      <c r="Q3341" s="33" t="n">
        <v>19.60535507064271</v>
      </c>
      <c r="R3341" s="31" t="n">
        <v>2374.676228858701</v>
      </c>
      <c r="S3341" s="31">
        <f>R3341*IF(A3341=4, 2.0, 3.0)</f>
        <v/>
      </c>
      <c r="T3341" s="30">
        <f>'Dashboard &amp; Optimisation'!$B$18*U3341</f>
        <v/>
      </c>
      <c r="U3341" s="34">
        <f>MIN(1, S3341/M3341)</f>
        <v/>
      </c>
      <c r="V3341" s="34">
        <f>N3341/(N3341+O3341)</f>
        <v/>
      </c>
      <c r="W3341" s="34">
        <f>U3341*V3341</f>
        <v/>
      </c>
      <c r="X3341" s="32">
        <f>T3341/N3341</f>
        <v/>
      </c>
      <c r="Y3341" s="35">
        <f>IF(W3341=MAXIFS(W$2:W$3601, A$2:A$3601, A3341, B$2:B$3601, B3341), "OPTIMAL", "")</f>
        <v/>
      </c>
    </row>
    <row r="3342" ht="20" customHeight="1">
      <c r="A3342" s="21" t="n">
        <v>-18</v>
      </c>
      <c r="B3342" s="21" t="n">
        <v>45</v>
      </c>
      <c r="C3342" s="22" t="n">
        <v>90</v>
      </c>
      <c r="D3342" s="22" t="n">
        <v>3</v>
      </c>
      <c r="E3342" s="23" t="n">
        <v>0</v>
      </c>
      <c r="F3342" s="22" t="n">
        <v>0</v>
      </c>
      <c r="G3342" s="23" t="inlineStr">
        <is>
          <t>Oui</t>
        </is>
      </c>
      <c r="H3342" s="23" t="inlineStr">
        <is>
          <t>ON</t>
        </is>
      </c>
      <c r="I3342" s="24" t="n">
        <v>885.2722778138215</v>
      </c>
      <c r="J3342" s="24" t="n">
        <v>10520.73059103506</v>
      </c>
      <c r="K3342" s="24" t="n">
        <v>5101.851851851852</v>
      </c>
      <c r="L3342" s="24" t="n">
        <v>150</v>
      </c>
      <c r="M3342" s="24">
        <f>I3342+J3342+K3342+L3342</f>
        <v/>
      </c>
      <c r="N3342" s="24">
        <f>M3342*'Dashboard &amp; Optimisation'!$B$18/('Dashboard &amp; Optimisation'!$B$16/3.6)</f>
        <v/>
      </c>
      <c r="O3342" s="24" t="n">
        <v>1252.638679117281</v>
      </c>
      <c r="P3342" s="25" t="n">
        <v>0.4898971107621382</v>
      </c>
      <c r="Q3342" s="26" t="n">
        <v>0.2</v>
      </c>
      <c r="R3342" s="24" t="n">
        <v>1154.959606297908</v>
      </c>
      <c r="S3342" s="24">
        <f>R3342*IF(A3342=4, 2.0, 3.0)</f>
        <v/>
      </c>
      <c r="T3342" s="22">
        <f>'Dashboard &amp; Optimisation'!$B$18*U3342</f>
        <v/>
      </c>
      <c r="U3342" s="27">
        <f>MIN(1, S3342/M3342)</f>
        <v/>
      </c>
      <c r="V3342" s="27">
        <f>N3342/(N3342+O3342)</f>
        <v/>
      </c>
      <c r="W3342" s="27">
        <f>U3342*V3342</f>
        <v/>
      </c>
      <c r="X3342" s="25">
        <f>T3342/N3342</f>
        <v/>
      </c>
      <c r="Y3342" s="28">
        <f>IF(W3342=MAXIFS(W$2:W$3601, A$2:A$3601, A3342, B$2:B$3601, B3342), "OPTIMAL", "")</f>
        <v/>
      </c>
    </row>
    <row r="3343" ht="20" customHeight="1">
      <c r="A3343" s="29" t="n">
        <v>-18</v>
      </c>
      <c r="B3343" s="29" t="n">
        <v>45</v>
      </c>
      <c r="C3343" s="30" t="n">
        <v>90</v>
      </c>
      <c r="D3343" s="30" t="n">
        <v>3</v>
      </c>
      <c r="E3343" s="6" t="n">
        <v>0</v>
      </c>
      <c r="F3343" s="30" t="n">
        <v>0</v>
      </c>
      <c r="G3343" s="6" t="inlineStr">
        <is>
          <t>Oui</t>
        </is>
      </c>
      <c r="H3343" s="6" t="inlineStr">
        <is>
          <t>OFF</t>
        </is>
      </c>
      <c r="I3343" s="31" t="n">
        <v>885.2722778138215</v>
      </c>
      <c r="J3343" s="31" t="n">
        <v>10520.73059103506</v>
      </c>
      <c r="K3343" s="31" t="n">
        <v>5101.851851851852</v>
      </c>
      <c r="L3343" s="31" t="n">
        <v>150</v>
      </c>
      <c r="M3343" s="31">
        <f>I3343+J3343+K3343+L3343</f>
        <v/>
      </c>
      <c r="N3343" s="31">
        <f>M3343*'Dashboard &amp; Optimisation'!$B$18/('Dashboard &amp; Optimisation'!$B$16/3.6)</f>
        <v/>
      </c>
      <c r="O3343" s="31" t="n">
        <v>1252.638679117281</v>
      </c>
      <c r="P3343" s="32" t="n">
        <v>0.8435747620774612</v>
      </c>
      <c r="Q3343" s="33" t="n">
        <v>0.2</v>
      </c>
      <c r="R3343" s="31" t="n">
        <v>670.7305618993452</v>
      </c>
      <c r="S3343" s="31">
        <f>R3343*IF(A3343=4, 2.0, 3.0)</f>
        <v/>
      </c>
      <c r="T3343" s="30">
        <f>'Dashboard &amp; Optimisation'!$B$18*U3343</f>
        <v/>
      </c>
      <c r="U3343" s="34">
        <f>MIN(1, S3343/M3343)</f>
        <v/>
      </c>
      <c r="V3343" s="34">
        <f>N3343/(N3343+O3343)</f>
        <v/>
      </c>
      <c r="W3343" s="34">
        <f>U3343*V3343</f>
        <v/>
      </c>
      <c r="X3343" s="32">
        <f>T3343/N3343</f>
        <v/>
      </c>
      <c r="Y3343" s="35">
        <f>IF(W3343=MAXIFS(W$2:W$3601, A$2:A$3601, A3343, B$2:B$3601, B3343), "OPTIMAL", "")</f>
        <v/>
      </c>
    </row>
    <row r="3344" ht="20" customHeight="1">
      <c r="A3344" s="21" t="n">
        <v>-18</v>
      </c>
      <c r="B3344" s="21" t="n">
        <v>45</v>
      </c>
      <c r="C3344" s="22" t="n">
        <v>90</v>
      </c>
      <c r="D3344" s="22" t="n">
        <v>3</v>
      </c>
      <c r="E3344" s="23" t="n">
        <v>0</v>
      </c>
      <c r="F3344" s="22" t="n">
        <v>0</v>
      </c>
      <c r="G3344" s="23" t="inlineStr">
        <is>
          <t>Non</t>
        </is>
      </c>
      <c r="H3344" s="23" t="inlineStr">
        <is>
          <t>ON</t>
        </is>
      </c>
      <c r="I3344" s="24" t="n">
        <v>885.2722778138215</v>
      </c>
      <c r="J3344" s="24" t="n">
        <v>10520.73059103506</v>
      </c>
      <c r="K3344" s="24" t="n">
        <v>5101.851851851852</v>
      </c>
      <c r="L3344" s="24" t="n">
        <v>150</v>
      </c>
      <c r="M3344" s="24">
        <f>I3344+J3344+K3344+L3344</f>
        <v/>
      </c>
      <c r="N3344" s="24">
        <f>M3344*'Dashboard &amp; Optimisation'!$B$18/('Dashboard &amp; Optimisation'!$B$16/3.6)</f>
        <v/>
      </c>
      <c r="O3344" s="24" t="n">
        <v>1252.638679117281</v>
      </c>
      <c r="P3344" s="25" t="n">
        <v>0.486360334248985</v>
      </c>
      <c r="Q3344" s="26" t="n">
        <v>0.2</v>
      </c>
      <c r="R3344" s="24" t="n">
        <v>1163.358387451603</v>
      </c>
      <c r="S3344" s="24">
        <f>R3344*IF(A3344=4, 2.0, 3.0)</f>
        <v/>
      </c>
      <c r="T3344" s="22">
        <f>'Dashboard &amp; Optimisation'!$B$18*U3344</f>
        <v/>
      </c>
      <c r="U3344" s="27">
        <f>MIN(1, S3344/M3344)</f>
        <v/>
      </c>
      <c r="V3344" s="27">
        <f>N3344/(N3344+O3344)</f>
        <v/>
      </c>
      <c r="W3344" s="27">
        <f>U3344*V3344</f>
        <v/>
      </c>
      <c r="X3344" s="25">
        <f>T3344/N3344</f>
        <v/>
      </c>
      <c r="Y3344" s="28">
        <f>IF(W3344=MAXIFS(W$2:W$3601, A$2:A$3601, A3344, B$2:B$3601, B3344), "OPTIMAL", "")</f>
        <v/>
      </c>
    </row>
    <row r="3345" ht="20" customHeight="1">
      <c r="A3345" s="29" t="n">
        <v>-18</v>
      </c>
      <c r="B3345" s="29" t="n">
        <v>45</v>
      </c>
      <c r="C3345" s="30" t="n">
        <v>90</v>
      </c>
      <c r="D3345" s="30" t="n">
        <v>3</v>
      </c>
      <c r="E3345" s="6" t="n">
        <v>0</v>
      </c>
      <c r="F3345" s="30" t="n">
        <v>0</v>
      </c>
      <c r="G3345" s="6" t="inlineStr">
        <is>
          <t>Non</t>
        </is>
      </c>
      <c r="H3345" s="6" t="inlineStr">
        <is>
          <t>OFF</t>
        </is>
      </c>
      <c r="I3345" s="31" t="n">
        <v>885.2722778138215</v>
      </c>
      <c r="J3345" s="31" t="n">
        <v>10520.73059103506</v>
      </c>
      <c r="K3345" s="31" t="n">
        <v>5101.851851851852</v>
      </c>
      <c r="L3345" s="31" t="n">
        <v>150</v>
      </c>
      <c r="M3345" s="31">
        <f>I3345+J3345+K3345+L3345</f>
        <v/>
      </c>
      <c r="N3345" s="31">
        <f>M3345*'Dashboard &amp; Optimisation'!$B$18/('Dashboard &amp; Optimisation'!$B$16/3.6)</f>
        <v/>
      </c>
      <c r="O3345" s="31" t="n">
        <v>1252.638679117281</v>
      </c>
      <c r="P3345" s="32" t="n">
        <v>0.840037985564308</v>
      </c>
      <c r="Q3345" s="33" t="n">
        <v>0.2</v>
      </c>
      <c r="R3345" s="31" t="n">
        <v>673.5545105049384</v>
      </c>
      <c r="S3345" s="31">
        <f>R3345*IF(A3345=4, 2.0, 3.0)</f>
        <v/>
      </c>
      <c r="T3345" s="30">
        <f>'Dashboard &amp; Optimisation'!$B$18*U3345</f>
        <v/>
      </c>
      <c r="U3345" s="34">
        <f>MIN(1, S3345/M3345)</f>
        <v/>
      </c>
      <c r="V3345" s="34">
        <f>N3345/(N3345+O3345)</f>
        <v/>
      </c>
      <c r="W3345" s="34">
        <f>U3345*V3345</f>
        <v/>
      </c>
      <c r="X3345" s="32">
        <f>T3345/N3345</f>
        <v/>
      </c>
      <c r="Y3345" s="35">
        <f>IF(W3345=MAXIFS(W$2:W$3601, A$2:A$3601, A3345, B$2:B$3601, B3345), "OPTIMAL", "")</f>
        <v/>
      </c>
    </row>
    <row r="3346" ht="20" customHeight="1">
      <c r="A3346" s="21" t="n">
        <v>-18</v>
      </c>
      <c r="B3346" s="21" t="n">
        <v>45</v>
      </c>
      <c r="C3346" s="22" t="n">
        <v>90</v>
      </c>
      <c r="D3346" s="22" t="n">
        <v>3</v>
      </c>
      <c r="E3346" s="23" t="n">
        <v>4</v>
      </c>
      <c r="F3346" s="22" t="n">
        <v>1.5</v>
      </c>
      <c r="G3346" s="23" t="inlineStr">
        <is>
          <t>Oui</t>
        </is>
      </c>
      <c r="H3346" s="23" t="inlineStr">
        <is>
          <t>ON</t>
        </is>
      </c>
      <c r="I3346" s="24" t="n">
        <v>885.2722778138215</v>
      </c>
      <c r="J3346" s="24" t="n">
        <v>10520.73059103506</v>
      </c>
      <c r="K3346" s="24" t="n">
        <v>5101.851851851852</v>
      </c>
      <c r="L3346" s="24" t="n">
        <v>150</v>
      </c>
      <c r="M3346" s="24">
        <f>I3346+J3346+K3346+L3346</f>
        <v/>
      </c>
      <c r="N3346" s="24">
        <f>M3346*'Dashboard &amp; Optimisation'!$B$18/('Dashboard &amp; Optimisation'!$B$16/3.6)</f>
        <v/>
      </c>
      <c r="O3346" s="24" t="n">
        <v>1762.219802785547</v>
      </c>
      <c r="P3346" s="25" t="n">
        <v>0.07737077298591719</v>
      </c>
      <c r="Q3346" s="26" t="n">
        <v>7.65027025033604</v>
      </c>
      <c r="R3346" s="24" t="n">
        <v>7589.062929990801</v>
      </c>
      <c r="S3346" s="24">
        <f>R3346*IF(A3346=4, 2.0, 3.0)</f>
        <v/>
      </c>
      <c r="T3346" s="22">
        <f>'Dashboard &amp; Optimisation'!$B$18*U3346</f>
        <v/>
      </c>
      <c r="U3346" s="27">
        <f>MIN(1, S3346/M3346)</f>
        <v/>
      </c>
      <c r="V3346" s="27">
        <f>N3346/(N3346+O3346)</f>
        <v/>
      </c>
      <c r="W3346" s="27">
        <f>U3346*V3346</f>
        <v/>
      </c>
      <c r="X3346" s="25">
        <f>T3346/N3346</f>
        <v/>
      </c>
      <c r="Y3346" s="28">
        <f>IF(W3346=MAXIFS(W$2:W$3601, A$2:A$3601, A3346, B$2:B$3601, B3346), "OPTIMAL", "")</f>
        <v/>
      </c>
    </row>
    <row r="3347" ht="20" customHeight="1">
      <c r="A3347" s="29" t="n">
        <v>-18</v>
      </c>
      <c r="B3347" s="29" t="n">
        <v>45</v>
      </c>
      <c r="C3347" s="30" t="n">
        <v>90</v>
      </c>
      <c r="D3347" s="30" t="n">
        <v>3</v>
      </c>
      <c r="E3347" s="6" t="n">
        <v>4</v>
      </c>
      <c r="F3347" s="30" t="n">
        <v>1.5</v>
      </c>
      <c r="G3347" s="6" t="inlineStr">
        <is>
          <t>Oui</t>
        </is>
      </c>
      <c r="H3347" s="6" t="inlineStr">
        <is>
          <t>OFF</t>
        </is>
      </c>
      <c r="I3347" s="31" t="n">
        <v>885.2722778138215</v>
      </c>
      <c r="J3347" s="31" t="n">
        <v>10520.73059103506</v>
      </c>
      <c r="K3347" s="31" t="n">
        <v>5101.851851851852</v>
      </c>
      <c r="L3347" s="31" t="n">
        <v>150</v>
      </c>
      <c r="M3347" s="31">
        <f>I3347+J3347+K3347+L3347</f>
        <v/>
      </c>
      <c r="N3347" s="31">
        <f>M3347*'Dashboard &amp; Optimisation'!$B$18/('Dashboard &amp; Optimisation'!$B$16/3.6)</f>
        <v/>
      </c>
      <c r="O3347" s="31" t="n">
        <v>1762.219802785547</v>
      </c>
      <c r="P3347" s="32" t="n">
        <v>0.3294279943160268</v>
      </c>
      <c r="Q3347" s="33" t="n">
        <v>7.65027025033604</v>
      </c>
      <c r="R3347" s="31" t="n">
        <v>1782.397596024801</v>
      </c>
      <c r="S3347" s="31">
        <f>R3347*IF(A3347=4, 2.0, 3.0)</f>
        <v/>
      </c>
      <c r="T3347" s="30">
        <f>'Dashboard &amp; Optimisation'!$B$18*U3347</f>
        <v/>
      </c>
      <c r="U3347" s="34">
        <f>MIN(1, S3347/M3347)</f>
        <v/>
      </c>
      <c r="V3347" s="34">
        <f>N3347/(N3347+O3347)</f>
        <v/>
      </c>
      <c r="W3347" s="34">
        <f>U3347*V3347</f>
        <v/>
      </c>
      <c r="X3347" s="32">
        <f>T3347/N3347</f>
        <v/>
      </c>
      <c r="Y3347" s="35">
        <f>IF(W3347=MAXIFS(W$2:W$3601, A$2:A$3601, A3347, B$2:B$3601, B3347), "OPTIMAL", "")</f>
        <v/>
      </c>
    </row>
    <row r="3348" ht="20" customHeight="1">
      <c r="A3348" s="21" t="n">
        <v>-18</v>
      </c>
      <c r="B3348" s="21" t="n">
        <v>45</v>
      </c>
      <c r="C3348" s="22" t="n">
        <v>90</v>
      </c>
      <c r="D3348" s="22" t="n">
        <v>3</v>
      </c>
      <c r="E3348" s="23" t="n">
        <v>4</v>
      </c>
      <c r="F3348" s="22" t="n">
        <v>1.5</v>
      </c>
      <c r="G3348" s="23" t="inlineStr">
        <is>
          <t>Non</t>
        </is>
      </c>
      <c r="H3348" s="23" t="inlineStr">
        <is>
          <t>ON</t>
        </is>
      </c>
      <c r="I3348" s="24" t="n">
        <v>885.2722778138215</v>
      </c>
      <c r="J3348" s="24" t="n">
        <v>10520.73059103506</v>
      </c>
      <c r="K3348" s="24" t="n">
        <v>5101.851851851852</v>
      </c>
      <c r="L3348" s="24" t="n">
        <v>150</v>
      </c>
      <c r="M3348" s="24">
        <f>I3348+J3348+K3348+L3348</f>
        <v/>
      </c>
      <c r="N3348" s="24">
        <f>M3348*'Dashboard &amp; Optimisation'!$B$18/('Dashboard &amp; Optimisation'!$B$16/3.6)</f>
        <v/>
      </c>
      <c r="O3348" s="24" t="n">
        <v>1762.219802785547</v>
      </c>
      <c r="P3348" s="25" t="n">
        <v>0.07383399647276395</v>
      </c>
      <c r="Q3348" s="26" t="n">
        <v>7.65027025033604</v>
      </c>
      <c r="R3348" s="24" t="n">
        <v>7952.592209318576</v>
      </c>
      <c r="S3348" s="24">
        <f>R3348*IF(A3348=4, 2.0, 3.0)</f>
        <v/>
      </c>
      <c r="T3348" s="22">
        <f>'Dashboard &amp; Optimisation'!$B$18*U3348</f>
        <v/>
      </c>
      <c r="U3348" s="27">
        <f>MIN(1, S3348/M3348)</f>
        <v/>
      </c>
      <c r="V3348" s="27">
        <f>N3348/(N3348+O3348)</f>
        <v/>
      </c>
      <c r="W3348" s="27">
        <f>U3348*V3348</f>
        <v/>
      </c>
      <c r="X3348" s="25">
        <f>T3348/N3348</f>
        <v/>
      </c>
      <c r="Y3348" s="28">
        <f>IF(W3348=MAXIFS(W$2:W$3601, A$2:A$3601, A3348, B$2:B$3601, B3348), "OPTIMAL", "")</f>
        <v/>
      </c>
    </row>
    <row r="3349" ht="20" customHeight="1">
      <c r="A3349" s="29" t="n">
        <v>-18</v>
      </c>
      <c r="B3349" s="29" t="n">
        <v>45</v>
      </c>
      <c r="C3349" s="30" t="n">
        <v>90</v>
      </c>
      <c r="D3349" s="30" t="n">
        <v>3</v>
      </c>
      <c r="E3349" s="6" t="n">
        <v>4</v>
      </c>
      <c r="F3349" s="30" t="n">
        <v>1.5</v>
      </c>
      <c r="G3349" s="6" t="inlineStr">
        <is>
          <t>Non</t>
        </is>
      </c>
      <c r="H3349" s="6" t="inlineStr">
        <is>
          <t>OFF</t>
        </is>
      </c>
      <c r="I3349" s="31" t="n">
        <v>885.2722778138215</v>
      </c>
      <c r="J3349" s="31" t="n">
        <v>10520.73059103506</v>
      </c>
      <c r="K3349" s="31" t="n">
        <v>5101.851851851852</v>
      </c>
      <c r="L3349" s="31" t="n">
        <v>150</v>
      </c>
      <c r="M3349" s="31">
        <f>I3349+J3349+K3349+L3349</f>
        <v/>
      </c>
      <c r="N3349" s="31">
        <f>M3349*'Dashboard &amp; Optimisation'!$B$18/('Dashboard &amp; Optimisation'!$B$16/3.6)</f>
        <v/>
      </c>
      <c r="O3349" s="31" t="n">
        <v>1762.219802785547</v>
      </c>
      <c r="P3349" s="32" t="n">
        <v>0.3258912178028736</v>
      </c>
      <c r="Q3349" s="33" t="n">
        <v>7.65027025033604</v>
      </c>
      <c r="R3349" s="31" t="n">
        <v>1801.74129603986</v>
      </c>
      <c r="S3349" s="31">
        <f>R3349*IF(A3349=4, 2.0, 3.0)</f>
        <v/>
      </c>
      <c r="T3349" s="30">
        <f>'Dashboard &amp; Optimisation'!$B$18*U3349</f>
        <v/>
      </c>
      <c r="U3349" s="34">
        <f>MIN(1, S3349/M3349)</f>
        <v/>
      </c>
      <c r="V3349" s="34">
        <f>N3349/(N3349+O3349)</f>
        <v/>
      </c>
      <c r="W3349" s="34">
        <f>U3349*V3349</f>
        <v/>
      </c>
      <c r="X3349" s="32">
        <f>T3349/N3349</f>
        <v/>
      </c>
      <c r="Y3349" s="35">
        <f>IF(W3349=MAXIFS(W$2:W$3601, A$2:A$3601, A3349, B$2:B$3601, B3349), "OPTIMAL", "")</f>
        <v/>
      </c>
    </row>
    <row r="3350" ht="20" customHeight="1">
      <c r="A3350" s="21" t="n">
        <v>-18</v>
      </c>
      <c r="B3350" s="21" t="n">
        <v>45</v>
      </c>
      <c r="C3350" s="22" t="n">
        <v>90</v>
      </c>
      <c r="D3350" s="22" t="n">
        <v>3</v>
      </c>
      <c r="E3350" s="23" t="n">
        <v>4</v>
      </c>
      <c r="F3350" s="22" t="n">
        <v>2</v>
      </c>
      <c r="G3350" s="23" t="inlineStr">
        <is>
          <t>Oui</t>
        </is>
      </c>
      <c r="H3350" s="23" t="inlineStr">
        <is>
          <t>ON</t>
        </is>
      </c>
      <c r="I3350" s="24" t="n">
        <v>885.2722778138215</v>
      </c>
      <c r="J3350" s="24" t="n">
        <v>10520.73059103506</v>
      </c>
      <c r="K3350" s="24" t="n">
        <v>5101.851851851852</v>
      </c>
      <c r="L3350" s="24" t="n">
        <v>150</v>
      </c>
      <c r="M3350" s="24">
        <f>I3350+J3350+K3350+L3350</f>
        <v/>
      </c>
      <c r="N3350" s="24">
        <f>M3350*'Dashboard &amp; Optimisation'!$B$18/('Dashboard &amp; Optimisation'!$B$16/3.6)</f>
        <v/>
      </c>
      <c r="O3350" s="24" t="n">
        <v>1940.73914439846</v>
      </c>
      <c r="P3350" s="25" t="n">
        <v>0.07505349321204312</v>
      </c>
      <c r="Q3350" s="26" t="n">
        <v>10.13369366711472</v>
      </c>
      <c r="R3350" s="24" t="n">
        <v>7923.07856214588</v>
      </c>
      <c r="S3350" s="24">
        <f>R3350*IF(A3350=4, 2.0, 3.0)</f>
        <v/>
      </c>
      <c r="T3350" s="22">
        <f>'Dashboard &amp; Optimisation'!$B$18*U3350</f>
        <v/>
      </c>
      <c r="U3350" s="27">
        <f>MIN(1, S3350/M3350)</f>
        <v/>
      </c>
      <c r="V3350" s="27">
        <f>N3350/(N3350+O3350)</f>
        <v/>
      </c>
      <c r="W3350" s="27">
        <f>U3350*V3350</f>
        <v/>
      </c>
      <c r="X3350" s="25">
        <f>T3350/N3350</f>
        <v/>
      </c>
      <c r="Y3350" s="28">
        <f>IF(W3350=MAXIFS(W$2:W$3601, A$2:A$3601, A3350, B$2:B$3601, B3350), "OPTIMAL", "")</f>
        <v/>
      </c>
    </row>
    <row r="3351" ht="20" customHeight="1">
      <c r="A3351" s="29" t="n">
        <v>-18</v>
      </c>
      <c r="B3351" s="29" t="n">
        <v>45</v>
      </c>
      <c r="C3351" s="30" t="n">
        <v>90</v>
      </c>
      <c r="D3351" s="30" t="n">
        <v>3</v>
      </c>
      <c r="E3351" s="6" t="n">
        <v>4</v>
      </c>
      <c r="F3351" s="30" t="n">
        <v>2</v>
      </c>
      <c r="G3351" s="6" t="inlineStr">
        <is>
          <t>Oui</t>
        </is>
      </c>
      <c r="H3351" s="6" t="inlineStr">
        <is>
          <t>OFF</t>
        </is>
      </c>
      <c r="I3351" s="31" t="n">
        <v>885.2722778138215</v>
      </c>
      <c r="J3351" s="31" t="n">
        <v>10520.73059103506</v>
      </c>
      <c r="K3351" s="31" t="n">
        <v>5101.851851851852</v>
      </c>
      <c r="L3351" s="31" t="n">
        <v>150</v>
      </c>
      <c r="M3351" s="31">
        <f>I3351+J3351+K3351+L3351</f>
        <v/>
      </c>
      <c r="N3351" s="31">
        <f>M3351*'Dashboard &amp; Optimisation'!$B$18/('Dashboard &amp; Optimisation'!$B$16/3.6)</f>
        <v/>
      </c>
      <c r="O3351" s="31" t="n">
        <v>1940.73914439846</v>
      </c>
      <c r="P3351" s="32" t="n">
        <v>0.3283855657905198</v>
      </c>
      <c r="Q3351" s="33" t="n">
        <v>10.13369366711472</v>
      </c>
      <c r="R3351" s="31" t="n">
        <v>1810.843060811741</v>
      </c>
      <c r="S3351" s="31">
        <f>R3351*IF(A3351=4, 2.0, 3.0)</f>
        <v/>
      </c>
      <c r="T3351" s="30">
        <f>'Dashboard &amp; Optimisation'!$B$18*U3351</f>
        <v/>
      </c>
      <c r="U3351" s="34">
        <f>MIN(1, S3351/M3351)</f>
        <v/>
      </c>
      <c r="V3351" s="34">
        <f>N3351/(N3351+O3351)</f>
        <v/>
      </c>
      <c r="W3351" s="34">
        <f>U3351*V3351</f>
        <v/>
      </c>
      <c r="X3351" s="32">
        <f>T3351/N3351</f>
        <v/>
      </c>
      <c r="Y3351" s="35">
        <f>IF(W3351=MAXIFS(W$2:W$3601, A$2:A$3601, A3351, B$2:B$3601, B3351), "OPTIMAL", "")</f>
        <v/>
      </c>
    </row>
    <row r="3352" ht="20" customHeight="1">
      <c r="A3352" s="21" t="n">
        <v>-18</v>
      </c>
      <c r="B3352" s="21" t="n">
        <v>45</v>
      </c>
      <c r="C3352" s="22" t="n">
        <v>90</v>
      </c>
      <c r="D3352" s="22" t="n">
        <v>3</v>
      </c>
      <c r="E3352" s="23" t="n">
        <v>4</v>
      </c>
      <c r="F3352" s="22" t="n">
        <v>2</v>
      </c>
      <c r="G3352" s="23" t="inlineStr">
        <is>
          <t>Non</t>
        </is>
      </c>
      <c r="H3352" s="23" t="inlineStr">
        <is>
          <t>ON</t>
        </is>
      </c>
      <c r="I3352" s="24" t="n">
        <v>885.2722778138215</v>
      </c>
      <c r="J3352" s="24" t="n">
        <v>10520.73059103506</v>
      </c>
      <c r="K3352" s="24" t="n">
        <v>5101.851851851852</v>
      </c>
      <c r="L3352" s="24" t="n">
        <v>150</v>
      </c>
      <c r="M3352" s="24">
        <f>I3352+J3352+K3352+L3352</f>
        <v/>
      </c>
      <c r="N3352" s="24">
        <f>M3352*'Dashboard &amp; Optimisation'!$B$18/('Dashboard &amp; Optimisation'!$B$16/3.6)</f>
        <v/>
      </c>
      <c r="O3352" s="24" t="n">
        <v>1940.73914439846</v>
      </c>
      <c r="P3352" s="25" t="n">
        <v>0.07151671669888988</v>
      </c>
      <c r="Q3352" s="26" t="n">
        <v>10.13369366711472</v>
      </c>
      <c r="R3352" s="24" t="n">
        <v>8314.905249162965</v>
      </c>
      <c r="S3352" s="24">
        <f>R3352*IF(A3352=4, 2.0, 3.0)</f>
        <v/>
      </c>
      <c r="T3352" s="22">
        <f>'Dashboard &amp; Optimisation'!$B$18*U3352</f>
        <v/>
      </c>
      <c r="U3352" s="27">
        <f>MIN(1, S3352/M3352)</f>
        <v/>
      </c>
      <c r="V3352" s="27">
        <f>N3352/(N3352+O3352)</f>
        <v/>
      </c>
      <c r="W3352" s="27">
        <f>U3352*V3352</f>
        <v/>
      </c>
      <c r="X3352" s="25">
        <f>T3352/N3352</f>
        <v/>
      </c>
      <c r="Y3352" s="28">
        <f>IF(W3352=MAXIFS(W$2:W$3601, A$2:A$3601, A3352, B$2:B$3601, B3352), "OPTIMAL", "")</f>
        <v/>
      </c>
    </row>
    <row r="3353" ht="20" customHeight="1">
      <c r="A3353" s="29" t="n">
        <v>-18</v>
      </c>
      <c r="B3353" s="29" t="n">
        <v>45</v>
      </c>
      <c r="C3353" s="30" t="n">
        <v>90</v>
      </c>
      <c r="D3353" s="30" t="n">
        <v>3</v>
      </c>
      <c r="E3353" s="6" t="n">
        <v>4</v>
      </c>
      <c r="F3353" s="30" t="n">
        <v>2</v>
      </c>
      <c r="G3353" s="6" t="inlineStr">
        <is>
          <t>Non</t>
        </is>
      </c>
      <c r="H3353" s="6" t="inlineStr">
        <is>
          <t>OFF</t>
        </is>
      </c>
      <c r="I3353" s="31" t="n">
        <v>885.2722778138215</v>
      </c>
      <c r="J3353" s="31" t="n">
        <v>10520.73059103506</v>
      </c>
      <c r="K3353" s="31" t="n">
        <v>5101.851851851852</v>
      </c>
      <c r="L3353" s="31" t="n">
        <v>150</v>
      </c>
      <c r="M3353" s="31">
        <f>I3353+J3353+K3353+L3353</f>
        <v/>
      </c>
      <c r="N3353" s="31">
        <f>M3353*'Dashboard &amp; Optimisation'!$B$18/('Dashboard &amp; Optimisation'!$B$16/3.6)</f>
        <v/>
      </c>
      <c r="O3353" s="31" t="n">
        <v>1940.73914439846</v>
      </c>
      <c r="P3353" s="32" t="n">
        <v>0.3248487892773665</v>
      </c>
      <c r="Q3353" s="33" t="n">
        <v>10.13369366711472</v>
      </c>
      <c r="R3353" s="31" t="n">
        <v>1830.558532803287</v>
      </c>
      <c r="S3353" s="31">
        <f>R3353*IF(A3353=4, 2.0, 3.0)</f>
        <v/>
      </c>
      <c r="T3353" s="30">
        <f>'Dashboard &amp; Optimisation'!$B$18*U3353</f>
        <v/>
      </c>
      <c r="U3353" s="34">
        <f>MIN(1, S3353/M3353)</f>
        <v/>
      </c>
      <c r="V3353" s="34">
        <f>N3353/(N3353+O3353)</f>
        <v/>
      </c>
      <c r="W3353" s="34">
        <f>U3353*V3353</f>
        <v/>
      </c>
      <c r="X3353" s="32">
        <f>T3353/N3353</f>
        <v/>
      </c>
      <c r="Y3353" s="35">
        <f>IF(W3353=MAXIFS(W$2:W$3601, A$2:A$3601, A3353, B$2:B$3601, B3353), "OPTIMAL", "")</f>
        <v/>
      </c>
    </row>
    <row r="3354" ht="20" customHeight="1">
      <c r="A3354" s="21" t="n">
        <v>-18</v>
      </c>
      <c r="B3354" s="21" t="n">
        <v>45</v>
      </c>
      <c r="C3354" s="22" t="n">
        <v>90</v>
      </c>
      <c r="D3354" s="22" t="n">
        <v>3</v>
      </c>
      <c r="E3354" s="23" t="n">
        <v>8</v>
      </c>
      <c r="F3354" s="22" t="n">
        <v>1.5</v>
      </c>
      <c r="G3354" s="23" t="inlineStr">
        <is>
          <t>Oui</t>
        </is>
      </c>
      <c r="H3354" s="23" t="inlineStr">
        <is>
          <t>ON</t>
        </is>
      </c>
      <c r="I3354" s="24" t="n">
        <v>885.2722778138215</v>
      </c>
      <c r="J3354" s="24" t="n">
        <v>10520.73059103506</v>
      </c>
      <c r="K3354" s="24" t="n">
        <v>5101.851851851852</v>
      </c>
      <c r="L3354" s="24" t="n">
        <v>150</v>
      </c>
      <c r="M3354" s="24">
        <f>I3354+J3354+K3354+L3354</f>
        <v/>
      </c>
      <c r="N3354" s="24">
        <f>M3354*'Dashboard &amp; Optimisation'!$B$18/('Dashboard &amp; Optimisation'!$B$16/3.6)</f>
        <v/>
      </c>
      <c r="O3354" s="24" t="n">
        <v>2311.785422416129</v>
      </c>
      <c r="P3354" s="25" t="n">
        <v>0.05825094544482953</v>
      </c>
      <c r="Q3354" s="26" t="n">
        <v>15.10054050067208</v>
      </c>
      <c r="R3354" s="24" t="n">
        <v>10475.50379817301</v>
      </c>
      <c r="S3354" s="24">
        <f>R3354*IF(A3354=4, 2.0, 3.0)</f>
        <v/>
      </c>
      <c r="T3354" s="22">
        <f>'Dashboard &amp; Optimisation'!$B$18*U3354</f>
        <v/>
      </c>
      <c r="U3354" s="27">
        <f>MIN(1, S3354/M3354)</f>
        <v/>
      </c>
      <c r="V3354" s="27">
        <f>N3354/(N3354+O3354)</f>
        <v/>
      </c>
      <c r="W3354" s="27">
        <f>U3354*V3354</f>
        <v/>
      </c>
      <c r="X3354" s="25">
        <f>T3354/N3354</f>
        <v/>
      </c>
      <c r="Y3354" s="28">
        <f>IF(W3354=MAXIFS(W$2:W$3601, A$2:A$3601, A3354, B$2:B$3601, B3354), "OPTIMAL", "")</f>
        <v/>
      </c>
    </row>
    <row r="3355" ht="20" customHeight="1">
      <c r="A3355" s="29" t="n">
        <v>-18</v>
      </c>
      <c r="B3355" s="29" t="n">
        <v>45</v>
      </c>
      <c r="C3355" s="30" t="n">
        <v>90</v>
      </c>
      <c r="D3355" s="30" t="n">
        <v>3</v>
      </c>
      <c r="E3355" s="6" t="n">
        <v>8</v>
      </c>
      <c r="F3355" s="30" t="n">
        <v>1.5</v>
      </c>
      <c r="G3355" s="6" t="inlineStr">
        <is>
          <t>Oui</t>
        </is>
      </c>
      <c r="H3355" s="6" t="inlineStr">
        <is>
          <t>OFF</t>
        </is>
      </c>
      <c r="I3355" s="31" t="n">
        <v>885.2722778138215</v>
      </c>
      <c r="J3355" s="31" t="n">
        <v>10520.73059103506</v>
      </c>
      <c r="K3355" s="31" t="n">
        <v>5101.851851851852</v>
      </c>
      <c r="L3355" s="31" t="n">
        <v>150</v>
      </c>
      <c r="M3355" s="31">
        <f>I3355+J3355+K3355+L3355</f>
        <v/>
      </c>
      <c r="N3355" s="31">
        <f>M3355*'Dashboard &amp; Optimisation'!$B$18/('Dashboard &amp; Optimisation'!$B$16/3.6)</f>
        <v/>
      </c>
      <c r="O3355" s="31" t="n">
        <v>2311.785422416129</v>
      </c>
      <c r="P3355" s="32" t="n">
        <v>0.2540490290345196</v>
      </c>
      <c r="Q3355" s="33" t="n">
        <v>15.10054050067208</v>
      </c>
      <c r="R3355" s="31" t="n">
        <v>2401.930062765823</v>
      </c>
      <c r="S3355" s="31">
        <f>R3355*IF(A3355=4, 2.0, 3.0)</f>
        <v/>
      </c>
      <c r="T3355" s="30">
        <f>'Dashboard &amp; Optimisation'!$B$18*U3355</f>
        <v/>
      </c>
      <c r="U3355" s="34">
        <f>MIN(1, S3355/M3355)</f>
        <v/>
      </c>
      <c r="V3355" s="34">
        <f>N3355/(N3355+O3355)</f>
        <v/>
      </c>
      <c r="W3355" s="34">
        <f>U3355*V3355</f>
        <v/>
      </c>
      <c r="X3355" s="32">
        <f>T3355/N3355</f>
        <v/>
      </c>
      <c r="Y3355" s="35">
        <f>IF(W3355=MAXIFS(W$2:W$3601, A$2:A$3601, A3355, B$2:B$3601, B3355), "OPTIMAL", "")</f>
        <v/>
      </c>
    </row>
    <row r="3356" ht="20" customHeight="1">
      <c r="A3356" s="21" t="n">
        <v>-18</v>
      </c>
      <c r="B3356" s="21" t="n">
        <v>45</v>
      </c>
      <c r="C3356" s="22" t="n">
        <v>90</v>
      </c>
      <c r="D3356" s="22" t="n">
        <v>3</v>
      </c>
      <c r="E3356" s="23" t="n">
        <v>8</v>
      </c>
      <c r="F3356" s="22" t="n">
        <v>1.5</v>
      </c>
      <c r="G3356" s="23" t="inlineStr">
        <is>
          <t>Non</t>
        </is>
      </c>
      <c r="H3356" s="23" t="inlineStr">
        <is>
          <t>ON</t>
        </is>
      </c>
      <c r="I3356" s="24" t="n">
        <v>885.2722778138215</v>
      </c>
      <c r="J3356" s="24" t="n">
        <v>10520.73059103506</v>
      </c>
      <c r="K3356" s="24" t="n">
        <v>5101.851851851852</v>
      </c>
      <c r="L3356" s="24" t="n">
        <v>150</v>
      </c>
      <c r="M3356" s="24">
        <f>I3356+J3356+K3356+L3356</f>
        <v/>
      </c>
      <c r="N3356" s="24">
        <f>M3356*'Dashboard &amp; Optimisation'!$B$18/('Dashboard &amp; Optimisation'!$B$16/3.6)</f>
        <v/>
      </c>
      <c r="O3356" s="24" t="n">
        <v>2311.785422416129</v>
      </c>
      <c r="P3356" s="25" t="n">
        <v>0.0547141689316763</v>
      </c>
      <c r="Q3356" s="26" t="n">
        <v>15.10054050067208</v>
      </c>
      <c r="R3356" s="24" t="n">
        <v>11152.65044081124</v>
      </c>
      <c r="S3356" s="24">
        <f>R3356*IF(A3356=4, 2.0, 3.0)</f>
        <v/>
      </c>
      <c r="T3356" s="22">
        <f>'Dashboard &amp; Optimisation'!$B$18*U3356</f>
        <v/>
      </c>
      <c r="U3356" s="27">
        <f>MIN(1, S3356/M3356)</f>
        <v/>
      </c>
      <c r="V3356" s="27">
        <f>N3356/(N3356+O3356)</f>
        <v/>
      </c>
      <c r="W3356" s="27">
        <f>U3356*V3356</f>
        <v/>
      </c>
      <c r="X3356" s="25">
        <f>T3356/N3356</f>
        <v/>
      </c>
      <c r="Y3356" s="28">
        <f>IF(W3356=MAXIFS(W$2:W$3601, A$2:A$3601, A3356, B$2:B$3601, B3356), "OPTIMAL", "")</f>
        <v/>
      </c>
    </row>
    <row r="3357" ht="20" customHeight="1">
      <c r="A3357" s="29" t="n">
        <v>-18</v>
      </c>
      <c r="B3357" s="29" t="n">
        <v>45</v>
      </c>
      <c r="C3357" s="30" t="n">
        <v>90</v>
      </c>
      <c r="D3357" s="30" t="n">
        <v>3</v>
      </c>
      <c r="E3357" s="6" t="n">
        <v>8</v>
      </c>
      <c r="F3357" s="30" t="n">
        <v>1.5</v>
      </c>
      <c r="G3357" s="6" t="inlineStr">
        <is>
          <t>Non</t>
        </is>
      </c>
      <c r="H3357" s="6" t="inlineStr">
        <is>
          <t>OFF</t>
        </is>
      </c>
      <c r="I3357" s="31" t="n">
        <v>885.2722778138215</v>
      </c>
      <c r="J3357" s="31" t="n">
        <v>10520.73059103506</v>
      </c>
      <c r="K3357" s="31" t="n">
        <v>5101.851851851852</v>
      </c>
      <c r="L3357" s="31" t="n">
        <v>150</v>
      </c>
      <c r="M3357" s="31">
        <f>I3357+J3357+K3357+L3357</f>
        <v/>
      </c>
      <c r="N3357" s="31">
        <f>M3357*'Dashboard &amp; Optimisation'!$B$18/('Dashboard &amp; Optimisation'!$B$16/3.6)</f>
        <v/>
      </c>
      <c r="O3357" s="31" t="n">
        <v>2311.785422416129</v>
      </c>
      <c r="P3357" s="32" t="n">
        <v>0.2505122525213664</v>
      </c>
      <c r="Q3357" s="33" t="n">
        <v>15.10054050067208</v>
      </c>
      <c r="R3357" s="31" t="n">
        <v>2435.840938368613</v>
      </c>
      <c r="S3357" s="31">
        <f>R3357*IF(A3357=4, 2.0, 3.0)</f>
        <v/>
      </c>
      <c r="T3357" s="30">
        <f>'Dashboard &amp; Optimisation'!$B$18*U3357</f>
        <v/>
      </c>
      <c r="U3357" s="34">
        <f>MIN(1, S3357/M3357)</f>
        <v/>
      </c>
      <c r="V3357" s="34">
        <f>N3357/(N3357+O3357)</f>
        <v/>
      </c>
      <c r="W3357" s="34">
        <f>U3357*V3357</f>
        <v/>
      </c>
      <c r="X3357" s="32">
        <f>T3357/N3357</f>
        <v/>
      </c>
      <c r="Y3357" s="35">
        <f>IF(W3357=MAXIFS(W$2:W$3601, A$2:A$3601, A3357, B$2:B$3601, B3357), "OPTIMAL", "")</f>
        <v/>
      </c>
    </row>
    <row r="3358" ht="20" customHeight="1">
      <c r="A3358" s="21" t="n">
        <v>-18</v>
      </c>
      <c r="B3358" s="21" t="n">
        <v>45</v>
      </c>
      <c r="C3358" s="22" t="n">
        <v>90</v>
      </c>
      <c r="D3358" s="22" t="n">
        <v>3</v>
      </c>
      <c r="E3358" s="23" t="n">
        <v>8</v>
      </c>
      <c r="F3358" s="22" t="n">
        <v>2</v>
      </c>
      <c r="G3358" s="23" t="inlineStr">
        <is>
          <t>Oui</t>
        </is>
      </c>
      <c r="H3358" s="23" t="inlineStr">
        <is>
          <t>ON</t>
        </is>
      </c>
      <c r="I3358" s="24" t="n">
        <v>885.2722778138215</v>
      </c>
      <c r="J3358" s="24" t="n">
        <v>10520.73059103506</v>
      </c>
      <c r="K3358" s="24" t="n">
        <v>5101.851851851852</v>
      </c>
      <c r="L3358" s="24" t="n">
        <v>150</v>
      </c>
      <c r="M3358" s="24">
        <f>I3358+J3358+K3358+L3358</f>
        <v/>
      </c>
      <c r="N3358" s="24">
        <f>M3358*'Dashboard &amp; Optimisation'!$B$18/('Dashboard &amp; Optimisation'!$B$16/3.6)</f>
        <v/>
      </c>
      <c r="O3358" s="24" t="n">
        <v>2702.762528258158</v>
      </c>
      <c r="P3358" s="25" t="n">
        <v>0.05722883101616391</v>
      </c>
      <c r="Q3358" s="26" t="n">
        <v>20.06738733422944</v>
      </c>
      <c r="R3358" s="24" t="n">
        <v>10948.96949337368</v>
      </c>
      <c r="S3358" s="24">
        <f>R3358*IF(A3358=4, 2.0, 3.0)</f>
        <v/>
      </c>
      <c r="T3358" s="22">
        <f>'Dashboard &amp; Optimisation'!$B$18*U3358</f>
        <v/>
      </c>
      <c r="U3358" s="27">
        <f>MIN(1, S3358/M3358)</f>
        <v/>
      </c>
      <c r="V3358" s="27">
        <f>N3358/(N3358+O3358)</f>
        <v/>
      </c>
      <c r="W3358" s="27">
        <f>U3358*V3358</f>
        <v/>
      </c>
      <c r="X3358" s="25">
        <f>T3358/N3358</f>
        <v/>
      </c>
      <c r="Y3358" s="28">
        <f>IF(W3358=MAXIFS(W$2:W$3601, A$2:A$3601, A3358, B$2:B$3601, B3358), "OPTIMAL", "")</f>
        <v/>
      </c>
    </row>
    <row r="3359" ht="20" customHeight="1">
      <c r="A3359" s="29" t="n">
        <v>-18</v>
      </c>
      <c r="B3359" s="29" t="n">
        <v>45</v>
      </c>
      <c r="C3359" s="30" t="n">
        <v>90</v>
      </c>
      <c r="D3359" s="30" t="n">
        <v>3</v>
      </c>
      <c r="E3359" s="6" t="n">
        <v>8</v>
      </c>
      <c r="F3359" s="30" t="n">
        <v>2</v>
      </c>
      <c r="G3359" s="6" t="inlineStr">
        <is>
          <t>Oui</t>
        </is>
      </c>
      <c r="H3359" s="6" t="inlineStr">
        <is>
          <t>OFF</t>
        </is>
      </c>
      <c r="I3359" s="31" t="n">
        <v>885.2722778138215</v>
      </c>
      <c r="J3359" s="31" t="n">
        <v>10520.73059103506</v>
      </c>
      <c r="K3359" s="31" t="n">
        <v>5101.851851851852</v>
      </c>
      <c r="L3359" s="31" t="n">
        <v>150</v>
      </c>
      <c r="M3359" s="31">
        <f>I3359+J3359+K3359+L3359</f>
        <v/>
      </c>
      <c r="N3359" s="31">
        <f>M3359*'Dashboard &amp; Optimisation'!$B$18/('Dashboard &amp; Optimisation'!$B$16/3.6)</f>
        <v/>
      </c>
      <c r="O3359" s="31" t="n">
        <v>2702.762528258158</v>
      </c>
      <c r="P3359" s="32" t="n">
        <v>0.2545702594498531</v>
      </c>
      <c r="Q3359" s="33" t="n">
        <v>20.06738733422944</v>
      </c>
      <c r="R3359" s="31" t="n">
        <v>2461.390133676818</v>
      </c>
      <c r="S3359" s="31">
        <f>R3359*IF(A3359=4, 2.0, 3.0)</f>
        <v/>
      </c>
      <c r="T3359" s="30">
        <f>'Dashboard &amp; Optimisation'!$B$18*U3359</f>
        <v/>
      </c>
      <c r="U3359" s="34">
        <f>MIN(1, S3359/M3359)</f>
        <v/>
      </c>
      <c r="V3359" s="34">
        <f>N3359/(N3359+O3359)</f>
        <v/>
      </c>
      <c r="W3359" s="34">
        <f>U3359*V3359</f>
        <v/>
      </c>
      <c r="X3359" s="32">
        <f>T3359/N3359</f>
        <v/>
      </c>
      <c r="Y3359" s="35">
        <f>IF(W3359=MAXIFS(W$2:W$3601, A$2:A$3601, A3359, B$2:B$3601, B3359), "OPTIMAL", "")</f>
        <v/>
      </c>
    </row>
    <row r="3360" ht="20" customHeight="1">
      <c r="A3360" s="21" t="n">
        <v>-18</v>
      </c>
      <c r="B3360" s="21" t="n">
        <v>45</v>
      </c>
      <c r="C3360" s="22" t="n">
        <v>90</v>
      </c>
      <c r="D3360" s="22" t="n">
        <v>3</v>
      </c>
      <c r="E3360" s="23" t="n">
        <v>8</v>
      </c>
      <c r="F3360" s="22" t="n">
        <v>2</v>
      </c>
      <c r="G3360" s="23" t="inlineStr">
        <is>
          <t>Non</t>
        </is>
      </c>
      <c r="H3360" s="23" t="inlineStr">
        <is>
          <t>ON</t>
        </is>
      </c>
      <c r="I3360" s="24" t="n">
        <v>885.2722778138215</v>
      </c>
      <c r="J3360" s="24" t="n">
        <v>10520.73059103506</v>
      </c>
      <c r="K3360" s="24" t="n">
        <v>5101.851851851852</v>
      </c>
      <c r="L3360" s="24" t="n">
        <v>150</v>
      </c>
      <c r="M3360" s="24">
        <f>I3360+J3360+K3360+L3360</f>
        <v/>
      </c>
      <c r="N3360" s="24">
        <f>M3360*'Dashboard &amp; Optimisation'!$B$18/('Dashboard &amp; Optimisation'!$B$16/3.6)</f>
        <v/>
      </c>
      <c r="O3360" s="24" t="n">
        <v>2702.762528258158</v>
      </c>
      <c r="P3360" s="25" t="n">
        <v>0.05369205450301068</v>
      </c>
      <c r="Q3360" s="26" t="n">
        <v>20.06738733422944</v>
      </c>
      <c r="R3360" s="24" t="n">
        <v>11670.19460770086</v>
      </c>
      <c r="S3360" s="24">
        <f>R3360*IF(A3360=4, 2.0, 3.0)</f>
        <v/>
      </c>
      <c r="T3360" s="22">
        <f>'Dashboard &amp; Optimisation'!$B$18*U3360</f>
        <v/>
      </c>
      <c r="U3360" s="27">
        <f>MIN(1, S3360/M3360)</f>
        <v/>
      </c>
      <c r="V3360" s="27">
        <f>N3360/(N3360+O3360)</f>
        <v/>
      </c>
      <c r="W3360" s="27">
        <f>U3360*V3360</f>
        <v/>
      </c>
      <c r="X3360" s="25">
        <f>T3360/N3360</f>
        <v/>
      </c>
      <c r="Y3360" s="28">
        <f>IF(W3360=MAXIFS(W$2:W$3601, A$2:A$3601, A3360, B$2:B$3601, B3360), "OPTIMAL", "")</f>
        <v/>
      </c>
    </row>
    <row r="3361" ht="20" customHeight="1">
      <c r="A3361" s="29" t="n">
        <v>-18</v>
      </c>
      <c r="B3361" s="29" t="n">
        <v>45</v>
      </c>
      <c r="C3361" s="30" t="n">
        <v>90</v>
      </c>
      <c r="D3361" s="30" t="n">
        <v>3</v>
      </c>
      <c r="E3361" s="6" t="n">
        <v>8</v>
      </c>
      <c r="F3361" s="30" t="n">
        <v>2</v>
      </c>
      <c r="G3361" s="6" t="inlineStr">
        <is>
          <t>Non</t>
        </is>
      </c>
      <c r="H3361" s="6" t="inlineStr">
        <is>
          <t>OFF</t>
        </is>
      </c>
      <c r="I3361" s="31" t="n">
        <v>885.2722778138215</v>
      </c>
      <c r="J3361" s="31" t="n">
        <v>10520.73059103506</v>
      </c>
      <c r="K3361" s="31" t="n">
        <v>5101.851851851852</v>
      </c>
      <c r="L3361" s="31" t="n">
        <v>150</v>
      </c>
      <c r="M3361" s="31">
        <f>I3361+J3361+K3361+L3361</f>
        <v/>
      </c>
      <c r="N3361" s="31">
        <f>M3361*'Dashboard &amp; Optimisation'!$B$18/('Dashboard &amp; Optimisation'!$B$16/3.6)</f>
        <v/>
      </c>
      <c r="O3361" s="31" t="n">
        <v>2702.762528258158</v>
      </c>
      <c r="P3361" s="32" t="n">
        <v>0.2510334829366998</v>
      </c>
      <c r="Q3361" s="33" t="n">
        <v>20.06738733422944</v>
      </c>
      <c r="R3361" s="31" t="n">
        <v>2496.068323664289</v>
      </c>
      <c r="S3361" s="31">
        <f>R3361*IF(A3361=4, 2.0, 3.0)</f>
        <v/>
      </c>
      <c r="T3361" s="30">
        <f>'Dashboard &amp; Optimisation'!$B$18*U3361</f>
        <v/>
      </c>
      <c r="U3361" s="34">
        <f>MIN(1, S3361/M3361)</f>
        <v/>
      </c>
      <c r="V3361" s="34">
        <f>N3361/(N3361+O3361)</f>
        <v/>
      </c>
      <c r="W3361" s="34">
        <f>U3361*V3361</f>
        <v/>
      </c>
      <c r="X3361" s="32">
        <f>T3361/N3361</f>
        <v/>
      </c>
      <c r="Y3361" s="35">
        <f>IF(W3361=MAXIFS(W$2:W$3601, A$2:A$3601, A3361, B$2:B$3601, B3361), "OPTIMAL", "")</f>
        <v/>
      </c>
    </row>
    <row r="3362" ht="20" customHeight="1">
      <c r="A3362" s="21" t="n">
        <v>-18</v>
      </c>
      <c r="B3362" s="21" t="n">
        <v>45</v>
      </c>
      <c r="C3362" s="22" t="n">
        <v>95</v>
      </c>
      <c r="D3362" s="22" t="n">
        <v>2</v>
      </c>
      <c r="E3362" s="23" t="n">
        <v>0</v>
      </c>
      <c r="F3362" s="22" t="n">
        <v>0</v>
      </c>
      <c r="G3362" s="23" t="inlineStr">
        <is>
          <t>Oui</t>
        </is>
      </c>
      <c r="H3362" s="23" t="inlineStr">
        <is>
          <t>ON</t>
        </is>
      </c>
      <c r="I3362" s="24" t="n">
        <v>885.2722778138215</v>
      </c>
      <c r="J3362" s="24" t="n">
        <v>10520.73059103506</v>
      </c>
      <c r="K3362" s="24" t="n">
        <v>5101.851851851852</v>
      </c>
      <c r="L3362" s="24" t="n">
        <v>150</v>
      </c>
      <c r="M3362" s="24">
        <f>I3362+J3362+K3362+L3362</f>
        <v/>
      </c>
      <c r="N3362" s="24">
        <f>M3362*'Dashboard &amp; Optimisation'!$B$18/('Dashboard &amp; Optimisation'!$B$16/3.6)</f>
        <v/>
      </c>
      <c r="O3362" s="24" t="n">
        <v>760.6310363299374</v>
      </c>
      <c r="P3362" s="25" t="n">
        <v>0.4850371448496216</v>
      </c>
      <c r="Q3362" s="26" t="n">
        <v>0.2</v>
      </c>
      <c r="R3362" s="24" t="n">
        <v>993.9681359864759</v>
      </c>
      <c r="S3362" s="24">
        <f>R3362*IF(A3362=4, 2.0, 3.0)</f>
        <v/>
      </c>
      <c r="T3362" s="22">
        <f>'Dashboard &amp; Optimisation'!$B$18*U3362</f>
        <v/>
      </c>
      <c r="U3362" s="27">
        <f>MIN(1, S3362/M3362)</f>
        <v/>
      </c>
      <c r="V3362" s="27">
        <f>N3362/(N3362+O3362)</f>
        <v/>
      </c>
      <c r="W3362" s="27">
        <f>U3362*V3362</f>
        <v/>
      </c>
      <c r="X3362" s="25">
        <f>T3362/N3362</f>
        <v/>
      </c>
      <c r="Y3362" s="28">
        <f>IF(W3362=MAXIFS(W$2:W$3601, A$2:A$3601, A3362, B$2:B$3601, B3362), "OPTIMAL", "")</f>
        <v/>
      </c>
    </row>
    <row r="3363" ht="20" customHeight="1">
      <c r="A3363" s="29" t="n">
        <v>-18</v>
      </c>
      <c r="B3363" s="29" t="n">
        <v>45</v>
      </c>
      <c r="C3363" s="30" t="n">
        <v>95</v>
      </c>
      <c r="D3363" s="30" t="n">
        <v>2</v>
      </c>
      <c r="E3363" s="6" t="n">
        <v>0</v>
      </c>
      <c r="F3363" s="30" t="n">
        <v>0</v>
      </c>
      <c r="G3363" s="6" t="inlineStr">
        <is>
          <t>Oui</t>
        </is>
      </c>
      <c r="H3363" s="6" t="inlineStr">
        <is>
          <t>OFF</t>
        </is>
      </c>
      <c r="I3363" s="31" t="n">
        <v>885.2722778138215</v>
      </c>
      <c r="J3363" s="31" t="n">
        <v>10520.73059103506</v>
      </c>
      <c r="K3363" s="31" t="n">
        <v>5101.851851851852</v>
      </c>
      <c r="L3363" s="31" t="n">
        <v>150</v>
      </c>
      <c r="M3363" s="31">
        <f>I3363+J3363+K3363+L3363</f>
        <v/>
      </c>
      <c r="N3363" s="31">
        <f>M3363*'Dashboard &amp; Optimisation'!$B$18/('Dashboard &amp; Optimisation'!$B$16/3.6)</f>
        <v/>
      </c>
      <c r="O3363" s="31" t="n">
        <v>760.6310363299374</v>
      </c>
      <c r="P3363" s="32" t="n">
        <v>0.8201001829378223</v>
      </c>
      <c r="Q3363" s="33" t="n">
        <v>0.2</v>
      </c>
      <c r="R3363" s="31" t="n">
        <v>587.8689906193241</v>
      </c>
      <c r="S3363" s="31">
        <f>R3363*IF(A3363=4, 2.0, 3.0)</f>
        <v/>
      </c>
      <c r="T3363" s="30">
        <f>'Dashboard &amp; Optimisation'!$B$18*U3363</f>
        <v/>
      </c>
      <c r="U3363" s="34">
        <f>MIN(1, S3363/M3363)</f>
        <v/>
      </c>
      <c r="V3363" s="34">
        <f>N3363/(N3363+O3363)</f>
        <v/>
      </c>
      <c r="W3363" s="34">
        <f>U3363*V3363</f>
        <v/>
      </c>
      <c r="X3363" s="32">
        <f>T3363/N3363</f>
        <v/>
      </c>
      <c r="Y3363" s="35">
        <f>IF(W3363=MAXIFS(W$2:W$3601, A$2:A$3601, A3363, B$2:B$3601, B3363), "OPTIMAL", "")</f>
        <v/>
      </c>
    </row>
    <row r="3364" ht="20" customHeight="1">
      <c r="A3364" s="21" t="n">
        <v>-18</v>
      </c>
      <c r="B3364" s="21" t="n">
        <v>45</v>
      </c>
      <c r="C3364" s="22" t="n">
        <v>95</v>
      </c>
      <c r="D3364" s="22" t="n">
        <v>2</v>
      </c>
      <c r="E3364" s="23" t="n">
        <v>0</v>
      </c>
      <c r="F3364" s="22" t="n">
        <v>0</v>
      </c>
      <c r="G3364" s="23" t="inlineStr">
        <is>
          <t>Non</t>
        </is>
      </c>
      <c r="H3364" s="23" t="inlineStr">
        <is>
          <t>ON</t>
        </is>
      </c>
      <c r="I3364" s="24" t="n">
        <v>885.2722778138215</v>
      </c>
      <c r="J3364" s="24" t="n">
        <v>10520.73059103506</v>
      </c>
      <c r="K3364" s="24" t="n">
        <v>5101.851851851852</v>
      </c>
      <c r="L3364" s="24" t="n">
        <v>150</v>
      </c>
      <c r="M3364" s="24">
        <f>I3364+J3364+K3364+L3364</f>
        <v/>
      </c>
      <c r="N3364" s="24">
        <f>M3364*'Dashboard &amp; Optimisation'!$B$18/('Dashboard &amp; Optimisation'!$B$16/3.6)</f>
        <v/>
      </c>
      <c r="O3364" s="24" t="n">
        <v>760.6310363299374</v>
      </c>
      <c r="P3364" s="25" t="n">
        <v>0.4816865144687396</v>
      </c>
      <c r="Q3364" s="26" t="n">
        <v>0.2</v>
      </c>
      <c r="R3364" s="24" t="n">
        <v>1000.882217518815</v>
      </c>
      <c r="S3364" s="24">
        <f>R3364*IF(A3364=4, 2.0, 3.0)</f>
        <v/>
      </c>
      <c r="T3364" s="22">
        <f>'Dashboard &amp; Optimisation'!$B$18*U3364</f>
        <v/>
      </c>
      <c r="U3364" s="27">
        <f>MIN(1, S3364/M3364)</f>
        <v/>
      </c>
      <c r="V3364" s="27">
        <f>N3364/(N3364+O3364)</f>
        <v/>
      </c>
      <c r="W3364" s="27">
        <f>U3364*V3364</f>
        <v/>
      </c>
      <c r="X3364" s="25">
        <f>T3364/N3364</f>
        <v/>
      </c>
      <c r="Y3364" s="28">
        <f>IF(W3364=MAXIFS(W$2:W$3601, A$2:A$3601, A3364, B$2:B$3601, B3364), "OPTIMAL", "")</f>
        <v/>
      </c>
    </row>
    <row r="3365" ht="20" customHeight="1">
      <c r="A3365" s="29" t="n">
        <v>-18</v>
      </c>
      <c r="B3365" s="29" t="n">
        <v>45</v>
      </c>
      <c r="C3365" s="30" t="n">
        <v>95</v>
      </c>
      <c r="D3365" s="30" t="n">
        <v>2</v>
      </c>
      <c r="E3365" s="6" t="n">
        <v>0</v>
      </c>
      <c r="F3365" s="30" t="n">
        <v>0</v>
      </c>
      <c r="G3365" s="6" t="inlineStr">
        <is>
          <t>Non</t>
        </is>
      </c>
      <c r="H3365" s="6" t="inlineStr">
        <is>
          <t>OFF</t>
        </is>
      </c>
      <c r="I3365" s="31" t="n">
        <v>885.2722778138215</v>
      </c>
      <c r="J3365" s="31" t="n">
        <v>10520.73059103506</v>
      </c>
      <c r="K3365" s="31" t="n">
        <v>5101.851851851852</v>
      </c>
      <c r="L3365" s="31" t="n">
        <v>150</v>
      </c>
      <c r="M3365" s="31">
        <f>I3365+J3365+K3365+L3365</f>
        <v/>
      </c>
      <c r="N3365" s="31">
        <f>M3365*'Dashboard &amp; Optimisation'!$B$18/('Dashboard &amp; Optimisation'!$B$16/3.6)</f>
        <v/>
      </c>
      <c r="O3365" s="31" t="n">
        <v>760.6310363299374</v>
      </c>
      <c r="P3365" s="32" t="n">
        <v>0.8167495525569404</v>
      </c>
      <c r="Q3365" s="33" t="n">
        <v>0.2</v>
      </c>
      <c r="R3365" s="31" t="n">
        <v>590.2806622189975</v>
      </c>
      <c r="S3365" s="31">
        <f>R3365*IF(A3365=4, 2.0, 3.0)</f>
        <v/>
      </c>
      <c r="T3365" s="30">
        <f>'Dashboard &amp; Optimisation'!$B$18*U3365</f>
        <v/>
      </c>
      <c r="U3365" s="34">
        <f>MIN(1, S3365/M3365)</f>
        <v/>
      </c>
      <c r="V3365" s="34">
        <f>N3365/(N3365+O3365)</f>
        <v/>
      </c>
      <c r="W3365" s="34">
        <f>U3365*V3365</f>
        <v/>
      </c>
      <c r="X3365" s="32">
        <f>T3365/N3365</f>
        <v/>
      </c>
      <c r="Y3365" s="35">
        <f>IF(W3365=MAXIFS(W$2:W$3601, A$2:A$3601, A3365, B$2:B$3601, B3365), "OPTIMAL", "")</f>
        <v/>
      </c>
    </row>
    <row r="3366" ht="20" customHeight="1">
      <c r="A3366" s="21" t="n">
        <v>-18</v>
      </c>
      <c r="B3366" s="21" t="n">
        <v>45</v>
      </c>
      <c r="C3366" s="22" t="n">
        <v>95</v>
      </c>
      <c r="D3366" s="22" t="n">
        <v>2</v>
      </c>
      <c r="E3366" s="23" t="n">
        <v>4</v>
      </c>
      <c r="F3366" s="22" t="n">
        <v>1.5</v>
      </c>
      <c r="G3366" s="23" t="inlineStr">
        <is>
          <t>Oui</t>
        </is>
      </c>
      <c r="H3366" s="23" t="inlineStr">
        <is>
          <t>ON</t>
        </is>
      </c>
      <c r="I3366" s="24" t="n">
        <v>885.2722778138215</v>
      </c>
      <c r="J3366" s="24" t="n">
        <v>10520.73059103506</v>
      </c>
      <c r="K3366" s="24" t="n">
        <v>5101.851851851852</v>
      </c>
      <c r="L3366" s="24" t="n">
        <v>150</v>
      </c>
      <c r="M3366" s="24">
        <f>I3366+J3366+K3366+L3366</f>
        <v/>
      </c>
      <c r="N3366" s="24">
        <f>M3366*'Dashboard &amp; Optimisation'!$B$18/('Dashboard &amp; Optimisation'!$B$16/3.6)</f>
        <v/>
      </c>
      <c r="O3366" s="24" t="n">
        <v>1202.453948770389</v>
      </c>
      <c r="P3366" s="25" t="n">
        <v>0.07557959322797822</v>
      </c>
      <c r="Q3366" s="26" t="n">
        <v>7.077172538771729</v>
      </c>
      <c r="R3366" s="24" t="n">
        <v>6600.502146727978</v>
      </c>
      <c r="S3366" s="24">
        <f>R3366*IF(A3366=4, 2.0, 3.0)</f>
        <v/>
      </c>
      <c r="T3366" s="22">
        <f>'Dashboard &amp; Optimisation'!$B$18*U3366</f>
        <v/>
      </c>
      <c r="U3366" s="27">
        <f>MIN(1, S3366/M3366)</f>
        <v/>
      </c>
      <c r="V3366" s="27">
        <f>N3366/(N3366+O3366)</f>
        <v/>
      </c>
      <c r="W3366" s="27">
        <f>U3366*V3366</f>
        <v/>
      </c>
      <c r="X3366" s="25">
        <f>T3366/N3366</f>
        <v/>
      </c>
      <c r="Y3366" s="28">
        <f>IF(W3366=MAXIFS(W$2:W$3601, A$2:A$3601, A3366, B$2:B$3601, B3366), "OPTIMAL", "")</f>
        <v/>
      </c>
    </row>
    <row r="3367" ht="20" customHeight="1">
      <c r="A3367" s="29" t="n">
        <v>-18</v>
      </c>
      <c r="B3367" s="29" t="n">
        <v>45</v>
      </c>
      <c r="C3367" s="30" t="n">
        <v>95</v>
      </c>
      <c r="D3367" s="30" t="n">
        <v>2</v>
      </c>
      <c r="E3367" s="6" t="n">
        <v>4</v>
      </c>
      <c r="F3367" s="30" t="n">
        <v>1.5</v>
      </c>
      <c r="G3367" s="6" t="inlineStr">
        <is>
          <t>Oui</t>
        </is>
      </c>
      <c r="H3367" s="6" t="inlineStr">
        <is>
          <t>OFF</t>
        </is>
      </c>
      <c r="I3367" s="31" t="n">
        <v>885.2722778138215</v>
      </c>
      <c r="J3367" s="31" t="n">
        <v>10520.73059103506</v>
      </c>
      <c r="K3367" s="31" t="n">
        <v>5101.851851851852</v>
      </c>
      <c r="L3367" s="31" t="n">
        <v>150</v>
      </c>
      <c r="M3367" s="31">
        <f>I3367+J3367+K3367+L3367</f>
        <v/>
      </c>
      <c r="N3367" s="31">
        <f>M3367*'Dashboard &amp; Optimisation'!$B$18/('Dashboard &amp; Optimisation'!$B$16/3.6)</f>
        <v/>
      </c>
      <c r="O3367" s="31" t="n">
        <v>1202.453948770389</v>
      </c>
      <c r="P3367" s="32" t="n">
        <v>0.3180372372232345</v>
      </c>
      <c r="Q3367" s="33" t="n">
        <v>7.077172538771729</v>
      </c>
      <c r="R3367" s="31" t="n">
        <v>1568.568736496535</v>
      </c>
      <c r="S3367" s="31">
        <f>R3367*IF(A3367=4, 2.0, 3.0)</f>
        <v/>
      </c>
      <c r="T3367" s="30">
        <f>'Dashboard &amp; Optimisation'!$B$18*U3367</f>
        <v/>
      </c>
      <c r="U3367" s="34">
        <f>MIN(1, S3367/M3367)</f>
        <v/>
      </c>
      <c r="V3367" s="34">
        <f>N3367/(N3367+O3367)</f>
        <v/>
      </c>
      <c r="W3367" s="34">
        <f>U3367*V3367</f>
        <v/>
      </c>
      <c r="X3367" s="32">
        <f>T3367/N3367</f>
        <v/>
      </c>
      <c r="Y3367" s="35">
        <f>IF(W3367=MAXIFS(W$2:W$3601, A$2:A$3601, A3367, B$2:B$3601, B3367), "OPTIMAL", "")</f>
        <v/>
      </c>
    </row>
    <row r="3368" ht="20" customHeight="1">
      <c r="A3368" s="21" t="n">
        <v>-18</v>
      </c>
      <c r="B3368" s="21" t="n">
        <v>45</v>
      </c>
      <c r="C3368" s="22" t="n">
        <v>95</v>
      </c>
      <c r="D3368" s="22" t="n">
        <v>2</v>
      </c>
      <c r="E3368" s="23" t="n">
        <v>4</v>
      </c>
      <c r="F3368" s="22" t="n">
        <v>1.5</v>
      </c>
      <c r="G3368" s="23" t="inlineStr">
        <is>
          <t>Non</t>
        </is>
      </c>
      <c r="H3368" s="23" t="inlineStr">
        <is>
          <t>ON</t>
        </is>
      </c>
      <c r="I3368" s="24" t="n">
        <v>885.2722778138215</v>
      </c>
      <c r="J3368" s="24" t="n">
        <v>10520.73059103506</v>
      </c>
      <c r="K3368" s="24" t="n">
        <v>5101.851851851852</v>
      </c>
      <c r="L3368" s="24" t="n">
        <v>150</v>
      </c>
      <c r="M3368" s="24">
        <f>I3368+J3368+K3368+L3368</f>
        <v/>
      </c>
      <c r="N3368" s="24">
        <f>M3368*'Dashboard &amp; Optimisation'!$B$18/('Dashboard &amp; Optimisation'!$B$16/3.6)</f>
        <v/>
      </c>
      <c r="O3368" s="24" t="n">
        <v>1202.453948770389</v>
      </c>
      <c r="P3368" s="25" t="n">
        <v>0.07222896284709622</v>
      </c>
      <c r="Q3368" s="26" t="n">
        <v>7.077172538771729</v>
      </c>
      <c r="R3368" s="24" t="n">
        <v>6906.692934331026</v>
      </c>
      <c r="S3368" s="24">
        <f>R3368*IF(A3368=4, 2.0, 3.0)</f>
        <v/>
      </c>
      <c r="T3368" s="22">
        <f>'Dashboard &amp; Optimisation'!$B$18*U3368</f>
        <v/>
      </c>
      <c r="U3368" s="27">
        <f>MIN(1, S3368/M3368)</f>
        <v/>
      </c>
      <c r="V3368" s="27">
        <f>N3368/(N3368+O3368)</f>
        <v/>
      </c>
      <c r="W3368" s="27">
        <f>U3368*V3368</f>
        <v/>
      </c>
      <c r="X3368" s="25">
        <f>T3368/N3368</f>
        <v/>
      </c>
      <c r="Y3368" s="28">
        <f>IF(W3368=MAXIFS(W$2:W$3601, A$2:A$3601, A3368, B$2:B$3601, B3368), "OPTIMAL", "")</f>
        <v/>
      </c>
    </row>
    <row r="3369" ht="20" customHeight="1">
      <c r="A3369" s="29" t="n">
        <v>-18</v>
      </c>
      <c r="B3369" s="29" t="n">
        <v>45</v>
      </c>
      <c r="C3369" s="30" t="n">
        <v>95</v>
      </c>
      <c r="D3369" s="30" t="n">
        <v>2</v>
      </c>
      <c r="E3369" s="6" t="n">
        <v>4</v>
      </c>
      <c r="F3369" s="30" t="n">
        <v>1.5</v>
      </c>
      <c r="G3369" s="6" t="inlineStr">
        <is>
          <t>Non</t>
        </is>
      </c>
      <c r="H3369" s="6" t="inlineStr">
        <is>
          <t>OFF</t>
        </is>
      </c>
      <c r="I3369" s="31" t="n">
        <v>885.2722778138215</v>
      </c>
      <c r="J3369" s="31" t="n">
        <v>10520.73059103506</v>
      </c>
      <c r="K3369" s="31" t="n">
        <v>5101.851851851852</v>
      </c>
      <c r="L3369" s="31" t="n">
        <v>150</v>
      </c>
      <c r="M3369" s="31">
        <f>I3369+J3369+K3369+L3369</f>
        <v/>
      </c>
      <c r="N3369" s="31">
        <f>M3369*'Dashboard &amp; Optimisation'!$B$18/('Dashboard &amp; Optimisation'!$B$16/3.6)</f>
        <v/>
      </c>
      <c r="O3369" s="31" t="n">
        <v>1202.453948770389</v>
      </c>
      <c r="P3369" s="32" t="n">
        <v>0.3146866068423525</v>
      </c>
      <c r="Q3369" s="33" t="n">
        <v>7.077172538771729</v>
      </c>
      <c r="R3369" s="31" t="n">
        <v>1585.270095717838</v>
      </c>
      <c r="S3369" s="31">
        <f>R3369*IF(A3369=4, 2.0, 3.0)</f>
        <v/>
      </c>
      <c r="T3369" s="30">
        <f>'Dashboard &amp; Optimisation'!$B$18*U3369</f>
        <v/>
      </c>
      <c r="U3369" s="34">
        <f>MIN(1, S3369/M3369)</f>
        <v/>
      </c>
      <c r="V3369" s="34">
        <f>N3369/(N3369+O3369)</f>
        <v/>
      </c>
      <c r="W3369" s="34">
        <f>U3369*V3369</f>
        <v/>
      </c>
      <c r="X3369" s="32">
        <f>T3369/N3369</f>
        <v/>
      </c>
      <c r="Y3369" s="35">
        <f>IF(W3369=MAXIFS(W$2:W$3601, A$2:A$3601, A3369, B$2:B$3601, B3369), "OPTIMAL", "")</f>
        <v/>
      </c>
    </row>
    <row r="3370" ht="20" customHeight="1">
      <c r="A3370" s="21" t="n">
        <v>-18</v>
      </c>
      <c r="B3370" s="21" t="n">
        <v>45</v>
      </c>
      <c r="C3370" s="22" t="n">
        <v>95</v>
      </c>
      <c r="D3370" s="22" t="n">
        <v>2</v>
      </c>
      <c r="E3370" s="23" t="n">
        <v>4</v>
      </c>
      <c r="F3370" s="22" t="n">
        <v>2</v>
      </c>
      <c r="G3370" s="23" t="inlineStr">
        <is>
          <t>Oui</t>
        </is>
      </c>
      <c r="H3370" s="23" t="inlineStr">
        <is>
          <t>ON</t>
        </is>
      </c>
      <c r="I3370" s="24" t="n">
        <v>885.2722778138215</v>
      </c>
      <c r="J3370" s="24" t="n">
        <v>10520.73059103506</v>
      </c>
      <c r="K3370" s="24" t="n">
        <v>5101.851851851852</v>
      </c>
      <c r="L3370" s="24" t="n">
        <v>150</v>
      </c>
      <c r="M3370" s="24">
        <f>I3370+J3370+K3370+L3370</f>
        <v/>
      </c>
      <c r="N3370" s="24">
        <f>M3370*'Dashboard &amp; Optimisation'!$B$18/('Dashboard &amp; Optimisation'!$B$16/3.6)</f>
        <v/>
      </c>
      <c r="O3370" s="24" t="n">
        <v>1356.631274196652</v>
      </c>
      <c r="P3370" s="25" t="n">
        <v>0.07304296145994044</v>
      </c>
      <c r="Q3370" s="26" t="n">
        <v>9.36956338502897</v>
      </c>
      <c r="R3370" s="24" t="n">
        <v>6909.754481108005</v>
      </c>
      <c r="S3370" s="24">
        <f>R3370*IF(A3370=4, 2.0, 3.0)</f>
        <v/>
      </c>
      <c r="T3370" s="22">
        <f>'Dashboard &amp; Optimisation'!$B$18*U3370</f>
        <v/>
      </c>
      <c r="U3370" s="27">
        <f>MIN(1, S3370/M3370)</f>
        <v/>
      </c>
      <c r="V3370" s="27">
        <f>N3370/(N3370+O3370)</f>
        <v/>
      </c>
      <c r="W3370" s="27">
        <f>U3370*V3370</f>
        <v/>
      </c>
      <c r="X3370" s="25">
        <f>T3370/N3370</f>
        <v/>
      </c>
      <c r="Y3370" s="28">
        <f>IF(W3370=MAXIFS(W$2:W$3601, A$2:A$3601, A3370, B$2:B$3601, B3370), "OPTIMAL", "")</f>
        <v/>
      </c>
    </row>
    <row r="3371" ht="20" customHeight="1">
      <c r="A3371" s="29" t="n">
        <v>-18</v>
      </c>
      <c r="B3371" s="29" t="n">
        <v>45</v>
      </c>
      <c r="C3371" s="30" t="n">
        <v>95</v>
      </c>
      <c r="D3371" s="30" t="n">
        <v>2</v>
      </c>
      <c r="E3371" s="6" t="n">
        <v>4</v>
      </c>
      <c r="F3371" s="30" t="n">
        <v>2</v>
      </c>
      <c r="G3371" s="6" t="inlineStr">
        <is>
          <t>Oui</t>
        </is>
      </c>
      <c r="H3371" s="6" t="inlineStr">
        <is>
          <t>OFF</t>
        </is>
      </c>
      <c r="I3371" s="31" t="n">
        <v>885.2722778138215</v>
      </c>
      <c r="J3371" s="31" t="n">
        <v>10520.73059103506</v>
      </c>
      <c r="K3371" s="31" t="n">
        <v>5101.851851851852</v>
      </c>
      <c r="L3371" s="31" t="n">
        <v>150</v>
      </c>
      <c r="M3371" s="31">
        <f>I3371+J3371+K3371+L3371</f>
        <v/>
      </c>
      <c r="N3371" s="31">
        <f>M3371*'Dashboard &amp; Optimisation'!$B$18/('Dashboard &amp; Optimisation'!$B$16/3.6)</f>
        <v/>
      </c>
      <c r="O3371" s="31" t="n">
        <v>1356.631274196652</v>
      </c>
      <c r="P3371" s="32" t="n">
        <v>0.316679947936384</v>
      </c>
      <c r="Q3371" s="33" t="n">
        <v>9.36956338502897</v>
      </c>
      <c r="R3371" s="31" t="n">
        <v>1593.750831241803</v>
      </c>
      <c r="S3371" s="31">
        <f>R3371*IF(A3371=4, 2.0, 3.0)</f>
        <v/>
      </c>
      <c r="T3371" s="30">
        <f>'Dashboard &amp; Optimisation'!$B$18*U3371</f>
        <v/>
      </c>
      <c r="U3371" s="34">
        <f>MIN(1, S3371/M3371)</f>
        <v/>
      </c>
      <c r="V3371" s="34">
        <f>N3371/(N3371+O3371)</f>
        <v/>
      </c>
      <c r="W3371" s="34">
        <f>U3371*V3371</f>
        <v/>
      </c>
      <c r="X3371" s="32">
        <f>T3371/N3371</f>
        <v/>
      </c>
      <c r="Y3371" s="35">
        <f>IF(W3371=MAXIFS(W$2:W$3601, A$2:A$3601, A3371, B$2:B$3601, B3371), "OPTIMAL", "")</f>
        <v/>
      </c>
    </row>
    <row r="3372" ht="20" customHeight="1">
      <c r="A3372" s="21" t="n">
        <v>-18</v>
      </c>
      <c r="B3372" s="21" t="n">
        <v>45</v>
      </c>
      <c r="C3372" s="22" t="n">
        <v>95</v>
      </c>
      <c r="D3372" s="22" t="n">
        <v>2</v>
      </c>
      <c r="E3372" s="23" t="n">
        <v>4</v>
      </c>
      <c r="F3372" s="22" t="n">
        <v>2</v>
      </c>
      <c r="G3372" s="23" t="inlineStr">
        <is>
          <t>Non</t>
        </is>
      </c>
      <c r="H3372" s="23" t="inlineStr">
        <is>
          <t>ON</t>
        </is>
      </c>
      <c r="I3372" s="24" t="n">
        <v>885.2722778138215</v>
      </c>
      <c r="J3372" s="24" t="n">
        <v>10520.73059103506</v>
      </c>
      <c r="K3372" s="24" t="n">
        <v>5101.851851851852</v>
      </c>
      <c r="L3372" s="24" t="n">
        <v>150</v>
      </c>
      <c r="M3372" s="24">
        <f>I3372+J3372+K3372+L3372</f>
        <v/>
      </c>
      <c r="N3372" s="24">
        <f>M3372*'Dashboard &amp; Optimisation'!$B$18/('Dashboard &amp; Optimisation'!$B$16/3.6)</f>
        <v/>
      </c>
      <c r="O3372" s="24" t="n">
        <v>1356.631274196652</v>
      </c>
      <c r="P3372" s="25" t="n">
        <v>0.06969233107905842</v>
      </c>
      <c r="Q3372" s="26" t="n">
        <v>9.36956338502897</v>
      </c>
      <c r="R3372" s="24" t="n">
        <v>7241.957937792107</v>
      </c>
      <c r="S3372" s="24">
        <f>R3372*IF(A3372=4, 2.0, 3.0)</f>
        <v/>
      </c>
      <c r="T3372" s="22">
        <f>'Dashboard &amp; Optimisation'!$B$18*U3372</f>
        <v/>
      </c>
      <c r="U3372" s="27">
        <f>MIN(1, S3372/M3372)</f>
        <v/>
      </c>
      <c r="V3372" s="27">
        <f>N3372/(N3372+O3372)</f>
        <v/>
      </c>
      <c r="W3372" s="27">
        <f>U3372*V3372</f>
        <v/>
      </c>
      <c r="X3372" s="25">
        <f>T3372/N3372</f>
        <v/>
      </c>
      <c r="Y3372" s="28">
        <f>IF(W3372=MAXIFS(W$2:W$3601, A$2:A$3601, A3372, B$2:B$3601, B3372), "OPTIMAL", "")</f>
        <v/>
      </c>
    </row>
    <row r="3373" ht="20" customHeight="1">
      <c r="A3373" s="29" t="n">
        <v>-18</v>
      </c>
      <c r="B3373" s="29" t="n">
        <v>45</v>
      </c>
      <c r="C3373" s="30" t="n">
        <v>95</v>
      </c>
      <c r="D3373" s="30" t="n">
        <v>2</v>
      </c>
      <c r="E3373" s="6" t="n">
        <v>4</v>
      </c>
      <c r="F3373" s="30" t="n">
        <v>2</v>
      </c>
      <c r="G3373" s="6" t="inlineStr">
        <is>
          <t>Non</t>
        </is>
      </c>
      <c r="H3373" s="6" t="inlineStr">
        <is>
          <t>OFF</t>
        </is>
      </c>
      <c r="I3373" s="31" t="n">
        <v>885.2722778138215</v>
      </c>
      <c r="J3373" s="31" t="n">
        <v>10520.73059103506</v>
      </c>
      <c r="K3373" s="31" t="n">
        <v>5101.851851851852</v>
      </c>
      <c r="L3373" s="31" t="n">
        <v>150</v>
      </c>
      <c r="M3373" s="31">
        <f>I3373+J3373+K3373+L3373</f>
        <v/>
      </c>
      <c r="N3373" s="31">
        <f>M3373*'Dashboard &amp; Optimisation'!$B$18/('Dashboard &amp; Optimisation'!$B$16/3.6)</f>
        <v/>
      </c>
      <c r="O3373" s="31" t="n">
        <v>1356.631274196652</v>
      </c>
      <c r="P3373" s="32" t="n">
        <v>0.313329317555502</v>
      </c>
      <c r="Q3373" s="33" t="n">
        <v>9.36956338502897</v>
      </c>
      <c r="R3373" s="31" t="n">
        <v>1610.793826121364</v>
      </c>
      <c r="S3373" s="31">
        <f>R3373*IF(A3373=4, 2.0, 3.0)</f>
        <v/>
      </c>
      <c r="T3373" s="30">
        <f>'Dashboard &amp; Optimisation'!$B$18*U3373</f>
        <v/>
      </c>
      <c r="U3373" s="34">
        <f>MIN(1, S3373/M3373)</f>
        <v/>
      </c>
      <c r="V3373" s="34">
        <f>N3373/(N3373+O3373)</f>
        <v/>
      </c>
      <c r="W3373" s="34">
        <f>U3373*V3373</f>
        <v/>
      </c>
      <c r="X3373" s="32">
        <f>T3373/N3373</f>
        <v/>
      </c>
      <c r="Y3373" s="35">
        <f>IF(W3373=MAXIFS(W$2:W$3601, A$2:A$3601, A3373, B$2:B$3601, B3373), "OPTIMAL", "")</f>
        <v/>
      </c>
    </row>
    <row r="3374" ht="20" customHeight="1">
      <c r="A3374" s="21" t="n">
        <v>-18</v>
      </c>
      <c r="B3374" s="21" t="n">
        <v>45</v>
      </c>
      <c r="C3374" s="22" t="n">
        <v>95</v>
      </c>
      <c r="D3374" s="22" t="n">
        <v>2</v>
      </c>
      <c r="E3374" s="23" t="n">
        <v>8</v>
      </c>
      <c r="F3374" s="22" t="n">
        <v>1.5</v>
      </c>
      <c r="G3374" s="23" t="inlineStr">
        <is>
          <t>Oui</t>
        </is>
      </c>
      <c r="H3374" s="23" t="inlineStr">
        <is>
          <t>ON</t>
        </is>
      </c>
      <c r="I3374" s="24" t="n">
        <v>885.2722778138215</v>
      </c>
      <c r="J3374" s="24" t="n">
        <v>10520.73059103506</v>
      </c>
      <c r="K3374" s="24" t="n">
        <v>5101.851851851852</v>
      </c>
      <c r="L3374" s="24" t="n">
        <v>150</v>
      </c>
      <c r="M3374" s="24">
        <f>I3374+J3374+K3374+L3374</f>
        <v/>
      </c>
      <c r="N3374" s="24">
        <f>M3374*'Dashboard &amp; Optimisation'!$B$18/('Dashboard &amp; Optimisation'!$B$16/3.6)</f>
        <v/>
      </c>
      <c r="O3374" s="24" t="n">
        <v>1676.085932206661</v>
      </c>
      <c r="P3374" s="25" t="n">
        <v>0.05699087655301123</v>
      </c>
      <c r="Q3374" s="26" t="n">
        <v>13.95434507754346</v>
      </c>
      <c r="R3374" s="24" t="n">
        <v>9068.488611619046</v>
      </c>
      <c r="S3374" s="24">
        <f>R3374*IF(A3374=4, 2.0, 3.0)</f>
        <v/>
      </c>
      <c r="T3374" s="22">
        <f>'Dashboard &amp; Optimisation'!$B$18*U3374</f>
        <v/>
      </c>
      <c r="U3374" s="27">
        <f>MIN(1, S3374/M3374)</f>
        <v/>
      </c>
      <c r="V3374" s="27">
        <f>N3374/(N3374+O3374)</f>
        <v/>
      </c>
      <c r="W3374" s="27">
        <f>U3374*V3374</f>
        <v/>
      </c>
      <c r="X3374" s="25">
        <f>T3374/N3374</f>
        <v/>
      </c>
      <c r="Y3374" s="28">
        <f>IF(W3374=MAXIFS(W$2:W$3601, A$2:A$3601, A3374, B$2:B$3601, B3374), "OPTIMAL", "")</f>
        <v/>
      </c>
    </row>
    <row r="3375" ht="20" customHeight="1">
      <c r="A3375" s="29" t="n">
        <v>-18</v>
      </c>
      <c r="B3375" s="29" t="n">
        <v>45</v>
      </c>
      <c r="C3375" s="30" t="n">
        <v>95</v>
      </c>
      <c r="D3375" s="30" t="n">
        <v>2</v>
      </c>
      <c r="E3375" s="6" t="n">
        <v>8</v>
      </c>
      <c r="F3375" s="30" t="n">
        <v>1.5</v>
      </c>
      <c r="G3375" s="6" t="inlineStr">
        <is>
          <t>Oui</t>
        </is>
      </c>
      <c r="H3375" s="6" t="inlineStr">
        <is>
          <t>OFF</t>
        </is>
      </c>
      <c r="I3375" s="31" t="n">
        <v>885.2722778138215</v>
      </c>
      <c r="J3375" s="31" t="n">
        <v>10520.73059103506</v>
      </c>
      <c r="K3375" s="31" t="n">
        <v>5101.851851851852</v>
      </c>
      <c r="L3375" s="31" t="n">
        <v>150</v>
      </c>
      <c r="M3375" s="31">
        <f>I3375+J3375+K3375+L3375</f>
        <v/>
      </c>
      <c r="N3375" s="31">
        <f>M3375*'Dashboard &amp; Optimisation'!$B$18/('Dashboard &amp; Optimisation'!$B$16/3.6)</f>
        <v/>
      </c>
      <c r="O3375" s="31" t="n">
        <v>1676.085932206661</v>
      </c>
      <c r="P3375" s="32" t="n">
        <v>0.2469467888801933</v>
      </c>
      <c r="Q3375" s="33" t="n">
        <v>13.95434507754346</v>
      </c>
      <c r="R3375" s="31" t="n">
        <v>2092.844038712753</v>
      </c>
      <c r="S3375" s="31">
        <f>R3375*IF(A3375=4, 2.0, 3.0)</f>
        <v/>
      </c>
      <c r="T3375" s="30">
        <f>'Dashboard &amp; Optimisation'!$B$18*U3375</f>
        <v/>
      </c>
      <c r="U3375" s="34">
        <f>MIN(1, S3375/M3375)</f>
        <v/>
      </c>
      <c r="V3375" s="34">
        <f>N3375/(N3375+O3375)</f>
        <v/>
      </c>
      <c r="W3375" s="34">
        <f>U3375*V3375</f>
        <v/>
      </c>
      <c r="X3375" s="32">
        <f>T3375/N3375</f>
        <v/>
      </c>
      <c r="Y3375" s="35">
        <f>IF(W3375=MAXIFS(W$2:W$3601, A$2:A$3601, A3375, B$2:B$3601, B3375), "OPTIMAL", "")</f>
        <v/>
      </c>
    </row>
    <row r="3376" ht="20" customHeight="1">
      <c r="A3376" s="21" t="n">
        <v>-18</v>
      </c>
      <c r="B3376" s="21" t="n">
        <v>45</v>
      </c>
      <c r="C3376" s="22" t="n">
        <v>95</v>
      </c>
      <c r="D3376" s="22" t="n">
        <v>2</v>
      </c>
      <c r="E3376" s="23" t="n">
        <v>8</v>
      </c>
      <c r="F3376" s="22" t="n">
        <v>1.5</v>
      </c>
      <c r="G3376" s="23" t="inlineStr">
        <is>
          <t>Non</t>
        </is>
      </c>
      <c r="H3376" s="23" t="inlineStr">
        <is>
          <t>ON</t>
        </is>
      </c>
      <c r="I3376" s="24" t="n">
        <v>885.2722778138215</v>
      </c>
      <c r="J3376" s="24" t="n">
        <v>10520.73059103506</v>
      </c>
      <c r="K3376" s="24" t="n">
        <v>5101.851851851852</v>
      </c>
      <c r="L3376" s="24" t="n">
        <v>150</v>
      </c>
      <c r="M3376" s="24">
        <f>I3376+J3376+K3376+L3376</f>
        <v/>
      </c>
      <c r="N3376" s="24">
        <f>M3376*'Dashboard &amp; Optimisation'!$B$18/('Dashboard &amp; Optimisation'!$B$16/3.6)</f>
        <v/>
      </c>
      <c r="O3376" s="24" t="n">
        <v>1676.085932206661</v>
      </c>
      <c r="P3376" s="25" t="n">
        <v>0.05364024617212922</v>
      </c>
      <c r="Q3376" s="26" t="n">
        <v>13.95434507754346</v>
      </c>
      <c r="R3376" s="24" t="n">
        <v>9634.950468510393</v>
      </c>
      <c r="S3376" s="24">
        <f>R3376*IF(A3376=4, 2.0, 3.0)</f>
        <v/>
      </c>
      <c r="T3376" s="22">
        <f>'Dashboard &amp; Optimisation'!$B$18*U3376</f>
        <v/>
      </c>
      <c r="U3376" s="27">
        <f>MIN(1, S3376/M3376)</f>
        <v/>
      </c>
      <c r="V3376" s="27">
        <f>N3376/(N3376+O3376)</f>
        <v/>
      </c>
      <c r="W3376" s="27">
        <f>U3376*V3376</f>
        <v/>
      </c>
      <c r="X3376" s="25">
        <f>T3376/N3376</f>
        <v/>
      </c>
      <c r="Y3376" s="28">
        <f>IF(W3376=MAXIFS(W$2:W$3601, A$2:A$3601, A3376, B$2:B$3601, B3376), "OPTIMAL", "")</f>
        <v/>
      </c>
    </row>
    <row r="3377" ht="20" customHeight="1">
      <c r="A3377" s="29" t="n">
        <v>-18</v>
      </c>
      <c r="B3377" s="29" t="n">
        <v>45</v>
      </c>
      <c r="C3377" s="30" t="n">
        <v>95</v>
      </c>
      <c r="D3377" s="30" t="n">
        <v>2</v>
      </c>
      <c r="E3377" s="6" t="n">
        <v>8</v>
      </c>
      <c r="F3377" s="30" t="n">
        <v>1.5</v>
      </c>
      <c r="G3377" s="6" t="inlineStr">
        <is>
          <t>Non</t>
        </is>
      </c>
      <c r="H3377" s="6" t="inlineStr">
        <is>
          <t>OFF</t>
        </is>
      </c>
      <c r="I3377" s="31" t="n">
        <v>885.2722778138215</v>
      </c>
      <c r="J3377" s="31" t="n">
        <v>10520.73059103506</v>
      </c>
      <c r="K3377" s="31" t="n">
        <v>5101.851851851852</v>
      </c>
      <c r="L3377" s="31" t="n">
        <v>150</v>
      </c>
      <c r="M3377" s="31">
        <f>I3377+J3377+K3377+L3377</f>
        <v/>
      </c>
      <c r="N3377" s="31">
        <f>M3377*'Dashboard &amp; Optimisation'!$B$18/('Dashboard &amp; Optimisation'!$B$16/3.6)</f>
        <v/>
      </c>
      <c r="O3377" s="31" t="n">
        <v>1676.085932206661</v>
      </c>
      <c r="P3377" s="32" t="n">
        <v>0.2435961584993113</v>
      </c>
      <c r="Q3377" s="33" t="n">
        <v>13.95434507754346</v>
      </c>
      <c r="R3377" s="31" t="n">
        <v>2121.630809660861</v>
      </c>
      <c r="S3377" s="31">
        <f>R3377*IF(A3377=4, 2.0, 3.0)</f>
        <v/>
      </c>
      <c r="T3377" s="30">
        <f>'Dashboard &amp; Optimisation'!$B$18*U3377</f>
        <v/>
      </c>
      <c r="U3377" s="34">
        <f>MIN(1, S3377/M3377)</f>
        <v/>
      </c>
      <c r="V3377" s="34">
        <f>N3377/(N3377+O3377)</f>
        <v/>
      </c>
      <c r="W3377" s="34">
        <f>U3377*V3377</f>
        <v/>
      </c>
      <c r="X3377" s="32">
        <f>T3377/N3377</f>
        <v/>
      </c>
      <c r="Y3377" s="35">
        <f>IF(W3377=MAXIFS(W$2:W$3601, A$2:A$3601, A3377, B$2:B$3601, B3377), "OPTIMAL", "")</f>
        <v/>
      </c>
    </row>
    <row r="3378" ht="20" customHeight="1">
      <c r="A3378" s="21" t="n">
        <v>-18</v>
      </c>
      <c r="B3378" s="21" t="n">
        <v>45</v>
      </c>
      <c r="C3378" s="22" t="n">
        <v>95</v>
      </c>
      <c r="D3378" s="22" t="n">
        <v>2</v>
      </c>
      <c r="E3378" s="23" t="n">
        <v>8</v>
      </c>
      <c r="F3378" s="22" t="n">
        <v>2</v>
      </c>
      <c r="G3378" s="23" t="inlineStr">
        <is>
          <t>Oui</t>
        </is>
      </c>
      <c r="H3378" s="23" t="inlineStr">
        <is>
          <t>ON</t>
        </is>
      </c>
      <c r="I3378" s="24" t="n">
        <v>885.2722778138215</v>
      </c>
      <c r="J3378" s="24" t="n">
        <v>10520.73059103506</v>
      </c>
      <c r="K3378" s="24" t="n">
        <v>5101.851851851852</v>
      </c>
      <c r="L3378" s="24" t="n">
        <v>150</v>
      </c>
      <c r="M3378" s="24">
        <f>I3378+J3378+K3378+L3378</f>
        <v/>
      </c>
      <c r="N3378" s="24">
        <f>M3378*'Dashboard &amp; Optimisation'!$B$18/('Dashboard &amp; Optimisation'!$B$16/3.6)</f>
        <v/>
      </c>
      <c r="O3378" s="24" t="n">
        <v>2011.250372566842</v>
      </c>
      <c r="P3378" s="25" t="n">
        <v>0.05584601824581075</v>
      </c>
      <c r="Q3378" s="26" t="n">
        <v>18.53912677005794</v>
      </c>
      <c r="R3378" s="24" t="n">
        <v>9481.946175607723</v>
      </c>
      <c r="S3378" s="24">
        <f>R3378*IF(A3378=4, 2.0, 3.0)</f>
        <v/>
      </c>
      <c r="T3378" s="22">
        <f>'Dashboard &amp; Optimisation'!$B$18*U3378</f>
        <v/>
      </c>
      <c r="U3378" s="27">
        <f>MIN(1, S3378/M3378)</f>
        <v/>
      </c>
      <c r="V3378" s="27">
        <f>N3378/(N3378+O3378)</f>
        <v/>
      </c>
      <c r="W3378" s="27">
        <f>U3378*V3378</f>
        <v/>
      </c>
      <c r="X3378" s="25">
        <f>T3378/N3378</f>
        <v/>
      </c>
      <c r="Y3378" s="28">
        <f>IF(W3378=MAXIFS(W$2:W$3601, A$2:A$3601, A3378, B$2:B$3601, B3378), "OPTIMAL", "")</f>
        <v/>
      </c>
    </row>
    <row r="3379" ht="20" customHeight="1">
      <c r="A3379" s="29" t="n">
        <v>-18</v>
      </c>
      <c r="B3379" s="29" t="n">
        <v>45</v>
      </c>
      <c r="C3379" s="30" t="n">
        <v>95</v>
      </c>
      <c r="D3379" s="30" t="n">
        <v>2</v>
      </c>
      <c r="E3379" s="6" t="n">
        <v>8</v>
      </c>
      <c r="F3379" s="30" t="n">
        <v>2</v>
      </c>
      <c r="G3379" s="6" t="inlineStr">
        <is>
          <t>Oui</t>
        </is>
      </c>
      <c r="H3379" s="6" t="inlineStr">
        <is>
          <t>OFF</t>
        </is>
      </c>
      <c r="I3379" s="31" t="n">
        <v>885.2722778138215</v>
      </c>
      <c r="J3379" s="31" t="n">
        <v>10520.73059103506</v>
      </c>
      <c r="K3379" s="31" t="n">
        <v>5101.851851851852</v>
      </c>
      <c r="L3379" s="31" t="n">
        <v>150</v>
      </c>
      <c r="M3379" s="31">
        <f>I3379+J3379+K3379+L3379</f>
        <v/>
      </c>
      <c r="N3379" s="31">
        <f>M3379*'Dashboard &amp; Optimisation'!$B$18/('Dashboard &amp; Optimisation'!$B$16/3.6)</f>
        <v/>
      </c>
      <c r="O3379" s="31" t="n">
        <v>2011.250372566842</v>
      </c>
      <c r="P3379" s="32" t="n">
        <v>0.2472541696165357</v>
      </c>
      <c r="Q3379" s="33" t="n">
        <v>18.53912677005794</v>
      </c>
      <c r="R3379" s="31" t="n">
        <v>2141.638055892146</v>
      </c>
      <c r="S3379" s="31">
        <f>R3379*IF(A3379=4, 2.0, 3.0)</f>
        <v/>
      </c>
      <c r="T3379" s="30">
        <f>'Dashboard &amp; Optimisation'!$B$18*U3379</f>
        <v/>
      </c>
      <c r="U3379" s="34">
        <f>MIN(1, S3379/M3379)</f>
        <v/>
      </c>
      <c r="V3379" s="34">
        <f>N3379/(N3379+O3379)</f>
        <v/>
      </c>
      <c r="W3379" s="34">
        <f>U3379*V3379</f>
        <v/>
      </c>
      <c r="X3379" s="32">
        <f>T3379/N3379</f>
        <v/>
      </c>
      <c r="Y3379" s="35">
        <f>IF(W3379=MAXIFS(W$2:W$3601, A$2:A$3601, A3379, B$2:B$3601, B3379), "OPTIMAL", "")</f>
        <v/>
      </c>
    </row>
    <row r="3380" ht="20" customHeight="1">
      <c r="A3380" s="21" t="n">
        <v>-18</v>
      </c>
      <c r="B3380" s="21" t="n">
        <v>45</v>
      </c>
      <c r="C3380" s="22" t="n">
        <v>95</v>
      </c>
      <c r="D3380" s="22" t="n">
        <v>2</v>
      </c>
      <c r="E3380" s="23" t="n">
        <v>8</v>
      </c>
      <c r="F3380" s="22" t="n">
        <v>2</v>
      </c>
      <c r="G3380" s="23" t="inlineStr">
        <is>
          <t>Non</t>
        </is>
      </c>
      <c r="H3380" s="23" t="inlineStr">
        <is>
          <t>ON</t>
        </is>
      </c>
      <c r="I3380" s="24" t="n">
        <v>885.2722778138215</v>
      </c>
      <c r="J3380" s="24" t="n">
        <v>10520.73059103506</v>
      </c>
      <c r="K3380" s="24" t="n">
        <v>5101.851851851852</v>
      </c>
      <c r="L3380" s="24" t="n">
        <v>150</v>
      </c>
      <c r="M3380" s="24">
        <f>I3380+J3380+K3380+L3380</f>
        <v/>
      </c>
      <c r="N3380" s="24">
        <f>M3380*'Dashboard &amp; Optimisation'!$B$18/('Dashboard &amp; Optimisation'!$B$16/3.6)</f>
        <v/>
      </c>
      <c r="O3380" s="24" t="n">
        <v>2011.250372566842</v>
      </c>
      <c r="P3380" s="25" t="n">
        <v>0.05249538786492874</v>
      </c>
      <c r="Q3380" s="26" t="n">
        <v>18.53912677005794</v>
      </c>
      <c r="R3380" s="24" t="n">
        <v>10087.1516654238</v>
      </c>
      <c r="S3380" s="24">
        <f>R3380*IF(A3380=4, 2.0, 3.0)</f>
        <v/>
      </c>
      <c r="T3380" s="22">
        <f>'Dashboard &amp; Optimisation'!$B$18*U3380</f>
        <v/>
      </c>
      <c r="U3380" s="27">
        <f>MIN(1, S3380/M3380)</f>
        <v/>
      </c>
      <c r="V3380" s="27">
        <f>N3380/(N3380+O3380)</f>
        <v/>
      </c>
      <c r="W3380" s="27">
        <f>U3380*V3380</f>
        <v/>
      </c>
      <c r="X3380" s="25">
        <f>T3380/N3380</f>
        <v/>
      </c>
      <c r="Y3380" s="28">
        <f>IF(W3380=MAXIFS(W$2:W$3601, A$2:A$3601, A3380, B$2:B$3601, B3380), "OPTIMAL", "")</f>
        <v/>
      </c>
    </row>
    <row r="3381" ht="20" customHeight="1">
      <c r="A3381" s="29" t="n">
        <v>-18</v>
      </c>
      <c r="B3381" s="29" t="n">
        <v>45</v>
      </c>
      <c r="C3381" s="30" t="n">
        <v>95</v>
      </c>
      <c r="D3381" s="30" t="n">
        <v>2</v>
      </c>
      <c r="E3381" s="6" t="n">
        <v>8</v>
      </c>
      <c r="F3381" s="30" t="n">
        <v>2</v>
      </c>
      <c r="G3381" s="6" t="inlineStr">
        <is>
          <t>Non</t>
        </is>
      </c>
      <c r="H3381" s="6" t="inlineStr">
        <is>
          <t>OFF</t>
        </is>
      </c>
      <c r="I3381" s="31" t="n">
        <v>885.2722778138215</v>
      </c>
      <c r="J3381" s="31" t="n">
        <v>10520.73059103506</v>
      </c>
      <c r="K3381" s="31" t="n">
        <v>5101.851851851852</v>
      </c>
      <c r="L3381" s="31" t="n">
        <v>150</v>
      </c>
      <c r="M3381" s="31">
        <f>I3381+J3381+K3381+L3381</f>
        <v/>
      </c>
      <c r="N3381" s="31">
        <f>M3381*'Dashboard &amp; Optimisation'!$B$18/('Dashboard &amp; Optimisation'!$B$16/3.6)</f>
        <v/>
      </c>
      <c r="O3381" s="31" t="n">
        <v>2011.250372566842</v>
      </c>
      <c r="P3381" s="32" t="n">
        <v>0.2439035392356537</v>
      </c>
      <c r="Q3381" s="33" t="n">
        <v>18.53912677005794</v>
      </c>
      <c r="R3381" s="31" t="n">
        <v>2171.058857072042</v>
      </c>
      <c r="S3381" s="31">
        <f>R3381*IF(A3381=4, 2.0, 3.0)</f>
        <v/>
      </c>
      <c r="T3381" s="30">
        <f>'Dashboard &amp; Optimisation'!$B$18*U3381</f>
        <v/>
      </c>
      <c r="U3381" s="34">
        <f>MIN(1, S3381/M3381)</f>
        <v/>
      </c>
      <c r="V3381" s="34">
        <f>N3381/(N3381+O3381)</f>
        <v/>
      </c>
      <c r="W3381" s="34">
        <f>U3381*V3381</f>
        <v/>
      </c>
      <c r="X3381" s="32">
        <f>T3381/N3381</f>
        <v/>
      </c>
      <c r="Y3381" s="35">
        <f>IF(W3381=MAXIFS(W$2:W$3601, A$2:A$3601, A3381, B$2:B$3601, B3381), "OPTIMAL", "")</f>
        <v/>
      </c>
    </row>
    <row r="3382" ht="20" customHeight="1">
      <c r="A3382" s="21" t="n">
        <v>-18</v>
      </c>
      <c r="B3382" s="21" t="n">
        <v>45</v>
      </c>
      <c r="C3382" s="22" t="n">
        <v>95</v>
      </c>
      <c r="D3382" s="22" t="n">
        <v>3</v>
      </c>
      <c r="E3382" s="23" t="n">
        <v>0</v>
      </c>
      <c r="F3382" s="22" t="n">
        <v>0</v>
      </c>
      <c r="G3382" s="23" t="inlineStr">
        <is>
          <t>Oui</t>
        </is>
      </c>
      <c r="H3382" s="23" t="inlineStr">
        <is>
          <t>ON</t>
        </is>
      </c>
      <c r="I3382" s="24" t="n">
        <v>885.2722778138215</v>
      </c>
      <c r="J3382" s="24" t="n">
        <v>10520.73059103506</v>
      </c>
      <c r="K3382" s="24" t="n">
        <v>5101.851851851852</v>
      </c>
      <c r="L3382" s="24" t="n">
        <v>150</v>
      </c>
      <c r="M3382" s="24">
        <f>I3382+J3382+K3382+L3382</f>
        <v/>
      </c>
      <c r="N3382" s="24">
        <f>M3382*'Dashboard &amp; Optimisation'!$B$18/('Dashboard &amp; Optimisation'!$B$16/3.6)</f>
        <v/>
      </c>
      <c r="O3382" s="24" t="n">
        <v>1179.975394704229</v>
      </c>
      <c r="P3382" s="25" t="n">
        <v>0.4850543981280133</v>
      </c>
      <c r="Q3382" s="26" t="n">
        <v>0.2</v>
      </c>
      <c r="R3382" s="24" t="n">
        <v>1039.10583985088</v>
      </c>
      <c r="S3382" s="24">
        <f>R3382*IF(A3382=4, 2.0, 3.0)</f>
        <v/>
      </c>
      <c r="T3382" s="22">
        <f>'Dashboard &amp; Optimisation'!$B$18*U3382</f>
        <v/>
      </c>
      <c r="U3382" s="27">
        <f>MIN(1, S3382/M3382)</f>
        <v/>
      </c>
      <c r="V3382" s="27">
        <f>N3382/(N3382+O3382)</f>
        <v/>
      </c>
      <c r="W3382" s="27">
        <f>U3382*V3382</f>
        <v/>
      </c>
      <c r="X3382" s="25">
        <f>T3382/N3382</f>
        <v/>
      </c>
      <c r="Y3382" s="28">
        <f>IF(W3382=MAXIFS(W$2:W$3601, A$2:A$3601, A3382, B$2:B$3601, B3382), "OPTIMAL", "")</f>
        <v/>
      </c>
    </row>
    <row r="3383" ht="20" customHeight="1">
      <c r="A3383" s="29" t="n">
        <v>-18</v>
      </c>
      <c r="B3383" s="29" t="n">
        <v>45</v>
      </c>
      <c r="C3383" s="30" t="n">
        <v>95</v>
      </c>
      <c r="D3383" s="30" t="n">
        <v>3</v>
      </c>
      <c r="E3383" s="6" t="n">
        <v>0</v>
      </c>
      <c r="F3383" s="30" t="n">
        <v>0</v>
      </c>
      <c r="G3383" s="6" t="inlineStr">
        <is>
          <t>Oui</t>
        </is>
      </c>
      <c r="H3383" s="6" t="inlineStr">
        <is>
          <t>OFF</t>
        </is>
      </c>
      <c r="I3383" s="31" t="n">
        <v>885.2722778138215</v>
      </c>
      <c r="J3383" s="31" t="n">
        <v>10520.73059103506</v>
      </c>
      <c r="K3383" s="31" t="n">
        <v>5101.851851851852</v>
      </c>
      <c r="L3383" s="31" t="n">
        <v>150</v>
      </c>
      <c r="M3383" s="31">
        <f>I3383+J3383+K3383+L3383</f>
        <v/>
      </c>
      <c r="N3383" s="31">
        <f>M3383*'Dashboard &amp; Optimisation'!$B$18/('Dashboard &amp; Optimisation'!$B$16/3.6)</f>
        <v/>
      </c>
      <c r="O3383" s="31" t="n">
        <v>1179.975394704229</v>
      </c>
      <c r="P3383" s="32" t="n">
        <v>0.820117436216214</v>
      </c>
      <c r="Q3383" s="33" t="n">
        <v>0.2</v>
      </c>
      <c r="R3383" s="31" t="n">
        <v>614.5740054809573</v>
      </c>
      <c r="S3383" s="31">
        <f>R3383*IF(A3383=4, 2.0, 3.0)</f>
        <v/>
      </c>
      <c r="T3383" s="30">
        <f>'Dashboard &amp; Optimisation'!$B$18*U3383</f>
        <v/>
      </c>
      <c r="U3383" s="34">
        <f>MIN(1, S3383/M3383)</f>
        <v/>
      </c>
      <c r="V3383" s="34">
        <f>N3383/(N3383+O3383)</f>
        <v/>
      </c>
      <c r="W3383" s="34">
        <f>U3383*V3383</f>
        <v/>
      </c>
      <c r="X3383" s="32">
        <f>T3383/N3383</f>
        <v/>
      </c>
      <c r="Y3383" s="35">
        <f>IF(W3383=MAXIFS(W$2:W$3601, A$2:A$3601, A3383, B$2:B$3601, B3383), "OPTIMAL", "")</f>
        <v/>
      </c>
    </row>
    <row r="3384" ht="20" customHeight="1">
      <c r="A3384" s="21" t="n">
        <v>-18</v>
      </c>
      <c r="B3384" s="21" t="n">
        <v>45</v>
      </c>
      <c r="C3384" s="22" t="n">
        <v>95</v>
      </c>
      <c r="D3384" s="22" t="n">
        <v>3</v>
      </c>
      <c r="E3384" s="23" t="n">
        <v>0</v>
      </c>
      <c r="F3384" s="22" t="n">
        <v>0</v>
      </c>
      <c r="G3384" s="23" t="inlineStr">
        <is>
          <t>Non</t>
        </is>
      </c>
      <c r="H3384" s="23" t="inlineStr">
        <is>
          <t>ON</t>
        </is>
      </c>
      <c r="I3384" s="24" t="n">
        <v>885.2722778138215</v>
      </c>
      <c r="J3384" s="24" t="n">
        <v>10520.73059103506</v>
      </c>
      <c r="K3384" s="24" t="n">
        <v>5101.851851851852</v>
      </c>
      <c r="L3384" s="24" t="n">
        <v>150</v>
      </c>
      <c r="M3384" s="24">
        <f>I3384+J3384+K3384+L3384</f>
        <v/>
      </c>
      <c r="N3384" s="24">
        <f>M3384*'Dashboard &amp; Optimisation'!$B$18/('Dashboard &amp; Optimisation'!$B$16/3.6)</f>
        <v/>
      </c>
      <c r="O3384" s="24" t="n">
        <v>1179.975394704229</v>
      </c>
      <c r="P3384" s="25" t="n">
        <v>0.4817037677471313</v>
      </c>
      <c r="Q3384" s="26" t="n">
        <v>0.2</v>
      </c>
      <c r="R3384" s="24" t="n">
        <v>1046.333642141569</v>
      </c>
      <c r="S3384" s="24">
        <f>R3384*IF(A3384=4, 2.0, 3.0)</f>
        <v/>
      </c>
      <c r="T3384" s="22">
        <f>'Dashboard &amp; Optimisation'!$B$18*U3384</f>
        <v/>
      </c>
      <c r="U3384" s="27">
        <f>MIN(1, S3384/M3384)</f>
        <v/>
      </c>
      <c r="V3384" s="27">
        <f>N3384/(N3384+O3384)</f>
        <v/>
      </c>
      <c r="W3384" s="27">
        <f>U3384*V3384</f>
        <v/>
      </c>
      <c r="X3384" s="25">
        <f>T3384/N3384</f>
        <v/>
      </c>
      <c r="Y3384" s="28">
        <f>IF(W3384=MAXIFS(W$2:W$3601, A$2:A$3601, A3384, B$2:B$3601, B3384), "OPTIMAL", "")</f>
        <v/>
      </c>
    </row>
    <row r="3385" ht="20" customHeight="1">
      <c r="A3385" s="29" t="n">
        <v>-18</v>
      </c>
      <c r="B3385" s="29" t="n">
        <v>45</v>
      </c>
      <c r="C3385" s="30" t="n">
        <v>95</v>
      </c>
      <c r="D3385" s="30" t="n">
        <v>3</v>
      </c>
      <c r="E3385" s="6" t="n">
        <v>0</v>
      </c>
      <c r="F3385" s="30" t="n">
        <v>0</v>
      </c>
      <c r="G3385" s="6" t="inlineStr">
        <is>
          <t>Non</t>
        </is>
      </c>
      <c r="H3385" s="6" t="inlineStr">
        <is>
          <t>OFF</t>
        </is>
      </c>
      <c r="I3385" s="31" t="n">
        <v>885.2722778138215</v>
      </c>
      <c r="J3385" s="31" t="n">
        <v>10520.73059103506</v>
      </c>
      <c r="K3385" s="31" t="n">
        <v>5101.851851851852</v>
      </c>
      <c r="L3385" s="31" t="n">
        <v>150</v>
      </c>
      <c r="M3385" s="31">
        <f>I3385+J3385+K3385+L3385</f>
        <v/>
      </c>
      <c r="N3385" s="31">
        <f>M3385*'Dashboard &amp; Optimisation'!$B$18/('Dashboard &amp; Optimisation'!$B$16/3.6)</f>
        <v/>
      </c>
      <c r="O3385" s="31" t="n">
        <v>1179.975394704229</v>
      </c>
      <c r="P3385" s="32" t="n">
        <v>0.816766805835332</v>
      </c>
      <c r="Q3385" s="33" t="n">
        <v>0.2</v>
      </c>
      <c r="R3385" s="31" t="n">
        <v>617.0951783779861</v>
      </c>
      <c r="S3385" s="31">
        <f>R3385*IF(A3385=4, 2.0, 3.0)</f>
        <v/>
      </c>
      <c r="T3385" s="30">
        <f>'Dashboard &amp; Optimisation'!$B$18*U3385</f>
        <v/>
      </c>
      <c r="U3385" s="34">
        <f>MIN(1, S3385/M3385)</f>
        <v/>
      </c>
      <c r="V3385" s="34">
        <f>N3385/(N3385+O3385)</f>
        <v/>
      </c>
      <c r="W3385" s="34">
        <f>U3385*V3385</f>
        <v/>
      </c>
      <c r="X3385" s="32">
        <f>T3385/N3385</f>
        <v/>
      </c>
      <c r="Y3385" s="35">
        <f>IF(W3385=MAXIFS(W$2:W$3601, A$2:A$3601, A3385, B$2:B$3601, B3385), "OPTIMAL", "")</f>
        <v/>
      </c>
    </row>
    <row r="3386" ht="20" customHeight="1">
      <c r="A3386" s="21" t="n">
        <v>-18</v>
      </c>
      <c r="B3386" s="21" t="n">
        <v>45</v>
      </c>
      <c r="C3386" s="22" t="n">
        <v>95</v>
      </c>
      <c r="D3386" s="22" t="n">
        <v>3</v>
      </c>
      <c r="E3386" s="23" t="n">
        <v>4</v>
      </c>
      <c r="F3386" s="22" t="n">
        <v>1.5</v>
      </c>
      <c r="G3386" s="23" t="inlineStr">
        <is>
          <t>Oui</t>
        </is>
      </c>
      <c r="H3386" s="23" t="inlineStr">
        <is>
          <t>ON</t>
        </is>
      </c>
      <c r="I3386" s="24" t="n">
        <v>885.2722778138215</v>
      </c>
      <c r="J3386" s="24" t="n">
        <v>10520.73059103506</v>
      </c>
      <c r="K3386" s="24" t="n">
        <v>5101.851851851852</v>
      </c>
      <c r="L3386" s="24" t="n">
        <v>150</v>
      </c>
      <c r="M3386" s="24">
        <f>I3386+J3386+K3386+L3386</f>
        <v/>
      </c>
      <c r="N3386" s="24">
        <f>M3386*'Dashboard &amp; Optimisation'!$B$18/('Dashboard &amp; Optimisation'!$B$16/3.6)</f>
        <v/>
      </c>
      <c r="O3386" s="24" t="n">
        <v>1649.777374618378</v>
      </c>
      <c r="P3386" s="25" t="n">
        <v>0.07535655472626097</v>
      </c>
      <c r="Q3386" s="26" t="n">
        <v>7.231715741890194</v>
      </c>
      <c r="R3386" s="24" t="n">
        <v>6926.319236029357</v>
      </c>
      <c r="S3386" s="24">
        <f>R3386*IF(A3386=4, 2.0, 3.0)</f>
        <v/>
      </c>
      <c r="T3386" s="22">
        <f>'Dashboard &amp; Optimisation'!$B$18*U3386</f>
        <v/>
      </c>
      <c r="U3386" s="27">
        <f>MIN(1, S3386/M3386)</f>
        <v/>
      </c>
      <c r="V3386" s="27">
        <f>N3386/(N3386+O3386)</f>
        <v/>
      </c>
      <c r="W3386" s="27">
        <f>U3386*V3386</f>
        <v/>
      </c>
      <c r="X3386" s="25">
        <f>T3386/N3386</f>
        <v/>
      </c>
      <c r="Y3386" s="28">
        <f>IF(W3386=MAXIFS(W$2:W$3601, A$2:A$3601, A3386, B$2:B$3601, B3386), "OPTIMAL", "")</f>
        <v/>
      </c>
    </row>
    <row r="3387" ht="20" customHeight="1">
      <c r="A3387" s="29" t="n">
        <v>-18</v>
      </c>
      <c r="B3387" s="29" t="n">
        <v>45</v>
      </c>
      <c r="C3387" s="30" t="n">
        <v>95</v>
      </c>
      <c r="D3387" s="30" t="n">
        <v>3</v>
      </c>
      <c r="E3387" s="6" t="n">
        <v>4</v>
      </c>
      <c r="F3387" s="30" t="n">
        <v>1.5</v>
      </c>
      <c r="G3387" s="6" t="inlineStr">
        <is>
          <t>Oui</t>
        </is>
      </c>
      <c r="H3387" s="6" t="inlineStr">
        <is>
          <t>OFF</t>
        </is>
      </c>
      <c r="I3387" s="31" t="n">
        <v>885.2722778138215</v>
      </c>
      <c r="J3387" s="31" t="n">
        <v>10520.73059103506</v>
      </c>
      <c r="K3387" s="31" t="n">
        <v>5101.851851851852</v>
      </c>
      <c r="L3387" s="31" t="n">
        <v>150</v>
      </c>
      <c r="M3387" s="31">
        <f>I3387+J3387+K3387+L3387</f>
        <v/>
      </c>
      <c r="N3387" s="31">
        <f>M3387*'Dashboard &amp; Optimisation'!$B$18/('Dashboard &amp; Optimisation'!$B$16/3.6)</f>
        <v/>
      </c>
      <c r="O3387" s="31" t="n">
        <v>1649.777374618378</v>
      </c>
      <c r="P3387" s="32" t="n">
        <v>0.3178141987215173</v>
      </c>
      <c r="Q3387" s="33" t="n">
        <v>7.231715741890194</v>
      </c>
      <c r="R3387" s="31" t="n">
        <v>1642.291491887529</v>
      </c>
      <c r="S3387" s="31">
        <f>R3387*IF(A3387=4, 2.0, 3.0)</f>
        <v/>
      </c>
      <c r="T3387" s="30">
        <f>'Dashboard &amp; Optimisation'!$B$18*U3387</f>
        <v/>
      </c>
      <c r="U3387" s="34">
        <f>MIN(1, S3387/M3387)</f>
        <v/>
      </c>
      <c r="V3387" s="34">
        <f>N3387/(N3387+O3387)</f>
        <v/>
      </c>
      <c r="W3387" s="34">
        <f>U3387*V3387</f>
        <v/>
      </c>
      <c r="X3387" s="32">
        <f>T3387/N3387</f>
        <v/>
      </c>
      <c r="Y3387" s="35">
        <f>IF(W3387=MAXIFS(W$2:W$3601, A$2:A$3601, A3387, B$2:B$3601, B3387), "OPTIMAL", "")</f>
        <v/>
      </c>
    </row>
    <row r="3388" ht="20" customHeight="1">
      <c r="A3388" s="21" t="n">
        <v>-18</v>
      </c>
      <c r="B3388" s="21" t="n">
        <v>45</v>
      </c>
      <c r="C3388" s="22" t="n">
        <v>95</v>
      </c>
      <c r="D3388" s="22" t="n">
        <v>3</v>
      </c>
      <c r="E3388" s="23" t="n">
        <v>4</v>
      </c>
      <c r="F3388" s="22" t="n">
        <v>1.5</v>
      </c>
      <c r="G3388" s="23" t="inlineStr">
        <is>
          <t>Non</t>
        </is>
      </c>
      <c r="H3388" s="23" t="inlineStr">
        <is>
          <t>ON</t>
        </is>
      </c>
      <c r="I3388" s="24" t="n">
        <v>885.2722778138215</v>
      </c>
      <c r="J3388" s="24" t="n">
        <v>10520.73059103506</v>
      </c>
      <c r="K3388" s="24" t="n">
        <v>5101.851851851852</v>
      </c>
      <c r="L3388" s="24" t="n">
        <v>150</v>
      </c>
      <c r="M3388" s="24">
        <f>I3388+J3388+K3388+L3388</f>
        <v/>
      </c>
      <c r="N3388" s="24">
        <f>M3388*'Dashboard &amp; Optimisation'!$B$18/('Dashboard &amp; Optimisation'!$B$16/3.6)</f>
        <v/>
      </c>
      <c r="O3388" s="24" t="n">
        <v>1649.777374618378</v>
      </c>
      <c r="P3388" s="25" t="n">
        <v>0.07200592434537897</v>
      </c>
      <c r="Q3388" s="26" t="n">
        <v>7.231715741890194</v>
      </c>
      <c r="R3388" s="24" t="n">
        <v>7248.619600491197</v>
      </c>
      <c r="S3388" s="24">
        <f>R3388*IF(A3388=4, 2.0, 3.0)</f>
        <v/>
      </c>
      <c r="T3388" s="22">
        <f>'Dashboard &amp; Optimisation'!$B$18*U3388</f>
        <v/>
      </c>
      <c r="U3388" s="27">
        <f>MIN(1, S3388/M3388)</f>
        <v/>
      </c>
      <c r="V3388" s="27">
        <f>N3388/(N3388+O3388)</f>
        <v/>
      </c>
      <c r="W3388" s="27">
        <f>U3388*V3388</f>
        <v/>
      </c>
      <c r="X3388" s="25">
        <f>T3388/N3388</f>
        <v/>
      </c>
      <c r="Y3388" s="28">
        <f>IF(W3388=MAXIFS(W$2:W$3601, A$2:A$3601, A3388, B$2:B$3601, B3388), "OPTIMAL", "")</f>
        <v/>
      </c>
    </row>
    <row r="3389" ht="20" customHeight="1">
      <c r="A3389" s="29" t="n">
        <v>-18</v>
      </c>
      <c r="B3389" s="29" t="n">
        <v>45</v>
      </c>
      <c r="C3389" s="30" t="n">
        <v>95</v>
      </c>
      <c r="D3389" s="30" t="n">
        <v>3</v>
      </c>
      <c r="E3389" s="6" t="n">
        <v>4</v>
      </c>
      <c r="F3389" s="30" t="n">
        <v>1.5</v>
      </c>
      <c r="G3389" s="6" t="inlineStr">
        <is>
          <t>Non</t>
        </is>
      </c>
      <c r="H3389" s="6" t="inlineStr">
        <is>
          <t>OFF</t>
        </is>
      </c>
      <c r="I3389" s="31" t="n">
        <v>885.2722778138215</v>
      </c>
      <c r="J3389" s="31" t="n">
        <v>10520.73059103506</v>
      </c>
      <c r="K3389" s="31" t="n">
        <v>5101.851851851852</v>
      </c>
      <c r="L3389" s="31" t="n">
        <v>150</v>
      </c>
      <c r="M3389" s="31">
        <f>I3389+J3389+K3389+L3389</f>
        <v/>
      </c>
      <c r="N3389" s="31">
        <f>M3389*'Dashboard &amp; Optimisation'!$B$18/('Dashboard &amp; Optimisation'!$B$16/3.6)</f>
        <v/>
      </c>
      <c r="O3389" s="31" t="n">
        <v>1649.777374618378</v>
      </c>
      <c r="P3389" s="32" t="n">
        <v>0.3144635683406353</v>
      </c>
      <c r="Q3389" s="33" t="n">
        <v>7.231715741890194</v>
      </c>
      <c r="R3389" s="31" t="n">
        <v>1659.79021772092</v>
      </c>
      <c r="S3389" s="31">
        <f>R3389*IF(A3389=4, 2.0, 3.0)</f>
        <v/>
      </c>
      <c r="T3389" s="30">
        <f>'Dashboard &amp; Optimisation'!$B$18*U3389</f>
        <v/>
      </c>
      <c r="U3389" s="34">
        <f>MIN(1, S3389/M3389)</f>
        <v/>
      </c>
      <c r="V3389" s="34">
        <f>N3389/(N3389+O3389)</f>
        <v/>
      </c>
      <c r="W3389" s="34">
        <f>U3389*V3389</f>
        <v/>
      </c>
      <c r="X3389" s="32">
        <f>T3389/N3389</f>
        <v/>
      </c>
      <c r="Y3389" s="35">
        <f>IF(W3389=MAXIFS(W$2:W$3601, A$2:A$3601, A3389, B$2:B$3601, B3389), "OPTIMAL", "")</f>
        <v/>
      </c>
    </row>
    <row r="3390" ht="20" customHeight="1">
      <c r="A3390" s="21" t="n">
        <v>-18</v>
      </c>
      <c r="B3390" s="21" t="n">
        <v>45</v>
      </c>
      <c r="C3390" s="22" t="n">
        <v>95</v>
      </c>
      <c r="D3390" s="22" t="n">
        <v>3</v>
      </c>
      <c r="E3390" s="23" t="n">
        <v>4</v>
      </c>
      <c r="F3390" s="22" t="n">
        <v>2</v>
      </c>
      <c r="G3390" s="23" t="inlineStr">
        <is>
          <t>Oui</t>
        </is>
      </c>
      <c r="H3390" s="23" t="inlineStr">
        <is>
          <t>ON</t>
        </is>
      </c>
      <c r="I3390" s="24" t="n">
        <v>885.2722778138215</v>
      </c>
      <c r="J3390" s="24" t="n">
        <v>10520.73059103506</v>
      </c>
      <c r="K3390" s="24" t="n">
        <v>5101.851851851852</v>
      </c>
      <c r="L3390" s="24" t="n">
        <v>150</v>
      </c>
      <c r="M3390" s="24">
        <f>I3390+J3390+K3390+L3390</f>
        <v/>
      </c>
      <c r="N3390" s="24">
        <f>M3390*'Dashboard &amp; Optimisation'!$B$18/('Dashboard &amp; Optimisation'!$B$16/3.6)</f>
        <v/>
      </c>
      <c r="O3390" s="24" t="n">
        <v>1813.891060559089</v>
      </c>
      <c r="P3390" s="25" t="n">
        <v>0.072877449969957</v>
      </c>
      <c r="Q3390" s="26" t="n">
        <v>9.575620989186925</v>
      </c>
      <c r="R3390" s="24" t="n">
        <v>7247.834636993597</v>
      </c>
      <c r="S3390" s="24">
        <f>R3390*IF(A3390=4, 2.0, 3.0)</f>
        <v/>
      </c>
      <c r="T3390" s="22">
        <f>'Dashboard &amp; Optimisation'!$B$18*U3390</f>
        <v/>
      </c>
      <c r="U3390" s="27">
        <f>MIN(1, S3390/M3390)</f>
        <v/>
      </c>
      <c r="V3390" s="27">
        <f>N3390/(N3390+O3390)</f>
        <v/>
      </c>
      <c r="W3390" s="27">
        <f>U3390*V3390</f>
        <v/>
      </c>
      <c r="X3390" s="25">
        <f>T3390/N3390</f>
        <v/>
      </c>
      <c r="Y3390" s="28">
        <f>IF(W3390=MAXIFS(W$2:W$3601, A$2:A$3601, A3390, B$2:B$3601, B3390), "OPTIMAL", "")</f>
        <v/>
      </c>
    </row>
    <row r="3391" ht="20" customHeight="1">
      <c r="A3391" s="29" t="n">
        <v>-18</v>
      </c>
      <c r="B3391" s="29" t="n">
        <v>45</v>
      </c>
      <c r="C3391" s="30" t="n">
        <v>95</v>
      </c>
      <c r="D3391" s="30" t="n">
        <v>3</v>
      </c>
      <c r="E3391" s="6" t="n">
        <v>4</v>
      </c>
      <c r="F3391" s="30" t="n">
        <v>2</v>
      </c>
      <c r="G3391" s="6" t="inlineStr">
        <is>
          <t>Oui</t>
        </is>
      </c>
      <c r="H3391" s="6" t="inlineStr">
        <is>
          <t>OFF</t>
        </is>
      </c>
      <c r="I3391" s="31" t="n">
        <v>885.2722778138215</v>
      </c>
      <c r="J3391" s="31" t="n">
        <v>10520.73059103506</v>
      </c>
      <c r="K3391" s="31" t="n">
        <v>5101.851851851852</v>
      </c>
      <c r="L3391" s="31" t="n">
        <v>150</v>
      </c>
      <c r="M3391" s="31">
        <f>I3391+J3391+K3391+L3391</f>
        <v/>
      </c>
      <c r="N3391" s="31">
        <f>M3391*'Dashboard &amp; Optimisation'!$B$18/('Dashboard &amp; Optimisation'!$B$16/3.6)</f>
        <v/>
      </c>
      <c r="O3391" s="31" t="n">
        <v>1813.891060559089</v>
      </c>
      <c r="P3391" s="32" t="n">
        <v>0.3165144364464006</v>
      </c>
      <c r="Q3391" s="33" t="n">
        <v>9.575620989186925</v>
      </c>
      <c r="R3391" s="31" t="n">
        <v>1668.813947566874</v>
      </c>
      <c r="S3391" s="31">
        <f>R3391*IF(A3391=4, 2.0, 3.0)</f>
        <v/>
      </c>
      <c r="T3391" s="30">
        <f>'Dashboard &amp; Optimisation'!$B$18*U3391</f>
        <v/>
      </c>
      <c r="U3391" s="34">
        <f>MIN(1, S3391/M3391)</f>
        <v/>
      </c>
      <c r="V3391" s="34">
        <f>N3391/(N3391+O3391)</f>
        <v/>
      </c>
      <c r="W3391" s="34">
        <f>U3391*V3391</f>
        <v/>
      </c>
      <c r="X3391" s="32">
        <f>T3391/N3391</f>
        <v/>
      </c>
      <c r="Y3391" s="35">
        <f>IF(W3391=MAXIFS(W$2:W$3601, A$2:A$3601, A3391, B$2:B$3601, B3391), "OPTIMAL", "")</f>
        <v/>
      </c>
    </row>
    <row r="3392" ht="20" customHeight="1">
      <c r="A3392" s="21" t="n">
        <v>-18</v>
      </c>
      <c r="B3392" s="21" t="n">
        <v>45</v>
      </c>
      <c r="C3392" s="22" t="n">
        <v>95</v>
      </c>
      <c r="D3392" s="22" t="n">
        <v>3</v>
      </c>
      <c r="E3392" s="23" t="n">
        <v>4</v>
      </c>
      <c r="F3392" s="22" t="n">
        <v>2</v>
      </c>
      <c r="G3392" s="23" t="inlineStr">
        <is>
          <t>Non</t>
        </is>
      </c>
      <c r="H3392" s="23" t="inlineStr">
        <is>
          <t>ON</t>
        </is>
      </c>
      <c r="I3392" s="24" t="n">
        <v>885.2722778138215</v>
      </c>
      <c r="J3392" s="24" t="n">
        <v>10520.73059103506</v>
      </c>
      <c r="K3392" s="24" t="n">
        <v>5101.851851851852</v>
      </c>
      <c r="L3392" s="24" t="n">
        <v>150</v>
      </c>
      <c r="M3392" s="24">
        <f>I3392+J3392+K3392+L3392</f>
        <v/>
      </c>
      <c r="N3392" s="24">
        <f>M3392*'Dashboard &amp; Optimisation'!$B$18/('Dashboard &amp; Optimisation'!$B$16/3.6)</f>
        <v/>
      </c>
      <c r="O3392" s="24" t="n">
        <v>1813.891060559089</v>
      </c>
      <c r="P3392" s="25" t="n">
        <v>0.06952681958907499</v>
      </c>
      <c r="Q3392" s="26" t="n">
        <v>9.575620989186925</v>
      </c>
      <c r="R3392" s="24" t="n">
        <v>7597.121647011464</v>
      </c>
      <c r="S3392" s="24">
        <f>R3392*IF(A3392=4, 2.0, 3.0)</f>
        <v/>
      </c>
      <c r="T3392" s="22">
        <f>'Dashboard &amp; Optimisation'!$B$18*U3392</f>
        <v/>
      </c>
      <c r="U3392" s="27">
        <f>MIN(1, S3392/M3392)</f>
        <v/>
      </c>
      <c r="V3392" s="27">
        <f>N3392/(N3392+O3392)</f>
        <v/>
      </c>
      <c r="W3392" s="27">
        <f>U3392*V3392</f>
        <v/>
      </c>
      <c r="X3392" s="25">
        <f>T3392/N3392</f>
        <v/>
      </c>
      <c r="Y3392" s="28">
        <f>IF(W3392=MAXIFS(W$2:W$3601, A$2:A$3601, A3392, B$2:B$3601, B3392), "OPTIMAL", "")</f>
        <v/>
      </c>
    </row>
    <row r="3393" ht="20" customHeight="1">
      <c r="A3393" s="29" t="n">
        <v>-18</v>
      </c>
      <c r="B3393" s="29" t="n">
        <v>45</v>
      </c>
      <c r="C3393" s="30" t="n">
        <v>95</v>
      </c>
      <c r="D3393" s="30" t="n">
        <v>3</v>
      </c>
      <c r="E3393" s="6" t="n">
        <v>4</v>
      </c>
      <c r="F3393" s="30" t="n">
        <v>2</v>
      </c>
      <c r="G3393" s="6" t="inlineStr">
        <is>
          <t>Non</t>
        </is>
      </c>
      <c r="H3393" s="6" t="inlineStr">
        <is>
          <t>OFF</t>
        </is>
      </c>
      <c r="I3393" s="31" t="n">
        <v>885.2722778138215</v>
      </c>
      <c r="J3393" s="31" t="n">
        <v>10520.73059103506</v>
      </c>
      <c r="K3393" s="31" t="n">
        <v>5101.851851851852</v>
      </c>
      <c r="L3393" s="31" t="n">
        <v>150</v>
      </c>
      <c r="M3393" s="31">
        <f>I3393+J3393+K3393+L3393</f>
        <v/>
      </c>
      <c r="N3393" s="31">
        <f>M3393*'Dashboard &amp; Optimisation'!$B$18/('Dashboard &amp; Optimisation'!$B$16/3.6)</f>
        <v/>
      </c>
      <c r="O3393" s="31" t="n">
        <v>1813.891060559089</v>
      </c>
      <c r="P3393" s="32" t="n">
        <v>0.3131638060655186</v>
      </c>
      <c r="Q3393" s="33" t="n">
        <v>9.575620989186925</v>
      </c>
      <c r="R3393" s="31" t="n">
        <v>1686.669071960104</v>
      </c>
      <c r="S3393" s="31">
        <f>R3393*IF(A3393=4, 2.0, 3.0)</f>
        <v/>
      </c>
      <c r="T3393" s="30">
        <f>'Dashboard &amp; Optimisation'!$B$18*U3393</f>
        <v/>
      </c>
      <c r="U3393" s="34">
        <f>MIN(1, S3393/M3393)</f>
        <v/>
      </c>
      <c r="V3393" s="34">
        <f>N3393/(N3393+O3393)</f>
        <v/>
      </c>
      <c r="W3393" s="34">
        <f>U3393*V3393</f>
        <v/>
      </c>
      <c r="X3393" s="32">
        <f>T3393/N3393</f>
        <v/>
      </c>
      <c r="Y3393" s="35">
        <f>IF(W3393=MAXIFS(W$2:W$3601, A$2:A$3601, A3393, B$2:B$3601, B3393), "OPTIMAL", "")</f>
        <v/>
      </c>
    </row>
    <row r="3394" ht="20" customHeight="1">
      <c r="A3394" s="21" t="n">
        <v>-18</v>
      </c>
      <c r="B3394" s="21" t="n">
        <v>45</v>
      </c>
      <c r="C3394" s="22" t="n">
        <v>95</v>
      </c>
      <c r="D3394" s="22" t="n">
        <v>3</v>
      </c>
      <c r="E3394" s="23" t="n">
        <v>8</v>
      </c>
      <c r="F3394" s="22" t="n">
        <v>1.5</v>
      </c>
      <c r="G3394" s="23" t="inlineStr">
        <is>
          <t>Oui</t>
        </is>
      </c>
      <c r="H3394" s="23" t="inlineStr">
        <is>
          <t>ON</t>
        </is>
      </c>
      <c r="I3394" s="24" t="n">
        <v>885.2722778138215</v>
      </c>
      <c r="J3394" s="24" t="n">
        <v>10520.73059103506</v>
      </c>
      <c r="K3394" s="24" t="n">
        <v>5101.851851851852</v>
      </c>
      <c r="L3394" s="24" t="n">
        <v>150</v>
      </c>
      <c r="M3394" s="24">
        <f>I3394+J3394+K3394+L3394</f>
        <v/>
      </c>
      <c r="N3394" s="24">
        <f>M3394*'Dashboard &amp; Optimisation'!$B$18/('Dashboard &amp; Optimisation'!$B$16/3.6)</f>
        <v/>
      </c>
      <c r="O3394" s="24" t="n">
        <v>2154.218899570295</v>
      </c>
      <c r="P3394" s="25" t="n">
        <v>0.05688455314032285</v>
      </c>
      <c r="Q3394" s="26" t="n">
        <v>14.26343148378039</v>
      </c>
      <c r="R3394" s="24" t="n">
        <v>9513.752931982217</v>
      </c>
      <c r="S3394" s="24">
        <f>R3394*IF(A3394=4, 2.0, 3.0)</f>
        <v/>
      </c>
      <c r="T3394" s="22">
        <f>'Dashboard &amp; Optimisation'!$B$18*U3394</f>
        <v/>
      </c>
      <c r="U3394" s="27">
        <f>MIN(1, S3394/M3394)</f>
        <v/>
      </c>
      <c r="V3394" s="27">
        <f>N3394/(N3394+O3394)</f>
        <v/>
      </c>
      <c r="W3394" s="27">
        <f>U3394*V3394</f>
        <v/>
      </c>
      <c r="X3394" s="25">
        <f>T3394/N3394</f>
        <v/>
      </c>
      <c r="Y3394" s="28">
        <f>IF(W3394=MAXIFS(W$2:W$3601, A$2:A$3601, A3394, B$2:B$3601, B3394), "OPTIMAL", "")</f>
        <v/>
      </c>
    </row>
    <row r="3395" ht="20" customHeight="1">
      <c r="A3395" s="29" t="n">
        <v>-18</v>
      </c>
      <c r="B3395" s="29" t="n">
        <v>45</v>
      </c>
      <c r="C3395" s="30" t="n">
        <v>95</v>
      </c>
      <c r="D3395" s="30" t="n">
        <v>3</v>
      </c>
      <c r="E3395" s="6" t="n">
        <v>8</v>
      </c>
      <c r="F3395" s="30" t="n">
        <v>1.5</v>
      </c>
      <c r="G3395" s="6" t="inlineStr">
        <is>
          <t>Oui</t>
        </is>
      </c>
      <c r="H3395" s="6" t="inlineStr">
        <is>
          <t>OFF</t>
        </is>
      </c>
      <c r="I3395" s="31" t="n">
        <v>885.2722778138215</v>
      </c>
      <c r="J3395" s="31" t="n">
        <v>10520.73059103506</v>
      </c>
      <c r="K3395" s="31" t="n">
        <v>5101.851851851852</v>
      </c>
      <c r="L3395" s="31" t="n">
        <v>150</v>
      </c>
      <c r="M3395" s="31">
        <f>I3395+J3395+K3395+L3395</f>
        <v/>
      </c>
      <c r="N3395" s="31">
        <f>M3395*'Dashboard &amp; Optimisation'!$B$18/('Dashboard &amp; Optimisation'!$B$16/3.6)</f>
        <v/>
      </c>
      <c r="O3395" s="31" t="n">
        <v>2154.218899570295</v>
      </c>
      <c r="P3395" s="32" t="n">
        <v>0.246840465467505</v>
      </c>
      <c r="Q3395" s="33" t="n">
        <v>14.26343148378039</v>
      </c>
      <c r="R3395" s="31" t="n">
        <v>2192.450833368277</v>
      </c>
      <c r="S3395" s="31">
        <f>R3395*IF(A3395=4, 2.0, 3.0)</f>
        <v/>
      </c>
      <c r="T3395" s="30">
        <f>'Dashboard &amp; Optimisation'!$B$18*U3395</f>
        <v/>
      </c>
      <c r="U3395" s="34">
        <f>MIN(1, S3395/M3395)</f>
        <v/>
      </c>
      <c r="V3395" s="34">
        <f>N3395/(N3395+O3395)</f>
        <v/>
      </c>
      <c r="W3395" s="34">
        <f>U3395*V3395</f>
        <v/>
      </c>
      <c r="X3395" s="32">
        <f>T3395/N3395</f>
        <v/>
      </c>
      <c r="Y3395" s="35">
        <f>IF(W3395=MAXIFS(W$2:W$3601, A$2:A$3601, A3395, B$2:B$3601, B3395), "OPTIMAL", "")</f>
        <v/>
      </c>
    </row>
    <row r="3396" ht="20" customHeight="1">
      <c r="A3396" s="21" t="n">
        <v>-18</v>
      </c>
      <c r="B3396" s="21" t="n">
        <v>45</v>
      </c>
      <c r="C3396" s="22" t="n">
        <v>95</v>
      </c>
      <c r="D3396" s="22" t="n">
        <v>3</v>
      </c>
      <c r="E3396" s="23" t="n">
        <v>8</v>
      </c>
      <c r="F3396" s="22" t="n">
        <v>1.5</v>
      </c>
      <c r="G3396" s="23" t="inlineStr">
        <is>
          <t>Non</t>
        </is>
      </c>
      <c r="H3396" s="23" t="inlineStr">
        <is>
          <t>ON</t>
        </is>
      </c>
      <c r="I3396" s="24" t="n">
        <v>885.2722778138215</v>
      </c>
      <c r="J3396" s="24" t="n">
        <v>10520.73059103506</v>
      </c>
      <c r="K3396" s="24" t="n">
        <v>5101.851851851852</v>
      </c>
      <c r="L3396" s="24" t="n">
        <v>150</v>
      </c>
      <c r="M3396" s="24">
        <f>I3396+J3396+K3396+L3396</f>
        <v/>
      </c>
      <c r="N3396" s="24">
        <f>M3396*'Dashboard &amp; Optimisation'!$B$18/('Dashboard &amp; Optimisation'!$B$16/3.6)</f>
        <v/>
      </c>
      <c r="O3396" s="24" t="n">
        <v>2154.218899570295</v>
      </c>
      <c r="P3396" s="25" t="n">
        <v>0.05353392275944084</v>
      </c>
      <c r="Q3396" s="26" t="n">
        <v>14.26343148378039</v>
      </c>
      <c r="R3396" s="24" t="n">
        <v>10109.20844816673</v>
      </c>
      <c r="S3396" s="24">
        <f>R3396*IF(A3396=4, 2.0, 3.0)</f>
        <v/>
      </c>
      <c r="T3396" s="22">
        <f>'Dashboard &amp; Optimisation'!$B$18*U3396</f>
        <v/>
      </c>
      <c r="U3396" s="27">
        <f>MIN(1, S3396/M3396)</f>
        <v/>
      </c>
      <c r="V3396" s="27">
        <f>N3396/(N3396+O3396)</f>
        <v/>
      </c>
      <c r="W3396" s="27">
        <f>U3396*V3396</f>
        <v/>
      </c>
      <c r="X3396" s="25">
        <f>T3396/N3396</f>
        <v/>
      </c>
      <c r="Y3396" s="28">
        <f>IF(W3396=MAXIFS(W$2:W$3601, A$2:A$3601, A3396, B$2:B$3601, B3396), "OPTIMAL", "")</f>
        <v/>
      </c>
    </row>
    <row r="3397" ht="20" customHeight="1">
      <c r="A3397" s="29" t="n">
        <v>-18</v>
      </c>
      <c r="B3397" s="29" t="n">
        <v>45</v>
      </c>
      <c r="C3397" s="30" t="n">
        <v>95</v>
      </c>
      <c r="D3397" s="30" t="n">
        <v>3</v>
      </c>
      <c r="E3397" s="6" t="n">
        <v>8</v>
      </c>
      <c r="F3397" s="30" t="n">
        <v>1.5</v>
      </c>
      <c r="G3397" s="6" t="inlineStr">
        <is>
          <t>Non</t>
        </is>
      </c>
      <c r="H3397" s="6" t="inlineStr">
        <is>
          <t>OFF</t>
        </is>
      </c>
      <c r="I3397" s="31" t="n">
        <v>885.2722778138215</v>
      </c>
      <c r="J3397" s="31" t="n">
        <v>10520.73059103506</v>
      </c>
      <c r="K3397" s="31" t="n">
        <v>5101.851851851852</v>
      </c>
      <c r="L3397" s="31" t="n">
        <v>150</v>
      </c>
      <c r="M3397" s="31">
        <f>I3397+J3397+K3397+L3397</f>
        <v/>
      </c>
      <c r="N3397" s="31">
        <f>M3397*'Dashboard &amp; Optimisation'!$B$18/('Dashboard &amp; Optimisation'!$B$16/3.6)</f>
        <v/>
      </c>
      <c r="O3397" s="31" t="n">
        <v>2154.218899570295</v>
      </c>
      <c r="P3397" s="32" t="n">
        <v>0.2434898350866229</v>
      </c>
      <c r="Q3397" s="33" t="n">
        <v>14.26343148378039</v>
      </c>
      <c r="R3397" s="31" t="n">
        <v>2222.620849986262</v>
      </c>
      <c r="S3397" s="31">
        <f>R3397*IF(A3397=4, 2.0, 3.0)</f>
        <v/>
      </c>
      <c r="T3397" s="30">
        <f>'Dashboard &amp; Optimisation'!$B$18*U3397</f>
        <v/>
      </c>
      <c r="U3397" s="34">
        <f>MIN(1, S3397/M3397)</f>
        <v/>
      </c>
      <c r="V3397" s="34">
        <f>N3397/(N3397+O3397)</f>
        <v/>
      </c>
      <c r="W3397" s="34">
        <f>U3397*V3397</f>
        <v/>
      </c>
      <c r="X3397" s="32">
        <f>T3397/N3397</f>
        <v/>
      </c>
      <c r="Y3397" s="35">
        <f>IF(W3397=MAXIFS(W$2:W$3601, A$2:A$3601, A3397, B$2:B$3601, B3397), "OPTIMAL", "")</f>
        <v/>
      </c>
    </row>
    <row r="3398" ht="20" customHeight="1">
      <c r="A3398" s="21" t="n">
        <v>-18</v>
      </c>
      <c r="B3398" s="21" t="n">
        <v>45</v>
      </c>
      <c r="C3398" s="22" t="n">
        <v>95</v>
      </c>
      <c r="D3398" s="22" t="n">
        <v>3</v>
      </c>
      <c r="E3398" s="23" t="n">
        <v>8</v>
      </c>
      <c r="F3398" s="22" t="n">
        <v>2</v>
      </c>
      <c r="G3398" s="23" t="inlineStr">
        <is>
          <t>Oui</t>
        </is>
      </c>
      <c r="H3398" s="23" t="inlineStr">
        <is>
          <t>ON</t>
        </is>
      </c>
      <c r="I3398" s="24" t="n">
        <v>885.2722778138215</v>
      </c>
      <c r="J3398" s="24" t="n">
        <v>10520.73059103506</v>
      </c>
      <c r="K3398" s="24" t="n">
        <v>5101.851851851852</v>
      </c>
      <c r="L3398" s="24" t="n">
        <v>150</v>
      </c>
      <c r="M3398" s="24">
        <f>I3398+J3398+K3398+L3398</f>
        <v/>
      </c>
      <c r="N3398" s="24">
        <f>M3398*'Dashboard &amp; Optimisation'!$B$18/('Dashboard &amp; Optimisation'!$B$16/3.6)</f>
        <v/>
      </c>
      <c r="O3398" s="24" t="n">
        <v>2511.696999967642</v>
      </c>
      <c r="P3398" s="25" t="n">
        <v>0.0557699285087862</v>
      </c>
      <c r="Q3398" s="26" t="n">
        <v>18.95124197837385</v>
      </c>
      <c r="R3398" s="24" t="n">
        <v>9948.401898937695</v>
      </c>
      <c r="S3398" s="24">
        <f>R3398*IF(A3398=4, 2.0, 3.0)</f>
        <v/>
      </c>
      <c r="T3398" s="22">
        <f>'Dashboard &amp; Optimisation'!$B$18*U3398</f>
        <v/>
      </c>
      <c r="U3398" s="27">
        <f>MIN(1, S3398/M3398)</f>
        <v/>
      </c>
      <c r="V3398" s="27">
        <f>N3398/(N3398+O3398)</f>
        <v/>
      </c>
      <c r="W3398" s="27">
        <f>U3398*V3398</f>
        <v/>
      </c>
      <c r="X3398" s="25">
        <f>T3398/N3398</f>
        <v/>
      </c>
      <c r="Y3398" s="28">
        <f>IF(W3398=MAXIFS(W$2:W$3601, A$2:A$3601, A3398, B$2:B$3601, B3398), "OPTIMAL", "")</f>
        <v/>
      </c>
    </row>
    <row r="3399" ht="20" customHeight="1">
      <c r="A3399" s="29" t="n">
        <v>-18</v>
      </c>
      <c r="B3399" s="29" t="n">
        <v>45</v>
      </c>
      <c r="C3399" s="30" t="n">
        <v>95</v>
      </c>
      <c r="D3399" s="30" t="n">
        <v>3</v>
      </c>
      <c r="E3399" s="6" t="n">
        <v>8</v>
      </c>
      <c r="F3399" s="30" t="n">
        <v>2</v>
      </c>
      <c r="G3399" s="6" t="inlineStr">
        <is>
          <t>Oui</t>
        </is>
      </c>
      <c r="H3399" s="6" t="inlineStr">
        <is>
          <t>OFF</t>
        </is>
      </c>
      <c r="I3399" s="31" t="n">
        <v>885.2722778138215</v>
      </c>
      <c r="J3399" s="31" t="n">
        <v>10520.73059103506</v>
      </c>
      <c r="K3399" s="31" t="n">
        <v>5101.851851851852</v>
      </c>
      <c r="L3399" s="31" t="n">
        <v>150</v>
      </c>
      <c r="M3399" s="31">
        <f>I3399+J3399+K3399+L3399</f>
        <v/>
      </c>
      <c r="N3399" s="31">
        <f>M3399*'Dashboard &amp; Optimisation'!$B$18/('Dashboard &amp; Optimisation'!$B$16/3.6)</f>
        <v/>
      </c>
      <c r="O3399" s="31" t="n">
        <v>2511.696999967642</v>
      </c>
      <c r="P3399" s="32" t="n">
        <v>0.2471780798795112</v>
      </c>
      <c r="Q3399" s="33" t="n">
        <v>18.95124197837385</v>
      </c>
      <c r="R3399" s="31" t="n">
        <v>2244.623240664706</v>
      </c>
      <c r="S3399" s="31">
        <f>R3399*IF(A3399=4, 2.0, 3.0)</f>
        <v/>
      </c>
      <c r="T3399" s="30">
        <f>'Dashboard &amp; Optimisation'!$B$18*U3399</f>
        <v/>
      </c>
      <c r="U3399" s="34">
        <f>MIN(1, S3399/M3399)</f>
        <v/>
      </c>
      <c r="V3399" s="34">
        <f>N3399/(N3399+O3399)</f>
        <v/>
      </c>
      <c r="W3399" s="34">
        <f>U3399*V3399</f>
        <v/>
      </c>
      <c r="X3399" s="32">
        <f>T3399/N3399</f>
        <v/>
      </c>
      <c r="Y3399" s="35">
        <f>IF(W3399=MAXIFS(W$2:W$3601, A$2:A$3601, A3399, B$2:B$3601, B3399), "OPTIMAL", "")</f>
        <v/>
      </c>
    </row>
    <row r="3400" ht="20" customHeight="1">
      <c r="A3400" s="21" t="n">
        <v>-18</v>
      </c>
      <c r="B3400" s="21" t="n">
        <v>45</v>
      </c>
      <c r="C3400" s="22" t="n">
        <v>95</v>
      </c>
      <c r="D3400" s="22" t="n">
        <v>3</v>
      </c>
      <c r="E3400" s="23" t="n">
        <v>8</v>
      </c>
      <c r="F3400" s="22" t="n">
        <v>2</v>
      </c>
      <c r="G3400" s="23" t="inlineStr">
        <is>
          <t>Non</t>
        </is>
      </c>
      <c r="H3400" s="23" t="inlineStr">
        <is>
          <t>ON</t>
        </is>
      </c>
      <c r="I3400" s="24" t="n">
        <v>885.2722778138215</v>
      </c>
      <c r="J3400" s="24" t="n">
        <v>10520.73059103506</v>
      </c>
      <c r="K3400" s="24" t="n">
        <v>5101.851851851852</v>
      </c>
      <c r="L3400" s="24" t="n">
        <v>150</v>
      </c>
      <c r="M3400" s="24">
        <f>I3400+J3400+K3400+L3400</f>
        <v/>
      </c>
      <c r="N3400" s="24">
        <f>M3400*'Dashboard &amp; Optimisation'!$B$18/('Dashboard &amp; Optimisation'!$B$16/3.6)</f>
        <v/>
      </c>
      <c r="O3400" s="24" t="n">
        <v>2511.696999967642</v>
      </c>
      <c r="P3400" s="25" t="n">
        <v>0.05241929812790419</v>
      </c>
      <c r="Q3400" s="26" t="n">
        <v>18.95124197837385</v>
      </c>
      <c r="R3400" s="24" t="n">
        <v>10584.30163117887</v>
      </c>
      <c r="S3400" s="24">
        <f>R3400*IF(A3400=4, 2.0, 3.0)</f>
        <v/>
      </c>
      <c r="T3400" s="22">
        <f>'Dashboard &amp; Optimisation'!$B$18*U3400</f>
        <v/>
      </c>
      <c r="U3400" s="27">
        <f>MIN(1, S3400/M3400)</f>
        <v/>
      </c>
      <c r="V3400" s="27">
        <f>N3400/(N3400+O3400)</f>
        <v/>
      </c>
      <c r="W3400" s="27">
        <f>U3400*V3400</f>
        <v/>
      </c>
      <c r="X3400" s="25">
        <f>T3400/N3400</f>
        <v/>
      </c>
      <c r="Y3400" s="28">
        <f>IF(W3400=MAXIFS(W$2:W$3601, A$2:A$3601, A3400, B$2:B$3601, B3400), "OPTIMAL", "")</f>
        <v/>
      </c>
    </row>
    <row r="3401" ht="20" customHeight="1">
      <c r="A3401" s="29" t="n">
        <v>-18</v>
      </c>
      <c r="B3401" s="29" t="n">
        <v>45</v>
      </c>
      <c r="C3401" s="30" t="n">
        <v>95</v>
      </c>
      <c r="D3401" s="30" t="n">
        <v>3</v>
      </c>
      <c r="E3401" s="6" t="n">
        <v>8</v>
      </c>
      <c r="F3401" s="30" t="n">
        <v>2</v>
      </c>
      <c r="G3401" s="6" t="inlineStr">
        <is>
          <t>Non</t>
        </is>
      </c>
      <c r="H3401" s="6" t="inlineStr">
        <is>
          <t>OFF</t>
        </is>
      </c>
      <c r="I3401" s="31" t="n">
        <v>885.2722778138215</v>
      </c>
      <c r="J3401" s="31" t="n">
        <v>10520.73059103506</v>
      </c>
      <c r="K3401" s="31" t="n">
        <v>5101.851851851852</v>
      </c>
      <c r="L3401" s="31" t="n">
        <v>150</v>
      </c>
      <c r="M3401" s="31">
        <f>I3401+J3401+K3401+L3401</f>
        <v/>
      </c>
      <c r="N3401" s="31">
        <f>M3401*'Dashboard &amp; Optimisation'!$B$18/('Dashboard &amp; Optimisation'!$B$16/3.6)</f>
        <v/>
      </c>
      <c r="O3401" s="31" t="n">
        <v>2511.696999967642</v>
      </c>
      <c r="P3401" s="32" t="n">
        <v>0.2438274494986292</v>
      </c>
      <c r="Q3401" s="33" t="n">
        <v>18.95124197837385</v>
      </c>
      <c r="R3401" s="31" t="n">
        <v>2275.468425812112</v>
      </c>
      <c r="S3401" s="31">
        <f>R3401*IF(A3401=4, 2.0, 3.0)</f>
        <v/>
      </c>
      <c r="T3401" s="30">
        <f>'Dashboard &amp; Optimisation'!$B$18*U3401</f>
        <v/>
      </c>
      <c r="U3401" s="34">
        <f>MIN(1, S3401/M3401)</f>
        <v/>
      </c>
      <c r="V3401" s="34">
        <f>N3401/(N3401+O3401)</f>
        <v/>
      </c>
      <c r="W3401" s="34">
        <f>U3401*V3401</f>
        <v/>
      </c>
      <c r="X3401" s="32">
        <f>T3401/N3401</f>
        <v/>
      </c>
      <c r="Y3401" s="35">
        <f>IF(W3401=MAXIFS(W$2:W$3601, A$2:A$3601, A3401, B$2:B$3601, B3401), "OPTIMAL", "")</f>
        <v/>
      </c>
    </row>
    <row r="3402" ht="20" customHeight="1">
      <c r="A3402" s="21" t="n">
        <v>-18</v>
      </c>
      <c r="B3402" s="21" t="n">
        <v>45</v>
      </c>
      <c r="C3402" s="22" t="n">
        <v>100</v>
      </c>
      <c r="D3402" s="22" t="n">
        <v>2</v>
      </c>
      <c r="E3402" s="23" t="n">
        <v>0</v>
      </c>
      <c r="F3402" s="22" t="n">
        <v>0</v>
      </c>
      <c r="G3402" s="23" t="inlineStr">
        <is>
          <t>Oui</t>
        </is>
      </c>
      <c r="H3402" s="23" t="inlineStr">
        <is>
          <t>ON</t>
        </is>
      </c>
      <c r="I3402" s="24" t="n">
        <v>885.2722778138215</v>
      </c>
      <c r="J3402" s="24" t="n">
        <v>10520.73059103506</v>
      </c>
      <c r="K3402" s="24" t="n">
        <v>5101.851851851852</v>
      </c>
      <c r="L3402" s="24" t="n">
        <v>150</v>
      </c>
      <c r="M3402" s="24">
        <f>I3402+J3402+K3402+L3402</f>
        <v/>
      </c>
      <c r="N3402" s="24">
        <f>M3402*'Dashboard &amp; Optimisation'!$B$18/('Dashboard &amp; Optimisation'!$B$16/3.6)</f>
        <v/>
      </c>
      <c r="O3402" s="24" t="n">
        <v>720.2072482185333</v>
      </c>
      <c r="P3402" s="25" t="n">
        <v>0.4806796209288155</v>
      </c>
      <c r="Q3402" s="26" t="n">
        <v>0.2</v>
      </c>
      <c r="R3402" s="24" t="n">
        <v>901.2225908675189</v>
      </c>
      <c r="S3402" s="24">
        <f>R3402*IF(A3402=4, 2.0, 3.0)</f>
        <v/>
      </c>
      <c r="T3402" s="22">
        <f>'Dashboard &amp; Optimisation'!$B$18*U3402</f>
        <v/>
      </c>
      <c r="U3402" s="27">
        <f>MIN(1, S3402/M3402)</f>
        <v/>
      </c>
      <c r="V3402" s="27">
        <f>N3402/(N3402+O3402)</f>
        <v/>
      </c>
      <c r="W3402" s="27">
        <f>U3402*V3402</f>
        <v/>
      </c>
      <c r="X3402" s="25">
        <f>T3402/N3402</f>
        <v/>
      </c>
      <c r="Y3402" s="28">
        <f>IF(W3402=MAXIFS(W$2:W$3601, A$2:A$3601, A3402, B$2:B$3601, B3402), "OPTIMAL", "")</f>
        <v/>
      </c>
    </row>
    <row r="3403" ht="20" customHeight="1">
      <c r="A3403" s="29" t="n">
        <v>-18</v>
      </c>
      <c r="B3403" s="29" t="n">
        <v>45</v>
      </c>
      <c r="C3403" s="30" t="n">
        <v>100</v>
      </c>
      <c r="D3403" s="30" t="n">
        <v>2</v>
      </c>
      <c r="E3403" s="6" t="n">
        <v>0</v>
      </c>
      <c r="F3403" s="30" t="n">
        <v>0</v>
      </c>
      <c r="G3403" s="6" t="inlineStr">
        <is>
          <t>Oui</t>
        </is>
      </c>
      <c r="H3403" s="6" t="inlineStr">
        <is>
          <t>OFF</t>
        </is>
      </c>
      <c r="I3403" s="31" t="n">
        <v>885.2722778138215</v>
      </c>
      <c r="J3403" s="31" t="n">
        <v>10520.73059103506</v>
      </c>
      <c r="K3403" s="31" t="n">
        <v>5101.851851851852</v>
      </c>
      <c r="L3403" s="31" t="n">
        <v>150</v>
      </c>
      <c r="M3403" s="31">
        <f>I3403+J3403+K3403+L3403</f>
        <v/>
      </c>
      <c r="N3403" s="31">
        <f>M3403*'Dashboard &amp; Optimisation'!$B$18/('Dashboard &amp; Optimisation'!$B$16/3.6)</f>
        <v/>
      </c>
      <c r="O3403" s="31" t="n">
        <v>720.2072482185333</v>
      </c>
      <c r="P3403" s="32" t="n">
        <v>0.7989895071126063</v>
      </c>
      <c r="Q3403" s="33" t="n">
        <v>0.2</v>
      </c>
      <c r="R3403" s="31" t="n">
        <v>542.1840080430876</v>
      </c>
      <c r="S3403" s="31">
        <f>R3403*IF(A3403=4, 2.0, 3.0)</f>
        <v/>
      </c>
      <c r="T3403" s="30">
        <f>'Dashboard &amp; Optimisation'!$B$18*U3403</f>
        <v/>
      </c>
      <c r="U3403" s="34">
        <f>MIN(1, S3403/M3403)</f>
        <v/>
      </c>
      <c r="V3403" s="34">
        <f>N3403/(N3403+O3403)</f>
        <v/>
      </c>
      <c r="W3403" s="34">
        <f>U3403*V3403</f>
        <v/>
      </c>
      <c r="X3403" s="32">
        <f>T3403/N3403</f>
        <v/>
      </c>
      <c r="Y3403" s="35">
        <f>IF(W3403=MAXIFS(W$2:W$3601, A$2:A$3601, A3403, B$2:B$3601, B3403), "OPTIMAL", "")</f>
        <v/>
      </c>
    </row>
    <row r="3404" ht="20" customHeight="1">
      <c r="A3404" s="21" t="n">
        <v>-18</v>
      </c>
      <c r="B3404" s="21" t="n">
        <v>45</v>
      </c>
      <c r="C3404" s="22" t="n">
        <v>100</v>
      </c>
      <c r="D3404" s="22" t="n">
        <v>2</v>
      </c>
      <c r="E3404" s="23" t="n">
        <v>0</v>
      </c>
      <c r="F3404" s="22" t="n">
        <v>0</v>
      </c>
      <c r="G3404" s="23" t="inlineStr">
        <is>
          <t>Non</t>
        </is>
      </c>
      <c r="H3404" s="23" t="inlineStr">
        <is>
          <t>ON</t>
        </is>
      </c>
      <c r="I3404" s="24" t="n">
        <v>885.2722778138215</v>
      </c>
      <c r="J3404" s="24" t="n">
        <v>10520.73059103506</v>
      </c>
      <c r="K3404" s="24" t="n">
        <v>5101.851851851852</v>
      </c>
      <c r="L3404" s="24" t="n">
        <v>150</v>
      </c>
      <c r="M3404" s="24">
        <f>I3404+J3404+K3404+L3404</f>
        <v/>
      </c>
      <c r="N3404" s="24">
        <f>M3404*'Dashboard &amp; Optimisation'!$B$18/('Dashboard &amp; Optimisation'!$B$16/3.6)</f>
        <v/>
      </c>
      <c r="O3404" s="24" t="n">
        <v>720.2072482185333</v>
      </c>
      <c r="P3404" s="25" t="n">
        <v>0.4774965220669776</v>
      </c>
      <c r="Q3404" s="26" t="n">
        <v>0.2</v>
      </c>
      <c r="R3404" s="24" t="n">
        <v>907.2303426953963</v>
      </c>
      <c r="S3404" s="24">
        <f>R3404*IF(A3404=4, 2.0, 3.0)</f>
        <v/>
      </c>
      <c r="T3404" s="22">
        <f>'Dashboard &amp; Optimisation'!$B$18*U3404</f>
        <v/>
      </c>
      <c r="U3404" s="27">
        <f>MIN(1, S3404/M3404)</f>
        <v/>
      </c>
      <c r="V3404" s="27">
        <f>N3404/(N3404+O3404)</f>
        <v/>
      </c>
      <c r="W3404" s="27">
        <f>U3404*V3404</f>
        <v/>
      </c>
      <c r="X3404" s="25">
        <f>T3404/N3404</f>
        <v/>
      </c>
      <c r="Y3404" s="28">
        <f>IF(W3404=MAXIFS(W$2:W$3601, A$2:A$3601, A3404, B$2:B$3601, B3404), "OPTIMAL", "")</f>
        <v/>
      </c>
    </row>
    <row r="3405" ht="20" customHeight="1">
      <c r="A3405" s="29" t="n">
        <v>-18</v>
      </c>
      <c r="B3405" s="29" t="n">
        <v>45</v>
      </c>
      <c r="C3405" s="30" t="n">
        <v>100</v>
      </c>
      <c r="D3405" s="30" t="n">
        <v>2</v>
      </c>
      <c r="E3405" s="6" t="n">
        <v>0</v>
      </c>
      <c r="F3405" s="30" t="n">
        <v>0</v>
      </c>
      <c r="G3405" s="6" t="inlineStr">
        <is>
          <t>Non</t>
        </is>
      </c>
      <c r="H3405" s="6" t="inlineStr">
        <is>
          <t>OFF</t>
        </is>
      </c>
      <c r="I3405" s="31" t="n">
        <v>885.2722778138215</v>
      </c>
      <c r="J3405" s="31" t="n">
        <v>10520.73059103506</v>
      </c>
      <c r="K3405" s="31" t="n">
        <v>5101.851851851852</v>
      </c>
      <c r="L3405" s="31" t="n">
        <v>150</v>
      </c>
      <c r="M3405" s="31">
        <f>I3405+J3405+K3405+L3405</f>
        <v/>
      </c>
      <c r="N3405" s="31">
        <f>M3405*'Dashboard &amp; Optimisation'!$B$18/('Dashboard &amp; Optimisation'!$B$16/3.6)</f>
        <v/>
      </c>
      <c r="O3405" s="31" t="n">
        <v>720.2072482185333</v>
      </c>
      <c r="P3405" s="32" t="n">
        <v>0.7958064082507683</v>
      </c>
      <c r="Q3405" s="33" t="n">
        <v>0.2</v>
      </c>
      <c r="R3405" s="31" t="n">
        <v>544.3526577058897</v>
      </c>
      <c r="S3405" s="31">
        <f>R3405*IF(A3405=4, 2.0, 3.0)</f>
        <v/>
      </c>
      <c r="T3405" s="30">
        <f>'Dashboard &amp; Optimisation'!$B$18*U3405</f>
        <v/>
      </c>
      <c r="U3405" s="34">
        <f>MIN(1, S3405/M3405)</f>
        <v/>
      </c>
      <c r="V3405" s="34">
        <f>N3405/(N3405+O3405)</f>
        <v/>
      </c>
      <c r="W3405" s="34">
        <f>U3405*V3405</f>
        <v/>
      </c>
      <c r="X3405" s="32">
        <f>T3405/N3405</f>
        <v/>
      </c>
      <c r="Y3405" s="35">
        <f>IF(W3405=MAXIFS(W$2:W$3601, A$2:A$3601, A3405, B$2:B$3601, B3405), "OPTIMAL", "")</f>
        <v/>
      </c>
    </row>
    <row r="3406" ht="20" customHeight="1">
      <c r="A3406" s="21" t="n">
        <v>-18</v>
      </c>
      <c r="B3406" s="21" t="n">
        <v>45</v>
      </c>
      <c r="C3406" s="22" t="n">
        <v>100</v>
      </c>
      <c r="D3406" s="22" t="n">
        <v>2</v>
      </c>
      <c r="E3406" s="23" t="n">
        <v>4</v>
      </c>
      <c r="F3406" s="22" t="n">
        <v>1.5</v>
      </c>
      <c r="G3406" s="23" t="inlineStr">
        <is>
          <t>Oui</t>
        </is>
      </c>
      <c r="H3406" s="23" t="inlineStr">
        <is>
          <t>ON</t>
        </is>
      </c>
      <c r="I3406" s="24" t="n">
        <v>885.2722778138215</v>
      </c>
      <c r="J3406" s="24" t="n">
        <v>10520.73059103506</v>
      </c>
      <c r="K3406" s="24" t="n">
        <v>5101.851851851852</v>
      </c>
      <c r="L3406" s="24" t="n">
        <v>150</v>
      </c>
      <c r="M3406" s="24">
        <f>I3406+J3406+K3406+L3406</f>
        <v/>
      </c>
      <c r="N3406" s="24">
        <f>M3406*'Dashboard &amp; Optimisation'!$B$18/('Dashboard &amp; Optimisation'!$B$16/3.6)</f>
        <v/>
      </c>
      <c r="O3406" s="24" t="n">
        <v>1130.958866315073</v>
      </c>
      <c r="P3406" s="25" t="n">
        <v>0.07376163664698646</v>
      </c>
      <c r="Q3406" s="26" t="n">
        <v>6.718986469044035</v>
      </c>
      <c r="R3406" s="24" t="n">
        <v>6066.051000464697</v>
      </c>
      <c r="S3406" s="24">
        <f>R3406*IF(A3406=4, 2.0, 3.0)</f>
        <v/>
      </c>
      <c r="T3406" s="22">
        <f>'Dashboard &amp; Optimisation'!$B$18*U3406</f>
        <v/>
      </c>
      <c r="U3406" s="27">
        <f>MIN(1, S3406/M3406)</f>
        <v/>
      </c>
      <c r="V3406" s="27">
        <f>N3406/(N3406+O3406)</f>
        <v/>
      </c>
      <c r="W3406" s="27">
        <f>U3406*V3406</f>
        <v/>
      </c>
      <c r="X3406" s="25">
        <f>T3406/N3406</f>
        <v/>
      </c>
      <c r="Y3406" s="28">
        <f>IF(W3406=MAXIFS(W$2:W$3601, A$2:A$3601, A3406, B$2:B$3601, B3406), "OPTIMAL", "")</f>
        <v/>
      </c>
    </row>
    <row r="3407" ht="20" customHeight="1">
      <c r="A3407" s="29" t="n">
        <v>-18</v>
      </c>
      <c r="B3407" s="29" t="n">
        <v>45</v>
      </c>
      <c r="C3407" s="30" t="n">
        <v>100</v>
      </c>
      <c r="D3407" s="30" t="n">
        <v>2</v>
      </c>
      <c r="E3407" s="6" t="n">
        <v>4</v>
      </c>
      <c r="F3407" s="30" t="n">
        <v>1.5</v>
      </c>
      <c r="G3407" s="6" t="inlineStr">
        <is>
          <t>Oui</t>
        </is>
      </c>
      <c r="H3407" s="6" t="inlineStr">
        <is>
          <t>OFF</t>
        </is>
      </c>
      <c r="I3407" s="31" t="n">
        <v>885.2722778138215</v>
      </c>
      <c r="J3407" s="31" t="n">
        <v>10520.73059103506</v>
      </c>
      <c r="K3407" s="31" t="n">
        <v>5101.851851851852</v>
      </c>
      <c r="L3407" s="31" t="n">
        <v>150</v>
      </c>
      <c r="M3407" s="31">
        <f>I3407+J3407+K3407+L3407</f>
        <v/>
      </c>
      <c r="N3407" s="31">
        <f>M3407*'Dashboard &amp; Optimisation'!$B$18/('Dashboard &amp; Optimisation'!$B$16/3.6)</f>
        <v/>
      </c>
      <c r="O3407" s="31" t="n">
        <v>1130.958866315073</v>
      </c>
      <c r="P3407" s="32" t="n">
        <v>0.3073240714228834</v>
      </c>
      <c r="Q3407" s="33" t="n">
        <v>6.718986469044035</v>
      </c>
      <c r="R3407" s="31" t="n">
        <v>1455.92842014213</v>
      </c>
      <c r="S3407" s="31">
        <f>R3407*IF(A3407=4, 2.0, 3.0)</f>
        <v/>
      </c>
      <c r="T3407" s="30">
        <f>'Dashboard &amp; Optimisation'!$B$18*U3407</f>
        <v/>
      </c>
      <c r="U3407" s="34">
        <f>MIN(1, S3407/M3407)</f>
        <v/>
      </c>
      <c r="V3407" s="34">
        <f>N3407/(N3407+O3407)</f>
        <v/>
      </c>
      <c r="W3407" s="34">
        <f>U3407*V3407</f>
        <v/>
      </c>
      <c r="X3407" s="32">
        <f>T3407/N3407</f>
        <v/>
      </c>
      <c r="Y3407" s="35">
        <f>IF(W3407=MAXIFS(W$2:W$3601, A$2:A$3601, A3407, B$2:B$3601, B3407), "OPTIMAL", "")</f>
        <v/>
      </c>
    </row>
    <row r="3408" ht="20" customHeight="1">
      <c r="A3408" s="21" t="n">
        <v>-18</v>
      </c>
      <c r="B3408" s="21" t="n">
        <v>45</v>
      </c>
      <c r="C3408" s="22" t="n">
        <v>100</v>
      </c>
      <c r="D3408" s="22" t="n">
        <v>2</v>
      </c>
      <c r="E3408" s="23" t="n">
        <v>4</v>
      </c>
      <c r="F3408" s="22" t="n">
        <v>1.5</v>
      </c>
      <c r="G3408" s="23" t="inlineStr">
        <is>
          <t>Non</t>
        </is>
      </c>
      <c r="H3408" s="23" t="inlineStr">
        <is>
          <t>ON</t>
        </is>
      </c>
      <c r="I3408" s="24" t="n">
        <v>885.2722778138215</v>
      </c>
      <c r="J3408" s="24" t="n">
        <v>10520.73059103506</v>
      </c>
      <c r="K3408" s="24" t="n">
        <v>5101.851851851852</v>
      </c>
      <c r="L3408" s="24" t="n">
        <v>150</v>
      </c>
      <c r="M3408" s="24">
        <f>I3408+J3408+K3408+L3408</f>
        <v/>
      </c>
      <c r="N3408" s="24">
        <f>M3408*'Dashboard &amp; Optimisation'!$B$18/('Dashboard &amp; Optimisation'!$B$16/3.6)</f>
        <v/>
      </c>
      <c r="O3408" s="24" t="n">
        <v>1130.958866315073</v>
      </c>
      <c r="P3408" s="25" t="n">
        <v>0.07057853778514854</v>
      </c>
      <c r="Q3408" s="26" t="n">
        <v>6.718986469044035</v>
      </c>
      <c r="R3408" s="24" t="n">
        <v>6339.630485693037</v>
      </c>
      <c r="S3408" s="24">
        <f>R3408*IF(A3408=4, 2.0, 3.0)</f>
        <v/>
      </c>
      <c r="T3408" s="22">
        <f>'Dashboard &amp; Optimisation'!$B$18*U3408</f>
        <v/>
      </c>
      <c r="U3408" s="27">
        <f>MIN(1, S3408/M3408)</f>
        <v/>
      </c>
      <c r="V3408" s="27">
        <f>N3408/(N3408+O3408)</f>
        <v/>
      </c>
      <c r="W3408" s="27">
        <f>U3408*V3408</f>
        <v/>
      </c>
      <c r="X3408" s="25">
        <f>T3408/N3408</f>
        <v/>
      </c>
      <c r="Y3408" s="28">
        <f>IF(W3408=MAXIFS(W$2:W$3601, A$2:A$3601, A3408, B$2:B$3601, B3408), "OPTIMAL", "")</f>
        <v/>
      </c>
    </row>
    <row r="3409" ht="20" customHeight="1">
      <c r="A3409" s="29" t="n">
        <v>-18</v>
      </c>
      <c r="B3409" s="29" t="n">
        <v>45</v>
      </c>
      <c r="C3409" s="30" t="n">
        <v>100</v>
      </c>
      <c r="D3409" s="30" t="n">
        <v>2</v>
      </c>
      <c r="E3409" s="6" t="n">
        <v>4</v>
      </c>
      <c r="F3409" s="30" t="n">
        <v>1.5</v>
      </c>
      <c r="G3409" s="6" t="inlineStr">
        <is>
          <t>Non</t>
        </is>
      </c>
      <c r="H3409" s="6" t="inlineStr">
        <is>
          <t>OFF</t>
        </is>
      </c>
      <c r="I3409" s="31" t="n">
        <v>885.2722778138215</v>
      </c>
      <c r="J3409" s="31" t="n">
        <v>10520.73059103506</v>
      </c>
      <c r="K3409" s="31" t="n">
        <v>5101.851851851852</v>
      </c>
      <c r="L3409" s="31" t="n">
        <v>150</v>
      </c>
      <c r="M3409" s="31">
        <f>I3409+J3409+K3409+L3409</f>
        <v/>
      </c>
      <c r="N3409" s="31">
        <f>M3409*'Dashboard &amp; Optimisation'!$B$18/('Dashboard &amp; Optimisation'!$B$16/3.6)</f>
        <v/>
      </c>
      <c r="O3409" s="31" t="n">
        <v>1130.958866315073</v>
      </c>
      <c r="P3409" s="32" t="n">
        <v>0.3041409725610454</v>
      </c>
      <c r="Q3409" s="33" t="n">
        <v>6.718986469044035</v>
      </c>
      <c r="R3409" s="31" t="n">
        <v>1471.165972840301</v>
      </c>
      <c r="S3409" s="31">
        <f>R3409*IF(A3409=4, 2.0, 3.0)</f>
        <v/>
      </c>
      <c r="T3409" s="30">
        <f>'Dashboard &amp; Optimisation'!$B$18*U3409</f>
        <v/>
      </c>
      <c r="U3409" s="34">
        <f>MIN(1, S3409/M3409)</f>
        <v/>
      </c>
      <c r="V3409" s="34">
        <f>N3409/(N3409+O3409)</f>
        <v/>
      </c>
      <c r="W3409" s="34">
        <f>U3409*V3409</f>
        <v/>
      </c>
      <c r="X3409" s="32">
        <f>T3409/N3409</f>
        <v/>
      </c>
      <c r="Y3409" s="35">
        <f>IF(W3409=MAXIFS(W$2:W$3601, A$2:A$3601, A3409, B$2:B$3601, B3409), "OPTIMAL", "")</f>
        <v/>
      </c>
    </row>
    <row r="3410" ht="20" customHeight="1">
      <c r="A3410" s="21" t="n">
        <v>-18</v>
      </c>
      <c r="B3410" s="21" t="n">
        <v>45</v>
      </c>
      <c r="C3410" s="22" t="n">
        <v>100</v>
      </c>
      <c r="D3410" s="22" t="n">
        <v>2</v>
      </c>
      <c r="E3410" s="23" t="n">
        <v>4</v>
      </c>
      <c r="F3410" s="22" t="n">
        <v>2</v>
      </c>
      <c r="G3410" s="23" t="inlineStr">
        <is>
          <t>Oui</t>
        </is>
      </c>
      <c r="H3410" s="23" t="inlineStr">
        <is>
          <t>ON</t>
        </is>
      </c>
      <c r="I3410" s="24" t="n">
        <v>885.2722778138215</v>
      </c>
      <c r="J3410" s="24" t="n">
        <v>10520.73059103506</v>
      </c>
      <c r="K3410" s="24" t="n">
        <v>5101.851851851852</v>
      </c>
      <c r="L3410" s="24" t="n">
        <v>150</v>
      </c>
      <c r="M3410" s="24">
        <f>I3410+J3410+K3410+L3410</f>
        <v/>
      </c>
      <c r="N3410" s="24">
        <f>M3410*'Dashboard &amp; Optimisation'!$B$18/('Dashboard &amp; Optimisation'!$B$16/3.6)</f>
        <v/>
      </c>
      <c r="O3410" s="24" t="n">
        <v>1273.944574270618</v>
      </c>
      <c r="P3410" s="25" t="n">
        <v>0.07106618988155999</v>
      </c>
      <c r="Q3410" s="26" t="n">
        <v>8.891981958725379</v>
      </c>
      <c r="R3410" s="24" t="n">
        <v>6365.89321786239</v>
      </c>
      <c r="S3410" s="24">
        <f>R3410*IF(A3410=4, 2.0, 3.0)</f>
        <v/>
      </c>
      <c r="T3410" s="22">
        <f>'Dashboard &amp; Optimisation'!$B$18*U3410</f>
        <v/>
      </c>
      <c r="U3410" s="27">
        <f>MIN(1, S3410/M3410)</f>
        <v/>
      </c>
      <c r="V3410" s="27">
        <f>N3410/(N3410+O3410)</f>
        <v/>
      </c>
      <c r="W3410" s="27">
        <f>U3410*V3410</f>
        <v/>
      </c>
      <c r="X3410" s="25">
        <f>T3410/N3410</f>
        <v/>
      </c>
      <c r="Y3410" s="28">
        <f>IF(W3410=MAXIFS(W$2:W$3601, A$2:A$3601, A3410, B$2:B$3601, B3410), "OPTIMAL", "")</f>
        <v/>
      </c>
    </row>
    <row r="3411" ht="20" customHeight="1">
      <c r="A3411" s="29" t="n">
        <v>-18</v>
      </c>
      <c r="B3411" s="29" t="n">
        <v>45</v>
      </c>
      <c r="C3411" s="30" t="n">
        <v>100</v>
      </c>
      <c r="D3411" s="30" t="n">
        <v>2</v>
      </c>
      <c r="E3411" s="6" t="n">
        <v>4</v>
      </c>
      <c r="F3411" s="30" t="n">
        <v>2</v>
      </c>
      <c r="G3411" s="6" t="inlineStr">
        <is>
          <t>Oui</t>
        </is>
      </c>
      <c r="H3411" s="6" t="inlineStr">
        <is>
          <t>OFF</t>
        </is>
      </c>
      <c r="I3411" s="31" t="n">
        <v>885.2722778138215</v>
      </c>
      <c r="J3411" s="31" t="n">
        <v>10520.73059103506</v>
      </c>
      <c r="K3411" s="31" t="n">
        <v>5101.851851851852</v>
      </c>
      <c r="L3411" s="31" t="n">
        <v>150</v>
      </c>
      <c r="M3411" s="31">
        <f>I3411+J3411+K3411+L3411</f>
        <v/>
      </c>
      <c r="N3411" s="31">
        <f>M3411*'Dashboard &amp; Optimisation'!$B$18/('Dashboard &amp; Optimisation'!$B$16/3.6)</f>
        <v/>
      </c>
      <c r="O3411" s="31" t="n">
        <v>1273.944574270618</v>
      </c>
      <c r="P3411" s="32" t="n">
        <v>0.3057228026390766</v>
      </c>
      <c r="Q3411" s="33" t="n">
        <v>8.891981958725379</v>
      </c>
      <c r="R3411" s="31" t="n">
        <v>1479.771126919923</v>
      </c>
      <c r="S3411" s="31">
        <f>R3411*IF(A3411=4, 2.0, 3.0)</f>
        <v/>
      </c>
      <c r="T3411" s="30">
        <f>'Dashboard &amp; Optimisation'!$B$18*U3411</f>
        <v/>
      </c>
      <c r="U3411" s="34">
        <f>MIN(1, S3411/M3411)</f>
        <v/>
      </c>
      <c r="V3411" s="34">
        <f>N3411/(N3411+O3411)</f>
        <v/>
      </c>
      <c r="W3411" s="34">
        <f>U3411*V3411</f>
        <v/>
      </c>
      <c r="X3411" s="32">
        <f>T3411/N3411</f>
        <v/>
      </c>
      <c r="Y3411" s="35">
        <f>IF(W3411=MAXIFS(W$2:W$3601, A$2:A$3601, A3411, B$2:B$3601, B3411), "OPTIMAL", "")</f>
        <v/>
      </c>
    </row>
    <row r="3412" ht="20" customHeight="1">
      <c r="A3412" s="21" t="n">
        <v>-18</v>
      </c>
      <c r="B3412" s="21" t="n">
        <v>45</v>
      </c>
      <c r="C3412" s="22" t="n">
        <v>100</v>
      </c>
      <c r="D3412" s="22" t="n">
        <v>2</v>
      </c>
      <c r="E3412" s="23" t="n">
        <v>4</v>
      </c>
      <c r="F3412" s="22" t="n">
        <v>2</v>
      </c>
      <c r="G3412" s="23" t="inlineStr">
        <is>
          <t>Non</t>
        </is>
      </c>
      <c r="H3412" s="23" t="inlineStr">
        <is>
          <t>ON</t>
        </is>
      </c>
      <c r="I3412" s="24" t="n">
        <v>885.2722778138215</v>
      </c>
      <c r="J3412" s="24" t="n">
        <v>10520.73059103506</v>
      </c>
      <c r="K3412" s="24" t="n">
        <v>5101.851851851852</v>
      </c>
      <c r="L3412" s="24" t="n">
        <v>150</v>
      </c>
      <c r="M3412" s="24">
        <f>I3412+J3412+K3412+L3412</f>
        <v/>
      </c>
      <c r="N3412" s="24">
        <f>M3412*'Dashboard &amp; Optimisation'!$B$18/('Dashboard &amp; Optimisation'!$B$16/3.6)</f>
        <v/>
      </c>
      <c r="O3412" s="24" t="n">
        <v>1273.944574270618</v>
      </c>
      <c r="P3412" s="25" t="n">
        <v>0.06788309101972209</v>
      </c>
      <c r="Q3412" s="26" t="n">
        <v>8.891981958725379</v>
      </c>
      <c r="R3412" s="24" t="n">
        <v>6664.395645373716</v>
      </c>
      <c r="S3412" s="24">
        <f>R3412*IF(A3412=4, 2.0, 3.0)</f>
        <v/>
      </c>
      <c r="T3412" s="22">
        <f>'Dashboard &amp; Optimisation'!$B$18*U3412</f>
        <v/>
      </c>
      <c r="U3412" s="27">
        <f>MIN(1, S3412/M3412)</f>
        <v/>
      </c>
      <c r="V3412" s="27">
        <f>N3412/(N3412+O3412)</f>
        <v/>
      </c>
      <c r="W3412" s="27">
        <f>U3412*V3412</f>
        <v/>
      </c>
      <c r="X3412" s="25">
        <f>T3412/N3412</f>
        <v/>
      </c>
      <c r="Y3412" s="28">
        <f>IF(W3412=MAXIFS(W$2:W$3601, A$2:A$3601, A3412, B$2:B$3601, B3412), "OPTIMAL", "")</f>
        <v/>
      </c>
    </row>
    <row r="3413" ht="20" customHeight="1">
      <c r="A3413" s="29" t="n">
        <v>-18</v>
      </c>
      <c r="B3413" s="29" t="n">
        <v>45</v>
      </c>
      <c r="C3413" s="30" t="n">
        <v>100</v>
      </c>
      <c r="D3413" s="30" t="n">
        <v>2</v>
      </c>
      <c r="E3413" s="6" t="n">
        <v>4</v>
      </c>
      <c r="F3413" s="30" t="n">
        <v>2</v>
      </c>
      <c r="G3413" s="6" t="inlineStr">
        <is>
          <t>Non</t>
        </is>
      </c>
      <c r="H3413" s="6" t="inlineStr">
        <is>
          <t>OFF</t>
        </is>
      </c>
      <c r="I3413" s="31" t="n">
        <v>885.2722778138215</v>
      </c>
      <c r="J3413" s="31" t="n">
        <v>10520.73059103506</v>
      </c>
      <c r="K3413" s="31" t="n">
        <v>5101.851851851852</v>
      </c>
      <c r="L3413" s="31" t="n">
        <v>150</v>
      </c>
      <c r="M3413" s="31">
        <f>I3413+J3413+K3413+L3413</f>
        <v/>
      </c>
      <c r="N3413" s="31">
        <f>M3413*'Dashboard &amp; Optimisation'!$B$18/('Dashboard &amp; Optimisation'!$B$16/3.6)</f>
        <v/>
      </c>
      <c r="O3413" s="31" t="n">
        <v>1273.944574270618</v>
      </c>
      <c r="P3413" s="32" t="n">
        <v>0.3025397037772387</v>
      </c>
      <c r="Q3413" s="33" t="n">
        <v>8.891981958725379</v>
      </c>
      <c r="R3413" s="31" t="n">
        <v>1495.3401835795</v>
      </c>
      <c r="S3413" s="31">
        <f>R3413*IF(A3413=4, 2.0, 3.0)</f>
        <v/>
      </c>
      <c r="T3413" s="30">
        <f>'Dashboard &amp; Optimisation'!$B$18*U3413</f>
        <v/>
      </c>
      <c r="U3413" s="34">
        <f>MIN(1, S3413/M3413)</f>
        <v/>
      </c>
      <c r="V3413" s="34">
        <f>N3413/(N3413+O3413)</f>
        <v/>
      </c>
      <c r="W3413" s="34">
        <f>U3413*V3413</f>
        <v/>
      </c>
      <c r="X3413" s="32">
        <f>T3413/N3413</f>
        <v/>
      </c>
      <c r="Y3413" s="35">
        <f>IF(W3413=MAXIFS(W$2:W$3601, A$2:A$3601, A3413, B$2:B$3601, B3413), "OPTIMAL", "")</f>
        <v/>
      </c>
    </row>
    <row r="3414" ht="20" customHeight="1">
      <c r="A3414" s="21" t="n">
        <v>-18</v>
      </c>
      <c r="B3414" s="21" t="n">
        <v>45</v>
      </c>
      <c r="C3414" s="22" t="n">
        <v>100</v>
      </c>
      <c r="D3414" s="22" t="n">
        <v>2</v>
      </c>
      <c r="E3414" s="23" t="n">
        <v>8</v>
      </c>
      <c r="F3414" s="22" t="n">
        <v>1.5</v>
      </c>
      <c r="G3414" s="23" t="inlineStr">
        <is>
          <t>Oui</t>
        </is>
      </c>
      <c r="H3414" s="23" t="inlineStr">
        <is>
          <t>ON</t>
        </is>
      </c>
      <c r="I3414" s="24" t="n">
        <v>885.2722778138215</v>
      </c>
      <c r="J3414" s="24" t="n">
        <v>10520.73059103506</v>
      </c>
      <c r="K3414" s="24" t="n">
        <v>5101.851851851852</v>
      </c>
      <c r="L3414" s="24" t="n">
        <v>150</v>
      </c>
      <c r="M3414" s="24">
        <f>I3414+J3414+K3414+L3414</f>
        <v/>
      </c>
      <c r="N3414" s="24">
        <f>M3414*'Dashboard &amp; Optimisation'!$B$18/('Dashboard &amp; Optimisation'!$B$16/3.6)</f>
        <v/>
      </c>
      <c r="O3414" s="24" t="n">
        <v>1569.637642687268</v>
      </c>
      <c r="P3414" s="25" t="n">
        <v>0.05573050288457804</v>
      </c>
      <c r="Q3414" s="26" t="n">
        <v>13.23797293808807</v>
      </c>
      <c r="R3414" s="24" t="n">
        <v>8301.606774607129</v>
      </c>
      <c r="S3414" s="24">
        <f>R3414*IF(A3414=4, 2.0, 3.0)</f>
        <v/>
      </c>
      <c r="T3414" s="22">
        <f>'Dashboard &amp; Optimisation'!$B$18*U3414</f>
        <v/>
      </c>
      <c r="U3414" s="27">
        <f>MIN(1, S3414/M3414)</f>
        <v/>
      </c>
      <c r="V3414" s="27">
        <f>N3414/(N3414+O3414)</f>
        <v/>
      </c>
      <c r="W3414" s="27">
        <f>U3414*V3414</f>
        <v/>
      </c>
      <c r="X3414" s="25">
        <f>T3414/N3414</f>
        <v/>
      </c>
      <c r="Y3414" s="28">
        <f>IF(W3414=MAXIFS(W$2:W$3601, A$2:A$3601, A3414, B$2:B$3601, B3414), "OPTIMAL", "")</f>
        <v/>
      </c>
    </row>
    <row r="3415" ht="20" customHeight="1">
      <c r="A3415" s="29" t="n">
        <v>-18</v>
      </c>
      <c r="B3415" s="29" t="n">
        <v>45</v>
      </c>
      <c r="C3415" s="30" t="n">
        <v>100</v>
      </c>
      <c r="D3415" s="30" t="n">
        <v>2</v>
      </c>
      <c r="E3415" s="6" t="n">
        <v>8</v>
      </c>
      <c r="F3415" s="30" t="n">
        <v>1.5</v>
      </c>
      <c r="G3415" s="6" t="inlineStr">
        <is>
          <t>Oui</t>
        </is>
      </c>
      <c r="H3415" s="6" t="inlineStr">
        <is>
          <t>OFF</t>
        </is>
      </c>
      <c r="I3415" s="31" t="n">
        <v>885.2722778138215</v>
      </c>
      <c r="J3415" s="31" t="n">
        <v>10520.73059103506</v>
      </c>
      <c r="K3415" s="31" t="n">
        <v>5101.851851851852</v>
      </c>
      <c r="L3415" s="31" t="n">
        <v>150</v>
      </c>
      <c r="M3415" s="31">
        <f>I3415+J3415+K3415+L3415</f>
        <v/>
      </c>
      <c r="N3415" s="31">
        <f>M3415*'Dashboard &amp; Optimisation'!$B$18/('Dashboard &amp; Optimisation'!$B$16/3.6)</f>
        <v/>
      </c>
      <c r="O3415" s="31" t="n">
        <v>1569.637642687268</v>
      </c>
      <c r="P3415" s="32" t="n">
        <v>0.2401827722650424</v>
      </c>
      <c r="Q3415" s="33" t="n">
        <v>13.23797293808807</v>
      </c>
      <c r="R3415" s="31" t="n">
        <v>1926.252728019712</v>
      </c>
      <c r="S3415" s="31">
        <f>R3415*IF(A3415=4, 2.0, 3.0)</f>
        <v/>
      </c>
      <c r="T3415" s="30">
        <f>'Dashboard &amp; Optimisation'!$B$18*U3415</f>
        <v/>
      </c>
      <c r="U3415" s="34">
        <f>MIN(1, S3415/M3415)</f>
        <v/>
      </c>
      <c r="V3415" s="34">
        <f>N3415/(N3415+O3415)</f>
        <v/>
      </c>
      <c r="W3415" s="34">
        <f>U3415*V3415</f>
        <v/>
      </c>
      <c r="X3415" s="32">
        <f>T3415/N3415</f>
        <v/>
      </c>
      <c r="Y3415" s="35">
        <f>IF(W3415=MAXIFS(W$2:W$3601, A$2:A$3601, A3415, B$2:B$3601, B3415), "OPTIMAL", "")</f>
        <v/>
      </c>
    </row>
    <row r="3416" ht="20" customHeight="1">
      <c r="A3416" s="21" t="n">
        <v>-18</v>
      </c>
      <c r="B3416" s="21" t="n">
        <v>45</v>
      </c>
      <c r="C3416" s="22" t="n">
        <v>100</v>
      </c>
      <c r="D3416" s="22" t="n">
        <v>2</v>
      </c>
      <c r="E3416" s="23" t="n">
        <v>8</v>
      </c>
      <c r="F3416" s="22" t="n">
        <v>1.5</v>
      </c>
      <c r="G3416" s="23" t="inlineStr">
        <is>
          <t>Non</t>
        </is>
      </c>
      <c r="H3416" s="23" t="inlineStr">
        <is>
          <t>ON</t>
        </is>
      </c>
      <c r="I3416" s="24" t="n">
        <v>885.2722778138215</v>
      </c>
      <c r="J3416" s="24" t="n">
        <v>10520.73059103506</v>
      </c>
      <c r="K3416" s="24" t="n">
        <v>5101.851851851852</v>
      </c>
      <c r="L3416" s="24" t="n">
        <v>150</v>
      </c>
      <c r="M3416" s="24">
        <f>I3416+J3416+K3416+L3416</f>
        <v/>
      </c>
      <c r="N3416" s="24">
        <f>M3416*'Dashboard &amp; Optimisation'!$B$18/('Dashboard &amp; Optimisation'!$B$16/3.6)</f>
        <v/>
      </c>
      <c r="O3416" s="24" t="n">
        <v>1569.637642687268</v>
      </c>
      <c r="P3416" s="25" t="n">
        <v>0.05254740402274013</v>
      </c>
      <c r="Q3416" s="26" t="n">
        <v>13.23797293808807</v>
      </c>
      <c r="R3416" s="24" t="n">
        <v>8804.482902688402</v>
      </c>
      <c r="S3416" s="24">
        <f>R3416*IF(A3416=4, 2.0, 3.0)</f>
        <v/>
      </c>
      <c r="T3416" s="22">
        <f>'Dashboard &amp; Optimisation'!$B$18*U3416</f>
        <v/>
      </c>
      <c r="U3416" s="27">
        <f>MIN(1, S3416/M3416)</f>
        <v/>
      </c>
      <c r="V3416" s="27">
        <f>N3416/(N3416+O3416)</f>
        <v/>
      </c>
      <c r="W3416" s="27">
        <f>U3416*V3416</f>
        <v/>
      </c>
      <c r="X3416" s="25">
        <f>T3416/N3416</f>
        <v/>
      </c>
      <c r="Y3416" s="28">
        <f>IF(W3416=MAXIFS(W$2:W$3601, A$2:A$3601, A3416, B$2:B$3601, B3416), "OPTIMAL", "")</f>
        <v/>
      </c>
    </row>
    <row r="3417" ht="20" customHeight="1">
      <c r="A3417" s="29" t="n">
        <v>-18</v>
      </c>
      <c r="B3417" s="29" t="n">
        <v>45</v>
      </c>
      <c r="C3417" s="30" t="n">
        <v>100</v>
      </c>
      <c r="D3417" s="30" t="n">
        <v>2</v>
      </c>
      <c r="E3417" s="6" t="n">
        <v>8</v>
      </c>
      <c r="F3417" s="30" t="n">
        <v>1.5</v>
      </c>
      <c r="G3417" s="6" t="inlineStr">
        <is>
          <t>Non</t>
        </is>
      </c>
      <c r="H3417" s="6" t="inlineStr">
        <is>
          <t>OFF</t>
        </is>
      </c>
      <c r="I3417" s="31" t="n">
        <v>885.2722778138215</v>
      </c>
      <c r="J3417" s="31" t="n">
        <v>10520.73059103506</v>
      </c>
      <c r="K3417" s="31" t="n">
        <v>5101.851851851852</v>
      </c>
      <c r="L3417" s="31" t="n">
        <v>150</v>
      </c>
      <c r="M3417" s="31">
        <f>I3417+J3417+K3417+L3417</f>
        <v/>
      </c>
      <c r="N3417" s="31">
        <f>M3417*'Dashboard &amp; Optimisation'!$B$18/('Dashboard &amp; Optimisation'!$B$16/3.6)</f>
        <v/>
      </c>
      <c r="O3417" s="31" t="n">
        <v>1569.637642687268</v>
      </c>
      <c r="P3417" s="32" t="n">
        <v>0.2369996734032044</v>
      </c>
      <c r="Q3417" s="33" t="n">
        <v>13.23797293808807</v>
      </c>
      <c r="R3417" s="31" t="n">
        <v>1952.123872811293</v>
      </c>
      <c r="S3417" s="31">
        <f>R3417*IF(A3417=4, 2.0, 3.0)</f>
        <v/>
      </c>
      <c r="T3417" s="30">
        <f>'Dashboard &amp; Optimisation'!$B$18*U3417</f>
        <v/>
      </c>
      <c r="U3417" s="34">
        <f>MIN(1, S3417/M3417)</f>
        <v/>
      </c>
      <c r="V3417" s="34">
        <f>N3417/(N3417+O3417)</f>
        <v/>
      </c>
      <c r="W3417" s="34">
        <f>U3417*V3417</f>
        <v/>
      </c>
      <c r="X3417" s="32">
        <f>T3417/N3417</f>
        <v/>
      </c>
      <c r="Y3417" s="35">
        <f>IF(W3417=MAXIFS(W$2:W$3601, A$2:A$3601, A3417, B$2:B$3601, B3417), "OPTIMAL", "")</f>
        <v/>
      </c>
    </row>
    <row r="3418" ht="20" customHeight="1">
      <c r="A3418" s="21" t="n">
        <v>-18</v>
      </c>
      <c r="B3418" s="21" t="n">
        <v>45</v>
      </c>
      <c r="C3418" s="22" t="n">
        <v>100</v>
      </c>
      <c r="D3418" s="22" t="n">
        <v>2</v>
      </c>
      <c r="E3418" s="23" t="n">
        <v>8</v>
      </c>
      <c r="F3418" s="22" t="n">
        <v>2</v>
      </c>
      <c r="G3418" s="23" t="inlineStr">
        <is>
          <t>Oui</t>
        </is>
      </c>
      <c r="H3418" s="23" t="inlineStr">
        <is>
          <t>ON</t>
        </is>
      </c>
      <c r="I3418" s="24" t="n">
        <v>885.2722778138215</v>
      </c>
      <c r="J3418" s="24" t="n">
        <v>10520.73059103506</v>
      </c>
      <c r="K3418" s="24" t="n">
        <v>5101.851851851852</v>
      </c>
      <c r="L3418" s="24" t="n">
        <v>150</v>
      </c>
      <c r="M3418" s="24">
        <f>I3418+J3418+K3418+L3418</f>
        <v/>
      </c>
      <c r="N3418" s="24">
        <f>M3418*'Dashboard &amp; Optimisation'!$B$18/('Dashboard &amp; Optimisation'!$B$16/3.6)</f>
        <v/>
      </c>
      <c r="O3418" s="24" t="n">
        <v>1879.044365867514</v>
      </c>
      <c r="P3418" s="25" t="n">
        <v>0.05449488140602117</v>
      </c>
      <c r="Q3418" s="26" t="n">
        <v>17.58396391745076</v>
      </c>
      <c r="R3418" s="24" t="n">
        <v>8686.708976999451</v>
      </c>
      <c r="S3418" s="24">
        <f>R3418*IF(A3418=4, 2.0, 3.0)</f>
        <v/>
      </c>
      <c r="T3418" s="22">
        <f>'Dashboard &amp; Optimisation'!$B$18*U3418</f>
        <v/>
      </c>
      <c r="U3418" s="27">
        <f>MIN(1, S3418/M3418)</f>
        <v/>
      </c>
      <c r="V3418" s="27">
        <f>N3418/(N3418+O3418)</f>
        <v/>
      </c>
      <c r="W3418" s="27">
        <f>U3418*V3418</f>
        <v/>
      </c>
      <c r="X3418" s="25">
        <f>T3418/N3418</f>
        <v/>
      </c>
      <c r="Y3418" s="28">
        <f>IF(W3418=MAXIFS(W$2:W$3601, A$2:A$3601, A3418, B$2:B$3601, B3418), "OPTIMAL", "")</f>
        <v/>
      </c>
    </row>
    <row r="3419" ht="20" customHeight="1">
      <c r="A3419" s="29" t="n">
        <v>-18</v>
      </c>
      <c r="B3419" s="29" t="n">
        <v>45</v>
      </c>
      <c r="C3419" s="30" t="n">
        <v>100</v>
      </c>
      <c r="D3419" s="30" t="n">
        <v>2</v>
      </c>
      <c r="E3419" s="6" t="n">
        <v>8</v>
      </c>
      <c r="F3419" s="30" t="n">
        <v>2</v>
      </c>
      <c r="G3419" s="6" t="inlineStr">
        <is>
          <t>Oui</t>
        </is>
      </c>
      <c r="H3419" s="6" t="inlineStr">
        <is>
          <t>OFF</t>
        </is>
      </c>
      <c r="I3419" s="31" t="n">
        <v>885.2722778138215</v>
      </c>
      <c r="J3419" s="31" t="n">
        <v>10520.73059103506</v>
      </c>
      <c r="K3419" s="31" t="n">
        <v>5101.851851851852</v>
      </c>
      <c r="L3419" s="31" t="n">
        <v>150</v>
      </c>
      <c r="M3419" s="31">
        <f>I3419+J3419+K3419+L3419</f>
        <v/>
      </c>
      <c r="N3419" s="31">
        <f>M3419*'Dashboard &amp; Optimisation'!$B$18/('Dashboard &amp; Optimisation'!$B$16/3.6)</f>
        <v/>
      </c>
      <c r="O3419" s="31" t="n">
        <v>1879.044365867514</v>
      </c>
      <c r="P3419" s="32" t="n">
        <v>0.2403161193409352</v>
      </c>
      <c r="Q3419" s="33" t="n">
        <v>17.58396391745076</v>
      </c>
      <c r="R3419" s="31" t="n">
        <v>1969.826979598573</v>
      </c>
      <c r="S3419" s="31">
        <f>R3419*IF(A3419=4, 2.0, 3.0)</f>
        <v/>
      </c>
      <c r="T3419" s="30">
        <f>'Dashboard &amp; Optimisation'!$B$18*U3419</f>
        <v/>
      </c>
      <c r="U3419" s="34">
        <f>MIN(1, S3419/M3419)</f>
        <v/>
      </c>
      <c r="V3419" s="34">
        <f>N3419/(N3419+O3419)</f>
        <v/>
      </c>
      <c r="W3419" s="34">
        <f>U3419*V3419</f>
        <v/>
      </c>
      <c r="X3419" s="32">
        <f>T3419/N3419</f>
        <v/>
      </c>
      <c r="Y3419" s="35">
        <f>IF(W3419=MAXIFS(W$2:W$3601, A$2:A$3601, A3419, B$2:B$3601, B3419), "OPTIMAL", "")</f>
        <v/>
      </c>
    </row>
    <row r="3420" ht="20" customHeight="1">
      <c r="A3420" s="21" t="n">
        <v>-18</v>
      </c>
      <c r="B3420" s="21" t="n">
        <v>45</v>
      </c>
      <c r="C3420" s="22" t="n">
        <v>100</v>
      </c>
      <c r="D3420" s="22" t="n">
        <v>2</v>
      </c>
      <c r="E3420" s="23" t="n">
        <v>8</v>
      </c>
      <c r="F3420" s="22" t="n">
        <v>2</v>
      </c>
      <c r="G3420" s="23" t="inlineStr">
        <is>
          <t>Non</t>
        </is>
      </c>
      <c r="H3420" s="23" t="inlineStr">
        <is>
          <t>ON</t>
        </is>
      </c>
      <c r="I3420" s="24" t="n">
        <v>885.2722778138215</v>
      </c>
      <c r="J3420" s="24" t="n">
        <v>10520.73059103506</v>
      </c>
      <c r="K3420" s="24" t="n">
        <v>5101.851851851852</v>
      </c>
      <c r="L3420" s="24" t="n">
        <v>150</v>
      </c>
      <c r="M3420" s="24">
        <f>I3420+J3420+K3420+L3420</f>
        <v/>
      </c>
      <c r="N3420" s="24">
        <f>M3420*'Dashboard &amp; Optimisation'!$B$18/('Dashboard &amp; Optimisation'!$B$16/3.6)</f>
        <v/>
      </c>
      <c r="O3420" s="24" t="n">
        <v>1879.044365867514</v>
      </c>
      <c r="P3420" s="25" t="n">
        <v>0.05131178254418326</v>
      </c>
      <c r="Q3420" s="26" t="n">
        <v>17.58396391745076</v>
      </c>
      <c r="R3420" s="24" t="n">
        <v>9225.584301277941</v>
      </c>
      <c r="S3420" s="24">
        <f>R3420*IF(A3420=4, 2.0, 3.0)</f>
        <v/>
      </c>
      <c r="T3420" s="22">
        <f>'Dashboard &amp; Optimisation'!$B$18*U3420</f>
        <v/>
      </c>
      <c r="U3420" s="27">
        <f>MIN(1, S3420/M3420)</f>
        <v/>
      </c>
      <c r="V3420" s="27">
        <f>N3420/(N3420+O3420)</f>
        <v/>
      </c>
      <c r="W3420" s="27">
        <f>U3420*V3420</f>
        <v/>
      </c>
      <c r="X3420" s="25">
        <f>T3420/N3420</f>
        <v/>
      </c>
      <c r="Y3420" s="28">
        <f>IF(W3420=MAXIFS(W$2:W$3601, A$2:A$3601, A3420, B$2:B$3601, B3420), "OPTIMAL", "")</f>
        <v/>
      </c>
    </row>
    <row r="3421" ht="20" customHeight="1">
      <c r="A3421" s="29" t="n">
        <v>-18</v>
      </c>
      <c r="B3421" s="29" t="n">
        <v>45</v>
      </c>
      <c r="C3421" s="30" t="n">
        <v>100</v>
      </c>
      <c r="D3421" s="30" t="n">
        <v>2</v>
      </c>
      <c r="E3421" s="6" t="n">
        <v>8</v>
      </c>
      <c r="F3421" s="30" t="n">
        <v>2</v>
      </c>
      <c r="G3421" s="6" t="inlineStr">
        <is>
          <t>Non</t>
        </is>
      </c>
      <c r="H3421" s="6" t="inlineStr">
        <is>
          <t>OFF</t>
        </is>
      </c>
      <c r="I3421" s="31" t="n">
        <v>885.2722778138215</v>
      </c>
      <c r="J3421" s="31" t="n">
        <v>10520.73059103506</v>
      </c>
      <c r="K3421" s="31" t="n">
        <v>5101.851851851852</v>
      </c>
      <c r="L3421" s="31" t="n">
        <v>150</v>
      </c>
      <c r="M3421" s="31">
        <f>I3421+J3421+K3421+L3421</f>
        <v/>
      </c>
      <c r="N3421" s="31">
        <f>M3421*'Dashboard &amp; Optimisation'!$B$18/('Dashboard &amp; Optimisation'!$B$16/3.6)</f>
        <v/>
      </c>
      <c r="O3421" s="31" t="n">
        <v>1879.044365867514</v>
      </c>
      <c r="P3421" s="32" t="n">
        <v>0.2371330204790973</v>
      </c>
      <c r="Q3421" s="33" t="n">
        <v>17.58396391745076</v>
      </c>
      <c r="R3421" s="31" t="n">
        <v>1996.268484894249</v>
      </c>
      <c r="S3421" s="31">
        <f>R3421*IF(A3421=4, 2.0, 3.0)</f>
        <v/>
      </c>
      <c r="T3421" s="30">
        <f>'Dashboard &amp; Optimisation'!$B$18*U3421</f>
        <v/>
      </c>
      <c r="U3421" s="34">
        <f>MIN(1, S3421/M3421)</f>
        <v/>
      </c>
      <c r="V3421" s="34">
        <f>N3421/(N3421+O3421)</f>
        <v/>
      </c>
      <c r="W3421" s="34">
        <f>U3421*V3421</f>
        <v/>
      </c>
      <c r="X3421" s="32">
        <f>T3421/N3421</f>
        <v/>
      </c>
      <c r="Y3421" s="35">
        <f>IF(W3421=MAXIFS(W$2:W$3601, A$2:A$3601, A3421, B$2:B$3601, B3421), "OPTIMAL", "")</f>
        <v/>
      </c>
    </row>
    <row r="3422" ht="20" customHeight="1">
      <c r="A3422" s="21" t="n">
        <v>-18</v>
      </c>
      <c r="B3422" s="21" t="n">
        <v>45</v>
      </c>
      <c r="C3422" s="22" t="n">
        <v>100</v>
      </c>
      <c r="D3422" s="22" t="n">
        <v>3</v>
      </c>
      <c r="E3422" s="23" t="n">
        <v>0</v>
      </c>
      <c r="F3422" s="22" t="n">
        <v>0</v>
      </c>
      <c r="G3422" s="23" t="inlineStr">
        <is>
          <t>Oui</t>
        </is>
      </c>
      <c r="H3422" s="23" t="inlineStr">
        <is>
          <t>ON</t>
        </is>
      </c>
      <c r="I3422" s="24" t="n">
        <v>885.2722778138215</v>
      </c>
      <c r="J3422" s="24" t="n">
        <v>10520.73059103506</v>
      </c>
      <c r="K3422" s="24" t="n">
        <v>5101.851851851852</v>
      </c>
      <c r="L3422" s="24" t="n">
        <v>150</v>
      </c>
      <c r="M3422" s="24">
        <f>I3422+J3422+K3422+L3422</f>
        <v/>
      </c>
      <c r="N3422" s="24">
        <f>M3422*'Dashboard &amp; Optimisation'!$B$18/('Dashboard &amp; Optimisation'!$B$16/3.6)</f>
        <v/>
      </c>
      <c r="O3422" s="24" t="n">
        <v>1115.27293832649</v>
      </c>
      <c r="P3422" s="25" t="n">
        <v>0.4806959660709754</v>
      </c>
      <c r="Q3422" s="26" t="n">
        <v>0.2</v>
      </c>
      <c r="R3422" s="24" t="n">
        <v>939.9485037554708</v>
      </c>
      <c r="S3422" s="24">
        <f>R3422*IF(A3422=4, 2.0, 3.0)</f>
        <v/>
      </c>
      <c r="T3422" s="22">
        <f>'Dashboard &amp; Optimisation'!$B$18*U3422</f>
        <v/>
      </c>
      <c r="U3422" s="27">
        <f>MIN(1, S3422/M3422)</f>
        <v/>
      </c>
      <c r="V3422" s="27">
        <f>N3422/(N3422+O3422)</f>
        <v/>
      </c>
      <c r="W3422" s="27">
        <f>U3422*V3422</f>
        <v/>
      </c>
      <c r="X3422" s="25">
        <f>T3422/N3422</f>
        <v/>
      </c>
      <c r="Y3422" s="28">
        <f>IF(W3422=MAXIFS(W$2:W$3601, A$2:A$3601, A3422, B$2:B$3601, B3422), "OPTIMAL", "")</f>
        <v/>
      </c>
    </row>
    <row r="3423" ht="20" customHeight="1">
      <c r="A3423" s="29" t="n">
        <v>-18</v>
      </c>
      <c r="B3423" s="29" t="n">
        <v>45</v>
      </c>
      <c r="C3423" s="30" t="n">
        <v>100</v>
      </c>
      <c r="D3423" s="30" t="n">
        <v>3</v>
      </c>
      <c r="E3423" s="6" t="n">
        <v>0</v>
      </c>
      <c r="F3423" s="30" t="n">
        <v>0</v>
      </c>
      <c r="G3423" s="6" t="inlineStr">
        <is>
          <t>Oui</t>
        </is>
      </c>
      <c r="H3423" s="6" t="inlineStr">
        <is>
          <t>OFF</t>
        </is>
      </c>
      <c r="I3423" s="31" t="n">
        <v>885.2722778138215</v>
      </c>
      <c r="J3423" s="31" t="n">
        <v>10520.73059103506</v>
      </c>
      <c r="K3423" s="31" t="n">
        <v>5101.851851851852</v>
      </c>
      <c r="L3423" s="31" t="n">
        <v>150</v>
      </c>
      <c r="M3423" s="31">
        <f>I3423+J3423+K3423+L3423</f>
        <v/>
      </c>
      <c r="N3423" s="31">
        <f>M3423*'Dashboard &amp; Optimisation'!$B$18/('Dashboard &amp; Optimisation'!$B$16/3.6)</f>
        <v/>
      </c>
      <c r="O3423" s="31" t="n">
        <v>1115.27293832649</v>
      </c>
      <c r="P3423" s="32" t="n">
        <v>0.7990058522547661</v>
      </c>
      <c r="Q3423" s="33" t="n">
        <v>0.2</v>
      </c>
      <c r="R3423" s="31" t="n">
        <v>565.4895427795143</v>
      </c>
      <c r="S3423" s="31">
        <f>R3423*IF(A3423=4, 2.0, 3.0)</f>
        <v/>
      </c>
      <c r="T3423" s="30">
        <f>'Dashboard &amp; Optimisation'!$B$18*U3423</f>
        <v/>
      </c>
      <c r="U3423" s="34">
        <f>MIN(1, S3423/M3423)</f>
        <v/>
      </c>
      <c r="V3423" s="34">
        <f>N3423/(N3423+O3423)</f>
        <v/>
      </c>
      <c r="W3423" s="34">
        <f>U3423*V3423</f>
        <v/>
      </c>
      <c r="X3423" s="32">
        <f>T3423/N3423</f>
        <v/>
      </c>
      <c r="Y3423" s="35">
        <f>IF(W3423=MAXIFS(W$2:W$3601, A$2:A$3601, A3423, B$2:B$3601, B3423), "OPTIMAL", "")</f>
        <v/>
      </c>
    </row>
    <row r="3424" ht="20" customHeight="1">
      <c r="A3424" s="21" t="n">
        <v>-18</v>
      </c>
      <c r="B3424" s="21" t="n">
        <v>45</v>
      </c>
      <c r="C3424" s="22" t="n">
        <v>100</v>
      </c>
      <c r="D3424" s="22" t="n">
        <v>3</v>
      </c>
      <c r="E3424" s="23" t="n">
        <v>0</v>
      </c>
      <c r="F3424" s="22" t="n">
        <v>0</v>
      </c>
      <c r="G3424" s="23" t="inlineStr">
        <is>
          <t>Non</t>
        </is>
      </c>
      <c r="H3424" s="23" t="inlineStr">
        <is>
          <t>ON</t>
        </is>
      </c>
      <c r="I3424" s="24" t="n">
        <v>885.2722778138215</v>
      </c>
      <c r="J3424" s="24" t="n">
        <v>10520.73059103506</v>
      </c>
      <c r="K3424" s="24" t="n">
        <v>5101.851851851852</v>
      </c>
      <c r="L3424" s="24" t="n">
        <v>150</v>
      </c>
      <c r="M3424" s="24">
        <f>I3424+J3424+K3424+L3424</f>
        <v/>
      </c>
      <c r="N3424" s="24">
        <f>M3424*'Dashboard &amp; Optimisation'!$B$18/('Dashboard &amp; Optimisation'!$B$16/3.6)</f>
        <v/>
      </c>
      <c r="O3424" s="24" t="n">
        <v>1115.27293832649</v>
      </c>
      <c r="P3424" s="25" t="n">
        <v>0.4775128672091374</v>
      </c>
      <c r="Q3424" s="26" t="n">
        <v>0.2</v>
      </c>
      <c r="R3424" s="24" t="n">
        <v>946.2141967198866</v>
      </c>
      <c r="S3424" s="24">
        <f>R3424*IF(A3424=4, 2.0, 3.0)</f>
        <v/>
      </c>
      <c r="T3424" s="22">
        <f>'Dashboard &amp; Optimisation'!$B$18*U3424</f>
        <v/>
      </c>
      <c r="U3424" s="27">
        <f>MIN(1, S3424/M3424)</f>
        <v/>
      </c>
      <c r="V3424" s="27">
        <f>N3424/(N3424+O3424)</f>
        <v/>
      </c>
      <c r="W3424" s="27">
        <f>U3424*V3424</f>
        <v/>
      </c>
      <c r="X3424" s="25">
        <f>T3424/N3424</f>
        <v/>
      </c>
      <c r="Y3424" s="28">
        <f>IF(W3424=MAXIFS(W$2:W$3601, A$2:A$3601, A3424, B$2:B$3601, B3424), "OPTIMAL", "")</f>
        <v/>
      </c>
    </row>
    <row r="3425" ht="20" customHeight="1">
      <c r="A3425" s="29" t="n">
        <v>-18</v>
      </c>
      <c r="B3425" s="29" t="n">
        <v>45</v>
      </c>
      <c r="C3425" s="30" t="n">
        <v>100</v>
      </c>
      <c r="D3425" s="30" t="n">
        <v>3</v>
      </c>
      <c r="E3425" s="6" t="n">
        <v>0</v>
      </c>
      <c r="F3425" s="30" t="n">
        <v>0</v>
      </c>
      <c r="G3425" s="6" t="inlineStr">
        <is>
          <t>Non</t>
        </is>
      </c>
      <c r="H3425" s="6" t="inlineStr">
        <is>
          <t>OFF</t>
        </is>
      </c>
      <c r="I3425" s="31" t="n">
        <v>885.2722778138215</v>
      </c>
      <c r="J3425" s="31" t="n">
        <v>10520.73059103506</v>
      </c>
      <c r="K3425" s="31" t="n">
        <v>5101.851851851852</v>
      </c>
      <c r="L3425" s="31" t="n">
        <v>150</v>
      </c>
      <c r="M3425" s="31">
        <f>I3425+J3425+K3425+L3425</f>
        <v/>
      </c>
      <c r="N3425" s="31">
        <f>M3425*'Dashboard &amp; Optimisation'!$B$18/('Dashboard &amp; Optimisation'!$B$16/3.6)</f>
        <v/>
      </c>
      <c r="O3425" s="31" t="n">
        <v>1115.27293832649</v>
      </c>
      <c r="P3425" s="32" t="n">
        <v>0.7958227533929282</v>
      </c>
      <c r="Q3425" s="33" t="n">
        <v>0.2</v>
      </c>
      <c r="R3425" s="31" t="n">
        <v>567.7513644129477</v>
      </c>
      <c r="S3425" s="31">
        <f>R3425*IF(A3425=4, 2.0, 3.0)</f>
        <v/>
      </c>
      <c r="T3425" s="30">
        <f>'Dashboard &amp; Optimisation'!$B$18*U3425</f>
        <v/>
      </c>
      <c r="U3425" s="34">
        <f>MIN(1, S3425/M3425)</f>
        <v/>
      </c>
      <c r="V3425" s="34">
        <f>N3425/(N3425+O3425)</f>
        <v/>
      </c>
      <c r="W3425" s="34">
        <f>U3425*V3425</f>
        <v/>
      </c>
      <c r="X3425" s="32">
        <f>T3425/N3425</f>
        <v/>
      </c>
      <c r="Y3425" s="35">
        <f>IF(W3425=MAXIFS(W$2:W$3601, A$2:A$3601, A3425, B$2:B$3601, B3425), "OPTIMAL", "")</f>
        <v/>
      </c>
    </row>
    <row r="3426" ht="20" customHeight="1">
      <c r="A3426" s="21" t="n">
        <v>-18</v>
      </c>
      <c r="B3426" s="21" t="n">
        <v>45</v>
      </c>
      <c r="C3426" s="22" t="n">
        <v>100</v>
      </c>
      <c r="D3426" s="22" t="n">
        <v>3</v>
      </c>
      <c r="E3426" s="23" t="n">
        <v>4</v>
      </c>
      <c r="F3426" s="22" t="n">
        <v>1.5</v>
      </c>
      <c r="G3426" s="23" t="inlineStr">
        <is>
          <t>Oui</t>
        </is>
      </c>
      <c r="H3426" s="23" t="inlineStr">
        <is>
          <t>ON</t>
        </is>
      </c>
      <c r="I3426" s="24" t="n">
        <v>885.2722778138215</v>
      </c>
      <c r="J3426" s="24" t="n">
        <v>10520.73059103506</v>
      </c>
      <c r="K3426" s="24" t="n">
        <v>5101.851851851852</v>
      </c>
      <c r="L3426" s="24" t="n">
        <v>150</v>
      </c>
      <c r="M3426" s="24">
        <f>I3426+J3426+K3426+L3426</f>
        <v/>
      </c>
      <c r="N3426" s="24">
        <f>M3426*'Dashboard &amp; Optimisation'!$B$18/('Dashboard &amp; Optimisation'!$B$16/3.6)</f>
        <v/>
      </c>
      <c r="O3426" s="24" t="n">
        <v>1550.696264802045</v>
      </c>
      <c r="P3426" s="25" t="n">
        <v>0.0735384347268611</v>
      </c>
      <c r="Q3426" s="26" t="n">
        <v>6.857688308810928</v>
      </c>
      <c r="R3426" s="24" t="n">
        <v>6350.572576450088</v>
      </c>
      <c r="S3426" s="24">
        <f>R3426*IF(A3426=4, 2.0, 3.0)</f>
        <v/>
      </c>
      <c r="T3426" s="22">
        <f>'Dashboard &amp; Optimisation'!$B$18*U3426</f>
        <v/>
      </c>
      <c r="U3426" s="27">
        <f>MIN(1, S3426/M3426)</f>
        <v/>
      </c>
      <c r="V3426" s="27">
        <f>N3426/(N3426+O3426)</f>
        <v/>
      </c>
      <c r="W3426" s="27">
        <f>U3426*V3426</f>
        <v/>
      </c>
      <c r="X3426" s="25">
        <f>T3426/N3426</f>
        <v/>
      </c>
      <c r="Y3426" s="28">
        <f>IF(W3426=MAXIFS(W$2:W$3601, A$2:A$3601, A3426, B$2:B$3601, B3426), "OPTIMAL", "")</f>
        <v/>
      </c>
    </row>
    <row r="3427" ht="20" customHeight="1">
      <c r="A3427" s="29" t="n">
        <v>-18</v>
      </c>
      <c r="B3427" s="29" t="n">
        <v>45</v>
      </c>
      <c r="C3427" s="30" t="n">
        <v>100</v>
      </c>
      <c r="D3427" s="30" t="n">
        <v>3</v>
      </c>
      <c r="E3427" s="6" t="n">
        <v>4</v>
      </c>
      <c r="F3427" s="30" t="n">
        <v>1.5</v>
      </c>
      <c r="G3427" s="6" t="inlineStr">
        <is>
          <t>Oui</t>
        </is>
      </c>
      <c r="H3427" s="6" t="inlineStr">
        <is>
          <t>OFF</t>
        </is>
      </c>
      <c r="I3427" s="31" t="n">
        <v>885.2722778138215</v>
      </c>
      <c r="J3427" s="31" t="n">
        <v>10520.73059103506</v>
      </c>
      <c r="K3427" s="31" t="n">
        <v>5101.851851851852</v>
      </c>
      <c r="L3427" s="31" t="n">
        <v>150</v>
      </c>
      <c r="M3427" s="31">
        <f>I3427+J3427+K3427+L3427</f>
        <v/>
      </c>
      <c r="N3427" s="31">
        <f>M3427*'Dashboard &amp; Optimisation'!$B$18/('Dashboard &amp; Optimisation'!$B$16/3.6)</f>
        <v/>
      </c>
      <c r="O3427" s="31" t="n">
        <v>1550.696264802045</v>
      </c>
      <c r="P3427" s="32" t="n">
        <v>0.307100869502758</v>
      </c>
      <c r="Q3427" s="33" t="n">
        <v>6.857688308810928</v>
      </c>
      <c r="R3427" s="31" t="n">
        <v>1520.709360568173</v>
      </c>
      <c r="S3427" s="31">
        <f>R3427*IF(A3427=4, 2.0, 3.0)</f>
        <v/>
      </c>
      <c r="T3427" s="30">
        <f>'Dashboard &amp; Optimisation'!$B$18*U3427</f>
        <v/>
      </c>
      <c r="U3427" s="34">
        <f>MIN(1, S3427/M3427)</f>
        <v/>
      </c>
      <c r="V3427" s="34">
        <f>N3427/(N3427+O3427)</f>
        <v/>
      </c>
      <c r="W3427" s="34">
        <f>U3427*V3427</f>
        <v/>
      </c>
      <c r="X3427" s="32">
        <f>T3427/N3427</f>
        <v/>
      </c>
      <c r="Y3427" s="35">
        <f>IF(W3427=MAXIFS(W$2:W$3601, A$2:A$3601, A3427, B$2:B$3601, B3427), "OPTIMAL", "")</f>
        <v/>
      </c>
    </row>
    <row r="3428" ht="20" customHeight="1">
      <c r="A3428" s="21" t="n">
        <v>-18</v>
      </c>
      <c r="B3428" s="21" t="n">
        <v>45</v>
      </c>
      <c r="C3428" s="22" t="n">
        <v>100</v>
      </c>
      <c r="D3428" s="22" t="n">
        <v>3</v>
      </c>
      <c r="E3428" s="23" t="n">
        <v>4</v>
      </c>
      <c r="F3428" s="22" t="n">
        <v>1.5</v>
      </c>
      <c r="G3428" s="23" t="inlineStr">
        <is>
          <t>Non</t>
        </is>
      </c>
      <c r="H3428" s="23" t="inlineStr">
        <is>
          <t>ON</t>
        </is>
      </c>
      <c r="I3428" s="24" t="n">
        <v>885.2722778138215</v>
      </c>
      <c r="J3428" s="24" t="n">
        <v>10520.73059103506</v>
      </c>
      <c r="K3428" s="24" t="n">
        <v>5101.851851851852</v>
      </c>
      <c r="L3428" s="24" t="n">
        <v>150</v>
      </c>
      <c r="M3428" s="24">
        <f>I3428+J3428+K3428+L3428</f>
        <v/>
      </c>
      <c r="N3428" s="24">
        <f>M3428*'Dashboard &amp; Optimisation'!$B$18/('Dashboard &amp; Optimisation'!$B$16/3.6)</f>
        <v/>
      </c>
      <c r="O3428" s="24" t="n">
        <v>1550.696264802045</v>
      </c>
      <c r="P3428" s="25" t="n">
        <v>0.07035533586502318</v>
      </c>
      <c r="Q3428" s="26" t="n">
        <v>6.857688308810928</v>
      </c>
      <c r="R3428" s="24" t="n">
        <v>6637.89265092033</v>
      </c>
      <c r="S3428" s="24">
        <f>R3428*IF(A3428=4, 2.0, 3.0)</f>
        <v/>
      </c>
      <c r="T3428" s="22">
        <f>'Dashboard &amp; Optimisation'!$B$18*U3428</f>
        <v/>
      </c>
      <c r="U3428" s="27">
        <f>MIN(1, S3428/M3428)</f>
        <v/>
      </c>
      <c r="V3428" s="27">
        <f>N3428/(N3428+O3428)</f>
        <v/>
      </c>
      <c r="W3428" s="27">
        <f>U3428*V3428</f>
        <v/>
      </c>
      <c r="X3428" s="25">
        <f>T3428/N3428</f>
        <v/>
      </c>
      <c r="Y3428" s="28">
        <f>IF(W3428=MAXIFS(W$2:W$3601, A$2:A$3601, A3428, B$2:B$3601, B3428), "OPTIMAL", "")</f>
        <v/>
      </c>
    </row>
    <row r="3429" ht="20" customHeight="1">
      <c r="A3429" s="29" t="n">
        <v>-18</v>
      </c>
      <c r="B3429" s="29" t="n">
        <v>45</v>
      </c>
      <c r="C3429" s="30" t="n">
        <v>100</v>
      </c>
      <c r="D3429" s="30" t="n">
        <v>3</v>
      </c>
      <c r="E3429" s="6" t="n">
        <v>4</v>
      </c>
      <c r="F3429" s="30" t="n">
        <v>1.5</v>
      </c>
      <c r="G3429" s="6" t="inlineStr">
        <is>
          <t>Non</t>
        </is>
      </c>
      <c r="H3429" s="6" t="inlineStr">
        <is>
          <t>OFF</t>
        </is>
      </c>
      <c r="I3429" s="31" t="n">
        <v>885.2722778138215</v>
      </c>
      <c r="J3429" s="31" t="n">
        <v>10520.73059103506</v>
      </c>
      <c r="K3429" s="31" t="n">
        <v>5101.851851851852</v>
      </c>
      <c r="L3429" s="31" t="n">
        <v>150</v>
      </c>
      <c r="M3429" s="31">
        <f>I3429+J3429+K3429+L3429</f>
        <v/>
      </c>
      <c r="N3429" s="31">
        <f>M3429*'Dashboard &amp; Optimisation'!$B$18/('Dashboard &amp; Optimisation'!$B$16/3.6)</f>
        <v/>
      </c>
      <c r="O3429" s="31" t="n">
        <v>1550.696264802045</v>
      </c>
      <c r="P3429" s="32" t="n">
        <v>0.3039177706409201</v>
      </c>
      <c r="Q3429" s="33" t="n">
        <v>6.857688308810928</v>
      </c>
      <c r="R3429" s="31" t="n">
        <v>1536.63659057056</v>
      </c>
      <c r="S3429" s="31">
        <f>R3429*IF(A3429=4, 2.0, 3.0)</f>
        <v/>
      </c>
      <c r="T3429" s="30">
        <f>'Dashboard &amp; Optimisation'!$B$18*U3429</f>
        <v/>
      </c>
      <c r="U3429" s="34">
        <f>MIN(1, S3429/M3429)</f>
        <v/>
      </c>
      <c r="V3429" s="34">
        <f>N3429/(N3429+O3429)</f>
        <v/>
      </c>
      <c r="W3429" s="34">
        <f>U3429*V3429</f>
        <v/>
      </c>
      <c r="X3429" s="32">
        <f>T3429/N3429</f>
        <v/>
      </c>
      <c r="Y3429" s="35">
        <f>IF(W3429=MAXIFS(W$2:W$3601, A$2:A$3601, A3429, B$2:B$3601, B3429), "OPTIMAL", "")</f>
        <v/>
      </c>
    </row>
    <row r="3430" ht="20" customHeight="1">
      <c r="A3430" s="21" t="n">
        <v>-18</v>
      </c>
      <c r="B3430" s="21" t="n">
        <v>45</v>
      </c>
      <c r="C3430" s="22" t="n">
        <v>100</v>
      </c>
      <c r="D3430" s="22" t="n">
        <v>3</v>
      </c>
      <c r="E3430" s="23" t="n">
        <v>4</v>
      </c>
      <c r="F3430" s="22" t="n">
        <v>2</v>
      </c>
      <c r="G3430" s="23" t="inlineStr">
        <is>
          <t>Oui</t>
        </is>
      </c>
      <c r="H3430" s="23" t="inlineStr">
        <is>
          <t>ON</t>
        </is>
      </c>
      <c r="I3430" s="24" t="n">
        <v>885.2722778138215</v>
      </c>
      <c r="J3430" s="24" t="n">
        <v>10520.73059103506</v>
      </c>
      <c r="K3430" s="24" t="n">
        <v>5101.851851851852</v>
      </c>
      <c r="L3430" s="24" t="n">
        <v>150</v>
      </c>
      <c r="M3430" s="24">
        <f>I3430+J3430+K3430+L3430</f>
        <v/>
      </c>
      <c r="N3430" s="24">
        <f>M3430*'Dashboard &amp; Optimisation'!$B$18/('Dashboard &amp; Optimisation'!$B$16/3.6)</f>
        <v/>
      </c>
      <c r="O3430" s="24" t="n">
        <v>1702.413452717261</v>
      </c>
      <c r="P3430" s="25" t="n">
        <v>0.07090019831070833</v>
      </c>
      <c r="Q3430" s="26" t="n">
        <v>9.076917745081236</v>
      </c>
      <c r="R3430" s="24" t="n">
        <v>6661.490860824075</v>
      </c>
      <c r="S3430" s="24">
        <f>R3430*IF(A3430=4, 2.0, 3.0)</f>
        <v/>
      </c>
      <c r="T3430" s="22">
        <f>'Dashboard &amp; Optimisation'!$B$18*U3430</f>
        <v/>
      </c>
      <c r="U3430" s="27">
        <f>MIN(1, S3430/M3430)</f>
        <v/>
      </c>
      <c r="V3430" s="27">
        <f>N3430/(N3430+O3430)</f>
        <v/>
      </c>
      <c r="W3430" s="27">
        <f>U3430*V3430</f>
        <v/>
      </c>
      <c r="X3430" s="25">
        <f>T3430/N3430</f>
        <v/>
      </c>
      <c r="Y3430" s="28">
        <f>IF(W3430=MAXIFS(W$2:W$3601, A$2:A$3601, A3430, B$2:B$3601, B3430), "OPTIMAL", "")</f>
        <v/>
      </c>
    </row>
    <row r="3431" ht="20" customHeight="1">
      <c r="A3431" s="29" t="n">
        <v>-18</v>
      </c>
      <c r="B3431" s="29" t="n">
        <v>45</v>
      </c>
      <c r="C3431" s="30" t="n">
        <v>100</v>
      </c>
      <c r="D3431" s="30" t="n">
        <v>3</v>
      </c>
      <c r="E3431" s="6" t="n">
        <v>4</v>
      </c>
      <c r="F3431" s="30" t="n">
        <v>2</v>
      </c>
      <c r="G3431" s="6" t="inlineStr">
        <is>
          <t>Oui</t>
        </is>
      </c>
      <c r="H3431" s="6" t="inlineStr">
        <is>
          <t>OFF</t>
        </is>
      </c>
      <c r="I3431" s="31" t="n">
        <v>885.2722778138215</v>
      </c>
      <c r="J3431" s="31" t="n">
        <v>10520.73059103506</v>
      </c>
      <c r="K3431" s="31" t="n">
        <v>5101.851851851852</v>
      </c>
      <c r="L3431" s="31" t="n">
        <v>150</v>
      </c>
      <c r="M3431" s="31">
        <f>I3431+J3431+K3431+L3431</f>
        <v/>
      </c>
      <c r="N3431" s="31">
        <f>M3431*'Dashboard &amp; Optimisation'!$B$18/('Dashboard &amp; Optimisation'!$B$16/3.6)</f>
        <v/>
      </c>
      <c r="O3431" s="31" t="n">
        <v>1702.413452717261</v>
      </c>
      <c r="P3431" s="32" t="n">
        <v>0.305556811068225</v>
      </c>
      <c r="Q3431" s="33" t="n">
        <v>9.076917745081236</v>
      </c>
      <c r="R3431" s="31" t="n">
        <v>1545.706087932507</v>
      </c>
      <c r="S3431" s="31">
        <f>R3431*IF(A3431=4, 2.0, 3.0)</f>
        <v/>
      </c>
      <c r="T3431" s="30">
        <f>'Dashboard &amp; Optimisation'!$B$18*U3431</f>
        <v/>
      </c>
      <c r="U3431" s="34">
        <f>MIN(1, S3431/M3431)</f>
        <v/>
      </c>
      <c r="V3431" s="34">
        <f>N3431/(N3431+O3431)</f>
        <v/>
      </c>
      <c r="W3431" s="34">
        <f>U3431*V3431</f>
        <v/>
      </c>
      <c r="X3431" s="32">
        <f>T3431/N3431</f>
        <v/>
      </c>
      <c r="Y3431" s="35">
        <f>IF(W3431=MAXIFS(W$2:W$3601, A$2:A$3601, A3431, B$2:B$3601, B3431), "OPTIMAL", "")</f>
        <v/>
      </c>
    </row>
    <row r="3432" ht="20" customHeight="1">
      <c r="A3432" s="21" t="n">
        <v>-18</v>
      </c>
      <c r="B3432" s="21" t="n">
        <v>45</v>
      </c>
      <c r="C3432" s="22" t="n">
        <v>100</v>
      </c>
      <c r="D3432" s="22" t="n">
        <v>3</v>
      </c>
      <c r="E3432" s="23" t="n">
        <v>4</v>
      </c>
      <c r="F3432" s="22" t="n">
        <v>2</v>
      </c>
      <c r="G3432" s="23" t="inlineStr">
        <is>
          <t>Non</t>
        </is>
      </c>
      <c r="H3432" s="23" t="inlineStr">
        <is>
          <t>ON</t>
        </is>
      </c>
      <c r="I3432" s="24" t="n">
        <v>885.2722778138215</v>
      </c>
      <c r="J3432" s="24" t="n">
        <v>10520.73059103506</v>
      </c>
      <c r="K3432" s="24" t="n">
        <v>5101.851851851852</v>
      </c>
      <c r="L3432" s="24" t="n">
        <v>150</v>
      </c>
      <c r="M3432" s="24">
        <f>I3432+J3432+K3432+L3432</f>
        <v/>
      </c>
      <c r="N3432" s="24">
        <f>M3432*'Dashboard &amp; Optimisation'!$B$18/('Dashboard &amp; Optimisation'!$B$16/3.6)</f>
        <v/>
      </c>
      <c r="O3432" s="24" t="n">
        <v>1702.413452717261</v>
      </c>
      <c r="P3432" s="25" t="n">
        <v>0.06771709944887042</v>
      </c>
      <c r="Q3432" s="26" t="n">
        <v>9.076917745081236</v>
      </c>
      <c r="R3432" s="24" t="n">
        <v>6974.61980683339</v>
      </c>
      <c r="S3432" s="24">
        <f>R3432*IF(A3432=4, 2.0, 3.0)</f>
        <v/>
      </c>
      <c r="T3432" s="22">
        <f>'Dashboard &amp; Optimisation'!$B$18*U3432</f>
        <v/>
      </c>
      <c r="U3432" s="27">
        <f>MIN(1, S3432/M3432)</f>
        <v/>
      </c>
      <c r="V3432" s="27">
        <f>N3432/(N3432+O3432)</f>
        <v/>
      </c>
      <c r="W3432" s="27">
        <f>U3432*V3432</f>
        <v/>
      </c>
      <c r="X3432" s="25">
        <f>T3432/N3432</f>
        <v/>
      </c>
      <c r="Y3432" s="28">
        <f>IF(W3432=MAXIFS(W$2:W$3601, A$2:A$3601, A3432, B$2:B$3601, B3432), "OPTIMAL", "")</f>
        <v/>
      </c>
    </row>
    <row r="3433" ht="20" customHeight="1">
      <c r="A3433" s="29" t="n">
        <v>-18</v>
      </c>
      <c r="B3433" s="29" t="n">
        <v>45</v>
      </c>
      <c r="C3433" s="30" t="n">
        <v>100</v>
      </c>
      <c r="D3433" s="30" t="n">
        <v>3</v>
      </c>
      <c r="E3433" s="6" t="n">
        <v>4</v>
      </c>
      <c r="F3433" s="30" t="n">
        <v>2</v>
      </c>
      <c r="G3433" s="6" t="inlineStr">
        <is>
          <t>Non</t>
        </is>
      </c>
      <c r="H3433" s="6" t="inlineStr">
        <is>
          <t>OFF</t>
        </is>
      </c>
      <c r="I3433" s="31" t="n">
        <v>885.2722778138215</v>
      </c>
      <c r="J3433" s="31" t="n">
        <v>10520.73059103506</v>
      </c>
      <c r="K3433" s="31" t="n">
        <v>5101.851851851852</v>
      </c>
      <c r="L3433" s="31" t="n">
        <v>150</v>
      </c>
      <c r="M3433" s="31">
        <f>I3433+J3433+K3433+L3433</f>
        <v/>
      </c>
      <c r="N3433" s="31">
        <f>M3433*'Dashboard &amp; Optimisation'!$B$18/('Dashboard &amp; Optimisation'!$B$16/3.6)</f>
        <v/>
      </c>
      <c r="O3433" s="31" t="n">
        <v>1702.413452717261</v>
      </c>
      <c r="P3433" s="32" t="n">
        <v>0.302373712206387</v>
      </c>
      <c r="Q3433" s="33" t="n">
        <v>9.076917745081236</v>
      </c>
      <c r="R3433" s="31" t="n">
        <v>1561.977791095233</v>
      </c>
      <c r="S3433" s="31">
        <f>R3433*IF(A3433=4, 2.0, 3.0)</f>
        <v/>
      </c>
      <c r="T3433" s="30">
        <f>'Dashboard &amp; Optimisation'!$B$18*U3433</f>
        <v/>
      </c>
      <c r="U3433" s="34">
        <f>MIN(1, S3433/M3433)</f>
        <v/>
      </c>
      <c r="V3433" s="34">
        <f>N3433/(N3433+O3433)</f>
        <v/>
      </c>
      <c r="W3433" s="34">
        <f>U3433*V3433</f>
        <v/>
      </c>
      <c r="X3433" s="32">
        <f>T3433/N3433</f>
        <v/>
      </c>
      <c r="Y3433" s="35">
        <f>IF(W3433=MAXIFS(W$2:W$3601, A$2:A$3601, A3433, B$2:B$3601, B3433), "OPTIMAL", "")</f>
        <v/>
      </c>
    </row>
    <row r="3434" ht="20" customHeight="1">
      <c r="A3434" s="21" t="n">
        <v>-18</v>
      </c>
      <c r="B3434" s="21" t="n">
        <v>45</v>
      </c>
      <c r="C3434" s="22" t="n">
        <v>100</v>
      </c>
      <c r="D3434" s="22" t="n">
        <v>3</v>
      </c>
      <c r="E3434" s="23" t="n">
        <v>8</v>
      </c>
      <c r="F3434" s="22" t="n">
        <v>1.5</v>
      </c>
      <c r="G3434" s="23" t="inlineStr">
        <is>
          <t>Oui</t>
        </is>
      </c>
      <c r="H3434" s="23" t="inlineStr">
        <is>
          <t>ON</t>
        </is>
      </c>
      <c r="I3434" s="24" t="n">
        <v>885.2722778138215</v>
      </c>
      <c r="J3434" s="24" t="n">
        <v>10520.73059103506</v>
      </c>
      <c r="K3434" s="24" t="n">
        <v>5101.851851851852</v>
      </c>
      <c r="L3434" s="24" t="n">
        <v>150</v>
      </c>
      <c r="M3434" s="24">
        <f>I3434+J3434+K3434+L3434</f>
        <v/>
      </c>
      <c r="N3434" s="24">
        <f>M3434*'Dashboard &amp; Optimisation'!$B$18/('Dashboard &amp; Optimisation'!$B$16/3.6)</f>
        <v/>
      </c>
      <c r="O3434" s="24" t="n">
        <v>2016.397874085415</v>
      </c>
      <c r="P3434" s="25" t="n">
        <v>0.05562346576923688</v>
      </c>
      <c r="Q3434" s="26" t="n">
        <v>13.51537661762185</v>
      </c>
      <c r="R3434" s="24" t="n">
        <v>8687.854533057749</v>
      </c>
      <c r="S3434" s="24">
        <f>R3434*IF(A3434=4, 2.0, 3.0)</f>
        <v/>
      </c>
      <c r="T3434" s="22">
        <f>'Dashboard &amp; Optimisation'!$B$18*U3434</f>
        <v/>
      </c>
      <c r="U3434" s="27">
        <f>MIN(1, S3434/M3434)</f>
        <v/>
      </c>
      <c r="V3434" s="27">
        <f>N3434/(N3434+O3434)</f>
        <v/>
      </c>
      <c r="W3434" s="27">
        <f>U3434*V3434</f>
        <v/>
      </c>
      <c r="X3434" s="25">
        <f>T3434/N3434</f>
        <v/>
      </c>
      <c r="Y3434" s="28">
        <f>IF(W3434=MAXIFS(W$2:W$3601, A$2:A$3601, A3434, B$2:B$3601, B3434), "OPTIMAL", "")</f>
        <v/>
      </c>
    </row>
    <row r="3435" ht="20" customHeight="1">
      <c r="A3435" s="29" t="n">
        <v>-18</v>
      </c>
      <c r="B3435" s="29" t="n">
        <v>45</v>
      </c>
      <c r="C3435" s="30" t="n">
        <v>100</v>
      </c>
      <c r="D3435" s="30" t="n">
        <v>3</v>
      </c>
      <c r="E3435" s="6" t="n">
        <v>8</v>
      </c>
      <c r="F3435" s="30" t="n">
        <v>1.5</v>
      </c>
      <c r="G3435" s="6" t="inlineStr">
        <is>
          <t>Oui</t>
        </is>
      </c>
      <c r="H3435" s="6" t="inlineStr">
        <is>
          <t>OFF</t>
        </is>
      </c>
      <c r="I3435" s="31" t="n">
        <v>885.2722778138215</v>
      </c>
      <c r="J3435" s="31" t="n">
        <v>10520.73059103506</v>
      </c>
      <c r="K3435" s="31" t="n">
        <v>5101.851851851852</v>
      </c>
      <c r="L3435" s="31" t="n">
        <v>150</v>
      </c>
      <c r="M3435" s="31">
        <f>I3435+J3435+K3435+L3435</f>
        <v/>
      </c>
      <c r="N3435" s="31">
        <f>M3435*'Dashboard &amp; Optimisation'!$B$18/('Dashboard &amp; Optimisation'!$B$16/3.6)</f>
        <v/>
      </c>
      <c r="O3435" s="31" t="n">
        <v>2016.397874085415</v>
      </c>
      <c r="P3435" s="32" t="n">
        <v>0.2400757351497012</v>
      </c>
      <c r="Q3435" s="33" t="n">
        <v>13.51537661762185</v>
      </c>
      <c r="R3435" s="31" t="n">
        <v>2012.900549596624</v>
      </c>
      <c r="S3435" s="31">
        <f>R3435*IF(A3435=4, 2.0, 3.0)</f>
        <v/>
      </c>
      <c r="T3435" s="30">
        <f>'Dashboard &amp; Optimisation'!$B$18*U3435</f>
        <v/>
      </c>
      <c r="U3435" s="34">
        <f>MIN(1, S3435/M3435)</f>
        <v/>
      </c>
      <c r="V3435" s="34">
        <f>N3435/(N3435+O3435)</f>
        <v/>
      </c>
      <c r="W3435" s="34">
        <f>U3435*V3435</f>
        <v/>
      </c>
      <c r="X3435" s="32">
        <f>T3435/N3435</f>
        <v/>
      </c>
      <c r="Y3435" s="35">
        <f>IF(W3435=MAXIFS(W$2:W$3601, A$2:A$3601, A3435, B$2:B$3601, B3435), "OPTIMAL", "")</f>
        <v/>
      </c>
    </row>
    <row r="3436" ht="20" customHeight="1">
      <c r="A3436" s="21" t="n">
        <v>-18</v>
      </c>
      <c r="B3436" s="21" t="n">
        <v>45</v>
      </c>
      <c r="C3436" s="22" t="n">
        <v>100</v>
      </c>
      <c r="D3436" s="22" t="n">
        <v>3</v>
      </c>
      <c r="E3436" s="23" t="n">
        <v>8</v>
      </c>
      <c r="F3436" s="22" t="n">
        <v>1.5</v>
      </c>
      <c r="G3436" s="23" t="inlineStr">
        <is>
          <t>Non</t>
        </is>
      </c>
      <c r="H3436" s="23" t="inlineStr">
        <is>
          <t>ON</t>
        </is>
      </c>
      <c r="I3436" s="24" t="n">
        <v>885.2722778138215</v>
      </c>
      <c r="J3436" s="24" t="n">
        <v>10520.73059103506</v>
      </c>
      <c r="K3436" s="24" t="n">
        <v>5101.851851851852</v>
      </c>
      <c r="L3436" s="24" t="n">
        <v>150</v>
      </c>
      <c r="M3436" s="24">
        <f>I3436+J3436+K3436+L3436</f>
        <v/>
      </c>
      <c r="N3436" s="24">
        <f>M3436*'Dashboard &amp; Optimisation'!$B$18/('Dashboard &amp; Optimisation'!$B$16/3.6)</f>
        <v/>
      </c>
      <c r="O3436" s="24" t="n">
        <v>2016.397874085415</v>
      </c>
      <c r="P3436" s="25" t="n">
        <v>0.05244036690739898</v>
      </c>
      <c r="Q3436" s="26" t="n">
        <v>13.51537661762185</v>
      </c>
      <c r="R3436" s="24" t="n">
        <v>9215.202099576922</v>
      </c>
      <c r="S3436" s="24">
        <f>R3436*IF(A3436=4, 2.0, 3.0)</f>
        <v/>
      </c>
      <c r="T3436" s="22">
        <f>'Dashboard &amp; Optimisation'!$B$18*U3436</f>
        <v/>
      </c>
      <c r="U3436" s="27">
        <f>MIN(1, S3436/M3436)</f>
        <v/>
      </c>
      <c r="V3436" s="27">
        <f>N3436/(N3436+O3436)</f>
        <v/>
      </c>
      <c r="W3436" s="27">
        <f>U3436*V3436</f>
        <v/>
      </c>
      <c r="X3436" s="25">
        <f>T3436/N3436</f>
        <v/>
      </c>
      <c r="Y3436" s="28">
        <f>IF(W3436=MAXIFS(W$2:W$3601, A$2:A$3601, A3436, B$2:B$3601, B3436), "OPTIMAL", "")</f>
        <v/>
      </c>
    </row>
    <row r="3437" ht="20" customHeight="1">
      <c r="A3437" s="29" t="n">
        <v>-18</v>
      </c>
      <c r="B3437" s="29" t="n">
        <v>45</v>
      </c>
      <c r="C3437" s="30" t="n">
        <v>100</v>
      </c>
      <c r="D3437" s="30" t="n">
        <v>3</v>
      </c>
      <c r="E3437" s="6" t="n">
        <v>8</v>
      </c>
      <c r="F3437" s="30" t="n">
        <v>1.5</v>
      </c>
      <c r="G3437" s="6" t="inlineStr">
        <is>
          <t>Non</t>
        </is>
      </c>
      <c r="H3437" s="6" t="inlineStr">
        <is>
          <t>OFF</t>
        </is>
      </c>
      <c r="I3437" s="31" t="n">
        <v>885.2722778138215</v>
      </c>
      <c r="J3437" s="31" t="n">
        <v>10520.73059103506</v>
      </c>
      <c r="K3437" s="31" t="n">
        <v>5101.851851851852</v>
      </c>
      <c r="L3437" s="31" t="n">
        <v>150</v>
      </c>
      <c r="M3437" s="31">
        <f>I3437+J3437+K3437+L3437</f>
        <v/>
      </c>
      <c r="N3437" s="31">
        <f>M3437*'Dashboard &amp; Optimisation'!$B$18/('Dashboard &amp; Optimisation'!$B$16/3.6)</f>
        <v/>
      </c>
      <c r="O3437" s="31" t="n">
        <v>2016.397874085415</v>
      </c>
      <c r="P3437" s="32" t="n">
        <v>0.2368926362878633</v>
      </c>
      <c r="Q3437" s="33" t="n">
        <v>13.51537661762185</v>
      </c>
      <c r="R3437" s="31" t="n">
        <v>2039.947660679588</v>
      </c>
      <c r="S3437" s="31">
        <f>R3437*IF(A3437=4, 2.0, 3.0)</f>
        <v/>
      </c>
      <c r="T3437" s="30">
        <f>'Dashboard &amp; Optimisation'!$B$18*U3437</f>
        <v/>
      </c>
      <c r="U3437" s="34">
        <f>MIN(1, S3437/M3437)</f>
        <v/>
      </c>
      <c r="V3437" s="34">
        <f>N3437/(N3437+O3437)</f>
        <v/>
      </c>
      <c r="W3437" s="34">
        <f>U3437*V3437</f>
        <v/>
      </c>
      <c r="X3437" s="32">
        <f>T3437/N3437</f>
        <v/>
      </c>
      <c r="Y3437" s="35">
        <f>IF(W3437=MAXIFS(W$2:W$3601, A$2:A$3601, A3437, B$2:B$3601, B3437), "OPTIMAL", "")</f>
        <v/>
      </c>
    </row>
    <row r="3438" ht="20" customHeight="1">
      <c r="A3438" s="21" t="n">
        <v>-18</v>
      </c>
      <c r="B3438" s="21" t="n">
        <v>45</v>
      </c>
      <c r="C3438" s="22" t="n">
        <v>100</v>
      </c>
      <c r="D3438" s="22" t="n">
        <v>3</v>
      </c>
      <c r="E3438" s="23" t="n">
        <v>8</v>
      </c>
      <c r="F3438" s="22" t="n">
        <v>2</v>
      </c>
      <c r="G3438" s="23" t="inlineStr">
        <is>
          <t>Oui</t>
        </is>
      </c>
      <c r="H3438" s="23" t="inlineStr">
        <is>
          <t>ON</t>
        </is>
      </c>
      <c r="I3438" s="24" t="n">
        <v>885.2722778138215</v>
      </c>
      <c r="J3438" s="24" t="n">
        <v>10520.73059103506</v>
      </c>
      <c r="K3438" s="24" t="n">
        <v>5101.851851851852</v>
      </c>
      <c r="L3438" s="24" t="n">
        <v>150</v>
      </c>
      <c r="M3438" s="24">
        <f>I3438+J3438+K3438+L3438</f>
        <v/>
      </c>
      <c r="N3438" s="24">
        <f>M3438*'Dashboard &amp; Optimisation'!$B$18/('Dashboard &amp; Optimisation'!$B$16/3.6)</f>
        <v/>
      </c>
      <c r="O3438" s="24" t="n">
        <v>2345.283503874635</v>
      </c>
      <c r="P3438" s="25" t="n">
        <v>0.05441799410512958</v>
      </c>
      <c r="Q3438" s="26" t="n">
        <v>17.95383549016247</v>
      </c>
      <c r="R3438" s="24" t="n">
        <v>9091.031328261304</v>
      </c>
      <c r="S3438" s="24">
        <f>R3438*IF(A3438=4, 2.0, 3.0)</f>
        <v/>
      </c>
      <c r="T3438" s="22">
        <f>'Dashboard &amp; Optimisation'!$B$18*U3438</f>
        <v/>
      </c>
      <c r="U3438" s="27">
        <f>MIN(1, S3438/M3438)</f>
        <v/>
      </c>
      <c r="V3438" s="27">
        <f>N3438/(N3438+O3438)</f>
        <v/>
      </c>
      <c r="W3438" s="27">
        <f>U3438*V3438</f>
        <v/>
      </c>
      <c r="X3438" s="25">
        <f>T3438/N3438</f>
        <v/>
      </c>
      <c r="Y3438" s="28">
        <f>IF(W3438=MAXIFS(W$2:W$3601, A$2:A$3601, A3438, B$2:B$3601, B3438), "OPTIMAL", "")</f>
        <v/>
      </c>
    </row>
    <row r="3439" ht="20" customHeight="1">
      <c r="A3439" s="29" t="n">
        <v>-18</v>
      </c>
      <c r="B3439" s="29" t="n">
        <v>45</v>
      </c>
      <c r="C3439" s="30" t="n">
        <v>100</v>
      </c>
      <c r="D3439" s="30" t="n">
        <v>3</v>
      </c>
      <c r="E3439" s="6" t="n">
        <v>8</v>
      </c>
      <c r="F3439" s="30" t="n">
        <v>2</v>
      </c>
      <c r="G3439" s="6" t="inlineStr">
        <is>
          <t>Oui</t>
        </is>
      </c>
      <c r="H3439" s="6" t="inlineStr">
        <is>
          <t>OFF</t>
        </is>
      </c>
      <c r="I3439" s="31" t="n">
        <v>885.2722778138215</v>
      </c>
      <c r="J3439" s="31" t="n">
        <v>10520.73059103506</v>
      </c>
      <c r="K3439" s="31" t="n">
        <v>5101.851851851852</v>
      </c>
      <c r="L3439" s="31" t="n">
        <v>150</v>
      </c>
      <c r="M3439" s="31">
        <f>I3439+J3439+K3439+L3439</f>
        <v/>
      </c>
      <c r="N3439" s="31">
        <f>M3439*'Dashboard &amp; Optimisation'!$B$18/('Dashboard &amp; Optimisation'!$B$16/3.6)</f>
        <v/>
      </c>
      <c r="O3439" s="31" t="n">
        <v>2345.283503874635</v>
      </c>
      <c r="P3439" s="32" t="n">
        <v>0.2402392320400437</v>
      </c>
      <c r="Q3439" s="33" t="n">
        <v>17.95383549016247</v>
      </c>
      <c r="R3439" s="31" t="n">
        <v>2059.262698393956</v>
      </c>
      <c r="S3439" s="31">
        <f>R3439*IF(A3439=4, 2.0, 3.0)</f>
        <v/>
      </c>
      <c r="T3439" s="30">
        <f>'Dashboard &amp; Optimisation'!$B$18*U3439</f>
        <v/>
      </c>
      <c r="U3439" s="34">
        <f>MIN(1, S3439/M3439)</f>
        <v/>
      </c>
      <c r="V3439" s="34">
        <f>N3439/(N3439+O3439)</f>
        <v/>
      </c>
      <c r="W3439" s="34">
        <f>U3439*V3439</f>
        <v/>
      </c>
      <c r="X3439" s="32">
        <f>T3439/N3439</f>
        <v/>
      </c>
      <c r="Y3439" s="35">
        <f>IF(W3439=MAXIFS(W$2:W$3601, A$2:A$3601, A3439, B$2:B$3601, B3439), "OPTIMAL", "")</f>
        <v/>
      </c>
    </row>
    <row r="3440" ht="20" customHeight="1">
      <c r="A3440" s="21" t="n">
        <v>-18</v>
      </c>
      <c r="B3440" s="21" t="n">
        <v>45</v>
      </c>
      <c r="C3440" s="22" t="n">
        <v>100</v>
      </c>
      <c r="D3440" s="22" t="n">
        <v>3</v>
      </c>
      <c r="E3440" s="23" t="n">
        <v>8</v>
      </c>
      <c r="F3440" s="22" t="n">
        <v>2</v>
      </c>
      <c r="G3440" s="23" t="inlineStr">
        <is>
          <t>Non</t>
        </is>
      </c>
      <c r="H3440" s="23" t="inlineStr">
        <is>
          <t>ON</t>
        </is>
      </c>
      <c r="I3440" s="24" t="n">
        <v>885.2722778138215</v>
      </c>
      <c r="J3440" s="24" t="n">
        <v>10520.73059103506</v>
      </c>
      <c r="K3440" s="24" t="n">
        <v>5101.851851851852</v>
      </c>
      <c r="L3440" s="24" t="n">
        <v>150</v>
      </c>
      <c r="M3440" s="24">
        <f>I3440+J3440+K3440+L3440</f>
        <v/>
      </c>
      <c r="N3440" s="24">
        <f>M3440*'Dashboard &amp; Optimisation'!$B$18/('Dashboard &amp; Optimisation'!$B$16/3.6)</f>
        <v/>
      </c>
      <c r="O3440" s="24" t="n">
        <v>2345.283503874635</v>
      </c>
      <c r="P3440" s="25" t="n">
        <v>0.05123489524329167</v>
      </c>
      <c r="Q3440" s="26" t="n">
        <v>17.95383549016247</v>
      </c>
      <c r="R3440" s="24" t="n">
        <v>9655.83489302921</v>
      </c>
      <c r="S3440" s="24">
        <f>R3440*IF(A3440=4, 2.0, 3.0)</f>
        <v/>
      </c>
      <c r="T3440" s="22">
        <f>'Dashboard &amp; Optimisation'!$B$18*U3440</f>
        <v/>
      </c>
      <c r="U3440" s="27">
        <f>MIN(1, S3440/M3440)</f>
        <v/>
      </c>
      <c r="V3440" s="27">
        <f>N3440/(N3440+O3440)</f>
        <v/>
      </c>
      <c r="W3440" s="27">
        <f>U3440*V3440</f>
        <v/>
      </c>
      <c r="X3440" s="25">
        <f>T3440/N3440</f>
        <v/>
      </c>
      <c r="Y3440" s="28">
        <f>IF(W3440=MAXIFS(W$2:W$3601, A$2:A$3601, A3440, B$2:B$3601, B3440), "OPTIMAL", "")</f>
        <v/>
      </c>
    </row>
    <row r="3441" ht="20" customHeight="1">
      <c r="A3441" s="29" t="n">
        <v>-18</v>
      </c>
      <c r="B3441" s="29" t="n">
        <v>45</v>
      </c>
      <c r="C3441" s="30" t="n">
        <v>100</v>
      </c>
      <c r="D3441" s="30" t="n">
        <v>3</v>
      </c>
      <c r="E3441" s="6" t="n">
        <v>8</v>
      </c>
      <c r="F3441" s="30" t="n">
        <v>2</v>
      </c>
      <c r="G3441" s="6" t="inlineStr">
        <is>
          <t>Non</t>
        </is>
      </c>
      <c r="H3441" s="6" t="inlineStr">
        <is>
          <t>OFF</t>
        </is>
      </c>
      <c r="I3441" s="31" t="n">
        <v>885.2722778138215</v>
      </c>
      <c r="J3441" s="31" t="n">
        <v>10520.73059103506</v>
      </c>
      <c r="K3441" s="31" t="n">
        <v>5101.851851851852</v>
      </c>
      <c r="L3441" s="31" t="n">
        <v>150</v>
      </c>
      <c r="M3441" s="31">
        <f>I3441+J3441+K3441+L3441</f>
        <v/>
      </c>
      <c r="N3441" s="31">
        <f>M3441*'Dashboard &amp; Optimisation'!$B$18/('Dashboard &amp; Optimisation'!$B$16/3.6)</f>
        <v/>
      </c>
      <c r="O3441" s="31" t="n">
        <v>2345.283503874635</v>
      </c>
      <c r="P3441" s="32" t="n">
        <v>0.2370561331782058</v>
      </c>
      <c r="Q3441" s="33" t="n">
        <v>17.95383549016247</v>
      </c>
      <c r="R3441" s="31" t="n">
        <v>2086.913688324495</v>
      </c>
      <c r="S3441" s="31">
        <f>R3441*IF(A3441=4, 2.0, 3.0)</f>
        <v/>
      </c>
      <c r="T3441" s="30">
        <f>'Dashboard &amp; Optimisation'!$B$18*U3441</f>
        <v/>
      </c>
      <c r="U3441" s="34">
        <f>MIN(1, S3441/M3441)</f>
        <v/>
      </c>
      <c r="V3441" s="34">
        <f>N3441/(N3441+O3441)</f>
        <v/>
      </c>
      <c r="W3441" s="34">
        <f>U3441*V3441</f>
        <v/>
      </c>
      <c r="X3441" s="32">
        <f>T3441/N3441</f>
        <v/>
      </c>
      <c r="Y3441" s="35">
        <f>IF(W3441=MAXIFS(W$2:W$3601, A$2:A$3601, A3441, B$2:B$3601, B3441), "OPTIMAL", "")</f>
        <v/>
      </c>
    </row>
    <row r="3442" ht="20" customHeight="1">
      <c r="A3442" s="21" t="n">
        <v>-18</v>
      </c>
      <c r="B3442" s="21" t="n">
        <v>45</v>
      </c>
      <c r="C3442" s="22" t="n">
        <v>105</v>
      </c>
      <c r="D3442" s="22" t="n">
        <v>2</v>
      </c>
      <c r="E3442" s="23" t="n">
        <v>0</v>
      </c>
      <c r="F3442" s="22" t="n">
        <v>0</v>
      </c>
      <c r="G3442" s="23" t="inlineStr">
        <is>
          <t>Oui</t>
        </is>
      </c>
      <c r="H3442" s="23" t="inlineStr">
        <is>
          <t>ON</t>
        </is>
      </c>
      <c r="I3442" s="24" t="n">
        <v>885.2722778138215</v>
      </c>
      <c r="J3442" s="24" t="n">
        <v>10520.73059103506</v>
      </c>
      <c r="K3442" s="24" t="n">
        <v>5101.851851851852</v>
      </c>
      <c r="L3442" s="24" t="n">
        <v>150</v>
      </c>
      <c r="M3442" s="24">
        <f>I3442+J3442+K3442+L3442</f>
        <v/>
      </c>
      <c r="N3442" s="24">
        <f>M3442*'Dashboard &amp; Optimisation'!$B$18/('Dashboard &amp; Optimisation'!$B$16/3.6)</f>
        <v/>
      </c>
      <c r="O3442" s="24" t="n">
        <v>683.8618162254451</v>
      </c>
      <c r="P3442" s="25" t="n">
        <v>0.4767371025038626</v>
      </c>
      <c r="Q3442" s="26" t="n">
        <v>0.2</v>
      </c>
      <c r="R3442" s="24" t="n">
        <v>820.9345720710049</v>
      </c>
      <c r="S3442" s="24">
        <f>R3442*IF(A3442=4, 2.0, 3.0)</f>
        <v/>
      </c>
      <c r="T3442" s="22">
        <f>'Dashboard &amp; Optimisation'!$B$18*U3442</f>
        <v/>
      </c>
      <c r="U3442" s="27">
        <f>MIN(1, S3442/M3442)</f>
        <v/>
      </c>
      <c r="V3442" s="27">
        <f>N3442/(N3442+O3442)</f>
        <v/>
      </c>
      <c r="W3442" s="27">
        <f>U3442*V3442</f>
        <v/>
      </c>
      <c r="X3442" s="25">
        <f>T3442/N3442</f>
        <v/>
      </c>
      <c r="Y3442" s="28">
        <f>IF(W3442=MAXIFS(W$2:W$3601, A$2:A$3601, A3442, B$2:B$3601, B3442), "OPTIMAL", "")</f>
        <v/>
      </c>
    </row>
    <row r="3443" ht="20" customHeight="1">
      <c r="A3443" s="29" t="n">
        <v>-18</v>
      </c>
      <c r="B3443" s="29" t="n">
        <v>45</v>
      </c>
      <c r="C3443" s="30" t="n">
        <v>105</v>
      </c>
      <c r="D3443" s="30" t="n">
        <v>2</v>
      </c>
      <c r="E3443" s="6" t="n">
        <v>0</v>
      </c>
      <c r="F3443" s="30" t="n">
        <v>0</v>
      </c>
      <c r="G3443" s="6" t="inlineStr">
        <is>
          <t>Oui</t>
        </is>
      </c>
      <c r="H3443" s="6" t="inlineStr">
        <is>
          <t>OFF</t>
        </is>
      </c>
      <c r="I3443" s="31" t="n">
        <v>885.2722778138215</v>
      </c>
      <c r="J3443" s="31" t="n">
        <v>10520.73059103506</v>
      </c>
      <c r="K3443" s="31" t="n">
        <v>5101.851851851852</v>
      </c>
      <c r="L3443" s="31" t="n">
        <v>150</v>
      </c>
      <c r="M3443" s="31">
        <f>I3443+J3443+K3443+L3443</f>
        <v/>
      </c>
      <c r="N3443" s="31">
        <f>M3443*'Dashboard &amp; Optimisation'!$B$18/('Dashboard &amp; Optimisation'!$B$16/3.6)</f>
        <v/>
      </c>
      <c r="O3443" s="31" t="n">
        <v>683.8618162254451</v>
      </c>
      <c r="P3443" s="32" t="n">
        <v>0.7798893750598538</v>
      </c>
      <c r="Q3443" s="33" t="n">
        <v>0.2</v>
      </c>
      <c r="R3443" s="31" t="n">
        <v>501.8275434311989</v>
      </c>
      <c r="S3443" s="31">
        <f>R3443*IF(A3443=4, 2.0, 3.0)</f>
        <v/>
      </c>
      <c r="T3443" s="30">
        <f>'Dashboard &amp; Optimisation'!$B$18*U3443</f>
        <v/>
      </c>
      <c r="U3443" s="34">
        <f>MIN(1, S3443/M3443)</f>
        <v/>
      </c>
      <c r="V3443" s="34">
        <f>N3443/(N3443+O3443)</f>
        <v/>
      </c>
      <c r="W3443" s="34">
        <f>U3443*V3443</f>
        <v/>
      </c>
      <c r="X3443" s="32">
        <f>T3443/N3443</f>
        <v/>
      </c>
      <c r="Y3443" s="35">
        <f>IF(W3443=MAXIFS(W$2:W$3601, A$2:A$3601, A3443, B$2:B$3601, B3443), "OPTIMAL", "")</f>
        <v/>
      </c>
    </row>
    <row r="3444" ht="20" customHeight="1">
      <c r="A3444" s="21" t="n">
        <v>-18</v>
      </c>
      <c r="B3444" s="21" t="n">
        <v>45</v>
      </c>
      <c r="C3444" s="22" t="n">
        <v>105</v>
      </c>
      <c r="D3444" s="22" t="n">
        <v>2</v>
      </c>
      <c r="E3444" s="23" t="n">
        <v>0</v>
      </c>
      <c r="F3444" s="22" t="n">
        <v>0</v>
      </c>
      <c r="G3444" s="23" t="inlineStr">
        <is>
          <t>Non</t>
        </is>
      </c>
      <c r="H3444" s="23" t="inlineStr">
        <is>
          <t>ON</t>
        </is>
      </c>
      <c r="I3444" s="24" t="n">
        <v>885.2722778138215</v>
      </c>
      <c r="J3444" s="24" t="n">
        <v>10520.73059103506</v>
      </c>
      <c r="K3444" s="24" t="n">
        <v>5101.851851851852</v>
      </c>
      <c r="L3444" s="24" t="n">
        <v>150</v>
      </c>
      <c r="M3444" s="24">
        <f>I3444+J3444+K3444+L3444</f>
        <v/>
      </c>
      <c r="N3444" s="24">
        <f>M3444*'Dashboard &amp; Optimisation'!$B$18/('Dashboard &amp; Optimisation'!$B$16/3.6)</f>
        <v/>
      </c>
      <c r="O3444" s="24" t="n">
        <v>683.8618162254451</v>
      </c>
      <c r="P3444" s="25" t="n">
        <v>0.4737055797783027</v>
      </c>
      <c r="Q3444" s="26" t="n">
        <v>0.2</v>
      </c>
      <c r="R3444" s="24" t="n">
        <v>826.188218888076</v>
      </c>
      <c r="S3444" s="24">
        <f>R3444*IF(A3444=4, 2.0, 3.0)</f>
        <v/>
      </c>
      <c r="T3444" s="22">
        <f>'Dashboard &amp; Optimisation'!$B$18*U3444</f>
        <v/>
      </c>
      <c r="U3444" s="27">
        <f>MIN(1, S3444/M3444)</f>
        <v/>
      </c>
      <c r="V3444" s="27">
        <f>N3444/(N3444+O3444)</f>
        <v/>
      </c>
      <c r="W3444" s="27">
        <f>U3444*V3444</f>
        <v/>
      </c>
      <c r="X3444" s="25">
        <f>T3444/N3444</f>
        <v/>
      </c>
      <c r="Y3444" s="28">
        <f>IF(W3444=MAXIFS(W$2:W$3601, A$2:A$3601, A3444, B$2:B$3601, B3444), "OPTIMAL", "")</f>
        <v/>
      </c>
    </row>
    <row r="3445" ht="20" customHeight="1">
      <c r="A3445" s="29" t="n">
        <v>-18</v>
      </c>
      <c r="B3445" s="29" t="n">
        <v>45</v>
      </c>
      <c r="C3445" s="30" t="n">
        <v>105</v>
      </c>
      <c r="D3445" s="30" t="n">
        <v>2</v>
      </c>
      <c r="E3445" s="6" t="n">
        <v>0</v>
      </c>
      <c r="F3445" s="30" t="n">
        <v>0</v>
      </c>
      <c r="G3445" s="6" t="inlineStr">
        <is>
          <t>Non</t>
        </is>
      </c>
      <c r="H3445" s="6" t="inlineStr">
        <is>
          <t>OFF</t>
        </is>
      </c>
      <c r="I3445" s="31" t="n">
        <v>885.2722778138215</v>
      </c>
      <c r="J3445" s="31" t="n">
        <v>10520.73059103506</v>
      </c>
      <c r="K3445" s="31" t="n">
        <v>5101.851851851852</v>
      </c>
      <c r="L3445" s="31" t="n">
        <v>150</v>
      </c>
      <c r="M3445" s="31">
        <f>I3445+J3445+K3445+L3445</f>
        <v/>
      </c>
      <c r="N3445" s="31">
        <f>M3445*'Dashboard &amp; Optimisation'!$B$18/('Dashboard &amp; Optimisation'!$B$16/3.6)</f>
        <v/>
      </c>
      <c r="O3445" s="31" t="n">
        <v>683.8618162254451</v>
      </c>
      <c r="P3445" s="32" t="n">
        <v>0.7768578523342939</v>
      </c>
      <c r="Q3445" s="33" t="n">
        <v>0.2</v>
      </c>
      <c r="R3445" s="31" t="n">
        <v>503.7858188063558</v>
      </c>
      <c r="S3445" s="31">
        <f>R3445*IF(A3445=4, 2.0, 3.0)</f>
        <v/>
      </c>
      <c r="T3445" s="30">
        <f>'Dashboard &amp; Optimisation'!$B$18*U3445</f>
        <v/>
      </c>
      <c r="U3445" s="34">
        <f>MIN(1, S3445/M3445)</f>
        <v/>
      </c>
      <c r="V3445" s="34">
        <f>N3445/(N3445+O3445)</f>
        <v/>
      </c>
      <c r="W3445" s="34">
        <f>U3445*V3445</f>
        <v/>
      </c>
      <c r="X3445" s="32">
        <f>T3445/N3445</f>
        <v/>
      </c>
      <c r="Y3445" s="35">
        <f>IF(W3445=MAXIFS(W$2:W$3601, A$2:A$3601, A3445, B$2:B$3601, B3445), "OPTIMAL", "")</f>
        <v/>
      </c>
    </row>
    <row r="3446" ht="20" customHeight="1">
      <c r="A3446" s="36" t="n">
        <v>-18</v>
      </c>
      <c r="B3446" s="36" t="n">
        <v>45</v>
      </c>
      <c r="C3446" s="37" t="n">
        <v>105</v>
      </c>
      <c r="D3446" s="37" t="n">
        <v>2</v>
      </c>
      <c r="E3446" s="38" t="n">
        <v>4</v>
      </c>
      <c r="F3446" s="37" t="n">
        <v>1.5</v>
      </c>
      <c r="G3446" s="38" t="inlineStr">
        <is>
          <t>Oui</t>
        </is>
      </c>
      <c r="H3446" s="38" t="inlineStr">
        <is>
          <t>ON</t>
        </is>
      </c>
      <c r="I3446" s="39" t="n">
        <v>885.2722778138215</v>
      </c>
      <c r="J3446" s="39" t="n">
        <v>10520.73059103506</v>
      </c>
      <c r="K3446" s="39" t="n">
        <v>5101.851851851852</v>
      </c>
      <c r="L3446" s="39" t="n">
        <v>150</v>
      </c>
      <c r="M3446" s="39">
        <f>I3446+J3446+K3446+L3446</f>
        <v/>
      </c>
      <c r="N3446" s="39">
        <f>M3446*'Dashboard &amp; Optimisation'!$B$18/('Dashboard &amp; Optimisation'!$B$16/3.6)</f>
        <v/>
      </c>
      <c r="O3446" s="39" t="n">
        <v>1067.403025127066</v>
      </c>
      <c r="P3446" s="40" t="n">
        <v>0.07211788842163316</v>
      </c>
      <c r="Q3446" s="41" t="n">
        <v>6.39626436661611</v>
      </c>
      <c r="R3446" s="39" t="n">
        <v>5596.120210920199</v>
      </c>
      <c r="S3446" s="39">
        <f>R3446*IF(A3446=4, 2.0, 3.0)</f>
        <v/>
      </c>
      <c r="T3446" s="37">
        <f>'Dashboard &amp; Optimisation'!$B$18*U3446</f>
        <v/>
      </c>
      <c r="U3446" s="42">
        <f>MIN(1, S3446/M3446)</f>
        <v/>
      </c>
      <c r="V3446" s="42">
        <f>N3446/(N3446+O3446)</f>
        <v/>
      </c>
      <c r="W3446" s="42">
        <f>U3446*V3446</f>
        <v/>
      </c>
      <c r="X3446" s="40">
        <f>T3446/N3446</f>
        <v/>
      </c>
      <c r="Y3446" s="15">
        <f>IF(W3446=MAXIFS(W$2:W$3601, A$2:A$3601, A3446, B$2:B$3601, B3446), "OPTIMAL", "")</f>
        <v/>
      </c>
    </row>
    <row r="3447" ht="20" customHeight="1">
      <c r="A3447" s="29" t="n">
        <v>-18</v>
      </c>
      <c r="B3447" s="29" t="n">
        <v>45</v>
      </c>
      <c r="C3447" s="30" t="n">
        <v>105</v>
      </c>
      <c r="D3447" s="30" t="n">
        <v>2</v>
      </c>
      <c r="E3447" s="6" t="n">
        <v>4</v>
      </c>
      <c r="F3447" s="30" t="n">
        <v>1.5</v>
      </c>
      <c r="G3447" s="6" t="inlineStr">
        <is>
          <t>Oui</t>
        </is>
      </c>
      <c r="H3447" s="6" t="inlineStr">
        <is>
          <t>OFF</t>
        </is>
      </c>
      <c r="I3447" s="31" t="n">
        <v>885.2722778138215</v>
      </c>
      <c r="J3447" s="31" t="n">
        <v>10520.73059103506</v>
      </c>
      <c r="K3447" s="31" t="n">
        <v>5101.851851851852</v>
      </c>
      <c r="L3447" s="31" t="n">
        <v>150</v>
      </c>
      <c r="M3447" s="31">
        <f>I3447+J3447+K3447+L3447</f>
        <v/>
      </c>
      <c r="N3447" s="31">
        <f>M3447*'Dashboard &amp; Optimisation'!$B$18/('Dashboard &amp; Optimisation'!$B$16/3.6)</f>
        <v/>
      </c>
      <c r="O3447" s="31" t="n">
        <v>1067.403025127066</v>
      </c>
      <c r="P3447" s="32" t="n">
        <v>0.297414701598841</v>
      </c>
      <c r="Q3447" s="33" t="n">
        <v>6.39626436661611</v>
      </c>
      <c r="R3447" s="31" t="n">
        <v>1356.961746664247</v>
      </c>
      <c r="S3447" s="31">
        <f>R3447*IF(A3447=4, 2.0, 3.0)</f>
        <v/>
      </c>
      <c r="T3447" s="30">
        <f>'Dashboard &amp; Optimisation'!$B$18*U3447</f>
        <v/>
      </c>
      <c r="U3447" s="34">
        <f>MIN(1, S3447/M3447)</f>
        <v/>
      </c>
      <c r="V3447" s="34">
        <f>N3447/(N3447+O3447)</f>
        <v/>
      </c>
      <c r="W3447" s="34">
        <f>U3447*V3447</f>
        <v/>
      </c>
      <c r="X3447" s="32">
        <f>T3447/N3447</f>
        <v/>
      </c>
      <c r="Y3447" s="35">
        <f>IF(W3447=MAXIFS(W$2:W$3601, A$2:A$3601, A3447, B$2:B$3601, B3447), "OPTIMAL", "")</f>
        <v/>
      </c>
    </row>
    <row r="3448" ht="20" customHeight="1">
      <c r="A3448" s="36" t="n">
        <v>-18</v>
      </c>
      <c r="B3448" s="36" t="n">
        <v>45</v>
      </c>
      <c r="C3448" s="37" t="n">
        <v>105</v>
      </c>
      <c r="D3448" s="37" t="n">
        <v>2</v>
      </c>
      <c r="E3448" s="38" t="n">
        <v>4</v>
      </c>
      <c r="F3448" s="37" t="n">
        <v>1.5</v>
      </c>
      <c r="G3448" s="38" t="inlineStr">
        <is>
          <t>Non</t>
        </is>
      </c>
      <c r="H3448" s="38" t="inlineStr">
        <is>
          <t>ON</t>
        </is>
      </c>
      <c r="I3448" s="39" t="n">
        <v>885.2722778138215</v>
      </c>
      <c r="J3448" s="39" t="n">
        <v>10520.73059103506</v>
      </c>
      <c r="K3448" s="39" t="n">
        <v>5101.851851851852</v>
      </c>
      <c r="L3448" s="39" t="n">
        <v>150</v>
      </c>
      <c r="M3448" s="39">
        <f>I3448+J3448+K3448+L3448</f>
        <v/>
      </c>
      <c r="N3448" s="39">
        <f>M3448*'Dashboard &amp; Optimisation'!$B$18/('Dashboard &amp; Optimisation'!$B$16/3.6)</f>
        <v/>
      </c>
      <c r="O3448" s="39" t="n">
        <v>1067.403025127066</v>
      </c>
      <c r="P3448" s="40" t="n">
        <v>0.06908636569607325</v>
      </c>
      <c r="Q3448" s="41" t="n">
        <v>6.39626436661611</v>
      </c>
      <c r="R3448" s="39" t="n">
        <v>5841.679018702932</v>
      </c>
      <c r="S3448" s="39">
        <f>R3448*IF(A3448=4, 2.0, 3.0)</f>
        <v/>
      </c>
      <c r="T3448" s="37">
        <f>'Dashboard &amp; Optimisation'!$B$18*U3448</f>
        <v/>
      </c>
      <c r="U3448" s="42">
        <f>MIN(1, S3448/M3448)</f>
        <v/>
      </c>
      <c r="V3448" s="42">
        <f>N3448/(N3448+O3448)</f>
        <v/>
      </c>
      <c r="W3448" s="42">
        <f>U3448*V3448</f>
        <v/>
      </c>
      <c r="X3448" s="40">
        <f>T3448/N3448</f>
        <v/>
      </c>
      <c r="Y3448" s="15">
        <f>IF(W3448=MAXIFS(W$2:W$3601, A$2:A$3601, A3448, B$2:B$3601, B3448), "OPTIMAL", "")</f>
        <v/>
      </c>
    </row>
    <row r="3449" ht="20" customHeight="1">
      <c r="A3449" s="29" t="n">
        <v>-18</v>
      </c>
      <c r="B3449" s="29" t="n">
        <v>45</v>
      </c>
      <c r="C3449" s="30" t="n">
        <v>105</v>
      </c>
      <c r="D3449" s="30" t="n">
        <v>2</v>
      </c>
      <c r="E3449" s="6" t="n">
        <v>4</v>
      </c>
      <c r="F3449" s="30" t="n">
        <v>1.5</v>
      </c>
      <c r="G3449" s="6" t="inlineStr">
        <is>
          <t>Non</t>
        </is>
      </c>
      <c r="H3449" s="6" t="inlineStr">
        <is>
          <t>OFF</t>
        </is>
      </c>
      <c r="I3449" s="31" t="n">
        <v>885.2722778138215</v>
      </c>
      <c r="J3449" s="31" t="n">
        <v>10520.73059103506</v>
      </c>
      <c r="K3449" s="31" t="n">
        <v>5101.851851851852</v>
      </c>
      <c r="L3449" s="31" t="n">
        <v>150</v>
      </c>
      <c r="M3449" s="31">
        <f>I3449+J3449+K3449+L3449</f>
        <v/>
      </c>
      <c r="N3449" s="31">
        <f>M3449*'Dashboard &amp; Optimisation'!$B$18/('Dashboard &amp; Optimisation'!$B$16/3.6)</f>
        <v/>
      </c>
      <c r="O3449" s="31" t="n">
        <v>1067.403025127066</v>
      </c>
      <c r="P3449" s="32" t="n">
        <v>0.2943831788732811</v>
      </c>
      <c r="Q3449" s="33" t="n">
        <v>6.39626436661611</v>
      </c>
      <c r="R3449" s="31" t="n">
        <v>1370.935576244023</v>
      </c>
      <c r="S3449" s="31">
        <f>R3449*IF(A3449=4, 2.0, 3.0)</f>
        <v/>
      </c>
      <c r="T3449" s="30">
        <f>'Dashboard &amp; Optimisation'!$B$18*U3449</f>
        <v/>
      </c>
      <c r="U3449" s="34">
        <f>MIN(1, S3449/M3449)</f>
        <v/>
      </c>
      <c r="V3449" s="34">
        <f>N3449/(N3449+O3449)</f>
        <v/>
      </c>
      <c r="W3449" s="34">
        <f>U3449*V3449</f>
        <v/>
      </c>
      <c r="X3449" s="32">
        <f>T3449/N3449</f>
        <v/>
      </c>
      <c r="Y3449" s="35">
        <f>IF(W3449=MAXIFS(W$2:W$3601, A$2:A$3601, A3449, B$2:B$3601, B3449), "OPTIMAL", "")</f>
        <v/>
      </c>
    </row>
    <row r="3450" ht="20" customHeight="1">
      <c r="A3450" s="21" t="n">
        <v>-18</v>
      </c>
      <c r="B3450" s="21" t="n">
        <v>45</v>
      </c>
      <c r="C3450" s="22" t="n">
        <v>105</v>
      </c>
      <c r="D3450" s="22" t="n">
        <v>2</v>
      </c>
      <c r="E3450" s="23" t="n">
        <v>4</v>
      </c>
      <c r="F3450" s="22" t="n">
        <v>2</v>
      </c>
      <c r="G3450" s="23" t="inlineStr">
        <is>
          <t>Oui</t>
        </is>
      </c>
      <c r="H3450" s="23" t="inlineStr">
        <is>
          <t>ON</t>
        </is>
      </c>
      <c r="I3450" s="24" t="n">
        <v>885.2722778138215</v>
      </c>
      <c r="J3450" s="24" t="n">
        <v>10520.73059103506</v>
      </c>
      <c r="K3450" s="24" t="n">
        <v>5101.851851851852</v>
      </c>
      <c r="L3450" s="24" t="n">
        <v>150</v>
      </c>
      <c r="M3450" s="24">
        <f>I3450+J3450+K3450+L3450</f>
        <v/>
      </c>
      <c r="N3450" s="24">
        <f>M3450*'Dashboard &amp; Optimisation'!$B$18/('Dashboard &amp; Optimisation'!$B$16/3.6)</f>
        <v/>
      </c>
      <c r="O3450" s="24" t="n">
        <v>1200.624274991479</v>
      </c>
      <c r="P3450" s="25" t="n">
        <v>0.06926604745833413</v>
      </c>
      <c r="Q3450" s="26" t="n">
        <v>8.461685822154816</v>
      </c>
      <c r="R3450" s="24" t="n">
        <v>5887.756190944088</v>
      </c>
      <c r="S3450" s="24">
        <f>R3450*IF(A3450=4, 2.0, 3.0)</f>
        <v/>
      </c>
      <c r="T3450" s="22">
        <f>'Dashboard &amp; Optimisation'!$B$18*U3450</f>
        <v/>
      </c>
      <c r="U3450" s="27">
        <f>MIN(1, S3450/M3450)</f>
        <v/>
      </c>
      <c r="V3450" s="27">
        <f>N3450/(N3450+O3450)</f>
        <v/>
      </c>
      <c r="W3450" s="27">
        <f>U3450*V3450</f>
        <v/>
      </c>
      <c r="X3450" s="25">
        <f>T3450/N3450</f>
        <v/>
      </c>
      <c r="Y3450" s="28">
        <f>IF(W3450=MAXIFS(W$2:W$3601, A$2:A$3601, A3450, B$2:B$3601, B3450), "OPTIMAL", "")</f>
        <v/>
      </c>
    </row>
    <row r="3451" ht="20" customHeight="1">
      <c r="A3451" s="29" t="n">
        <v>-18</v>
      </c>
      <c r="B3451" s="29" t="n">
        <v>45</v>
      </c>
      <c r="C3451" s="30" t="n">
        <v>105</v>
      </c>
      <c r="D3451" s="30" t="n">
        <v>2</v>
      </c>
      <c r="E3451" s="6" t="n">
        <v>4</v>
      </c>
      <c r="F3451" s="30" t="n">
        <v>2</v>
      </c>
      <c r="G3451" s="6" t="inlineStr">
        <is>
          <t>Oui</t>
        </is>
      </c>
      <c r="H3451" s="6" t="inlineStr">
        <is>
          <t>OFF</t>
        </is>
      </c>
      <c r="I3451" s="31" t="n">
        <v>885.2722778138215</v>
      </c>
      <c r="J3451" s="31" t="n">
        <v>10520.73059103506</v>
      </c>
      <c r="K3451" s="31" t="n">
        <v>5101.851851851852</v>
      </c>
      <c r="L3451" s="31" t="n">
        <v>150</v>
      </c>
      <c r="M3451" s="31">
        <f>I3451+J3451+K3451+L3451</f>
        <v/>
      </c>
      <c r="N3451" s="31">
        <f>M3451*'Dashboard &amp; Optimisation'!$B$18/('Dashboard &amp; Optimisation'!$B$16/3.6)</f>
        <v/>
      </c>
      <c r="O3451" s="31" t="n">
        <v>1200.624274991479</v>
      </c>
      <c r="P3451" s="32" t="n">
        <v>0.2955807767744409</v>
      </c>
      <c r="Q3451" s="33" t="n">
        <v>8.461685822154816</v>
      </c>
      <c r="R3451" s="31" t="n">
        <v>1379.729778761101</v>
      </c>
      <c r="S3451" s="31">
        <f>R3451*IF(A3451=4, 2.0, 3.0)</f>
        <v/>
      </c>
      <c r="T3451" s="30">
        <f>'Dashboard &amp; Optimisation'!$B$18*U3451</f>
        <v/>
      </c>
      <c r="U3451" s="34">
        <f>MIN(1, S3451/M3451)</f>
        <v/>
      </c>
      <c r="V3451" s="34">
        <f>N3451/(N3451+O3451)</f>
        <v/>
      </c>
      <c r="W3451" s="34">
        <f>U3451*V3451</f>
        <v/>
      </c>
      <c r="X3451" s="32">
        <f>T3451/N3451</f>
        <v/>
      </c>
      <c r="Y3451" s="35">
        <f>IF(W3451=MAXIFS(W$2:W$3601, A$2:A$3601, A3451, B$2:B$3601, B3451), "OPTIMAL", "")</f>
        <v/>
      </c>
    </row>
    <row r="3452" ht="20" customHeight="1">
      <c r="A3452" s="21" t="n">
        <v>-18</v>
      </c>
      <c r="B3452" s="21" t="n">
        <v>45</v>
      </c>
      <c r="C3452" s="22" t="n">
        <v>105</v>
      </c>
      <c r="D3452" s="22" t="n">
        <v>2</v>
      </c>
      <c r="E3452" s="23" t="n">
        <v>4</v>
      </c>
      <c r="F3452" s="22" t="n">
        <v>2</v>
      </c>
      <c r="G3452" s="23" t="inlineStr">
        <is>
          <t>Non</t>
        </is>
      </c>
      <c r="H3452" s="23" t="inlineStr">
        <is>
          <t>ON</t>
        </is>
      </c>
      <c r="I3452" s="24" t="n">
        <v>885.2722778138215</v>
      </c>
      <c r="J3452" s="24" t="n">
        <v>10520.73059103506</v>
      </c>
      <c r="K3452" s="24" t="n">
        <v>5101.851851851852</v>
      </c>
      <c r="L3452" s="24" t="n">
        <v>150</v>
      </c>
      <c r="M3452" s="24">
        <f>I3452+J3452+K3452+L3452</f>
        <v/>
      </c>
      <c r="N3452" s="24">
        <f>M3452*'Dashboard &amp; Optimisation'!$B$18/('Dashboard &amp; Optimisation'!$B$16/3.6)</f>
        <v/>
      </c>
      <c r="O3452" s="24" t="n">
        <v>1200.624274991479</v>
      </c>
      <c r="P3452" s="25" t="n">
        <v>0.06623452473277422</v>
      </c>
      <c r="Q3452" s="26" t="n">
        <v>8.461685822154816</v>
      </c>
      <c r="R3452" s="24" t="n">
        <v>6157.235994225157</v>
      </c>
      <c r="S3452" s="24">
        <f>R3452*IF(A3452=4, 2.0, 3.0)</f>
        <v/>
      </c>
      <c r="T3452" s="22">
        <f>'Dashboard &amp; Optimisation'!$B$18*U3452</f>
        <v/>
      </c>
      <c r="U3452" s="27">
        <f>MIN(1, S3452/M3452)</f>
        <v/>
      </c>
      <c r="V3452" s="27">
        <f>N3452/(N3452+O3452)</f>
        <v/>
      </c>
      <c r="W3452" s="27">
        <f>U3452*V3452</f>
        <v/>
      </c>
      <c r="X3452" s="25">
        <f>T3452/N3452</f>
        <v/>
      </c>
      <c r="Y3452" s="28">
        <f>IF(W3452=MAXIFS(W$2:W$3601, A$2:A$3601, A3452, B$2:B$3601, B3452), "OPTIMAL", "")</f>
        <v/>
      </c>
    </row>
    <row r="3453" ht="20" customHeight="1">
      <c r="A3453" s="29" t="n">
        <v>-18</v>
      </c>
      <c r="B3453" s="29" t="n">
        <v>45</v>
      </c>
      <c r="C3453" s="30" t="n">
        <v>105</v>
      </c>
      <c r="D3453" s="30" t="n">
        <v>2</v>
      </c>
      <c r="E3453" s="6" t="n">
        <v>4</v>
      </c>
      <c r="F3453" s="30" t="n">
        <v>2</v>
      </c>
      <c r="G3453" s="6" t="inlineStr">
        <is>
          <t>Non</t>
        </is>
      </c>
      <c r="H3453" s="6" t="inlineStr">
        <is>
          <t>OFF</t>
        </is>
      </c>
      <c r="I3453" s="31" t="n">
        <v>885.2722778138215</v>
      </c>
      <c r="J3453" s="31" t="n">
        <v>10520.73059103506</v>
      </c>
      <c r="K3453" s="31" t="n">
        <v>5101.851851851852</v>
      </c>
      <c r="L3453" s="31" t="n">
        <v>150</v>
      </c>
      <c r="M3453" s="31">
        <f>I3453+J3453+K3453+L3453</f>
        <v/>
      </c>
      <c r="N3453" s="31">
        <f>M3453*'Dashboard &amp; Optimisation'!$B$18/('Dashboard &amp; Optimisation'!$B$16/3.6)</f>
        <v/>
      </c>
      <c r="O3453" s="31" t="n">
        <v>1200.624274991479</v>
      </c>
      <c r="P3453" s="32" t="n">
        <v>0.292549254048881</v>
      </c>
      <c r="Q3453" s="33" t="n">
        <v>8.461685822154816</v>
      </c>
      <c r="R3453" s="31" t="n">
        <v>1394.027139364684</v>
      </c>
      <c r="S3453" s="31">
        <f>R3453*IF(A3453=4, 2.0, 3.0)</f>
        <v/>
      </c>
      <c r="T3453" s="30">
        <f>'Dashboard &amp; Optimisation'!$B$18*U3453</f>
        <v/>
      </c>
      <c r="U3453" s="34">
        <f>MIN(1, S3453/M3453)</f>
        <v/>
      </c>
      <c r="V3453" s="34">
        <f>N3453/(N3453+O3453)</f>
        <v/>
      </c>
      <c r="W3453" s="34">
        <f>U3453*V3453</f>
        <v/>
      </c>
      <c r="X3453" s="32">
        <f>T3453/N3453</f>
        <v/>
      </c>
      <c r="Y3453" s="35">
        <f>IF(W3453=MAXIFS(W$2:W$3601, A$2:A$3601, A3453, B$2:B$3601, B3453), "OPTIMAL", "")</f>
        <v/>
      </c>
    </row>
    <row r="3454" ht="20" customHeight="1">
      <c r="A3454" s="21" t="n">
        <v>-18</v>
      </c>
      <c r="B3454" s="21" t="n">
        <v>45</v>
      </c>
      <c r="C3454" s="22" t="n">
        <v>105</v>
      </c>
      <c r="D3454" s="22" t="n">
        <v>2</v>
      </c>
      <c r="E3454" s="23" t="n">
        <v>8</v>
      </c>
      <c r="F3454" s="22" t="n">
        <v>1.5</v>
      </c>
      <c r="G3454" s="23" t="inlineStr">
        <is>
          <t>Oui</t>
        </is>
      </c>
      <c r="H3454" s="23" t="inlineStr">
        <is>
          <t>ON</t>
        </is>
      </c>
      <c r="I3454" s="24" t="n">
        <v>885.2722778138215</v>
      </c>
      <c r="J3454" s="24" t="n">
        <v>10520.73059103506</v>
      </c>
      <c r="K3454" s="24" t="n">
        <v>5101.851851851852</v>
      </c>
      <c r="L3454" s="24" t="n">
        <v>150</v>
      </c>
      <c r="M3454" s="24">
        <f>I3454+J3454+K3454+L3454</f>
        <v/>
      </c>
      <c r="N3454" s="24">
        <f>M3454*'Dashboard &amp; Optimisation'!$B$18/('Dashboard &amp; Optimisation'!$B$16/3.6)</f>
        <v/>
      </c>
      <c r="O3454" s="24" t="n">
        <v>1475.647253201481</v>
      </c>
      <c r="P3454" s="25" t="n">
        <v>0.0545652421498049</v>
      </c>
      <c r="Q3454" s="26" t="n">
        <v>12.59252873323222</v>
      </c>
      <c r="R3454" s="24" t="n">
        <v>7634.479472415486</v>
      </c>
      <c r="S3454" s="24">
        <f>R3454*IF(A3454=4, 2.0, 3.0)</f>
        <v/>
      </c>
      <c r="T3454" s="22">
        <f>'Dashboard &amp; Optimisation'!$B$18*U3454</f>
        <v/>
      </c>
      <c r="U3454" s="27">
        <f>MIN(1, S3454/M3454)</f>
        <v/>
      </c>
      <c r="V3454" s="27">
        <f>N3454/(N3454+O3454)</f>
        <v/>
      </c>
      <c r="W3454" s="27">
        <f>U3454*V3454</f>
        <v/>
      </c>
      <c r="X3454" s="25">
        <f>T3454/N3454</f>
        <v/>
      </c>
      <c r="Y3454" s="28">
        <f>IF(W3454=MAXIFS(W$2:W$3601, A$2:A$3601, A3454, B$2:B$3601, B3454), "OPTIMAL", "")</f>
        <v/>
      </c>
    </row>
    <row r="3455" ht="20" customHeight="1">
      <c r="A3455" s="29" t="n">
        <v>-18</v>
      </c>
      <c r="B3455" s="29" t="n">
        <v>45</v>
      </c>
      <c r="C3455" s="30" t="n">
        <v>105</v>
      </c>
      <c r="D3455" s="30" t="n">
        <v>2</v>
      </c>
      <c r="E3455" s="6" t="n">
        <v>8</v>
      </c>
      <c r="F3455" s="30" t="n">
        <v>1.5</v>
      </c>
      <c r="G3455" s="6" t="inlineStr">
        <is>
          <t>Oui</t>
        </is>
      </c>
      <c r="H3455" s="6" t="inlineStr">
        <is>
          <t>OFF</t>
        </is>
      </c>
      <c r="I3455" s="31" t="n">
        <v>885.2722778138215</v>
      </c>
      <c r="J3455" s="31" t="n">
        <v>10520.73059103506</v>
      </c>
      <c r="K3455" s="31" t="n">
        <v>5101.851851851852</v>
      </c>
      <c r="L3455" s="31" t="n">
        <v>150</v>
      </c>
      <c r="M3455" s="31">
        <f>I3455+J3455+K3455+L3455</f>
        <v/>
      </c>
      <c r="N3455" s="31">
        <f>M3455*'Dashboard &amp; Optimisation'!$B$18/('Dashboard &amp; Optimisation'!$B$16/3.6)</f>
        <v/>
      </c>
      <c r="O3455" s="31" t="n">
        <v>1475.647253201481</v>
      </c>
      <c r="P3455" s="32" t="n">
        <v>0.233823801442431</v>
      </c>
      <c r="Q3455" s="33" t="n">
        <v>12.59252873323222</v>
      </c>
      <c r="R3455" s="31" t="n">
        <v>1781.58604269647</v>
      </c>
      <c r="S3455" s="31">
        <f>R3455*IF(A3455=4, 2.0, 3.0)</f>
        <v/>
      </c>
      <c r="T3455" s="30">
        <f>'Dashboard &amp; Optimisation'!$B$18*U3455</f>
        <v/>
      </c>
      <c r="U3455" s="34">
        <f>MIN(1, S3455/M3455)</f>
        <v/>
      </c>
      <c r="V3455" s="34">
        <f>N3455/(N3455+O3455)</f>
        <v/>
      </c>
      <c r="W3455" s="34">
        <f>U3455*V3455</f>
        <v/>
      </c>
      <c r="X3455" s="32">
        <f>T3455/N3455</f>
        <v/>
      </c>
      <c r="Y3455" s="35">
        <f>IF(W3455=MAXIFS(W$2:W$3601, A$2:A$3601, A3455, B$2:B$3601, B3455), "OPTIMAL", "")</f>
        <v/>
      </c>
    </row>
    <row r="3456" ht="20" customHeight="1">
      <c r="A3456" s="21" t="n">
        <v>-18</v>
      </c>
      <c r="B3456" s="21" t="n">
        <v>45</v>
      </c>
      <c r="C3456" s="22" t="n">
        <v>105</v>
      </c>
      <c r="D3456" s="22" t="n">
        <v>2</v>
      </c>
      <c r="E3456" s="23" t="n">
        <v>8</v>
      </c>
      <c r="F3456" s="22" t="n">
        <v>1.5</v>
      </c>
      <c r="G3456" s="23" t="inlineStr">
        <is>
          <t>Non</t>
        </is>
      </c>
      <c r="H3456" s="23" t="inlineStr">
        <is>
          <t>ON</t>
        </is>
      </c>
      <c r="I3456" s="24" t="n">
        <v>885.2722778138215</v>
      </c>
      <c r="J3456" s="24" t="n">
        <v>10520.73059103506</v>
      </c>
      <c r="K3456" s="24" t="n">
        <v>5101.851851851852</v>
      </c>
      <c r="L3456" s="24" t="n">
        <v>150</v>
      </c>
      <c r="M3456" s="24">
        <f>I3456+J3456+K3456+L3456</f>
        <v/>
      </c>
      <c r="N3456" s="24">
        <f>M3456*'Dashboard &amp; Optimisation'!$B$18/('Dashboard &amp; Optimisation'!$B$16/3.6)</f>
        <v/>
      </c>
      <c r="O3456" s="24" t="n">
        <v>1475.647253201481</v>
      </c>
      <c r="P3456" s="25" t="n">
        <v>0.05153371942424499</v>
      </c>
      <c r="Q3456" s="26" t="n">
        <v>12.59252873323222</v>
      </c>
      <c r="R3456" s="24" t="n">
        <v>8083.585383594092</v>
      </c>
      <c r="S3456" s="24">
        <f>R3456*IF(A3456=4, 2.0, 3.0)</f>
        <v/>
      </c>
      <c r="T3456" s="22">
        <f>'Dashboard &amp; Optimisation'!$B$18*U3456</f>
        <v/>
      </c>
      <c r="U3456" s="27">
        <f>MIN(1, S3456/M3456)</f>
        <v/>
      </c>
      <c r="V3456" s="27">
        <f>N3456/(N3456+O3456)</f>
        <v/>
      </c>
      <c r="W3456" s="27">
        <f>U3456*V3456</f>
        <v/>
      </c>
      <c r="X3456" s="25">
        <f>T3456/N3456</f>
        <v/>
      </c>
      <c r="Y3456" s="28">
        <f>IF(W3456=MAXIFS(W$2:W$3601, A$2:A$3601, A3456, B$2:B$3601, B3456), "OPTIMAL", "")</f>
        <v/>
      </c>
    </row>
    <row r="3457" ht="20" customHeight="1">
      <c r="A3457" s="29" t="n">
        <v>-18</v>
      </c>
      <c r="B3457" s="29" t="n">
        <v>45</v>
      </c>
      <c r="C3457" s="30" t="n">
        <v>105</v>
      </c>
      <c r="D3457" s="30" t="n">
        <v>2</v>
      </c>
      <c r="E3457" s="6" t="n">
        <v>8</v>
      </c>
      <c r="F3457" s="30" t="n">
        <v>1.5</v>
      </c>
      <c r="G3457" s="6" t="inlineStr">
        <is>
          <t>Non</t>
        </is>
      </c>
      <c r="H3457" s="6" t="inlineStr">
        <is>
          <t>OFF</t>
        </is>
      </c>
      <c r="I3457" s="31" t="n">
        <v>885.2722778138215</v>
      </c>
      <c r="J3457" s="31" t="n">
        <v>10520.73059103506</v>
      </c>
      <c r="K3457" s="31" t="n">
        <v>5101.851851851852</v>
      </c>
      <c r="L3457" s="31" t="n">
        <v>150</v>
      </c>
      <c r="M3457" s="31">
        <f>I3457+J3457+K3457+L3457</f>
        <v/>
      </c>
      <c r="N3457" s="31">
        <f>M3457*'Dashboard &amp; Optimisation'!$B$18/('Dashboard &amp; Optimisation'!$B$16/3.6)</f>
        <v/>
      </c>
      <c r="O3457" s="31" t="n">
        <v>1475.647253201481</v>
      </c>
      <c r="P3457" s="32" t="n">
        <v>0.2307922787168711</v>
      </c>
      <c r="Q3457" s="33" t="n">
        <v>12.59252873323222</v>
      </c>
      <c r="R3457" s="31" t="n">
        <v>1804.987685966349</v>
      </c>
      <c r="S3457" s="31">
        <f>R3457*IF(A3457=4, 2.0, 3.0)</f>
        <v/>
      </c>
      <c r="T3457" s="30">
        <f>'Dashboard &amp; Optimisation'!$B$18*U3457</f>
        <v/>
      </c>
      <c r="U3457" s="34">
        <f>MIN(1, S3457/M3457)</f>
        <v/>
      </c>
      <c r="V3457" s="34">
        <f>N3457/(N3457+O3457)</f>
        <v/>
      </c>
      <c r="W3457" s="34">
        <f>U3457*V3457</f>
        <v/>
      </c>
      <c r="X3457" s="32">
        <f>T3457/N3457</f>
        <v/>
      </c>
      <c r="Y3457" s="35">
        <f>IF(W3457=MAXIFS(W$2:W$3601, A$2:A$3601, A3457, B$2:B$3601, B3457), "OPTIMAL", "")</f>
        <v/>
      </c>
    </row>
    <row r="3458" ht="20" customHeight="1">
      <c r="A3458" s="21" t="n">
        <v>-18</v>
      </c>
      <c r="B3458" s="21" t="n">
        <v>45</v>
      </c>
      <c r="C3458" s="22" t="n">
        <v>105</v>
      </c>
      <c r="D3458" s="22" t="n">
        <v>2</v>
      </c>
      <c r="E3458" s="23" t="n">
        <v>8</v>
      </c>
      <c r="F3458" s="22" t="n">
        <v>2</v>
      </c>
      <c r="G3458" s="23" t="inlineStr">
        <is>
          <t>Oui</t>
        </is>
      </c>
      <c r="H3458" s="23" t="inlineStr">
        <is>
          <t>ON</t>
        </is>
      </c>
      <c r="I3458" s="24" t="n">
        <v>885.2722778138215</v>
      </c>
      <c r="J3458" s="24" t="n">
        <v>10520.73059103506</v>
      </c>
      <c r="K3458" s="24" t="n">
        <v>5101.851851851852</v>
      </c>
      <c r="L3458" s="24" t="n">
        <v>150</v>
      </c>
      <c r="M3458" s="24">
        <f>I3458+J3458+K3458+L3458</f>
        <v/>
      </c>
      <c r="N3458" s="24">
        <f>M3458*'Dashboard &amp; Optimisation'!$B$18/('Dashboard &amp; Optimisation'!$B$16/3.6)</f>
        <v/>
      </c>
      <c r="O3458" s="24" t="n">
        <v>1762.738396534729</v>
      </c>
      <c r="P3458" s="25" t="n">
        <v>0.05324035668794291</v>
      </c>
      <c r="Q3458" s="26" t="n">
        <v>16.72337164430963</v>
      </c>
      <c r="R3458" s="24" t="n">
        <v>7996.134334871948</v>
      </c>
      <c r="S3458" s="24">
        <f>R3458*IF(A3458=4, 2.0, 3.0)</f>
        <v/>
      </c>
      <c r="T3458" s="22">
        <f>'Dashboard &amp; Optimisation'!$B$18*U3458</f>
        <v/>
      </c>
      <c r="U3458" s="27">
        <f>MIN(1, S3458/M3458)</f>
        <v/>
      </c>
      <c r="V3458" s="27">
        <f>N3458/(N3458+O3458)</f>
        <v/>
      </c>
      <c r="W3458" s="27">
        <f>U3458*V3458</f>
        <v/>
      </c>
      <c r="X3458" s="25">
        <f>T3458/N3458</f>
        <v/>
      </c>
      <c r="Y3458" s="28">
        <f>IF(W3458=MAXIFS(W$2:W$3601, A$2:A$3601, A3458, B$2:B$3601, B3458), "OPTIMAL", "")</f>
        <v/>
      </c>
    </row>
    <row r="3459" ht="20" customHeight="1">
      <c r="A3459" s="29" t="n">
        <v>-18</v>
      </c>
      <c r="B3459" s="29" t="n">
        <v>45</v>
      </c>
      <c r="C3459" s="30" t="n">
        <v>105</v>
      </c>
      <c r="D3459" s="30" t="n">
        <v>2</v>
      </c>
      <c r="E3459" s="6" t="n">
        <v>8</v>
      </c>
      <c r="F3459" s="30" t="n">
        <v>2</v>
      </c>
      <c r="G3459" s="6" t="inlineStr">
        <is>
          <t>Oui</t>
        </is>
      </c>
      <c r="H3459" s="6" t="inlineStr">
        <is>
          <t>OFF</t>
        </is>
      </c>
      <c r="I3459" s="31" t="n">
        <v>885.2722778138215</v>
      </c>
      <c r="J3459" s="31" t="n">
        <v>10520.73059103506</v>
      </c>
      <c r="K3459" s="31" t="n">
        <v>5101.851851851852</v>
      </c>
      <c r="L3459" s="31" t="n">
        <v>150</v>
      </c>
      <c r="M3459" s="31">
        <f>I3459+J3459+K3459+L3459</f>
        <v/>
      </c>
      <c r="N3459" s="31">
        <f>M3459*'Dashboard &amp; Optimisation'!$B$18/('Dashboard &amp; Optimisation'!$B$16/3.6)</f>
        <v/>
      </c>
      <c r="O3459" s="31" t="n">
        <v>1762.738396534729</v>
      </c>
      <c r="P3459" s="32" t="n">
        <v>0.2337915759821405</v>
      </c>
      <c r="Q3459" s="33" t="n">
        <v>16.72337164430963</v>
      </c>
      <c r="R3459" s="31" t="n">
        <v>1820.925507366486</v>
      </c>
      <c r="S3459" s="31">
        <f>R3459*IF(A3459=4, 2.0, 3.0)</f>
        <v/>
      </c>
      <c r="T3459" s="30">
        <f>'Dashboard &amp; Optimisation'!$B$18*U3459</f>
        <v/>
      </c>
      <c r="U3459" s="34">
        <f>MIN(1, S3459/M3459)</f>
        <v/>
      </c>
      <c r="V3459" s="34">
        <f>N3459/(N3459+O3459)</f>
        <v/>
      </c>
      <c r="W3459" s="34">
        <f>U3459*V3459</f>
        <v/>
      </c>
      <c r="X3459" s="32">
        <f>T3459/N3459</f>
        <v/>
      </c>
      <c r="Y3459" s="35">
        <f>IF(W3459=MAXIFS(W$2:W$3601, A$2:A$3601, A3459, B$2:B$3601, B3459), "OPTIMAL", "")</f>
        <v/>
      </c>
    </row>
    <row r="3460" ht="20" customHeight="1">
      <c r="A3460" s="21" t="n">
        <v>-18</v>
      </c>
      <c r="B3460" s="21" t="n">
        <v>45</v>
      </c>
      <c r="C3460" s="22" t="n">
        <v>105</v>
      </c>
      <c r="D3460" s="22" t="n">
        <v>2</v>
      </c>
      <c r="E3460" s="23" t="n">
        <v>8</v>
      </c>
      <c r="F3460" s="22" t="n">
        <v>2</v>
      </c>
      <c r="G3460" s="23" t="inlineStr">
        <is>
          <t>Non</t>
        </is>
      </c>
      <c r="H3460" s="23" t="inlineStr">
        <is>
          <t>ON</t>
        </is>
      </c>
      <c r="I3460" s="24" t="n">
        <v>885.2722778138215</v>
      </c>
      <c r="J3460" s="24" t="n">
        <v>10520.73059103506</v>
      </c>
      <c r="K3460" s="24" t="n">
        <v>5101.851851851852</v>
      </c>
      <c r="L3460" s="24" t="n">
        <v>150</v>
      </c>
      <c r="M3460" s="24">
        <f>I3460+J3460+K3460+L3460</f>
        <v/>
      </c>
      <c r="N3460" s="24">
        <f>M3460*'Dashboard &amp; Optimisation'!$B$18/('Dashboard &amp; Optimisation'!$B$16/3.6)</f>
        <v/>
      </c>
      <c r="O3460" s="24" t="n">
        <v>1762.738396534729</v>
      </c>
      <c r="P3460" s="25" t="n">
        <v>0.05020883396238299</v>
      </c>
      <c r="Q3460" s="26" t="n">
        <v>16.72337164430963</v>
      </c>
      <c r="R3460" s="24" t="n">
        <v>8478.927123307454</v>
      </c>
      <c r="S3460" s="24">
        <f>R3460*IF(A3460=4, 2.0, 3.0)</f>
        <v/>
      </c>
      <c r="T3460" s="22">
        <f>'Dashboard &amp; Optimisation'!$B$18*U3460</f>
        <v/>
      </c>
      <c r="U3460" s="27">
        <f>MIN(1, S3460/M3460)</f>
        <v/>
      </c>
      <c r="V3460" s="27">
        <f>N3460/(N3460+O3460)</f>
        <v/>
      </c>
      <c r="W3460" s="27">
        <f>U3460*V3460</f>
        <v/>
      </c>
      <c r="X3460" s="25">
        <f>T3460/N3460</f>
        <v/>
      </c>
      <c r="Y3460" s="28">
        <f>IF(W3460=MAXIFS(W$2:W$3601, A$2:A$3601, A3460, B$2:B$3601, B3460), "OPTIMAL", "")</f>
        <v/>
      </c>
    </row>
    <row r="3461" ht="20" customHeight="1">
      <c r="A3461" s="29" t="n">
        <v>-18</v>
      </c>
      <c r="B3461" s="29" t="n">
        <v>45</v>
      </c>
      <c r="C3461" s="30" t="n">
        <v>105</v>
      </c>
      <c r="D3461" s="30" t="n">
        <v>2</v>
      </c>
      <c r="E3461" s="6" t="n">
        <v>8</v>
      </c>
      <c r="F3461" s="30" t="n">
        <v>2</v>
      </c>
      <c r="G3461" s="6" t="inlineStr">
        <is>
          <t>Non</t>
        </is>
      </c>
      <c r="H3461" s="6" t="inlineStr">
        <is>
          <t>OFF</t>
        </is>
      </c>
      <c r="I3461" s="31" t="n">
        <v>885.2722778138215</v>
      </c>
      <c r="J3461" s="31" t="n">
        <v>10520.73059103506</v>
      </c>
      <c r="K3461" s="31" t="n">
        <v>5101.851851851852</v>
      </c>
      <c r="L3461" s="31" t="n">
        <v>150</v>
      </c>
      <c r="M3461" s="31">
        <f>I3461+J3461+K3461+L3461</f>
        <v/>
      </c>
      <c r="N3461" s="31">
        <f>M3461*'Dashboard &amp; Optimisation'!$B$18/('Dashboard &amp; Optimisation'!$B$16/3.6)</f>
        <v/>
      </c>
      <c r="O3461" s="31" t="n">
        <v>1762.738396534729</v>
      </c>
      <c r="P3461" s="32" t="n">
        <v>0.2307600532565806</v>
      </c>
      <c r="Q3461" s="33" t="n">
        <v>16.72337164430963</v>
      </c>
      <c r="R3461" s="31" t="n">
        <v>1844.847225962189</v>
      </c>
      <c r="S3461" s="31">
        <f>R3461*IF(A3461=4, 2.0, 3.0)</f>
        <v/>
      </c>
      <c r="T3461" s="30">
        <f>'Dashboard &amp; Optimisation'!$B$18*U3461</f>
        <v/>
      </c>
      <c r="U3461" s="34">
        <f>MIN(1, S3461/M3461)</f>
        <v/>
      </c>
      <c r="V3461" s="34">
        <f>N3461/(N3461+O3461)</f>
        <v/>
      </c>
      <c r="W3461" s="34">
        <f>U3461*V3461</f>
        <v/>
      </c>
      <c r="X3461" s="32">
        <f>T3461/N3461</f>
        <v/>
      </c>
      <c r="Y3461" s="35">
        <f>IF(W3461=MAXIFS(W$2:W$3601, A$2:A$3601, A3461, B$2:B$3601, B3461), "OPTIMAL", "")</f>
        <v/>
      </c>
    </row>
    <row r="3462" ht="20" customHeight="1">
      <c r="A3462" s="21" t="n">
        <v>-18</v>
      </c>
      <c r="B3462" s="21" t="n">
        <v>45</v>
      </c>
      <c r="C3462" s="22" t="n">
        <v>105</v>
      </c>
      <c r="D3462" s="22" t="n">
        <v>3</v>
      </c>
      <c r="E3462" s="23" t="n">
        <v>0</v>
      </c>
      <c r="F3462" s="22" t="n">
        <v>0</v>
      </c>
      <c r="G3462" s="23" t="inlineStr">
        <is>
          <t>Oui</t>
        </is>
      </c>
      <c r="H3462" s="23" t="inlineStr">
        <is>
          <t>ON</t>
        </is>
      </c>
      <c r="I3462" s="24" t="n">
        <v>885.2722778138215</v>
      </c>
      <c r="J3462" s="24" t="n">
        <v>10520.73059103506</v>
      </c>
      <c r="K3462" s="24" t="n">
        <v>5101.851851851852</v>
      </c>
      <c r="L3462" s="24" t="n">
        <v>150</v>
      </c>
      <c r="M3462" s="24">
        <f>I3462+J3462+K3462+L3462</f>
        <v/>
      </c>
      <c r="N3462" s="24">
        <f>M3462*'Dashboard &amp; Optimisation'!$B$18/('Dashboard &amp; Optimisation'!$B$16/3.6)</f>
        <v/>
      </c>
      <c r="O3462" s="24" t="n">
        <v>1057.291935991583</v>
      </c>
      <c r="P3462" s="25" t="n">
        <v>0.4767526303329919</v>
      </c>
      <c r="Q3462" s="26" t="n">
        <v>0.2</v>
      </c>
      <c r="R3462" s="24" t="n">
        <v>854.4108577769138</v>
      </c>
      <c r="S3462" s="24">
        <f>R3462*IF(A3462=4, 2.0, 3.0)</f>
        <v/>
      </c>
      <c r="T3462" s="22">
        <f>'Dashboard &amp; Optimisation'!$B$18*U3462</f>
        <v/>
      </c>
      <c r="U3462" s="27">
        <f>MIN(1, S3462/M3462)</f>
        <v/>
      </c>
      <c r="V3462" s="27">
        <f>N3462/(N3462+O3462)</f>
        <v/>
      </c>
      <c r="W3462" s="27">
        <f>U3462*V3462</f>
        <v/>
      </c>
      <c r="X3462" s="25">
        <f>T3462/N3462</f>
        <v/>
      </c>
      <c r="Y3462" s="28">
        <f>IF(W3462=MAXIFS(W$2:W$3601, A$2:A$3601, A3462, B$2:B$3601, B3462), "OPTIMAL", "")</f>
        <v/>
      </c>
    </row>
    <row r="3463" ht="20" customHeight="1">
      <c r="A3463" s="29" t="n">
        <v>-18</v>
      </c>
      <c r="B3463" s="29" t="n">
        <v>45</v>
      </c>
      <c r="C3463" s="30" t="n">
        <v>105</v>
      </c>
      <c r="D3463" s="30" t="n">
        <v>3</v>
      </c>
      <c r="E3463" s="6" t="n">
        <v>0</v>
      </c>
      <c r="F3463" s="30" t="n">
        <v>0</v>
      </c>
      <c r="G3463" s="6" t="inlineStr">
        <is>
          <t>Oui</t>
        </is>
      </c>
      <c r="H3463" s="6" t="inlineStr">
        <is>
          <t>OFF</t>
        </is>
      </c>
      <c r="I3463" s="31" t="n">
        <v>885.2722778138215</v>
      </c>
      <c r="J3463" s="31" t="n">
        <v>10520.73059103506</v>
      </c>
      <c r="K3463" s="31" t="n">
        <v>5101.851851851852</v>
      </c>
      <c r="L3463" s="31" t="n">
        <v>150</v>
      </c>
      <c r="M3463" s="31">
        <f>I3463+J3463+K3463+L3463</f>
        <v/>
      </c>
      <c r="N3463" s="31">
        <f>M3463*'Dashboard &amp; Optimisation'!$B$18/('Dashboard &amp; Optimisation'!$B$16/3.6)</f>
        <v/>
      </c>
      <c r="O3463" s="31" t="n">
        <v>1057.291935991583</v>
      </c>
      <c r="P3463" s="32" t="n">
        <v>0.7799049028889831</v>
      </c>
      <c r="Q3463" s="33" t="n">
        <v>0.2</v>
      </c>
      <c r="R3463" s="31" t="n">
        <v>522.2978113373848</v>
      </c>
      <c r="S3463" s="31">
        <f>R3463*IF(A3463=4, 2.0, 3.0)</f>
        <v/>
      </c>
      <c r="T3463" s="30">
        <f>'Dashboard &amp; Optimisation'!$B$18*U3463</f>
        <v/>
      </c>
      <c r="U3463" s="34">
        <f>MIN(1, S3463/M3463)</f>
        <v/>
      </c>
      <c r="V3463" s="34">
        <f>N3463/(N3463+O3463)</f>
        <v/>
      </c>
      <c r="W3463" s="34">
        <f>U3463*V3463</f>
        <v/>
      </c>
      <c r="X3463" s="32">
        <f>T3463/N3463</f>
        <v/>
      </c>
      <c r="Y3463" s="35">
        <f>IF(W3463=MAXIFS(W$2:W$3601, A$2:A$3601, A3463, B$2:B$3601, B3463), "OPTIMAL", "")</f>
        <v/>
      </c>
    </row>
    <row r="3464" ht="20" customHeight="1">
      <c r="A3464" s="21" t="n">
        <v>-18</v>
      </c>
      <c r="B3464" s="21" t="n">
        <v>45</v>
      </c>
      <c r="C3464" s="22" t="n">
        <v>105</v>
      </c>
      <c r="D3464" s="22" t="n">
        <v>3</v>
      </c>
      <c r="E3464" s="23" t="n">
        <v>0</v>
      </c>
      <c r="F3464" s="22" t="n">
        <v>0</v>
      </c>
      <c r="G3464" s="23" t="inlineStr">
        <is>
          <t>Non</t>
        </is>
      </c>
      <c r="H3464" s="23" t="inlineStr">
        <is>
          <t>ON</t>
        </is>
      </c>
      <c r="I3464" s="24" t="n">
        <v>885.2722778138215</v>
      </c>
      <c r="J3464" s="24" t="n">
        <v>10520.73059103506</v>
      </c>
      <c r="K3464" s="24" t="n">
        <v>5101.851851851852</v>
      </c>
      <c r="L3464" s="24" t="n">
        <v>150</v>
      </c>
      <c r="M3464" s="24">
        <f>I3464+J3464+K3464+L3464</f>
        <v/>
      </c>
      <c r="N3464" s="24">
        <f>M3464*'Dashboard &amp; Optimisation'!$B$18/('Dashboard &amp; Optimisation'!$B$16/3.6)</f>
        <v/>
      </c>
      <c r="O3464" s="24" t="n">
        <v>1057.291935991583</v>
      </c>
      <c r="P3464" s="25" t="n">
        <v>0.473721107607432</v>
      </c>
      <c r="Q3464" s="26" t="n">
        <v>0.2</v>
      </c>
      <c r="R3464" s="24" t="n">
        <v>859.8785599559399</v>
      </c>
      <c r="S3464" s="24">
        <f>R3464*IF(A3464=4, 2.0, 3.0)</f>
        <v/>
      </c>
      <c r="T3464" s="22">
        <f>'Dashboard &amp; Optimisation'!$B$18*U3464</f>
        <v/>
      </c>
      <c r="U3464" s="27">
        <f>MIN(1, S3464/M3464)</f>
        <v/>
      </c>
      <c r="V3464" s="27">
        <f>N3464/(N3464+O3464)</f>
        <v/>
      </c>
      <c r="W3464" s="27">
        <f>U3464*V3464</f>
        <v/>
      </c>
      <c r="X3464" s="25">
        <f>T3464/N3464</f>
        <v/>
      </c>
      <c r="Y3464" s="28">
        <f>IF(W3464=MAXIFS(W$2:W$3601, A$2:A$3601, A3464, B$2:B$3601, B3464), "OPTIMAL", "")</f>
        <v/>
      </c>
    </row>
    <row r="3465" ht="20" customHeight="1">
      <c r="A3465" s="29" t="n">
        <v>-18</v>
      </c>
      <c r="B3465" s="29" t="n">
        <v>45</v>
      </c>
      <c r="C3465" s="30" t="n">
        <v>105</v>
      </c>
      <c r="D3465" s="30" t="n">
        <v>3</v>
      </c>
      <c r="E3465" s="6" t="n">
        <v>0</v>
      </c>
      <c r="F3465" s="30" t="n">
        <v>0</v>
      </c>
      <c r="G3465" s="6" t="inlineStr">
        <is>
          <t>Non</t>
        </is>
      </c>
      <c r="H3465" s="6" t="inlineStr">
        <is>
          <t>OFF</t>
        </is>
      </c>
      <c r="I3465" s="31" t="n">
        <v>885.2722778138215</v>
      </c>
      <c r="J3465" s="31" t="n">
        <v>10520.73059103506</v>
      </c>
      <c r="K3465" s="31" t="n">
        <v>5101.851851851852</v>
      </c>
      <c r="L3465" s="31" t="n">
        <v>150</v>
      </c>
      <c r="M3465" s="31">
        <f>I3465+J3465+K3465+L3465</f>
        <v/>
      </c>
      <c r="N3465" s="31">
        <f>M3465*'Dashboard &amp; Optimisation'!$B$18/('Dashboard &amp; Optimisation'!$B$16/3.6)</f>
        <v/>
      </c>
      <c r="O3465" s="31" t="n">
        <v>1057.291935991583</v>
      </c>
      <c r="P3465" s="32" t="n">
        <v>0.7768733801634231</v>
      </c>
      <c r="Q3465" s="33" t="n">
        <v>0.2</v>
      </c>
      <c r="R3465" s="31" t="n">
        <v>524.3359268463065</v>
      </c>
      <c r="S3465" s="31">
        <f>R3465*IF(A3465=4, 2.0, 3.0)</f>
        <v/>
      </c>
      <c r="T3465" s="30">
        <f>'Dashboard &amp; Optimisation'!$B$18*U3465</f>
        <v/>
      </c>
      <c r="U3465" s="34">
        <f>MIN(1, S3465/M3465)</f>
        <v/>
      </c>
      <c r="V3465" s="34">
        <f>N3465/(N3465+O3465)</f>
        <v/>
      </c>
      <c r="W3465" s="34">
        <f>U3465*V3465</f>
        <v/>
      </c>
      <c r="X3465" s="32">
        <f>T3465/N3465</f>
        <v/>
      </c>
      <c r="Y3465" s="35">
        <f>IF(W3465=MAXIFS(W$2:W$3601, A$2:A$3601, A3465, B$2:B$3601, B3465), "OPTIMAL", "")</f>
        <v/>
      </c>
    </row>
    <row r="3466" ht="20" customHeight="1">
      <c r="A3466" s="21" t="n">
        <v>-18</v>
      </c>
      <c r="B3466" s="21" t="n">
        <v>45</v>
      </c>
      <c r="C3466" s="22" t="n">
        <v>105</v>
      </c>
      <c r="D3466" s="22" t="n">
        <v>3</v>
      </c>
      <c r="E3466" s="23" t="n">
        <v>4</v>
      </c>
      <c r="F3466" s="22" t="n">
        <v>1.5</v>
      </c>
      <c r="G3466" s="23" t="inlineStr">
        <is>
          <t>Oui</t>
        </is>
      </c>
      <c r="H3466" s="23" t="inlineStr">
        <is>
          <t>ON</t>
        </is>
      </c>
      <c r="I3466" s="24" t="n">
        <v>885.2722778138215</v>
      </c>
      <c r="J3466" s="24" t="n">
        <v>10520.73059103506</v>
      </c>
      <c r="K3466" s="24" t="n">
        <v>5101.851851851852</v>
      </c>
      <c r="L3466" s="24" t="n">
        <v>150</v>
      </c>
      <c r="M3466" s="24">
        <f>I3466+J3466+K3466+L3466</f>
        <v/>
      </c>
      <c r="N3466" s="24">
        <f>M3466*'Dashboard &amp; Optimisation'!$B$18/('Dashboard &amp; Optimisation'!$B$16/3.6)</f>
        <v/>
      </c>
      <c r="O3466" s="24" t="n">
        <v>1462.744303714623</v>
      </c>
      <c r="P3466" s="25" t="n">
        <v>0.07189461044958809</v>
      </c>
      <c r="Q3466" s="26" t="n">
        <v>6.521441424527548</v>
      </c>
      <c r="R3466" s="24" t="n">
        <v>5846.283569396499</v>
      </c>
      <c r="S3466" s="24">
        <f>R3466*IF(A3466=4, 2.0, 3.0)</f>
        <v/>
      </c>
      <c r="T3466" s="22">
        <f>'Dashboard &amp; Optimisation'!$B$18*U3466</f>
        <v/>
      </c>
      <c r="U3466" s="27">
        <f>MIN(1, S3466/M3466)</f>
        <v/>
      </c>
      <c r="V3466" s="27">
        <f>N3466/(N3466+O3466)</f>
        <v/>
      </c>
      <c r="W3466" s="27">
        <f>U3466*V3466</f>
        <v/>
      </c>
      <c r="X3466" s="25">
        <f>T3466/N3466</f>
        <v/>
      </c>
      <c r="Y3466" s="28">
        <f>IF(W3466=MAXIFS(W$2:W$3601, A$2:A$3601, A3466, B$2:B$3601, B3466), "OPTIMAL", "")</f>
        <v/>
      </c>
    </row>
    <row r="3467" ht="20" customHeight="1">
      <c r="A3467" s="29" t="n">
        <v>-18</v>
      </c>
      <c r="B3467" s="29" t="n">
        <v>45</v>
      </c>
      <c r="C3467" s="30" t="n">
        <v>105</v>
      </c>
      <c r="D3467" s="30" t="n">
        <v>3</v>
      </c>
      <c r="E3467" s="6" t="n">
        <v>4</v>
      </c>
      <c r="F3467" s="30" t="n">
        <v>1.5</v>
      </c>
      <c r="G3467" s="6" t="inlineStr">
        <is>
          <t>Oui</t>
        </is>
      </c>
      <c r="H3467" s="6" t="inlineStr">
        <is>
          <t>OFF</t>
        </is>
      </c>
      <c r="I3467" s="31" t="n">
        <v>885.2722778138215</v>
      </c>
      <c r="J3467" s="31" t="n">
        <v>10520.73059103506</v>
      </c>
      <c r="K3467" s="31" t="n">
        <v>5101.851851851852</v>
      </c>
      <c r="L3467" s="31" t="n">
        <v>150</v>
      </c>
      <c r="M3467" s="31">
        <f>I3467+J3467+K3467+L3467</f>
        <v/>
      </c>
      <c r="N3467" s="31">
        <f>M3467*'Dashboard &amp; Optimisation'!$B$18/('Dashboard &amp; Optimisation'!$B$16/3.6)</f>
        <v/>
      </c>
      <c r="O3467" s="31" t="n">
        <v>1462.744303714623</v>
      </c>
      <c r="P3467" s="32" t="n">
        <v>0.297191423626796</v>
      </c>
      <c r="Q3467" s="33" t="n">
        <v>6.521441424527548</v>
      </c>
      <c r="R3467" s="31" t="n">
        <v>1414.294782366967</v>
      </c>
      <c r="S3467" s="31">
        <f>R3467*IF(A3467=4, 2.0, 3.0)</f>
        <v/>
      </c>
      <c r="T3467" s="30">
        <f>'Dashboard &amp; Optimisation'!$B$18*U3467</f>
        <v/>
      </c>
      <c r="U3467" s="34">
        <f>MIN(1, S3467/M3467)</f>
        <v/>
      </c>
      <c r="V3467" s="34">
        <f>N3467/(N3467+O3467)</f>
        <v/>
      </c>
      <c r="W3467" s="34">
        <f>U3467*V3467</f>
        <v/>
      </c>
      <c r="X3467" s="32">
        <f>T3467/N3467</f>
        <v/>
      </c>
      <c r="Y3467" s="35">
        <f>IF(W3467=MAXIFS(W$2:W$3601, A$2:A$3601, A3467, B$2:B$3601, B3467), "OPTIMAL", "")</f>
        <v/>
      </c>
    </row>
    <row r="3468" ht="20" customHeight="1">
      <c r="A3468" s="21" t="n">
        <v>-18</v>
      </c>
      <c r="B3468" s="21" t="n">
        <v>45</v>
      </c>
      <c r="C3468" s="22" t="n">
        <v>105</v>
      </c>
      <c r="D3468" s="22" t="n">
        <v>3</v>
      </c>
      <c r="E3468" s="23" t="n">
        <v>4</v>
      </c>
      <c r="F3468" s="22" t="n">
        <v>1.5</v>
      </c>
      <c r="G3468" s="23" t="inlineStr">
        <is>
          <t>Non</t>
        </is>
      </c>
      <c r="H3468" s="23" t="inlineStr">
        <is>
          <t>ON</t>
        </is>
      </c>
      <c r="I3468" s="24" t="n">
        <v>885.2722778138215</v>
      </c>
      <c r="J3468" s="24" t="n">
        <v>10520.73059103506</v>
      </c>
      <c r="K3468" s="24" t="n">
        <v>5101.851851851852</v>
      </c>
      <c r="L3468" s="24" t="n">
        <v>150</v>
      </c>
      <c r="M3468" s="24">
        <f>I3468+J3468+K3468+L3468</f>
        <v/>
      </c>
      <c r="N3468" s="24">
        <f>M3468*'Dashboard &amp; Optimisation'!$B$18/('Dashboard &amp; Optimisation'!$B$16/3.6)</f>
        <v/>
      </c>
      <c r="O3468" s="24" t="n">
        <v>1462.744303714623</v>
      </c>
      <c r="P3468" s="25" t="n">
        <v>0.06886308772402817</v>
      </c>
      <c r="Q3468" s="26" t="n">
        <v>6.521441424527548</v>
      </c>
      <c r="R3468" s="24" t="n">
        <v>6103.65137102223</v>
      </c>
      <c r="S3468" s="24">
        <f>R3468*IF(A3468=4, 2.0, 3.0)</f>
        <v/>
      </c>
      <c r="T3468" s="22">
        <f>'Dashboard &amp; Optimisation'!$B$18*U3468</f>
        <v/>
      </c>
      <c r="U3468" s="27">
        <f>MIN(1, S3468/M3468)</f>
        <v/>
      </c>
      <c r="V3468" s="27">
        <f>N3468/(N3468+O3468)</f>
        <v/>
      </c>
      <c r="W3468" s="27">
        <f>U3468*V3468</f>
        <v/>
      </c>
      <c r="X3468" s="25">
        <f>T3468/N3468</f>
        <v/>
      </c>
      <c r="Y3468" s="28">
        <f>IF(W3468=MAXIFS(W$2:W$3601, A$2:A$3601, A3468, B$2:B$3601, B3468), "OPTIMAL", "")</f>
        <v/>
      </c>
    </row>
    <row r="3469" ht="20" customHeight="1">
      <c r="A3469" s="29" t="n">
        <v>-18</v>
      </c>
      <c r="B3469" s="29" t="n">
        <v>45</v>
      </c>
      <c r="C3469" s="30" t="n">
        <v>105</v>
      </c>
      <c r="D3469" s="30" t="n">
        <v>3</v>
      </c>
      <c r="E3469" s="6" t="n">
        <v>4</v>
      </c>
      <c r="F3469" s="30" t="n">
        <v>1.5</v>
      </c>
      <c r="G3469" s="6" t="inlineStr">
        <is>
          <t>Non</t>
        </is>
      </c>
      <c r="H3469" s="6" t="inlineStr">
        <is>
          <t>OFF</t>
        </is>
      </c>
      <c r="I3469" s="31" t="n">
        <v>885.2722778138215</v>
      </c>
      <c r="J3469" s="31" t="n">
        <v>10520.73059103506</v>
      </c>
      <c r="K3469" s="31" t="n">
        <v>5101.851851851852</v>
      </c>
      <c r="L3469" s="31" t="n">
        <v>150</v>
      </c>
      <c r="M3469" s="31">
        <f>I3469+J3469+K3469+L3469</f>
        <v/>
      </c>
      <c r="N3469" s="31">
        <f>M3469*'Dashboard &amp; Optimisation'!$B$18/('Dashboard &amp; Optimisation'!$B$16/3.6)</f>
        <v/>
      </c>
      <c r="O3469" s="31" t="n">
        <v>1462.744303714623</v>
      </c>
      <c r="P3469" s="32" t="n">
        <v>0.2941599009012361</v>
      </c>
      <c r="Q3469" s="33" t="n">
        <v>6.521441424527548</v>
      </c>
      <c r="R3469" s="31" t="n">
        <v>1428.870075465212</v>
      </c>
      <c r="S3469" s="31">
        <f>R3469*IF(A3469=4, 2.0, 3.0)</f>
        <v/>
      </c>
      <c r="T3469" s="30">
        <f>'Dashboard &amp; Optimisation'!$B$18*U3469</f>
        <v/>
      </c>
      <c r="U3469" s="34">
        <f>MIN(1, S3469/M3469)</f>
        <v/>
      </c>
      <c r="V3469" s="34">
        <f>N3469/(N3469+O3469)</f>
        <v/>
      </c>
      <c r="W3469" s="34">
        <f>U3469*V3469</f>
        <v/>
      </c>
      <c r="X3469" s="32">
        <f>T3469/N3469</f>
        <v/>
      </c>
      <c r="Y3469" s="35">
        <f>IF(W3469=MAXIFS(W$2:W$3601, A$2:A$3601, A3469, B$2:B$3601, B3469), "OPTIMAL", "")</f>
        <v/>
      </c>
    </row>
    <row r="3470" ht="20" customHeight="1">
      <c r="A3470" s="21" t="n">
        <v>-18</v>
      </c>
      <c r="B3470" s="21" t="n">
        <v>45</v>
      </c>
      <c r="C3470" s="22" t="n">
        <v>105</v>
      </c>
      <c r="D3470" s="22" t="n">
        <v>3</v>
      </c>
      <c r="E3470" s="23" t="n">
        <v>4</v>
      </c>
      <c r="F3470" s="22" t="n">
        <v>2</v>
      </c>
      <c r="G3470" s="23" t="inlineStr">
        <is>
          <t>Oui</t>
        </is>
      </c>
      <c r="H3470" s="23" t="inlineStr">
        <is>
          <t>ON</t>
        </is>
      </c>
      <c r="I3470" s="24" t="n">
        <v>885.2722778138215</v>
      </c>
      <c r="J3470" s="24" t="n">
        <v>10520.73059103506</v>
      </c>
      <c r="K3470" s="24" t="n">
        <v>5101.851851851852</v>
      </c>
      <c r="L3470" s="24" t="n">
        <v>150</v>
      </c>
      <c r="M3470" s="24">
        <f>I3470+J3470+K3470+L3470</f>
        <v/>
      </c>
      <c r="N3470" s="24">
        <f>M3470*'Dashboard &amp; Optimisation'!$B$18/('Dashboard &amp; Optimisation'!$B$16/3.6)</f>
        <v/>
      </c>
      <c r="O3470" s="24" t="n">
        <v>1603.695990288753</v>
      </c>
      <c r="P3470" s="25" t="n">
        <v>0.06909966512774487</v>
      </c>
      <c r="Q3470" s="26" t="n">
        <v>8.628588566036731</v>
      </c>
      <c r="R3470" s="24" t="n">
        <v>6148.024711691915</v>
      </c>
      <c r="S3470" s="24">
        <f>R3470*IF(A3470=4, 2.0, 3.0)</f>
        <v/>
      </c>
      <c r="T3470" s="22">
        <f>'Dashboard &amp; Optimisation'!$B$18*U3470</f>
        <v/>
      </c>
      <c r="U3470" s="27">
        <f>MIN(1, S3470/M3470)</f>
        <v/>
      </c>
      <c r="V3470" s="27">
        <f>N3470/(N3470+O3470)</f>
        <v/>
      </c>
      <c r="W3470" s="27">
        <f>U3470*V3470</f>
        <v/>
      </c>
      <c r="X3470" s="25">
        <f>T3470/N3470</f>
        <v/>
      </c>
      <c r="Y3470" s="28">
        <f>IF(W3470=MAXIFS(W$2:W$3601, A$2:A$3601, A3470, B$2:B$3601, B3470), "OPTIMAL", "")</f>
        <v/>
      </c>
    </row>
    <row r="3471" ht="20" customHeight="1">
      <c r="A3471" s="29" t="n">
        <v>-18</v>
      </c>
      <c r="B3471" s="29" t="n">
        <v>45</v>
      </c>
      <c r="C3471" s="30" t="n">
        <v>105</v>
      </c>
      <c r="D3471" s="30" t="n">
        <v>3</v>
      </c>
      <c r="E3471" s="6" t="n">
        <v>4</v>
      </c>
      <c r="F3471" s="30" t="n">
        <v>2</v>
      </c>
      <c r="G3471" s="6" t="inlineStr">
        <is>
          <t>Oui</t>
        </is>
      </c>
      <c r="H3471" s="6" t="inlineStr">
        <is>
          <t>OFF</t>
        </is>
      </c>
      <c r="I3471" s="31" t="n">
        <v>885.2722778138215</v>
      </c>
      <c r="J3471" s="31" t="n">
        <v>10520.73059103506</v>
      </c>
      <c r="K3471" s="31" t="n">
        <v>5101.851851851852</v>
      </c>
      <c r="L3471" s="31" t="n">
        <v>150</v>
      </c>
      <c r="M3471" s="31">
        <f>I3471+J3471+K3471+L3471</f>
        <v/>
      </c>
      <c r="N3471" s="31">
        <f>M3471*'Dashboard &amp; Optimisation'!$B$18/('Dashboard &amp; Optimisation'!$B$16/3.6)</f>
        <v/>
      </c>
      <c r="O3471" s="31" t="n">
        <v>1603.695990288753</v>
      </c>
      <c r="P3471" s="32" t="n">
        <v>0.2954143944438517</v>
      </c>
      <c r="Q3471" s="33" t="n">
        <v>8.628588566036731</v>
      </c>
      <c r="R3471" s="31" t="n">
        <v>1438.069561826165</v>
      </c>
      <c r="S3471" s="31">
        <f>R3471*IF(A3471=4, 2.0, 3.0)</f>
        <v/>
      </c>
      <c r="T3471" s="30">
        <f>'Dashboard &amp; Optimisation'!$B$18*U3471</f>
        <v/>
      </c>
      <c r="U3471" s="34">
        <f>MIN(1, S3471/M3471)</f>
        <v/>
      </c>
      <c r="V3471" s="34">
        <f>N3471/(N3471+O3471)</f>
        <v/>
      </c>
      <c r="W3471" s="34">
        <f>U3471*V3471</f>
        <v/>
      </c>
      <c r="X3471" s="32">
        <f>T3471/N3471</f>
        <v/>
      </c>
      <c r="Y3471" s="35">
        <f>IF(W3471=MAXIFS(W$2:W$3601, A$2:A$3601, A3471, B$2:B$3601, B3471), "OPTIMAL", "")</f>
        <v/>
      </c>
    </row>
    <row r="3472" ht="20" customHeight="1">
      <c r="A3472" s="21" t="n">
        <v>-18</v>
      </c>
      <c r="B3472" s="21" t="n">
        <v>45</v>
      </c>
      <c r="C3472" s="22" t="n">
        <v>105</v>
      </c>
      <c r="D3472" s="22" t="n">
        <v>3</v>
      </c>
      <c r="E3472" s="23" t="n">
        <v>4</v>
      </c>
      <c r="F3472" s="22" t="n">
        <v>2</v>
      </c>
      <c r="G3472" s="23" t="inlineStr">
        <is>
          <t>Non</t>
        </is>
      </c>
      <c r="H3472" s="23" t="inlineStr">
        <is>
          <t>ON</t>
        </is>
      </c>
      <c r="I3472" s="24" t="n">
        <v>885.2722778138215</v>
      </c>
      <c r="J3472" s="24" t="n">
        <v>10520.73059103506</v>
      </c>
      <c r="K3472" s="24" t="n">
        <v>5101.851851851852</v>
      </c>
      <c r="L3472" s="24" t="n">
        <v>150</v>
      </c>
      <c r="M3472" s="24">
        <f>I3472+J3472+K3472+L3472</f>
        <v/>
      </c>
      <c r="N3472" s="24">
        <f>M3472*'Dashboard &amp; Optimisation'!$B$18/('Dashboard &amp; Optimisation'!$B$16/3.6)</f>
        <v/>
      </c>
      <c r="O3472" s="24" t="n">
        <v>1603.695990288753</v>
      </c>
      <c r="P3472" s="25" t="n">
        <v>0.06606814240218496</v>
      </c>
      <c r="Q3472" s="26" t="n">
        <v>8.628588566036731</v>
      </c>
      <c r="R3472" s="24" t="n">
        <v>6430.12552387067</v>
      </c>
      <c r="S3472" s="24">
        <f>R3472*IF(A3472=4, 2.0, 3.0)</f>
        <v/>
      </c>
      <c r="T3472" s="22">
        <f>'Dashboard &amp; Optimisation'!$B$18*U3472</f>
        <v/>
      </c>
      <c r="U3472" s="27">
        <f>MIN(1, S3472/M3472)</f>
        <v/>
      </c>
      <c r="V3472" s="27">
        <f>N3472/(N3472+O3472)</f>
        <v/>
      </c>
      <c r="W3472" s="27">
        <f>U3472*V3472</f>
        <v/>
      </c>
      <c r="X3472" s="25">
        <f>T3472/N3472</f>
        <v/>
      </c>
      <c r="Y3472" s="28">
        <f>IF(W3472=MAXIFS(W$2:W$3601, A$2:A$3601, A3472, B$2:B$3601, B3472), "OPTIMAL", "")</f>
        <v/>
      </c>
    </row>
    <row r="3473" ht="20" customHeight="1">
      <c r="A3473" s="29" t="n">
        <v>-18</v>
      </c>
      <c r="B3473" s="29" t="n">
        <v>45</v>
      </c>
      <c r="C3473" s="30" t="n">
        <v>105</v>
      </c>
      <c r="D3473" s="30" t="n">
        <v>3</v>
      </c>
      <c r="E3473" s="6" t="n">
        <v>4</v>
      </c>
      <c r="F3473" s="30" t="n">
        <v>2</v>
      </c>
      <c r="G3473" s="6" t="inlineStr">
        <is>
          <t>Non</t>
        </is>
      </c>
      <c r="H3473" s="6" t="inlineStr">
        <is>
          <t>OFF</t>
        </is>
      </c>
      <c r="I3473" s="31" t="n">
        <v>885.2722778138215</v>
      </c>
      <c r="J3473" s="31" t="n">
        <v>10520.73059103506</v>
      </c>
      <c r="K3473" s="31" t="n">
        <v>5101.851851851852</v>
      </c>
      <c r="L3473" s="31" t="n">
        <v>150</v>
      </c>
      <c r="M3473" s="31">
        <f>I3473+J3473+K3473+L3473</f>
        <v/>
      </c>
      <c r="N3473" s="31">
        <f>M3473*'Dashboard &amp; Optimisation'!$B$18/('Dashboard &amp; Optimisation'!$B$16/3.6)</f>
        <v/>
      </c>
      <c r="O3473" s="31" t="n">
        <v>1603.695990288753</v>
      </c>
      <c r="P3473" s="32" t="n">
        <v>0.2923828717182918</v>
      </c>
      <c r="Q3473" s="33" t="n">
        <v>8.628588566036731</v>
      </c>
      <c r="R3473" s="31" t="n">
        <v>1452.979944681329</v>
      </c>
      <c r="S3473" s="31">
        <f>R3473*IF(A3473=4, 2.0, 3.0)</f>
        <v/>
      </c>
      <c r="T3473" s="30">
        <f>'Dashboard &amp; Optimisation'!$B$18*U3473</f>
        <v/>
      </c>
      <c r="U3473" s="34">
        <f>MIN(1, S3473/M3473)</f>
        <v/>
      </c>
      <c r="V3473" s="34">
        <f>N3473/(N3473+O3473)</f>
        <v/>
      </c>
      <c r="W3473" s="34">
        <f>U3473*V3473</f>
        <v/>
      </c>
      <c r="X3473" s="32">
        <f>T3473/N3473</f>
        <v/>
      </c>
      <c r="Y3473" s="35">
        <f>IF(W3473=MAXIFS(W$2:W$3601, A$2:A$3601, A3473, B$2:B$3601, B3473), "OPTIMAL", "")</f>
        <v/>
      </c>
    </row>
    <row r="3474" ht="20" customHeight="1">
      <c r="A3474" s="21" t="n">
        <v>-18</v>
      </c>
      <c r="B3474" s="21" t="n">
        <v>45</v>
      </c>
      <c r="C3474" s="22" t="n">
        <v>105</v>
      </c>
      <c r="D3474" s="22" t="n">
        <v>3</v>
      </c>
      <c r="E3474" s="23" t="n">
        <v>8</v>
      </c>
      <c r="F3474" s="22" t="n">
        <v>1.5</v>
      </c>
      <c r="G3474" s="23" t="inlineStr">
        <is>
          <t>Oui</t>
        </is>
      </c>
      <c r="H3474" s="23" t="inlineStr">
        <is>
          <t>ON</t>
        </is>
      </c>
      <c r="I3474" s="24" t="n">
        <v>885.2722778138215</v>
      </c>
      <c r="J3474" s="24" t="n">
        <v>10520.73059103506</v>
      </c>
      <c r="K3474" s="24" t="n">
        <v>5101.851851851852</v>
      </c>
      <c r="L3474" s="24" t="n">
        <v>150</v>
      </c>
      <c r="M3474" s="24">
        <f>I3474+J3474+K3474+L3474</f>
        <v/>
      </c>
      <c r="N3474" s="24">
        <f>M3474*'Dashboard &amp; Optimisation'!$B$18/('Dashboard &amp; Optimisation'!$B$16/3.6)</f>
        <v/>
      </c>
      <c r="O3474" s="24" t="n">
        <v>1894.87321020967</v>
      </c>
      <c r="P3474" s="25" t="n">
        <v>0.05445758169649494</v>
      </c>
      <c r="Q3474" s="26" t="n">
        <v>12.84288284905509</v>
      </c>
      <c r="R3474" s="24" t="n">
        <v>7972.1412069134</v>
      </c>
      <c r="S3474" s="24">
        <f>R3474*IF(A3474=4, 2.0, 3.0)</f>
        <v/>
      </c>
      <c r="T3474" s="22">
        <f>'Dashboard &amp; Optimisation'!$B$18*U3474</f>
        <v/>
      </c>
      <c r="U3474" s="27">
        <f>MIN(1, S3474/M3474)</f>
        <v/>
      </c>
      <c r="V3474" s="27">
        <f>N3474/(N3474+O3474)</f>
        <v/>
      </c>
      <c r="W3474" s="27">
        <f>U3474*V3474</f>
        <v/>
      </c>
      <c r="X3474" s="25">
        <f>T3474/N3474</f>
        <v/>
      </c>
      <c r="Y3474" s="28">
        <f>IF(W3474=MAXIFS(W$2:W$3601, A$2:A$3601, A3474, B$2:B$3601, B3474), "OPTIMAL", "")</f>
        <v/>
      </c>
    </row>
    <row r="3475" ht="20" customHeight="1">
      <c r="A3475" s="29" t="n">
        <v>-18</v>
      </c>
      <c r="B3475" s="29" t="n">
        <v>45</v>
      </c>
      <c r="C3475" s="30" t="n">
        <v>105</v>
      </c>
      <c r="D3475" s="30" t="n">
        <v>3</v>
      </c>
      <c r="E3475" s="6" t="n">
        <v>8</v>
      </c>
      <c r="F3475" s="30" t="n">
        <v>1.5</v>
      </c>
      <c r="G3475" s="6" t="inlineStr">
        <is>
          <t>Oui</t>
        </is>
      </c>
      <c r="H3475" s="6" t="inlineStr">
        <is>
          <t>OFF</t>
        </is>
      </c>
      <c r="I3475" s="31" t="n">
        <v>885.2722778138215</v>
      </c>
      <c r="J3475" s="31" t="n">
        <v>10520.73059103506</v>
      </c>
      <c r="K3475" s="31" t="n">
        <v>5101.851851851852</v>
      </c>
      <c r="L3475" s="31" t="n">
        <v>150</v>
      </c>
      <c r="M3475" s="31">
        <f>I3475+J3475+K3475+L3475</f>
        <v/>
      </c>
      <c r="N3475" s="31">
        <f>M3475*'Dashboard &amp; Optimisation'!$B$18/('Dashboard &amp; Optimisation'!$B$16/3.6)</f>
        <v/>
      </c>
      <c r="O3475" s="31" t="n">
        <v>1894.87321020967</v>
      </c>
      <c r="P3475" s="32" t="n">
        <v>0.233716140989121</v>
      </c>
      <c r="Q3475" s="33" t="n">
        <v>12.84288284905509</v>
      </c>
      <c r="R3475" s="31" t="n">
        <v>1857.56759988472</v>
      </c>
      <c r="S3475" s="31">
        <f>R3475*IF(A3475=4, 2.0, 3.0)</f>
        <v/>
      </c>
      <c r="T3475" s="30">
        <f>'Dashboard &amp; Optimisation'!$B$18*U3475</f>
        <v/>
      </c>
      <c r="U3475" s="34">
        <f>MIN(1, S3475/M3475)</f>
        <v/>
      </c>
      <c r="V3475" s="34">
        <f>N3475/(N3475+O3475)</f>
        <v/>
      </c>
      <c r="W3475" s="34">
        <f>U3475*V3475</f>
        <v/>
      </c>
      <c r="X3475" s="32">
        <f>T3475/N3475</f>
        <v/>
      </c>
      <c r="Y3475" s="35">
        <f>IF(W3475=MAXIFS(W$2:W$3601, A$2:A$3601, A3475, B$2:B$3601, B3475), "OPTIMAL", "")</f>
        <v/>
      </c>
    </row>
    <row r="3476" ht="20" customHeight="1">
      <c r="A3476" s="21" t="n">
        <v>-18</v>
      </c>
      <c r="B3476" s="21" t="n">
        <v>45</v>
      </c>
      <c r="C3476" s="22" t="n">
        <v>105</v>
      </c>
      <c r="D3476" s="22" t="n">
        <v>3</v>
      </c>
      <c r="E3476" s="23" t="n">
        <v>8</v>
      </c>
      <c r="F3476" s="22" t="n">
        <v>1.5</v>
      </c>
      <c r="G3476" s="23" t="inlineStr">
        <is>
          <t>Non</t>
        </is>
      </c>
      <c r="H3476" s="23" t="inlineStr">
        <is>
          <t>ON</t>
        </is>
      </c>
      <c r="I3476" s="24" t="n">
        <v>885.2722778138215</v>
      </c>
      <c r="J3476" s="24" t="n">
        <v>10520.73059103506</v>
      </c>
      <c r="K3476" s="24" t="n">
        <v>5101.851851851852</v>
      </c>
      <c r="L3476" s="24" t="n">
        <v>150</v>
      </c>
      <c r="M3476" s="24">
        <f>I3476+J3476+K3476+L3476</f>
        <v/>
      </c>
      <c r="N3476" s="24">
        <f>M3476*'Dashboard &amp; Optimisation'!$B$18/('Dashboard &amp; Optimisation'!$B$16/3.6)</f>
        <v/>
      </c>
      <c r="O3476" s="24" t="n">
        <v>1894.87321020967</v>
      </c>
      <c r="P3476" s="25" t="n">
        <v>0.05142605897093502</v>
      </c>
      <c r="Q3476" s="26" t="n">
        <v>12.84288284905509</v>
      </c>
      <c r="R3476" s="24" t="n">
        <v>8442.0921952594</v>
      </c>
      <c r="S3476" s="24">
        <f>R3476*IF(A3476=4, 2.0, 3.0)</f>
        <v/>
      </c>
      <c r="T3476" s="22">
        <f>'Dashboard &amp; Optimisation'!$B$18*U3476</f>
        <v/>
      </c>
      <c r="U3476" s="27">
        <f>MIN(1, S3476/M3476)</f>
        <v/>
      </c>
      <c r="V3476" s="27">
        <f>N3476/(N3476+O3476)</f>
        <v/>
      </c>
      <c r="W3476" s="27">
        <f>U3476*V3476</f>
        <v/>
      </c>
      <c r="X3476" s="25">
        <f>T3476/N3476</f>
        <v/>
      </c>
      <c r="Y3476" s="28">
        <f>IF(W3476=MAXIFS(W$2:W$3601, A$2:A$3601, A3476, B$2:B$3601, B3476), "OPTIMAL", "")</f>
        <v/>
      </c>
    </row>
    <row r="3477" ht="20" customHeight="1">
      <c r="A3477" s="29" t="n">
        <v>-18</v>
      </c>
      <c r="B3477" s="29" t="n">
        <v>45</v>
      </c>
      <c r="C3477" s="30" t="n">
        <v>105</v>
      </c>
      <c r="D3477" s="30" t="n">
        <v>3</v>
      </c>
      <c r="E3477" s="6" t="n">
        <v>8</v>
      </c>
      <c r="F3477" s="30" t="n">
        <v>1.5</v>
      </c>
      <c r="G3477" s="6" t="inlineStr">
        <is>
          <t>Non</t>
        </is>
      </c>
      <c r="H3477" s="6" t="inlineStr">
        <is>
          <t>OFF</t>
        </is>
      </c>
      <c r="I3477" s="31" t="n">
        <v>885.2722778138215</v>
      </c>
      <c r="J3477" s="31" t="n">
        <v>10520.73059103506</v>
      </c>
      <c r="K3477" s="31" t="n">
        <v>5101.851851851852</v>
      </c>
      <c r="L3477" s="31" t="n">
        <v>150</v>
      </c>
      <c r="M3477" s="31">
        <f>I3477+J3477+K3477+L3477</f>
        <v/>
      </c>
      <c r="N3477" s="31">
        <f>M3477*'Dashboard &amp; Optimisation'!$B$18/('Dashboard &amp; Optimisation'!$B$16/3.6)</f>
        <v/>
      </c>
      <c r="O3477" s="31" t="n">
        <v>1894.87321020967</v>
      </c>
      <c r="P3477" s="32" t="n">
        <v>0.2306846182635611</v>
      </c>
      <c r="Q3477" s="33" t="n">
        <v>12.84288284905509</v>
      </c>
      <c r="R3477" s="31" t="n">
        <v>1881.978670010255</v>
      </c>
      <c r="S3477" s="31">
        <f>R3477*IF(A3477=4, 2.0, 3.0)</f>
        <v/>
      </c>
      <c r="T3477" s="30">
        <f>'Dashboard &amp; Optimisation'!$B$18*U3477</f>
        <v/>
      </c>
      <c r="U3477" s="34">
        <f>MIN(1, S3477/M3477)</f>
        <v/>
      </c>
      <c r="V3477" s="34">
        <f>N3477/(N3477+O3477)</f>
        <v/>
      </c>
      <c r="W3477" s="34">
        <f>U3477*V3477</f>
        <v/>
      </c>
      <c r="X3477" s="32">
        <f>T3477/N3477</f>
        <v/>
      </c>
      <c r="Y3477" s="35">
        <f>IF(W3477=MAXIFS(W$2:W$3601, A$2:A$3601, A3477, B$2:B$3601, B3477), "OPTIMAL", "")</f>
        <v/>
      </c>
    </row>
    <row r="3478" ht="20" customHeight="1">
      <c r="A3478" s="21" t="n">
        <v>-18</v>
      </c>
      <c r="B3478" s="21" t="n">
        <v>45</v>
      </c>
      <c r="C3478" s="22" t="n">
        <v>105</v>
      </c>
      <c r="D3478" s="22" t="n">
        <v>3</v>
      </c>
      <c r="E3478" s="23" t="n">
        <v>8</v>
      </c>
      <c r="F3478" s="22" t="n">
        <v>2</v>
      </c>
      <c r="G3478" s="23" t="inlineStr">
        <is>
          <t>Oui</t>
        </is>
      </c>
      <c r="H3478" s="23" t="inlineStr">
        <is>
          <t>ON</t>
        </is>
      </c>
      <c r="I3478" s="24" t="n">
        <v>885.2722778138215</v>
      </c>
      <c r="J3478" s="24" t="n">
        <v>10520.73059103506</v>
      </c>
      <c r="K3478" s="24" t="n">
        <v>5101.851851851852</v>
      </c>
      <c r="L3478" s="24" t="n">
        <v>150</v>
      </c>
      <c r="M3478" s="24">
        <f>I3478+J3478+K3478+L3478</f>
        <v/>
      </c>
      <c r="N3478" s="24">
        <f>M3478*'Dashboard &amp; Optimisation'!$B$18/('Dashboard &amp; Optimisation'!$B$16/3.6)</f>
        <v/>
      </c>
      <c r="O3478" s="24" t="n">
        <v>2199.10872599454</v>
      </c>
      <c r="P3478" s="25" t="n">
        <v>0.05316276245002891</v>
      </c>
      <c r="Q3478" s="26" t="n">
        <v>17.05717713207346</v>
      </c>
      <c r="R3478" s="24" t="n">
        <v>8349.42414532763</v>
      </c>
      <c r="S3478" s="24">
        <f>R3478*IF(A3478=4, 2.0, 3.0)</f>
        <v/>
      </c>
      <c r="T3478" s="22">
        <f>'Dashboard &amp; Optimisation'!$B$18*U3478</f>
        <v/>
      </c>
      <c r="U3478" s="27">
        <f>MIN(1, S3478/M3478)</f>
        <v/>
      </c>
      <c r="V3478" s="27">
        <f>N3478/(N3478+O3478)</f>
        <v/>
      </c>
      <c r="W3478" s="27">
        <f>U3478*V3478</f>
        <v/>
      </c>
      <c r="X3478" s="25">
        <f>T3478/N3478</f>
        <v/>
      </c>
      <c r="Y3478" s="28">
        <f>IF(W3478=MAXIFS(W$2:W$3601, A$2:A$3601, A3478, B$2:B$3601, B3478), "OPTIMAL", "")</f>
        <v/>
      </c>
    </row>
    <row r="3479" ht="20" customHeight="1">
      <c r="A3479" s="29" t="n">
        <v>-18</v>
      </c>
      <c r="B3479" s="29" t="n">
        <v>45</v>
      </c>
      <c r="C3479" s="30" t="n">
        <v>105</v>
      </c>
      <c r="D3479" s="30" t="n">
        <v>3</v>
      </c>
      <c r="E3479" s="6" t="n">
        <v>8</v>
      </c>
      <c r="F3479" s="30" t="n">
        <v>2</v>
      </c>
      <c r="G3479" s="6" t="inlineStr">
        <is>
          <t>Oui</t>
        </is>
      </c>
      <c r="H3479" s="6" t="inlineStr">
        <is>
          <t>OFF</t>
        </is>
      </c>
      <c r="I3479" s="31" t="n">
        <v>885.2722778138215</v>
      </c>
      <c r="J3479" s="31" t="n">
        <v>10520.73059103506</v>
      </c>
      <c r="K3479" s="31" t="n">
        <v>5101.851851851852</v>
      </c>
      <c r="L3479" s="31" t="n">
        <v>150</v>
      </c>
      <c r="M3479" s="31">
        <f>I3479+J3479+K3479+L3479</f>
        <v/>
      </c>
      <c r="N3479" s="31">
        <f>M3479*'Dashboard &amp; Optimisation'!$B$18/('Dashboard &amp; Optimisation'!$B$16/3.6)</f>
        <v/>
      </c>
      <c r="O3479" s="31" t="n">
        <v>2199.10872599454</v>
      </c>
      <c r="P3479" s="32" t="n">
        <v>0.2337139817442265</v>
      </c>
      <c r="Q3479" s="33" t="n">
        <v>17.05717713207346</v>
      </c>
      <c r="R3479" s="31" t="n">
        <v>1899.237902327826</v>
      </c>
      <c r="S3479" s="31">
        <f>R3479*IF(A3479=4, 2.0, 3.0)</f>
        <v/>
      </c>
      <c r="T3479" s="30">
        <f>'Dashboard &amp; Optimisation'!$B$18*U3479</f>
        <v/>
      </c>
      <c r="U3479" s="34">
        <f>MIN(1, S3479/M3479)</f>
        <v/>
      </c>
      <c r="V3479" s="34">
        <f>N3479/(N3479+O3479)</f>
        <v/>
      </c>
      <c r="W3479" s="34">
        <f>U3479*V3479</f>
        <v/>
      </c>
      <c r="X3479" s="32">
        <f>T3479/N3479</f>
        <v/>
      </c>
      <c r="Y3479" s="35">
        <f>IF(W3479=MAXIFS(W$2:W$3601, A$2:A$3601, A3479, B$2:B$3601, B3479), "OPTIMAL", "")</f>
        <v/>
      </c>
    </row>
    <row r="3480" ht="20" customHeight="1">
      <c r="A3480" s="21" t="n">
        <v>-18</v>
      </c>
      <c r="B3480" s="21" t="n">
        <v>45</v>
      </c>
      <c r="C3480" s="22" t="n">
        <v>105</v>
      </c>
      <c r="D3480" s="22" t="n">
        <v>3</v>
      </c>
      <c r="E3480" s="23" t="n">
        <v>8</v>
      </c>
      <c r="F3480" s="22" t="n">
        <v>2</v>
      </c>
      <c r="G3480" s="23" t="inlineStr">
        <is>
          <t>Non</t>
        </is>
      </c>
      <c r="H3480" s="23" t="inlineStr">
        <is>
          <t>ON</t>
        </is>
      </c>
      <c r="I3480" s="24" t="n">
        <v>885.2722778138215</v>
      </c>
      <c r="J3480" s="24" t="n">
        <v>10520.73059103506</v>
      </c>
      <c r="K3480" s="24" t="n">
        <v>5101.851851851852</v>
      </c>
      <c r="L3480" s="24" t="n">
        <v>150</v>
      </c>
      <c r="M3480" s="24">
        <f>I3480+J3480+K3480+L3480</f>
        <v/>
      </c>
      <c r="N3480" s="24">
        <f>M3480*'Dashboard &amp; Optimisation'!$B$18/('Dashboard &amp; Optimisation'!$B$16/3.6)</f>
        <v/>
      </c>
      <c r="O3480" s="24" t="n">
        <v>2199.10872599454</v>
      </c>
      <c r="P3480" s="25" t="n">
        <v>0.050131239724469</v>
      </c>
      <c r="Q3480" s="26" t="n">
        <v>17.05717713207346</v>
      </c>
      <c r="R3480" s="24" t="n">
        <v>8854.328256636589</v>
      </c>
      <c r="S3480" s="24">
        <f>R3480*IF(A3480=4, 2.0, 3.0)</f>
        <v/>
      </c>
      <c r="T3480" s="22">
        <f>'Dashboard &amp; Optimisation'!$B$18*U3480</f>
        <v/>
      </c>
      <c r="U3480" s="27">
        <f>MIN(1, S3480/M3480)</f>
        <v/>
      </c>
      <c r="V3480" s="27">
        <f>N3480/(N3480+O3480)</f>
        <v/>
      </c>
      <c r="W3480" s="27">
        <f>U3480*V3480</f>
        <v/>
      </c>
      <c r="X3480" s="25">
        <f>T3480/N3480</f>
        <v/>
      </c>
      <c r="Y3480" s="28">
        <f>IF(W3480=MAXIFS(W$2:W$3601, A$2:A$3601, A3480, B$2:B$3601, B3480), "OPTIMAL", "")</f>
        <v/>
      </c>
    </row>
    <row r="3481" ht="20" customHeight="1">
      <c r="A3481" s="29" t="n">
        <v>-18</v>
      </c>
      <c r="B3481" s="29" t="n">
        <v>45</v>
      </c>
      <c r="C3481" s="30" t="n">
        <v>105</v>
      </c>
      <c r="D3481" s="30" t="n">
        <v>3</v>
      </c>
      <c r="E3481" s="6" t="n">
        <v>8</v>
      </c>
      <c r="F3481" s="30" t="n">
        <v>2</v>
      </c>
      <c r="G3481" s="6" t="inlineStr">
        <is>
          <t>Non</t>
        </is>
      </c>
      <c r="H3481" s="6" t="inlineStr">
        <is>
          <t>OFF</t>
        </is>
      </c>
      <c r="I3481" s="31" t="n">
        <v>885.2722778138215</v>
      </c>
      <c r="J3481" s="31" t="n">
        <v>10520.73059103506</v>
      </c>
      <c r="K3481" s="31" t="n">
        <v>5101.851851851852</v>
      </c>
      <c r="L3481" s="31" t="n">
        <v>150</v>
      </c>
      <c r="M3481" s="31">
        <f>I3481+J3481+K3481+L3481</f>
        <v/>
      </c>
      <c r="N3481" s="31">
        <f>M3481*'Dashboard &amp; Optimisation'!$B$18/('Dashboard &amp; Optimisation'!$B$16/3.6)</f>
        <v/>
      </c>
      <c r="O3481" s="31" t="n">
        <v>2199.10872599454</v>
      </c>
      <c r="P3481" s="32" t="n">
        <v>0.2306824590186666</v>
      </c>
      <c r="Q3481" s="33" t="n">
        <v>17.05717713207346</v>
      </c>
      <c r="R3481" s="31" t="n">
        <v>1924.196812886715</v>
      </c>
      <c r="S3481" s="31">
        <f>R3481*IF(A3481=4, 2.0, 3.0)</f>
        <v/>
      </c>
      <c r="T3481" s="30">
        <f>'Dashboard &amp; Optimisation'!$B$18*U3481</f>
        <v/>
      </c>
      <c r="U3481" s="34">
        <f>MIN(1, S3481/M3481)</f>
        <v/>
      </c>
      <c r="V3481" s="34">
        <f>N3481/(N3481+O3481)</f>
        <v/>
      </c>
      <c r="W3481" s="34">
        <f>U3481*V3481</f>
        <v/>
      </c>
      <c r="X3481" s="32">
        <f>T3481/N3481</f>
        <v/>
      </c>
      <c r="Y3481" s="35">
        <f>IF(W3481=MAXIFS(W$2:W$3601, A$2:A$3601, A3481, B$2:B$3601, B3481), "OPTIMAL", "")</f>
        <v/>
      </c>
    </row>
    <row r="3482" ht="20" customHeight="1">
      <c r="A3482" s="21" t="n">
        <v>-18</v>
      </c>
      <c r="B3482" s="21" t="n">
        <v>45</v>
      </c>
      <c r="C3482" s="22" t="n">
        <v>110</v>
      </c>
      <c r="D3482" s="22" t="n">
        <v>2</v>
      </c>
      <c r="E3482" s="23" t="n">
        <v>0</v>
      </c>
      <c r="F3482" s="22" t="n">
        <v>0</v>
      </c>
      <c r="G3482" s="23" t="inlineStr">
        <is>
          <t>Oui</t>
        </is>
      </c>
      <c r="H3482" s="23" t="inlineStr">
        <is>
          <t>ON</t>
        </is>
      </c>
      <c r="I3482" s="24" t="n">
        <v>885.2722778138215</v>
      </c>
      <c r="J3482" s="24" t="n">
        <v>10520.73059103506</v>
      </c>
      <c r="K3482" s="24" t="n">
        <v>5101.851851851852</v>
      </c>
      <c r="L3482" s="24" t="n">
        <v>150</v>
      </c>
      <c r="M3482" s="24">
        <f>I3482+J3482+K3482+L3482</f>
        <v/>
      </c>
      <c r="N3482" s="24">
        <f>M3482*'Dashboard &amp; Optimisation'!$B$18/('Dashboard &amp; Optimisation'!$B$16/3.6)</f>
        <v/>
      </c>
      <c r="O3482" s="24" t="n">
        <v>651.0073669499413</v>
      </c>
      <c r="P3482" s="25" t="n">
        <v>0.4731529974868604</v>
      </c>
      <c r="Q3482" s="26" t="n">
        <v>0.2</v>
      </c>
      <c r="R3482" s="24" t="n">
        <v>750.9601980949594</v>
      </c>
      <c r="S3482" s="24">
        <f>R3482*IF(A3482=4, 2.0, 3.0)</f>
        <v/>
      </c>
      <c r="T3482" s="22">
        <f>'Dashboard &amp; Optimisation'!$B$18*U3482</f>
        <v/>
      </c>
      <c r="U3482" s="27">
        <f>MIN(1, S3482/M3482)</f>
        <v/>
      </c>
      <c r="V3482" s="27">
        <f>N3482/(N3482+O3482)</f>
        <v/>
      </c>
      <c r="W3482" s="27">
        <f>U3482*V3482</f>
        <v/>
      </c>
      <c r="X3482" s="25">
        <f>T3482/N3482</f>
        <v/>
      </c>
      <c r="Y3482" s="28">
        <f>IF(W3482=MAXIFS(W$2:W$3601, A$2:A$3601, A3482, B$2:B$3601, B3482), "OPTIMAL", "")</f>
        <v/>
      </c>
    </row>
    <row r="3483" ht="20" customHeight="1">
      <c r="A3483" s="29" t="n">
        <v>-18</v>
      </c>
      <c r="B3483" s="29" t="n">
        <v>45</v>
      </c>
      <c r="C3483" s="30" t="n">
        <v>110</v>
      </c>
      <c r="D3483" s="30" t="n">
        <v>2</v>
      </c>
      <c r="E3483" s="6" t="n">
        <v>0</v>
      </c>
      <c r="F3483" s="30" t="n">
        <v>0</v>
      </c>
      <c r="G3483" s="6" t="inlineStr">
        <is>
          <t>Oui</t>
        </is>
      </c>
      <c r="H3483" s="6" t="inlineStr">
        <is>
          <t>OFF</t>
        </is>
      </c>
      <c r="I3483" s="31" t="n">
        <v>885.2722778138215</v>
      </c>
      <c r="J3483" s="31" t="n">
        <v>10520.73059103506</v>
      </c>
      <c r="K3483" s="31" t="n">
        <v>5101.851851851852</v>
      </c>
      <c r="L3483" s="31" t="n">
        <v>150</v>
      </c>
      <c r="M3483" s="31">
        <f>I3483+J3483+K3483+L3483</f>
        <v/>
      </c>
      <c r="N3483" s="31">
        <f>M3483*'Dashboard &amp; Optimisation'!$B$18/('Dashboard &amp; Optimisation'!$B$16/3.6)</f>
        <v/>
      </c>
      <c r="O3483" s="31" t="n">
        <v>651.0073669499413</v>
      </c>
      <c r="P3483" s="32" t="n">
        <v>0.7625256212903064</v>
      </c>
      <c r="Q3483" s="33" t="n">
        <v>0.2</v>
      </c>
      <c r="R3483" s="31" t="n">
        <v>465.9765636736297</v>
      </c>
      <c r="S3483" s="31">
        <f>R3483*IF(A3483=4, 2.0, 3.0)</f>
        <v/>
      </c>
      <c r="T3483" s="30">
        <f>'Dashboard &amp; Optimisation'!$B$18*U3483</f>
        <v/>
      </c>
      <c r="U3483" s="34">
        <f>MIN(1, S3483/M3483)</f>
        <v/>
      </c>
      <c r="V3483" s="34">
        <f>N3483/(N3483+O3483)</f>
        <v/>
      </c>
      <c r="W3483" s="34">
        <f>U3483*V3483</f>
        <v/>
      </c>
      <c r="X3483" s="32">
        <f>T3483/N3483</f>
        <v/>
      </c>
      <c r="Y3483" s="35">
        <f>IF(W3483=MAXIFS(W$2:W$3601, A$2:A$3601, A3483, B$2:B$3601, B3483), "OPTIMAL", "")</f>
        <v/>
      </c>
    </row>
    <row r="3484" ht="20" customHeight="1">
      <c r="A3484" s="21" t="n">
        <v>-18</v>
      </c>
      <c r="B3484" s="21" t="n">
        <v>45</v>
      </c>
      <c r="C3484" s="22" t="n">
        <v>110</v>
      </c>
      <c r="D3484" s="22" t="n">
        <v>2</v>
      </c>
      <c r="E3484" s="23" t="n">
        <v>0</v>
      </c>
      <c r="F3484" s="22" t="n">
        <v>0</v>
      </c>
      <c r="G3484" s="23" t="inlineStr">
        <is>
          <t>Non</t>
        </is>
      </c>
      <c r="H3484" s="23" t="inlineStr">
        <is>
          <t>ON</t>
        </is>
      </c>
      <c r="I3484" s="24" t="n">
        <v>885.2722778138215</v>
      </c>
      <c r="J3484" s="24" t="n">
        <v>10520.73059103506</v>
      </c>
      <c r="K3484" s="24" t="n">
        <v>5101.851851851852</v>
      </c>
      <c r="L3484" s="24" t="n">
        <v>150</v>
      </c>
      <c r="M3484" s="24">
        <f>I3484+J3484+K3484+L3484</f>
        <v/>
      </c>
      <c r="N3484" s="24">
        <f>M3484*'Dashboard &amp; Optimisation'!$B$18/('Dashboard &amp; Optimisation'!$B$16/3.6)</f>
        <v/>
      </c>
      <c r="O3484" s="24" t="n">
        <v>651.0073669499413</v>
      </c>
      <c r="P3484" s="25" t="n">
        <v>0.4702592712488259</v>
      </c>
      <c r="Q3484" s="26" t="n">
        <v>0.2</v>
      </c>
      <c r="R3484" s="24" t="n">
        <v>755.5812090176704</v>
      </c>
      <c r="S3484" s="24">
        <f>R3484*IF(A3484=4, 2.0, 3.0)</f>
        <v/>
      </c>
      <c r="T3484" s="22">
        <f>'Dashboard &amp; Optimisation'!$B$18*U3484</f>
        <v/>
      </c>
      <c r="U3484" s="27">
        <f>MIN(1, S3484/M3484)</f>
        <v/>
      </c>
      <c r="V3484" s="27">
        <f>N3484/(N3484+O3484)</f>
        <v/>
      </c>
      <c r="W3484" s="27">
        <f>U3484*V3484</f>
        <v/>
      </c>
      <c r="X3484" s="25">
        <f>T3484/N3484</f>
        <v/>
      </c>
      <c r="Y3484" s="28">
        <f>IF(W3484=MAXIFS(W$2:W$3601, A$2:A$3601, A3484, B$2:B$3601, B3484), "OPTIMAL", "")</f>
        <v/>
      </c>
    </row>
    <row r="3485" ht="20" customHeight="1">
      <c r="A3485" s="29" t="n">
        <v>-18</v>
      </c>
      <c r="B3485" s="29" t="n">
        <v>45</v>
      </c>
      <c r="C3485" s="30" t="n">
        <v>110</v>
      </c>
      <c r="D3485" s="30" t="n">
        <v>2</v>
      </c>
      <c r="E3485" s="6" t="n">
        <v>0</v>
      </c>
      <c r="F3485" s="30" t="n">
        <v>0</v>
      </c>
      <c r="G3485" s="6" t="inlineStr">
        <is>
          <t>Non</t>
        </is>
      </c>
      <c r="H3485" s="6" t="inlineStr">
        <is>
          <t>OFF</t>
        </is>
      </c>
      <c r="I3485" s="31" t="n">
        <v>885.2722778138215</v>
      </c>
      <c r="J3485" s="31" t="n">
        <v>10520.73059103506</v>
      </c>
      <c r="K3485" s="31" t="n">
        <v>5101.851851851852</v>
      </c>
      <c r="L3485" s="31" t="n">
        <v>150</v>
      </c>
      <c r="M3485" s="31">
        <f>I3485+J3485+K3485+L3485</f>
        <v/>
      </c>
      <c r="N3485" s="31">
        <f>M3485*'Dashboard &amp; Optimisation'!$B$18/('Dashboard &amp; Optimisation'!$B$16/3.6)</f>
        <v/>
      </c>
      <c r="O3485" s="31" t="n">
        <v>651.0073669499413</v>
      </c>
      <c r="P3485" s="32" t="n">
        <v>0.759631895052272</v>
      </c>
      <c r="Q3485" s="33" t="n">
        <v>0.2</v>
      </c>
      <c r="R3485" s="31" t="n">
        <v>467.7516452853868</v>
      </c>
      <c r="S3485" s="31">
        <f>R3485*IF(A3485=4, 2.0, 3.0)</f>
        <v/>
      </c>
      <c r="T3485" s="30">
        <f>'Dashboard &amp; Optimisation'!$B$18*U3485</f>
        <v/>
      </c>
      <c r="U3485" s="34">
        <f>MIN(1, S3485/M3485)</f>
        <v/>
      </c>
      <c r="V3485" s="34">
        <f>N3485/(N3485+O3485)</f>
        <v/>
      </c>
      <c r="W3485" s="34">
        <f>U3485*V3485</f>
        <v/>
      </c>
      <c r="X3485" s="32">
        <f>T3485/N3485</f>
        <v/>
      </c>
      <c r="Y3485" s="35">
        <f>IF(W3485=MAXIFS(W$2:W$3601, A$2:A$3601, A3485, B$2:B$3601, B3485), "OPTIMAL", "")</f>
        <v/>
      </c>
    </row>
    <row r="3486" ht="20" customHeight="1">
      <c r="A3486" s="21" t="n">
        <v>-18</v>
      </c>
      <c r="B3486" s="21" t="n">
        <v>45</v>
      </c>
      <c r="C3486" s="22" t="n">
        <v>110</v>
      </c>
      <c r="D3486" s="22" t="n">
        <v>2</v>
      </c>
      <c r="E3486" s="23" t="n">
        <v>4</v>
      </c>
      <c r="F3486" s="22" t="n">
        <v>1.5</v>
      </c>
      <c r="G3486" s="23" t="inlineStr">
        <is>
          <t>Oui</t>
        </is>
      </c>
      <c r="H3486" s="23" t="inlineStr">
        <is>
          <t>ON</t>
        </is>
      </c>
      <c r="I3486" s="24" t="n">
        <v>885.2722778138215</v>
      </c>
      <c r="J3486" s="24" t="n">
        <v>10520.73059103506</v>
      </c>
      <c r="K3486" s="24" t="n">
        <v>5101.851851851852</v>
      </c>
      <c r="L3486" s="24" t="n">
        <v>150</v>
      </c>
      <c r="M3486" s="24">
        <f>I3486+J3486+K3486+L3486</f>
        <v/>
      </c>
      <c r="N3486" s="24">
        <f>M3486*'Dashboard &amp; Optimisation'!$B$18/('Dashboard &amp; Optimisation'!$B$16/3.6)</f>
        <v/>
      </c>
      <c r="O3486" s="24" t="n">
        <v>1010.543475742693</v>
      </c>
      <c r="P3486" s="25" t="n">
        <v>0.07062967612279852</v>
      </c>
      <c r="Q3486" s="26" t="n">
        <v>6.103987745549313</v>
      </c>
      <c r="R3486" s="24" t="n">
        <v>5180.064612155787</v>
      </c>
      <c r="S3486" s="24">
        <f>R3486*IF(A3486=4, 2.0, 3.0)</f>
        <v/>
      </c>
      <c r="T3486" s="22">
        <f>'Dashboard &amp; Optimisation'!$B$18*U3486</f>
        <v/>
      </c>
      <c r="U3486" s="27">
        <f>MIN(1, S3486/M3486)</f>
        <v/>
      </c>
      <c r="V3486" s="27">
        <f>N3486/(N3486+O3486)</f>
        <v/>
      </c>
      <c r="W3486" s="27">
        <f>U3486*V3486</f>
        <v/>
      </c>
      <c r="X3486" s="25">
        <f>T3486/N3486</f>
        <v/>
      </c>
      <c r="Y3486" s="28">
        <f>IF(W3486=MAXIFS(W$2:W$3601, A$2:A$3601, A3486, B$2:B$3601, B3486), "OPTIMAL", "")</f>
        <v/>
      </c>
    </row>
    <row r="3487" ht="20" customHeight="1">
      <c r="A3487" s="29" t="n">
        <v>-18</v>
      </c>
      <c r="B3487" s="29" t="n">
        <v>45</v>
      </c>
      <c r="C3487" s="30" t="n">
        <v>110</v>
      </c>
      <c r="D3487" s="30" t="n">
        <v>2</v>
      </c>
      <c r="E3487" s="6" t="n">
        <v>4</v>
      </c>
      <c r="F3487" s="30" t="n">
        <v>1.5</v>
      </c>
      <c r="G3487" s="6" t="inlineStr">
        <is>
          <t>Oui</t>
        </is>
      </c>
      <c r="H3487" s="6" t="inlineStr">
        <is>
          <t>OFF</t>
        </is>
      </c>
      <c r="I3487" s="31" t="n">
        <v>885.2722778138215</v>
      </c>
      <c r="J3487" s="31" t="n">
        <v>10520.73059103506</v>
      </c>
      <c r="K3487" s="31" t="n">
        <v>5101.851851851852</v>
      </c>
      <c r="L3487" s="31" t="n">
        <v>150</v>
      </c>
      <c r="M3487" s="31">
        <f>I3487+J3487+K3487+L3487</f>
        <v/>
      </c>
      <c r="N3487" s="31">
        <f>M3487*'Dashboard &amp; Optimisation'!$B$18/('Dashboard &amp; Optimisation'!$B$16/3.6)</f>
        <v/>
      </c>
      <c r="O3487" s="31" t="n">
        <v>1010.543475742693</v>
      </c>
      <c r="P3487" s="32" t="n">
        <v>0.2882258985719243</v>
      </c>
      <c r="Q3487" s="33" t="n">
        <v>6.103987745549313</v>
      </c>
      <c r="R3487" s="31" t="n">
        <v>1269.373389638109</v>
      </c>
      <c r="S3487" s="31">
        <f>R3487*IF(A3487=4, 2.0, 3.0)</f>
        <v/>
      </c>
      <c r="T3487" s="30">
        <f>'Dashboard &amp; Optimisation'!$B$18*U3487</f>
        <v/>
      </c>
      <c r="U3487" s="34">
        <f>MIN(1, S3487/M3487)</f>
        <v/>
      </c>
      <c r="V3487" s="34">
        <f>N3487/(N3487+O3487)</f>
        <v/>
      </c>
      <c r="W3487" s="34">
        <f>U3487*V3487</f>
        <v/>
      </c>
      <c r="X3487" s="32">
        <f>T3487/N3487</f>
        <v/>
      </c>
      <c r="Y3487" s="35">
        <f>IF(W3487=MAXIFS(W$2:W$3601, A$2:A$3601, A3487, B$2:B$3601, B3487), "OPTIMAL", "")</f>
        <v/>
      </c>
    </row>
    <row r="3488" ht="20" customHeight="1">
      <c r="A3488" s="21" t="n">
        <v>-18</v>
      </c>
      <c r="B3488" s="21" t="n">
        <v>45</v>
      </c>
      <c r="C3488" s="22" t="n">
        <v>110</v>
      </c>
      <c r="D3488" s="22" t="n">
        <v>2</v>
      </c>
      <c r="E3488" s="23" t="n">
        <v>4</v>
      </c>
      <c r="F3488" s="22" t="n">
        <v>1.5</v>
      </c>
      <c r="G3488" s="23" t="inlineStr">
        <is>
          <t>Non</t>
        </is>
      </c>
      <c r="H3488" s="23" t="inlineStr">
        <is>
          <t>ON</t>
        </is>
      </c>
      <c r="I3488" s="24" t="n">
        <v>885.2722778138215</v>
      </c>
      <c r="J3488" s="24" t="n">
        <v>10520.73059103506</v>
      </c>
      <c r="K3488" s="24" t="n">
        <v>5101.851851851852</v>
      </c>
      <c r="L3488" s="24" t="n">
        <v>150</v>
      </c>
      <c r="M3488" s="24">
        <f>I3488+J3488+K3488+L3488</f>
        <v/>
      </c>
      <c r="N3488" s="24">
        <f>M3488*'Dashboard &amp; Optimisation'!$B$18/('Dashboard &amp; Optimisation'!$B$16/3.6)</f>
        <v/>
      </c>
      <c r="O3488" s="24" t="n">
        <v>1010.543475742693</v>
      </c>
      <c r="P3488" s="25" t="n">
        <v>0.06773594988476406</v>
      </c>
      <c r="Q3488" s="26" t="n">
        <v>6.103987745549313</v>
      </c>
      <c r="R3488" s="24" t="n">
        <v>5401.360525306932</v>
      </c>
      <c r="S3488" s="24">
        <f>R3488*IF(A3488=4, 2.0, 3.0)</f>
        <v/>
      </c>
      <c r="T3488" s="22">
        <f>'Dashboard &amp; Optimisation'!$B$18*U3488</f>
        <v/>
      </c>
      <c r="U3488" s="27">
        <f>MIN(1, S3488/M3488)</f>
        <v/>
      </c>
      <c r="V3488" s="27">
        <f>N3488/(N3488+O3488)</f>
        <v/>
      </c>
      <c r="W3488" s="27">
        <f>U3488*V3488</f>
        <v/>
      </c>
      <c r="X3488" s="25">
        <f>T3488/N3488</f>
        <v/>
      </c>
      <c r="Y3488" s="28">
        <f>IF(W3488=MAXIFS(W$2:W$3601, A$2:A$3601, A3488, B$2:B$3601, B3488), "OPTIMAL", "")</f>
        <v/>
      </c>
    </row>
    <row r="3489" ht="20" customHeight="1">
      <c r="A3489" s="29" t="n">
        <v>-18</v>
      </c>
      <c r="B3489" s="29" t="n">
        <v>45</v>
      </c>
      <c r="C3489" s="30" t="n">
        <v>110</v>
      </c>
      <c r="D3489" s="30" t="n">
        <v>2</v>
      </c>
      <c r="E3489" s="6" t="n">
        <v>4</v>
      </c>
      <c r="F3489" s="30" t="n">
        <v>1.5</v>
      </c>
      <c r="G3489" s="6" t="inlineStr">
        <is>
          <t>Non</t>
        </is>
      </c>
      <c r="H3489" s="6" t="inlineStr">
        <is>
          <t>OFF</t>
        </is>
      </c>
      <c r="I3489" s="31" t="n">
        <v>885.2722778138215</v>
      </c>
      <c r="J3489" s="31" t="n">
        <v>10520.73059103506</v>
      </c>
      <c r="K3489" s="31" t="n">
        <v>5101.851851851852</v>
      </c>
      <c r="L3489" s="31" t="n">
        <v>150</v>
      </c>
      <c r="M3489" s="31">
        <f>I3489+J3489+K3489+L3489</f>
        <v/>
      </c>
      <c r="N3489" s="31">
        <f>M3489*'Dashboard &amp; Optimisation'!$B$18/('Dashboard &amp; Optimisation'!$B$16/3.6)</f>
        <v/>
      </c>
      <c r="O3489" s="31" t="n">
        <v>1010.543475742693</v>
      </c>
      <c r="P3489" s="32" t="n">
        <v>0.2853321723338898</v>
      </c>
      <c r="Q3489" s="33" t="n">
        <v>6.103987745549313</v>
      </c>
      <c r="R3489" s="31" t="n">
        <v>1282.246873386588</v>
      </c>
      <c r="S3489" s="31">
        <f>R3489*IF(A3489=4, 2.0, 3.0)</f>
        <v/>
      </c>
      <c r="T3489" s="30">
        <f>'Dashboard &amp; Optimisation'!$B$18*U3489</f>
        <v/>
      </c>
      <c r="U3489" s="34">
        <f>MIN(1, S3489/M3489)</f>
        <v/>
      </c>
      <c r="V3489" s="34">
        <f>N3489/(N3489+O3489)</f>
        <v/>
      </c>
      <c r="W3489" s="34">
        <f>U3489*V3489</f>
        <v/>
      </c>
      <c r="X3489" s="32">
        <f>T3489/N3489</f>
        <v/>
      </c>
      <c r="Y3489" s="35">
        <f>IF(W3489=MAXIFS(W$2:W$3601, A$2:A$3601, A3489, B$2:B$3601, B3489), "OPTIMAL", "")</f>
        <v/>
      </c>
    </row>
    <row r="3490" ht="20" customHeight="1">
      <c r="A3490" s="21" t="n">
        <v>-18</v>
      </c>
      <c r="B3490" s="21" t="n">
        <v>45</v>
      </c>
      <c r="C3490" s="22" t="n">
        <v>110</v>
      </c>
      <c r="D3490" s="22" t="n">
        <v>2</v>
      </c>
      <c r="E3490" s="23" t="n">
        <v>4</v>
      </c>
      <c r="F3490" s="22" t="n">
        <v>2</v>
      </c>
      <c r="G3490" s="23" t="inlineStr">
        <is>
          <t>Oui</t>
        </is>
      </c>
      <c r="H3490" s="23" t="inlineStr">
        <is>
          <t>ON</t>
        </is>
      </c>
      <c r="I3490" s="24" t="n">
        <v>885.2722778138215</v>
      </c>
      <c r="J3490" s="24" t="n">
        <v>10520.73059103506</v>
      </c>
      <c r="K3490" s="24" t="n">
        <v>5101.851851851852</v>
      </c>
      <c r="L3490" s="24" t="n">
        <v>150</v>
      </c>
      <c r="M3490" s="24">
        <f>I3490+J3490+K3490+L3490</f>
        <v/>
      </c>
      <c r="N3490" s="24">
        <f>M3490*'Dashboard &amp; Optimisation'!$B$18/('Dashboard &amp; Optimisation'!$B$16/3.6)</f>
        <v/>
      </c>
      <c r="O3490" s="24" t="n">
        <v>1135.179533881318</v>
      </c>
      <c r="P3490" s="25" t="n">
        <v>0.06762363614121064</v>
      </c>
      <c r="Q3490" s="26" t="n">
        <v>8.071983660732418</v>
      </c>
      <c r="R3490" s="24" t="n">
        <v>5464.399488587053</v>
      </c>
      <c r="S3490" s="24">
        <f>R3490*IF(A3490=4, 2.0, 3.0)</f>
        <v/>
      </c>
      <c r="T3490" s="22">
        <f>'Dashboard &amp; Optimisation'!$B$18*U3490</f>
        <v/>
      </c>
      <c r="U3490" s="27">
        <f>MIN(1, S3490/M3490)</f>
        <v/>
      </c>
      <c r="V3490" s="27">
        <f>N3490/(N3490+O3490)</f>
        <v/>
      </c>
      <c r="W3490" s="27">
        <f>U3490*V3490</f>
        <v/>
      </c>
      <c r="X3490" s="25">
        <f>T3490/N3490</f>
        <v/>
      </c>
      <c r="Y3490" s="28">
        <f>IF(W3490=MAXIFS(W$2:W$3601, A$2:A$3601, A3490, B$2:B$3601, B3490), "OPTIMAL", "")</f>
        <v/>
      </c>
    </row>
    <row r="3491" ht="20" customHeight="1">
      <c r="A3491" s="29" t="n">
        <v>-18</v>
      </c>
      <c r="B3491" s="29" t="n">
        <v>45</v>
      </c>
      <c r="C3491" s="30" t="n">
        <v>110</v>
      </c>
      <c r="D3491" s="30" t="n">
        <v>2</v>
      </c>
      <c r="E3491" s="6" t="n">
        <v>4</v>
      </c>
      <c r="F3491" s="30" t="n">
        <v>2</v>
      </c>
      <c r="G3491" s="6" t="inlineStr">
        <is>
          <t>Oui</t>
        </is>
      </c>
      <c r="H3491" s="6" t="inlineStr">
        <is>
          <t>OFF</t>
        </is>
      </c>
      <c r="I3491" s="31" t="n">
        <v>885.2722778138215</v>
      </c>
      <c r="J3491" s="31" t="n">
        <v>10520.73059103506</v>
      </c>
      <c r="K3491" s="31" t="n">
        <v>5101.851851851852</v>
      </c>
      <c r="L3491" s="31" t="n">
        <v>150</v>
      </c>
      <c r="M3491" s="31">
        <f>I3491+J3491+K3491+L3491</f>
        <v/>
      </c>
      <c r="N3491" s="31">
        <f>M3491*'Dashboard &amp; Optimisation'!$B$18/('Dashboard &amp; Optimisation'!$B$16/3.6)</f>
        <v/>
      </c>
      <c r="O3491" s="31" t="n">
        <v>1135.179533881318</v>
      </c>
      <c r="P3491" s="32" t="n">
        <v>0.2861692165887991</v>
      </c>
      <c r="Q3491" s="33" t="n">
        <v>8.071983660732418</v>
      </c>
      <c r="R3491" s="31" t="n">
        <v>1291.272929881207</v>
      </c>
      <c r="S3491" s="31">
        <f>R3491*IF(A3491=4, 2.0, 3.0)</f>
        <v/>
      </c>
      <c r="T3491" s="30">
        <f>'Dashboard &amp; Optimisation'!$B$18*U3491</f>
        <v/>
      </c>
      <c r="U3491" s="34">
        <f>MIN(1, S3491/M3491)</f>
        <v/>
      </c>
      <c r="V3491" s="34">
        <f>N3491/(N3491+O3491)</f>
        <v/>
      </c>
      <c r="W3491" s="34">
        <f>U3491*V3491</f>
        <v/>
      </c>
      <c r="X3491" s="32">
        <f>T3491/N3491</f>
        <v/>
      </c>
      <c r="Y3491" s="35">
        <f>IF(W3491=MAXIFS(W$2:W$3601, A$2:A$3601, A3491, B$2:B$3601, B3491), "OPTIMAL", "")</f>
        <v/>
      </c>
    </row>
    <row r="3492" ht="20" customHeight="1">
      <c r="A3492" s="21" t="n">
        <v>-18</v>
      </c>
      <c r="B3492" s="21" t="n">
        <v>45</v>
      </c>
      <c r="C3492" s="22" t="n">
        <v>110</v>
      </c>
      <c r="D3492" s="22" t="n">
        <v>2</v>
      </c>
      <c r="E3492" s="23" t="n">
        <v>4</v>
      </c>
      <c r="F3492" s="22" t="n">
        <v>2</v>
      </c>
      <c r="G3492" s="23" t="inlineStr">
        <is>
          <t>Non</t>
        </is>
      </c>
      <c r="H3492" s="23" t="inlineStr">
        <is>
          <t>ON</t>
        </is>
      </c>
      <c r="I3492" s="24" t="n">
        <v>885.2722778138215</v>
      </c>
      <c r="J3492" s="24" t="n">
        <v>10520.73059103506</v>
      </c>
      <c r="K3492" s="24" t="n">
        <v>5101.851851851852</v>
      </c>
      <c r="L3492" s="24" t="n">
        <v>150</v>
      </c>
      <c r="M3492" s="24">
        <f>I3492+J3492+K3492+L3492</f>
        <v/>
      </c>
      <c r="N3492" s="24">
        <f>M3492*'Dashboard &amp; Optimisation'!$B$18/('Dashboard &amp; Optimisation'!$B$16/3.6)</f>
        <v/>
      </c>
      <c r="O3492" s="24" t="n">
        <v>1135.179533881318</v>
      </c>
      <c r="P3492" s="25" t="n">
        <v>0.06472990990317617</v>
      </c>
      <c r="Q3492" s="26" t="n">
        <v>8.071983660732418</v>
      </c>
      <c r="R3492" s="24" t="n">
        <v>5708.683409248753</v>
      </c>
      <c r="S3492" s="24">
        <f>R3492*IF(A3492=4, 2.0, 3.0)</f>
        <v/>
      </c>
      <c r="T3492" s="22">
        <f>'Dashboard &amp; Optimisation'!$B$18*U3492</f>
        <v/>
      </c>
      <c r="U3492" s="27">
        <f>MIN(1, S3492/M3492)</f>
        <v/>
      </c>
      <c r="V3492" s="27">
        <f>N3492/(N3492+O3492)</f>
        <v/>
      </c>
      <c r="W3492" s="27">
        <f>U3492*V3492</f>
        <v/>
      </c>
      <c r="X3492" s="25">
        <f>T3492/N3492</f>
        <v/>
      </c>
      <c r="Y3492" s="28">
        <f>IF(W3492=MAXIFS(W$2:W$3601, A$2:A$3601, A3492, B$2:B$3601, B3492), "OPTIMAL", "")</f>
        <v/>
      </c>
    </row>
    <row r="3493" ht="20" customHeight="1">
      <c r="A3493" s="29" t="n">
        <v>-18</v>
      </c>
      <c r="B3493" s="29" t="n">
        <v>45</v>
      </c>
      <c r="C3493" s="30" t="n">
        <v>110</v>
      </c>
      <c r="D3493" s="30" t="n">
        <v>2</v>
      </c>
      <c r="E3493" s="6" t="n">
        <v>4</v>
      </c>
      <c r="F3493" s="30" t="n">
        <v>2</v>
      </c>
      <c r="G3493" s="6" t="inlineStr">
        <is>
          <t>Non</t>
        </is>
      </c>
      <c r="H3493" s="6" t="inlineStr">
        <is>
          <t>OFF</t>
        </is>
      </c>
      <c r="I3493" s="31" t="n">
        <v>885.2722778138215</v>
      </c>
      <c r="J3493" s="31" t="n">
        <v>10520.73059103506</v>
      </c>
      <c r="K3493" s="31" t="n">
        <v>5101.851851851852</v>
      </c>
      <c r="L3493" s="31" t="n">
        <v>150</v>
      </c>
      <c r="M3493" s="31">
        <f>I3493+J3493+K3493+L3493</f>
        <v/>
      </c>
      <c r="N3493" s="31">
        <f>M3493*'Dashboard &amp; Optimisation'!$B$18/('Dashboard &amp; Optimisation'!$B$16/3.6)</f>
        <v/>
      </c>
      <c r="O3493" s="31" t="n">
        <v>1135.179533881318</v>
      </c>
      <c r="P3493" s="32" t="n">
        <v>0.2832754903507647</v>
      </c>
      <c r="Q3493" s="33" t="n">
        <v>8.071983660732418</v>
      </c>
      <c r="R3493" s="31" t="n">
        <v>1304.463588744895</v>
      </c>
      <c r="S3493" s="31">
        <f>R3493*IF(A3493=4, 2.0, 3.0)</f>
        <v/>
      </c>
      <c r="T3493" s="30">
        <f>'Dashboard &amp; Optimisation'!$B$18*U3493</f>
        <v/>
      </c>
      <c r="U3493" s="34">
        <f>MIN(1, S3493/M3493)</f>
        <v/>
      </c>
      <c r="V3493" s="34">
        <f>N3493/(N3493+O3493)</f>
        <v/>
      </c>
      <c r="W3493" s="34">
        <f>U3493*V3493</f>
        <v/>
      </c>
      <c r="X3493" s="32">
        <f>T3493/N3493</f>
        <v/>
      </c>
      <c r="Y3493" s="35">
        <f>IF(W3493=MAXIFS(W$2:W$3601, A$2:A$3601, A3493, B$2:B$3601, B3493), "OPTIMAL", "")</f>
        <v/>
      </c>
    </row>
    <row r="3494" ht="20" customHeight="1">
      <c r="A3494" s="21" t="n">
        <v>-18</v>
      </c>
      <c r="B3494" s="21" t="n">
        <v>45</v>
      </c>
      <c r="C3494" s="22" t="n">
        <v>110</v>
      </c>
      <c r="D3494" s="22" t="n">
        <v>2</v>
      </c>
      <c r="E3494" s="23" t="n">
        <v>8</v>
      </c>
      <c r="F3494" s="22" t="n">
        <v>1.5</v>
      </c>
      <c r="G3494" s="23" t="inlineStr">
        <is>
          <t>Oui</t>
        </is>
      </c>
      <c r="H3494" s="23" t="inlineStr">
        <is>
          <t>ON</t>
        </is>
      </c>
      <c r="I3494" s="24" t="n">
        <v>885.2722778138215</v>
      </c>
      <c r="J3494" s="24" t="n">
        <v>10520.73059103506</v>
      </c>
      <c r="K3494" s="24" t="n">
        <v>5101.851851851852</v>
      </c>
      <c r="L3494" s="24" t="n">
        <v>150</v>
      </c>
      <c r="M3494" s="24">
        <f>I3494+J3494+K3494+L3494</f>
        <v/>
      </c>
      <c r="N3494" s="24">
        <f>M3494*'Dashboard &amp; Optimisation'!$B$18/('Dashboard &amp; Optimisation'!$B$16/3.6)</f>
        <v/>
      </c>
      <c r="O3494" s="24" t="n">
        <v>1392.077351394426</v>
      </c>
      <c r="P3494" s="25" t="n">
        <v>0.05348631453507773</v>
      </c>
      <c r="Q3494" s="26" t="n">
        <v>12.00797549109863</v>
      </c>
      <c r="R3494" s="24" t="n">
        <v>7049.631752334046</v>
      </c>
      <c r="S3494" s="24">
        <f>R3494*IF(A3494=4, 2.0, 3.0)</f>
        <v/>
      </c>
      <c r="T3494" s="22">
        <f>'Dashboard &amp; Optimisation'!$B$18*U3494</f>
        <v/>
      </c>
      <c r="U3494" s="27">
        <f>MIN(1, S3494/M3494)</f>
        <v/>
      </c>
      <c r="V3494" s="27">
        <f>N3494/(N3494+O3494)</f>
        <v/>
      </c>
      <c r="W3494" s="27">
        <f>U3494*V3494</f>
        <v/>
      </c>
      <c r="X3494" s="25">
        <f>T3494/N3494</f>
        <v/>
      </c>
      <c r="Y3494" s="28">
        <f>IF(W3494=MAXIFS(W$2:W$3601, A$2:A$3601, A3494, B$2:B$3601, B3494), "OPTIMAL", "")</f>
        <v/>
      </c>
    </row>
    <row r="3495" ht="20" customHeight="1">
      <c r="A3495" s="29" t="n">
        <v>-18</v>
      </c>
      <c r="B3495" s="29" t="n">
        <v>45</v>
      </c>
      <c r="C3495" s="30" t="n">
        <v>110</v>
      </c>
      <c r="D3495" s="30" t="n">
        <v>2</v>
      </c>
      <c r="E3495" s="6" t="n">
        <v>8</v>
      </c>
      <c r="F3495" s="30" t="n">
        <v>1.5</v>
      </c>
      <c r="G3495" s="6" t="inlineStr">
        <is>
          <t>Oui</t>
        </is>
      </c>
      <c r="H3495" s="6" t="inlineStr">
        <is>
          <t>OFF</t>
        </is>
      </c>
      <c r="I3495" s="31" t="n">
        <v>885.2722778138215</v>
      </c>
      <c r="J3495" s="31" t="n">
        <v>10520.73059103506</v>
      </c>
      <c r="K3495" s="31" t="n">
        <v>5101.851851851852</v>
      </c>
      <c r="L3495" s="31" t="n">
        <v>150</v>
      </c>
      <c r="M3495" s="31">
        <f>I3495+J3495+K3495+L3495</f>
        <v/>
      </c>
      <c r="N3495" s="31">
        <f>M3495*'Dashboard &amp; Optimisation'!$B$18/('Dashboard &amp; Optimisation'!$B$16/3.6)</f>
        <v/>
      </c>
      <c r="O3495" s="31" t="n">
        <v>1392.077351394426</v>
      </c>
      <c r="P3495" s="32" t="n">
        <v>0.2278356335097701</v>
      </c>
      <c r="Q3495" s="33" t="n">
        <v>12.00797549109863</v>
      </c>
      <c r="R3495" s="31" t="n">
        <v>1654.959829826799</v>
      </c>
      <c r="S3495" s="31">
        <f>R3495*IF(A3495=4, 2.0, 3.0)</f>
        <v/>
      </c>
      <c r="T3495" s="30">
        <f>'Dashboard &amp; Optimisation'!$B$18*U3495</f>
        <v/>
      </c>
      <c r="U3495" s="34">
        <f>MIN(1, S3495/M3495)</f>
        <v/>
      </c>
      <c r="V3495" s="34">
        <f>N3495/(N3495+O3495)</f>
        <v/>
      </c>
      <c r="W3495" s="34">
        <f>U3495*V3495</f>
        <v/>
      </c>
      <c r="X3495" s="32">
        <f>T3495/N3495</f>
        <v/>
      </c>
      <c r="Y3495" s="35">
        <f>IF(W3495=MAXIFS(W$2:W$3601, A$2:A$3601, A3495, B$2:B$3601, B3495), "OPTIMAL", "")</f>
        <v/>
      </c>
    </row>
    <row r="3496" ht="20" customHeight="1">
      <c r="A3496" s="21" t="n">
        <v>-18</v>
      </c>
      <c r="B3496" s="21" t="n">
        <v>45</v>
      </c>
      <c r="C3496" s="22" t="n">
        <v>110</v>
      </c>
      <c r="D3496" s="22" t="n">
        <v>2</v>
      </c>
      <c r="E3496" s="23" t="n">
        <v>8</v>
      </c>
      <c r="F3496" s="22" t="n">
        <v>1.5</v>
      </c>
      <c r="G3496" s="23" t="inlineStr">
        <is>
          <t>Non</t>
        </is>
      </c>
      <c r="H3496" s="23" t="inlineStr">
        <is>
          <t>ON</t>
        </is>
      </c>
      <c r="I3496" s="24" t="n">
        <v>885.2722778138215</v>
      </c>
      <c r="J3496" s="24" t="n">
        <v>10520.73059103506</v>
      </c>
      <c r="K3496" s="24" t="n">
        <v>5101.851851851852</v>
      </c>
      <c r="L3496" s="24" t="n">
        <v>150</v>
      </c>
      <c r="M3496" s="24">
        <f>I3496+J3496+K3496+L3496</f>
        <v/>
      </c>
      <c r="N3496" s="24">
        <f>M3496*'Dashboard &amp; Optimisation'!$B$18/('Dashboard &amp; Optimisation'!$B$16/3.6)</f>
        <v/>
      </c>
      <c r="O3496" s="24" t="n">
        <v>1392.077351394426</v>
      </c>
      <c r="P3496" s="25" t="n">
        <v>0.05059258829704327</v>
      </c>
      <c r="Q3496" s="26" t="n">
        <v>12.00797549109863</v>
      </c>
      <c r="R3496" s="24" t="n">
        <v>7452.84702668288</v>
      </c>
      <c r="S3496" s="24">
        <f>R3496*IF(A3496=4, 2.0, 3.0)</f>
        <v/>
      </c>
      <c r="T3496" s="22">
        <f>'Dashboard &amp; Optimisation'!$B$18*U3496</f>
        <v/>
      </c>
      <c r="U3496" s="27">
        <f>MIN(1, S3496/M3496)</f>
        <v/>
      </c>
      <c r="V3496" s="27">
        <f>N3496/(N3496+O3496)</f>
        <v/>
      </c>
      <c r="W3496" s="27">
        <f>U3496*V3496</f>
        <v/>
      </c>
      <c r="X3496" s="25">
        <f>T3496/N3496</f>
        <v/>
      </c>
      <c r="Y3496" s="28">
        <f>IF(W3496=MAXIFS(W$2:W$3601, A$2:A$3601, A3496, B$2:B$3601, B3496), "OPTIMAL", "")</f>
        <v/>
      </c>
    </row>
    <row r="3497" ht="20" customHeight="1">
      <c r="A3497" s="29" t="n">
        <v>-18</v>
      </c>
      <c r="B3497" s="29" t="n">
        <v>45</v>
      </c>
      <c r="C3497" s="30" t="n">
        <v>110</v>
      </c>
      <c r="D3497" s="30" t="n">
        <v>2</v>
      </c>
      <c r="E3497" s="6" t="n">
        <v>8</v>
      </c>
      <c r="F3497" s="30" t="n">
        <v>1.5</v>
      </c>
      <c r="G3497" s="6" t="inlineStr">
        <is>
          <t>Non</t>
        </is>
      </c>
      <c r="H3497" s="6" t="inlineStr">
        <is>
          <t>OFF</t>
        </is>
      </c>
      <c r="I3497" s="31" t="n">
        <v>885.2722778138215</v>
      </c>
      <c r="J3497" s="31" t="n">
        <v>10520.73059103506</v>
      </c>
      <c r="K3497" s="31" t="n">
        <v>5101.851851851852</v>
      </c>
      <c r="L3497" s="31" t="n">
        <v>150</v>
      </c>
      <c r="M3497" s="31">
        <f>I3497+J3497+K3497+L3497</f>
        <v/>
      </c>
      <c r="N3497" s="31">
        <f>M3497*'Dashboard &amp; Optimisation'!$B$18/('Dashboard &amp; Optimisation'!$B$16/3.6)</f>
        <v/>
      </c>
      <c r="O3497" s="31" t="n">
        <v>1392.077351394426</v>
      </c>
      <c r="P3497" s="32" t="n">
        <v>0.2249419072717356</v>
      </c>
      <c r="Q3497" s="33" t="n">
        <v>12.00797549109863</v>
      </c>
      <c r="R3497" s="31" t="n">
        <v>1676.24977415308</v>
      </c>
      <c r="S3497" s="31">
        <f>R3497*IF(A3497=4, 2.0, 3.0)</f>
        <v/>
      </c>
      <c r="T3497" s="30">
        <f>'Dashboard &amp; Optimisation'!$B$18*U3497</f>
        <v/>
      </c>
      <c r="U3497" s="34">
        <f>MIN(1, S3497/M3497)</f>
        <v/>
      </c>
      <c r="V3497" s="34">
        <f>N3497/(N3497+O3497)</f>
        <v/>
      </c>
      <c r="W3497" s="34">
        <f>U3497*V3497</f>
        <v/>
      </c>
      <c r="X3497" s="32">
        <f>T3497/N3497</f>
        <v/>
      </c>
      <c r="Y3497" s="35">
        <f>IF(W3497=MAXIFS(W$2:W$3601, A$2:A$3601, A3497, B$2:B$3601, B3497), "OPTIMAL", "")</f>
        <v/>
      </c>
    </row>
    <row r="3498" ht="20" customHeight="1">
      <c r="A3498" s="21" t="n">
        <v>-18</v>
      </c>
      <c r="B3498" s="21" t="n">
        <v>45</v>
      </c>
      <c r="C3498" s="22" t="n">
        <v>110</v>
      </c>
      <c r="D3498" s="22" t="n">
        <v>2</v>
      </c>
      <c r="E3498" s="23" t="n">
        <v>8</v>
      </c>
      <c r="F3498" s="22" t="n">
        <v>2</v>
      </c>
      <c r="G3498" s="23" t="inlineStr">
        <is>
          <t>Oui</t>
        </is>
      </c>
      <c r="H3498" s="23" t="inlineStr">
        <is>
          <t>ON</t>
        </is>
      </c>
      <c r="I3498" s="24" t="n">
        <v>885.2722778138215</v>
      </c>
      <c r="J3498" s="24" t="n">
        <v>10520.73059103506</v>
      </c>
      <c r="K3498" s="24" t="n">
        <v>5101.851851851852</v>
      </c>
      <c r="L3498" s="24" t="n">
        <v>150</v>
      </c>
      <c r="M3498" s="24">
        <f>I3498+J3498+K3498+L3498</f>
        <v/>
      </c>
      <c r="N3498" s="24">
        <f>M3498*'Dashboard &amp; Optimisation'!$B$18/('Dashboard &amp; Optimisation'!$B$16/3.6)</f>
        <v/>
      </c>
      <c r="O3498" s="24" t="n">
        <v>1659.671973411941</v>
      </c>
      <c r="P3498" s="25" t="n">
        <v>0.05207352280953786</v>
      </c>
      <c r="Q3498" s="26" t="n">
        <v>15.94396732146484</v>
      </c>
      <c r="R3498" s="24" t="n">
        <v>7391.642748091799</v>
      </c>
      <c r="S3498" s="24">
        <f>R3498*IF(A3498=4, 2.0, 3.0)</f>
        <v/>
      </c>
      <c r="T3498" s="22">
        <f>'Dashboard &amp; Optimisation'!$B$18*U3498</f>
        <v/>
      </c>
      <c r="U3498" s="27">
        <f>MIN(1, S3498/M3498)</f>
        <v/>
      </c>
      <c r="V3498" s="27">
        <f>N3498/(N3498+O3498)</f>
        <v/>
      </c>
      <c r="W3498" s="27">
        <f>U3498*V3498</f>
        <v/>
      </c>
      <c r="X3498" s="25">
        <f>T3498/N3498</f>
        <v/>
      </c>
      <c r="Y3498" s="28">
        <f>IF(W3498=MAXIFS(W$2:W$3601, A$2:A$3601, A3498, B$2:B$3601, B3498), "OPTIMAL", "")</f>
        <v/>
      </c>
    </row>
    <row r="3499" ht="20" customHeight="1">
      <c r="A3499" s="29" t="n">
        <v>-18</v>
      </c>
      <c r="B3499" s="29" t="n">
        <v>45</v>
      </c>
      <c r="C3499" s="30" t="n">
        <v>110</v>
      </c>
      <c r="D3499" s="30" t="n">
        <v>2</v>
      </c>
      <c r="E3499" s="6" t="n">
        <v>8</v>
      </c>
      <c r="F3499" s="30" t="n">
        <v>2</v>
      </c>
      <c r="G3499" s="6" t="inlineStr">
        <is>
          <t>Oui</t>
        </is>
      </c>
      <c r="H3499" s="6" t="inlineStr">
        <is>
          <t>OFF</t>
        </is>
      </c>
      <c r="I3499" s="31" t="n">
        <v>885.2722778138215</v>
      </c>
      <c r="J3499" s="31" t="n">
        <v>10520.73059103506</v>
      </c>
      <c r="K3499" s="31" t="n">
        <v>5101.851851851852</v>
      </c>
      <c r="L3499" s="31" t="n">
        <v>150</v>
      </c>
      <c r="M3499" s="31">
        <f>I3499+J3499+K3499+L3499</f>
        <v/>
      </c>
      <c r="N3499" s="31">
        <f>M3499*'Dashboard &amp; Optimisation'!$B$18/('Dashboard &amp; Optimisation'!$B$16/3.6)</f>
        <v/>
      </c>
      <c r="O3499" s="31" t="n">
        <v>1659.671973411941</v>
      </c>
      <c r="P3499" s="32" t="n">
        <v>0.2276454001773911</v>
      </c>
      <c r="Q3499" s="33" t="n">
        <v>15.94396732146484</v>
      </c>
      <c r="R3499" s="31" t="n">
        <v>1690.826508872026</v>
      </c>
      <c r="S3499" s="31">
        <f>R3499*IF(A3499=4, 2.0, 3.0)</f>
        <v/>
      </c>
      <c r="T3499" s="30">
        <f>'Dashboard &amp; Optimisation'!$B$18*U3499</f>
        <v/>
      </c>
      <c r="U3499" s="34">
        <f>MIN(1, S3499/M3499)</f>
        <v/>
      </c>
      <c r="V3499" s="34">
        <f>N3499/(N3499+O3499)</f>
        <v/>
      </c>
      <c r="W3499" s="34">
        <f>U3499*V3499</f>
        <v/>
      </c>
      <c r="X3499" s="32">
        <f>T3499/N3499</f>
        <v/>
      </c>
      <c r="Y3499" s="35">
        <f>IF(W3499=MAXIFS(W$2:W$3601, A$2:A$3601, A3499, B$2:B$3601, B3499), "OPTIMAL", "")</f>
        <v/>
      </c>
    </row>
    <row r="3500" ht="20" customHeight="1">
      <c r="A3500" s="21" t="n">
        <v>-18</v>
      </c>
      <c r="B3500" s="21" t="n">
        <v>45</v>
      </c>
      <c r="C3500" s="22" t="n">
        <v>110</v>
      </c>
      <c r="D3500" s="22" t="n">
        <v>2</v>
      </c>
      <c r="E3500" s="23" t="n">
        <v>8</v>
      </c>
      <c r="F3500" s="22" t="n">
        <v>2</v>
      </c>
      <c r="G3500" s="23" t="inlineStr">
        <is>
          <t>Non</t>
        </is>
      </c>
      <c r="H3500" s="23" t="inlineStr">
        <is>
          <t>ON</t>
        </is>
      </c>
      <c r="I3500" s="24" t="n">
        <v>885.2722778138215</v>
      </c>
      <c r="J3500" s="24" t="n">
        <v>10520.73059103506</v>
      </c>
      <c r="K3500" s="24" t="n">
        <v>5101.851851851852</v>
      </c>
      <c r="L3500" s="24" t="n">
        <v>150</v>
      </c>
      <c r="M3500" s="24">
        <f>I3500+J3500+K3500+L3500</f>
        <v/>
      </c>
      <c r="N3500" s="24">
        <f>M3500*'Dashboard &amp; Optimisation'!$B$18/('Dashboard &amp; Optimisation'!$B$16/3.6)</f>
        <v/>
      </c>
      <c r="O3500" s="24" t="n">
        <v>1659.671973411941</v>
      </c>
      <c r="P3500" s="25" t="n">
        <v>0.0491797965715034</v>
      </c>
      <c r="Q3500" s="26" t="n">
        <v>15.94396732146484</v>
      </c>
      <c r="R3500" s="24" t="n">
        <v>7826.565054678244</v>
      </c>
      <c r="S3500" s="24">
        <f>R3500*IF(A3500=4, 2.0, 3.0)</f>
        <v/>
      </c>
      <c r="T3500" s="22">
        <f>'Dashboard &amp; Optimisation'!$B$18*U3500</f>
        <v/>
      </c>
      <c r="U3500" s="27">
        <f>MIN(1, S3500/M3500)</f>
        <v/>
      </c>
      <c r="V3500" s="27">
        <f>N3500/(N3500+O3500)</f>
        <v/>
      </c>
      <c r="W3500" s="27">
        <f>U3500*V3500</f>
        <v/>
      </c>
      <c r="X3500" s="25">
        <f>T3500/N3500</f>
        <v/>
      </c>
      <c r="Y3500" s="28">
        <f>IF(W3500=MAXIFS(W$2:W$3601, A$2:A$3601, A3500, B$2:B$3601, B3500), "OPTIMAL", "")</f>
        <v/>
      </c>
    </row>
    <row r="3501" ht="20" customHeight="1">
      <c r="A3501" s="29" t="n">
        <v>-18</v>
      </c>
      <c r="B3501" s="29" t="n">
        <v>45</v>
      </c>
      <c r="C3501" s="30" t="n">
        <v>110</v>
      </c>
      <c r="D3501" s="30" t="n">
        <v>2</v>
      </c>
      <c r="E3501" s="6" t="n">
        <v>8</v>
      </c>
      <c r="F3501" s="30" t="n">
        <v>2</v>
      </c>
      <c r="G3501" s="6" t="inlineStr">
        <is>
          <t>Non</t>
        </is>
      </c>
      <c r="H3501" s="6" t="inlineStr">
        <is>
          <t>OFF</t>
        </is>
      </c>
      <c r="I3501" s="31" t="n">
        <v>885.2722778138215</v>
      </c>
      <c r="J3501" s="31" t="n">
        <v>10520.73059103506</v>
      </c>
      <c r="K3501" s="31" t="n">
        <v>5101.851851851852</v>
      </c>
      <c r="L3501" s="31" t="n">
        <v>150</v>
      </c>
      <c r="M3501" s="31">
        <f>I3501+J3501+K3501+L3501</f>
        <v/>
      </c>
      <c r="N3501" s="31">
        <f>M3501*'Dashboard &amp; Optimisation'!$B$18/('Dashboard &amp; Optimisation'!$B$16/3.6)</f>
        <v/>
      </c>
      <c r="O3501" s="31" t="n">
        <v>1659.671973411941</v>
      </c>
      <c r="P3501" s="32" t="n">
        <v>0.2247516739393566</v>
      </c>
      <c r="Q3501" s="33" t="n">
        <v>15.94396732146484</v>
      </c>
      <c r="R3501" s="31" t="n">
        <v>1712.59626456251</v>
      </c>
      <c r="S3501" s="31">
        <f>R3501*IF(A3501=4, 2.0, 3.0)</f>
        <v/>
      </c>
      <c r="T3501" s="30">
        <f>'Dashboard &amp; Optimisation'!$B$18*U3501</f>
        <v/>
      </c>
      <c r="U3501" s="34">
        <f>MIN(1, S3501/M3501)</f>
        <v/>
      </c>
      <c r="V3501" s="34">
        <f>N3501/(N3501+O3501)</f>
        <v/>
      </c>
      <c r="W3501" s="34">
        <f>U3501*V3501</f>
        <v/>
      </c>
      <c r="X3501" s="32">
        <f>T3501/N3501</f>
        <v/>
      </c>
      <c r="Y3501" s="35">
        <f>IF(W3501=MAXIFS(W$2:W$3601, A$2:A$3601, A3501, B$2:B$3601, B3501), "OPTIMAL", "")</f>
        <v/>
      </c>
    </row>
    <row r="3502" ht="20" customHeight="1">
      <c r="A3502" s="21" t="n">
        <v>-18</v>
      </c>
      <c r="B3502" s="21" t="n">
        <v>45</v>
      </c>
      <c r="C3502" s="22" t="n">
        <v>110</v>
      </c>
      <c r="D3502" s="22" t="n">
        <v>3</v>
      </c>
      <c r="E3502" s="23" t="n">
        <v>0</v>
      </c>
      <c r="F3502" s="22" t="n">
        <v>0</v>
      </c>
      <c r="G3502" s="23" t="inlineStr">
        <is>
          <t>Oui</t>
        </is>
      </c>
      <c r="H3502" s="23" t="inlineStr">
        <is>
          <t>ON</t>
        </is>
      </c>
      <c r="I3502" s="24" t="n">
        <v>885.2722778138215</v>
      </c>
      <c r="J3502" s="24" t="n">
        <v>10520.73059103506</v>
      </c>
      <c r="K3502" s="24" t="n">
        <v>5101.851851851852</v>
      </c>
      <c r="L3502" s="24" t="n">
        <v>150</v>
      </c>
      <c r="M3502" s="24">
        <f>I3502+J3502+K3502+L3502</f>
        <v/>
      </c>
      <c r="N3502" s="24">
        <f>M3502*'Dashboard &amp; Optimisation'!$B$18/('Dashboard &amp; Optimisation'!$B$16/3.6)</f>
        <v/>
      </c>
      <c r="O3502" s="24" t="n">
        <v>1005.037430311962</v>
      </c>
      <c r="P3502" s="25" t="n">
        <v>0.4731677858497217</v>
      </c>
      <c r="Q3502" s="26" t="n">
        <v>0.2</v>
      </c>
      <c r="R3502" s="24" t="n">
        <v>780.0966227400609</v>
      </c>
      <c r="S3502" s="24">
        <f>R3502*IF(A3502=4, 2.0, 3.0)</f>
        <v/>
      </c>
      <c r="T3502" s="22">
        <f>'Dashboard &amp; Optimisation'!$B$18*U3502</f>
        <v/>
      </c>
      <c r="U3502" s="27">
        <f>MIN(1, S3502/M3502)</f>
        <v/>
      </c>
      <c r="V3502" s="27">
        <f>N3502/(N3502+O3502)</f>
        <v/>
      </c>
      <c r="W3502" s="27">
        <f>U3502*V3502</f>
        <v/>
      </c>
      <c r="X3502" s="25">
        <f>T3502/N3502</f>
        <v/>
      </c>
      <c r="Y3502" s="28">
        <f>IF(W3502=MAXIFS(W$2:W$3601, A$2:A$3601, A3502, B$2:B$3601, B3502), "OPTIMAL", "")</f>
        <v/>
      </c>
    </row>
    <row r="3503" ht="20" customHeight="1">
      <c r="A3503" s="29" t="n">
        <v>-18</v>
      </c>
      <c r="B3503" s="29" t="n">
        <v>45</v>
      </c>
      <c r="C3503" s="30" t="n">
        <v>110</v>
      </c>
      <c r="D3503" s="30" t="n">
        <v>3</v>
      </c>
      <c r="E3503" s="6" t="n">
        <v>0</v>
      </c>
      <c r="F3503" s="30" t="n">
        <v>0</v>
      </c>
      <c r="G3503" s="6" t="inlineStr">
        <is>
          <t>Oui</t>
        </is>
      </c>
      <c r="H3503" s="6" t="inlineStr">
        <is>
          <t>OFF</t>
        </is>
      </c>
      <c r="I3503" s="31" t="n">
        <v>885.2722778138215</v>
      </c>
      <c r="J3503" s="31" t="n">
        <v>10520.73059103506</v>
      </c>
      <c r="K3503" s="31" t="n">
        <v>5101.851851851852</v>
      </c>
      <c r="L3503" s="31" t="n">
        <v>150</v>
      </c>
      <c r="M3503" s="31">
        <f>I3503+J3503+K3503+L3503</f>
        <v/>
      </c>
      <c r="N3503" s="31">
        <f>M3503*'Dashboard &amp; Optimisation'!$B$18/('Dashboard &amp; Optimisation'!$B$16/3.6)</f>
        <v/>
      </c>
      <c r="O3503" s="31" t="n">
        <v>1005.037430311962</v>
      </c>
      <c r="P3503" s="32" t="n">
        <v>0.7625404096531678</v>
      </c>
      <c r="Q3503" s="33" t="n">
        <v>0.2</v>
      </c>
      <c r="R3503" s="31" t="n">
        <v>484.0616799556215</v>
      </c>
      <c r="S3503" s="31">
        <f>R3503*IF(A3503=4, 2.0, 3.0)</f>
        <v/>
      </c>
      <c r="T3503" s="30">
        <f>'Dashboard &amp; Optimisation'!$B$18*U3503</f>
        <v/>
      </c>
      <c r="U3503" s="34">
        <f>MIN(1, S3503/M3503)</f>
        <v/>
      </c>
      <c r="V3503" s="34">
        <f>N3503/(N3503+O3503)</f>
        <v/>
      </c>
      <c r="W3503" s="34">
        <f>U3503*V3503</f>
        <v/>
      </c>
      <c r="X3503" s="32">
        <f>T3503/N3503</f>
        <v/>
      </c>
      <c r="Y3503" s="35">
        <f>IF(W3503=MAXIFS(W$2:W$3601, A$2:A$3601, A3503, B$2:B$3601, B3503), "OPTIMAL", "")</f>
        <v/>
      </c>
    </row>
    <row r="3504" ht="20" customHeight="1">
      <c r="A3504" s="21" t="n">
        <v>-18</v>
      </c>
      <c r="B3504" s="21" t="n">
        <v>45</v>
      </c>
      <c r="C3504" s="22" t="n">
        <v>110</v>
      </c>
      <c r="D3504" s="22" t="n">
        <v>3</v>
      </c>
      <c r="E3504" s="23" t="n">
        <v>0</v>
      </c>
      <c r="F3504" s="22" t="n">
        <v>0</v>
      </c>
      <c r="G3504" s="23" t="inlineStr">
        <is>
          <t>Non</t>
        </is>
      </c>
      <c r="H3504" s="23" t="inlineStr">
        <is>
          <t>ON</t>
        </is>
      </c>
      <c r="I3504" s="24" t="n">
        <v>885.2722778138215</v>
      </c>
      <c r="J3504" s="24" t="n">
        <v>10520.73059103506</v>
      </c>
      <c r="K3504" s="24" t="n">
        <v>5101.851851851852</v>
      </c>
      <c r="L3504" s="24" t="n">
        <v>150</v>
      </c>
      <c r="M3504" s="24">
        <f>I3504+J3504+K3504+L3504</f>
        <v/>
      </c>
      <c r="N3504" s="24">
        <f>M3504*'Dashboard &amp; Optimisation'!$B$18/('Dashboard &amp; Optimisation'!$B$16/3.6)</f>
        <v/>
      </c>
      <c r="O3504" s="24" t="n">
        <v>1005.037430311962</v>
      </c>
      <c r="P3504" s="25" t="n">
        <v>0.4702740596116872</v>
      </c>
      <c r="Q3504" s="26" t="n">
        <v>0.2</v>
      </c>
      <c r="R3504" s="24" t="n">
        <v>784.8967728212475</v>
      </c>
      <c r="S3504" s="24">
        <f>R3504*IF(A3504=4, 2.0, 3.0)</f>
        <v/>
      </c>
      <c r="T3504" s="22">
        <f>'Dashboard &amp; Optimisation'!$B$18*U3504</f>
        <v/>
      </c>
      <c r="U3504" s="27">
        <f>MIN(1, S3504/M3504)</f>
        <v/>
      </c>
      <c r="V3504" s="27">
        <f>N3504/(N3504+O3504)</f>
        <v/>
      </c>
      <c r="W3504" s="27">
        <f>U3504*V3504</f>
        <v/>
      </c>
      <c r="X3504" s="25">
        <f>T3504/N3504</f>
        <v/>
      </c>
      <c r="Y3504" s="28">
        <f>IF(W3504=MAXIFS(W$2:W$3601, A$2:A$3601, A3504, B$2:B$3601, B3504), "OPTIMAL", "")</f>
        <v/>
      </c>
    </row>
    <row r="3505" ht="20" customHeight="1">
      <c r="A3505" s="29" t="n">
        <v>-18</v>
      </c>
      <c r="B3505" s="29" t="n">
        <v>45</v>
      </c>
      <c r="C3505" s="30" t="n">
        <v>110</v>
      </c>
      <c r="D3505" s="30" t="n">
        <v>3</v>
      </c>
      <c r="E3505" s="6" t="n">
        <v>0</v>
      </c>
      <c r="F3505" s="30" t="n">
        <v>0</v>
      </c>
      <c r="G3505" s="6" t="inlineStr">
        <is>
          <t>Non</t>
        </is>
      </c>
      <c r="H3505" s="6" t="inlineStr">
        <is>
          <t>OFF</t>
        </is>
      </c>
      <c r="I3505" s="31" t="n">
        <v>885.2722778138215</v>
      </c>
      <c r="J3505" s="31" t="n">
        <v>10520.73059103506</v>
      </c>
      <c r="K3505" s="31" t="n">
        <v>5101.851851851852</v>
      </c>
      <c r="L3505" s="31" t="n">
        <v>150</v>
      </c>
      <c r="M3505" s="31">
        <f>I3505+J3505+K3505+L3505</f>
        <v/>
      </c>
      <c r="N3505" s="31">
        <f>M3505*'Dashboard &amp; Optimisation'!$B$18/('Dashboard &amp; Optimisation'!$B$16/3.6)</f>
        <v/>
      </c>
      <c r="O3505" s="31" t="n">
        <v>1005.037430311962</v>
      </c>
      <c r="P3505" s="32" t="n">
        <v>0.7596466834151334</v>
      </c>
      <c r="Q3505" s="33" t="n">
        <v>0.2</v>
      </c>
      <c r="R3505" s="31" t="n">
        <v>485.9056187428184</v>
      </c>
      <c r="S3505" s="31">
        <f>R3505*IF(A3505=4, 2.0, 3.0)</f>
        <v/>
      </c>
      <c r="T3505" s="30">
        <f>'Dashboard &amp; Optimisation'!$B$18*U3505</f>
        <v/>
      </c>
      <c r="U3505" s="34">
        <f>MIN(1, S3505/M3505)</f>
        <v/>
      </c>
      <c r="V3505" s="34">
        <f>N3505/(N3505+O3505)</f>
        <v/>
      </c>
      <c r="W3505" s="34">
        <f>U3505*V3505</f>
        <v/>
      </c>
      <c r="X3505" s="32">
        <f>T3505/N3505</f>
        <v/>
      </c>
      <c r="Y3505" s="35">
        <f>IF(W3505=MAXIFS(W$2:W$3601, A$2:A$3601, A3505, B$2:B$3601, B3505), "OPTIMAL", "")</f>
        <v/>
      </c>
    </row>
    <row r="3506" ht="20" customHeight="1">
      <c r="A3506" s="21" t="n">
        <v>-18</v>
      </c>
      <c r="B3506" s="21" t="n">
        <v>45</v>
      </c>
      <c r="C3506" s="22" t="n">
        <v>110</v>
      </c>
      <c r="D3506" s="22" t="n">
        <v>3</v>
      </c>
      <c r="E3506" s="23" t="n">
        <v>4</v>
      </c>
      <c r="F3506" s="22" t="n">
        <v>1.5</v>
      </c>
      <c r="G3506" s="23" t="inlineStr">
        <is>
          <t>Oui</t>
        </is>
      </c>
      <c r="H3506" s="23" t="inlineStr">
        <is>
          <t>ON</t>
        </is>
      </c>
      <c r="I3506" s="24" t="n">
        <v>885.2722778138215</v>
      </c>
      <c r="J3506" s="24" t="n">
        <v>10520.73059103506</v>
      </c>
      <c r="K3506" s="24" t="n">
        <v>5101.851851851852</v>
      </c>
      <c r="L3506" s="24" t="n">
        <v>150</v>
      </c>
      <c r="M3506" s="24">
        <f>I3506+J3506+K3506+L3506</f>
        <v/>
      </c>
      <c r="N3506" s="24">
        <f>M3506*'Dashboard &amp; Optimisation'!$B$18/('Dashboard &amp; Optimisation'!$B$16/3.6)</f>
        <v/>
      </c>
      <c r="O3506" s="24" t="n">
        <v>1384.157763303029</v>
      </c>
      <c r="P3506" s="25" t="n">
        <v>0.07040639651024357</v>
      </c>
      <c r="Q3506" s="26" t="n">
        <v>6.217525971425261</v>
      </c>
      <c r="R3506" s="24" t="n">
        <v>5401.362323951319</v>
      </c>
      <c r="S3506" s="24">
        <f>R3506*IF(A3506=4, 2.0, 3.0)</f>
        <v/>
      </c>
      <c r="T3506" s="22">
        <f>'Dashboard &amp; Optimisation'!$B$18*U3506</f>
        <v/>
      </c>
      <c r="U3506" s="27">
        <f>MIN(1, S3506/M3506)</f>
        <v/>
      </c>
      <c r="V3506" s="27">
        <f>N3506/(N3506+O3506)</f>
        <v/>
      </c>
      <c r="W3506" s="27">
        <f>U3506*V3506</f>
        <v/>
      </c>
      <c r="X3506" s="25">
        <f>T3506/N3506</f>
        <v/>
      </c>
      <c r="Y3506" s="28">
        <f>IF(W3506=MAXIFS(W$2:W$3601, A$2:A$3601, A3506, B$2:B$3601, B3506), "OPTIMAL", "")</f>
        <v/>
      </c>
    </row>
    <row r="3507" ht="20" customHeight="1">
      <c r="A3507" s="29" t="n">
        <v>-18</v>
      </c>
      <c r="B3507" s="29" t="n">
        <v>45</v>
      </c>
      <c r="C3507" s="30" t="n">
        <v>110</v>
      </c>
      <c r="D3507" s="30" t="n">
        <v>3</v>
      </c>
      <c r="E3507" s="6" t="n">
        <v>4</v>
      </c>
      <c r="F3507" s="30" t="n">
        <v>1.5</v>
      </c>
      <c r="G3507" s="6" t="inlineStr">
        <is>
          <t>Oui</t>
        </is>
      </c>
      <c r="H3507" s="6" t="inlineStr">
        <is>
          <t>OFF</t>
        </is>
      </c>
      <c r="I3507" s="31" t="n">
        <v>885.2722778138215</v>
      </c>
      <c r="J3507" s="31" t="n">
        <v>10520.73059103506</v>
      </c>
      <c r="K3507" s="31" t="n">
        <v>5101.851851851852</v>
      </c>
      <c r="L3507" s="31" t="n">
        <v>150</v>
      </c>
      <c r="M3507" s="31">
        <f>I3507+J3507+K3507+L3507</f>
        <v/>
      </c>
      <c r="N3507" s="31">
        <f>M3507*'Dashboard &amp; Optimisation'!$B$18/('Dashboard &amp; Optimisation'!$B$16/3.6)</f>
        <v/>
      </c>
      <c r="O3507" s="31" t="n">
        <v>1384.157763303029</v>
      </c>
      <c r="P3507" s="32" t="n">
        <v>0.2880026189593694</v>
      </c>
      <c r="Q3507" s="33" t="n">
        <v>6.217525971425261</v>
      </c>
      <c r="R3507" s="31" t="n">
        <v>1320.440969772075</v>
      </c>
      <c r="S3507" s="31">
        <f>R3507*IF(A3507=4, 2.0, 3.0)</f>
        <v/>
      </c>
      <c r="T3507" s="30">
        <f>'Dashboard &amp; Optimisation'!$B$18*U3507</f>
        <v/>
      </c>
      <c r="U3507" s="34">
        <f>MIN(1, S3507/M3507)</f>
        <v/>
      </c>
      <c r="V3507" s="34">
        <f>N3507/(N3507+O3507)</f>
        <v/>
      </c>
      <c r="W3507" s="34">
        <f>U3507*V3507</f>
        <v/>
      </c>
      <c r="X3507" s="32">
        <f>T3507/N3507</f>
        <v/>
      </c>
      <c r="Y3507" s="35">
        <f>IF(W3507=MAXIFS(W$2:W$3601, A$2:A$3601, A3507, B$2:B$3601, B3507), "OPTIMAL", "")</f>
        <v/>
      </c>
    </row>
    <row r="3508" ht="20" customHeight="1">
      <c r="A3508" s="21" t="n">
        <v>-18</v>
      </c>
      <c r="B3508" s="21" t="n">
        <v>45</v>
      </c>
      <c r="C3508" s="22" t="n">
        <v>110</v>
      </c>
      <c r="D3508" s="22" t="n">
        <v>3</v>
      </c>
      <c r="E3508" s="23" t="n">
        <v>4</v>
      </c>
      <c r="F3508" s="22" t="n">
        <v>1.5</v>
      </c>
      <c r="G3508" s="23" t="inlineStr">
        <is>
          <t>Non</t>
        </is>
      </c>
      <c r="H3508" s="23" t="inlineStr">
        <is>
          <t>ON</t>
        </is>
      </c>
      <c r="I3508" s="24" t="n">
        <v>885.2722778138215</v>
      </c>
      <c r="J3508" s="24" t="n">
        <v>10520.73059103506</v>
      </c>
      <c r="K3508" s="24" t="n">
        <v>5101.851851851852</v>
      </c>
      <c r="L3508" s="24" t="n">
        <v>150</v>
      </c>
      <c r="M3508" s="24">
        <f>I3508+J3508+K3508+L3508</f>
        <v/>
      </c>
      <c r="N3508" s="24">
        <f>M3508*'Dashboard &amp; Optimisation'!$B$18/('Dashboard &amp; Optimisation'!$B$16/3.6)</f>
        <v/>
      </c>
      <c r="O3508" s="24" t="n">
        <v>1384.157763303029</v>
      </c>
      <c r="P3508" s="25" t="n">
        <v>0.06751267027220911</v>
      </c>
      <c r="Q3508" s="26" t="n">
        <v>6.217525971425261</v>
      </c>
      <c r="R3508" s="24" t="n">
        <v>5632.875369057204</v>
      </c>
      <c r="S3508" s="24">
        <f>R3508*IF(A3508=4, 2.0, 3.0)</f>
        <v/>
      </c>
      <c r="T3508" s="22">
        <f>'Dashboard &amp; Optimisation'!$B$18*U3508</f>
        <v/>
      </c>
      <c r="U3508" s="27">
        <f>MIN(1, S3508/M3508)</f>
        <v/>
      </c>
      <c r="V3508" s="27">
        <f>N3508/(N3508+O3508)</f>
        <v/>
      </c>
      <c r="W3508" s="27">
        <f>U3508*V3508</f>
        <v/>
      </c>
      <c r="X3508" s="25">
        <f>T3508/N3508</f>
        <v/>
      </c>
      <c r="Y3508" s="28">
        <f>IF(W3508=MAXIFS(W$2:W$3601, A$2:A$3601, A3508, B$2:B$3601, B3508), "OPTIMAL", "")</f>
        <v/>
      </c>
    </row>
    <row r="3509" ht="20" customHeight="1">
      <c r="A3509" s="29" t="n">
        <v>-18</v>
      </c>
      <c r="B3509" s="29" t="n">
        <v>45</v>
      </c>
      <c r="C3509" s="30" t="n">
        <v>110</v>
      </c>
      <c r="D3509" s="30" t="n">
        <v>3</v>
      </c>
      <c r="E3509" s="6" t="n">
        <v>4</v>
      </c>
      <c r="F3509" s="30" t="n">
        <v>1.5</v>
      </c>
      <c r="G3509" s="6" t="inlineStr">
        <is>
          <t>Non</t>
        </is>
      </c>
      <c r="H3509" s="6" t="inlineStr">
        <is>
          <t>OFF</t>
        </is>
      </c>
      <c r="I3509" s="31" t="n">
        <v>885.2722778138215</v>
      </c>
      <c r="J3509" s="31" t="n">
        <v>10520.73059103506</v>
      </c>
      <c r="K3509" s="31" t="n">
        <v>5101.851851851852</v>
      </c>
      <c r="L3509" s="31" t="n">
        <v>150</v>
      </c>
      <c r="M3509" s="31">
        <f>I3509+J3509+K3509+L3509</f>
        <v/>
      </c>
      <c r="N3509" s="31">
        <f>M3509*'Dashboard &amp; Optimisation'!$B$18/('Dashboard &amp; Optimisation'!$B$16/3.6)</f>
        <v/>
      </c>
      <c r="O3509" s="31" t="n">
        <v>1384.157763303029</v>
      </c>
      <c r="P3509" s="32" t="n">
        <v>0.2851088927213349</v>
      </c>
      <c r="Q3509" s="33" t="n">
        <v>6.217525971425261</v>
      </c>
      <c r="R3509" s="31" t="n">
        <v>1333.842848063328</v>
      </c>
      <c r="S3509" s="31">
        <f>R3509*IF(A3509=4, 2.0, 3.0)</f>
        <v/>
      </c>
      <c r="T3509" s="30">
        <f>'Dashboard &amp; Optimisation'!$B$18*U3509</f>
        <v/>
      </c>
      <c r="U3509" s="34">
        <f>MIN(1, S3509/M3509)</f>
        <v/>
      </c>
      <c r="V3509" s="34">
        <f>N3509/(N3509+O3509)</f>
        <v/>
      </c>
      <c r="W3509" s="34">
        <f>U3509*V3509</f>
        <v/>
      </c>
      <c r="X3509" s="32">
        <f>T3509/N3509</f>
        <v/>
      </c>
      <c r="Y3509" s="35">
        <f>IF(W3509=MAXIFS(W$2:W$3601, A$2:A$3601, A3509, B$2:B$3601, B3509), "OPTIMAL", "")</f>
        <v/>
      </c>
    </row>
    <row r="3510" ht="20" customHeight="1">
      <c r="A3510" s="21" t="n">
        <v>-18</v>
      </c>
      <c r="B3510" s="21" t="n">
        <v>45</v>
      </c>
      <c r="C3510" s="22" t="n">
        <v>110</v>
      </c>
      <c r="D3510" s="22" t="n">
        <v>3</v>
      </c>
      <c r="E3510" s="23" t="n">
        <v>4</v>
      </c>
      <c r="F3510" s="22" t="n">
        <v>2</v>
      </c>
      <c r="G3510" s="23" t="inlineStr">
        <is>
          <t>Oui</t>
        </is>
      </c>
      <c r="H3510" s="23" t="inlineStr">
        <is>
          <t>ON</t>
        </is>
      </c>
      <c r="I3510" s="24" t="n">
        <v>885.2722778138215</v>
      </c>
      <c r="J3510" s="24" t="n">
        <v>10520.73059103506</v>
      </c>
      <c r="K3510" s="24" t="n">
        <v>5101.851851851852</v>
      </c>
      <c r="L3510" s="24" t="n">
        <v>150</v>
      </c>
      <c r="M3510" s="24">
        <f>I3510+J3510+K3510+L3510</f>
        <v/>
      </c>
      <c r="N3510" s="24">
        <f>M3510*'Dashboard &amp; Optimisation'!$B$18/('Dashboard &amp; Optimisation'!$B$16/3.6)</f>
        <v/>
      </c>
      <c r="O3510" s="24" t="n">
        <v>1515.683956890109</v>
      </c>
      <c r="P3510" s="25" t="n">
        <v>0.06745693940259542</v>
      </c>
      <c r="Q3510" s="26" t="n">
        <v>8.223367961900347</v>
      </c>
      <c r="R3510" s="24" t="n">
        <v>5694.995214438776</v>
      </c>
      <c r="S3510" s="24">
        <f>R3510*IF(A3510=4, 2.0, 3.0)</f>
        <v/>
      </c>
      <c r="T3510" s="22">
        <f>'Dashboard &amp; Optimisation'!$B$18*U3510</f>
        <v/>
      </c>
      <c r="U3510" s="27">
        <f>MIN(1, S3510/M3510)</f>
        <v/>
      </c>
      <c r="V3510" s="27">
        <f>N3510/(N3510+O3510)</f>
        <v/>
      </c>
      <c r="W3510" s="27">
        <f>U3510*V3510</f>
        <v/>
      </c>
      <c r="X3510" s="25">
        <f>T3510/N3510</f>
        <v/>
      </c>
      <c r="Y3510" s="28">
        <f>IF(W3510=MAXIFS(W$2:W$3601, A$2:A$3601, A3510, B$2:B$3601, B3510), "OPTIMAL", "")</f>
        <v/>
      </c>
    </row>
    <row r="3511" ht="20" customHeight="1">
      <c r="A3511" s="29" t="n">
        <v>-18</v>
      </c>
      <c r="B3511" s="29" t="n">
        <v>45</v>
      </c>
      <c r="C3511" s="30" t="n">
        <v>110</v>
      </c>
      <c r="D3511" s="30" t="n">
        <v>3</v>
      </c>
      <c r="E3511" s="6" t="n">
        <v>4</v>
      </c>
      <c r="F3511" s="30" t="n">
        <v>2</v>
      </c>
      <c r="G3511" s="6" t="inlineStr">
        <is>
          <t>Oui</t>
        </is>
      </c>
      <c r="H3511" s="6" t="inlineStr">
        <is>
          <t>OFF</t>
        </is>
      </c>
      <c r="I3511" s="31" t="n">
        <v>885.2722778138215</v>
      </c>
      <c r="J3511" s="31" t="n">
        <v>10520.73059103506</v>
      </c>
      <c r="K3511" s="31" t="n">
        <v>5101.851851851852</v>
      </c>
      <c r="L3511" s="31" t="n">
        <v>150</v>
      </c>
      <c r="M3511" s="31">
        <f>I3511+J3511+K3511+L3511</f>
        <v/>
      </c>
      <c r="N3511" s="31">
        <f>M3511*'Dashboard &amp; Optimisation'!$B$18/('Dashboard &amp; Optimisation'!$B$16/3.6)</f>
        <v/>
      </c>
      <c r="O3511" s="31" t="n">
        <v>1515.683956890109</v>
      </c>
      <c r="P3511" s="32" t="n">
        <v>0.286002519850184</v>
      </c>
      <c r="Q3511" s="33" t="n">
        <v>8.223367961900347</v>
      </c>
      <c r="R3511" s="31" t="n">
        <v>1343.229238958121</v>
      </c>
      <c r="S3511" s="31">
        <f>R3511*IF(A3511=4, 2.0, 3.0)</f>
        <v/>
      </c>
      <c r="T3511" s="30">
        <f>'Dashboard &amp; Optimisation'!$B$18*U3511</f>
        <v/>
      </c>
      <c r="U3511" s="34">
        <f>MIN(1, S3511/M3511)</f>
        <v/>
      </c>
      <c r="V3511" s="34">
        <f>N3511/(N3511+O3511)</f>
        <v/>
      </c>
      <c r="W3511" s="34">
        <f>U3511*V3511</f>
        <v/>
      </c>
      <c r="X3511" s="32">
        <f>T3511/N3511</f>
        <v/>
      </c>
      <c r="Y3511" s="35">
        <f>IF(W3511=MAXIFS(W$2:W$3601, A$2:A$3601, A3511, B$2:B$3601, B3511), "OPTIMAL", "")</f>
        <v/>
      </c>
    </row>
    <row r="3512" ht="20" customHeight="1">
      <c r="A3512" s="21" t="n">
        <v>-18</v>
      </c>
      <c r="B3512" s="21" t="n">
        <v>45</v>
      </c>
      <c r="C3512" s="22" t="n">
        <v>110</v>
      </c>
      <c r="D3512" s="22" t="n">
        <v>3</v>
      </c>
      <c r="E3512" s="23" t="n">
        <v>4</v>
      </c>
      <c r="F3512" s="22" t="n">
        <v>2</v>
      </c>
      <c r="G3512" s="23" t="inlineStr">
        <is>
          <t>Non</t>
        </is>
      </c>
      <c r="H3512" s="23" t="inlineStr">
        <is>
          <t>ON</t>
        </is>
      </c>
      <c r="I3512" s="24" t="n">
        <v>885.2722778138215</v>
      </c>
      <c r="J3512" s="24" t="n">
        <v>10520.73059103506</v>
      </c>
      <c r="K3512" s="24" t="n">
        <v>5101.851851851852</v>
      </c>
      <c r="L3512" s="24" t="n">
        <v>150</v>
      </c>
      <c r="M3512" s="24">
        <f>I3512+J3512+K3512+L3512</f>
        <v/>
      </c>
      <c r="N3512" s="24">
        <f>M3512*'Dashboard &amp; Optimisation'!$B$18/('Dashboard &amp; Optimisation'!$B$16/3.6)</f>
        <v/>
      </c>
      <c r="O3512" s="24" t="n">
        <v>1515.683956890109</v>
      </c>
      <c r="P3512" s="25" t="n">
        <v>0.06456321316456097</v>
      </c>
      <c r="Q3512" s="26" t="n">
        <v>8.223367961900347</v>
      </c>
      <c r="R3512" s="24" t="n">
        <v>5950.245166690966</v>
      </c>
      <c r="S3512" s="24">
        <f>R3512*IF(A3512=4, 2.0, 3.0)</f>
        <v/>
      </c>
      <c r="T3512" s="22">
        <f>'Dashboard &amp; Optimisation'!$B$18*U3512</f>
        <v/>
      </c>
      <c r="U3512" s="27">
        <f>MIN(1, S3512/M3512)</f>
        <v/>
      </c>
      <c r="V3512" s="27">
        <f>N3512/(N3512+O3512)</f>
        <v/>
      </c>
      <c r="W3512" s="27">
        <f>U3512*V3512</f>
        <v/>
      </c>
      <c r="X3512" s="25">
        <f>T3512/N3512</f>
        <v/>
      </c>
      <c r="Y3512" s="28">
        <f>IF(W3512=MAXIFS(W$2:W$3601, A$2:A$3601, A3512, B$2:B$3601, B3512), "OPTIMAL", "")</f>
        <v/>
      </c>
    </row>
    <row r="3513" ht="20" customHeight="1">
      <c r="A3513" s="29" t="n">
        <v>-18</v>
      </c>
      <c r="B3513" s="29" t="n">
        <v>45</v>
      </c>
      <c r="C3513" s="30" t="n">
        <v>110</v>
      </c>
      <c r="D3513" s="30" t="n">
        <v>3</v>
      </c>
      <c r="E3513" s="6" t="n">
        <v>4</v>
      </c>
      <c r="F3513" s="30" t="n">
        <v>2</v>
      </c>
      <c r="G3513" s="6" t="inlineStr">
        <is>
          <t>Non</t>
        </is>
      </c>
      <c r="H3513" s="6" t="inlineStr">
        <is>
          <t>OFF</t>
        </is>
      </c>
      <c r="I3513" s="31" t="n">
        <v>885.2722778138215</v>
      </c>
      <c r="J3513" s="31" t="n">
        <v>10520.73059103506</v>
      </c>
      <c r="K3513" s="31" t="n">
        <v>5101.851851851852</v>
      </c>
      <c r="L3513" s="31" t="n">
        <v>150</v>
      </c>
      <c r="M3513" s="31">
        <f>I3513+J3513+K3513+L3513</f>
        <v/>
      </c>
      <c r="N3513" s="31">
        <f>M3513*'Dashboard &amp; Optimisation'!$B$18/('Dashboard &amp; Optimisation'!$B$16/3.6)</f>
        <v/>
      </c>
      <c r="O3513" s="31" t="n">
        <v>1515.683956890109</v>
      </c>
      <c r="P3513" s="32" t="n">
        <v>0.2831087936121495</v>
      </c>
      <c r="Q3513" s="33" t="n">
        <v>8.223367961900347</v>
      </c>
      <c r="R3513" s="31" t="n">
        <v>1356.958723100507</v>
      </c>
      <c r="S3513" s="31">
        <f>R3513*IF(A3513=4, 2.0, 3.0)</f>
        <v/>
      </c>
      <c r="T3513" s="30">
        <f>'Dashboard &amp; Optimisation'!$B$18*U3513</f>
        <v/>
      </c>
      <c r="U3513" s="34">
        <f>MIN(1, S3513/M3513)</f>
        <v/>
      </c>
      <c r="V3513" s="34">
        <f>N3513/(N3513+O3513)</f>
        <v/>
      </c>
      <c r="W3513" s="34">
        <f>U3513*V3513</f>
        <v/>
      </c>
      <c r="X3513" s="32">
        <f>T3513/N3513</f>
        <v/>
      </c>
      <c r="Y3513" s="35">
        <f>IF(W3513=MAXIFS(W$2:W$3601, A$2:A$3601, A3513, B$2:B$3601, B3513), "OPTIMAL", "")</f>
        <v/>
      </c>
    </row>
    <row r="3514" ht="20" customHeight="1">
      <c r="A3514" s="21" t="n">
        <v>-18</v>
      </c>
      <c r="B3514" s="21" t="n">
        <v>45</v>
      </c>
      <c r="C3514" s="22" t="n">
        <v>110</v>
      </c>
      <c r="D3514" s="22" t="n">
        <v>3</v>
      </c>
      <c r="E3514" s="23" t="n">
        <v>8</v>
      </c>
      <c r="F3514" s="22" t="n">
        <v>1.5</v>
      </c>
      <c r="G3514" s="23" t="inlineStr">
        <is>
          <t>Oui</t>
        </is>
      </c>
      <c r="H3514" s="23" t="inlineStr">
        <is>
          <t>ON</t>
        </is>
      </c>
      <c r="I3514" s="24" t="n">
        <v>885.2722778138215</v>
      </c>
      <c r="J3514" s="24" t="n">
        <v>10520.73059103506</v>
      </c>
      <c r="K3514" s="24" t="n">
        <v>5101.851851851852</v>
      </c>
      <c r="L3514" s="24" t="n">
        <v>150</v>
      </c>
      <c r="M3514" s="24">
        <f>I3514+J3514+K3514+L3514</f>
        <v/>
      </c>
      <c r="N3514" s="24">
        <f>M3514*'Dashboard &amp; Optimisation'!$B$18/('Dashboard &amp; Optimisation'!$B$16/3.6)</f>
        <v/>
      </c>
      <c r="O3514" s="24" t="n">
        <v>1786.948026673687</v>
      </c>
      <c r="P3514" s="25" t="n">
        <v>0.05337810813348487</v>
      </c>
      <c r="Q3514" s="26" t="n">
        <v>12.23505194285052</v>
      </c>
      <c r="R3514" s="24" t="n">
        <v>7346.868670486523</v>
      </c>
      <c r="S3514" s="24">
        <f>R3514*IF(A3514=4, 2.0, 3.0)</f>
        <v/>
      </c>
      <c r="T3514" s="22">
        <f>'Dashboard &amp; Optimisation'!$B$18*U3514</f>
        <v/>
      </c>
      <c r="U3514" s="27">
        <f>MIN(1, S3514/M3514)</f>
        <v/>
      </c>
      <c r="V3514" s="27">
        <f>N3514/(N3514+O3514)</f>
        <v/>
      </c>
      <c r="W3514" s="27">
        <f>U3514*V3514</f>
        <v/>
      </c>
      <c r="X3514" s="25">
        <f>T3514/N3514</f>
        <v/>
      </c>
      <c r="Y3514" s="28">
        <f>IF(W3514=MAXIFS(W$2:W$3601, A$2:A$3601, A3514, B$2:B$3601, B3514), "OPTIMAL", "")</f>
        <v/>
      </c>
    </row>
    <row r="3515" ht="20" customHeight="1">
      <c r="A3515" s="29" t="n">
        <v>-18</v>
      </c>
      <c r="B3515" s="29" t="n">
        <v>45</v>
      </c>
      <c r="C3515" s="30" t="n">
        <v>110</v>
      </c>
      <c r="D3515" s="30" t="n">
        <v>3</v>
      </c>
      <c r="E3515" s="6" t="n">
        <v>8</v>
      </c>
      <c r="F3515" s="30" t="n">
        <v>1.5</v>
      </c>
      <c r="G3515" s="6" t="inlineStr">
        <is>
          <t>Oui</t>
        </is>
      </c>
      <c r="H3515" s="6" t="inlineStr">
        <is>
          <t>OFF</t>
        </is>
      </c>
      <c r="I3515" s="31" t="n">
        <v>885.2722778138215</v>
      </c>
      <c r="J3515" s="31" t="n">
        <v>10520.73059103506</v>
      </c>
      <c r="K3515" s="31" t="n">
        <v>5101.851851851852</v>
      </c>
      <c r="L3515" s="31" t="n">
        <v>150</v>
      </c>
      <c r="M3515" s="31">
        <f>I3515+J3515+K3515+L3515</f>
        <v/>
      </c>
      <c r="N3515" s="31">
        <f>M3515*'Dashboard &amp; Optimisation'!$B$18/('Dashboard &amp; Optimisation'!$B$16/3.6)</f>
        <v/>
      </c>
      <c r="O3515" s="31" t="n">
        <v>1786.948026673687</v>
      </c>
      <c r="P3515" s="32" t="n">
        <v>0.2277274271081772</v>
      </c>
      <c r="Q3515" s="33" t="n">
        <v>12.23505194285052</v>
      </c>
      <c r="R3515" s="31" t="n">
        <v>1722.067277163999</v>
      </c>
      <c r="S3515" s="31">
        <f>R3515*IF(A3515=4, 2.0, 3.0)</f>
        <v/>
      </c>
      <c r="T3515" s="30">
        <f>'Dashboard &amp; Optimisation'!$B$18*U3515</f>
        <v/>
      </c>
      <c r="U3515" s="34">
        <f>MIN(1, S3515/M3515)</f>
        <v/>
      </c>
      <c r="V3515" s="34">
        <f>N3515/(N3515+O3515)</f>
        <v/>
      </c>
      <c r="W3515" s="34">
        <f>U3515*V3515</f>
        <v/>
      </c>
      <c r="X3515" s="32">
        <f>T3515/N3515</f>
        <v/>
      </c>
      <c r="Y3515" s="35">
        <f>IF(W3515=MAXIFS(W$2:W$3601, A$2:A$3601, A3515, B$2:B$3601, B3515), "OPTIMAL", "")</f>
        <v/>
      </c>
    </row>
    <row r="3516" ht="20" customHeight="1">
      <c r="A3516" s="21" t="n">
        <v>-18</v>
      </c>
      <c r="B3516" s="21" t="n">
        <v>45</v>
      </c>
      <c r="C3516" s="22" t="n">
        <v>110</v>
      </c>
      <c r="D3516" s="22" t="n">
        <v>3</v>
      </c>
      <c r="E3516" s="23" t="n">
        <v>8</v>
      </c>
      <c r="F3516" s="22" t="n">
        <v>1.5</v>
      </c>
      <c r="G3516" s="23" t="inlineStr">
        <is>
          <t>Non</t>
        </is>
      </c>
      <c r="H3516" s="23" t="inlineStr">
        <is>
          <t>ON</t>
        </is>
      </c>
      <c r="I3516" s="24" t="n">
        <v>885.2722778138215</v>
      </c>
      <c r="J3516" s="24" t="n">
        <v>10520.73059103506</v>
      </c>
      <c r="K3516" s="24" t="n">
        <v>5101.851851851852</v>
      </c>
      <c r="L3516" s="24" t="n">
        <v>150</v>
      </c>
      <c r="M3516" s="24">
        <f>I3516+J3516+K3516+L3516</f>
        <v/>
      </c>
      <c r="N3516" s="24">
        <f>M3516*'Dashboard &amp; Optimisation'!$B$18/('Dashboard &amp; Optimisation'!$B$16/3.6)</f>
        <v/>
      </c>
      <c r="O3516" s="24" t="n">
        <v>1786.948026673687</v>
      </c>
      <c r="P3516" s="25" t="n">
        <v>0.05048438189545042</v>
      </c>
      <c r="Q3516" s="26" t="n">
        <v>12.23505194285052</v>
      </c>
      <c r="R3516" s="24" t="n">
        <v>7767.985575180092</v>
      </c>
      <c r="S3516" s="24">
        <f>R3516*IF(A3516=4, 2.0, 3.0)</f>
        <v/>
      </c>
      <c r="T3516" s="22">
        <f>'Dashboard &amp; Optimisation'!$B$18*U3516</f>
        <v/>
      </c>
      <c r="U3516" s="27">
        <f>MIN(1, S3516/M3516)</f>
        <v/>
      </c>
      <c r="V3516" s="27">
        <f>N3516/(N3516+O3516)</f>
        <v/>
      </c>
      <c r="W3516" s="27">
        <f>U3516*V3516</f>
        <v/>
      </c>
      <c r="X3516" s="25">
        <f>T3516/N3516</f>
        <v/>
      </c>
      <c r="Y3516" s="28">
        <f>IF(W3516=MAXIFS(W$2:W$3601, A$2:A$3601, A3516, B$2:B$3601, B3516), "OPTIMAL", "")</f>
        <v/>
      </c>
    </row>
    <row r="3517" ht="20" customHeight="1">
      <c r="A3517" s="29" t="n">
        <v>-18</v>
      </c>
      <c r="B3517" s="29" t="n">
        <v>45</v>
      </c>
      <c r="C3517" s="30" t="n">
        <v>110</v>
      </c>
      <c r="D3517" s="30" t="n">
        <v>3</v>
      </c>
      <c r="E3517" s="6" t="n">
        <v>8</v>
      </c>
      <c r="F3517" s="30" t="n">
        <v>1.5</v>
      </c>
      <c r="G3517" s="6" t="inlineStr">
        <is>
          <t>Non</t>
        </is>
      </c>
      <c r="H3517" s="6" t="inlineStr">
        <is>
          <t>OFF</t>
        </is>
      </c>
      <c r="I3517" s="31" t="n">
        <v>885.2722778138215</v>
      </c>
      <c r="J3517" s="31" t="n">
        <v>10520.73059103506</v>
      </c>
      <c r="K3517" s="31" t="n">
        <v>5101.851851851852</v>
      </c>
      <c r="L3517" s="31" t="n">
        <v>150</v>
      </c>
      <c r="M3517" s="31">
        <f>I3517+J3517+K3517+L3517</f>
        <v/>
      </c>
      <c r="N3517" s="31">
        <f>M3517*'Dashboard &amp; Optimisation'!$B$18/('Dashboard &amp; Optimisation'!$B$16/3.6)</f>
        <v/>
      </c>
      <c r="O3517" s="31" t="n">
        <v>1786.948026673687</v>
      </c>
      <c r="P3517" s="32" t="n">
        <v>0.2248337008701428</v>
      </c>
      <c r="Q3517" s="33" t="n">
        <v>12.23505194285052</v>
      </c>
      <c r="R3517" s="31" t="n">
        <v>1744.231175388795</v>
      </c>
      <c r="S3517" s="31">
        <f>R3517*IF(A3517=4, 2.0, 3.0)</f>
        <v/>
      </c>
      <c r="T3517" s="30">
        <f>'Dashboard &amp; Optimisation'!$B$18*U3517</f>
        <v/>
      </c>
      <c r="U3517" s="34">
        <f>MIN(1, S3517/M3517)</f>
        <v/>
      </c>
      <c r="V3517" s="34">
        <f>N3517/(N3517+O3517)</f>
        <v/>
      </c>
      <c r="W3517" s="34">
        <f>U3517*V3517</f>
        <v/>
      </c>
      <c r="X3517" s="32">
        <f>T3517/N3517</f>
        <v/>
      </c>
      <c r="Y3517" s="35">
        <f>IF(W3517=MAXIFS(W$2:W$3601, A$2:A$3601, A3517, B$2:B$3601, B3517), "OPTIMAL", "")</f>
        <v/>
      </c>
    </row>
    <row r="3518" ht="20" customHeight="1">
      <c r="A3518" s="21" t="n">
        <v>-18</v>
      </c>
      <c r="B3518" s="21" t="n">
        <v>45</v>
      </c>
      <c r="C3518" s="22" t="n">
        <v>110</v>
      </c>
      <c r="D3518" s="22" t="n">
        <v>3</v>
      </c>
      <c r="E3518" s="23" t="n">
        <v>8</v>
      </c>
      <c r="F3518" s="22" t="n">
        <v>2</v>
      </c>
      <c r="G3518" s="23" t="inlineStr">
        <is>
          <t>Oui</t>
        </is>
      </c>
      <c r="H3518" s="23" t="inlineStr">
        <is>
          <t>ON</t>
        </is>
      </c>
      <c r="I3518" s="24" t="n">
        <v>885.2722778138215</v>
      </c>
      <c r="J3518" s="24" t="n">
        <v>10520.73059103506</v>
      </c>
      <c r="K3518" s="24" t="n">
        <v>5101.851851851852</v>
      </c>
      <c r="L3518" s="24" t="n">
        <v>150</v>
      </c>
      <c r="M3518" s="24">
        <f>I3518+J3518+K3518+L3518</f>
        <v/>
      </c>
      <c r="N3518" s="24">
        <f>M3518*'Dashboard &amp; Optimisation'!$B$18/('Dashboard &amp; Optimisation'!$B$16/3.6)</f>
        <v/>
      </c>
      <c r="O3518" s="24" t="n">
        <v>2069.742765647905</v>
      </c>
      <c r="P3518" s="25" t="n">
        <v>0.05199529928547215</v>
      </c>
      <c r="Q3518" s="26" t="n">
        <v>16.2467359238007</v>
      </c>
      <c r="R3518" s="24" t="n">
        <v>7702.557809965417</v>
      </c>
      <c r="S3518" s="24">
        <f>R3518*IF(A3518=4, 2.0, 3.0)</f>
        <v/>
      </c>
      <c r="T3518" s="22">
        <f>'Dashboard &amp; Optimisation'!$B$18*U3518</f>
        <v/>
      </c>
      <c r="U3518" s="27">
        <f>MIN(1, S3518/M3518)</f>
        <v/>
      </c>
      <c r="V3518" s="27">
        <f>N3518/(N3518+O3518)</f>
        <v/>
      </c>
      <c r="W3518" s="27">
        <f>U3518*V3518</f>
        <v/>
      </c>
      <c r="X3518" s="25">
        <f>T3518/N3518</f>
        <v/>
      </c>
      <c r="Y3518" s="28">
        <f>IF(W3518=MAXIFS(W$2:W$3601, A$2:A$3601, A3518, B$2:B$3601, B3518), "OPTIMAL", "")</f>
        <v/>
      </c>
    </row>
    <row r="3519" ht="20" customHeight="1">
      <c r="A3519" s="29" t="n">
        <v>-18</v>
      </c>
      <c r="B3519" s="29" t="n">
        <v>45</v>
      </c>
      <c r="C3519" s="30" t="n">
        <v>110</v>
      </c>
      <c r="D3519" s="30" t="n">
        <v>3</v>
      </c>
      <c r="E3519" s="6" t="n">
        <v>8</v>
      </c>
      <c r="F3519" s="30" t="n">
        <v>2</v>
      </c>
      <c r="G3519" s="6" t="inlineStr">
        <is>
          <t>Oui</t>
        </is>
      </c>
      <c r="H3519" s="6" t="inlineStr">
        <is>
          <t>OFF</t>
        </is>
      </c>
      <c r="I3519" s="31" t="n">
        <v>885.2722778138215</v>
      </c>
      <c r="J3519" s="31" t="n">
        <v>10520.73059103506</v>
      </c>
      <c r="K3519" s="31" t="n">
        <v>5101.851851851852</v>
      </c>
      <c r="L3519" s="31" t="n">
        <v>150</v>
      </c>
      <c r="M3519" s="31">
        <f>I3519+J3519+K3519+L3519</f>
        <v/>
      </c>
      <c r="N3519" s="31">
        <f>M3519*'Dashboard &amp; Optimisation'!$B$18/('Dashboard &amp; Optimisation'!$B$16/3.6)</f>
        <v/>
      </c>
      <c r="O3519" s="31" t="n">
        <v>2069.742765647905</v>
      </c>
      <c r="P3519" s="32" t="n">
        <v>0.2275671766533254</v>
      </c>
      <c r="Q3519" s="33" t="n">
        <v>16.2467359238007</v>
      </c>
      <c r="R3519" s="31" t="n">
        <v>1759.905819822678</v>
      </c>
      <c r="S3519" s="31">
        <f>R3519*IF(A3519=4, 2.0, 3.0)</f>
        <v/>
      </c>
      <c r="T3519" s="30">
        <f>'Dashboard &amp; Optimisation'!$B$18*U3519</f>
        <v/>
      </c>
      <c r="U3519" s="34">
        <f>MIN(1, S3519/M3519)</f>
        <v/>
      </c>
      <c r="V3519" s="34">
        <f>N3519/(N3519+O3519)</f>
        <v/>
      </c>
      <c r="W3519" s="34">
        <f>U3519*V3519</f>
        <v/>
      </c>
      <c r="X3519" s="32">
        <f>T3519/N3519</f>
        <v/>
      </c>
      <c r="Y3519" s="35">
        <f>IF(W3519=MAXIFS(W$2:W$3601, A$2:A$3601, A3519, B$2:B$3601, B3519), "OPTIMAL", "")</f>
        <v/>
      </c>
    </row>
    <row r="3520" ht="20" customHeight="1">
      <c r="A3520" s="21" t="n">
        <v>-18</v>
      </c>
      <c r="B3520" s="21" t="n">
        <v>45</v>
      </c>
      <c r="C3520" s="22" t="n">
        <v>110</v>
      </c>
      <c r="D3520" s="22" t="n">
        <v>3</v>
      </c>
      <c r="E3520" s="23" t="n">
        <v>8</v>
      </c>
      <c r="F3520" s="22" t="n">
        <v>2</v>
      </c>
      <c r="G3520" s="23" t="inlineStr">
        <is>
          <t>Non</t>
        </is>
      </c>
      <c r="H3520" s="23" t="inlineStr">
        <is>
          <t>ON</t>
        </is>
      </c>
      <c r="I3520" s="24" t="n">
        <v>885.2722778138215</v>
      </c>
      <c r="J3520" s="24" t="n">
        <v>10520.73059103506</v>
      </c>
      <c r="K3520" s="24" t="n">
        <v>5101.851851851852</v>
      </c>
      <c r="L3520" s="24" t="n">
        <v>150</v>
      </c>
      <c r="M3520" s="24">
        <f>I3520+J3520+K3520+L3520</f>
        <v/>
      </c>
      <c r="N3520" s="24">
        <f>M3520*'Dashboard &amp; Optimisation'!$B$18/('Dashboard &amp; Optimisation'!$B$16/3.6)</f>
        <v/>
      </c>
      <c r="O3520" s="24" t="n">
        <v>2069.742765647905</v>
      </c>
      <c r="P3520" s="25" t="n">
        <v>0.04910157304743769</v>
      </c>
      <c r="Q3520" s="26" t="n">
        <v>16.2467359238007</v>
      </c>
      <c r="R3520" s="24" t="n">
        <v>8156.4962940368</v>
      </c>
      <c r="S3520" s="24">
        <f>R3520*IF(A3520=4, 2.0, 3.0)</f>
        <v/>
      </c>
      <c r="T3520" s="22">
        <f>'Dashboard &amp; Optimisation'!$B$18*U3520</f>
        <v/>
      </c>
      <c r="U3520" s="27">
        <f>MIN(1, S3520/M3520)</f>
        <v/>
      </c>
      <c r="V3520" s="27">
        <f>N3520/(N3520+O3520)</f>
        <v/>
      </c>
      <c r="W3520" s="27">
        <f>U3520*V3520</f>
        <v/>
      </c>
      <c r="X3520" s="25">
        <f>T3520/N3520</f>
        <v/>
      </c>
      <c r="Y3520" s="28">
        <f>IF(W3520=MAXIFS(W$2:W$3601, A$2:A$3601, A3520, B$2:B$3601, B3520), "OPTIMAL", "")</f>
        <v/>
      </c>
    </row>
    <row r="3521" ht="20" customHeight="1">
      <c r="A3521" s="29" t="n">
        <v>-18</v>
      </c>
      <c r="B3521" s="29" t="n">
        <v>45</v>
      </c>
      <c r="C3521" s="30" t="n">
        <v>110</v>
      </c>
      <c r="D3521" s="30" t="n">
        <v>3</v>
      </c>
      <c r="E3521" s="6" t="n">
        <v>8</v>
      </c>
      <c r="F3521" s="30" t="n">
        <v>2</v>
      </c>
      <c r="G3521" s="6" t="inlineStr">
        <is>
          <t>Non</t>
        </is>
      </c>
      <c r="H3521" s="6" t="inlineStr">
        <is>
          <t>OFF</t>
        </is>
      </c>
      <c r="I3521" s="31" t="n">
        <v>885.2722778138215</v>
      </c>
      <c r="J3521" s="31" t="n">
        <v>10520.73059103506</v>
      </c>
      <c r="K3521" s="31" t="n">
        <v>5101.851851851852</v>
      </c>
      <c r="L3521" s="31" t="n">
        <v>150</v>
      </c>
      <c r="M3521" s="31">
        <f>I3521+J3521+K3521+L3521</f>
        <v/>
      </c>
      <c r="N3521" s="31">
        <f>M3521*'Dashboard &amp; Optimisation'!$B$18/('Dashboard &amp; Optimisation'!$B$16/3.6)</f>
        <v/>
      </c>
      <c r="O3521" s="31" t="n">
        <v>2069.742765647905</v>
      </c>
      <c r="P3521" s="32" t="n">
        <v>0.2246734504152909</v>
      </c>
      <c r="Q3521" s="33" t="n">
        <v>16.2467359238007</v>
      </c>
      <c r="R3521" s="31" t="n">
        <v>1782.572875666958</v>
      </c>
      <c r="S3521" s="31">
        <f>R3521*IF(A3521=4, 2.0, 3.0)</f>
        <v/>
      </c>
      <c r="T3521" s="30">
        <f>'Dashboard &amp; Optimisation'!$B$18*U3521</f>
        <v/>
      </c>
      <c r="U3521" s="34">
        <f>MIN(1, S3521/M3521)</f>
        <v/>
      </c>
      <c r="V3521" s="34">
        <f>N3521/(N3521+O3521)</f>
        <v/>
      </c>
      <c r="W3521" s="34">
        <f>U3521*V3521</f>
        <v/>
      </c>
      <c r="X3521" s="32">
        <f>T3521/N3521</f>
        <v/>
      </c>
      <c r="Y3521" s="35">
        <f>IF(W3521=MAXIFS(W$2:W$3601, A$2:A$3601, A3521, B$2:B$3601, B3521), "OPTIMAL", "")</f>
        <v/>
      </c>
    </row>
    <row r="3522" ht="20" customHeight="1">
      <c r="A3522" s="21" t="n">
        <v>-18</v>
      </c>
      <c r="B3522" s="21" t="n">
        <v>45</v>
      </c>
      <c r="C3522" s="22" t="n">
        <v>115</v>
      </c>
      <c r="D3522" s="22" t="n">
        <v>2</v>
      </c>
      <c r="E3522" s="23" t="n">
        <v>0</v>
      </c>
      <c r="F3522" s="22" t="n">
        <v>0</v>
      </c>
      <c r="G3522" s="23" t="inlineStr">
        <is>
          <t>Oui</t>
        </is>
      </c>
      <c r="H3522" s="23" t="inlineStr">
        <is>
          <t>ON</t>
        </is>
      </c>
      <c r="I3522" s="24" t="n">
        <v>885.2722778138215</v>
      </c>
      <c r="J3522" s="24" t="n">
        <v>10520.73059103506</v>
      </c>
      <c r="K3522" s="24" t="n">
        <v>5101.851851851852</v>
      </c>
      <c r="L3522" s="24" t="n">
        <v>150</v>
      </c>
      <c r="M3522" s="24">
        <f>I3522+J3522+K3522+L3522</f>
        <v/>
      </c>
      <c r="N3522" s="24">
        <f>M3522*'Dashboard &amp; Optimisation'!$B$18/('Dashboard &amp; Optimisation'!$B$16/3.6)</f>
        <v/>
      </c>
      <c r="O3522" s="24" t="n">
        <v>621.1641232678611</v>
      </c>
      <c r="P3522" s="25" t="n">
        <v>0.4698805559653013</v>
      </c>
      <c r="Q3522" s="26" t="n">
        <v>0.2</v>
      </c>
      <c r="R3522" s="24" t="n">
        <v>689.5993035128529</v>
      </c>
      <c r="S3522" s="24">
        <f>R3522*IF(A3522=4, 2.0, 3.0)</f>
        <v/>
      </c>
      <c r="T3522" s="22">
        <f>'Dashboard &amp; Optimisation'!$B$18*U3522</f>
        <v/>
      </c>
      <c r="U3522" s="27">
        <f>MIN(1, S3522/M3522)</f>
        <v/>
      </c>
      <c r="V3522" s="27">
        <f>N3522/(N3522+O3522)</f>
        <v/>
      </c>
      <c r="W3522" s="27">
        <f>U3522*V3522</f>
        <v/>
      </c>
      <c r="X3522" s="25">
        <f>T3522/N3522</f>
        <v/>
      </c>
      <c r="Y3522" s="28">
        <f>IF(W3522=MAXIFS(W$2:W$3601, A$2:A$3601, A3522, B$2:B$3601, B3522), "OPTIMAL", "")</f>
        <v/>
      </c>
    </row>
    <row r="3523" ht="20" customHeight="1">
      <c r="A3523" s="29" t="n">
        <v>-18</v>
      </c>
      <c r="B3523" s="29" t="n">
        <v>45</v>
      </c>
      <c r="C3523" s="30" t="n">
        <v>115</v>
      </c>
      <c r="D3523" s="30" t="n">
        <v>2</v>
      </c>
      <c r="E3523" s="6" t="n">
        <v>0</v>
      </c>
      <c r="F3523" s="30" t="n">
        <v>0</v>
      </c>
      <c r="G3523" s="6" t="inlineStr">
        <is>
          <t>Oui</t>
        </is>
      </c>
      <c r="H3523" s="6" t="inlineStr">
        <is>
          <t>OFF</t>
        </is>
      </c>
      <c r="I3523" s="31" t="n">
        <v>885.2722778138215</v>
      </c>
      <c r="J3523" s="31" t="n">
        <v>10520.73059103506</v>
      </c>
      <c r="K3523" s="31" t="n">
        <v>5101.851851851852</v>
      </c>
      <c r="L3523" s="31" t="n">
        <v>150</v>
      </c>
      <c r="M3523" s="31">
        <f>I3523+J3523+K3523+L3523</f>
        <v/>
      </c>
      <c r="N3523" s="31">
        <f>M3523*'Dashboard &amp; Optimisation'!$B$18/('Dashboard &amp; Optimisation'!$B$16/3.6)</f>
        <v/>
      </c>
      <c r="O3523" s="31" t="n">
        <v>621.1641232678611</v>
      </c>
      <c r="P3523" s="32" t="n">
        <v>0.7466717613425105</v>
      </c>
      <c r="Q3523" s="33" t="n">
        <v>0.2</v>
      </c>
      <c r="R3523" s="31" t="n">
        <v>433.9648569878972</v>
      </c>
      <c r="S3523" s="31">
        <f>R3523*IF(A3523=4, 2.0, 3.0)</f>
        <v/>
      </c>
      <c r="T3523" s="30">
        <f>'Dashboard &amp; Optimisation'!$B$18*U3523</f>
        <v/>
      </c>
      <c r="U3523" s="34">
        <f>MIN(1, S3523/M3523)</f>
        <v/>
      </c>
      <c r="V3523" s="34">
        <f>N3523/(N3523+O3523)</f>
        <v/>
      </c>
      <c r="W3523" s="34">
        <f>U3523*V3523</f>
        <v/>
      </c>
      <c r="X3523" s="32">
        <f>T3523/N3523</f>
        <v/>
      </c>
      <c r="Y3523" s="35">
        <f>IF(W3523=MAXIFS(W$2:W$3601, A$2:A$3601, A3523, B$2:B$3601, B3523), "OPTIMAL", "")</f>
        <v/>
      </c>
    </row>
    <row r="3524" ht="20" customHeight="1">
      <c r="A3524" s="21" t="n">
        <v>-18</v>
      </c>
      <c r="B3524" s="21" t="n">
        <v>45</v>
      </c>
      <c r="C3524" s="22" t="n">
        <v>115</v>
      </c>
      <c r="D3524" s="22" t="n">
        <v>2</v>
      </c>
      <c r="E3524" s="23" t="n">
        <v>0</v>
      </c>
      <c r="F3524" s="22" t="n">
        <v>0</v>
      </c>
      <c r="G3524" s="23" t="inlineStr">
        <is>
          <t>Non</t>
        </is>
      </c>
      <c r="H3524" s="23" t="inlineStr">
        <is>
          <t>ON</t>
        </is>
      </c>
      <c r="I3524" s="24" t="n">
        <v>885.2722778138215</v>
      </c>
      <c r="J3524" s="24" t="n">
        <v>10520.73059103506</v>
      </c>
      <c r="K3524" s="24" t="n">
        <v>5101.851851851852</v>
      </c>
      <c r="L3524" s="24" t="n">
        <v>150</v>
      </c>
      <c r="M3524" s="24">
        <f>I3524+J3524+K3524+L3524</f>
        <v/>
      </c>
      <c r="N3524" s="24">
        <f>M3524*'Dashboard &amp; Optimisation'!$B$18/('Dashboard &amp; Optimisation'!$B$16/3.6)</f>
        <v/>
      </c>
      <c r="O3524" s="24" t="n">
        <v>621.1641232678611</v>
      </c>
      <c r="P3524" s="25" t="n">
        <v>0.4671126439115292</v>
      </c>
      <c r="Q3524" s="26" t="n">
        <v>0.2</v>
      </c>
      <c r="R3524" s="24" t="n">
        <v>693.68557745415</v>
      </c>
      <c r="S3524" s="24">
        <f>R3524*IF(A3524=4, 2.0, 3.0)</f>
        <v/>
      </c>
      <c r="T3524" s="22">
        <f>'Dashboard &amp; Optimisation'!$B$18*U3524</f>
        <v/>
      </c>
      <c r="U3524" s="27">
        <f>MIN(1, S3524/M3524)</f>
        <v/>
      </c>
      <c r="V3524" s="27">
        <f>N3524/(N3524+O3524)</f>
        <v/>
      </c>
      <c r="W3524" s="27">
        <f>U3524*V3524</f>
        <v/>
      </c>
      <c r="X3524" s="25">
        <f>T3524/N3524</f>
        <v/>
      </c>
      <c r="Y3524" s="28">
        <f>IF(W3524=MAXIFS(W$2:W$3601, A$2:A$3601, A3524, B$2:B$3601, B3524), "OPTIMAL", "")</f>
        <v/>
      </c>
    </row>
    <row r="3525" ht="20" customHeight="1">
      <c r="A3525" s="29" t="n">
        <v>-18</v>
      </c>
      <c r="B3525" s="29" t="n">
        <v>45</v>
      </c>
      <c r="C3525" s="30" t="n">
        <v>115</v>
      </c>
      <c r="D3525" s="30" t="n">
        <v>2</v>
      </c>
      <c r="E3525" s="6" t="n">
        <v>0</v>
      </c>
      <c r="F3525" s="30" t="n">
        <v>0</v>
      </c>
      <c r="G3525" s="6" t="inlineStr">
        <is>
          <t>Non</t>
        </is>
      </c>
      <c r="H3525" s="6" t="inlineStr">
        <is>
          <t>OFF</t>
        </is>
      </c>
      <c r="I3525" s="31" t="n">
        <v>885.2722778138215</v>
      </c>
      <c r="J3525" s="31" t="n">
        <v>10520.73059103506</v>
      </c>
      <c r="K3525" s="31" t="n">
        <v>5101.851851851852</v>
      </c>
      <c r="L3525" s="31" t="n">
        <v>150</v>
      </c>
      <c r="M3525" s="31">
        <f>I3525+J3525+K3525+L3525</f>
        <v/>
      </c>
      <c r="N3525" s="31">
        <f>M3525*'Dashboard &amp; Optimisation'!$B$18/('Dashboard &amp; Optimisation'!$B$16/3.6)</f>
        <v/>
      </c>
      <c r="O3525" s="31" t="n">
        <v>621.1641232678611</v>
      </c>
      <c r="P3525" s="32" t="n">
        <v>0.7439038492887384</v>
      </c>
      <c r="Q3525" s="33" t="n">
        <v>0.2</v>
      </c>
      <c r="R3525" s="31" t="n">
        <v>435.5795502842402</v>
      </c>
      <c r="S3525" s="31">
        <f>R3525*IF(A3525=4, 2.0, 3.0)</f>
        <v/>
      </c>
      <c r="T3525" s="30">
        <f>'Dashboard &amp; Optimisation'!$B$18*U3525</f>
        <v/>
      </c>
      <c r="U3525" s="34">
        <f>MIN(1, S3525/M3525)</f>
        <v/>
      </c>
      <c r="V3525" s="34">
        <f>N3525/(N3525+O3525)</f>
        <v/>
      </c>
      <c r="W3525" s="34">
        <f>U3525*V3525</f>
        <v/>
      </c>
      <c r="X3525" s="32">
        <f>T3525/N3525</f>
        <v/>
      </c>
      <c r="Y3525" s="35">
        <f>IF(W3525=MAXIFS(W$2:W$3601, A$2:A$3601, A3525, B$2:B$3601, B3525), "OPTIMAL", "")</f>
        <v/>
      </c>
    </row>
    <row r="3526" ht="20" customHeight="1">
      <c r="A3526" s="21" t="n">
        <v>-18</v>
      </c>
      <c r="B3526" s="21" t="n">
        <v>45</v>
      </c>
      <c r="C3526" s="22" t="n">
        <v>115</v>
      </c>
      <c r="D3526" s="22" t="n">
        <v>2</v>
      </c>
      <c r="E3526" s="23" t="n">
        <v>4</v>
      </c>
      <c r="F3526" s="22" t="n">
        <v>1.5</v>
      </c>
      <c r="G3526" s="23" t="inlineStr">
        <is>
          <t>Oui</t>
        </is>
      </c>
      <c r="H3526" s="23" t="inlineStr">
        <is>
          <t>ON</t>
        </is>
      </c>
      <c r="I3526" s="24" t="n">
        <v>885.2722778138215</v>
      </c>
      <c r="J3526" s="24" t="n">
        <v>10520.73059103506</v>
      </c>
      <c r="K3526" s="24" t="n">
        <v>5101.851851851852</v>
      </c>
      <c r="L3526" s="24" t="n">
        <v>150</v>
      </c>
      <c r="M3526" s="24">
        <f>I3526+J3526+K3526+L3526</f>
        <v/>
      </c>
      <c r="N3526" s="24">
        <f>M3526*'Dashboard &amp; Optimisation'!$B$18/('Dashboard &amp; Optimisation'!$B$16/3.6)</f>
        <v/>
      </c>
      <c r="O3526" s="24" t="n">
        <v>959.3823623081063</v>
      </c>
      <c r="P3526" s="25" t="n">
        <v>0.06928089920961758</v>
      </c>
      <c r="Q3526" s="26" t="n">
        <v>5.838042351605651</v>
      </c>
      <c r="R3526" s="24" t="n">
        <v>4809.43808444067</v>
      </c>
      <c r="S3526" s="24">
        <f>R3526*IF(A3526=4, 2.0, 3.0)</f>
        <v/>
      </c>
      <c r="T3526" s="22">
        <f>'Dashboard &amp; Optimisation'!$B$18*U3526</f>
        <v/>
      </c>
      <c r="U3526" s="27">
        <f>MIN(1, S3526/M3526)</f>
        <v/>
      </c>
      <c r="V3526" s="27">
        <f>N3526/(N3526+O3526)</f>
        <v/>
      </c>
      <c r="W3526" s="27">
        <f>U3526*V3526</f>
        <v/>
      </c>
      <c r="X3526" s="25">
        <f>T3526/N3526</f>
        <v/>
      </c>
      <c r="Y3526" s="28">
        <f>IF(W3526=MAXIFS(W$2:W$3601, A$2:A$3601, A3526, B$2:B$3601, B3526), "OPTIMAL", "")</f>
        <v/>
      </c>
    </row>
    <row r="3527" ht="20" customHeight="1">
      <c r="A3527" s="29" t="n">
        <v>-18</v>
      </c>
      <c r="B3527" s="29" t="n">
        <v>45</v>
      </c>
      <c r="C3527" s="30" t="n">
        <v>115</v>
      </c>
      <c r="D3527" s="30" t="n">
        <v>2</v>
      </c>
      <c r="E3527" s="6" t="n">
        <v>4</v>
      </c>
      <c r="F3527" s="30" t="n">
        <v>1.5</v>
      </c>
      <c r="G3527" s="6" t="inlineStr">
        <is>
          <t>Oui</t>
        </is>
      </c>
      <c r="H3527" s="6" t="inlineStr">
        <is>
          <t>OFF</t>
        </is>
      </c>
      <c r="I3527" s="31" t="n">
        <v>885.2722778138215</v>
      </c>
      <c r="J3527" s="31" t="n">
        <v>10520.73059103506</v>
      </c>
      <c r="K3527" s="31" t="n">
        <v>5101.851851851852</v>
      </c>
      <c r="L3527" s="31" t="n">
        <v>150</v>
      </c>
      <c r="M3527" s="31">
        <f>I3527+J3527+K3527+L3527</f>
        <v/>
      </c>
      <c r="N3527" s="31">
        <f>M3527*'Dashboard &amp; Optimisation'!$B$18/('Dashboard &amp; Optimisation'!$B$16/3.6)</f>
        <v/>
      </c>
      <c r="O3527" s="31" t="n">
        <v>959.3823623081063</v>
      </c>
      <c r="P3527" s="32" t="n">
        <v>0.2796855393519176</v>
      </c>
      <c r="Q3527" s="33" t="n">
        <v>5.838042351605651</v>
      </c>
      <c r="R3527" s="31" t="n">
        <v>1191.345809136649</v>
      </c>
      <c r="S3527" s="31">
        <f>R3527*IF(A3527=4, 2.0, 3.0)</f>
        <v/>
      </c>
      <c r="T3527" s="30">
        <f>'Dashboard &amp; Optimisation'!$B$18*U3527</f>
        <v/>
      </c>
      <c r="U3527" s="34">
        <f>MIN(1, S3527/M3527)</f>
        <v/>
      </c>
      <c r="V3527" s="34">
        <f>N3527/(N3527+O3527)</f>
        <v/>
      </c>
      <c r="W3527" s="34">
        <f>U3527*V3527</f>
        <v/>
      </c>
      <c r="X3527" s="32">
        <f>T3527/N3527</f>
        <v/>
      </c>
      <c r="Y3527" s="35">
        <f>IF(W3527=MAXIFS(W$2:W$3601, A$2:A$3601, A3527, B$2:B$3601, B3527), "OPTIMAL", "")</f>
        <v/>
      </c>
    </row>
    <row r="3528" ht="20" customHeight="1">
      <c r="A3528" s="21" t="n">
        <v>-18</v>
      </c>
      <c r="B3528" s="21" t="n">
        <v>45</v>
      </c>
      <c r="C3528" s="22" t="n">
        <v>115</v>
      </c>
      <c r="D3528" s="22" t="n">
        <v>2</v>
      </c>
      <c r="E3528" s="23" t="n">
        <v>4</v>
      </c>
      <c r="F3528" s="22" t="n">
        <v>1.5</v>
      </c>
      <c r="G3528" s="23" t="inlineStr">
        <is>
          <t>Non</t>
        </is>
      </c>
      <c r="H3528" s="23" t="inlineStr">
        <is>
          <t>ON</t>
        </is>
      </c>
      <c r="I3528" s="24" t="n">
        <v>885.2722778138215</v>
      </c>
      <c r="J3528" s="24" t="n">
        <v>10520.73059103506</v>
      </c>
      <c r="K3528" s="24" t="n">
        <v>5101.851851851852</v>
      </c>
      <c r="L3528" s="24" t="n">
        <v>150</v>
      </c>
      <c r="M3528" s="24">
        <f>I3528+J3528+K3528+L3528</f>
        <v/>
      </c>
      <c r="N3528" s="24">
        <f>M3528*'Dashboard &amp; Optimisation'!$B$18/('Dashboard &amp; Optimisation'!$B$16/3.6)</f>
        <v/>
      </c>
      <c r="O3528" s="24" t="n">
        <v>959.3823623081063</v>
      </c>
      <c r="P3528" s="25" t="n">
        <v>0.06651298715584548</v>
      </c>
      <c r="Q3528" s="26" t="n">
        <v>5.838042351605651</v>
      </c>
      <c r="R3528" s="24" t="n">
        <v>5009.580977055048</v>
      </c>
      <c r="S3528" s="24">
        <f>R3528*IF(A3528=4, 2.0, 3.0)</f>
        <v/>
      </c>
      <c r="T3528" s="22">
        <f>'Dashboard &amp; Optimisation'!$B$18*U3528</f>
        <v/>
      </c>
      <c r="U3528" s="27">
        <f>MIN(1, S3528/M3528)</f>
        <v/>
      </c>
      <c r="V3528" s="27">
        <f>N3528/(N3528+O3528)</f>
        <v/>
      </c>
      <c r="W3528" s="27">
        <f>U3528*V3528</f>
        <v/>
      </c>
      <c r="X3528" s="25">
        <f>T3528/N3528</f>
        <v/>
      </c>
      <c r="Y3528" s="28">
        <f>IF(W3528=MAXIFS(W$2:W$3601, A$2:A$3601, A3528, B$2:B$3601, B3528), "OPTIMAL", "")</f>
        <v/>
      </c>
    </row>
    <row r="3529" ht="20" customHeight="1">
      <c r="A3529" s="29" t="n">
        <v>-18</v>
      </c>
      <c r="B3529" s="29" t="n">
        <v>45</v>
      </c>
      <c r="C3529" s="30" t="n">
        <v>115</v>
      </c>
      <c r="D3529" s="30" t="n">
        <v>2</v>
      </c>
      <c r="E3529" s="6" t="n">
        <v>4</v>
      </c>
      <c r="F3529" s="30" t="n">
        <v>1.5</v>
      </c>
      <c r="G3529" s="6" t="inlineStr">
        <is>
          <t>Non</t>
        </is>
      </c>
      <c r="H3529" s="6" t="inlineStr">
        <is>
          <t>OFF</t>
        </is>
      </c>
      <c r="I3529" s="31" t="n">
        <v>885.2722778138215</v>
      </c>
      <c r="J3529" s="31" t="n">
        <v>10520.73059103506</v>
      </c>
      <c r="K3529" s="31" t="n">
        <v>5101.851851851852</v>
      </c>
      <c r="L3529" s="31" t="n">
        <v>150</v>
      </c>
      <c r="M3529" s="31">
        <f>I3529+J3529+K3529+L3529</f>
        <v/>
      </c>
      <c r="N3529" s="31">
        <f>M3529*'Dashboard &amp; Optimisation'!$B$18/('Dashboard &amp; Optimisation'!$B$16/3.6)</f>
        <v/>
      </c>
      <c r="O3529" s="31" t="n">
        <v>959.3823623081063</v>
      </c>
      <c r="P3529" s="32" t="n">
        <v>0.2769176272981455</v>
      </c>
      <c r="Q3529" s="33" t="n">
        <v>5.838042351605651</v>
      </c>
      <c r="R3529" s="31" t="n">
        <v>1203.253828346166</v>
      </c>
      <c r="S3529" s="31">
        <f>R3529*IF(A3529=4, 2.0, 3.0)</f>
        <v/>
      </c>
      <c r="T3529" s="30">
        <f>'Dashboard &amp; Optimisation'!$B$18*U3529</f>
        <v/>
      </c>
      <c r="U3529" s="34">
        <f>MIN(1, S3529/M3529)</f>
        <v/>
      </c>
      <c r="V3529" s="34">
        <f>N3529/(N3529+O3529)</f>
        <v/>
      </c>
      <c r="W3529" s="34">
        <f>U3529*V3529</f>
        <v/>
      </c>
      <c r="X3529" s="32">
        <f>T3529/N3529</f>
        <v/>
      </c>
      <c r="Y3529" s="35">
        <f>IF(W3529=MAXIFS(W$2:W$3601, A$2:A$3601, A3529, B$2:B$3601, B3529), "OPTIMAL", "")</f>
        <v/>
      </c>
    </row>
    <row r="3530" ht="20" customHeight="1">
      <c r="A3530" s="21" t="n">
        <v>-18</v>
      </c>
      <c r="B3530" s="21" t="n">
        <v>45</v>
      </c>
      <c r="C3530" s="22" t="n">
        <v>115</v>
      </c>
      <c r="D3530" s="22" t="n">
        <v>2</v>
      </c>
      <c r="E3530" s="23" t="n">
        <v>4</v>
      </c>
      <c r="F3530" s="22" t="n">
        <v>2</v>
      </c>
      <c r="G3530" s="23" t="inlineStr">
        <is>
          <t>Oui</t>
        </is>
      </c>
      <c r="H3530" s="23" t="inlineStr">
        <is>
          <t>ON</t>
        </is>
      </c>
      <c r="I3530" s="24" t="n">
        <v>885.2722778138215</v>
      </c>
      <c r="J3530" s="24" t="n">
        <v>10520.73059103506</v>
      </c>
      <c r="K3530" s="24" t="n">
        <v>5101.851851851852</v>
      </c>
      <c r="L3530" s="24" t="n">
        <v>150</v>
      </c>
      <c r="M3530" s="24">
        <f>I3530+J3530+K3530+L3530</f>
        <v/>
      </c>
      <c r="N3530" s="24">
        <f>M3530*'Dashboard &amp; Optimisation'!$B$18/('Dashboard &amp; Optimisation'!$B$16/3.6)</f>
        <v/>
      </c>
      <c r="O3530" s="24" t="n">
        <v>1076.41767404689</v>
      </c>
      <c r="P3530" s="25" t="n">
        <v>0.06612266589584477</v>
      </c>
      <c r="Q3530" s="26" t="n">
        <v>7.717389802140867</v>
      </c>
      <c r="R3530" s="24" t="n">
        <v>5087.156287320669</v>
      </c>
      <c r="S3530" s="24">
        <f>R3530*IF(A3530=4, 2.0, 3.0)</f>
        <v/>
      </c>
      <c r="T3530" s="22">
        <f>'Dashboard &amp; Optimisation'!$B$18*U3530</f>
        <v/>
      </c>
      <c r="U3530" s="27">
        <f>MIN(1, S3530/M3530)</f>
        <v/>
      </c>
      <c r="V3530" s="27">
        <f>N3530/(N3530+O3530)</f>
        <v/>
      </c>
      <c r="W3530" s="27">
        <f>U3530*V3530</f>
        <v/>
      </c>
      <c r="X3530" s="25">
        <f>T3530/N3530</f>
        <v/>
      </c>
      <c r="Y3530" s="28">
        <f>IF(W3530=MAXIFS(W$2:W$3601, A$2:A$3601, A3530, B$2:B$3601, B3530), "OPTIMAL", "")</f>
        <v/>
      </c>
    </row>
    <row r="3531" ht="20" customHeight="1">
      <c r="A3531" s="29" t="n">
        <v>-18</v>
      </c>
      <c r="B3531" s="29" t="n">
        <v>45</v>
      </c>
      <c r="C3531" s="30" t="n">
        <v>115</v>
      </c>
      <c r="D3531" s="30" t="n">
        <v>2</v>
      </c>
      <c r="E3531" s="6" t="n">
        <v>4</v>
      </c>
      <c r="F3531" s="30" t="n">
        <v>2</v>
      </c>
      <c r="G3531" s="6" t="inlineStr">
        <is>
          <t>Oui</t>
        </is>
      </c>
      <c r="H3531" s="6" t="inlineStr">
        <is>
          <t>OFF</t>
        </is>
      </c>
      <c r="I3531" s="31" t="n">
        <v>885.2722778138215</v>
      </c>
      <c r="J3531" s="31" t="n">
        <v>10520.73059103506</v>
      </c>
      <c r="K3531" s="31" t="n">
        <v>5101.851851851852</v>
      </c>
      <c r="L3531" s="31" t="n">
        <v>150</v>
      </c>
      <c r="M3531" s="31">
        <f>I3531+J3531+K3531+L3531</f>
        <v/>
      </c>
      <c r="N3531" s="31">
        <f>M3531*'Dashboard &amp; Optimisation'!$B$18/('Dashboard &amp; Optimisation'!$B$16/3.6)</f>
        <v/>
      </c>
      <c r="O3531" s="31" t="n">
        <v>1076.41767404689</v>
      </c>
      <c r="P3531" s="32" t="n">
        <v>0.2774148058870663</v>
      </c>
      <c r="Q3531" s="33" t="n">
        <v>7.717389802140867</v>
      </c>
      <c r="R3531" s="31" t="n">
        <v>1212.539231533977</v>
      </c>
      <c r="S3531" s="31">
        <f>R3531*IF(A3531=4, 2.0, 3.0)</f>
        <v/>
      </c>
      <c r="T3531" s="30">
        <f>'Dashboard &amp; Optimisation'!$B$18*U3531</f>
        <v/>
      </c>
      <c r="U3531" s="34">
        <f>MIN(1, S3531/M3531)</f>
        <v/>
      </c>
      <c r="V3531" s="34">
        <f>N3531/(N3531+O3531)</f>
        <v/>
      </c>
      <c r="W3531" s="34">
        <f>U3531*V3531</f>
        <v/>
      </c>
      <c r="X3531" s="32">
        <f>T3531/N3531</f>
        <v/>
      </c>
      <c r="Y3531" s="35">
        <f>IF(W3531=MAXIFS(W$2:W$3601, A$2:A$3601, A3531, B$2:B$3601, B3531), "OPTIMAL", "")</f>
        <v/>
      </c>
    </row>
    <row r="3532" ht="20" customHeight="1">
      <c r="A3532" s="21" t="n">
        <v>-18</v>
      </c>
      <c r="B3532" s="21" t="n">
        <v>45</v>
      </c>
      <c r="C3532" s="22" t="n">
        <v>115</v>
      </c>
      <c r="D3532" s="22" t="n">
        <v>2</v>
      </c>
      <c r="E3532" s="23" t="n">
        <v>4</v>
      </c>
      <c r="F3532" s="22" t="n">
        <v>2</v>
      </c>
      <c r="G3532" s="23" t="inlineStr">
        <is>
          <t>Non</t>
        </is>
      </c>
      <c r="H3532" s="23" t="inlineStr">
        <is>
          <t>ON</t>
        </is>
      </c>
      <c r="I3532" s="24" t="n">
        <v>885.2722778138215</v>
      </c>
      <c r="J3532" s="24" t="n">
        <v>10520.73059103506</v>
      </c>
      <c r="K3532" s="24" t="n">
        <v>5101.851851851852</v>
      </c>
      <c r="L3532" s="24" t="n">
        <v>150</v>
      </c>
      <c r="M3532" s="24">
        <f>I3532+J3532+K3532+L3532</f>
        <v/>
      </c>
      <c r="N3532" s="24">
        <f>M3532*'Dashboard &amp; Optimisation'!$B$18/('Dashboard &amp; Optimisation'!$B$16/3.6)</f>
        <v/>
      </c>
      <c r="O3532" s="24" t="n">
        <v>1076.41767404689</v>
      </c>
      <c r="P3532" s="25" t="n">
        <v>0.06335475384207268</v>
      </c>
      <c r="Q3532" s="26" t="n">
        <v>7.717389802140867</v>
      </c>
      <c r="R3532" s="24" t="n">
        <v>5309.409557252035</v>
      </c>
      <c r="S3532" s="24">
        <f>R3532*IF(A3532=4, 2.0, 3.0)</f>
        <v/>
      </c>
      <c r="T3532" s="22">
        <f>'Dashboard &amp; Optimisation'!$B$18*U3532</f>
        <v/>
      </c>
      <c r="U3532" s="27">
        <f>MIN(1, S3532/M3532)</f>
        <v/>
      </c>
      <c r="V3532" s="27">
        <f>N3532/(N3532+O3532)</f>
        <v/>
      </c>
      <c r="W3532" s="27">
        <f>U3532*V3532</f>
        <v/>
      </c>
      <c r="X3532" s="25">
        <f>T3532/N3532</f>
        <v/>
      </c>
      <c r="Y3532" s="28">
        <f>IF(W3532=MAXIFS(W$2:W$3601, A$2:A$3601, A3532, B$2:B$3601, B3532), "OPTIMAL", "")</f>
        <v/>
      </c>
    </row>
    <row r="3533" ht="20" customHeight="1">
      <c r="A3533" s="29" t="n">
        <v>-18</v>
      </c>
      <c r="B3533" s="29" t="n">
        <v>45</v>
      </c>
      <c r="C3533" s="30" t="n">
        <v>115</v>
      </c>
      <c r="D3533" s="30" t="n">
        <v>2</v>
      </c>
      <c r="E3533" s="6" t="n">
        <v>4</v>
      </c>
      <c r="F3533" s="30" t="n">
        <v>2</v>
      </c>
      <c r="G3533" s="6" t="inlineStr">
        <is>
          <t>Non</t>
        </is>
      </c>
      <c r="H3533" s="6" t="inlineStr">
        <is>
          <t>OFF</t>
        </is>
      </c>
      <c r="I3533" s="31" t="n">
        <v>885.2722778138215</v>
      </c>
      <c r="J3533" s="31" t="n">
        <v>10520.73059103506</v>
      </c>
      <c r="K3533" s="31" t="n">
        <v>5101.851851851852</v>
      </c>
      <c r="L3533" s="31" t="n">
        <v>150</v>
      </c>
      <c r="M3533" s="31">
        <f>I3533+J3533+K3533+L3533</f>
        <v/>
      </c>
      <c r="N3533" s="31">
        <f>M3533*'Dashboard &amp; Optimisation'!$B$18/('Dashboard &amp; Optimisation'!$B$16/3.6)</f>
        <v/>
      </c>
      <c r="O3533" s="31" t="n">
        <v>1076.41767404689</v>
      </c>
      <c r="P3533" s="32" t="n">
        <v>0.2746468938332942</v>
      </c>
      <c r="Q3533" s="33" t="n">
        <v>7.717389802140867</v>
      </c>
      <c r="R3533" s="31" t="n">
        <v>1224.759293111194</v>
      </c>
      <c r="S3533" s="31">
        <f>R3533*IF(A3533=4, 2.0, 3.0)</f>
        <v/>
      </c>
      <c r="T3533" s="30">
        <f>'Dashboard &amp; Optimisation'!$B$18*U3533</f>
        <v/>
      </c>
      <c r="U3533" s="34">
        <f>MIN(1, S3533/M3533)</f>
        <v/>
      </c>
      <c r="V3533" s="34">
        <f>N3533/(N3533+O3533)</f>
        <v/>
      </c>
      <c r="W3533" s="34">
        <f>U3533*V3533</f>
        <v/>
      </c>
      <c r="X3533" s="32">
        <f>T3533/N3533</f>
        <v/>
      </c>
      <c r="Y3533" s="35">
        <f>IF(W3533=MAXIFS(W$2:W$3601, A$2:A$3601, A3533, B$2:B$3601, B3533), "OPTIMAL", "")</f>
        <v/>
      </c>
    </row>
    <row r="3534" ht="20" customHeight="1">
      <c r="A3534" s="21" t="n">
        <v>-18</v>
      </c>
      <c r="B3534" s="21" t="n">
        <v>45</v>
      </c>
      <c r="C3534" s="22" t="n">
        <v>115</v>
      </c>
      <c r="D3534" s="22" t="n">
        <v>2</v>
      </c>
      <c r="E3534" s="23" t="n">
        <v>8</v>
      </c>
      <c r="F3534" s="22" t="n">
        <v>1.5</v>
      </c>
      <c r="G3534" s="23" t="inlineStr">
        <is>
          <t>Oui</t>
        </is>
      </c>
      <c r="H3534" s="23" t="inlineStr">
        <is>
          <t>ON</t>
        </is>
      </c>
      <c r="I3534" s="24" t="n">
        <v>885.2722778138215</v>
      </c>
      <c r="J3534" s="24" t="n">
        <v>10520.73059103506</v>
      </c>
      <c r="K3534" s="24" t="n">
        <v>5101.851851851852</v>
      </c>
      <c r="L3534" s="24" t="n">
        <v>150</v>
      </c>
      <c r="M3534" s="24">
        <f>I3534+J3534+K3534+L3534</f>
        <v/>
      </c>
      <c r="N3534" s="24">
        <f>M3534*'Dashboard &amp; Optimisation'!$B$18/('Dashboard &amp; Optimisation'!$B$16/3.6)</f>
        <v/>
      </c>
      <c r="O3534" s="24" t="n">
        <v>1317.307610199118</v>
      </c>
      <c r="P3534" s="25" t="n">
        <v>0.05248603000184628</v>
      </c>
      <c r="Q3534" s="26" t="n">
        <v>11.4760847032113</v>
      </c>
      <c r="R3534" s="24" t="n">
        <v>6533.349242383446</v>
      </c>
      <c r="S3534" s="24">
        <f>R3534*IF(A3534=4, 2.0, 3.0)</f>
        <v/>
      </c>
      <c r="T3534" s="22">
        <f>'Dashboard &amp; Optimisation'!$B$18*U3534</f>
        <v/>
      </c>
      <c r="U3534" s="27">
        <f>MIN(1, S3534/M3534)</f>
        <v/>
      </c>
      <c r="V3534" s="27">
        <f>N3534/(N3534+O3534)</f>
        <v/>
      </c>
      <c r="W3534" s="27">
        <f>U3534*V3534</f>
        <v/>
      </c>
      <c r="X3534" s="25">
        <f>T3534/N3534</f>
        <v/>
      </c>
      <c r="Y3534" s="28">
        <f>IF(W3534=MAXIFS(W$2:W$3601, A$2:A$3601, A3534, B$2:B$3601, B3534), "OPTIMAL", "")</f>
        <v/>
      </c>
    </row>
    <row r="3535" ht="20" customHeight="1">
      <c r="A3535" s="29" t="n">
        <v>-18</v>
      </c>
      <c r="B3535" s="29" t="n">
        <v>45</v>
      </c>
      <c r="C3535" s="30" t="n">
        <v>115</v>
      </c>
      <c r="D3535" s="30" t="n">
        <v>2</v>
      </c>
      <c r="E3535" s="6" t="n">
        <v>8</v>
      </c>
      <c r="F3535" s="30" t="n">
        <v>1.5</v>
      </c>
      <c r="G3535" s="6" t="inlineStr">
        <is>
          <t>Oui</t>
        </is>
      </c>
      <c r="H3535" s="6" t="inlineStr">
        <is>
          <t>OFF</t>
        </is>
      </c>
      <c r="I3535" s="31" t="n">
        <v>885.2722778138215</v>
      </c>
      <c r="J3535" s="31" t="n">
        <v>10520.73059103506</v>
      </c>
      <c r="K3535" s="31" t="n">
        <v>5101.851851851852</v>
      </c>
      <c r="L3535" s="31" t="n">
        <v>150</v>
      </c>
      <c r="M3535" s="31">
        <f>I3535+J3535+K3535+L3535</f>
        <v/>
      </c>
      <c r="N3535" s="31">
        <f>M3535*'Dashboard &amp; Optimisation'!$B$18/('Dashboard &amp; Optimisation'!$B$16/3.6)</f>
        <v/>
      </c>
      <c r="O3535" s="31" t="n">
        <v>1317.307610199118</v>
      </c>
      <c r="P3535" s="32" t="n">
        <v>0.2221878302428261</v>
      </c>
      <c r="Q3535" s="33" t="n">
        <v>11.4760847032113</v>
      </c>
      <c r="R3535" s="31" t="n">
        <v>1543.331891641031</v>
      </c>
      <c r="S3535" s="31">
        <f>R3535*IF(A3535=4, 2.0, 3.0)</f>
        <v/>
      </c>
      <c r="T3535" s="30">
        <f>'Dashboard &amp; Optimisation'!$B$18*U3535</f>
        <v/>
      </c>
      <c r="U3535" s="34">
        <f>MIN(1, S3535/M3535)</f>
        <v/>
      </c>
      <c r="V3535" s="34">
        <f>N3535/(N3535+O3535)</f>
        <v/>
      </c>
      <c r="W3535" s="34">
        <f>U3535*V3535</f>
        <v/>
      </c>
      <c r="X3535" s="32">
        <f>T3535/N3535</f>
        <v/>
      </c>
      <c r="Y3535" s="35">
        <f>IF(W3535=MAXIFS(W$2:W$3601, A$2:A$3601, A3535, B$2:B$3601, B3535), "OPTIMAL", "")</f>
        <v/>
      </c>
    </row>
    <row r="3536" ht="20" customHeight="1">
      <c r="A3536" s="21" t="n">
        <v>-18</v>
      </c>
      <c r="B3536" s="21" t="n">
        <v>45</v>
      </c>
      <c r="C3536" s="22" t="n">
        <v>115</v>
      </c>
      <c r="D3536" s="22" t="n">
        <v>2</v>
      </c>
      <c r="E3536" s="23" t="n">
        <v>8</v>
      </c>
      <c r="F3536" s="22" t="n">
        <v>1.5</v>
      </c>
      <c r="G3536" s="23" t="inlineStr">
        <is>
          <t>Non</t>
        </is>
      </c>
      <c r="H3536" s="23" t="inlineStr">
        <is>
          <t>ON</t>
        </is>
      </c>
      <c r="I3536" s="24" t="n">
        <v>885.2722778138215</v>
      </c>
      <c r="J3536" s="24" t="n">
        <v>10520.73059103506</v>
      </c>
      <c r="K3536" s="24" t="n">
        <v>5101.851851851852</v>
      </c>
      <c r="L3536" s="24" t="n">
        <v>150</v>
      </c>
      <c r="M3536" s="24">
        <f>I3536+J3536+K3536+L3536</f>
        <v/>
      </c>
      <c r="N3536" s="24">
        <f>M3536*'Dashboard &amp; Optimisation'!$B$18/('Dashboard &amp; Optimisation'!$B$16/3.6)</f>
        <v/>
      </c>
      <c r="O3536" s="24" t="n">
        <v>1317.307610199118</v>
      </c>
      <c r="P3536" s="25" t="n">
        <v>0.04971811794807418</v>
      </c>
      <c r="Q3536" s="26" t="n">
        <v>11.4760847032113</v>
      </c>
      <c r="R3536" s="24" t="n">
        <v>6897.074517310036</v>
      </c>
      <c r="S3536" s="24">
        <f>R3536*IF(A3536=4, 2.0, 3.0)</f>
        <v/>
      </c>
      <c r="T3536" s="22">
        <f>'Dashboard &amp; Optimisation'!$B$18*U3536</f>
        <v/>
      </c>
      <c r="U3536" s="27">
        <f>MIN(1, S3536/M3536)</f>
        <v/>
      </c>
      <c r="V3536" s="27">
        <f>N3536/(N3536+O3536)</f>
        <v/>
      </c>
      <c r="W3536" s="27">
        <f>U3536*V3536</f>
        <v/>
      </c>
      <c r="X3536" s="25">
        <f>T3536/N3536</f>
        <v/>
      </c>
      <c r="Y3536" s="28">
        <f>IF(W3536=MAXIFS(W$2:W$3601, A$2:A$3601, A3536, B$2:B$3601, B3536), "OPTIMAL", "")</f>
        <v/>
      </c>
    </row>
    <row r="3537" ht="20" customHeight="1">
      <c r="A3537" s="29" t="n">
        <v>-18</v>
      </c>
      <c r="B3537" s="29" t="n">
        <v>45</v>
      </c>
      <c r="C3537" s="30" t="n">
        <v>115</v>
      </c>
      <c r="D3537" s="30" t="n">
        <v>2</v>
      </c>
      <c r="E3537" s="6" t="n">
        <v>8</v>
      </c>
      <c r="F3537" s="30" t="n">
        <v>1.5</v>
      </c>
      <c r="G3537" s="6" t="inlineStr">
        <is>
          <t>Non</t>
        </is>
      </c>
      <c r="H3537" s="6" t="inlineStr">
        <is>
          <t>OFF</t>
        </is>
      </c>
      <c r="I3537" s="31" t="n">
        <v>885.2722778138215</v>
      </c>
      <c r="J3537" s="31" t="n">
        <v>10520.73059103506</v>
      </c>
      <c r="K3537" s="31" t="n">
        <v>5101.851851851852</v>
      </c>
      <c r="L3537" s="31" t="n">
        <v>150</v>
      </c>
      <c r="M3537" s="31">
        <f>I3537+J3537+K3537+L3537</f>
        <v/>
      </c>
      <c r="N3537" s="31">
        <f>M3537*'Dashboard &amp; Optimisation'!$B$18/('Dashboard &amp; Optimisation'!$B$16/3.6)</f>
        <v/>
      </c>
      <c r="O3537" s="31" t="n">
        <v>1317.307610199118</v>
      </c>
      <c r="P3537" s="32" t="n">
        <v>0.219419918189054</v>
      </c>
      <c r="Q3537" s="33" t="n">
        <v>11.4760847032113</v>
      </c>
      <c r="R3537" s="31" t="n">
        <v>1562.800529589221</v>
      </c>
      <c r="S3537" s="31">
        <f>R3537*IF(A3537=4, 2.0, 3.0)</f>
        <v/>
      </c>
      <c r="T3537" s="30">
        <f>'Dashboard &amp; Optimisation'!$B$18*U3537</f>
        <v/>
      </c>
      <c r="U3537" s="34">
        <f>MIN(1, S3537/M3537)</f>
        <v/>
      </c>
      <c r="V3537" s="34">
        <f>N3537/(N3537+O3537)</f>
        <v/>
      </c>
      <c r="W3537" s="34">
        <f>U3537*V3537</f>
        <v/>
      </c>
      <c r="X3537" s="32">
        <f>T3537/N3537</f>
        <v/>
      </c>
      <c r="Y3537" s="35">
        <f>IF(W3537=MAXIFS(W$2:W$3601, A$2:A$3601, A3537, B$2:B$3601, B3537), "OPTIMAL", "")</f>
        <v/>
      </c>
    </row>
    <row r="3538" ht="20" customHeight="1">
      <c r="A3538" s="21" t="n">
        <v>-18</v>
      </c>
      <c r="B3538" s="21" t="n">
        <v>45</v>
      </c>
      <c r="C3538" s="22" t="n">
        <v>115</v>
      </c>
      <c r="D3538" s="22" t="n">
        <v>2</v>
      </c>
      <c r="E3538" s="23" t="n">
        <v>8</v>
      </c>
      <c r="F3538" s="22" t="n">
        <v>2</v>
      </c>
      <c r="G3538" s="23" t="inlineStr">
        <is>
          <t>Oui</t>
        </is>
      </c>
      <c r="H3538" s="23" t="inlineStr">
        <is>
          <t>ON</t>
        </is>
      </c>
      <c r="I3538" s="24" t="n">
        <v>885.2722778138215</v>
      </c>
      <c r="J3538" s="24" t="n">
        <v>10520.73059103506</v>
      </c>
      <c r="K3538" s="24" t="n">
        <v>5101.851851851852</v>
      </c>
      <c r="L3538" s="24" t="n">
        <v>150</v>
      </c>
      <c r="M3538" s="24">
        <f>I3538+J3538+K3538+L3538</f>
        <v/>
      </c>
      <c r="N3538" s="24">
        <f>M3538*'Dashboard &amp; Optimisation'!$B$18/('Dashboard &amp; Optimisation'!$B$16/3.6)</f>
        <v/>
      </c>
      <c r="O3538" s="24" t="n">
        <v>1567.740198823136</v>
      </c>
      <c r="P3538" s="25" t="n">
        <v>0.05098656696881766</v>
      </c>
      <c r="Q3538" s="26" t="n">
        <v>15.23477960428174</v>
      </c>
      <c r="R3538" s="24" t="n">
        <v>6858.700679632146</v>
      </c>
      <c r="S3538" s="24">
        <f>R3538*IF(A3538=4, 2.0, 3.0)</f>
        <v/>
      </c>
      <c r="T3538" s="22">
        <f>'Dashboard &amp; Optimisation'!$B$18*U3538</f>
        <v/>
      </c>
      <c r="U3538" s="27">
        <f>MIN(1, S3538/M3538)</f>
        <v/>
      </c>
      <c r="V3538" s="27">
        <f>N3538/(N3538+O3538)</f>
        <v/>
      </c>
      <c r="W3538" s="27">
        <f>U3538*V3538</f>
        <v/>
      </c>
      <c r="X3538" s="25">
        <f>T3538/N3538</f>
        <v/>
      </c>
      <c r="Y3538" s="28">
        <f>IF(W3538=MAXIFS(W$2:W$3601, A$2:A$3601, A3538, B$2:B$3601, B3538), "OPTIMAL", "")</f>
        <v/>
      </c>
    </row>
    <row r="3539" ht="20" customHeight="1">
      <c r="A3539" s="29" t="n">
        <v>-18</v>
      </c>
      <c r="B3539" s="29" t="n">
        <v>45</v>
      </c>
      <c r="C3539" s="30" t="n">
        <v>115</v>
      </c>
      <c r="D3539" s="30" t="n">
        <v>2</v>
      </c>
      <c r="E3539" s="6" t="n">
        <v>8</v>
      </c>
      <c r="F3539" s="30" t="n">
        <v>2</v>
      </c>
      <c r="G3539" s="6" t="inlineStr">
        <is>
          <t>Oui</t>
        </is>
      </c>
      <c r="H3539" s="6" t="inlineStr">
        <is>
          <t>OFF</t>
        </is>
      </c>
      <c r="I3539" s="31" t="n">
        <v>885.2722778138215</v>
      </c>
      <c r="J3539" s="31" t="n">
        <v>10520.73059103506</v>
      </c>
      <c r="K3539" s="31" t="n">
        <v>5101.851851851852</v>
      </c>
      <c r="L3539" s="31" t="n">
        <v>150</v>
      </c>
      <c r="M3539" s="31">
        <f>I3539+J3539+K3539+L3539</f>
        <v/>
      </c>
      <c r="N3539" s="31">
        <f>M3539*'Dashboard &amp; Optimisation'!$B$18/('Dashboard &amp; Optimisation'!$B$16/3.6)</f>
        <v/>
      </c>
      <c r="O3539" s="31" t="n">
        <v>1567.740198823136</v>
      </c>
      <c r="P3539" s="32" t="n">
        <v>0.2218463755842228</v>
      </c>
      <c r="Q3539" s="33" t="n">
        <v>15.23477960428174</v>
      </c>
      <c r="R3539" s="31" t="n">
        <v>1576.32325793115</v>
      </c>
      <c r="S3539" s="31">
        <f>R3539*IF(A3539=4, 2.0, 3.0)</f>
        <v/>
      </c>
      <c r="T3539" s="30">
        <f>'Dashboard &amp; Optimisation'!$B$18*U3539</f>
        <v/>
      </c>
      <c r="U3539" s="34">
        <f>MIN(1, S3539/M3539)</f>
        <v/>
      </c>
      <c r="V3539" s="34">
        <f>N3539/(N3539+O3539)</f>
        <v/>
      </c>
      <c r="W3539" s="34">
        <f>U3539*V3539</f>
        <v/>
      </c>
      <c r="X3539" s="32">
        <f>T3539/N3539</f>
        <v/>
      </c>
      <c r="Y3539" s="35">
        <f>IF(W3539=MAXIFS(W$2:W$3601, A$2:A$3601, A3539, B$2:B$3601, B3539), "OPTIMAL", "")</f>
        <v/>
      </c>
    </row>
    <row r="3540" ht="20" customHeight="1">
      <c r="A3540" s="21" t="n">
        <v>-18</v>
      </c>
      <c r="B3540" s="21" t="n">
        <v>45</v>
      </c>
      <c r="C3540" s="22" t="n">
        <v>115</v>
      </c>
      <c r="D3540" s="22" t="n">
        <v>2</v>
      </c>
      <c r="E3540" s="23" t="n">
        <v>8</v>
      </c>
      <c r="F3540" s="22" t="n">
        <v>2</v>
      </c>
      <c r="G3540" s="23" t="inlineStr">
        <is>
          <t>Non</t>
        </is>
      </c>
      <c r="H3540" s="23" t="inlineStr">
        <is>
          <t>ON</t>
        </is>
      </c>
      <c r="I3540" s="24" t="n">
        <v>885.2722778138215</v>
      </c>
      <c r="J3540" s="24" t="n">
        <v>10520.73059103506</v>
      </c>
      <c r="K3540" s="24" t="n">
        <v>5101.851851851852</v>
      </c>
      <c r="L3540" s="24" t="n">
        <v>150</v>
      </c>
      <c r="M3540" s="24">
        <f>I3540+J3540+K3540+L3540</f>
        <v/>
      </c>
      <c r="N3540" s="24">
        <f>M3540*'Dashboard &amp; Optimisation'!$B$18/('Dashboard &amp; Optimisation'!$B$16/3.6)</f>
        <v/>
      </c>
      <c r="O3540" s="24" t="n">
        <v>1567.740198823136</v>
      </c>
      <c r="P3540" s="25" t="n">
        <v>0.04821865491504557</v>
      </c>
      <c r="Q3540" s="26" t="n">
        <v>15.23477960428174</v>
      </c>
      <c r="R3540" s="24" t="n">
        <v>7252.4130367648</v>
      </c>
      <c r="S3540" s="24">
        <f>R3540*IF(A3540=4, 2.0, 3.0)</f>
        <v/>
      </c>
      <c r="T3540" s="22">
        <f>'Dashboard &amp; Optimisation'!$B$18*U3540</f>
        <v/>
      </c>
      <c r="U3540" s="27">
        <f>MIN(1, S3540/M3540)</f>
        <v/>
      </c>
      <c r="V3540" s="27">
        <f>N3540/(N3540+O3540)</f>
        <v/>
      </c>
      <c r="W3540" s="27">
        <f>U3540*V3540</f>
        <v/>
      </c>
      <c r="X3540" s="25">
        <f>T3540/N3540</f>
        <v/>
      </c>
      <c r="Y3540" s="28">
        <f>IF(W3540=MAXIFS(W$2:W$3601, A$2:A$3601, A3540, B$2:B$3601, B3540), "OPTIMAL", "")</f>
        <v/>
      </c>
    </row>
    <row r="3541" ht="20" customHeight="1">
      <c r="A3541" s="29" t="n">
        <v>-18</v>
      </c>
      <c r="B3541" s="29" t="n">
        <v>45</v>
      </c>
      <c r="C3541" s="30" t="n">
        <v>115</v>
      </c>
      <c r="D3541" s="30" t="n">
        <v>2</v>
      </c>
      <c r="E3541" s="6" t="n">
        <v>8</v>
      </c>
      <c r="F3541" s="30" t="n">
        <v>2</v>
      </c>
      <c r="G3541" s="6" t="inlineStr">
        <is>
          <t>Non</t>
        </is>
      </c>
      <c r="H3541" s="6" t="inlineStr">
        <is>
          <t>OFF</t>
        </is>
      </c>
      <c r="I3541" s="31" t="n">
        <v>885.2722778138215</v>
      </c>
      <c r="J3541" s="31" t="n">
        <v>10520.73059103506</v>
      </c>
      <c r="K3541" s="31" t="n">
        <v>5101.851851851852</v>
      </c>
      <c r="L3541" s="31" t="n">
        <v>150</v>
      </c>
      <c r="M3541" s="31">
        <f>I3541+J3541+K3541+L3541</f>
        <v/>
      </c>
      <c r="N3541" s="31">
        <f>M3541*'Dashboard &amp; Optimisation'!$B$18/('Dashboard &amp; Optimisation'!$B$16/3.6)</f>
        <v/>
      </c>
      <c r="O3541" s="31" t="n">
        <v>1567.740198823136</v>
      </c>
      <c r="P3541" s="32" t="n">
        <v>0.2190784635304507</v>
      </c>
      <c r="Q3541" s="33" t="n">
        <v>15.23477960428174</v>
      </c>
      <c r="R3541" s="31" t="n">
        <v>1596.239063784254</v>
      </c>
      <c r="S3541" s="31">
        <f>R3541*IF(A3541=4, 2.0, 3.0)</f>
        <v/>
      </c>
      <c r="T3541" s="30">
        <f>'Dashboard &amp; Optimisation'!$B$18*U3541</f>
        <v/>
      </c>
      <c r="U3541" s="34">
        <f>MIN(1, S3541/M3541)</f>
        <v/>
      </c>
      <c r="V3541" s="34">
        <f>N3541/(N3541+O3541)</f>
        <v/>
      </c>
      <c r="W3541" s="34">
        <f>U3541*V3541</f>
        <v/>
      </c>
      <c r="X3541" s="32">
        <f>T3541/N3541</f>
        <v/>
      </c>
      <c r="Y3541" s="35">
        <f>IF(W3541=MAXIFS(W$2:W$3601, A$2:A$3601, A3541, B$2:B$3601, B3541), "OPTIMAL", "")</f>
        <v/>
      </c>
    </row>
    <row r="3542" ht="20" customHeight="1">
      <c r="A3542" s="21" t="n">
        <v>-18</v>
      </c>
      <c r="B3542" s="21" t="n">
        <v>45</v>
      </c>
      <c r="C3542" s="22" t="n">
        <v>115</v>
      </c>
      <c r="D3542" s="22" t="n">
        <v>3</v>
      </c>
      <c r="E3542" s="23" t="n">
        <v>0</v>
      </c>
      <c r="F3542" s="22" t="n">
        <v>0</v>
      </c>
      <c r="G3542" s="23" t="inlineStr">
        <is>
          <t>Oui</t>
        </is>
      </c>
      <c r="H3542" s="23" t="inlineStr">
        <is>
          <t>ON</t>
        </is>
      </c>
      <c r="I3542" s="24" t="n">
        <v>885.2722778138215</v>
      </c>
      <c r="J3542" s="24" t="n">
        <v>10520.73059103506</v>
      </c>
      <c r="K3542" s="24" t="n">
        <v>5101.851851851852</v>
      </c>
      <c r="L3542" s="24" t="n">
        <v>150</v>
      </c>
      <c r="M3542" s="24">
        <f>I3542+J3542+K3542+L3542</f>
        <v/>
      </c>
      <c r="N3542" s="24">
        <f>M3542*'Dashboard &amp; Optimisation'!$B$18/('Dashboard &amp; Optimisation'!$B$16/3.6)</f>
        <v/>
      </c>
      <c r="O3542" s="24" t="n">
        <v>957.7014921180751</v>
      </c>
      <c r="P3542" s="25" t="n">
        <v>0.4698946720919304</v>
      </c>
      <c r="Q3542" s="26" t="n">
        <v>0.2</v>
      </c>
      <c r="R3542" s="24" t="n">
        <v>715.1163852585474</v>
      </c>
      <c r="S3542" s="24">
        <f>R3542*IF(A3542=4, 2.0, 3.0)</f>
        <v/>
      </c>
      <c r="T3542" s="22">
        <f>'Dashboard &amp; Optimisation'!$B$18*U3542</f>
        <v/>
      </c>
      <c r="U3542" s="27">
        <f>MIN(1, S3542/M3542)</f>
        <v/>
      </c>
      <c r="V3542" s="27">
        <f>N3542/(N3542+O3542)</f>
        <v/>
      </c>
      <c r="W3542" s="27">
        <f>U3542*V3542</f>
        <v/>
      </c>
      <c r="X3542" s="25">
        <f>T3542/N3542</f>
        <v/>
      </c>
      <c r="Y3542" s="28">
        <f>IF(W3542=MAXIFS(W$2:W$3601, A$2:A$3601, A3542, B$2:B$3601, B3542), "OPTIMAL", "")</f>
        <v/>
      </c>
    </row>
    <row r="3543" ht="20" customHeight="1">
      <c r="A3543" s="29" t="n">
        <v>-18</v>
      </c>
      <c r="B3543" s="29" t="n">
        <v>45</v>
      </c>
      <c r="C3543" s="30" t="n">
        <v>115</v>
      </c>
      <c r="D3543" s="30" t="n">
        <v>3</v>
      </c>
      <c r="E3543" s="6" t="n">
        <v>0</v>
      </c>
      <c r="F3543" s="30" t="n">
        <v>0</v>
      </c>
      <c r="G3543" s="6" t="inlineStr">
        <is>
          <t>Oui</t>
        </is>
      </c>
      <c r="H3543" s="6" t="inlineStr">
        <is>
          <t>OFF</t>
        </is>
      </c>
      <c r="I3543" s="31" t="n">
        <v>885.2722778138215</v>
      </c>
      <c r="J3543" s="31" t="n">
        <v>10520.73059103506</v>
      </c>
      <c r="K3543" s="31" t="n">
        <v>5101.851851851852</v>
      </c>
      <c r="L3543" s="31" t="n">
        <v>150</v>
      </c>
      <c r="M3543" s="31">
        <f>I3543+J3543+K3543+L3543</f>
        <v/>
      </c>
      <c r="N3543" s="31">
        <f>M3543*'Dashboard &amp; Optimisation'!$B$18/('Dashboard &amp; Optimisation'!$B$16/3.6)</f>
        <v/>
      </c>
      <c r="O3543" s="31" t="n">
        <v>957.7014921180751</v>
      </c>
      <c r="P3543" s="32" t="n">
        <v>0.7466858774691396</v>
      </c>
      <c r="Q3543" s="33" t="n">
        <v>0.2</v>
      </c>
      <c r="R3543" s="31" t="n">
        <v>450.0277687018658</v>
      </c>
      <c r="S3543" s="31">
        <f>R3543*IF(A3543=4, 2.0, 3.0)</f>
        <v/>
      </c>
      <c r="T3543" s="30">
        <f>'Dashboard &amp; Optimisation'!$B$18*U3543</f>
        <v/>
      </c>
      <c r="U3543" s="34">
        <f>MIN(1, S3543/M3543)</f>
        <v/>
      </c>
      <c r="V3543" s="34">
        <f>N3543/(N3543+O3543)</f>
        <v/>
      </c>
      <c r="W3543" s="34">
        <f>U3543*V3543</f>
        <v/>
      </c>
      <c r="X3543" s="32">
        <f>T3543/N3543</f>
        <v/>
      </c>
      <c r="Y3543" s="35">
        <f>IF(W3543=MAXIFS(W$2:W$3601, A$2:A$3601, A3543, B$2:B$3601, B3543), "OPTIMAL", "")</f>
        <v/>
      </c>
    </row>
    <row r="3544" ht="20" customHeight="1">
      <c r="A3544" s="21" t="n">
        <v>-18</v>
      </c>
      <c r="B3544" s="21" t="n">
        <v>45</v>
      </c>
      <c r="C3544" s="22" t="n">
        <v>115</v>
      </c>
      <c r="D3544" s="22" t="n">
        <v>3</v>
      </c>
      <c r="E3544" s="23" t="n">
        <v>0</v>
      </c>
      <c r="F3544" s="22" t="n">
        <v>0</v>
      </c>
      <c r="G3544" s="23" t="inlineStr">
        <is>
          <t>Non</t>
        </is>
      </c>
      <c r="H3544" s="23" t="inlineStr">
        <is>
          <t>ON</t>
        </is>
      </c>
      <c r="I3544" s="24" t="n">
        <v>885.2722778138215</v>
      </c>
      <c r="J3544" s="24" t="n">
        <v>10520.73059103506</v>
      </c>
      <c r="K3544" s="24" t="n">
        <v>5101.851851851852</v>
      </c>
      <c r="L3544" s="24" t="n">
        <v>150</v>
      </c>
      <c r="M3544" s="24">
        <f>I3544+J3544+K3544+L3544</f>
        <v/>
      </c>
      <c r="N3544" s="24">
        <f>M3544*'Dashboard &amp; Optimisation'!$B$18/('Dashboard &amp; Optimisation'!$B$16/3.6)</f>
        <v/>
      </c>
      <c r="O3544" s="24" t="n">
        <v>957.7014921180751</v>
      </c>
      <c r="P3544" s="25" t="n">
        <v>0.4671267600381582</v>
      </c>
      <c r="Q3544" s="26" t="n">
        <v>0.2</v>
      </c>
      <c r="R3544" s="24" t="n">
        <v>719.3537345862661</v>
      </c>
      <c r="S3544" s="24">
        <f>R3544*IF(A3544=4, 2.0, 3.0)</f>
        <v/>
      </c>
      <c r="T3544" s="22">
        <f>'Dashboard &amp; Optimisation'!$B$18*U3544</f>
        <v/>
      </c>
      <c r="U3544" s="27">
        <f>MIN(1, S3544/M3544)</f>
        <v/>
      </c>
      <c r="V3544" s="27">
        <f>N3544/(N3544+O3544)</f>
        <v/>
      </c>
      <c r="W3544" s="27">
        <f>U3544*V3544</f>
        <v/>
      </c>
      <c r="X3544" s="25">
        <f>T3544/N3544</f>
        <v/>
      </c>
      <c r="Y3544" s="28">
        <f>IF(W3544=MAXIFS(W$2:W$3601, A$2:A$3601, A3544, B$2:B$3601, B3544), "OPTIMAL", "")</f>
        <v/>
      </c>
    </row>
    <row r="3545" ht="20" customHeight="1">
      <c r="A3545" s="29" t="n">
        <v>-18</v>
      </c>
      <c r="B3545" s="29" t="n">
        <v>45</v>
      </c>
      <c r="C3545" s="30" t="n">
        <v>115</v>
      </c>
      <c r="D3545" s="30" t="n">
        <v>3</v>
      </c>
      <c r="E3545" s="6" t="n">
        <v>0</v>
      </c>
      <c r="F3545" s="30" t="n">
        <v>0</v>
      </c>
      <c r="G3545" s="6" t="inlineStr">
        <is>
          <t>Non</t>
        </is>
      </c>
      <c r="H3545" s="6" t="inlineStr">
        <is>
          <t>OFF</t>
        </is>
      </c>
      <c r="I3545" s="31" t="n">
        <v>885.2722778138215</v>
      </c>
      <c r="J3545" s="31" t="n">
        <v>10520.73059103506</v>
      </c>
      <c r="K3545" s="31" t="n">
        <v>5101.851851851852</v>
      </c>
      <c r="L3545" s="31" t="n">
        <v>150</v>
      </c>
      <c r="M3545" s="31">
        <f>I3545+J3545+K3545+L3545</f>
        <v/>
      </c>
      <c r="N3545" s="31">
        <f>M3545*'Dashboard &amp; Optimisation'!$B$18/('Dashboard &amp; Optimisation'!$B$16/3.6)</f>
        <v/>
      </c>
      <c r="O3545" s="31" t="n">
        <v>957.7014921180751</v>
      </c>
      <c r="P3545" s="32" t="n">
        <v>0.7439179654153676</v>
      </c>
      <c r="Q3545" s="33" t="n">
        <v>0.2</v>
      </c>
      <c r="R3545" s="31" t="n">
        <v>451.702196990241</v>
      </c>
      <c r="S3545" s="31">
        <f>R3545*IF(A3545=4, 2.0, 3.0)</f>
        <v/>
      </c>
      <c r="T3545" s="30">
        <f>'Dashboard &amp; Optimisation'!$B$18*U3545</f>
        <v/>
      </c>
      <c r="U3545" s="34">
        <f>MIN(1, S3545/M3545)</f>
        <v/>
      </c>
      <c r="V3545" s="34">
        <f>N3545/(N3545+O3545)</f>
        <v/>
      </c>
      <c r="W3545" s="34">
        <f>U3545*V3545</f>
        <v/>
      </c>
      <c r="X3545" s="32">
        <f>T3545/N3545</f>
        <v/>
      </c>
      <c r="Y3545" s="35">
        <f>IF(W3545=MAXIFS(W$2:W$3601, A$2:A$3601, A3545, B$2:B$3601, B3545), "OPTIMAL", "")</f>
        <v/>
      </c>
    </row>
    <row r="3546" ht="20" customHeight="1">
      <c r="A3546" s="21" t="n">
        <v>-18</v>
      </c>
      <c r="B3546" s="21" t="n">
        <v>45</v>
      </c>
      <c r="C3546" s="22" t="n">
        <v>115</v>
      </c>
      <c r="D3546" s="22" t="n">
        <v>3</v>
      </c>
      <c r="E3546" s="23" t="n">
        <v>4</v>
      </c>
      <c r="F3546" s="22" t="n">
        <v>1.5</v>
      </c>
      <c r="G3546" s="23" t="inlineStr">
        <is>
          <t>Oui</t>
        </is>
      </c>
      <c r="H3546" s="23" t="inlineStr">
        <is>
          <t>ON</t>
        </is>
      </c>
      <c r="I3546" s="24" t="n">
        <v>885.2722778138215</v>
      </c>
      <c r="J3546" s="24" t="n">
        <v>10520.73059103506</v>
      </c>
      <c r="K3546" s="24" t="n">
        <v>5101.851851851852</v>
      </c>
      <c r="L3546" s="24" t="n">
        <v>150</v>
      </c>
      <c r="M3546" s="24">
        <f>I3546+J3546+K3546+L3546</f>
        <v/>
      </c>
      <c r="N3546" s="24">
        <f>M3546*'Dashboard &amp; Optimisation'!$B$18/('Dashboard &amp; Optimisation'!$B$16/3.6)</f>
        <v/>
      </c>
      <c r="O3546" s="24" t="n">
        <v>1313.525095437522</v>
      </c>
      <c r="P3546" s="25" t="n">
        <v>0.06905768177243103</v>
      </c>
      <c r="Q3546" s="26" t="n">
        <v>5.941492669983736</v>
      </c>
      <c r="R3546" s="24" t="n">
        <v>5006.272251604683</v>
      </c>
      <c r="S3546" s="24">
        <f>R3546*IF(A3546=4, 2.0, 3.0)</f>
        <v/>
      </c>
      <c r="T3546" s="22">
        <f>'Dashboard &amp; Optimisation'!$B$18*U3546</f>
        <v/>
      </c>
      <c r="U3546" s="27">
        <f>MIN(1, S3546/M3546)</f>
        <v/>
      </c>
      <c r="V3546" s="27">
        <f>N3546/(N3546+O3546)</f>
        <v/>
      </c>
      <c r="W3546" s="27">
        <f>U3546*V3546</f>
        <v/>
      </c>
      <c r="X3546" s="25">
        <f>T3546/N3546</f>
        <v/>
      </c>
      <c r="Y3546" s="28">
        <f>IF(W3546=MAXIFS(W$2:W$3601, A$2:A$3601, A3546, B$2:B$3601, B3546), "OPTIMAL", "")</f>
        <v/>
      </c>
    </row>
    <row r="3547" ht="20" customHeight="1">
      <c r="A3547" s="29" t="n">
        <v>-18</v>
      </c>
      <c r="B3547" s="29" t="n">
        <v>45</v>
      </c>
      <c r="C3547" s="30" t="n">
        <v>115</v>
      </c>
      <c r="D3547" s="30" t="n">
        <v>3</v>
      </c>
      <c r="E3547" s="6" t="n">
        <v>4</v>
      </c>
      <c r="F3547" s="30" t="n">
        <v>1.5</v>
      </c>
      <c r="G3547" s="6" t="inlineStr">
        <is>
          <t>Oui</t>
        </is>
      </c>
      <c r="H3547" s="6" t="inlineStr">
        <is>
          <t>OFF</t>
        </is>
      </c>
      <c r="I3547" s="31" t="n">
        <v>885.2722778138215</v>
      </c>
      <c r="J3547" s="31" t="n">
        <v>10520.73059103506</v>
      </c>
      <c r="K3547" s="31" t="n">
        <v>5101.851851851852</v>
      </c>
      <c r="L3547" s="31" t="n">
        <v>150</v>
      </c>
      <c r="M3547" s="31">
        <f>I3547+J3547+K3547+L3547</f>
        <v/>
      </c>
      <c r="N3547" s="31">
        <f>M3547*'Dashboard &amp; Optimisation'!$B$18/('Dashboard &amp; Optimisation'!$B$16/3.6)</f>
        <v/>
      </c>
      <c r="O3547" s="31" t="n">
        <v>1313.525095437522</v>
      </c>
      <c r="P3547" s="32" t="n">
        <v>0.2794623219147311</v>
      </c>
      <c r="Q3547" s="33" t="n">
        <v>5.941492669983736</v>
      </c>
      <c r="R3547" s="31" t="n">
        <v>1237.095411105021</v>
      </c>
      <c r="S3547" s="31">
        <f>R3547*IF(A3547=4, 2.0, 3.0)</f>
        <v/>
      </c>
      <c r="T3547" s="30">
        <f>'Dashboard &amp; Optimisation'!$B$18*U3547</f>
        <v/>
      </c>
      <c r="U3547" s="34">
        <f>MIN(1, S3547/M3547)</f>
        <v/>
      </c>
      <c r="V3547" s="34">
        <f>N3547/(N3547+O3547)</f>
        <v/>
      </c>
      <c r="W3547" s="34">
        <f>U3547*V3547</f>
        <v/>
      </c>
      <c r="X3547" s="32">
        <f>T3547/N3547</f>
        <v/>
      </c>
      <c r="Y3547" s="35">
        <f>IF(W3547=MAXIFS(W$2:W$3601, A$2:A$3601, A3547, B$2:B$3601, B3547), "OPTIMAL", "")</f>
        <v/>
      </c>
    </row>
    <row r="3548" ht="20" customHeight="1">
      <c r="A3548" s="21" t="n">
        <v>-18</v>
      </c>
      <c r="B3548" s="21" t="n">
        <v>45</v>
      </c>
      <c r="C3548" s="22" t="n">
        <v>115</v>
      </c>
      <c r="D3548" s="22" t="n">
        <v>3</v>
      </c>
      <c r="E3548" s="23" t="n">
        <v>4</v>
      </c>
      <c r="F3548" s="22" t="n">
        <v>1.5</v>
      </c>
      <c r="G3548" s="23" t="inlineStr">
        <is>
          <t>Non</t>
        </is>
      </c>
      <c r="H3548" s="23" t="inlineStr">
        <is>
          <t>ON</t>
        </is>
      </c>
      <c r="I3548" s="24" t="n">
        <v>885.2722778138215</v>
      </c>
      <c r="J3548" s="24" t="n">
        <v>10520.73059103506</v>
      </c>
      <c r="K3548" s="24" t="n">
        <v>5101.851851851852</v>
      </c>
      <c r="L3548" s="24" t="n">
        <v>150</v>
      </c>
      <c r="M3548" s="24">
        <f>I3548+J3548+K3548+L3548</f>
        <v/>
      </c>
      <c r="N3548" s="24">
        <f>M3548*'Dashboard &amp; Optimisation'!$B$18/('Dashboard &amp; Optimisation'!$B$16/3.6)</f>
        <v/>
      </c>
      <c r="O3548" s="24" t="n">
        <v>1313.525095437522</v>
      </c>
      <c r="P3548" s="25" t="n">
        <v>0.06628976971865894</v>
      </c>
      <c r="Q3548" s="26" t="n">
        <v>5.941492669983736</v>
      </c>
      <c r="R3548" s="24" t="n">
        <v>5215.30784440417</v>
      </c>
      <c r="S3548" s="24">
        <f>R3548*IF(A3548=4, 2.0, 3.0)</f>
        <v/>
      </c>
      <c r="T3548" s="22">
        <f>'Dashboard &amp; Optimisation'!$B$18*U3548</f>
        <v/>
      </c>
      <c r="U3548" s="27">
        <f>MIN(1, S3548/M3548)</f>
        <v/>
      </c>
      <c r="V3548" s="27">
        <f>N3548/(N3548+O3548)</f>
        <v/>
      </c>
      <c r="W3548" s="27">
        <f>U3548*V3548</f>
        <v/>
      </c>
      <c r="X3548" s="25">
        <f>T3548/N3548</f>
        <v/>
      </c>
      <c r="Y3548" s="28">
        <f>IF(W3548=MAXIFS(W$2:W$3601, A$2:A$3601, A3548, B$2:B$3601, B3548), "OPTIMAL", "")</f>
        <v/>
      </c>
    </row>
    <row r="3549" ht="20" customHeight="1">
      <c r="A3549" s="29" t="n">
        <v>-18</v>
      </c>
      <c r="B3549" s="29" t="n">
        <v>45</v>
      </c>
      <c r="C3549" s="30" t="n">
        <v>115</v>
      </c>
      <c r="D3549" s="30" t="n">
        <v>3</v>
      </c>
      <c r="E3549" s="6" t="n">
        <v>4</v>
      </c>
      <c r="F3549" s="30" t="n">
        <v>1.5</v>
      </c>
      <c r="G3549" s="6" t="inlineStr">
        <is>
          <t>Non</t>
        </is>
      </c>
      <c r="H3549" s="6" t="inlineStr">
        <is>
          <t>OFF</t>
        </is>
      </c>
      <c r="I3549" s="31" t="n">
        <v>885.2722778138215</v>
      </c>
      <c r="J3549" s="31" t="n">
        <v>10520.73059103506</v>
      </c>
      <c r="K3549" s="31" t="n">
        <v>5101.851851851852</v>
      </c>
      <c r="L3549" s="31" t="n">
        <v>150</v>
      </c>
      <c r="M3549" s="31">
        <f>I3549+J3549+K3549+L3549</f>
        <v/>
      </c>
      <c r="N3549" s="31">
        <f>M3549*'Dashboard &amp; Optimisation'!$B$18/('Dashboard &amp; Optimisation'!$B$16/3.6)</f>
        <v/>
      </c>
      <c r="O3549" s="31" t="n">
        <v>1313.525095437522</v>
      </c>
      <c r="P3549" s="32" t="n">
        <v>0.276694409860959</v>
      </c>
      <c r="Q3549" s="33" t="n">
        <v>5.941492669983736</v>
      </c>
      <c r="R3549" s="31" t="n">
        <v>1249.470692925078</v>
      </c>
      <c r="S3549" s="31">
        <f>R3549*IF(A3549=4, 2.0, 3.0)</f>
        <v/>
      </c>
      <c r="T3549" s="30">
        <f>'Dashboard &amp; Optimisation'!$B$18*U3549</f>
        <v/>
      </c>
      <c r="U3549" s="34">
        <f>MIN(1, S3549/M3549)</f>
        <v/>
      </c>
      <c r="V3549" s="34">
        <f>N3549/(N3549+O3549)</f>
        <v/>
      </c>
      <c r="W3549" s="34">
        <f>U3549*V3549</f>
        <v/>
      </c>
      <c r="X3549" s="32">
        <f>T3549/N3549</f>
        <v/>
      </c>
      <c r="Y3549" s="35">
        <f>IF(W3549=MAXIFS(W$2:W$3601, A$2:A$3601, A3549, B$2:B$3601, B3549), "OPTIMAL", "")</f>
        <v/>
      </c>
    </row>
    <row r="3550" ht="20" customHeight="1">
      <c r="A3550" s="21" t="n">
        <v>-18</v>
      </c>
      <c r="B3550" s="21" t="n">
        <v>45</v>
      </c>
      <c r="C3550" s="22" t="n">
        <v>115</v>
      </c>
      <c r="D3550" s="22" t="n">
        <v>3</v>
      </c>
      <c r="E3550" s="23" t="n">
        <v>4</v>
      </c>
      <c r="F3550" s="22" t="n">
        <v>2</v>
      </c>
      <c r="G3550" s="23" t="inlineStr">
        <is>
          <t>Oui</t>
        </is>
      </c>
      <c r="H3550" s="23" t="inlineStr">
        <is>
          <t>ON</t>
        </is>
      </c>
      <c r="I3550" s="24" t="n">
        <v>885.2722778138215</v>
      </c>
      <c r="J3550" s="24" t="n">
        <v>10520.73059103506</v>
      </c>
      <c r="K3550" s="24" t="n">
        <v>5101.851851851852</v>
      </c>
      <c r="L3550" s="24" t="n">
        <v>150</v>
      </c>
      <c r="M3550" s="24">
        <f>I3550+J3550+K3550+L3550</f>
        <v/>
      </c>
      <c r="N3550" s="24">
        <f>M3550*'Dashboard &amp; Optimisation'!$B$18/('Dashboard &amp; Optimisation'!$B$16/3.6)</f>
        <v/>
      </c>
      <c r="O3550" s="24" t="n">
        <v>1436.738624499418</v>
      </c>
      <c r="P3550" s="25" t="n">
        <v>0.06595572049116703</v>
      </c>
      <c r="Q3550" s="26" t="n">
        <v>7.855323559978315</v>
      </c>
      <c r="R3550" s="24" t="n">
        <v>5292.607392540637</v>
      </c>
      <c r="S3550" s="24">
        <f>R3550*IF(A3550=4, 2.0, 3.0)</f>
        <v/>
      </c>
      <c r="T3550" s="22">
        <f>'Dashboard &amp; Optimisation'!$B$18*U3550</f>
        <v/>
      </c>
      <c r="U3550" s="27">
        <f>MIN(1, S3550/M3550)</f>
        <v/>
      </c>
      <c r="V3550" s="27">
        <f>N3550/(N3550+O3550)</f>
        <v/>
      </c>
      <c r="W3550" s="27">
        <f>U3550*V3550</f>
        <v/>
      </c>
      <c r="X3550" s="25">
        <f>T3550/N3550</f>
        <v/>
      </c>
      <c r="Y3550" s="28">
        <f>IF(W3550=MAXIFS(W$2:W$3601, A$2:A$3601, A3550, B$2:B$3601, B3550), "OPTIMAL", "")</f>
        <v/>
      </c>
    </row>
    <row r="3551" ht="20" customHeight="1">
      <c r="A3551" s="29" t="n">
        <v>-18</v>
      </c>
      <c r="B3551" s="29" t="n">
        <v>45</v>
      </c>
      <c r="C3551" s="30" t="n">
        <v>115</v>
      </c>
      <c r="D3551" s="30" t="n">
        <v>3</v>
      </c>
      <c r="E3551" s="6" t="n">
        <v>4</v>
      </c>
      <c r="F3551" s="30" t="n">
        <v>2</v>
      </c>
      <c r="G3551" s="6" t="inlineStr">
        <is>
          <t>Oui</t>
        </is>
      </c>
      <c r="H3551" s="6" t="inlineStr">
        <is>
          <t>OFF</t>
        </is>
      </c>
      <c r="I3551" s="31" t="n">
        <v>885.2722778138215</v>
      </c>
      <c r="J3551" s="31" t="n">
        <v>10520.73059103506</v>
      </c>
      <c r="K3551" s="31" t="n">
        <v>5101.851851851852</v>
      </c>
      <c r="L3551" s="31" t="n">
        <v>150</v>
      </c>
      <c r="M3551" s="31">
        <f>I3551+J3551+K3551+L3551</f>
        <v/>
      </c>
      <c r="N3551" s="31">
        <f>M3551*'Dashboard &amp; Optimisation'!$B$18/('Dashboard &amp; Optimisation'!$B$16/3.6)</f>
        <v/>
      </c>
      <c r="O3551" s="31" t="n">
        <v>1436.738624499418</v>
      </c>
      <c r="P3551" s="32" t="n">
        <v>0.2772478604823886</v>
      </c>
      <c r="Q3551" s="33" t="n">
        <v>7.855323559978315</v>
      </c>
      <c r="R3551" s="31" t="n">
        <v>1259.081795057058</v>
      </c>
      <c r="S3551" s="31">
        <f>R3551*IF(A3551=4, 2.0, 3.0)</f>
        <v/>
      </c>
      <c r="T3551" s="30">
        <f>'Dashboard &amp; Optimisation'!$B$18*U3551</f>
        <v/>
      </c>
      <c r="U3551" s="34">
        <f>MIN(1, S3551/M3551)</f>
        <v/>
      </c>
      <c r="V3551" s="34">
        <f>N3551/(N3551+O3551)</f>
        <v/>
      </c>
      <c r="W3551" s="34">
        <f>U3551*V3551</f>
        <v/>
      </c>
      <c r="X3551" s="32">
        <f>T3551/N3551</f>
        <v/>
      </c>
      <c r="Y3551" s="35">
        <f>IF(W3551=MAXIFS(W$2:W$3601, A$2:A$3601, A3551, B$2:B$3601, B3551), "OPTIMAL", "")</f>
        <v/>
      </c>
    </row>
    <row r="3552" ht="20" customHeight="1">
      <c r="A3552" s="21" t="n">
        <v>-18</v>
      </c>
      <c r="B3552" s="21" t="n">
        <v>45</v>
      </c>
      <c r="C3552" s="22" t="n">
        <v>115</v>
      </c>
      <c r="D3552" s="22" t="n">
        <v>3</v>
      </c>
      <c r="E3552" s="23" t="n">
        <v>4</v>
      </c>
      <c r="F3552" s="22" t="n">
        <v>2</v>
      </c>
      <c r="G3552" s="23" t="inlineStr">
        <is>
          <t>Non</t>
        </is>
      </c>
      <c r="H3552" s="23" t="inlineStr">
        <is>
          <t>ON</t>
        </is>
      </c>
      <c r="I3552" s="24" t="n">
        <v>885.2722778138215</v>
      </c>
      <c r="J3552" s="24" t="n">
        <v>10520.73059103506</v>
      </c>
      <c r="K3552" s="24" t="n">
        <v>5101.851851851852</v>
      </c>
      <c r="L3552" s="24" t="n">
        <v>150</v>
      </c>
      <c r="M3552" s="24">
        <f>I3552+J3552+K3552+L3552</f>
        <v/>
      </c>
      <c r="N3552" s="24">
        <f>M3552*'Dashboard &amp; Optimisation'!$B$18/('Dashboard &amp; Optimisation'!$B$16/3.6)</f>
        <v/>
      </c>
      <c r="O3552" s="24" t="n">
        <v>1436.738624499418</v>
      </c>
      <c r="P3552" s="25" t="n">
        <v>0.06318780843739494</v>
      </c>
      <c r="Q3552" s="26" t="n">
        <v>7.855323559978315</v>
      </c>
      <c r="R3552" s="24" t="n">
        <v>5524.447555381716</v>
      </c>
      <c r="S3552" s="24">
        <f>R3552*IF(A3552=4, 2.0, 3.0)</f>
        <v/>
      </c>
      <c r="T3552" s="22">
        <f>'Dashboard &amp; Optimisation'!$B$18*U3552</f>
        <v/>
      </c>
      <c r="U3552" s="27">
        <f>MIN(1, S3552/M3552)</f>
        <v/>
      </c>
      <c r="V3552" s="27">
        <f>N3552/(N3552+O3552)</f>
        <v/>
      </c>
      <c r="W3552" s="27">
        <f>U3552*V3552</f>
        <v/>
      </c>
      <c r="X3552" s="25">
        <f>T3552/N3552</f>
        <v/>
      </c>
      <c r="Y3552" s="28">
        <f>IF(W3552=MAXIFS(W$2:W$3601, A$2:A$3601, A3552, B$2:B$3601, B3552), "OPTIMAL", "")</f>
        <v/>
      </c>
    </row>
    <row r="3553" ht="20" customHeight="1">
      <c r="A3553" s="29" t="n">
        <v>-18</v>
      </c>
      <c r="B3553" s="29" t="n">
        <v>45</v>
      </c>
      <c r="C3553" s="30" t="n">
        <v>115</v>
      </c>
      <c r="D3553" s="30" t="n">
        <v>3</v>
      </c>
      <c r="E3553" s="6" t="n">
        <v>4</v>
      </c>
      <c r="F3553" s="30" t="n">
        <v>2</v>
      </c>
      <c r="G3553" s="6" t="inlineStr">
        <is>
          <t>Non</t>
        </is>
      </c>
      <c r="H3553" s="6" t="inlineStr">
        <is>
          <t>OFF</t>
        </is>
      </c>
      <c r="I3553" s="31" t="n">
        <v>885.2722778138215</v>
      </c>
      <c r="J3553" s="31" t="n">
        <v>10520.73059103506</v>
      </c>
      <c r="K3553" s="31" t="n">
        <v>5101.851851851852</v>
      </c>
      <c r="L3553" s="31" t="n">
        <v>150</v>
      </c>
      <c r="M3553" s="31">
        <f>I3553+J3553+K3553+L3553</f>
        <v/>
      </c>
      <c r="N3553" s="31">
        <f>M3553*'Dashboard &amp; Optimisation'!$B$18/('Dashboard &amp; Optimisation'!$B$16/3.6)</f>
        <v/>
      </c>
      <c r="O3553" s="31" t="n">
        <v>1436.738624499418</v>
      </c>
      <c r="P3553" s="32" t="n">
        <v>0.2744799484286165</v>
      </c>
      <c r="Q3553" s="33" t="n">
        <v>7.855323559978315</v>
      </c>
      <c r="R3553" s="31" t="n">
        <v>1271.77863392334</v>
      </c>
      <c r="S3553" s="31">
        <f>R3553*IF(A3553=4, 2.0, 3.0)</f>
        <v/>
      </c>
      <c r="T3553" s="30">
        <f>'Dashboard &amp; Optimisation'!$B$18*U3553</f>
        <v/>
      </c>
      <c r="U3553" s="34">
        <f>MIN(1, S3553/M3553)</f>
        <v/>
      </c>
      <c r="V3553" s="34">
        <f>N3553/(N3553+O3553)</f>
        <v/>
      </c>
      <c r="W3553" s="34">
        <f>U3553*V3553</f>
        <v/>
      </c>
      <c r="X3553" s="32">
        <f>T3553/N3553</f>
        <v/>
      </c>
      <c r="Y3553" s="35">
        <f>IF(W3553=MAXIFS(W$2:W$3601, A$2:A$3601, A3553, B$2:B$3601, B3553), "OPTIMAL", "")</f>
        <v/>
      </c>
    </row>
    <row r="3554" ht="20" customHeight="1">
      <c r="A3554" s="21" t="n">
        <v>-18</v>
      </c>
      <c r="B3554" s="21" t="n">
        <v>45</v>
      </c>
      <c r="C3554" s="22" t="n">
        <v>115</v>
      </c>
      <c r="D3554" s="22" t="n">
        <v>3</v>
      </c>
      <c r="E3554" s="23" t="n">
        <v>8</v>
      </c>
      <c r="F3554" s="22" t="n">
        <v>1.5</v>
      </c>
      <c r="G3554" s="23" t="inlineStr">
        <is>
          <t>Oui</t>
        </is>
      </c>
      <c r="H3554" s="23" t="inlineStr">
        <is>
          <t>ON</t>
        </is>
      </c>
      <c r="I3554" s="24" t="n">
        <v>885.2722778138215</v>
      </c>
      <c r="J3554" s="24" t="n">
        <v>10520.73059103506</v>
      </c>
      <c r="K3554" s="24" t="n">
        <v>5101.851851851852</v>
      </c>
      <c r="L3554" s="24" t="n">
        <v>150</v>
      </c>
      <c r="M3554" s="24">
        <f>I3554+J3554+K3554+L3554</f>
        <v/>
      </c>
      <c r="N3554" s="24">
        <f>M3554*'Dashboard &amp; Optimisation'!$B$18/('Dashboard &amp; Optimisation'!$B$16/3.6)</f>
        <v/>
      </c>
      <c r="O3554" s="24" t="n">
        <v>1690.484537357192</v>
      </c>
      <c r="P3554" s="25" t="n">
        <v>0.05237734442636455</v>
      </c>
      <c r="Q3554" s="26" t="n">
        <v>11.68298533996747</v>
      </c>
      <c r="R3554" s="24" t="n">
        <v>6796.630291128961</v>
      </c>
      <c r="S3554" s="24">
        <f>R3554*IF(A3554=4, 2.0, 3.0)</f>
        <v/>
      </c>
      <c r="T3554" s="22">
        <f>'Dashboard &amp; Optimisation'!$B$18*U3554</f>
        <v/>
      </c>
      <c r="U3554" s="27">
        <f>MIN(1, S3554/M3554)</f>
        <v/>
      </c>
      <c r="V3554" s="27">
        <f>N3554/(N3554+O3554)</f>
        <v/>
      </c>
      <c r="W3554" s="27">
        <f>U3554*V3554</f>
        <v/>
      </c>
      <c r="X3554" s="25">
        <f>T3554/N3554</f>
        <v/>
      </c>
      <c r="Y3554" s="28">
        <f>IF(W3554=MAXIFS(W$2:W$3601, A$2:A$3601, A3554, B$2:B$3601, B3554), "OPTIMAL", "")</f>
        <v/>
      </c>
    </row>
    <row r="3555" ht="20" customHeight="1">
      <c r="A3555" s="29" t="n">
        <v>-18</v>
      </c>
      <c r="B3555" s="29" t="n">
        <v>45</v>
      </c>
      <c r="C3555" s="30" t="n">
        <v>115</v>
      </c>
      <c r="D3555" s="30" t="n">
        <v>3</v>
      </c>
      <c r="E3555" s="6" t="n">
        <v>8</v>
      </c>
      <c r="F3555" s="30" t="n">
        <v>1.5</v>
      </c>
      <c r="G3555" s="6" t="inlineStr">
        <is>
          <t>Oui</t>
        </is>
      </c>
      <c r="H3555" s="6" t="inlineStr">
        <is>
          <t>OFF</t>
        </is>
      </c>
      <c r="I3555" s="31" t="n">
        <v>885.2722778138215</v>
      </c>
      <c r="J3555" s="31" t="n">
        <v>10520.73059103506</v>
      </c>
      <c r="K3555" s="31" t="n">
        <v>5101.851851851852</v>
      </c>
      <c r="L3555" s="31" t="n">
        <v>150</v>
      </c>
      <c r="M3555" s="31">
        <f>I3555+J3555+K3555+L3555</f>
        <v/>
      </c>
      <c r="N3555" s="31">
        <f>M3555*'Dashboard &amp; Optimisation'!$B$18/('Dashboard &amp; Optimisation'!$B$16/3.6)</f>
        <v/>
      </c>
      <c r="O3555" s="31" t="n">
        <v>1690.484537357192</v>
      </c>
      <c r="P3555" s="32" t="n">
        <v>0.2220791446673444</v>
      </c>
      <c r="Q3555" s="33" t="n">
        <v>11.68298533996747</v>
      </c>
      <c r="R3555" s="31" t="n">
        <v>1602.984585654659</v>
      </c>
      <c r="S3555" s="31">
        <f>R3555*IF(A3555=4, 2.0, 3.0)</f>
        <v/>
      </c>
      <c r="T3555" s="30">
        <f>'Dashboard &amp; Optimisation'!$B$18*U3555</f>
        <v/>
      </c>
      <c r="U3555" s="34">
        <f>MIN(1, S3555/M3555)</f>
        <v/>
      </c>
      <c r="V3555" s="34">
        <f>N3555/(N3555+O3555)</f>
        <v/>
      </c>
      <c r="W3555" s="34">
        <f>U3555*V3555</f>
        <v/>
      </c>
      <c r="X3555" s="32">
        <f>T3555/N3555</f>
        <v/>
      </c>
      <c r="Y3555" s="35">
        <f>IF(W3555=MAXIFS(W$2:W$3601, A$2:A$3601, A3555, B$2:B$3601, B3555), "OPTIMAL", "")</f>
        <v/>
      </c>
    </row>
    <row r="3556" ht="20" customHeight="1">
      <c r="A3556" s="21" t="n">
        <v>-18</v>
      </c>
      <c r="B3556" s="21" t="n">
        <v>45</v>
      </c>
      <c r="C3556" s="22" t="n">
        <v>115</v>
      </c>
      <c r="D3556" s="22" t="n">
        <v>3</v>
      </c>
      <c r="E3556" s="23" t="n">
        <v>8</v>
      </c>
      <c r="F3556" s="22" t="n">
        <v>1.5</v>
      </c>
      <c r="G3556" s="23" t="inlineStr">
        <is>
          <t>Non</t>
        </is>
      </c>
      <c r="H3556" s="23" t="inlineStr">
        <is>
          <t>ON</t>
        </is>
      </c>
      <c r="I3556" s="24" t="n">
        <v>885.2722778138215</v>
      </c>
      <c r="J3556" s="24" t="n">
        <v>10520.73059103506</v>
      </c>
      <c r="K3556" s="24" t="n">
        <v>5101.851851851852</v>
      </c>
      <c r="L3556" s="24" t="n">
        <v>150</v>
      </c>
      <c r="M3556" s="24">
        <f>I3556+J3556+K3556+L3556</f>
        <v/>
      </c>
      <c r="N3556" s="24">
        <f>M3556*'Dashboard &amp; Optimisation'!$B$18/('Dashboard &amp; Optimisation'!$B$16/3.6)</f>
        <v/>
      </c>
      <c r="O3556" s="24" t="n">
        <v>1690.484537357192</v>
      </c>
      <c r="P3556" s="25" t="n">
        <v>0.04960943237259246</v>
      </c>
      <c r="Q3556" s="26" t="n">
        <v>11.68298533996747</v>
      </c>
      <c r="R3556" s="24" t="n">
        <v>7175.841945206294</v>
      </c>
      <c r="S3556" s="24">
        <f>R3556*IF(A3556=4, 2.0, 3.0)</f>
        <v/>
      </c>
      <c r="T3556" s="22">
        <f>'Dashboard &amp; Optimisation'!$B$18*U3556</f>
        <v/>
      </c>
      <c r="U3556" s="27">
        <f>MIN(1, S3556/M3556)</f>
        <v/>
      </c>
      <c r="V3556" s="27">
        <f>N3556/(N3556+O3556)</f>
        <v/>
      </c>
      <c r="W3556" s="27">
        <f>U3556*V3556</f>
        <v/>
      </c>
      <c r="X3556" s="25">
        <f>T3556/N3556</f>
        <v/>
      </c>
      <c r="Y3556" s="28">
        <f>IF(W3556=MAXIFS(W$2:W$3601, A$2:A$3601, A3556, B$2:B$3601, B3556), "OPTIMAL", "")</f>
        <v/>
      </c>
    </row>
    <row r="3557" ht="20" customHeight="1">
      <c r="A3557" s="29" t="n">
        <v>-18</v>
      </c>
      <c r="B3557" s="29" t="n">
        <v>45</v>
      </c>
      <c r="C3557" s="30" t="n">
        <v>115</v>
      </c>
      <c r="D3557" s="30" t="n">
        <v>3</v>
      </c>
      <c r="E3557" s="6" t="n">
        <v>8</v>
      </c>
      <c r="F3557" s="30" t="n">
        <v>1.5</v>
      </c>
      <c r="G3557" s="6" t="inlineStr">
        <is>
          <t>Non</t>
        </is>
      </c>
      <c r="H3557" s="6" t="inlineStr">
        <is>
          <t>OFF</t>
        </is>
      </c>
      <c r="I3557" s="31" t="n">
        <v>885.2722778138215</v>
      </c>
      <c r="J3557" s="31" t="n">
        <v>10520.73059103506</v>
      </c>
      <c r="K3557" s="31" t="n">
        <v>5101.851851851852</v>
      </c>
      <c r="L3557" s="31" t="n">
        <v>150</v>
      </c>
      <c r="M3557" s="31">
        <f>I3557+J3557+K3557+L3557</f>
        <v/>
      </c>
      <c r="N3557" s="31">
        <f>M3557*'Dashboard &amp; Optimisation'!$B$18/('Dashboard &amp; Optimisation'!$B$16/3.6)</f>
        <v/>
      </c>
      <c r="O3557" s="31" t="n">
        <v>1690.484537357192</v>
      </c>
      <c r="P3557" s="32" t="n">
        <v>0.2193112326135723</v>
      </c>
      <c r="Q3557" s="33" t="n">
        <v>11.68298533996747</v>
      </c>
      <c r="R3557" s="31" t="n">
        <v>1623.215744377214</v>
      </c>
      <c r="S3557" s="31">
        <f>R3557*IF(A3557=4, 2.0, 3.0)</f>
        <v/>
      </c>
      <c r="T3557" s="30">
        <f>'Dashboard &amp; Optimisation'!$B$18*U3557</f>
        <v/>
      </c>
      <c r="U3557" s="34">
        <f>MIN(1, S3557/M3557)</f>
        <v/>
      </c>
      <c r="V3557" s="34">
        <f>N3557/(N3557+O3557)</f>
        <v/>
      </c>
      <c r="W3557" s="34">
        <f>U3557*V3557</f>
        <v/>
      </c>
      <c r="X3557" s="32">
        <f>T3557/N3557</f>
        <v/>
      </c>
      <c r="Y3557" s="35">
        <f>IF(W3557=MAXIFS(W$2:W$3601, A$2:A$3601, A3557, B$2:B$3601, B3557), "OPTIMAL", "")</f>
        <v/>
      </c>
    </row>
    <row r="3558" ht="20" customHeight="1">
      <c r="A3558" s="21" t="n">
        <v>-18</v>
      </c>
      <c r="B3558" s="21" t="n">
        <v>45</v>
      </c>
      <c r="C3558" s="22" t="n">
        <v>115</v>
      </c>
      <c r="D3558" s="22" t="n">
        <v>3</v>
      </c>
      <c r="E3558" s="23" t="n">
        <v>8</v>
      </c>
      <c r="F3558" s="22" t="n">
        <v>2</v>
      </c>
      <c r="G3558" s="23" t="inlineStr">
        <is>
          <t>Oui</t>
        </is>
      </c>
      <c r="H3558" s="23" t="inlineStr">
        <is>
          <t>ON</t>
        </is>
      </c>
      <c r="I3558" s="24" t="n">
        <v>885.2722778138215</v>
      </c>
      <c r="J3558" s="24" t="n">
        <v>10520.73059103506</v>
      </c>
      <c r="K3558" s="24" t="n">
        <v>5101.851851851852</v>
      </c>
      <c r="L3558" s="24" t="n">
        <v>150</v>
      </c>
      <c r="M3558" s="24">
        <f>I3558+J3558+K3558+L3558</f>
        <v/>
      </c>
      <c r="N3558" s="24">
        <f>M3558*'Dashboard &amp; Optimisation'!$B$18/('Dashboard &amp; Optimisation'!$B$16/3.6)</f>
        <v/>
      </c>
      <c r="O3558" s="24" t="n">
        <v>1954.481723098767</v>
      </c>
      <c r="P3558" s="25" t="n">
        <v>0.05090778119320737</v>
      </c>
      <c r="Q3558" s="26" t="n">
        <v>15.51064711995663</v>
      </c>
      <c r="R3558" s="24" t="n">
        <v>7134.084033909498</v>
      </c>
      <c r="S3558" s="24">
        <f>R3558*IF(A3558=4, 2.0, 3.0)</f>
        <v/>
      </c>
      <c r="T3558" s="22">
        <f>'Dashboard &amp; Optimisation'!$B$18*U3558</f>
        <v/>
      </c>
      <c r="U3558" s="27">
        <f>MIN(1, S3558/M3558)</f>
        <v/>
      </c>
      <c r="V3558" s="27">
        <f>N3558/(N3558+O3558)</f>
        <v/>
      </c>
      <c r="W3558" s="27">
        <f>U3558*V3558</f>
        <v/>
      </c>
      <c r="X3558" s="25">
        <f>T3558/N3558</f>
        <v/>
      </c>
      <c r="Y3558" s="28">
        <f>IF(W3558=MAXIFS(W$2:W$3601, A$2:A$3601, A3558, B$2:B$3601, B3558), "OPTIMAL", "")</f>
        <v/>
      </c>
    </row>
    <row r="3559" ht="20" customHeight="1">
      <c r="A3559" s="29" t="n">
        <v>-18</v>
      </c>
      <c r="B3559" s="29" t="n">
        <v>45</v>
      </c>
      <c r="C3559" s="30" t="n">
        <v>115</v>
      </c>
      <c r="D3559" s="30" t="n">
        <v>3</v>
      </c>
      <c r="E3559" s="6" t="n">
        <v>8</v>
      </c>
      <c r="F3559" s="30" t="n">
        <v>2</v>
      </c>
      <c r="G3559" s="6" t="inlineStr">
        <is>
          <t>Oui</t>
        </is>
      </c>
      <c r="H3559" s="6" t="inlineStr">
        <is>
          <t>OFF</t>
        </is>
      </c>
      <c r="I3559" s="31" t="n">
        <v>885.2722778138215</v>
      </c>
      <c r="J3559" s="31" t="n">
        <v>10520.73059103506</v>
      </c>
      <c r="K3559" s="31" t="n">
        <v>5101.851851851852</v>
      </c>
      <c r="L3559" s="31" t="n">
        <v>150</v>
      </c>
      <c r="M3559" s="31">
        <f>I3559+J3559+K3559+L3559</f>
        <v/>
      </c>
      <c r="N3559" s="31">
        <f>M3559*'Dashboard &amp; Optimisation'!$B$18/('Dashboard &amp; Optimisation'!$B$16/3.6)</f>
        <v/>
      </c>
      <c r="O3559" s="31" t="n">
        <v>1954.481723098767</v>
      </c>
      <c r="P3559" s="32" t="n">
        <v>0.2217675898086125</v>
      </c>
      <c r="Q3559" s="33" t="n">
        <v>15.51064711995663</v>
      </c>
      <c r="R3559" s="31" t="n">
        <v>1637.662154896696</v>
      </c>
      <c r="S3559" s="31">
        <f>R3559*IF(A3559=4, 2.0, 3.0)</f>
        <v/>
      </c>
      <c r="T3559" s="30">
        <f>'Dashboard &amp; Optimisation'!$B$18*U3559</f>
        <v/>
      </c>
      <c r="U3559" s="34">
        <f>MIN(1, S3559/M3559)</f>
        <v/>
      </c>
      <c r="V3559" s="34">
        <f>N3559/(N3559+O3559)</f>
        <v/>
      </c>
      <c r="W3559" s="34">
        <f>U3559*V3559</f>
        <v/>
      </c>
      <c r="X3559" s="32">
        <f>T3559/N3559</f>
        <v/>
      </c>
      <c r="Y3559" s="35">
        <f>IF(W3559=MAXIFS(W$2:W$3601, A$2:A$3601, A3559, B$2:B$3601, B3559), "OPTIMAL", "")</f>
        <v/>
      </c>
    </row>
    <row r="3560" ht="20" customHeight="1">
      <c r="A3560" s="21" t="n">
        <v>-18</v>
      </c>
      <c r="B3560" s="21" t="n">
        <v>45</v>
      </c>
      <c r="C3560" s="22" t="n">
        <v>115</v>
      </c>
      <c r="D3560" s="22" t="n">
        <v>3</v>
      </c>
      <c r="E3560" s="23" t="n">
        <v>8</v>
      </c>
      <c r="F3560" s="22" t="n">
        <v>2</v>
      </c>
      <c r="G3560" s="23" t="inlineStr">
        <is>
          <t>Non</t>
        </is>
      </c>
      <c r="H3560" s="23" t="inlineStr">
        <is>
          <t>ON</t>
        </is>
      </c>
      <c r="I3560" s="24" t="n">
        <v>885.2722778138215</v>
      </c>
      <c r="J3560" s="24" t="n">
        <v>10520.73059103506</v>
      </c>
      <c r="K3560" s="24" t="n">
        <v>5101.851851851852</v>
      </c>
      <c r="L3560" s="24" t="n">
        <v>150</v>
      </c>
      <c r="M3560" s="24">
        <f>I3560+J3560+K3560+L3560</f>
        <v/>
      </c>
      <c r="N3560" s="24">
        <f>M3560*'Dashboard &amp; Optimisation'!$B$18/('Dashboard &amp; Optimisation'!$B$16/3.6)</f>
        <v/>
      </c>
      <c r="O3560" s="24" t="n">
        <v>1954.481723098767</v>
      </c>
      <c r="P3560" s="25" t="n">
        <v>0.04813986913943527</v>
      </c>
      <c r="Q3560" s="26" t="n">
        <v>15.51064711995663</v>
      </c>
      <c r="R3560" s="24" t="n">
        <v>7544.274538019223</v>
      </c>
      <c r="S3560" s="24">
        <f>R3560*IF(A3560=4, 2.0, 3.0)</f>
        <v/>
      </c>
      <c r="T3560" s="22">
        <f>'Dashboard &amp; Optimisation'!$B$18*U3560</f>
        <v/>
      </c>
      <c r="U3560" s="27">
        <f>MIN(1, S3560/M3560)</f>
        <v/>
      </c>
      <c r="V3560" s="27">
        <f>N3560/(N3560+O3560)</f>
        <v/>
      </c>
      <c r="W3560" s="27">
        <f>U3560*V3560</f>
        <v/>
      </c>
      <c r="X3560" s="25">
        <f>T3560/N3560</f>
        <v/>
      </c>
      <c r="Y3560" s="28">
        <f>IF(W3560=MAXIFS(W$2:W$3601, A$2:A$3601, A3560, B$2:B$3601, B3560), "OPTIMAL", "")</f>
        <v/>
      </c>
    </row>
    <row r="3561" ht="20" customHeight="1">
      <c r="A3561" s="29" t="n">
        <v>-18</v>
      </c>
      <c r="B3561" s="29" t="n">
        <v>45</v>
      </c>
      <c r="C3561" s="30" t="n">
        <v>115</v>
      </c>
      <c r="D3561" s="30" t="n">
        <v>3</v>
      </c>
      <c r="E3561" s="6" t="n">
        <v>8</v>
      </c>
      <c r="F3561" s="30" t="n">
        <v>2</v>
      </c>
      <c r="G3561" s="6" t="inlineStr">
        <is>
          <t>Non</t>
        </is>
      </c>
      <c r="H3561" s="6" t="inlineStr">
        <is>
          <t>OFF</t>
        </is>
      </c>
      <c r="I3561" s="31" t="n">
        <v>885.2722778138215</v>
      </c>
      <c r="J3561" s="31" t="n">
        <v>10520.73059103506</v>
      </c>
      <c r="K3561" s="31" t="n">
        <v>5101.851851851852</v>
      </c>
      <c r="L3561" s="31" t="n">
        <v>150</v>
      </c>
      <c r="M3561" s="31">
        <f>I3561+J3561+K3561+L3561</f>
        <v/>
      </c>
      <c r="N3561" s="31">
        <f>M3561*'Dashboard &amp; Optimisation'!$B$18/('Dashboard &amp; Optimisation'!$B$16/3.6)</f>
        <v/>
      </c>
      <c r="O3561" s="31" t="n">
        <v>1954.481723098767</v>
      </c>
      <c r="P3561" s="32" t="n">
        <v>0.2189996777548404</v>
      </c>
      <c r="Q3561" s="33" t="n">
        <v>15.51064711995663</v>
      </c>
      <c r="R3561" s="31" t="n">
        <v>1658.360380871344</v>
      </c>
      <c r="S3561" s="31">
        <f>R3561*IF(A3561=4, 2.0, 3.0)</f>
        <v/>
      </c>
      <c r="T3561" s="30">
        <f>'Dashboard &amp; Optimisation'!$B$18*U3561</f>
        <v/>
      </c>
      <c r="U3561" s="34">
        <f>MIN(1, S3561/M3561)</f>
        <v/>
      </c>
      <c r="V3561" s="34">
        <f>N3561/(N3561+O3561)</f>
        <v/>
      </c>
      <c r="W3561" s="34">
        <f>U3561*V3561</f>
        <v/>
      </c>
      <c r="X3561" s="32">
        <f>T3561/N3561</f>
        <v/>
      </c>
      <c r="Y3561" s="35">
        <f>IF(W3561=MAXIFS(W$2:W$3601, A$2:A$3601, A3561, B$2:B$3601, B3561), "OPTIMAL", "")</f>
        <v/>
      </c>
    </row>
    <row r="3562" ht="20" customHeight="1">
      <c r="A3562" s="21" t="n">
        <v>-18</v>
      </c>
      <c r="B3562" s="21" t="n">
        <v>45</v>
      </c>
      <c r="C3562" s="22" t="n">
        <v>120</v>
      </c>
      <c r="D3562" s="22" t="n">
        <v>2</v>
      </c>
      <c r="E3562" s="23" t="n">
        <v>0</v>
      </c>
      <c r="F3562" s="22" t="n">
        <v>0</v>
      </c>
      <c r="G3562" s="23" t="inlineStr">
        <is>
          <t>Oui</t>
        </is>
      </c>
      <c r="H3562" s="23" t="inlineStr">
        <is>
          <t>ON</t>
        </is>
      </c>
      <c r="I3562" s="24" t="n">
        <v>885.2722778138215</v>
      </c>
      <c r="J3562" s="24" t="n">
        <v>10520.73059103506</v>
      </c>
      <c r="K3562" s="24" t="n">
        <v>5101.851851851852</v>
      </c>
      <c r="L3562" s="24" t="n">
        <v>150</v>
      </c>
      <c r="M3562" s="24">
        <f>I3562+J3562+K3562+L3562</f>
        <v/>
      </c>
      <c r="N3562" s="24">
        <f>M3562*'Dashboard &amp; Optimisation'!$B$18/('Dashboard &amp; Optimisation'!$B$16/3.6)</f>
        <v/>
      </c>
      <c r="O3562" s="24" t="n">
        <v>593.9363518517471</v>
      </c>
      <c r="P3562" s="25" t="n">
        <v>0.4668808197339223</v>
      </c>
      <c r="Q3562" s="26" t="n">
        <v>0.2</v>
      </c>
      <c r="R3562" s="24" t="n">
        <v>635.4892882314663</v>
      </c>
      <c r="S3562" s="24">
        <f>R3562*IF(A3562=4, 2.0, 3.0)</f>
        <v/>
      </c>
      <c r="T3562" s="22">
        <f>'Dashboard &amp; Optimisation'!$B$18*U3562</f>
        <v/>
      </c>
      <c r="U3562" s="27">
        <f>MIN(1, S3562/M3562)</f>
        <v/>
      </c>
      <c r="V3562" s="27">
        <f>N3562/(N3562+O3562)</f>
        <v/>
      </c>
      <c r="W3562" s="27">
        <f>U3562*V3562</f>
        <v/>
      </c>
      <c r="X3562" s="25">
        <f>T3562/N3562</f>
        <v/>
      </c>
      <c r="Y3562" s="28">
        <f>IF(W3562=MAXIFS(W$2:W$3601, A$2:A$3601, A3562, B$2:B$3601, B3562), "OPTIMAL", "")</f>
        <v/>
      </c>
    </row>
    <row r="3563" ht="20" customHeight="1">
      <c r="A3563" s="29" t="n">
        <v>-18</v>
      </c>
      <c r="B3563" s="29" t="n">
        <v>45</v>
      </c>
      <c r="C3563" s="30" t="n">
        <v>120</v>
      </c>
      <c r="D3563" s="30" t="n">
        <v>2</v>
      </c>
      <c r="E3563" s="6" t="n">
        <v>0</v>
      </c>
      <c r="F3563" s="30" t="n">
        <v>0</v>
      </c>
      <c r="G3563" s="6" t="inlineStr">
        <is>
          <t>Oui</t>
        </is>
      </c>
      <c r="H3563" s="6" t="inlineStr">
        <is>
          <t>OFF</t>
        </is>
      </c>
      <c r="I3563" s="31" t="n">
        <v>885.2722778138215</v>
      </c>
      <c r="J3563" s="31" t="n">
        <v>10520.73059103506</v>
      </c>
      <c r="K3563" s="31" t="n">
        <v>5101.851851851852</v>
      </c>
      <c r="L3563" s="31" t="n">
        <v>150</v>
      </c>
      <c r="M3563" s="31">
        <f>I3563+J3563+K3563+L3563</f>
        <v/>
      </c>
      <c r="N3563" s="31">
        <f>M3563*'Dashboard &amp; Optimisation'!$B$18/('Dashboard &amp; Optimisation'!$B$16/3.6)</f>
        <v/>
      </c>
      <c r="O3563" s="31" t="n">
        <v>593.9363518517471</v>
      </c>
      <c r="P3563" s="32" t="n">
        <v>0.7321390582204146</v>
      </c>
      <c r="Q3563" s="33" t="n">
        <v>0.2</v>
      </c>
      <c r="R3563" s="31" t="n">
        <v>405.2478234705944</v>
      </c>
      <c r="S3563" s="31">
        <f>R3563*IF(A3563=4, 2.0, 3.0)</f>
        <v/>
      </c>
      <c r="T3563" s="30">
        <f>'Dashboard &amp; Optimisation'!$B$18*U3563</f>
        <v/>
      </c>
      <c r="U3563" s="34">
        <f>MIN(1, S3563/M3563)</f>
        <v/>
      </c>
      <c r="V3563" s="34">
        <f>N3563/(N3563+O3563)</f>
        <v/>
      </c>
      <c r="W3563" s="34">
        <f>U3563*V3563</f>
        <v/>
      </c>
      <c r="X3563" s="32">
        <f>T3563/N3563</f>
        <v/>
      </c>
      <c r="Y3563" s="35">
        <f>IF(W3563=MAXIFS(W$2:W$3601, A$2:A$3601, A3563, B$2:B$3601, B3563), "OPTIMAL", "")</f>
        <v/>
      </c>
    </row>
    <row r="3564" ht="20" customHeight="1">
      <c r="A3564" s="21" t="n">
        <v>-18</v>
      </c>
      <c r="B3564" s="21" t="n">
        <v>45</v>
      </c>
      <c r="C3564" s="22" t="n">
        <v>120</v>
      </c>
      <c r="D3564" s="22" t="n">
        <v>2</v>
      </c>
      <c r="E3564" s="23" t="n">
        <v>0</v>
      </c>
      <c r="F3564" s="22" t="n">
        <v>0</v>
      </c>
      <c r="G3564" s="23" t="inlineStr">
        <is>
          <t>Non</t>
        </is>
      </c>
      <c r="H3564" s="23" t="inlineStr">
        <is>
          <t>ON</t>
        </is>
      </c>
      <c r="I3564" s="24" t="n">
        <v>885.2722778138215</v>
      </c>
      <c r="J3564" s="24" t="n">
        <v>10520.73059103506</v>
      </c>
      <c r="K3564" s="24" t="n">
        <v>5101.851851851852</v>
      </c>
      <c r="L3564" s="24" t="n">
        <v>150</v>
      </c>
      <c r="M3564" s="24">
        <f>I3564+J3564+K3564+L3564</f>
        <v/>
      </c>
      <c r="N3564" s="24">
        <f>M3564*'Dashboard &amp; Optimisation'!$B$18/('Dashboard &amp; Optimisation'!$B$16/3.6)</f>
        <v/>
      </c>
      <c r="O3564" s="24" t="n">
        <v>593.9363518517471</v>
      </c>
      <c r="P3564" s="25" t="n">
        <v>0.4642282373490574</v>
      </c>
      <c r="Q3564" s="26" t="n">
        <v>0.2</v>
      </c>
      <c r="R3564" s="24" t="n">
        <v>639.1204497078968</v>
      </c>
      <c r="S3564" s="24">
        <f>R3564*IF(A3564=4, 2.0, 3.0)</f>
        <v/>
      </c>
      <c r="T3564" s="22">
        <f>'Dashboard &amp; Optimisation'!$B$18*U3564</f>
        <v/>
      </c>
      <c r="U3564" s="27">
        <f>MIN(1, S3564/M3564)</f>
        <v/>
      </c>
      <c r="V3564" s="27">
        <f>N3564/(N3564+O3564)</f>
        <v/>
      </c>
      <c r="W3564" s="27">
        <f>U3564*V3564</f>
        <v/>
      </c>
      <c r="X3564" s="25">
        <f>T3564/N3564</f>
        <v/>
      </c>
      <c r="Y3564" s="28">
        <f>IF(W3564=MAXIFS(W$2:W$3601, A$2:A$3601, A3564, B$2:B$3601, B3564), "OPTIMAL", "")</f>
        <v/>
      </c>
    </row>
    <row r="3565" ht="20" customHeight="1">
      <c r="A3565" s="29" t="n">
        <v>-18</v>
      </c>
      <c r="B3565" s="29" t="n">
        <v>45</v>
      </c>
      <c r="C3565" s="30" t="n">
        <v>120</v>
      </c>
      <c r="D3565" s="30" t="n">
        <v>2</v>
      </c>
      <c r="E3565" s="6" t="n">
        <v>0</v>
      </c>
      <c r="F3565" s="30" t="n">
        <v>0</v>
      </c>
      <c r="G3565" s="6" t="inlineStr">
        <is>
          <t>Non</t>
        </is>
      </c>
      <c r="H3565" s="6" t="inlineStr">
        <is>
          <t>OFF</t>
        </is>
      </c>
      <c r="I3565" s="31" t="n">
        <v>885.2722778138215</v>
      </c>
      <c r="J3565" s="31" t="n">
        <v>10520.73059103506</v>
      </c>
      <c r="K3565" s="31" t="n">
        <v>5101.851851851852</v>
      </c>
      <c r="L3565" s="31" t="n">
        <v>150</v>
      </c>
      <c r="M3565" s="31">
        <f>I3565+J3565+K3565+L3565</f>
        <v/>
      </c>
      <c r="N3565" s="31">
        <f>M3565*'Dashboard &amp; Optimisation'!$B$18/('Dashboard &amp; Optimisation'!$B$16/3.6)</f>
        <v/>
      </c>
      <c r="O3565" s="31" t="n">
        <v>593.9363518517471</v>
      </c>
      <c r="P3565" s="32" t="n">
        <v>0.7294864758355497</v>
      </c>
      <c r="Q3565" s="33" t="n">
        <v>0.2</v>
      </c>
      <c r="R3565" s="31" t="n">
        <v>406.7213987508101</v>
      </c>
      <c r="S3565" s="31">
        <f>R3565*IF(A3565=4, 2.0, 3.0)</f>
        <v/>
      </c>
      <c r="T3565" s="30">
        <f>'Dashboard &amp; Optimisation'!$B$18*U3565</f>
        <v/>
      </c>
      <c r="U3565" s="34">
        <f>MIN(1, S3565/M3565)</f>
        <v/>
      </c>
      <c r="V3565" s="34">
        <f>N3565/(N3565+O3565)</f>
        <v/>
      </c>
      <c r="W3565" s="34">
        <f>U3565*V3565</f>
        <v/>
      </c>
      <c r="X3565" s="32">
        <f>T3565/N3565</f>
        <v/>
      </c>
      <c r="Y3565" s="35">
        <f>IF(W3565=MAXIFS(W$2:W$3601, A$2:A$3601, A3565, B$2:B$3601, B3565), "OPTIMAL", "")</f>
        <v/>
      </c>
    </row>
    <row r="3566" ht="20" customHeight="1">
      <c r="A3566" s="21" t="n">
        <v>-18</v>
      </c>
      <c r="B3566" s="21" t="n">
        <v>45</v>
      </c>
      <c r="C3566" s="22" t="n">
        <v>120</v>
      </c>
      <c r="D3566" s="22" t="n">
        <v>2</v>
      </c>
      <c r="E3566" s="23" t="n">
        <v>4</v>
      </c>
      <c r="F3566" s="22" t="n">
        <v>1.5</v>
      </c>
      <c r="G3566" s="23" t="inlineStr">
        <is>
          <t>Oui</t>
        </is>
      </c>
      <c r="H3566" s="23" t="inlineStr">
        <is>
          <t>ON</t>
        </is>
      </c>
      <c r="I3566" s="24" t="n">
        <v>885.2722778138215</v>
      </c>
      <c r="J3566" s="24" t="n">
        <v>10520.73059103506</v>
      </c>
      <c r="K3566" s="24" t="n">
        <v>5101.851851851852</v>
      </c>
      <c r="L3566" s="24" t="n">
        <v>150</v>
      </c>
      <c r="M3566" s="24">
        <f>I3566+J3566+K3566+L3566</f>
        <v/>
      </c>
      <c r="N3566" s="24">
        <f>M3566*'Dashboard &amp; Optimisation'!$B$18/('Dashboard &amp; Optimisation'!$B$16/3.6)</f>
        <v/>
      </c>
      <c r="O3566" s="24" t="n">
        <v>913.1096233382855</v>
      </c>
      <c r="P3566" s="25" t="n">
        <v>0.06805759746267123</v>
      </c>
      <c r="Q3566" s="26" t="n">
        <v>5.595023284726097</v>
      </c>
      <c r="R3566" s="24" t="n">
        <v>4477.458947479527</v>
      </c>
      <c r="S3566" s="24">
        <f>R3566*IF(A3566=4, 2.0, 3.0)</f>
        <v/>
      </c>
      <c r="T3566" s="22">
        <f>'Dashboard &amp; Optimisation'!$B$18*U3566</f>
        <v/>
      </c>
      <c r="U3566" s="27">
        <f>MIN(1, S3566/M3566)</f>
        <v/>
      </c>
      <c r="V3566" s="27">
        <f>N3566/(N3566+O3566)</f>
        <v/>
      </c>
      <c r="W3566" s="27">
        <f>U3566*V3566</f>
        <v/>
      </c>
      <c r="X3566" s="25">
        <f>T3566/N3566</f>
        <v/>
      </c>
      <c r="Y3566" s="28">
        <f>IF(W3566=MAXIFS(W$2:W$3601, A$2:A$3601, A3566, B$2:B$3601, B3566), "OPTIMAL", "")</f>
        <v/>
      </c>
    </row>
    <row r="3567" ht="20" customHeight="1">
      <c r="A3567" s="29" t="n">
        <v>-18</v>
      </c>
      <c r="B3567" s="29" t="n">
        <v>45</v>
      </c>
      <c r="C3567" s="30" t="n">
        <v>120</v>
      </c>
      <c r="D3567" s="30" t="n">
        <v>2</v>
      </c>
      <c r="E3567" s="6" t="n">
        <v>4</v>
      </c>
      <c r="F3567" s="30" t="n">
        <v>1.5</v>
      </c>
      <c r="G3567" s="6" t="inlineStr">
        <is>
          <t>Oui</t>
        </is>
      </c>
      <c r="H3567" s="6" t="inlineStr">
        <is>
          <t>OFF</t>
        </is>
      </c>
      <c r="I3567" s="31" t="n">
        <v>885.2722778138215</v>
      </c>
      <c r="J3567" s="31" t="n">
        <v>10520.73059103506</v>
      </c>
      <c r="K3567" s="31" t="n">
        <v>5101.851851851852</v>
      </c>
      <c r="L3567" s="31" t="n">
        <v>150</v>
      </c>
      <c r="M3567" s="31">
        <f>I3567+J3567+K3567+L3567</f>
        <v/>
      </c>
      <c r="N3567" s="31">
        <f>M3567*'Dashboard &amp; Optimisation'!$B$18/('Dashboard &amp; Optimisation'!$B$16/3.6)</f>
        <v/>
      </c>
      <c r="O3567" s="31" t="n">
        <v>913.1096233382855</v>
      </c>
      <c r="P3567" s="32" t="n">
        <v>0.2717308104184109</v>
      </c>
      <c r="Q3567" s="33" t="n">
        <v>5.595023284726097</v>
      </c>
      <c r="R3567" s="31" t="n">
        <v>1121.422698566945</v>
      </c>
      <c r="S3567" s="31">
        <f>R3567*IF(A3567=4, 2.0, 3.0)</f>
        <v/>
      </c>
      <c r="T3567" s="30">
        <f>'Dashboard &amp; Optimisation'!$B$18*U3567</f>
        <v/>
      </c>
      <c r="U3567" s="34">
        <f>MIN(1, S3567/M3567)</f>
        <v/>
      </c>
      <c r="V3567" s="34">
        <f>N3567/(N3567+O3567)</f>
        <v/>
      </c>
      <c r="W3567" s="34">
        <f>U3567*V3567</f>
        <v/>
      </c>
      <c r="X3567" s="32">
        <f>T3567/N3567</f>
        <v/>
      </c>
      <c r="Y3567" s="35">
        <f>IF(W3567=MAXIFS(W$2:W$3601, A$2:A$3601, A3567, B$2:B$3601, B3567), "OPTIMAL", "")</f>
        <v/>
      </c>
    </row>
    <row r="3568" ht="20" customHeight="1">
      <c r="A3568" s="21" t="n">
        <v>-18</v>
      </c>
      <c r="B3568" s="21" t="n">
        <v>45</v>
      </c>
      <c r="C3568" s="22" t="n">
        <v>120</v>
      </c>
      <c r="D3568" s="22" t="n">
        <v>2</v>
      </c>
      <c r="E3568" s="23" t="n">
        <v>4</v>
      </c>
      <c r="F3568" s="22" t="n">
        <v>1.5</v>
      </c>
      <c r="G3568" s="23" t="inlineStr">
        <is>
          <t>Non</t>
        </is>
      </c>
      <c r="H3568" s="23" t="inlineStr">
        <is>
          <t>ON</t>
        </is>
      </c>
      <c r="I3568" s="24" t="n">
        <v>885.2722778138215</v>
      </c>
      <c r="J3568" s="24" t="n">
        <v>10520.73059103506</v>
      </c>
      <c r="K3568" s="24" t="n">
        <v>5101.851851851852</v>
      </c>
      <c r="L3568" s="24" t="n">
        <v>150</v>
      </c>
      <c r="M3568" s="24">
        <f>I3568+J3568+K3568+L3568</f>
        <v/>
      </c>
      <c r="N3568" s="24">
        <f>M3568*'Dashboard &amp; Optimisation'!$B$18/('Dashboard &amp; Optimisation'!$B$16/3.6)</f>
        <v/>
      </c>
      <c r="O3568" s="24" t="n">
        <v>913.1096233382855</v>
      </c>
      <c r="P3568" s="25" t="n">
        <v>0.0654050150778063</v>
      </c>
      <c r="Q3568" s="26" t="n">
        <v>5.595023284726097</v>
      </c>
      <c r="R3568" s="24" t="n">
        <v>4659.047908492857</v>
      </c>
      <c r="S3568" s="24">
        <f>R3568*IF(A3568=4, 2.0, 3.0)</f>
        <v/>
      </c>
      <c r="T3568" s="22">
        <f>'Dashboard &amp; Optimisation'!$B$18*U3568</f>
        <v/>
      </c>
      <c r="U3568" s="27">
        <f>MIN(1, S3568/M3568)</f>
        <v/>
      </c>
      <c r="V3568" s="27">
        <f>N3568/(N3568+O3568)</f>
        <v/>
      </c>
      <c r="W3568" s="27">
        <f>U3568*V3568</f>
        <v/>
      </c>
      <c r="X3568" s="25">
        <f>T3568/N3568</f>
        <v/>
      </c>
      <c r="Y3568" s="28">
        <f>IF(W3568=MAXIFS(W$2:W$3601, A$2:A$3601, A3568, B$2:B$3601, B3568), "OPTIMAL", "")</f>
        <v/>
      </c>
    </row>
    <row r="3569" ht="20" customHeight="1">
      <c r="A3569" s="29" t="n">
        <v>-18</v>
      </c>
      <c r="B3569" s="29" t="n">
        <v>45</v>
      </c>
      <c r="C3569" s="30" t="n">
        <v>120</v>
      </c>
      <c r="D3569" s="30" t="n">
        <v>2</v>
      </c>
      <c r="E3569" s="6" t="n">
        <v>4</v>
      </c>
      <c r="F3569" s="30" t="n">
        <v>1.5</v>
      </c>
      <c r="G3569" s="6" t="inlineStr">
        <is>
          <t>Non</t>
        </is>
      </c>
      <c r="H3569" s="6" t="inlineStr">
        <is>
          <t>OFF</t>
        </is>
      </c>
      <c r="I3569" s="31" t="n">
        <v>885.2722778138215</v>
      </c>
      <c r="J3569" s="31" t="n">
        <v>10520.73059103506</v>
      </c>
      <c r="K3569" s="31" t="n">
        <v>5101.851851851852</v>
      </c>
      <c r="L3569" s="31" t="n">
        <v>150</v>
      </c>
      <c r="M3569" s="31">
        <f>I3569+J3569+K3569+L3569</f>
        <v/>
      </c>
      <c r="N3569" s="31">
        <f>M3569*'Dashboard &amp; Optimisation'!$B$18/('Dashboard &amp; Optimisation'!$B$16/3.6)</f>
        <v/>
      </c>
      <c r="O3569" s="31" t="n">
        <v>913.1096233382855</v>
      </c>
      <c r="P3569" s="32" t="n">
        <v>0.2690782280335459</v>
      </c>
      <c r="Q3569" s="33" t="n">
        <v>5.595023284726097</v>
      </c>
      <c r="R3569" s="31" t="n">
        <v>1132.477721925563</v>
      </c>
      <c r="S3569" s="31">
        <f>R3569*IF(A3569=4, 2.0, 3.0)</f>
        <v/>
      </c>
      <c r="T3569" s="30">
        <f>'Dashboard &amp; Optimisation'!$B$18*U3569</f>
        <v/>
      </c>
      <c r="U3569" s="34">
        <f>MIN(1, S3569/M3569)</f>
        <v/>
      </c>
      <c r="V3569" s="34">
        <f>N3569/(N3569+O3569)</f>
        <v/>
      </c>
      <c r="W3569" s="34">
        <f>U3569*V3569</f>
        <v/>
      </c>
      <c r="X3569" s="32">
        <f>T3569/N3569</f>
        <v/>
      </c>
      <c r="Y3569" s="35">
        <f>IF(W3569=MAXIFS(W$2:W$3601, A$2:A$3601, A3569, B$2:B$3601, B3569), "OPTIMAL", "")</f>
        <v/>
      </c>
    </row>
    <row r="3570" ht="20" customHeight="1">
      <c r="A3570" s="21" t="n">
        <v>-18</v>
      </c>
      <c r="B3570" s="21" t="n">
        <v>45</v>
      </c>
      <c r="C3570" s="22" t="n">
        <v>120</v>
      </c>
      <c r="D3570" s="22" t="n">
        <v>2</v>
      </c>
      <c r="E3570" s="23" t="n">
        <v>4</v>
      </c>
      <c r="F3570" s="22" t="n">
        <v>2</v>
      </c>
      <c r="G3570" s="23" t="inlineStr">
        <is>
          <t>Oui</t>
        </is>
      </c>
      <c r="H3570" s="23" t="inlineStr">
        <is>
          <t>ON</t>
        </is>
      </c>
      <c r="I3570" s="24" t="n">
        <v>885.2722778138215</v>
      </c>
      <c r="J3570" s="24" t="n">
        <v>10520.73059103506</v>
      </c>
      <c r="K3570" s="24" t="n">
        <v>5101.851851851852</v>
      </c>
      <c r="L3570" s="24" t="n">
        <v>150</v>
      </c>
      <c r="M3570" s="24">
        <f>I3570+J3570+K3570+L3570</f>
        <v/>
      </c>
      <c r="N3570" s="24">
        <f>M3570*'Dashboard &amp; Optimisation'!$B$18/('Dashboard &amp; Optimisation'!$B$16/3.6)</f>
        <v/>
      </c>
      <c r="O3570" s="24" t="n">
        <v>1023.373609489748</v>
      </c>
      <c r="P3570" s="25" t="n">
        <v>0.06474901627983365</v>
      </c>
      <c r="Q3570" s="26" t="n">
        <v>7.393364379634797</v>
      </c>
      <c r="R3570" s="24" t="n">
        <v>4749.080386302877</v>
      </c>
      <c r="S3570" s="24">
        <f>R3570*IF(A3570=4, 2.0, 3.0)</f>
        <v/>
      </c>
      <c r="T3570" s="22">
        <f>'Dashboard &amp; Optimisation'!$B$18*U3570</f>
        <v/>
      </c>
      <c r="U3570" s="27">
        <f>MIN(1, S3570/M3570)</f>
        <v/>
      </c>
      <c r="V3570" s="27">
        <f>N3570/(N3570+O3570)</f>
        <v/>
      </c>
      <c r="W3570" s="27">
        <f>U3570*V3570</f>
        <v/>
      </c>
      <c r="X3570" s="25">
        <f>T3570/N3570</f>
        <v/>
      </c>
      <c r="Y3570" s="28">
        <f>IF(W3570=MAXIFS(W$2:W$3601, A$2:A$3601, A3570, B$2:B$3601, B3570), "OPTIMAL", "")</f>
        <v/>
      </c>
    </row>
    <row r="3571" ht="20" customHeight="1">
      <c r="A3571" s="29" t="n">
        <v>-18</v>
      </c>
      <c r="B3571" s="29" t="n">
        <v>45</v>
      </c>
      <c r="C3571" s="30" t="n">
        <v>120</v>
      </c>
      <c r="D3571" s="30" t="n">
        <v>2</v>
      </c>
      <c r="E3571" s="6" t="n">
        <v>4</v>
      </c>
      <c r="F3571" s="30" t="n">
        <v>2</v>
      </c>
      <c r="G3571" s="6" t="inlineStr">
        <is>
          <t>Oui</t>
        </is>
      </c>
      <c r="H3571" s="6" t="inlineStr">
        <is>
          <t>OFF</t>
        </is>
      </c>
      <c r="I3571" s="31" t="n">
        <v>885.2722778138215</v>
      </c>
      <c r="J3571" s="31" t="n">
        <v>10520.73059103506</v>
      </c>
      <c r="K3571" s="31" t="n">
        <v>5101.851851851852</v>
      </c>
      <c r="L3571" s="31" t="n">
        <v>150</v>
      </c>
      <c r="M3571" s="31">
        <f>I3571+J3571+K3571+L3571</f>
        <v/>
      </c>
      <c r="N3571" s="31">
        <f>M3571*'Dashboard &amp; Optimisation'!$B$18/('Dashboard &amp; Optimisation'!$B$16/3.6)</f>
        <v/>
      </c>
      <c r="O3571" s="31" t="n">
        <v>1023.373609489748</v>
      </c>
      <c r="P3571" s="32" t="n">
        <v>0.269253725510994</v>
      </c>
      <c r="Q3571" s="33" t="n">
        <v>7.393364379634797</v>
      </c>
      <c r="R3571" s="31" t="n">
        <v>1142.039103315612</v>
      </c>
      <c r="S3571" s="31">
        <f>R3571*IF(A3571=4, 2.0, 3.0)</f>
        <v/>
      </c>
      <c r="T3571" s="30">
        <f>'Dashboard &amp; Optimisation'!$B$18*U3571</f>
        <v/>
      </c>
      <c r="U3571" s="34">
        <f>MIN(1, S3571/M3571)</f>
        <v/>
      </c>
      <c r="V3571" s="34">
        <f>N3571/(N3571+O3571)</f>
        <v/>
      </c>
      <c r="W3571" s="34">
        <f>U3571*V3571</f>
        <v/>
      </c>
      <c r="X3571" s="32">
        <f>T3571/N3571</f>
        <v/>
      </c>
      <c r="Y3571" s="35">
        <f>IF(W3571=MAXIFS(W$2:W$3601, A$2:A$3601, A3571, B$2:B$3601, B3571), "OPTIMAL", "")</f>
        <v/>
      </c>
    </row>
    <row r="3572" ht="20" customHeight="1">
      <c r="A3572" s="21" t="n">
        <v>-18</v>
      </c>
      <c r="B3572" s="21" t="n">
        <v>45</v>
      </c>
      <c r="C3572" s="22" t="n">
        <v>120</v>
      </c>
      <c r="D3572" s="22" t="n">
        <v>2</v>
      </c>
      <c r="E3572" s="23" t="n">
        <v>4</v>
      </c>
      <c r="F3572" s="22" t="n">
        <v>2</v>
      </c>
      <c r="G3572" s="23" t="inlineStr">
        <is>
          <t>Non</t>
        </is>
      </c>
      <c r="H3572" s="23" t="inlineStr">
        <is>
          <t>ON</t>
        </is>
      </c>
      <c r="I3572" s="24" t="n">
        <v>885.2722778138215</v>
      </c>
      <c r="J3572" s="24" t="n">
        <v>10520.73059103506</v>
      </c>
      <c r="K3572" s="24" t="n">
        <v>5101.851851851852</v>
      </c>
      <c r="L3572" s="24" t="n">
        <v>150</v>
      </c>
      <c r="M3572" s="24">
        <f>I3572+J3572+K3572+L3572</f>
        <v/>
      </c>
      <c r="N3572" s="24">
        <f>M3572*'Dashboard &amp; Optimisation'!$B$18/('Dashboard &amp; Optimisation'!$B$16/3.6)</f>
        <v/>
      </c>
      <c r="O3572" s="24" t="n">
        <v>1023.373609489748</v>
      </c>
      <c r="P3572" s="25" t="n">
        <v>0.06209643389496873</v>
      </c>
      <c r="Q3572" s="26" t="n">
        <v>7.393364379634797</v>
      </c>
      <c r="R3572" s="24" t="n">
        <v>4951.947542866519</v>
      </c>
      <c r="S3572" s="24">
        <f>R3572*IF(A3572=4, 2.0, 3.0)</f>
        <v/>
      </c>
      <c r="T3572" s="22">
        <f>'Dashboard &amp; Optimisation'!$B$18*U3572</f>
        <v/>
      </c>
      <c r="U3572" s="27">
        <f>MIN(1, S3572/M3572)</f>
        <v/>
      </c>
      <c r="V3572" s="27">
        <f>N3572/(N3572+O3572)</f>
        <v/>
      </c>
      <c r="W3572" s="27">
        <f>U3572*V3572</f>
        <v/>
      </c>
      <c r="X3572" s="25">
        <f>T3572/N3572</f>
        <v/>
      </c>
      <c r="Y3572" s="28">
        <f>IF(W3572=MAXIFS(W$2:W$3601, A$2:A$3601, A3572, B$2:B$3601, B3572), "OPTIMAL", "")</f>
        <v/>
      </c>
    </row>
    <row r="3573" ht="20" customHeight="1">
      <c r="A3573" s="29" t="n">
        <v>-18</v>
      </c>
      <c r="B3573" s="29" t="n">
        <v>45</v>
      </c>
      <c r="C3573" s="30" t="n">
        <v>120</v>
      </c>
      <c r="D3573" s="30" t="n">
        <v>2</v>
      </c>
      <c r="E3573" s="6" t="n">
        <v>4</v>
      </c>
      <c r="F3573" s="30" t="n">
        <v>2</v>
      </c>
      <c r="G3573" s="6" t="inlineStr">
        <is>
          <t>Non</t>
        </is>
      </c>
      <c r="H3573" s="6" t="inlineStr">
        <is>
          <t>OFF</t>
        </is>
      </c>
      <c r="I3573" s="31" t="n">
        <v>885.2722778138215</v>
      </c>
      <c r="J3573" s="31" t="n">
        <v>10520.73059103506</v>
      </c>
      <c r="K3573" s="31" t="n">
        <v>5101.851851851852</v>
      </c>
      <c r="L3573" s="31" t="n">
        <v>150</v>
      </c>
      <c r="M3573" s="31">
        <f>I3573+J3573+K3573+L3573</f>
        <v/>
      </c>
      <c r="N3573" s="31">
        <f>M3573*'Dashboard &amp; Optimisation'!$B$18/('Dashboard &amp; Optimisation'!$B$16/3.6)</f>
        <v/>
      </c>
      <c r="O3573" s="31" t="n">
        <v>1023.373609489748</v>
      </c>
      <c r="P3573" s="32" t="n">
        <v>0.2666011431261291</v>
      </c>
      <c r="Q3573" s="33" t="n">
        <v>7.393364379634797</v>
      </c>
      <c r="R3573" s="31" t="n">
        <v>1153.401968353474</v>
      </c>
      <c r="S3573" s="31">
        <f>R3573*IF(A3573=4, 2.0, 3.0)</f>
        <v/>
      </c>
      <c r="T3573" s="30">
        <f>'Dashboard &amp; Optimisation'!$B$18*U3573</f>
        <v/>
      </c>
      <c r="U3573" s="34">
        <f>MIN(1, S3573/M3573)</f>
        <v/>
      </c>
      <c r="V3573" s="34">
        <f>N3573/(N3573+O3573)</f>
        <v/>
      </c>
      <c r="W3573" s="34">
        <f>U3573*V3573</f>
        <v/>
      </c>
      <c r="X3573" s="32">
        <f>T3573/N3573</f>
        <v/>
      </c>
      <c r="Y3573" s="35">
        <f>IF(W3573=MAXIFS(W$2:W$3601, A$2:A$3601, A3573, B$2:B$3601, B3573), "OPTIMAL", "")</f>
        <v/>
      </c>
    </row>
    <row r="3574" ht="20" customHeight="1">
      <c r="A3574" s="21" t="n">
        <v>-18</v>
      </c>
      <c r="B3574" s="21" t="n">
        <v>45</v>
      </c>
      <c r="C3574" s="22" t="n">
        <v>120</v>
      </c>
      <c r="D3574" s="22" t="n">
        <v>2</v>
      </c>
      <c r="E3574" s="23" t="n">
        <v>8</v>
      </c>
      <c r="F3574" s="22" t="n">
        <v>1.5</v>
      </c>
      <c r="G3574" s="23" t="inlineStr">
        <is>
          <t>Oui</t>
        </is>
      </c>
      <c r="H3574" s="23" t="inlineStr">
        <is>
          <t>ON</t>
        </is>
      </c>
      <c r="I3574" s="24" t="n">
        <v>885.2722778138215</v>
      </c>
      <c r="J3574" s="24" t="n">
        <v>10520.73059103506</v>
      </c>
      <c r="K3574" s="24" t="n">
        <v>5101.851851851852</v>
      </c>
      <c r="L3574" s="24" t="n">
        <v>150</v>
      </c>
      <c r="M3574" s="24">
        <f>I3574+J3574+K3574+L3574</f>
        <v/>
      </c>
      <c r="N3574" s="24">
        <f>M3574*'Dashboard &amp; Optimisation'!$B$18/('Dashboard &amp; Optimisation'!$B$16/3.6)</f>
        <v/>
      </c>
      <c r="O3574" s="24" t="n">
        <v>1250.034017394404</v>
      </c>
      <c r="P3574" s="25" t="n">
        <v>0.05155761606859751</v>
      </c>
      <c r="Q3574" s="26" t="n">
        <v>10.9900465694522</v>
      </c>
      <c r="R3574" s="24" t="n">
        <v>6074.735596621237</v>
      </c>
      <c r="S3574" s="24">
        <f>R3574*IF(A3574=4, 2.0, 3.0)</f>
        <v/>
      </c>
      <c r="T3574" s="22">
        <f>'Dashboard &amp; Optimisation'!$B$18*U3574</f>
        <v/>
      </c>
      <c r="U3574" s="27">
        <f>MIN(1, S3574/M3574)</f>
        <v/>
      </c>
      <c r="V3574" s="27">
        <f>N3574/(N3574+O3574)</f>
        <v/>
      </c>
      <c r="W3574" s="27">
        <f>U3574*V3574</f>
        <v/>
      </c>
      <c r="X3574" s="25">
        <f>T3574/N3574</f>
        <v/>
      </c>
      <c r="Y3574" s="28">
        <f>IF(W3574=MAXIFS(W$2:W$3601, A$2:A$3601, A3574, B$2:B$3601, B3574), "OPTIMAL", "")</f>
        <v/>
      </c>
    </row>
    <row r="3575" ht="20" customHeight="1">
      <c r="A3575" s="29" t="n">
        <v>-18</v>
      </c>
      <c r="B3575" s="29" t="n">
        <v>45</v>
      </c>
      <c r="C3575" s="30" t="n">
        <v>120</v>
      </c>
      <c r="D3575" s="30" t="n">
        <v>2</v>
      </c>
      <c r="E3575" s="6" t="n">
        <v>8</v>
      </c>
      <c r="F3575" s="30" t="n">
        <v>1.5</v>
      </c>
      <c r="G3575" s="6" t="inlineStr">
        <is>
          <t>Oui</t>
        </is>
      </c>
      <c r="H3575" s="6" t="inlineStr">
        <is>
          <t>OFF</t>
        </is>
      </c>
      <c r="I3575" s="31" t="n">
        <v>885.2722778138215</v>
      </c>
      <c r="J3575" s="31" t="n">
        <v>10520.73059103506</v>
      </c>
      <c r="K3575" s="31" t="n">
        <v>5101.851851851852</v>
      </c>
      <c r="L3575" s="31" t="n">
        <v>150</v>
      </c>
      <c r="M3575" s="31">
        <f>I3575+J3575+K3575+L3575</f>
        <v/>
      </c>
      <c r="N3575" s="31">
        <f>M3575*'Dashboard &amp; Optimisation'!$B$18/('Dashboard &amp; Optimisation'!$B$16/3.6)</f>
        <v/>
      </c>
      <c r="O3575" s="31" t="n">
        <v>1250.034017394404</v>
      </c>
      <c r="P3575" s="32" t="n">
        <v>0.216853233443705</v>
      </c>
      <c r="Q3575" s="33" t="n">
        <v>10.9900465694522</v>
      </c>
      <c r="R3575" s="31" t="n">
        <v>1444.289672951299</v>
      </c>
      <c r="S3575" s="31">
        <f>R3575*IF(A3575=4, 2.0, 3.0)</f>
        <v/>
      </c>
      <c r="T3575" s="30">
        <f>'Dashboard &amp; Optimisation'!$B$18*U3575</f>
        <v/>
      </c>
      <c r="U3575" s="34">
        <f>MIN(1, S3575/M3575)</f>
        <v/>
      </c>
      <c r="V3575" s="34">
        <f>N3575/(N3575+O3575)</f>
        <v/>
      </c>
      <c r="W3575" s="34">
        <f>U3575*V3575</f>
        <v/>
      </c>
      <c r="X3575" s="32">
        <f>T3575/N3575</f>
        <v/>
      </c>
      <c r="Y3575" s="35">
        <f>IF(W3575=MAXIFS(W$2:W$3601, A$2:A$3601, A3575, B$2:B$3601, B3575), "OPTIMAL", "")</f>
        <v/>
      </c>
    </row>
    <row r="3576" ht="20" customHeight="1">
      <c r="A3576" s="21" t="n">
        <v>-18</v>
      </c>
      <c r="B3576" s="21" t="n">
        <v>45</v>
      </c>
      <c r="C3576" s="22" t="n">
        <v>120</v>
      </c>
      <c r="D3576" s="22" t="n">
        <v>2</v>
      </c>
      <c r="E3576" s="23" t="n">
        <v>8</v>
      </c>
      <c r="F3576" s="22" t="n">
        <v>1.5</v>
      </c>
      <c r="G3576" s="23" t="inlineStr">
        <is>
          <t>Non</t>
        </is>
      </c>
      <c r="H3576" s="23" t="inlineStr">
        <is>
          <t>ON</t>
        </is>
      </c>
      <c r="I3576" s="24" t="n">
        <v>885.2722778138215</v>
      </c>
      <c r="J3576" s="24" t="n">
        <v>10520.73059103506</v>
      </c>
      <c r="K3576" s="24" t="n">
        <v>5101.851851851852</v>
      </c>
      <c r="L3576" s="24" t="n">
        <v>150</v>
      </c>
      <c r="M3576" s="24">
        <f>I3576+J3576+K3576+L3576</f>
        <v/>
      </c>
      <c r="N3576" s="24">
        <f>M3576*'Dashboard &amp; Optimisation'!$B$18/('Dashboard &amp; Optimisation'!$B$16/3.6)</f>
        <v/>
      </c>
      <c r="O3576" s="24" t="n">
        <v>1250.034017394404</v>
      </c>
      <c r="P3576" s="25" t="n">
        <v>0.04890503368373258</v>
      </c>
      <c r="Q3576" s="26" t="n">
        <v>10.9900465694522</v>
      </c>
      <c r="R3576" s="24" t="n">
        <v>6404.225946030185</v>
      </c>
      <c r="S3576" s="24">
        <f>R3576*IF(A3576=4, 2.0, 3.0)</f>
        <v/>
      </c>
      <c r="T3576" s="22">
        <f>'Dashboard &amp; Optimisation'!$B$18*U3576</f>
        <v/>
      </c>
      <c r="U3576" s="27">
        <f>MIN(1, S3576/M3576)</f>
        <v/>
      </c>
      <c r="V3576" s="27">
        <f>N3576/(N3576+O3576)</f>
        <v/>
      </c>
      <c r="W3576" s="27">
        <f>U3576*V3576</f>
        <v/>
      </c>
      <c r="X3576" s="25">
        <f>T3576/N3576</f>
        <v/>
      </c>
      <c r="Y3576" s="28">
        <f>IF(W3576=MAXIFS(W$2:W$3601, A$2:A$3601, A3576, B$2:B$3601, B3576), "OPTIMAL", "")</f>
        <v/>
      </c>
    </row>
    <row r="3577" ht="20" customHeight="1">
      <c r="A3577" s="29" t="n">
        <v>-18</v>
      </c>
      <c r="B3577" s="29" t="n">
        <v>45</v>
      </c>
      <c r="C3577" s="30" t="n">
        <v>120</v>
      </c>
      <c r="D3577" s="30" t="n">
        <v>2</v>
      </c>
      <c r="E3577" s="6" t="n">
        <v>8</v>
      </c>
      <c r="F3577" s="30" t="n">
        <v>1.5</v>
      </c>
      <c r="G3577" s="6" t="inlineStr">
        <is>
          <t>Non</t>
        </is>
      </c>
      <c r="H3577" s="6" t="inlineStr">
        <is>
          <t>OFF</t>
        </is>
      </c>
      <c r="I3577" s="31" t="n">
        <v>885.2722778138215</v>
      </c>
      <c r="J3577" s="31" t="n">
        <v>10520.73059103506</v>
      </c>
      <c r="K3577" s="31" t="n">
        <v>5101.851851851852</v>
      </c>
      <c r="L3577" s="31" t="n">
        <v>150</v>
      </c>
      <c r="M3577" s="31">
        <f>I3577+J3577+K3577+L3577</f>
        <v/>
      </c>
      <c r="N3577" s="31">
        <f>M3577*'Dashboard &amp; Optimisation'!$B$18/('Dashboard &amp; Optimisation'!$B$16/3.6)</f>
        <v/>
      </c>
      <c r="O3577" s="31" t="n">
        <v>1250.034017394404</v>
      </c>
      <c r="P3577" s="32" t="n">
        <v>0.2142006510588401</v>
      </c>
      <c r="Q3577" s="33" t="n">
        <v>10.9900465694522</v>
      </c>
      <c r="R3577" s="31" t="n">
        <v>1462.175227108931</v>
      </c>
      <c r="S3577" s="31">
        <f>R3577*IF(A3577=4, 2.0, 3.0)</f>
        <v/>
      </c>
      <c r="T3577" s="30">
        <f>'Dashboard &amp; Optimisation'!$B$18*U3577</f>
        <v/>
      </c>
      <c r="U3577" s="34">
        <f>MIN(1, S3577/M3577)</f>
        <v/>
      </c>
      <c r="V3577" s="34">
        <f>N3577/(N3577+O3577)</f>
        <v/>
      </c>
      <c r="W3577" s="34">
        <f>U3577*V3577</f>
        <v/>
      </c>
      <c r="X3577" s="32">
        <f>T3577/N3577</f>
        <v/>
      </c>
      <c r="Y3577" s="35">
        <f>IF(W3577=MAXIFS(W$2:W$3601, A$2:A$3601, A3577, B$2:B$3601, B3577), "OPTIMAL", "")</f>
        <v/>
      </c>
    </row>
    <row r="3578" ht="20" customHeight="1">
      <c r="A3578" s="21" t="n">
        <v>-18</v>
      </c>
      <c r="B3578" s="21" t="n">
        <v>45</v>
      </c>
      <c r="C3578" s="22" t="n">
        <v>120</v>
      </c>
      <c r="D3578" s="22" t="n">
        <v>2</v>
      </c>
      <c r="E3578" s="23" t="n">
        <v>8</v>
      </c>
      <c r="F3578" s="22" t="n">
        <v>2</v>
      </c>
      <c r="G3578" s="23" t="inlineStr">
        <is>
          <t>Oui</t>
        </is>
      </c>
      <c r="H3578" s="23" t="inlineStr">
        <is>
          <t>ON</t>
        </is>
      </c>
      <c r="I3578" s="24" t="n">
        <v>885.2722778138215</v>
      </c>
      <c r="J3578" s="24" t="n">
        <v>10520.73059103506</v>
      </c>
      <c r="K3578" s="24" t="n">
        <v>5101.851851851852</v>
      </c>
      <c r="L3578" s="24" t="n">
        <v>150</v>
      </c>
      <c r="M3578" s="24">
        <f>I3578+J3578+K3578+L3578</f>
        <v/>
      </c>
      <c r="N3578" s="24">
        <f>M3578*'Dashboard &amp; Optimisation'!$B$18/('Dashboard &amp; Optimisation'!$B$16/3.6)</f>
        <v/>
      </c>
      <c r="O3578" s="24" t="n">
        <v>1485.25712102857</v>
      </c>
      <c r="P3578" s="25" t="n">
        <v>0.04997260972227939</v>
      </c>
      <c r="Q3578" s="26" t="n">
        <v>14.58672875926959</v>
      </c>
      <c r="R3578" s="24" t="n">
        <v>6385.795039702665</v>
      </c>
      <c r="S3578" s="24">
        <f>R3578*IF(A3578=4, 2.0, 3.0)</f>
        <v/>
      </c>
      <c r="T3578" s="22">
        <f>'Dashboard &amp; Optimisation'!$B$18*U3578</f>
        <v/>
      </c>
      <c r="U3578" s="27">
        <f>MIN(1, S3578/M3578)</f>
        <v/>
      </c>
      <c r="V3578" s="27">
        <f>N3578/(N3578+O3578)</f>
        <v/>
      </c>
      <c r="W3578" s="27">
        <f>U3578*V3578</f>
        <v/>
      </c>
      <c r="X3578" s="25">
        <f>T3578/N3578</f>
        <v/>
      </c>
      <c r="Y3578" s="28">
        <f>IF(W3578=MAXIFS(W$2:W$3601, A$2:A$3601, A3578, B$2:B$3601, B3578), "OPTIMAL", "")</f>
        <v/>
      </c>
    </row>
    <row r="3579" ht="20" customHeight="1">
      <c r="A3579" s="29" t="n">
        <v>-18</v>
      </c>
      <c r="B3579" s="29" t="n">
        <v>45</v>
      </c>
      <c r="C3579" s="30" t="n">
        <v>120</v>
      </c>
      <c r="D3579" s="30" t="n">
        <v>2</v>
      </c>
      <c r="E3579" s="6" t="n">
        <v>8</v>
      </c>
      <c r="F3579" s="30" t="n">
        <v>2</v>
      </c>
      <c r="G3579" s="6" t="inlineStr">
        <is>
          <t>Oui</t>
        </is>
      </c>
      <c r="H3579" s="6" t="inlineStr">
        <is>
          <t>OFF</t>
        </is>
      </c>
      <c r="I3579" s="31" t="n">
        <v>885.2722778138215</v>
      </c>
      <c r="J3579" s="31" t="n">
        <v>10520.73059103506</v>
      </c>
      <c r="K3579" s="31" t="n">
        <v>5101.851851851852</v>
      </c>
      <c r="L3579" s="31" t="n">
        <v>150</v>
      </c>
      <c r="M3579" s="31">
        <f>I3579+J3579+K3579+L3579</f>
        <v/>
      </c>
      <c r="N3579" s="31">
        <f>M3579*'Dashboard &amp; Optimisation'!$B$18/('Dashboard &amp; Optimisation'!$B$16/3.6)</f>
        <v/>
      </c>
      <c r="O3579" s="31" t="n">
        <v>1485.25712102857</v>
      </c>
      <c r="P3579" s="32" t="n">
        <v>0.2163666659525478</v>
      </c>
      <c r="Q3579" s="33" t="n">
        <v>14.58672875926959</v>
      </c>
      <c r="R3579" s="31" t="n">
        <v>1474.87988448052</v>
      </c>
      <c r="S3579" s="31">
        <f>R3579*IF(A3579=4, 2.0, 3.0)</f>
        <v/>
      </c>
      <c r="T3579" s="30">
        <f>'Dashboard &amp; Optimisation'!$B$18*U3579</f>
        <v/>
      </c>
      <c r="U3579" s="34">
        <f>MIN(1, S3579/M3579)</f>
        <v/>
      </c>
      <c r="V3579" s="34">
        <f>N3579/(N3579+O3579)</f>
        <v/>
      </c>
      <c r="W3579" s="34">
        <f>U3579*V3579</f>
        <v/>
      </c>
      <c r="X3579" s="32">
        <f>T3579/N3579</f>
        <v/>
      </c>
      <c r="Y3579" s="35">
        <f>IF(W3579=MAXIFS(W$2:W$3601, A$2:A$3601, A3579, B$2:B$3601, B3579), "OPTIMAL", "")</f>
        <v/>
      </c>
    </row>
    <row r="3580" ht="20" customHeight="1">
      <c r="A3580" s="21" t="n">
        <v>-18</v>
      </c>
      <c r="B3580" s="21" t="n">
        <v>45</v>
      </c>
      <c r="C3580" s="22" t="n">
        <v>120</v>
      </c>
      <c r="D3580" s="22" t="n">
        <v>2</v>
      </c>
      <c r="E3580" s="23" t="n">
        <v>8</v>
      </c>
      <c r="F3580" s="22" t="n">
        <v>2</v>
      </c>
      <c r="G3580" s="23" t="inlineStr">
        <is>
          <t>Non</t>
        </is>
      </c>
      <c r="H3580" s="23" t="inlineStr">
        <is>
          <t>ON</t>
        </is>
      </c>
      <c r="I3580" s="24" t="n">
        <v>885.2722778138215</v>
      </c>
      <c r="J3580" s="24" t="n">
        <v>10520.73059103506</v>
      </c>
      <c r="K3580" s="24" t="n">
        <v>5101.851851851852</v>
      </c>
      <c r="L3580" s="24" t="n">
        <v>150</v>
      </c>
      <c r="M3580" s="24">
        <f>I3580+J3580+K3580+L3580</f>
        <v/>
      </c>
      <c r="N3580" s="24">
        <f>M3580*'Dashboard &amp; Optimisation'!$B$18/('Dashboard &amp; Optimisation'!$B$16/3.6)</f>
        <v/>
      </c>
      <c r="O3580" s="24" t="n">
        <v>1485.25712102857</v>
      </c>
      <c r="P3580" s="25" t="n">
        <v>0.04732002733741447</v>
      </c>
      <c r="Q3580" s="26" t="n">
        <v>14.58672875926959</v>
      </c>
      <c r="R3580" s="24" t="n">
        <v>6743.758641771004</v>
      </c>
      <c r="S3580" s="24">
        <f>R3580*IF(A3580=4, 2.0, 3.0)</f>
        <v/>
      </c>
      <c r="T3580" s="22">
        <f>'Dashboard &amp; Optimisation'!$B$18*U3580</f>
        <v/>
      </c>
      <c r="U3580" s="27">
        <f>MIN(1, S3580/M3580)</f>
        <v/>
      </c>
      <c r="V3580" s="27">
        <f>N3580/(N3580+O3580)</f>
        <v/>
      </c>
      <c r="W3580" s="27">
        <f>U3580*V3580</f>
        <v/>
      </c>
      <c r="X3580" s="25">
        <f>T3580/N3580</f>
        <v/>
      </c>
      <c r="Y3580" s="28">
        <f>IF(W3580=MAXIFS(W$2:W$3601, A$2:A$3601, A3580, B$2:B$3601, B3580), "OPTIMAL", "")</f>
        <v/>
      </c>
    </row>
    <row r="3581" ht="20" customHeight="1">
      <c r="A3581" s="29" t="n">
        <v>-18</v>
      </c>
      <c r="B3581" s="29" t="n">
        <v>45</v>
      </c>
      <c r="C3581" s="30" t="n">
        <v>120</v>
      </c>
      <c r="D3581" s="30" t="n">
        <v>2</v>
      </c>
      <c r="E3581" s="6" t="n">
        <v>8</v>
      </c>
      <c r="F3581" s="30" t="n">
        <v>2</v>
      </c>
      <c r="G3581" s="6" t="inlineStr">
        <is>
          <t>Non</t>
        </is>
      </c>
      <c r="H3581" s="6" t="inlineStr">
        <is>
          <t>OFF</t>
        </is>
      </c>
      <c r="I3581" s="31" t="n">
        <v>885.2722778138215</v>
      </c>
      <c r="J3581" s="31" t="n">
        <v>10520.73059103506</v>
      </c>
      <c r="K3581" s="31" t="n">
        <v>5101.851851851852</v>
      </c>
      <c r="L3581" s="31" t="n">
        <v>150</v>
      </c>
      <c r="M3581" s="31">
        <f>I3581+J3581+K3581+L3581</f>
        <v/>
      </c>
      <c r="N3581" s="31">
        <f>M3581*'Dashboard &amp; Optimisation'!$B$18/('Dashboard &amp; Optimisation'!$B$16/3.6)</f>
        <v/>
      </c>
      <c r="O3581" s="31" t="n">
        <v>1485.25712102857</v>
      </c>
      <c r="P3581" s="32" t="n">
        <v>0.2137140835676829</v>
      </c>
      <c r="Q3581" s="33" t="n">
        <v>14.58672875926959</v>
      </c>
      <c r="R3581" s="31" t="n">
        <v>1493.185839502551</v>
      </c>
      <c r="S3581" s="31">
        <f>R3581*IF(A3581=4, 2.0, 3.0)</f>
        <v/>
      </c>
      <c r="T3581" s="30">
        <f>'Dashboard &amp; Optimisation'!$B$18*U3581</f>
        <v/>
      </c>
      <c r="U3581" s="34">
        <f>MIN(1, S3581/M3581)</f>
        <v/>
      </c>
      <c r="V3581" s="34">
        <f>N3581/(N3581+O3581)</f>
        <v/>
      </c>
      <c r="W3581" s="34">
        <f>U3581*V3581</f>
        <v/>
      </c>
      <c r="X3581" s="32">
        <f>T3581/N3581</f>
        <v/>
      </c>
      <c r="Y3581" s="35">
        <f>IF(W3581=MAXIFS(W$2:W$3601, A$2:A$3601, A3581, B$2:B$3601, B3581), "OPTIMAL", "")</f>
        <v/>
      </c>
    </row>
    <row r="3582" ht="20" customHeight="1">
      <c r="A3582" s="21" t="n">
        <v>-18</v>
      </c>
      <c r="B3582" s="21" t="n">
        <v>45</v>
      </c>
      <c r="C3582" s="22" t="n">
        <v>120</v>
      </c>
      <c r="D3582" s="22" t="n">
        <v>3</v>
      </c>
      <c r="E3582" s="23" t="n">
        <v>0</v>
      </c>
      <c r="F3582" s="22" t="n">
        <v>0</v>
      </c>
      <c r="G3582" s="23" t="inlineStr">
        <is>
          <t>Oui</t>
        </is>
      </c>
      <c r="H3582" s="23" t="inlineStr">
        <is>
          <t>ON</t>
        </is>
      </c>
      <c r="I3582" s="24" t="n">
        <v>885.2722778138215</v>
      </c>
      <c r="J3582" s="24" t="n">
        <v>10520.73059103506</v>
      </c>
      <c r="K3582" s="24" t="n">
        <v>5101.851851851852</v>
      </c>
      <c r="L3582" s="24" t="n">
        <v>150</v>
      </c>
      <c r="M3582" s="24">
        <f>I3582+J3582+K3582+L3582</f>
        <v/>
      </c>
      <c r="N3582" s="24">
        <f>M3582*'Dashboard &amp; Optimisation'!$B$18/('Dashboard &amp; Optimisation'!$B$16/3.6)</f>
        <v/>
      </c>
      <c r="O3582" s="24" t="n">
        <v>914.6212688100585</v>
      </c>
      <c r="P3582" s="25" t="n">
        <v>0.4668943220842715</v>
      </c>
      <c r="Q3582" s="26" t="n">
        <v>0.2</v>
      </c>
      <c r="R3582" s="24" t="n">
        <v>657.9637248105299</v>
      </c>
      <c r="S3582" s="24">
        <f>R3582*IF(A3582=4, 2.0, 3.0)</f>
        <v/>
      </c>
      <c r="T3582" s="22">
        <f>'Dashboard &amp; Optimisation'!$B$18*U3582</f>
        <v/>
      </c>
      <c r="U3582" s="27">
        <f>MIN(1, S3582/M3582)</f>
        <v/>
      </c>
      <c r="V3582" s="27">
        <f>N3582/(N3582+O3582)</f>
        <v/>
      </c>
      <c r="W3582" s="27">
        <f>U3582*V3582</f>
        <v/>
      </c>
      <c r="X3582" s="25">
        <f>T3582/N3582</f>
        <v/>
      </c>
      <c r="Y3582" s="28">
        <f>IF(W3582=MAXIFS(W$2:W$3601, A$2:A$3601, A3582, B$2:B$3601, B3582), "OPTIMAL", "")</f>
        <v/>
      </c>
    </row>
    <row r="3583" ht="20" customHeight="1">
      <c r="A3583" s="29" t="n">
        <v>-18</v>
      </c>
      <c r="B3583" s="29" t="n">
        <v>45</v>
      </c>
      <c r="C3583" s="30" t="n">
        <v>120</v>
      </c>
      <c r="D3583" s="30" t="n">
        <v>3</v>
      </c>
      <c r="E3583" s="6" t="n">
        <v>0</v>
      </c>
      <c r="F3583" s="30" t="n">
        <v>0</v>
      </c>
      <c r="G3583" s="6" t="inlineStr">
        <is>
          <t>Oui</t>
        </is>
      </c>
      <c r="H3583" s="6" t="inlineStr">
        <is>
          <t>OFF</t>
        </is>
      </c>
      <c r="I3583" s="31" t="n">
        <v>885.2722778138215</v>
      </c>
      <c r="J3583" s="31" t="n">
        <v>10520.73059103506</v>
      </c>
      <c r="K3583" s="31" t="n">
        <v>5101.851851851852</v>
      </c>
      <c r="L3583" s="31" t="n">
        <v>150</v>
      </c>
      <c r="M3583" s="31">
        <f>I3583+J3583+K3583+L3583</f>
        <v/>
      </c>
      <c r="N3583" s="31">
        <f>M3583*'Dashboard &amp; Optimisation'!$B$18/('Dashboard &amp; Optimisation'!$B$16/3.6)</f>
        <v/>
      </c>
      <c r="O3583" s="31" t="n">
        <v>914.6212688100585</v>
      </c>
      <c r="P3583" s="32" t="n">
        <v>0.7321525605707637</v>
      </c>
      <c r="Q3583" s="33" t="n">
        <v>0.2</v>
      </c>
      <c r="R3583" s="31" t="n">
        <v>419.5840372558025</v>
      </c>
      <c r="S3583" s="31">
        <f>R3583*IF(A3583=4, 2.0, 3.0)</f>
        <v/>
      </c>
      <c r="T3583" s="30">
        <f>'Dashboard &amp; Optimisation'!$B$18*U3583</f>
        <v/>
      </c>
      <c r="U3583" s="34">
        <f>MIN(1, S3583/M3583)</f>
        <v/>
      </c>
      <c r="V3583" s="34">
        <f>N3583/(N3583+O3583)</f>
        <v/>
      </c>
      <c r="W3583" s="34">
        <f>U3583*V3583</f>
        <v/>
      </c>
      <c r="X3583" s="32">
        <f>T3583/N3583</f>
        <v/>
      </c>
      <c r="Y3583" s="35">
        <f>IF(W3583=MAXIFS(W$2:W$3601, A$2:A$3601, A3583, B$2:B$3601, B3583), "OPTIMAL", "")</f>
        <v/>
      </c>
    </row>
    <row r="3584" ht="20" customHeight="1">
      <c r="A3584" s="21" t="n">
        <v>-18</v>
      </c>
      <c r="B3584" s="21" t="n">
        <v>45</v>
      </c>
      <c r="C3584" s="22" t="n">
        <v>120</v>
      </c>
      <c r="D3584" s="22" t="n">
        <v>3</v>
      </c>
      <c r="E3584" s="23" t="n">
        <v>0</v>
      </c>
      <c r="F3584" s="22" t="n">
        <v>0</v>
      </c>
      <c r="G3584" s="23" t="inlineStr">
        <is>
          <t>Non</t>
        </is>
      </c>
      <c r="H3584" s="23" t="inlineStr">
        <is>
          <t>ON</t>
        </is>
      </c>
      <c r="I3584" s="24" t="n">
        <v>885.2722778138215</v>
      </c>
      <c r="J3584" s="24" t="n">
        <v>10520.73059103506</v>
      </c>
      <c r="K3584" s="24" t="n">
        <v>5101.851851851852</v>
      </c>
      <c r="L3584" s="24" t="n">
        <v>150</v>
      </c>
      <c r="M3584" s="24">
        <f>I3584+J3584+K3584+L3584</f>
        <v/>
      </c>
      <c r="N3584" s="24">
        <f>M3584*'Dashboard &amp; Optimisation'!$B$18/('Dashboard &amp; Optimisation'!$B$16/3.6)</f>
        <v/>
      </c>
      <c r="O3584" s="24" t="n">
        <v>914.6212688100585</v>
      </c>
      <c r="P3584" s="25" t="n">
        <v>0.4642417396994065</v>
      </c>
      <c r="Q3584" s="26" t="n">
        <v>0.2</v>
      </c>
      <c r="R3584" s="24" t="n">
        <v>661.7231950112116</v>
      </c>
      <c r="S3584" s="24">
        <f>R3584*IF(A3584=4, 2.0, 3.0)</f>
        <v/>
      </c>
      <c r="T3584" s="22">
        <f>'Dashboard &amp; Optimisation'!$B$18*U3584</f>
        <v/>
      </c>
      <c r="U3584" s="27">
        <f>MIN(1, S3584/M3584)</f>
        <v/>
      </c>
      <c r="V3584" s="27">
        <f>N3584/(N3584+O3584)</f>
        <v/>
      </c>
      <c r="W3584" s="27">
        <f>U3584*V3584</f>
        <v/>
      </c>
      <c r="X3584" s="25">
        <f>T3584/N3584</f>
        <v/>
      </c>
      <c r="Y3584" s="28">
        <f>IF(W3584=MAXIFS(W$2:W$3601, A$2:A$3601, A3584, B$2:B$3601, B3584), "OPTIMAL", "")</f>
        <v/>
      </c>
    </row>
    <row r="3585" ht="20" customHeight="1">
      <c r="A3585" s="29" t="n">
        <v>-18</v>
      </c>
      <c r="B3585" s="29" t="n">
        <v>45</v>
      </c>
      <c r="C3585" s="30" t="n">
        <v>120</v>
      </c>
      <c r="D3585" s="30" t="n">
        <v>3</v>
      </c>
      <c r="E3585" s="6" t="n">
        <v>0</v>
      </c>
      <c r="F3585" s="30" t="n">
        <v>0</v>
      </c>
      <c r="G3585" s="6" t="inlineStr">
        <is>
          <t>Non</t>
        </is>
      </c>
      <c r="H3585" s="6" t="inlineStr">
        <is>
          <t>OFF</t>
        </is>
      </c>
      <c r="I3585" s="31" t="n">
        <v>885.2722778138215</v>
      </c>
      <c r="J3585" s="31" t="n">
        <v>10520.73059103506</v>
      </c>
      <c r="K3585" s="31" t="n">
        <v>5101.851851851852</v>
      </c>
      <c r="L3585" s="31" t="n">
        <v>150</v>
      </c>
      <c r="M3585" s="31">
        <f>I3585+J3585+K3585+L3585</f>
        <v/>
      </c>
      <c r="N3585" s="31">
        <f>M3585*'Dashboard &amp; Optimisation'!$B$18/('Dashboard &amp; Optimisation'!$B$16/3.6)</f>
        <v/>
      </c>
      <c r="O3585" s="31" t="n">
        <v>914.6212688100585</v>
      </c>
      <c r="P3585" s="32" t="n">
        <v>0.7294999781858988</v>
      </c>
      <c r="Q3585" s="33" t="n">
        <v>0.2</v>
      </c>
      <c r="R3585" s="31" t="n">
        <v>421.1097141022405</v>
      </c>
      <c r="S3585" s="31">
        <f>R3585*IF(A3585=4, 2.0, 3.0)</f>
        <v/>
      </c>
      <c r="T3585" s="30">
        <f>'Dashboard &amp; Optimisation'!$B$18*U3585</f>
        <v/>
      </c>
      <c r="U3585" s="34">
        <f>MIN(1, S3585/M3585)</f>
        <v/>
      </c>
      <c r="V3585" s="34">
        <f>N3585/(N3585+O3585)</f>
        <v/>
      </c>
      <c r="W3585" s="34">
        <f>U3585*V3585</f>
        <v/>
      </c>
      <c r="X3585" s="32">
        <f>T3585/N3585</f>
        <v/>
      </c>
      <c r="Y3585" s="35">
        <f>IF(W3585=MAXIFS(W$2:W$3601, A$2:A$3601, A3585, B$2:B$3601, B3585), "OPTIMAL", "")</f>
        <v/>
      </c>
    </row>
    <row r="3586" ht="20" customHeight="1">
      <c r="A3586" s="21" t="n">
        <v>-18</v>
      </c>
      <c r="B3586" s="21" t="n">
        <v>45</v>
      </c>
      <c r="C3586" s="22" t="n">
        <v>120</v>
      </c>
      <c r="D3586" s="22" t="n">
        <v>3</v>
      </c>
      <c r="E3586" s="23" t="n">
        <v>4</v>
      </c>
      <c r="F3586" s="22" t="n">
        <v>1.5</v>
      </c>
      <c r="G3586" s="23" t="inlineStr">
        <is>
          <t>Oui</t>
        </is>
      </c>
      <c r="H3586" s="23" t="inlineStr">
        <is>
          <t>ON</t>
        </is>
      </c>
      <c r="I3586" s="24" t="n">
        <v>885.2722778138215</v>
      </c>
      <c r="J3586" s="24" t="n">
        <v>10520.73059103506</v>
      </c>
      <c r="K3586" s="24" t="n">
        <v>5101.851851851852</v>
      </c>
      <c r="L3586" s="24" t="n">
        <v>150</v>
      </c>
      <c r="M3586" s="24">
        <f>I3586+J3586+K3586+L3586</f>
        <v/>
      </c>
      <c r="N3586" s="24">
        <f>M3586*'Dashboard &amp; Optimisation'!$B$18/('Dashboard &amp; Optimisation'!$B$16/3.6)</f>
        <v/>
      </c>
      <c r="O3586" s="24" t="n">
        <v>1249.703546051321</v>
      </c>
      <c r="P3586" s="25" t="n">
        <v>0.06783449726767998</v>
      </c>
      <c r="Q3586" s="26" t="n">
        <v>5.689672816037082</v>
      </c>
      <c r="R3586" s="24" t="n">
        <v>4653.396753651654</v>
      </c>
      <c r="S3586" s="24">
        <f>R3586*IF(A3586=4, 2.0, 3.0)</f>
        <v/>
      </c>
      <c r="T3586" s="22">
        <f>'Dashboard &amp; Optimisation'!$B$18*U3586</f>
        <v/>
      </c>
      <c r="U3586" s="27">
        <f>MIN(1, S3586/M3586)</f>
        <v/>
      </c>
      <c r="V3586" s="27">
        <f>N3586/(N3586+O3586)</f>
        <v/>
      </c>
      <c r="W3586" s="27">
        <f>U3586*V3586</f>
        <v/>
      </c>
      <c r="X3586" s="25">
        <f>T3586/N3586</f>
        <v/>
      </c>
      <c r="Y3586" s="28">
        <f>IF(W3586=MAXIFS(W$2:W$3601, A$2:A$3601, A3586, B$2:B$3601, B3586), "OPTIMAL", "")</f>
        <v/>
      </c>
    </row>
    <row r="3587" ht="20" customHeight="1">
      <c r="A3587" s="29" t="n">
        <v>-18</v>
      </c>
      <c r="B3587" s="29" t="n">
        <v>45</v>
      </c>
      <c r="C3587" s="30" t="n">
        <v>120</v>
      </c>
      <c r="D3587" s="30" t="n">
        <v>3</v>
      </c>
      <c r="E3587" s="6" t="n">
        <v>4</v>
      </c>
      <c r="F3587" s="30" t="n">
        <v>1.5</v>
      </c>
      <c r="G3587" s="6" t="inlineStr">
        <is>
          <t>Oui</t>
        </is>
      </c>
      <c r="H3587" s="6" t="inlineStr">
        <is>
          <t>OFF</t>
        </is>
      </c>
      <c r="I3587" s="31" t="n">
        <v>885.2722778138215</v>
      </c>
      <c r="J3587" s="31" t="n">
        <v>10520.73059103506</v>
      </c>
      <c r="K3587" s="31" t="n">
        <v>5101.851851851852</v>
      </c>
      <c r="L3587" s="31" t="n">
        <v>150</v>
      </c>
      <c r="M3587" s="31">
        <f>I3587+J3587+K3587+L3587</f>
        <v/>
      </c>
      <c r="N3587" s="31">
        <f>M3587*'Dashboard &amp; Optimisation'!$B$18/('Dashboard &amp; Optimisation'!$B$16/3.6)</f>
        <v/>
      </c>
      <c r="O3587" s="31" t="n">
        <v>1249.703546051321</v>
      </c>
      <c r="P3587" s="32" t="n">
        <v>0.2715077102234196</v>
      </c>
      <c r="Q3587" s="33" t="n">
        <v>5.689672816037082</v>
      </c>
      <c r="R3587" s="31" t="n">
        <v>1162.621971623795</v>
      </c>
      <c r="S3587" s="31">
        <f>R3587*IF(A3587=4, 2.0, 3.0)</f>
        <v/>
      </c>
      <c r="T3587" s="30">
        <f>'Dashboard &amp; Optimisation'!$B$18*U3587</f>
        <v/>
      </c>
      <c r="U3587" s="34">
        <f>MIN(1, S3587/M3587)</f>
        <v/>
      </c>
      <c r="V3587" s="34">
        <f>N3587/(N3587+O3587)</f>
        <v/>
      </c>
      <c r="W3587" s="34">
        <f>U3587*V3587</f>
        <v/>
      </c>
      <c r="X3587" s="32">
        <f>T3587/N3587</f>
        <v/>
      </c>
      <c r="Y3587" s="35">
        <f>IF(W3587=MAXIFS(W$2:W$3601, A$2:A$3601, A3587, B$2:B$3601, B3587), "OPTIMAL", "")</f>
        <v/>
      </c>
    </row>
    <row r="3588" ht="20" customHeight="1">
      <c r="A3588" s="21" t="n">
        <v>-18</v>
      </c>
      <c r="B3588" s="21" t="n">
        <v>45</v>
      </c>
      <c r="C3588" s="22" t="n">
        <v>120</v>
      </c>
      <c r="D3588" s="22" t="n">
        <v>3</v>
      </c>
      <c r="E3588" s="23" t="n">
        <v>4</v>
      </c>
      <c r="F3588" s="22" t="n">
        <v>1.5</v>
      </c>
      <c r="G3588" s="23" t="inlineStr">
        <is>
          <t>Non</t>
        </is>
      </c>
      <c r="H3588" s="23" t="inlineStr">
        <is>
          <t>ON</t>
        </is>
      </c>
      <c r="I3588" s="24" t="n">
        <v>885.2722778138215</v>
      </c>
      <c r="J3588" s="24" t="n">
        <v>10520.73059103506</v>
      </c>
      <c r="K3588" s="24" t="n">
        <v>5101.851851851852</v>
      </c>
      <c r="L3588" s="24" t="n">
        <v>150</v>
      </c>
      <c r="M3588" s="24">
        <f>I3588+J3588+K3588+L3588</f>
        <v/>
      </c>
      <c r="N3588" s="24">
        <f>M3588*'Dashboard &amp; Optimisation'!$B$18/('Dashboard &amp; Optimisation'!$B$16/3.6)</f>
        <v/>
      </c>
      <c r="O3588" s="24" t="n">
        <v>1249.703546051321</v>
      </c>
      <c r="P3588" s="25" t="n">
        <v>0.06518191488281506</v>
      </c>
      <c r="Q3588" s="26" t="n">
        <v>5.689672816037082</v>
      </c>
      <c r="R3588" s="24" t="n">
        <v>4842.767045713728</v>
      </c>
      <c r="S3588" s="24">
        <f>R3588*IF(A3588=4, 2.0, 3.0)</f>
        <v/>
      </c>
      <c r="T3588" s="22">
        <f>'Dashboard &amp; Optimisation'!$B$18*U3588</f>
        <v/>
      </c>
      <c r="U3588" s="27">
        <f>MIN(1, S3588/M3588)</f>
        <v/>
      </c>
      <c r="V3588" s="27">
        <f>N3588/(N3588+O3588)</f>
        <v/>
      </c>
      <c r="W3588" s="27">
        <f>U3588*V3588</f>
        <v/>
      </c>
      <c r="X3588" s="25">
        <f>T3588/N3588</f>
        <v/>
      </c>
      <c r="Y3588" s="28">
        <f>IF(W3588=MAXIFS(W$2:W$3601, A$2:A$3601, A3588, B$2:B$3601, B3588), "OPTIMAL", "")</f>
        <v/>
      </c>
    </row>
    <row r="3589" ht="20" customHeight="1">
      <c r="A3589" s="29" t="n">
        <v>-18</v>
      </c>
      <c r="B3589" s="29" t="n">
        <v>45</v>
      </c>
      <c r="C3589" s="30" t="n">
        <v>120</v>
      </c>
      <c r="D3589" s="30" t="n">
        <v>3</v>
      </c>
      <c r="E3589" s="6" t="n">
        <v>4</v>
      </c>
      <c r="F3589" s="30" t="n">
        <v>1.5</v>
      </c>
      <c r="G3589" s="6" t="inlineStr">
        <is>
          <t>Non</t>
        </is>
      </c>
      <c r="H3589" s="6" t="inlineStr">
        <is>
          <t>OFF</t>
        </is>
      </c>
      <c r="I3589" s="31" t="n">
        <v>885.2722778138215</v>
      </c>
      <c r="J3589" s="31" t="n">
        <v>10520.73059103506</v>
      </c>
      <c r="K3589" s="31" t="n">
        <v>5101.851851851852</v>
      </c>
      <c r="L3589" s="31" t="n">
        <v>150</v>
      </c>
      <c r="M3589" s="31">
        <f>I3589+J3589+K3589+L3589</f>
        <v/>
      </c>
      <c r="N3589" s="31">
        <f>M3589*'Dashboard &amp; Optimisation'!$B$18/('Dashboard &amp; Optimisation'!$B$16/3.6)</f>
        <v/>
      </c>
      <c r="O3589" s="31" t="n">
        <v>1249.703546051321</v>
      </c>
      <c r="P3589" s="32" t="n">
        <v>0.2688551278385546</v>
      </c>
      <c r="Q3589" s="33" t="n">
        <v>5.689672816037082</v>
      </c>
      <c r="R3589" s="31" t="n">
        <v>1174.092649482832</v>
      </c>
      <c r="S3589" s="31">
        <f>R3589*IF(A3589=4, 2.0, 3.0)</f>
        <v/>
      </c>
      <c r="T3589" s="30">
        <f>'Dashboard &amp; Optimisation'!$B$18*U3589</f>
        <v/>
      </c>
      <c r="U3589" s="34">
        <f>MIN(1, S3589/M3589)</f>
        <v/>
      </c>
      <c r="V3589" s="34">
        <f>N3589/(N3589+O3589)</f>
        <v/>
      </c>
      <c r="W3589" s="34">
        <f>U3589*V3589</f>
        <v/>
      </c>
      <c r="X3589" s="32">
        <f>T3589/N3589</f>
        <v/>
      </c>
      <c r="Y3589" s="35">
        <f>IF(W3589=MAXIFS(W$2:W$3601, A$2:A$3601, A3589, B$2:B$3601, B3589), "OPTIMAL", "")</f>
        <v/>
      </c>
    </row>
    <row r="3590" ht="20" customHeight="1">
      <c r="A3590" s="21" t="n">
        <v>-18</v>
      </c>
      <c r="B3590" s="21" t="n">
        <v>45</v>
      </c>
      <c r="C3590" s="22" t="n">
        <v>120</v>
      </c>
      <c r="D3590" s="22" t="n">
        <v>3</v>
      </c>
      <c r="E3590" s="23" t="n">
        <v>4</v>
      </c>
      <c r="F3590" s="22" t="n">
        <v>2</v>
      </c>
      <c r="G3590" s="23" t="inlineStr">
        <is>
          <t>Oui</t>
        </is>
      </c>
      <c r="H3590" s="23" t="inlineStr">
        <is>
          <t>ON</t>
        </is>
      </c>
      <c r="I3590" s="24" t="n">
        <v>885.2722778138215</v>
      </c>
      <c r="J3590" s="24" t="n">
        <v>10520.73059103506</v>
      </c>
      <c r="K3590" s="24" t="n">
        <v>5101.851851851852</v>
      </c>
      <c r="L3590" s="24" t="n">
        <v>150</v>
      </c>
      <c r="M3590" s="24">
        <f>I3590+J3590+K3590+L3590</f>
        <v/>
      </c>
      <c r="N3590" s="24">
        <f>M3590*'Dashboard &amp; Optimisation'!$B$18/('Dashboard &amp; Optimisation'!$B$16/3.6)</f>
        <v/>
      </c>
      <c r="O3590" s="24" t="n">
        <v>1365.537552504116</v>
      </c>
      <c r="P3590" s="25" t="n">
        <v>0.06458187918791126</v>
      </c>
      <c r="Q3590" s="26" t="n">
        <v>7.519563754716109</v>
      </c>
      <c r="R3590" s="24" t="n">
        <v>4933.052523560957</v>
      </c>
      <c r="S3590" s="24">
        <f>R3590*IF(A3590=4, 2.0, 3.0)</f>
        <v/>
      </c>
      <c r="T3590" s="22">
        <f>'Dashboard &amp; Optimisation'!$B$18*U3590</f>
        <v/>
      </c>
      <c r="U3590" s="27">
        <f>MIN(1, S3590/M3590)</f>
        <v/>
      </c>
      <c r="V3590" s="27">
        <f>N3590/(N3590+O3590)</f>
        <v/>
      </c>
      <c r="W3590" s="27">
        <f>U3590*V3590</f>
        <v/>
      </c>
      <c r="X3590" s="25">
        <f>T3590/N3590</f>
        <v/>
      </c>
      <c r="Y3590" s="28">
        <f>IF(W3590=MAXIFS(W$2:W$3601, A$2:A$3601, A3590, B$2:B$3601, B3590), "OPTIMAL", "")</f>
        <v/>
      </c>
    </row>
    <row r="3591" ht="20" customHeight="1">
      <c r="A3591" s="29" t="n">
        <v>-18</v>
      </c>
      <c r="B3591" s="29" t="n">
        <v>45</v>
      </c>
      <c r="C3591" s="30" t="n">
        <v>120</v>
      </c>
      <c r="D3591" s="30" t="n">
        <v>3</v>
      </c>
      <c r="E3591" s="6" t="n">
        <v>4</v>
      </c>
      <c r="F3591" s="30" t="n">
        <v>2</v>
      </c>
      <c r="G3591" s="6" t="inlineStr">
        <is>
          <t>Oui</t>
        </is>
      </c>
      <c r="H3591" s="6" t="inlineStr">
        <is>
          <t>OFF</t>
        </is>
      </c>
      <c r="I3591" s="31" t="n">
        <v>885.2722778138215</v>
      </c>
      <c r="J3591" s="31" t="n">
        <v>10520.73059103506</v>
      </c>
      <c r="K3591" s="31" t="n">
        <v>5101.851851851852</v>
      </c>
      <c r="L3591" s="31" t="n">
        <v>150</v>
      </c>
      <c r="M3591" s="31">
        <f>I3591+J3591+K3591+L3591</f>
        <v/>
      </c>
      <c r="N3591" s="31">
        <f>M3591*'Dashboard &amp; Optimisation'!$B$18/('Dashboard &amp; Optimisation'!$B$16/3.6)</f>
        <v/>
      </c>
      <c r="O3591" s="31" t="n">
        <v>1365.537552504116</v>
      </c>
      <c r="P3591" s="32" t="n">
        <v>0.2690865884190716</v>
      </c>
      <c r="Q3591" s="33" t="n">
        <v>7.519563754716109</v>
      </c>
      <c r="R3591" s="31" t="n">
        <v>1183.952734233166</v>
      </c>
      <c r="S3591" s="31">
        <f>R3591*IF(A3591=4, 2.0, 3.0)</f>
        <v/>
      </c>
      <c r="T3591" s="30">
        <f>'Dashboard &amp; Optimisation'!$B$18*U3591</f>
        <v/>
      </c>
      <c r="U3591" s="34">
        <f>MIN(1, S3591/M3591)</f>
        <v/>
      </c>
      <c r="V3591" s="34">
        <f>N3591/(N3591+O3591)</f>
        <v/>
      </c>
      <c r="W3591" s="34">
        <f>U3591*V3591</f>
        <v/>
      </c>
      <c r="X3591" s="32">
        <f>T3591/N3591</f>
        <v/>
      </c>
      <c r="Y3591" s="35">
        <f>IF(W3591=MAXIFS(W$2:W$3601, A$2:A$3601, A3591, B$2:B$3601, B3591), "OPTIMAL", "")</f>
        <v/>
      </c>
    </row>
    <row r="3592" ht="20" customHeight="1">
      <c r="A3592" s="21" t="n">
        <v>-18</v>
      </c>
      <c r="B3592" s="21" t="n">
        <v>45</v>
      </c>
      <c r="C3592" s="22" t="n">
        <v>120</v>
      </c>
      <c r="D3592" s="22" t="n">
        <v>3</v>
      </c>
      <c r="E3592" s="23" t="n">
        <v>4</v>
      </c>
      <c r="F3592" s="22" t="n">
        <v>2</v>
      </c>
      <c r="G3592" s="23" t="inlineStr">
        <is>
          <t>Non</t>
        </is>
      </c>
      <c r="H3592" s="23" t="inlineStr">
        <is>
          <t>ON</t>
        </is>
      </c>
      <c r="I3592" s="24" t="n">
        <v>885.2722778138215</v>
      </c>
      <c r="J3592" s="24" t="n">
        <v>10520.73059103506</v>
      </c>
      <c r="K3592" s="24" t="n">
        <v>5101.851851851852</v>
      </c>
      <c r="L3592" s="24" t="n">
        <v>150</v>
      </c>
      <c r="M3592" s="24">
        <f>I3592+J3592+K3592+L3592</f>
        <v/>
      </c>
      <c r="N3592" s="24">
        <f>M3592*'Dashboard &amp; Optimisation'!$B$18/('Dashboard &amp; Optimisation'!$B$16/3.6)</f>
        <v/>
      </c>
      <c r="O3592" s="24" t="n">
        <v>1365.537552504116</v>
      </c>
      <c r="P3592" s="25" t="n">
        <v>0.06192929680304634</v>
      </c>
      <c r="Q3592" s="26" t="n">
        <v>7.519563754716109</v>
      </c>
      <c r="R3592" s="24" t="n">
        <v>5144.347159591242</v>
      </c>
      <c r="S3592" s="24">
        <f>R3592*IF(A3592=4, 2.0, 3.0)</f>
        <v/>
      </c>
      <c r="T3592" s="22">
        <f>'Dashboard &amp; Optimisation'!$B$18*U3592</f>
        <v/>
      </c>
      <c r="U3592" s="27">
        <f>MIN(1, S3592/M3592)</f>
        <v/>
      </c>
      <c r="V3592" s="27">
        <f>N3592/(N3592+O3592)</f>
        <v/>
      </c>
      <c r="W3592" s="27">
        <f>U3592*V3592</f>
        <v/>
      </c>
      <c r="X3592" s="25">
        <f>T3592/N3592</f>
        <v/>
      </c>
      <c r="Y3592" s="28">
        <f>IF(W3592=MAXIFS(W$2:W$3601, A$2:A$3601, A3592, B$2:B$3601, B3592), "OPTIMAL", "")</f>
        <v/>
      </c>
    </row>
    <row r="3593" ht="20" customHeight="1">
      <c r="A3593" s="29" t="n">
        <v>-18</v>
      </c>
      <c r="B3593" s="29" t="n">
        <v>45</v>
      </c>
      <c r="C3593" s="30" t="n">
        <v>120</v>
      </c>
      <c r="D3593" s="30" t="n">
        <v>3</v>
      </c>
      <c r="E3593" s="6" t="n">
        <v>4</v>
      </c>
      <c r="F3593" s="30" t="n">
        <v>2</v>
      </c>
      <c r="G3593" s="6" t="inlineStr">
        <is>
          <t>Non</t>
        </is>
      </c>
      <c r="H3593" s="6" t="inlineStr">
        <is>
          <t>OFF</t>
        </is>
      </c>
      <c r="I3593" s="31" t="n">
        <v>885.2722778138215</v>
      </c>
      <c r="J3593" s="31" t="n">
        <v>10520.73059103506</v>
      </c>
      <c r="K3593" s="31" t="n">
        <v>5101.851851851852</v>
      </c>
      <c r="L3593" s="31" t="n">
        <v>150</v>
      </c>
      <c r="M3593" s="31">
        <f>I3593+J3593+K3593+L3593</f>
        <v/>
      </c>
      <c r="N3593" s="31">
        <f>M3593*'Dashboard &amp; Optimisation'!$B$18/('Dashboard &amp; Optimisation'!$B$16/3.6)</f>
        <v/>
      </c>
      <c r="O3593" s="31" t="n">
        <v>1365.537552504116</v>
      </c>
      <c r="P3593" s="32" t="n">
        <v>0.2664340060342067</v>
      </c>
      <c r="Q3593" s="33" t="n">
        <v>7.519563754716109</v>
      </c>
      <c r="R3593" s="31" t="n">
        <v>1195.740013995556</v>
      </c>
      <c r="S3593" s="31">
        <f>R3593*IF(A3593=4, 2.0, 3.0)</f>
        <v/>
      </c>
      <c r="T3593" s="30">
        <f>'Dashboard &amp; Optimisation'!$B$18*U3593</f>
        <v/>
      </c>
      <c r="U3593" s="34">
        <f>MIN(1, S3593/M3593)</f>
        <v/>
      </c>
      <c r="V3593" s="34">
        <f>N3593/(N3593+O3593)</f>
        <v/>
      </c>
      <c r="W3593" s="34">
        <f>U3593*V3593</f>
        <v/>
      </c>
      <c r="X3593" s="32">
        <f>T3593/N3593</f>
        <v/>
      </c>
      <c r="Y3593" s="35">
        <f>IF(W3593=MAXIFS(W$2:W$3601, A$2:A$3601, A3593, B$2:B$3601, B3593), "OPTIMAL", "")</f>
        <v/>
      </c>
    </row>
    <row r="3594" ht="20" customHeight="1">
      <c r="A3594" s="21" t="n">
        <v>-18</v>
      </c>
      <c r="B3594" s="21" t="n">
        <v>45</v>
      </c>
      <c r="C3594" s="22" t="n">
        <v>120</v>
      </c>
      <c r="D3594" s="22" t="n">
        <v>3</v>
      </c>
      <c r="E3594" s="23" t="n">
        <v>8</v>
      </c>
      <c r="F3594" s="22" t="n">
        <v>1.5</v>
      </c>
      <c r="G3594" s="23" t="inlineStr">
        <is>
          <t>Oui</t>
        </is>
      </c>
      <c r="H3594" s="23" t="inlineStr">
        <is>
          <t>ON</t>
        </is>
      </c>
      <c r="I3594" s="24" t="n">
        <v>885.2722778138215</v>
      </c>
      <c r="J3594" s="24" t="n">
        <v>10520.73059103506</v>
      </c>
      <c r="K3594" s="24" t="n">
        <v>5101.851851851852</v>
      </c>
      <c r="L3594" s="24" t="n">
        <v>150</v>
      </c>
      <c r="M3594" s="24">
        <f>I3594+J3594+K3594+L3594</f>
        <v/>
      </c>
      <c r="N3594" s="24">
        <f>M3594*'Dashboard &amp; Optimisation'!$B$18/('Dashboard &amp; Optimisation'!$B$16/3.6)</f>
        <v/>
      </c>
      <c r="O3594" s="24" t="n">
        <v>1603.76720661838</v>
      </c>
      <c r="P3594" s="25" t="n">
        <v>0.05144850932496671</v>
      </c>
      <c r="Q3594" s="26" t="n">
        <v>11.17934563207417</v>
      </c>
      <c r="R3594" s="24" t="n">
        <v>6309.248655874111</v>
      </c>
      <c r="S3594" s="24">
        <f>R3594*IF(A3594=4, 2.0, 3.0)</f>
        <v/>
      </c>
      <c r="T3594" s="22">
        <f>'Dashboard &amp; Optimisation'!$B$18*U3594</f>
        <v/>
      </c>
      <c r="U3594" s="27">
        <f>MIN(1, S3594/M3594)</f>
        <v/>
      </c>
      <c r="V3594" s="27">
        <f>N3594/(N3594+O3594)</f>
        <v/>
      </c>
      <c r="W3594" s="27">
        <f>U3594*V3594</f>
        <v/>
      </c>
      <c r="X3594" s="25">
        <f>T3594/N3594</f>
        <v/>
      </c>
      <c r="Y3594" s="28">
        <f>IF(W3594=MAXIFS(W$2:W$3601, A$2:A$3601, A3594, B$2:B$3601, B3594), "OPTIMAL", "")</f>
        <v/>
      </c>
    </row>
    <row r="3595" ht="20" customHeight="1">
      <c r="A3595" s="29" t="n">
        <v>-18</v>
      </c>
      <c r="B3595" s="29" t="n">
        <v>45</v>
      </c>
      <c r="C3595" s="30" t="n">
        <v>120</v>
      </c>
      <c r="D3595" s="30" t="n">
        <v>3</v>
      </c>
      <c r="E3595" s="6" t="n">
        <v>8</v>
      </c>
      <c r="F3595" s="30" t="n">
        <v>1.5</v>
      </c>
      <c r="G3595" s="6" t="inlineStr">
        <is>
          <t>Oui</t>
        </is>
      </c>
      <c r="H3595" s="6" t="inlineStr">
        <is>
          <t>OFF</t>
        </is>
      </c>
      <c r="I3595" s="31" t="n">
        <v>885.2722778138215</v>
      </c>
      <c r="J3595" s="31" t="n">
        <v>10520.73059103506</v>
      </c>
      <c r="K3595" s="31" t="n">
        <v>5101.851851851852</v>
      </c>
      <c r="L3595" s="31" t="n">
        <v>150</v>
      </c>
      <c r="M3595" s="31">
        <f>I3595+J3595+K3595+L3595</f>
        <v/>
      </c>
      <c r="N3595" s="31">
        <f>M3595*'Dashboard &amp; Optimisation'!$B$18/('Dashboard &amp; Optimisation'!$B$16/3.6)</f>
        <v/>
      </c>
      <c r="O3595" s="31" t="n">
        <v>1603.76720661838</v>
      </c>
      <c r="P3595" s="32" t="n">
        <v>0.2167441267000743</v>
      </c>
      <c r="Q3595" s="33" t="n">
        <v>11.17934563207417</v>
      </c>
      <c r="R3595" s="31" t="n">
        <v>1497.625071771607</v>
      </c>
      <c r="S3595" s="31">
        <f>R3595*IF(A3595=4, 2.0, 3.0)</f>
        <v/>
      </c>
      <c r="T3595" s="30">
        <f>'Dashboard &amp; Optimisation'!$B$18*U3595</f>
        <v/>
      </c>
      <c r="U3595" s="34">
        <f>MIN(1, S3595/M3595)</f>
        <v/>
      </c>
      <c r="V3595" s="34">
        <f>N3595/(N3595+O3595)</f>
        <v/>
      </c>
      <c r="W3595" s="34">
        <f>U3595*V3595</f>
        <v/>
      </c>
      <c r="X3595" s="32">
        <f>T3595/N3595</f>
        <v/>
      </c>
      <c r="Y3595" s="35">
        <f>IF(W3595=MAXIFS(W$2:W$3601, A$2:A$3601, A3595, B$2:B$3601, B3595), "OPTIMAL", "")</f>
        <v/>
      </c>
    </row>
    <row r="3596" ht="20" customHeight="1">
      <c r="A3596" s="21" t="n">
        <v>-18</v>
      </c>
      <c r="B3596" s="21" t="n">
        <v>45</v>
      </c>
      <c r="C3596" s="22" t="n">
        <v>120</v>
      </c>
      <c r="D3596" s="22" t="n">
        <v>3</v>
      </c>
      <c r="E3596" s="23" t="n">
        <v>8</v>
      </c>
      <c r="F3596" s="22" t="n">
        <v>1.5</v>
      </c>
      <c r="G3596" s="23" t="inlineStr">
        <is>
          <t>Non</t>
        </is>
      </c>
      <c r="H3596" s="23" t="inlineStr">
        <is>
          <t>ON</t>
        </is>
      </c>
      <c r="I3596" s="24" t="n">
        <v>885.2722778138215</v>
      </c>
      <c r="J3596" s="24" t="n">
        <v>10520.73059103506</v>
      </c>
      <c r="K3596" s="24" t="n">
        <v>5101.851851851852</v>
      </c>
      <c r="L3596" s="24" t="n">
        <v>150</v>
      </c>
      <c r="M3596" s="24">
        <f>I3596+J3596+K3596+L3596</f>
        <v/>
      </c>
      <c r="N3596" s="24">
        <f>M3596*'Dashboard &amp; Optimisation'!$B$18/('Dashboard &amp; Optimisation'!$B$16/3.6)</f>
        <v/>
      </c>
      <c r="O3596" s="24" t="n">
        <v>1603.76720661838</v>
      </c>
      <c r="P3596" s="25" t="n">
        <v>0.04879592694010178</v>
      </c>
      <c r="Q3596" s="26" t="n">
        <v>11.17934563207417</v>
      </c>
      <c r="R3596" s="24" t="n">
        <v>6652.224041234615</v>
      </c>
      <c r="S3596" s="24">
        <f>R3596*IF(A3596=4, 2.0, 3.0)</f>
        <v/>
      </c>
      <c r="T3596" s="22">
        <f>'Dashboard &amp; Optimisation'!$B$18*U3596</f>
        <v/>
      </c>
      <c r="U3596" s="27">
        <f>MIN(1, S3596/M3596)</f>
        <v/>
      </c>
      <c r="V3596" s="27">
        <f>N3596/(N3596+O3596)</f>
        <v/>
      </c>
      <c r="W3596" s="27">
        <f>U3596*V3596</f>
        <v/>
      </c>
      <c r="X3596" s="25">
        <f>T3596/N3596</f>
        <v/>
      </c>
      <c r="Y3596" s="28">
        <f>IF(W3596=MAXIFS(W$2:W$3601, A$2:A$3601, A3596, B$2:B$3601, B3596), "OPTIMAL", "")</f>
        <v/>
      </c>
    </row>
    <row r="3597" ht="20" customHeight="1">
      <c r="A3597" s="29" t="n">
        <v>-18</v>
      </c>
      <c r="B3597" s="29" t="n">
        <v>45</v>
      </c>
      <c r="C3597" s="30" t="n">
        <v>120</v>
      </c>
      <c r="D3597" s="30" t="n">
        <v>3</v>
      </c>
      <c r="E3597" s="6" t="n">
        <v>8</v>
      </c>
      <c r="F3597" s="30" t="n">
        <v>1.5</v>
      </c>
      <c r="G3597" s="6" t="inlineStr">
        <is>
          <t>Non</t>
        </is>
      </c>
      <c r="H3597" s="6" t="inlineStr">
        <is>
          <t>OFF</t>
        </is>
      </c>
      <c r="I3597" s="31" t="n">
        <v>885.2722778138215</v>
      </c>
      <c r="J3597" s="31" t="n">
        <v>10520.73059103506</v>
      </c>
      <c r="K3597" s="31" t="n">
        <v>5101.851851851852</v>
      </c>
      <c r="L3597" s="31" t="n">
        <v>150</v>
      </c>
      <c r="M3597" s="31">
        <f>I3597+J3597+K3597+L3597</f>
        <v/>
      </c>
      <c r="N3597" s="31">
        <f>M3597*'Dashboard &amp; Optimisation'!$B$18/('Dashboard &amp; Optimisation'!$B$16/3.6)</f>
        <v/>
      </c>
      <c r="O3597" s="31" t="n">
        <v>1603.76720661838</v>
      </c>
      <c r="P3597" s="32" t="n">
        <v>0.2140915443152093</v>
      </c>
      <c r="Q3597" s="33" t="n">
        <v>11.17934563207417</v>
      </c>
      <c r="R3597" s="31" t="n">
        <v>1516.180563522671</v>
      </c>
      <c r="S3597" s="31">
        <f>R3597*IF(A3597=4, 2.0, 3.0)</f>
        <v/>
      </c>
      <c r="T3597" s="30">
        <f>'Dashboard &amp; Optimisation'!$B$18*U3597</f>
        <v/>
      </c>
      <c r="U3597" s="34">
        <f>MIN(1, S3597/M3597)</f>
        <v/>
      </c>
      <c r="V3597" s="34">
        <f>N3597/(N3597+O3597)</f>
        <v/>
      </c>
      <c r="W3597" s="34">
        <f>U3597*V3597</f>
        <v/>
      </c>
      <c r="X3597" s="32">
        <f>T3597/N3597</f>
        <v/>
      </c>
      <c r="Y3597" s="35">
        <f>IF(W3597=MAXIFS(W$2:W$3601, A$2:A$3601, A3597, B$2:B$3601, B3597), "OPTIMAL", "")</f>
        <v/>
      </c>
    </row>
    <row r="3598" ht="20" customHeight="1">
      <c r="A3598" s="21" t="n">
        <v>-18</v>
      </c>
      <c r="B3598" s="21" t="n">
        <v>45</v>
      </c>
      <c r="C3598" s="22" t="n">
        <v>120</v>
      </c>
      <c r="D3598" s="22" t="n">
        <v>3</v>
      </c>
      <c r="E3598" s="23" t="n">
        <v>8</v>
      </c>
      <c r="F3598" s="22" t="n">
        <v>2</v>
      </c>
      <c r="G3598" s="23" t="inlineStr">
        <is>
          <t>Oui</t>
        </is>
      </c>
      <c r="H3598" s="23" t="inlineStr">
        <is>
          <t>ON</t>
        </is>
      </c>
      <c r="I3598" s="24" t="n">
        <v>885.2722778138215</v>
      </c>
      <c r="J3598" s="24" t="n">
        <v>10520.73059103506</v>
      </c>
      <c r="K3598" s="24" t="n">
        <v>5101.851851851852</v>
      </c>
      <c r="L3598" s="24" t="n">
        <v>150</v>
      </c>
      <c r="M3598" s="24">
        <f>I3598+J3598+K3598+L3598</f>
        <v/>
      </c>
      <c r="N3598" s="24">
        <f>M3598*'Dashboard &amp; Optimisation'!$B$18/('Dashboard &amp; Optimisation'!$B$16/3.6)</f>
        <v/>
      </c>
      <c r="O3598" s="24" t="n">
        <v>1851.166660590603</v>
      </c>
      <c r="P3598" s="25" t="n">
        <v>0.04989331996011</v>
      </c>
      <c r="Q3598" s="26" t="n">
        <v>14.83912750943222</v>
      </c>
      <c r="R3598" s="24" t="n">
        <v>6631.120663158559</v>
      </c>
      <c r="S3598" s="24">
        <f>R3598*IF(A3598=4, 2.0, 3.0)</f>
        <v/>
      </c>
      <c r="T3598" s="22">
        <f>'Dashboard &amp; Optimisation'!$B$18*U3598</f>
        <v/>
      </c>
      <c r="U3598" s="27">
        <f>MIN(1, S3598/M3598)</f>
        <v/>
      </c>
      <c r="V3598" s="27">
        <f>N3598/(N3598+O3598)</f>
        <v/>
      </c>
      <c r="W3598" s="27">
        <f>U3598*V3598</f>
        <v/>
      </c>
      <c r="X3598" s="25">
        <f>T3598/N3598</f>
        <v/>
      </c>
      <c r="Y3598" s="28">
        <f>IF(W3598=MAXIFS(W$2:W$3601, A$2:A$3601, A3598, B$2:B$3601, B3598), "OPTIMAL", "")</f>
        <v/>
      </c>
    </row>
    <row r="3599" ht="20" customHeight="1">
      <c r="A3599" s="29" t="n">
        <v>-18</v>
      </c>
      <c r="B3599" s="29" t="n">
        <v>45</v>
      </c>
      <c r="C3599" s="30" t="n">
        <v>120</v>
      </c>
      <c r="D3599" s="30" t="n">
        <v>3</v>
      </c>
      <c r="E3599" s="6" t="n">
        <v>8</v>
      </c>
      <c r="F3599" s="30" t="n">
        <v>2</v>
      </c>
      <c r="G3599" s="6" t="inlineStr">
        <is>
          <t>Oui</t>
        </is>
      </c>
      <c r="H3599" s="6" t="inlineStr">
        <is>
          <t>OFF</t>
        </is>
      </c>
      <c r="I3599" s="31" t="n">
        <v>885.2722778138215</v>
      </c>
      <c r="J3599" s="31" t="n">
        <v>10520.73059103506</v>
      </c>
      <c r="K3599" s="31" t="n">
        <v>5101.851851851852</v>
      </c>
      <c r="L3599" s="31" t="n">
        <v>150</v>
      </c>
      <c r="M3599" s="31">
        <f>I3599+J3599+K3599+L3599</f>
        <v/>
      </c>
      <c r="N3599" s="31">
        <f>M3599*'Dashboard &amp; Optimisation'!$B$18/('Dashboard &amp; Optimisation'!$B$16/3.6)</f>
        <v/>
      </c>
      <c r="O3599" s="31" t="n">
        <v>1851.166660590603</v>
      </c>
      <c r="P3599" s="32" t="n">
        <v>0.2162873761903785</v>
      </c>
      <c r="Q3599" s="33" t="n">
        <v>14.83912750943222</v>
      </c>
      <c r="R3599" s="31" t="n">
        <v>1529.671452715069</v>
      </c>
      <c r="S3599" s="31">
        <f>R3599*IF(A3599=4, 2.0, 3.0)</f>
        <v/>
      </c>
      <c r="T3599" s="30">
        <f>'Dashboard &amp; Optimisation'!$B$18*U3599</f>
        <v/>
      </c>
      <c r="U3599" s="34">
        <f>MIN(1, S3599/M3599)</f>
        <v/>
      </c>
      <c r="V3599" s="34">
        <f>N3599/(N3599+O3599)</f>
        <v/>
      </c>
      <c r="W3599" s="34">
        <f>U3599*V3599</f>
        <v/>
      </c>
      <c r="X3599" s="32">
        <f>T3599/N3599</f>
        <v/>
      </c>
      <c r="Y3599" s="35">
        <f>IF(W3599=MAXIFS(W$2:W$3601, A$2:A$3601, A3599, B$2:B$3601, B3599), "OPTIMAL", "")</f>
        <v/>
      </c>
    </row>
    <row r="3600" ht="20" customHeight="1">
      <c r="A3600" s="21" t="n">
        <v>-18</v>
      </c>
      <c r="B3600" s="21" t="n">
        <v>45</v>
      </c>
      <c r="C3600" s="22" t="n">
        <v>120</v>
      </c>
      <c r="D3600" s="22" t="n">
        <v>3</v>
      </c>
      <c r="E3600" s="23" t="n">
        <v>8</v>
      </c>
      <c r="F3600" s="22" t="n">
        <v>2</v>
      </c>
      <c r="G3600" s="23" t="inlineStr">
        <is>
          <t>Non</t>
        </is>
      </c>
      <c r="H3600" s="23" t="inlineStr">
        <is>
          <t>ON</t>
        </is>
      </c>
      <c r="I3600" s="24" t="n">
        <v>885.2722778138215</v>
      </c>
      <c r="J3600" s="24" t="n">
        <v>10520.73059103506</v>
      </c>
      <c r="K3600" s="24" t="n">
        <v>5101.851851851852</v>
      </c>
      <c r="L3600" s="24" t="n">
        <v>150</v>
      </c>
      <c r="M3600" s="24">
        <f>I3600+J3600+K3600+L3600</f>
        <v/>
      </c>
      <c r="N3600" s="24">
        <f>M3600*'Dashboard &amp; Optimisation'!$B$18/('Dashboard &amp; Optimisation'!$B$16/3.6)</f>
        <v/>
      </c>
      <c r="O3600" s="24" t="n">
        <v>1851.166660590603</v>
      </c>
      <c r="P3600" s="25" t="n">
        <v>0.04724073757524508</v>
      </c>
      <c r="Q3600" s="26" t="n">
        <v>14.83912750943222</v>
      </c>
      <c r="R3600" s="24" t="n">
        <v>7003.460189716363</v>
      </c>
      <c r="S3600" s="24">
        <f>R3600*IF(A3600=4, 2.0, 3.0)</f>
        <v/>
      </c>
      <c r="T3600" s="22">
        <f>'Dashboard &amp; Optimisation'!$B$18*U3600</f>
        <v/>
      </c>
      <c r="U3600" s="27">
        <f>MIN(1, S3600/M3600)</f>
        <v/>
      </c>
      <c r="V3600" s="27">
        <f>N3600/(N3600+O3600)</f>
        <v/>
      </c>
      <c r="W3600" s="27">
        <f>U3600*V3600</f>
        <v/>
      </c>
      <c r="X3600" s="25">
        <f>T3600/N3600</f>
        <v/>
      </c>
      <c r="Y3600" s="28">
        <f>IF(W3600=MAXIFS(W$2:W$3601, A$2:A$3601, A3600, B$2:B$3601, B3600), "OPTIMAL", "")</f>
        <v/>
      </c>
    </row>
    <row r="3601" ht="20" customHeight="1">
      <c r="A3601" s="29" t="n">
        <v>-18</v>
      </c>
      <c r="B3601" s="29" t="n">
        <v>45</v>
      </c>
      <c r="C3601" s="30" t="n">
        <v>120</v>
      </c>
      <c r="D3601" s="30" t="n">
        <v>3</v>
      </c>
      <c r="E3601" s="6" t="n">
        <v>8</v>
      </c>
      <c r="F3601" s="30" t="n">
        <v>2</v>
      </c>
      <c r="G3601" s="6" t="inlineStr">
        <is>
          <t>Non</t>
        </is>
      </c>
      <c r="H3601" s="6" t="inlineStr">
        <is>
          <t>OFF</t>
        </is>
      </c>
      <c r="I3601" s="31" t="n">
        <v>885.2722778138215</v>
      </c>
      <c r="J3601" s="31" t="n">
        <v>10520.73059103506</v>
      </c>
      <c r="K3601" s="31" t="n">
        <v>5101.851851851852</v>
      </c>
      <c r="L3601" s="31" t="n">
        <v>150</v>
      </c>
      <c r="M3601" s="31">
        <f>I3601+J3601+K3601+L3601</f>
        <v/>
      </c>
      <c r="N3601" s="31">
        <f>M3601*'Dashboard &amp; Optimisation'!$B$18/('Dashboard &amp; Optimisation'!$B$16/3.6)</f>
        <v/>
      </c>
      <c r="O3601" s="31" t="n">
        <v>1851.166660590603</v>
      </c>
      <c r="P3601" s="32" t="n">
        <v>0.2136347938055135</v>
      </c>
      <c r="Q3601" s="33" t="n">
        <v>14.83912750943222</v>
      </c>
      <c r="R3601" s="31" t="n">
        <v>1548.664517832526</v>
      </c>
      <c r="S3601" s="31">
        <f>R3601*IF(A3601=4, 2.0, 3.0)</f>
        <v/>
      </c>
      <c r="T3601" s="30">
        <f>'Dashboard &amp; Optimisation'!$B$18*U3601</f>
        <v/>
      </c>
      <c r="U3601" s="34">
        <f>MIN(1, S3601/M3601)</f>
        <v/>
      </c>
      <c r="V3601" s="34">
        <f>N3601/(N3601+O3601)</f>
        <v/>
      </c>
      <c r="W3601" s="34">
        <f>U3601*V3601</f>
        <v/>
      </c>
      <c r="X3601" s="32">
        <f>T3601/N3601</f>
        <v/>
      </c>
      <c r="Y3601" s="35">
        <f>IF(W3601=MAXIFS(W$2:W$3601, A$2:A$3601, A3601, B$2:B$3601, B3601), "OPTIMAL",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2026-06-30T19:42:51Z</dcterms:created>
  <dcterms:modified xmlns:dcterms="http://purl.org/dc/terms/" xmlns:xsi="http://www.w3.org/2001/XMLSchema-instance" xsi:type="dcterms:W3CDTF">2026-06-30T19:42:56Z</dcterms:modified>
</cp:coreProperties>
</file>